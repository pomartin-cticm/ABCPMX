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OGICIELS\CTICM AM - POUTRE MIXTE\DEV23\"/>
    </mc:Choice>
  </mc:AlternateContent>
  <bookViews>
    <workbookView xWindow="0" yWindow="0" windowWidth="28800" windowHeight="12300"/>
  </bookViews>
  <sheets>
    <sheet name="Feuil1" sheetId="2" r:id="rId1"/>
  </sheets>
  <definedNames>
    <definedName name="AireP">Feuil1!$D$23</definedName>
    <definedName name="Alpha">Feuil1!$I$23</definedName>
    <definedName name="b0Bac">Feuil1!$D$9</definedName>
    <definedName name="b1Bac">Feuil1!$D$10</definedName>
    <definedName name="beffDalle">Feuil1!$D$42</definedName>
    <definedName name="bf">Feuil1!$D$19</definedName>
    <definedName name="dGouj">Feuil1!$I$18</definedName>
    <definedName name="E_GPa">Feuil1!$I$4</definedName>
    <definedName name="eBac">Feuil1!$D$8</definedName>
    <definedName name="Ecm_GPa">Feuil1!$I$8</definedName>
    <definedName name="EDalle">Feuil1!$D$6</definedName>
    <definedName name="Entraxe">Feuil1!$D$5</definedName>
    <definedName name="EspBar">Feuil1!$O$6</definedName>
    <definedName name="Eta">Feuil1!$I$55</definedName>
    <definedName name="EysGPA">Feuil1!$O$7</definedName>
    <definedName name="Fck_MPa">Feuil1!$I$9</definedName>
    <definedName name="Fu_Gouj">Feuil1!$I$20</definedName>
    <definedName name="Fy_MPa">Feuil1!$I$5</definedName>
    <definedName name="fyp">Feuil1!$I$11</definedName>
    <definedName name="GammaC">Feuil1!$D$37</definedName>
    <definedName name="GammaG">Feuil1!$D$32</definedName>
    <definedName name="GammaM0">Feuil1!$D$34</definedName>
    <definedName name="GammaM1">Feuil1!$D$35</definedName>
    <definedName name="GammaQ">Feuil1!$D$33</definedName>
    <definedName name="GammaV">Feuil1!$D$36</definedName>
    <definedName name="hBac">Feuil1!$D$7</definedName>
    <definedName name="hGouj">Feuil1!$I$19</definedName>
    <definedName name="Hp">Feuil1!$D$18</definedName>
    <definedName name="hw">Feuil1!$D$27</definedName>
    <definedName name="InertiePyy">Feuil1!$D$25</definedName>
    <definedName name="IsPreperce">Feuil1!$D$13</definedName>
    <definedName name="ktCalcul">Feuil1!$I$44</definedName>
    <definedName name="MEd">Feuil1!$I$34</definedName>
    <definedName name="msurfBac">Feuil1!$D$11</definedName>
    <definedName name="nbBar">Feuil1!$O$8</definedName>
    <definedName name="nEqArma">Feuil1!$O$9</definedName>
    <definedName name="nNerv">Feuil1!$I$47</definedName>
    <definedName name="Nr_Gouj">Feuil1!$I$21</definedName>
    <definedName name="PhiS">Feuil1!$O$4</definedName>
    <definedName name="Portee">Feuil1!$D$4</definedName>
    <definedName name="PRd">Feuil1!$I$26</definedName>
    <definedName name="PRdCalcul">Feuil1!$I$45</definedName>
    <definedName name="qlinELU">Feuil1!$I$32</definedName>
    <definedName name="RayC">Feuil1!$D$22</definedName>
    <definedName name="tbac">Feuil1!$D$12</definedName>
    <definedName name="Tc">Feuil1!$D$14</definedName>
    <definedName name="tf">Feuil1!$D$20</definedName>
    <definedName name="tw">Feuil1!$D$21</definedName>
    <definedName name="Wpl_pro">Feuil1!$D$26</definedName>
    <definedName name="zANE">Feuil1!$N$21</definedName>
    <definedName name="zArma">Feuil1!$O$5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2" l="1"/>
  <c r="Q19" i="2"/>
  <c r="Q17" i="2"/>
  <c r="P17" i="2"/>
  <c r="O18" i="2"/>
  <c r="O17" i="2"/>
  <c r="N18" i="2"/>
  <c r="P18" i="2" s="1"/>
  <c r="P19" i="2" s="1"/>
  <c r="N17" i="2"/>
  <c r="O9" i="2"/>
  <c r="O8" i="2"/>
  <c r="I6" i="2"/>
  <c r="D14" i="2"/>
  <c r="D23" i="2"/>
  <c r="D24" i="2" s="1"/>
  <c r="I23" i="2"/>
  <c r="I25" i="2" s="1"/>
  <c r="I24" i="2"/>
  <c r="I26" i="2" s="1"/>
  <c r="D27" i="2"/>
  <c r="D42" i="2"/>
  <c r="I49" i="2" s="1"/>
  <c r="I42" i="2"/>
  <c r="I44" i="2" s="1"/>
  <c r="I45" i="2" s="1"/>
  <c r="D46" i="2"/>
  <c r="D47" i="2"/>
  <c r="I47" i="2"/>
  <c r="K55" i="2" s="1"/>
  <c r="D48" i="2"/>
  <c r="I56" i="2"/>
  <c r="N19" i="2" l="1"/>
  <c r="N21" i="2" s="1"/>
  <c r="I50" i="2"/>
  <c r="I53" i="2" s="1"/>
  <c r="I61" i="2"/>
  <c r="I55" i="2"/>
  <c r="I59" i="2" s="1"/>
  <c r="R17" i="2" l="1"/>
  <c r="R19" i="2" s="1"/>
  <c r="N22" i="2" s="1"/>
  <c r="R18" i="2"/>
  <c r="I58" i="2"/>
</calcChain>
</file>

<file path=xl/sharedStrings.xml><?xml version="1.0" encoding="utf-8"?>
<sst xmlns="http://schemas.openxmlformats.org/spreadsheetml/2006/main" count="135" uniqueCount="94">
  <si>
    <t>mm</t>
  </si>
  <si>
    <t>kN</t>
  </si>
  <si>
    <t>m</t>
  </si>
  <si>
    <t>kg/m</t>
  </si>
  <si>
    <t>zANE</t>
  </si>
  <si>
    <t>cm4</t>
  </si>
  <si>
    <t>Epsilon</t>
  </si>
  <si>
    <t>mm2</t>
  </si>
  <si>
    <t>zi</t>
  </si>
  <si>
    <t>Ai</t>
  </si>
  <si>
    <t>Degré de connexion pour le calcul</t>
  </si>
  <si>
    <t>Résistance à la compression max de la dalle</t>
  </si>
  <si>
    <t>Epaisseur de dalle participante</t>
  </si>
  <si>
    <t>Degré de connexion mini</t>
  </si>
  <si>
    <t>Degré de connexion</t>
  </si>
  <si>
    <t>sur demi longueur</t>
  </si>
  <si>
    <t>Nombre de connecteurs pour connection complète</t>
  </si>
  <si>
    <t>Resistance maxi profilé</t>
  </si>
  <si>
    <t>Resistance maxi de la dalle</t>
  </si>
  <si>
    <t>beff</t>
  </si>
  <si>
    <t xml:space="preserve">Nombre de nervures sur la longueur </t>
  </si>
  <si>
    <t>bei</t>
  </si>
  <si>
    <t>b0</t>
  </si>
  <si>
    <t>PRd</t>
  </si>
  <si>
    <t>Avec 2 nervures</t>
  </si>
  <si>
    <t>kt reduction calcul</t>
  </si>
  <si>
    <t>ktmax</t>
  </si>
  <si>
    <t>Extrémités</t>
  </si>
  <si>
    <t>kt reduction bac</t>
  </si>
  <si>
    <t>Mi portée</t>
  </si>
  <si>
    <t>Résistance de calcul des connecteurs</t>
  </si>
  <si>
    <t>Largeur participante de dalle</t>
  </si>
  <si>
    <t>GammaC</t>
  </si>
  <si>
    <t>GammaV</t>
  </si>
  <si>
    <t>GammaM1</t>
  </si>
  <si>
    <t>GammaM0</t>
  </si>
  <si>
    <t>GammaQ</t>
  </si>
  <si>
    <t>GammaG</t>
  </si>
  <si>
    <t>Coefficients partiels</t>
  </si>
  <si>
    <t>hw</t>
  </si>
  <si>
    <t>cm3</t>
  </si>
  <si>
    <t>Module plastique</t>
  </si>
  <si>
    <t>PRd2</t>
  </si>
  <si>
    <t>Inertie / yy</t>
  </si>
  <si>
    <t>PRd1</t>
  </si>
  <si>
    <t>Masse linéique</t>
  </si>
  <si>
    <t>Alpha</t>
  </si>
  <si>
    <t>Aire</t>
  </si>
  <si>
    <t>Rayon du congé</t>
  </si>
  <si>
    <t>Nb de goujons par nervure</t>
  </si>
  <si>
    <t>Epaisseur âme</t>
  </si>
  <si>
    <t>MPa</t>
  </si>
  <si>
    <t>Résistance ultime en traction</t>
  </si>
  <si>
    <t>Epaisseur semelle</t>
  </si>
  <si>
    <t>Hauteur totale</t>
  </si>
  <si>
    <t>Largeur semelle</t>
  </si>
  <si>
    <t>Diamètre</t>
  </si>
  <si>
    <t>Hauteur</t>
  </si>
  <si>
    <t>IPE 450</t>
  </si>
  <si>
    <t>Connecteurs</t>
  </si>
  <si>
    <t>Géométrie du profilé</t>
  </si>
  <si>
    <t>Epaisseur active dalle</t>
  </si>
  <si>
    <t>oui = 1 non = 0</t>
  </si>
  <si>
    <t>Bac prépercé ?</t>
  </si>
  <si>
    <t>Epaisseur bac</t>
  </si>
  <si>
    <t>Limite élasticité bac</t>
  </si>
  <si>
    <t>kg/m2</t>
  </si>
  <si>
    <t>Masse surfacique du bac</t>
  </si>
  <si>
    <t>Largeur onde en haut</t>
  </si>
  <si>
    <t>Résistance à la compression</t>
  </si>
  <si>
    <t>Largeur onde en bas</t>
  </si>
  <si>
    <t>GPa</t>
  </si>
  <si>
    <t>Module sécant béton</t>
  </si>
  <si>
    <t>Entraxe bac</t>
  </si>
  <si>
    <t>Hauteur bac (0 si pas bac)</t>
  </si>
  <si>
    <t>Epaisseur dalle</t>
  </si>
  <si>
    <t>Limite d'élasticité acier</t>
  </si>
  <si>
    <t>Entraxe</t>
  </si>
  <si>
    <t>Module d'Young acier</t>
  </si>
  <si>
    <t>Portée</t>
  </si>
  <si>
    <t>Matériaux</t>
  </si>
  <si>
    <t>Géométrie de la poutre</t>
  </si>
  <si>
    <t>Armatures</t>
  </si>
  <si>
    <t>Position / fibre sup</t>
  </si>
  <si>
    <t>Espacement</t>
  </si>
  <si>
    <t>Eys</t>
  </si>
  <si>
    <t>Nombre de barres</t>
  </si>
  <si>
    <t>Coef Equivalence</t>
  </si>
  <si>
    <t>Propriétés élastiques M&lt;0</t>
  </si>
  <si>
    <t>Profilé</t>
  </si>
  <si>
    <t>Aizi</t>
  </si>
  <si>
    <t>Ii</t>
  </si>
  <si>
    <t>Aidi2</t>
  </si>
  <si>
    <t>InertieY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</si>
</sst>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2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164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1" fillId="4" borderId="0" xfId="0" applyFont="1" applyFill="1"/>
    <xf numFmtId="0" fontId="0" fillId="0" borderId="0" xfId="0" applyAlignment="1">
      <alignment horizontal="center" vertical="center"/>
    </xf>
    <xf numFmtId="2" fontId="0" fillId="0" borderId="0" xfId="0" applyNumberFormat="1"/>
    <xf numFmtId="0" fontId="1" fillId="6" borderId="0" xfId="0" applyFont="1" applyFill="1"/>
    <xf numFmtId="0" fontId="1" fillId="7" borderId="0" xfId="0" applyFont="1" applyFill="1"/>
    <xf numFmtId="2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1" fillId="8" borderId="0" xfId="0" applyFont="1" applyFill="1"/>
    <xf numFmtId="0" fontId="0" fillId="5" borderId="1" xfId="0" applyFill="1" applyBorder="1" applyAlignment="1">
      <alignment horizontal="center" vertical="center"/>
    </xf>
    <xf numFmtId="0" fontId="0" fillId="9" borderId="0" xfId="0" applyFill="1"/>
    <xf numFmtId="0" fontId="1" fillId="9" borderId="0" xfId="0" applyFont="1" applyFill="1"/>
    <xf numFmtId="0" fontId="1" fillId="10" borderId="0" xfId="0" applyFont="1" applyFill="1"/>
    <xf numFmtId="1" fontId="0" fillId="0" borderId="1" xfId="0" applyNumberFormat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64" fontId="2" fillId="11" borderId="1" xfId="0" applyNumberFormat="1" applyFont="1" applyFill="1" applyBorder="1" applyAlignment="1">
      <alignment horizontal="center" vertical="center"/>
    </xf>
    <xf numFmtId="1" fontId="2" fillId="11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B2:R62"/>
  <sheetViews>
    <sheetView tabSelected="1" zoomScale="90" zoomScaleNormal="90" workbookViewId="0">
      <selection activeCell="O8" sqref="O8"/>
    </sheetView>
  </sheetViews>
  <sheetFormatPr baseColWidth="10" defaultRowHeight="15" x14ac:dyDescent="0.25"/>
  <cols>
    <col min="4" max="4" width="12.5703125" bestFit="1" customWidth="1"/>
  </cols>
  <sheetData>
    <row r="2" spans="2:18" x14ac:dyDescent="0.25">
      <c r="B2" s="22" t="s">
        <v>81</v>
      </c>
      <c r="C2" s="22"/>
      <c r="D2" s="22"/>
      <c r="E2" s="22"/>
      <c r="G2" s="21" t="s">
        <v>80</v>
      </c>
      <c r="H2" s="20"/>
      <c r="I2" s="20"/>
      <c r="J2" s="20"/>
      <c r="M2" s="22" t="s">
        <v>82</v>
      </c>
      <c r="N2" s="22"/>
      <c r="O2" s="22"/>
      <c r="P2" s="22"/>
    </row>
    <row r="4" spans="2:18" x14ac:dyDescent="0.25">
      <c r="C4" s="2" t="s">
        <v>79</v>
      </c>
      <c r="D4" s="6">
        <v>14</v>
      </c>
      <c r="E4" t="s">
        <v>2</v>
      </c>
      <c r="H4" s="2" t="s">
        <v>78</v>
      </c>
      <c r="I4" s="6">
        <v>210</v>
      </c>
      <c r="J4" t="s">
        <v>71</v>
      </c>
      <c r="N4" s="8" t="s">
        <v>56</v>
      </c>
      <c r="O4" s="6">
        <v>16</v>
      </c>
      <c r="P4" t="s">
        <v>0</v>
      </c>
      <c r="Q4" s="9">
        <f>PI()*(PhiS/2)^2</f>
        <v>201.06192982974676</v>
      </c>
    </row>
    <row r="5" spans="2:18" x14ac:dyDescent="0.25">
      <c r="C5" s="2" t="s">
        <v>77</v>
      </c>
      <c r="D5" s="6">
        <v>3</v>
      </c>
      <c r="E5" t="s">
        <v>2</v>
      </c>
      <c r="H5" s="2" t="s">
        <v>76</v>
      </c>
      <c r="I5" s="6">
        <v>275</v>
      </c>
      <c r="J5" t="s">
        <v>51</v>
      </c>
      <c r="N5" s="8" t="s">
        <v>83</v>
      </c>
      <c r="O5" s="6">
        <v>35</v>
      </c>
      <c r="P5" t="s">
        <v>0</v>
      </c>
    </row>
    <row r="6" spans="2:18" x14ac:dyDescent="0.25">
      <c r="C6" s="2" t="s">
        <v>75</v>
      </c>
      <c r="D6" s="6">
        <v>120</v>
      </c>
      <c r="E6" t="s">
        <v>0</v>
      </c>
      <c r="H6" s="2" t="s">
        <v>6</v>
      </c>
      <c r="I6" s="5">
        <f>SQRT(235/Fy_MPa)</f>
        <v>0.92441627773717538</v>
      </c>
      <c r="N6" s="8" t="s">
        <v>84</v>
      </c>
      <c r="O6" s="6">
        <v>300</v>
      </c>
      <c r="P6" t="s">
        <v>0</v>
      </c>
    </row>
    <row r="7" spans="2:18" x14ac:dyDescent="0.25">
      <c r="C7" s="3" t="s">
        <v>74</v>
      </c>
      <c r="D7" s="6">
        <v>58</v>
      </c>
      <c r="E7" t="s">
        <v>0</v>
      </c>
      <c r="N7" s="8" t="s">
        <v>85</v>
      </c>
      <c r="O7" s="6">
        <v>190</v>
      </c>
      <c r="P7" t="s">
        <v>71</v>
      </c>
    </row>
    <row r="8" spans="2:18" x14ac:dyDescent="0.25">
      <c r="C8" s="3" t="s">
        <v>73</v>
      </c>
      <c r="D8" s="6">
        <v>207</v>
      </c>
      <c r="E8" t="s">
        <v>0</v>
      </c>
      <c r="H8" s="2" t="s">
        <v>72</v>
      </c>
      <c r="I8" s="6">
        <v>31</v>
      </c>
      <c r="J8" t="s">
        <v>71</v>
      </c>
      <c r="N8" s="8" t="s">
        <v>86</v>
      </c>
      <c r="O8" s="7">
        <f>beffDalle/(EspBar/1000)</f>
        <v>10</v>
      </c>
    </row>
    <row r="9" spans="2:18" x14ac:dyDescent="0.25">
      <c r="C9" s="3" t="s">
        <v>70</v>
      </c>
      <c r="D9" s="6">
        <v>62</v>
      </c>
      <c r="E9" t="s">
        <v>0</v>
      </c>
      <c r="H9" s="2" t="s">
        <v>69</v>
      </c>
      <c r="I9" s="6">
        <v>25</v>
      </c>
      <c r="J9" t="s">
        <v>51</v>
      </c>
      <c r="N9" s="8" t="s">
        <v>87</v>
      </c>
      <c r="O9" s="4">
        <f>E_GPa/EysGPA</f>
        <v>1.1052631578947369</v>
      </c>
    </row>
    <row r="10" spans="2:18" x14ac:dyDescent="0.25">
      <c r="C10" s="3" t="s">
        <v>68</v>
      </c>
      <c r="D10" s="6">
        <v>101</v>
      </c>
      <c r="E10" t="s">
        <v>0</v>
      </c>
      <c r="H10" s="2"/>
    </row>
    <row r="11" spans="2:18" x14ac:dyDescent="0.25">
      <c r="C11" s="3" t="s">
        <v>67</v>
      </c>
      <c r="D11" s="6">
        <v>8.5299999999999994</v>
      </c>
      <c r="E11" t="s">
        <v>66</v>
      </c>
      <c r="H11" s="3" t="s">
        <v>65</v>
      </c>
      <c r="I11" s="6">
        <v>350</v>
      </c>
      <c r="J11" t="s">
        <v>51</v>
      </c>
    </row>
    <row r="12" spans="2:18" x14ac:dyDescent="0.25">
      <c r="C12" s="3" t="s">
        <v>64</v>
      </c>
      <c r="D12" s="6">
        <v>0.75</v>
      </c>
      <c r="E12" t="s">
        <v>0</v>
      </c>
      <c r="H12" s="3"/>
    </row>
    <row r="13" spans="2:18" x14ac:dyDescent="0.25">
      <c r="C13" s="3" t="s">
        <v>63</v>
      </c>
      <c r="D13" s="6">
        <v>1</v>
      </c>
      <c r="E13" t="s">
        <v>62</v>
      </c>
    </row>
    <row r="14" spans="2:18" x14ac:dyDescent="0.25">
      <c r="C14" s="3" t="s">
        <v>61</v>
      </c>
      <c r="D14" s="19">
        <f>EDalle-hBac</f>
        <v>62</v>
      </c>
      <c r="E14" t="s">
        <v>0</v>
      </c>
      <c r="M14" s="18" t="s">
        <v>88</v>
      </c>
      <c r="N14" s="18"/>
      <c r="O14" s="18"/>
      <c r="P14" s="18"/>
    </row>
    <row r="16" spans="2:18" x14ac:dyDescent="0.25">
      <c r="B16" s="11" t="s">
        <v>60</v>
      </c>
      <c r="C16" s="11"/>
      <c r="D16" s="11"/>
      <c r="E16" s="11"/>
      <c r="G16" s="18" t="s">
        <v>59</v>
      </c>
      <c r="H16" s="18"/>
      <c r="I16" s="18"/>
      <c r="J16" s="18"/>
      <c r="N16" s="12" t="s">
        <v>9</v>
      </c>
      <c r="O16" s="12" t="s">
        <v>8</v>
      </c>
      <c r="P16" s="12" t="s">
        <v>90</v>
      </c>
      <c r="Q16" s="12" t="s">
        <v>91</v>
      </c>
      <c r="R16" s="12" t="s">
        <v>92</v>
      </c>
    </row>
    <row r="17" spans="2:18" x14ac:dyDescent="0.25">
      <c r="D17" t="s">
        <v>58</v>
      </c>
      <c r="M17" s="2" t="s">
        <v>89</v>
      </c>
      <c r="N17" s="23">
        <f>AireP</f>
        <v>9882.0776397669015</v>
      </c>
      <c r="O17" s="23">
        <f>-Hp/2</f>
        <v>-225</v>
      </c>
      <c r="P17" s="23">
        <f>N17*O17</f>
        <v>-2223467.4689475526</v>
      </c>
      <c r="Q17" s="23">
        <f>InertiePyy</f>
        <v>33740</v>
      </c>
      <c r="R17" s="23">
        <f>N17*(O17-zANE)^2/10^4</f>
        <v>2295.2946976748135</v>
      </c>
    </row>
    <row r="18" spans="2:18" x14ac:dyDescent="0.25">
      <c r="C18" s="2" t="s">
        <v>57</v>
      </c>
      <c r="D18" s="6">
        <v>450</v>
      </c>
      <c r="E18" t="s">
        <v>0</v>
      </c>
      <c r="H18" s="2" t="s">
        <v>56</v>
      </c>
      <c r="I18" s="6">
        <v>19</v>
      </c>
      <c r="J18" t="s">
        <v>0</v>
      </c>
      <c r="M18" s="2" t="s">
        <v>82</v>
      </c>
      <c r="N18" s="23">
        <f>PI()*PhiS^2/4*nbBar/nEqArma</f>
        <v>1819.1317460786611</v>
      </c>
      <c r="O18" s="23">
        <f>EDalle-zArma</f>
        <v>85</v>
      </c>
      <c r="P18" s="23">
        <f>N18*O18</f>
        <v>154626.19841668618</v>
      </c>
      <c r="Q18" s="23">
        <v>0</v>
      </c>
      <c r="R18" s="23">
        <f>N18*(O18-zANE)^2/10^4</f>
        <v>12468.739802634931</v>
      </c>
    </row>
    <row r="19" spans="2:18" x14ac:dyDescent="0.25">
      <c r="C19" s="2" t="s">
        <v>55</v>
      </c>
      <c r="D19" s="6">
        <v>190</v>
      </c>
      <c r="E19" t="s">
        <v>0</v>
      </c>
      <c r="H19" s="2" t="s">
        <v>54</v>
      </c>
      <c r="I19" s="6">
        <v>100</v>
      </c>
      <c r="J19" t="s">
        <v>0</v>
      </c>
      <c r="N19" s="24">
        <f>SUM(N17:N18)</f>
        <v>11701.209385845563</v>
      </c>
      <c r="P19" s="24">
        <f>SUM(P17:P18)</f>
        <v>-2068841.2705308665</v>
      </c>
      <c r="Q19" s="24">
        <f t="shared" ref="Q19:R19" si="0">SUM(Q17:Q18)</f>
        <v>33740</v>
      </c>
      <c r="R19" s="24">
        <f t="shared" si="0"/>
        <v>14764.034500309745</v>
      </c>
    </row>
    <row r="20" spans="2:18" x14ac:dyDescent="0.25">
      <c r="C20" s="2" t="s">
        <v>53</v>
      </c>
      <c r="D20" s="6">
        <v>14.6</v>
      </c>
      <c r="E20" t="s">
        <v>0</v>
      </c>
      <c r="H20" s="2" t="s">
        <v>52</v>
      </c>
      <c r="I20" s="6">
        <v>450</v>
      </c>
      <c r="J20" t="s">
        <v>51</v>
      </c>
    </row>
    <row r="21" spans="2:18" x14ac:dyDescent="0.25">
      <c r="C21" s="2" t="s">
        <v>50</v>
      </c>
      <c r="D21" s="6">
        <v>9.4</v>
      </c>
      <c r="E21" t="s">
        <v>0</v>
      </c>
      <c r="H21" s="2" t="s">
        <v>49</v>
      </c>
      <c r="I21" s="6">
        <v>1</v>
      </c>
      <c r="M21" s="2" t="s">
        <v>4</v>
      </c>
      <c r="N21" s="25">
        <f>P19/N19</f>
        <v>-176.80576445657425</v>
      </c>
      <c r="O21" t="s">
        <v>0</v>
      </c>
    </row>
    <row r="22" spans="2:18" x14ac:dyDescent="0.25">
      <c r="C22" s="2" t="s">
        <v>48</v>
      </c>
      <c r="D22" s="6">
        <v>21</v>
      </c>
      <c r="E22" t="s">
        <v>0</v>
      </c>
      <c r="H22" s="2"/>
      <c r="M22" s="3" t="s">
        <v>93</v>
      </c>
      <c r="N22" s="26">
        <f>Q19+R19</f>
        <v>48504.034500309746</v>
      </c>
      <c r="O22" t="s">
        <v>40</v>
      </c>
    </row>
    <row r="23" spans="2:18" x14ac:dyDescent="0.25">
      <c r="C23" s="2" t="s">
        <v>47</v>
      </c>
      <c r="D23" s="17">
        <f>2*bf*tf+(Hp-2*tf)*tw+(4-PI())*RayC^2</f>
        <v>9882.0776397669015</v>
      </c>
      <c r="E23" t="s">
        <v>7</v>
      </c>
      <c r="H23" s="3" t="s">
        <v>46</v>
      </c>
      <c r="I23" s="1">
        <f>IF(hGouj/dGouj&gt;4,1,0.2*(hGouj/dGouj+1))</f>
        <v>1</v>
      </c>
    </row>
    <row r="24" spans="2:18" x14ac:dyDescent="0.25">
      <c r="C24" s="2" t="s">
        <v>45</v>
      </c>
      <c r="D24" s="16" t="e">
        <f>AireP*RhoA/1000^2</f>
        <v>#NAME?</v>
      </c>
      <c r="E24" t="s">
        <v>3</v>
      </c>
      <c r="H24" s="3" t="s">
        <v>44</v>
      </c>
      <c r="I24" s="1">
        <f>0.8*Fu_Gouj*PI()*dGouj^2/4/GammaV/1000</f>
        <v>81.656276252105911</v>
      </c>
      <c r="J24" t="s">
        <v>1</v>
      </c>
    </row>
    <row r="25" spans="2:18" x14ac:dyDescent="0.25">
      <c r="C25" s="2" t="s">
        <v>43</v>
      </c>
      <c r="D25" s="6">
        <v>33740</v>
      </c>
      <c r="E25" t="s">
        <v>5</v>
      </c>
      <c r="H25" s="3" t="s">
        <v>42</v>
      </c>
      <c r="I25" s="1">
        <f>0.29*dGouj^2*SQRT(Fck_MPa*Ecm_GPa*1000)/1000/GammaV*Alpha</f>
        <v>73.730306289883259</v>
      </c>
      <c r="J25" t="s">
        <v>1</v>
      </c>
    </row>
    <row r="26" spans="2:18" x14ac:dyDescent="0.25">
      <c r="C26" s="2" t="s">
        <v>41</v>
      </c>
      <c r="D26" s="6">
        <v>1702</v>
      </c>
      <c r="E26" t="s">
        <v>40</v>
      </c>
      <c r="H26" s="3" t="s">
        <v>23</v>
      </c>
      <c r="I26" s="1">
        <f>MIN(I24:I25)</f>
        <v>73.730306289883259</v>
      </c>
      <c r="J26" t="s">
        <v>1</v>
      </c>
    </row>
    <row r="27" spans="2:18" x14ac:dyDescent="0.25">
      <c r="C27" s="2" t="s">
        <v>39</v>
      </c>
      <c r="D27" s="7">
        <f>Hp-2*RayC-2*tf</f>
        <v>378.8</v>
      </c>
      <c r="E27" t="s">
        <v>0</v>
      </c>
    </row>
    <row r="29" spans="2:18" x14ac:dyDescent="0.25">
      <c r="H29" s="3"/>
    </row>
    <row r="30" spans="2:18" x14ac:dyDescent="0.25">
      <c r="B30" s="15" t="s">
        <v>38</v>
      </c>
      <c r="C30" s="15"/>
      <c r="D30" s="15"/>
      <c r="E30" s="15"/>
      <c r="H30" s="3"/>
    </row>
    <row r="31" spans="2:18" x14ac:dyDescent="0.25">
      <c r="H31" s="3"/>
    </row>
    <row r="32" spans="2:18" x14ac:dyDescent="0.25">
      <c r="C32" s="8" t="s">
        <v>37</v>
      </c>
      <c r="D32" s="6">
        <v>1.35</v>
      </c>
      <c r="H32" s="3"/>
    </row>
    <row r="33" spans="2:10" x14ac:dyDescent="0.25">
      <c r="C33" s="8" t="s">
        <v>36</v>
      </c>
      <c r="D33" s="6">
        <v>1.5</v>
      </c>
      <c r="H33" s="3"/>
    </row>
    <row r="34" spans="2:10" x14ac:dyDescent="0.25">
      <c r="C34" s="8" t="s">
        <v>35</v>
      </c>
      <c r="D34" s="6">
        <v>1</v>
      </c>
      <c r="H34" s="3"/>
    </row>
    <row r="35" spans="2:10" x14ac:dyDescent="0.25">
      <c r="C35" s="8" t="s">
        <v>34</v>
      </c>
      <c r="D35" s="6">
        <v>1.1000000000000001</v>
      </c>
      <c r="H35" s="3"/>
    </row>
    <row r="36" spans="2:10" x14ac:dyDescent="0.25">
      <c r="C36" s="8" t="s">
        <v>33</v>
      </c>
      <c r="D36" s="6">
        <v>1.25</v>
      </c>
      <c r="H36" s="3"/>
    </row>
    <row r="37" spans="2:10" x14ac:dyDescent="0.25">
      <c r="C37" s="8" t="s">
        <v>32</v>
      </c>
      <c r="D37" s="6">
        <v>1.5</v>
      </c>
    </row>
    <row r="40" spans="2:10" x14ac:dyDescent="0.25">
      <c r="B40" s="14" t="s">
        <v>31</v>
      </c>
      <c r="C40" s="14"/>
      <c r="D40" s="14"/>
      <c r="E40" s="14"/>
      <c r="G40" s="14" t="s">
        <v>30</v>
      </c>
      <c r="H40" s="14"/>
      <c r="I40" s="14"/>
      <c r="J40" s="14"/>
    </row>
    <row r="42" spans="2:10" x14ac:dyDescent="0.25">
      <c r="B42" t="s">
        <v>29</v>
      </c>
      <c r="C42" s="2" t="s">
        <v>19</v>
      </c>
      <c r="D42" s="7">
        <f>2*MIN(Portee/8,Entraxe/2)</f>
        <v>3</v>
      </c>
      <c r="E42" t="s">
        <v>2</v>
      </c>
      <c r="H42" s="2" t="s">
        <v>28</v>
      </c>
      <c r="I42" s="5">
        <f>0.7/SQRT(MIN(2,Nr_Gouj))*AVERAGE(D9:D10)/hBac*(hGouj/hBac-1)</f>
        <v>0.71227705112960749</v>
      </c>
    </row>
    <row r="43" spans="2:10" x14ac:dyDescent="0.25">
      <c r="B43" t="s">
        <v>27</v>
      </c>
      <c r="C43" s="2" t="s">
        <v>19</v>
      </c>
      <c r="H43" s="8" t="s">
        <v>26</v>
      </c>
      <c r="I43" s="6">
        <v>0.75</v>
      </c>
    </row>
    <row r="44" spans="2:10" x14ac:dyDescent="0.25">
      <c r="H44" s="2" t="s">
        <v>25</v>
      </c>
      <c r="I44" s="5">
        <f>MIN(I42:I43)</f>
        <v>0.71227705112960749</v>
      </c>
    </row>
    <row r="45" spans="2:10" x14ac:dyDescent="0.25">
      <c r="B45" t="s">
        <v>24</v>
      </c>
      <c r="H45" s="2" t="s">
        <v>23</v>
      </c>
      <c r="I45" s="1">
        <f>ktCalcul*PRd</f>
        <v>52.516405143040799</v>
      </c>
      <c r="J45" t="s">
        <v>1</v>
      </c>
    </row>
    <row r="46" spans="2:10" x14ac:dyDescent="0.25">
      <c r="C46" s="2" t="s">
        <v>22</v>
      </c>
      <c r="D46" s="7">
        <f>4*dGouj</f>
        <v>76</v>
      </c>
      <c r="E46" t="s">
        <v>0</v>
      </c>
    </row>
    <row r="47" spans="2:10" x14ac:dyDescent="0.25">
      <c r="C47" s="3" t="s">
        <v>21</v>
      </c>
      <c r="D47" s="7">
        <f>MIN(Portee/8,(Entraxe-D46/1000)/2)</f>
        <v>1.462</v>
      </c>
      <c r="E47" t="s">
        <v>2</v>
      </c>
      <c r="H47" s="3" t="s">
        <v>20</v>
      </c>
      <c r="I47" s="7">
        <f>INT(Portee*1000/eBac)</f>
        <v>67</v>
      </c>
    </row>
    <row r="48" spans="2:10" x14ac:dyDescent="0.25">
      <c r="C48" s="3" t="s">
        <v>19</v>
      </c>
      <c r="D48" s="7">
        <f>2*D47+D46/1000</f>
        <v>3</v>
      </c>
      <c r="E48" t="s">
        <v>2</v>
      </c>
    </row>
    <row r="49" spans="8:16" x14ac:dyDescent="0.25">
      <c r="H49" s="3" t="s">
        <v>18</v>
      </c>
      <c r="I49" s="4">
        <f>0.85*beffDalle*(EDalle-hBac)*Fck_MPa/GammaC</f>
        <v>2635</v>
      </c>
      <c r="J49" t="s">
        <v>1</v>
      </c>
    </row>
    <row r="50" spans="8:16" x14ac:dyDescent="0.25">
      <c r="H50" s="2" t="s">
        <v>17</v>
      </c>
      <c r="I50" s="4">
        <f>AireP*Fy_MPa/1000/GammaM0</f>
        <v>2717.571350935898</v>
      </c>
      <c r="J50" t="s">
        <v>1</v>
      </c>
    </row>
    <row r="52" spans="8:16" x14ac:dyDescent="0.25">
      <c r="H52" s="3" t="s">
        <v>16</v>
      </c>
    </row>
    <row r="53" spans="8:16" x14ac:dyDescent="0.25">
      <c r="H53" s="3" t="s">
        <v>15</v>
      </c>
      <c r="I53" s="1">
        <f>MIN(I49:I50)/PRdCalcul</f>
        <v>50.174797624151097</v>
      </c>
    </row>
    <row r="55" spans="8:16" x14ac:dyDescent="0.25">
      <c r="H55" s="3" t="s">
        <v>14</v>
      </c>
      <c r="I55" s="5">
        <f>nNerv/2*Nr_Gouj*PRdCalcul/MIN(I49:I50)</f>
        <v>0.66766587183752057</v>
      </c>
      <c r="K55">
        <f>nNerv</f>
        <v>67</v>
      </c>
    </row>
    <row r="56" spans="8:16" x14ac:dyDescent="0.25">
      <c r="H56" s="3" t="s">
        <v>13</v>
      </c>
      <c r="I56" s="5">
        <f>IF(Portee&gt;25,1,MAX(0.4,1-355/Fy_MPa*(0.75-0.03*Portee)))</f>
        <v>0.57399999999999995</v>
      </c>
    </row>
    <row r="58" spans="8:16" x14ac:dyDescent="0.25">
      <c r="H58" s="3" t="s">
        <v>12</v>
      </c>
      <c r="I58" s="1" t="e">
        <f>(EDalle-hBac)*Eta_C</f>
        <v>#NAME?</v>
      </c>
      <c r="J58" t="s">
        <v>0</v>
      </c>
    </row>
    <row r="59" spans="8:16" x14ac:dyDescent="0.25">
      <c r="H59" s="3" t="s">
        <v>11</v>
      </c>
      <c r="I59" s="1">
        <f>I49*Eta</f>
        <v>1759.2995722918668</v>
      </c>
      <c r="J59" t="s">
        <v>1</v>
      </c>
    </row>
    <row r="60" spans="8:16" x14ac:dyDescent="0.25">
      <c r="H60" s="3"/>
    </row>
    <row r="61" spans="8:16" x14ac:dyDescent="0.25">
      <c r="H61" s="8" t="s">
        <v>10</v>
      </c>
      <c r="I61" s="10" t="e">
        <f>#REF!</f>
        <v>#REF!</v>
      </c>
    </row>
    <row r="62" spans="8:16" x14ac:dyDescent="0.25">
      <c r="P62" s="13"/>
    </row>
  </sheetData>
  <pageMargins left="0.25" right="0.25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51</vt:i4>
      </vt:variant>
    </vt:vector>
  </HeadingPairs>
  <TitlesOfParts>
    <vt:vector size="52" baseType="lpstr">
      <vt:lpstr>Feuil1</vt:lpstr>
      <vt:lpstr>AireP</vt:lpstr>
      <vt:lpstr>Alpha</vt:lpstr>
      <vt:lpstr>b0Bac</vt:lpstr>
      <vt:lpstr>b1Bac</vt:lpstr>
      <vt:lpstr>beffDalle</vt:lpstr>
      <vt:lpstr>bf</vt:lpstr>
      <vt:lpstr>dGouj</vt:lpstr>
      <vt:lpstr>E_GPa</vt:lpstr>
      <vt:lpstr>eBac</vt:lpstr>
      <vt:lpstr>Ecm_GPa</vt:lpstr>
      <vt:lpstr>EDalle</vt:lpstr>
      <vt:lpstr>Entraxe</vt:lpstr>
      <vt:lpstr>EspBar</vt:lpstr>
      <vt:lpstr>Eta</vt:lpstr>
      <vt:lpstr>EysGPA</vt:lpstr>
      <vt:lpstr>Fck_MPa</vt:lpstr>
      <vt:lpstr>Fu_Gouj</vt:lpstr>
      <vt:lpstr>Fy_MPa</vt:lpstr>
      <vt:lpstr>fyp</vt:lpstr>
      <vt:lpstr>GammaC</vt:lpstr>
      <vt:lpstr>GammaG</vt:lpstr>
      <vt:lpstr>GammaM0</vt:lpstr>
      <vt:lpstr>GammaM1</vt:lpstr>
      <vt:lpstr>GammaQ</vt:lpstr>
      <vt:lpstr>GammaV</vt:lpstr>
      <vt:lpstr>hBac</vt:lpstr>
      <vt:lpstr>hGouj</vt:lpstr>
      <vt:lpstr>Hp</vt:lpstr>
      <vt:lpstr>hw</vt:lpstr>
      <vt:lpstr>InertiePyy</vt:lpstr>
      <vt:lpstr>IsPreperce</vt:lpstr>
      <vt:lpstr>ktCalcul</vt:lpstr>
      <vt:lpstr>MEd</vt:lpstr>
      <vt:lpstr>msurfBac</vt:lpstr>
      <vt:lpstr>nbBar</vt:lpstr>
      <vt:lpstr>nEqArma</vt:lpstr>
      <vt:lpstr>nNerv</vt:lpstr>
      <vt:lpstr>Nr_Gouj</vt:lpstr>
      <vt:lpstr>PhiS</vt:lpstr>
      <vt:lpstr>Portee</vt:lpstr>
      <vt:lpstr>PRd</vt:lpstr>
      <vt:lpstr>PRdCalcul</vt:lpstr>
      <vt:lpstr>qlinELU</vt:lpstr>
      <vt:lpstr>RayC</vt:lpstr>
      <vt:lpstr>tbac</vt:lpstr>
      <vt:lpstr>Tc</vt:lpstr>
      <vt:lpstr>tf</vt:lpstr>
      <vt:lpstr>tw</vt:lpstr>
      <vt:lpstr>Wpl_pro</vt:lpstr>
      <vt:lpstr>zANE</vt:lpstr>
      <vt:lpstr>zArma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2023-10-04T18:56:10Z</dcterms:created>
  <dcterms:modified xsi:type="dcterms:W3CDTF">2023-10-04T19:25:58Z</dcterms:modified>
</cp:coreProperties>
</file>