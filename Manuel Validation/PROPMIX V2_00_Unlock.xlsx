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gdelacourt\Desktop\"/>
    </mc:Choice>
  </mc:AlternateContent>
  <bookViews>
    <workbookView xWindow="0" yWindow="0" windowWidth="28800" windowHeight="10980" firstSheet="1" activeTab="1"/>
  </bookViews>
  <sheets>
    <sheet name="Technique" sheetId="3" state="hidden" r:id="rId1"/>
    <sheet name="Section mixte RCM 2018" sheetId="1" r:id="rId2"/>
    <sheet name="Lisez-Moi" sheetId="4" r:id="rId3"/>
  </sheets>
  <definedNames>
    <definedName name="Aire">'Section mixte RCM 2018'!$D$11</definedName>
    <definedName name="AireM">'Section mixte RCM 2018'!$V$14</definedName>
    <definedName name="AireMixteM">'Section mixte RCM 2018'!$AB$22</definedName>
    <definedName name="Alpha">'Section mixte RCM 2018'!$V$42</definedName>
    <definedName name="Bf">'Section mixte RCM 2018'!$D$7</definedName>
    <definedName name="BfM">'Section mixte RCM 2018'!$V$8</definedName>
    <definedName name="Decal" localSheetId="0">Technique!$AR$3</definedName>
    <definedName name="Decal">'Section mixte RCM 2018'!$AR$3</definedName>
    <definedName name="DeltaAng" localSheetId="0">Technique!$AK$5</definedName>
    <definedName name="DeltaAng">'Section mixte RCM 2018'!$AK$5</definedName>
    <definedName name="Ecm_GPA">'Section mixte RCM 2018'!$I$10</definedName>
    <definedName name="EdalInterne">'Section mixte RCM 2018'!$Z$22</definedName>
    <definedName name="EDalle">'Section mixte RCM 2018'!$D$20</definedName>
    <definedName name="EDalleM">'Section mixte RCM 2018'!$V$22</definedName>
    <definedName name="EDalleMElastic">'Section mixte RCM 2018'!$V$25</definedName>
    <definedName name="Eta">'Section mixte RCM 2018'!$D$19</definedName>
    <definedName name="Ey_GPa">'Section mixte RCM 2018'!$I$7</definedName>
    <definedName name="Fck_MPa">'Section mixte RCM 2018'!$I$11</definedName>
    <definedName name="FckUI">'Section mixte RCM 2018'!$Y$8</definedName>
    <definedName name="Fy_MPa">'Section mixte RCM 2018'!$I$8</definedName>
    <definedName name="FyUI">'Section mixte RCM 2018'!$Y$7</definedName>
    <definedName name="GammaC">'Section mixte RCM 2018'!$I$17</definedName>
    <definedName name="GammaM0">'Section mixte RCM 2018'!$I$16</definedName>
    <definedName name="GammaS">'Section mixte RCM 2018'!$I$18</definedName>
    <definedName name="Hc">'Section mixte RCM 2018'!$D$17</definedName>
    <definedName name="HcM">'Section mixte RCM 2018'!$V$20</definedName>
    <definedName name="Hp">'Section mixte RCM 2018'!$D$6</definedName>
    <definedName name="HpM">'Section mixte RCM 2018'!$V$7</definedName>
    <definedName name="HwUI">'Section mixte RCM 2018'!$V$12</definedName>
    <definedName name="InertieMixteUI">'Section mixte RCM 2018'!$AB$29</definedName>
    <definedName name="InertieY">'Section mixte RCM 2018'!$D$12</definedName>
    <definedName name="IyM">'Section mixte RCM 2018'!$V$16</definedName>
    <definedName name="Iyy">'Section mixte RCM 2018'!$Q$16</definedName>
    <definedName name="kC">'Section mixte RCM 2018'!$Q$15</definedName>
    <definedName name="kUnit" localSheetId="0">Technique!$AI$9</definedName>
    <definedName name="kUnit">'Section mixte RCM 2018'!$AI$9</definedName>
    <definedName name="kUnitAire">'Section mixte RCM 2018'!$U$14</definedName>
    <definedName name="kUnitAireMixte">'Section mixte RCM 2018'!$AC$22</definedName>
    <definedName name="kUnitANE">'Section mixte RCM 2018'!$Z$30</definedName>
    <definedName name="kUnitCM">'Section mixte RCM 2018'!$R$3</definedName>
    <definedName name="kUnitDaNm">'Section mixte RCM 2018'!$AA$3</definedName>
    <definedName name="kUnitEDalle">'Section mixte RCM 2018'!$U$22</definedName>
    <definedName name="kUnitInertie">'Section mixte RCM 2018'!$U$16</definedName>
    <definedName name="kUnitInertieMixte">'Section mixte RCM 2018'!$AB$30</definedName>
    <definedName name="kUnitkNm">'Section mixte RCM 2018'!$AA$4</definedName>
    <definedName name="kUnitM">'Section mixte RCM 2018'!$R$2</definedName>
    <definedName name="kUnitMM">'Section mixte RCM 2018'!$R$4</definedName>
    <definedName name="kUnitMPa">'Section mixte RCM 2018'!$X$2</definedName>
    <definedName name="kUnitMplRdAcier">'Section mixte RCM 2018'!$U$17</definedName>
    <definedName name="kUnitMplRdMixte">'Section mixte RCM 2018'!$AE$18</definedName>
    <definedName name="kUnitNm">'Section mixte RCM 2018'!$AA$2</definedName>
    <definedName name="kUnitWpl">'Section mixte RCM 2018'!$U$15</definedName>
    <definedName name="kUnitzANP">'Section mixte RCM 2018'!$AD$18</definedName>
    <definedName name="kUnitzDalle">'Section mixte RCM 2018'!$U$23</definedName>
    <definedName name="kUnitzFaceSup">'Section mixte RCM 2018'!$U$24</definedName>
    <definedName name="LdalDessin">'Section mixte RCM 2018'!$AO$7</definedName>
    <definedName name="LDalle">'Section mixte RCM 2018'!$D$16</definedName>
    <definedName name="LDalleM">'Section mixte RCM 2018'!$V$19</definedName>
    <definedName name="ListeN">'Section mixte RCM 2018'!$Q$35:$Q$37</definedName>
    <definedName name="MplRdAcier">'Section mixte RCM 2018'!$D$28</definedName>
    <definedName name="MplRdMixte">'Section mixte RCM 2018'!$D$29</definedName>
    <definedName name="MplRdUI">'Section mixte RCM 2018'!$AE$17</definedName>
    <definedName name="MpplRdUI">'Section mixte RCM 2018'!$V$17</definedName>
    <definedName name="MuY">'Section mixte RCM 2018'!$V$13</definedName>
    <definedName name="MyH">'Section mixte RCM 2018'!$AT$5</definedName>
    <definedName name="MyL">'Section mixte RCM 2018'!$AT$4</definedName>
    <definedName name="n0">'Section mixte RCM 2018'!$I$21</definedName>
    <definedName name="NbCong" localSheetId="0">Technique!$AK$4</definedName>
    <definedName name="NbCong">'Section mixte RCM 2018'!$AK$4</definedName>
    <definedName name="nCalcul">'Section mixte RCM 2018'!$I$23</definedName>
    <definedName name="NcUI">'Section mixte RCM 2018'!$V$31</definedName>
    <definedName name="NDalleMax">'Section mixte RCM 2018'!$S$43</definedName>
    <definedName name="NfUI">'Section mixte RCM 2018'!$V$27</definedName>
    <definedName name="NProfMax">'Section mixte RCM 2018'!$S$42</definedName>
    <definedName name="NpUI">'Section mixte RCM 2018'!$V$30</definedName>
    <definedName name="NrUI">'Section mixte RCM 2018'!$V$28</definedName>
    <definedName name="NwUI">'Section mixte RCM 2018'!$V$29</definedName>
    <definedName name="Rcr">'Section mixte RCM 2018'!$D$10</definedName>
    <definedName name="RcrM">'Section mixte RCM 2018'!$V$11</definedName>
    <definedName name="sDec">'Section mixte RCM 2018'!$AT$3</definedName>
    <definedName name="Tbac">'Section mixte RCM 2018'!$D$18</definedName>
    <definedName name="TBacM">'Section mixte RCM 2018'!$V$21</definedName>
    <definedName name="Tf">'Section mixte RCM 2018'!$D$8</definedName>
    <definedName name="TfM">'Section mixte RCM 2018'!$V$9</definedName>
    <definedName name="Tw">'Section mixte RCM 2018'!$D$9</definedName>
    <definedName name="TwM">'Section mixte RCM 2018'!$V$10</definedName>
    <definedName name="UnitAire">'Section mixte RCM 2018'!$E$11</definedName>
    <definedName name="UnitAireMixte">'Section mixte RCM 2018'!$J$28</definedName>
    <definedName name="UnitBf">'Section mixte RCM 2018'!$E$7</definedName>
    <definedName name="UnitCM">'Section mixte RCM 2018'!$Q$3</definedName>
    <definedName name="UnitCM2">'Section mixte RCM 2018'!$S$3</definedName>
    <definedName name="UnitCM3">'Section mixte RCM 2018'!$T$3</definedName>
    <definedName name="UnitCM4">'Section mixte RCM 2018'!$U$3</definedName>
    <definedName name="UnitDaNm">'Section mixte RCM 2018'!$Z$3</definedName>
    <definedName name="UnitDim">'Section mixte RCM 2018'!$Q$2:$Q$4</definedName>
    <definedName name="UnitDim2">'Section mixte RCM 2018'!$S$2:$S$4</definedName>
    <definedName name="UnitDim3">'Section mixte RCM 2018'!$T$2:$T$4</definedName>
    <definedName name="UnitDim4">'Section mixte RCM 2018'!$U$2:$U$4</definedName>
    <definedName name="UnitEDalle">'Section mixte RCM 2018'!$E$20</definedName>
    <definedName name="UniteZANEMixte">'Section mixte RCM 2018'!$J$30</definedName>
    <definedName name="UnitHc">'Section mixte RCM 2018'!$E$17</definedName>
    <definedName name="UnitHp">'Section mixte RCM 2018'!$E$6</definedName>
    <definedName name="UnitInertie">'Section mixte RCM 2018'!$E$12</definedName>
    <definedName name="UnitInertieMixte">'Section mixte RCM 2018'!$J$29</definedName>
    <definedName name="UnitkNm">'Section mixte RCM 2018'!$Z$4</definedName>
    <definedName name="UnitLDalle">'Section mixte RCM 2018'!$E$16</definedName>
    <definedName name="UnitM">'Section mixte RCM 2018'!$Q$2</definedName>
    <definedName name="UnitM2">'Section mixte RCM 2018'!$S$2</definedName>
    <definedName name="UnitM3">'Section mixte RCM 2018'!$T$2</definedName>
    <definedName name="UnitM4">'Section mixte RCM 2018'!$U$2</definedName>
    <definedName name="UnitMM">'Section mixte RCM 2018'!$Q$4</definedName>
    <definedName name="UnitMM2">'Section mixte RCM 2018'!$S$4</definedName>
    <definedName name="UnitMM3">'Section mixte RCM 2018'!$T$4</definedName>
    <definedName name="UnitMoment">'Section mixte RCM 2018'!$Z$2:$Z$4</definedName>
    <definedName name="UnitMplRdAcier">'Section mixte RCM 2018'!$E$28</definedName>
    <definedName name="UnitMplRdMixte">'Section mixte RCM 2018'!$E$29</definedName>
    <definedName name="UnitNm">'Section mixte RCM 2018'!$Z$2</definedName>
    <definedName name="UnitRc">'Section mixte RCM 2018'!$E$10</definedName>
    <definedName name="UnitTBac">'Section mixte RCM 2018'!$E$18</definedName>
    <definedName name="UnitTf">'Section mixte RCM 2018'!$E$8</definedName>
    <definedName name="UnitTw">'Section mixte RCM 2018'!$E$9</definedName>
    <definedName name="UnitWplY">'Section mixte RCM 2018'!$E$13</definedName>
    <definedName name="UnitZAnp">'Section mixte RCM 2018'!$E$30</definedName>
    <definedName name="UnitzDalle">'Section mixte RCM 2018'!$E$21</definedName>
    <definedName name="UnitzFaceSup">'Section mixte RCM 2018'!$E$22</definedName>
    <definedName name="VariableDn">'Section mixte RCM 2018'!$AB$23</definedName>
    <definedName name="WplM">'Section mixte RCM 2018'!$V$15</definedName>
    <definedName name="WplY">'Section mixte RCM 2018'!$D$13</definedName>
    <definedName name="Xmax">'Section mixte RCM 2018'!$AR$4</definedName>
    <definedName name="Xmin">'Section mixte RCM 2018'!$AR$5</definedName>
    <definedName name="yDec">'Section mixte RCM 2018'!$AT$6</definedName>
    <definedName name="Ymax">'Section mixte RCM 2018'!$AR$6</definedName>
    <definedName name="Ymin" localSheetId="0">Technique!$AR$7</definedName>
    <definedName name="Ymin">'Section mixte RCM 2018'!$AR$7</definedName>
    <definedName name="zANEDalleM">'Section mixte RCM 2018'!$Z$26</definedName>
    <definedName name="zANEUI">'Section mixte RCM 2018'!$Z$29</definedName>
    <definedName name="zANPMixte">'Section mixte RCM 2018'!$D$30</definedName>
    <definedName name="zANPUI">'Section mixte RCM 2018'!$AD$17</definedName>
    <definedName name="zDalle">'Section mixte RCM 2018'!$D$21</definedName>
    <definedName name="zDalleM">'Section mixte RCM 2018'!$V$23</definedName>
    <definedName name="zFaceSup">'Section mixte RCM 2018'!$D$22</definedName>
    <definedName name="zFaceSupM">'Section mixte RCM 2018'!$V$24</definedName>
    <definedName name="zInterne">'Section mixte RCM 2018'!$Z$25</definedName>
    <definedName name="_xlnm.Print_Area" localSheetId="1">'Section mixte RCM 2018'!$A$1:$K$50</definedName>
    <definedName name="_xlnm.Print_Area" localSheetId="0">Technique!$AG$1:$AG$50</definedName>
    <definedName name="zPM">'Section mixte RCM 2018'!$Z$23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4" i="1" l="1"/>
  <c r="I10" i="1"/>
  <c r="I21" i="1"/>
  <c r="E4" i="4" l="1"/>
  <c r="B4" i="4"/>
  <c r="U25" i="1" l="1"/>
  <c r="O8" i="1" l="1"/>
  <c r="AK5" i="1" l="1"/>
  <c r="AJ43" i="1"/>
  <c r="AJ43" i="3"/>
  <c r="AK5" i="3"/>
  <c r="AC22" i="1" l="1"/>
  <c r="AB30" i="1"/>
  <c r="Z30" i="1"/>
  <c r="P32" i="1" l="1"/>
  <c r="AD18" i="1"/>
  <c r="AE18" i="1"/>
  <c r="U17" i="1"/>
  <c r="X2" i="1"/>
  <c r="Y8" i="1" s="1"/>
  <c r="Y7" i="1" l="1"/>
  <c r="U22" i="1"/>
  <c r="U23" i="1"/>
  <c r="U24" i="1"/>
  <c r="U21" i="1"/>
  <c r="V21" i="1" s="1"/>
  <c r="U20" i="1"/>
  <c r="V20" i="1" s="1"/>
  <c r="U19" i="1"/>
  <c r="V19" i="1" s="1"/>
  <c r="U16" i="1"/>
  <c r="U15" i="1"/>
  <c r="U14" i="1"/>
  <c r="U9" i="1"/>
  <c r="U10" i="1"/>
  <c r="U11" i="1"/>
  <c r="U8" i="1"/>
  <c r="U7" i="1"/>
  <c r="V25" i="1" l="1"/>
  <c r="S43" i="1"/>
  <c r="Z22" i="1"/>
  <c r="V11" i="1"/>
  <c r="V9" i="1"/>
  <c r="V8" i="1"/>
  <c r="V7" i="1"/>
  <c r="V10" i="1"/>
  <c r="AI19" i="1" l="1"/>
  <c r="AI34" i="1" s="1"/>
  <c r="AK19" i="1"/>
  <c r="AI13" i="1"/>
  <c r="AJ12" i="1"/>
  <c r="AJ13" i="1" s="1"/>
  <c r="AJ41" i="1"/>
  <c r="AR6" i="1"/>
  <c r="AO7" i="1"/>
  <c r="AJ19" i="1"/>
  <c r="AJ34" i="1" s="1"/>
  <c r="AP24" i="1"/>
  <c r="AJ26" i="1"/>
  <c r="AJ27" i="1" s="1"/>
  <c r="AP28" i="1"/>
  <c r="AP29" i="1" s="1"/>
  <c r="AP11" i="1"/>
  <c r="AL19" i="1"/>
  <c r="AJ25" i="1"/>
  <c r="AJ28" i="1" s="1"/>
  <c r="AI41" i="1"/>
  <c r="AI42" i="1" s="1"/>
  <c r="AI43" i="1" s="1"/>
  <c r="AI27" i="1"/>
  <c r="AI28" i="1" s="1"/>
  <c r="AI11" i="1"/>
  <c r="AI12" i="1" s="1"/>
  <c r="AI25" i="1"/>
  <c r="AI26" i="1" s="1"/>
  <c r="AJ41" i="3"/>
  <c r="AJ12" i="3"/>
  <c r="AJ13" i="3" s="1"/>
  <c r="AI25" i="3"/>
  <c r="AI26" i="3" s="1"/>
  <c r="AI27" i="3"/>
  <c r="AI28" i="3" s="1"/>
  <c r="AI11" i="3"/>
  <c r="AI12" i="3" s="1"/>
  <c r="AI41" i="3"/>
  <c r="AI42" i="3" s="1"/>
  <c r="AI43" i="3" s="1"/>
  <c r="AJ26" i="3"/>
  <c r="AJ27" i="3" s="1"/>
  <c r="AP24" i="3"/>
  <c r="AR6" i="3"/>
  <c r="AJ19" i="3"/>
  <c r="AJ34" i="3" s="1"/>
  <c r="AP28" i="3"/>
  <c r="AP29" i="3" s="1"/>
  <c r="AJ25" i="3"/>
  <c r="AJ28" i="3" s="1"/>
  <c r="AP11" i="3"/>
  <c r="AO7" i="3"/>
  <c r="AL19" i="3"/>
  <c r="AI13" i="3"/>
  <c r="AK19" i="3"/>
  <c r="AI19" i="3"/>
  <c r="AI34" i="3" s="1"/>
  <c r="Z23" i="1"/>
  <c r="V12" i="1"/>
  <c r="V27" i="1"/>
  <c r="V28" i="1"/>
  <c r="V14" i="1"/>
  <c r="D11" i="1" s="1"/>
  <c r="AR4" i="1" l="1"/>
  <c r="AO11" i="1"/>
  <c r="AS19" i="1"/>
  <c r="AJ20" i="1"/>
  <c r="AJ33" i="1" s="1"/>
  <c r="AJ24" i="1"/>
  <c r="AJ29" i="1" s="1"/>
  <c r="AJ22" i="1"/>
  <c r="AJ31" i="1" s="1"/>
  <c r="AJ23" i="1"/>
  <c r="AJ30" i="1" s="1"/>
  <c r="AJ21" i="1"/>
  <c r="AJ32" i="1" s="1"/>
  <c r="AP12" i="1"/>
  <c r="AP17" i="1"/>
  <c r="AL13" i="1"/>
  <c r="AJ40" i="1"/>
  <c r="AK13" i="1"/>
  <c r="AI40" i="1"/>
  <c r="AI20" i="1"/>
  <c r="AI33" i="1" s="1"/>
  <c r="AI24" i="1"/>
  <c r="AI29" i="1" s="1"/>
  <c r="AI22" i="1"/>
  <c r="AI31" i="1" s="1"/>
  <c r="AI23" i="1"/>
  <c r="AI30" i="1" s="1"/>
  <c r="AI21" i="1"/>
  <c r="AI32" i="1" s="1"/>
  <c r="AP21" i="1"/>
  <c r="AP25" i="1"/>
  <c r="AP18" i="1" s="1"/>
  <c r="AP27" i="1"/>
  <c r="AP30" i="1" s="1"/>
  <c r="AP12" i="3"/>
  <c r="AP17" i="3"/>
  <c r="AS19" i="3"/>
  <c r="AO11" i="3"/>
  <c r="AR4" i="3"/>
  <c r="AI24" i="3"/>
  <c r="AI29" i="3" s="1"/>
  <c r="AI20" i="3"/>
  <c r="AI33" i="3" s="1"/>
  <c r="AI22" i="3"/>
  <c r="AI31" i="3" s="1"/>
  <c r="AI21" i="3"/>
  <c r="AI32" i="3" s="1"/>
  <c r="AI23" i="3"/>
  <c r="AI30" i="3" s="1"/>
  <c r="AL13" i="3"/>
  <c r="AJ40" i="3"/>
  <c r="AJ21" i="3"/>
  <c r="AJ32" i="3" s="1"/>
  <c r="AJ22" i="3"/>
  <c r="AJ31" i="3" s="1"/>
  <c r="AJ23" i="3"/>
  <c r="AJ30" i="3" s="1"/>
  <c r="AJ24" i="3"/>
  <c r="AJ29" i="3" s="1"/>
  <c r="AJ20" i="3"/>
  <c r="AJ33" i="3" s="1"/>
  <c r="AI40" i="3"/>
  <c r="AK13" i="3"/>
  <c r="AP27" i="3"/>
  <c r="AP30" i="3" s="1"/>
  <c r="AP21" i="3"/>
  <c r="AP25" i="3"/>
  <c r="AP18" i="3" s="1"/>
  <c r="AB21" i="1"/>
  <c r="V29" i="1"/>
  <c r="Q15" i="1"/>
  <c r="AI16" i="1" l="1"/>
  <c r="AI37" i="1" s="1"/>
  <c r="AI17" i="1"/>
  <c r="AI36" i="1" s="1"/>
  <c r="AI15" i="1"/>
  <c r="AI38" i="1" s="1"/>
  <c r="AI14" i="1"/>
  <c r="AI39" i="1" s="1"/>
  <c r="AI18" i="1"/>
  <c r="AI35" i="1" s="1"/>
  <c r="AJ16" i="1"/>
  <c r="AJ37" i="1" s="1"/>
  <c r="AJ15" i="1"/>
  <c r="AJ38" i="1" s="1"/>
  <c r="AJ17" i="1"/>
  <c r="AJ36" i="1" s="1"/>
  <c r="AJ18" i="1"/>
  <c r="AJ35" i="1" s="1"/>
  <c r="AJ14" i="1"/>
  <c r="AJ39" i="1" s="1"/>
  <c r="AS20" i="1"/>
  <c r="AS24" i="1" s="1"/>
  <c r="AS23" i="1"/>
  <c r="AO24" i="1"/>
  <c r="AO12" i="1"/>
  <c r="AO15" i="1"/>
  <c r="AO18" i="1" s="1"/>
  <c r="AO17" i="1"/>
  <c r="AP20" i="1"/>
  <c r="AR5" i="1"/>
  <c r="AT4" i="1" s="1"/>
  <c r="AR5" i="3"/>
  <c r="AO24" i="3"/>
  <c r="AO12" i="3"/>
  <c r="AO15" i="3"/>
  <c r="AO18" i="3" s="1"/>
  <c r="AO17" i="3"/>
  <c r="AI17" i="3"/>
  <c r="AI36" i="3" s="1"/>
  <c r="AI18" i="3"/>
  <c r="AI35" i="3" s="1"/>
  <c r="AI16" i="3"/>
  <c r="AI37" i="3" s="1"/>
  <c r="AI14" i="3"/>
  <c r="AI39" i="3" s="1"/>
  <c r="AI15" i="3"/>
  <c r="AI38" i="3" s="1"/>
  <c r="AJ14" i="3"/>
  <c r="AJ39" i="3" s="1"/>
  <c r="AJ17" i="3"/>
  <c r="AJ36" i="3" s="1"/>
  <c r="AJ15" i="3"/>
  <c r="AJ38" i="3" s="1"/>
  <c r="AJ16" i="3"/>
  <c r="AJ37" i="3" s="1"/>
  <c r="AJ18" i="3"/>
  <c r="AJ35" i="3" s="1"/>
  <c r="AS20" i="3"/>
  <c r="AS24" i="3" s="1"/>
  <c r="AS23" i="3"/>
  <c r="AP20" i="3"/>
  <c r="V30" i="1"/>
  <c r="S42" i="1" s="1"/>
  <c r="V42" i="1" s="1"/>
  <c r="V22" i="1" s="1"/>
  <c r="AP14" i="1" s="1"/>
  <c r="AP15" i="1" s="1"/>
  <c r="V16" i="1"/>
  <c r="V13" i="1"/>
  <c r="V15" i="1" s="1"/>
  <c r="D13" i="1" s="1"/>
  <c r="AP14" i="3" l="1"/>
  <c r="AP15" i="3" s="1"/>
  <c r="V31" i="1"/>
  <c r="Z16" i="1" s="1"/>
  <c r="AA16" i="1" s="1"/>
  <c r="AB16" i="1" s="1"/>
  <c r="V23" i="1"/>
  <c r="D20" i="1"/>
  <c r="AT4" i="3"/>
  <c r="AU4" i="3" s="1"/>
  <c r="AO20" i="1"/>
  <c r="AO14" i="1"/>
  <c r="AO21" i="1" s="1"/>
  <c r="AO25" i="1"/>
  <c r="AO27" i="1"/>
  <c r="AO28" i="1" s="1"/>
  <c r="AO29" i="1" s="1"/>
  <c r="AO30" i="1" s="1"/>
  <c r="AT3" i="1"/>
  <c r="AS11" i="1" s="1"/>
  <c r="AS12" i="1" s="1"/>
  <c r="AS13" i="1" s="1"/>
  <c r="AS14" i="1" s="1"/>
  <c r="AS15" i="1" s="1"/>
  <c r="AU4" i="1"/>
  <c r="AT5" i="1"/>
  <c r="AO20" i="3"/>
  <c r="AO14" i="3"/>
  <c r="AO21" i="3" s="1"/>
  <c r="AO25" i="3"/>
  <c r="AO27" i="3"/>
  <c r="AO28" i="3" s="1"/>
  <c r="AO29" i="3" s="1"/>
  <c r="AO30" i="3" s="1"/>
  <c r="D12" i="1"/>
  <c r="AC13" i="1"/>
  <c r="AE13" i="1" s="1"/>
  <c r="V17" i="1"/>
  <c r="AA14" i="1" l="1"/>
  <c r="AC14" i="1"/>
  <c r="AD14" i="1" s="1"/>
  <c r="AA15" i="1"/>
  <c r="Z15" i="1"/>
  <c r="AB15" i="1" s="1"/>
  <c r="Z14" i="1"/>
  <c r="AB14" i="1" s="1"/>
  <c r="Z13" i="1"/>
  <c r="AA13" i="1" s="1"/>
  <c r="AB13" i="1" s="1"/>
  <c r="V24" i="1"/>
  <c r="D21" i="1"/>
  <c r="AC15" i="1"/>
  <c r="AD15" i="1" s="1"/>
  <c r="AC16" i="1"/>
  <c r="AD16" i="1" s="1"/>
  <c r="AS11" i="3"/>
  <c r="AS12" i="3" s="1"/>
  <c r="AS13" i="3" s="1"/>
  <c r="AS14" i="3" s="1"/>
  <c r="AS15" i="3" s="1"/>
  <c r="AT5" i="3"/>
  <c r="AU5" i="3" s="1"/>
  <c r="AT3" i="3"/>
  <c r="AE14" i="1"/>
  <c r="AT6" i="1"/>
  <c r="AT11" i="1" s="1"/>
  <c r="AU5" i="1"/>
  <c r="AT6" i="3"/>
  <c r="AD13" i="1"/>
  <c r="D28" i="1"/>
  <c r="AE15" i="1" l="1"/>
  <c r="AE16" i="1"/>
  <c r="AD17" i="1"/>
  <c r="AT19" i="3" s="1"/>
  <c r="AT20" i="3" s="1"/>
  <c r="AT11" i="3"/>
  <c r="AT14" i="3" s="1"/>
  <c r="AT15" i="3" s="1"/>
  <c r="AT14" i="1"/>
  <c r="AT15" i="1" s="1"/>
  <c r="AT12" i="1"/>
  <c r="AT13" i="1" s="1"/>
  <c r="AE17" i="1"/>
  <c r="D29" i="1" s="1"/>
  <c r="Z21" i="1"/>
  <c r="AB22" i="1"/>
  <c r="AE25" i="1" s="1"/>
  <c r="AB23" i="1"/>
  <c r="Z26" i="1" s="1"/>
  <c r="AB26" i="1" s="1"/>
  <c r="D30" i="1" l="1"/>
  <c r="AT19" i="1"/>
  <c r="AT20" i="1" s="1"/>
  <c r="AT12" i="3"/>
  <c r="AT13" i="3" s="1"/>
  <c r="AE26" i="1"/>
  <c r="I28" i="1"/>
  <c r="Z25" i="1"/>
  <c r="AA25" i="1" l="1"/>
  <c r="AB25" i="1"/>
  <c r="AB29" i="1" l="1"/>
  <c r="I29" i="1" s="1"/>
  <c r="Z28" i="1"/>
  <c r="Z29" i="1" s="1"/>
  <c r="AT24" i="1" s="1"/>
  <c r="I30" i="1" l="1"/>
  <c r="L30" i="1" s="1"/>
  <c r="AT23" i="3"/>
  <c r="AT24" i="3"/>
  <c r="AT23" i="1"/>
</calcChain>
</file>

<file path=xl/sharedStrings.xml><?xml version="1.0" encoding="utf-8"?>
<sst xmlns="http://schemas.openxmlformats.org/spreadsheetml/2006/main" count="221" uniqueCount="151">
  <si>
    <t>Profilé métallique</t>
  </si>
  <si>
    <t>Hauteur</t>
  </si>
  <si>
    <t>Largeur de semelle</t>
  </si>
  <si>
    <t>Epaisseur de semelle</t>
  </si>
  <si>
    <t>Epaisseur d'âme</t>
  </si>
  <si>
    <t>Rayon du congé</t>
  </si>
  <si>
    <t>mm</t>
  </si>
  <si>
    <t>Aire</t>
  </si>
  <si>
    <t>mm2</t>
  </si>
  <si>
    <t>cm4</t>
  </si>
  <si>
    <t>cm3</t>
  </si>
  <si>
    <t>MuY</t>
  </si>
  <si>
    <t>Calculs cachés</t>
  </si>
  <si>
    <t>mm3</t>
  </si>
  <si>
    <t>kC</t>
  </si>
  <si>
    <t>Dalle</t>
  </si>
  <si>
    <t>Epaisseur participante</t>
  </si>
  <si>
    <t>Largeur efficace</t>
  </si>
  <si>
    <t>Distance dalle / semelle sup</t>
  </si>
  <si>
    <t>Distance face sup / semelle sup</t>
  </si>
  <si>
    <t>Coefficients partiels</t>
  </si>
  <si>
    <t>Acier</t>
  </si>
  <si>
    <t>Béton</t>
  </si>
  <si>
    <t>Armatures</t>
  </si>
  <si>
    <t>Matérieux</t>
  </si>
  <si>
    <t>Module d'Young</t>
  </si>
  <si>
    <t>Limite d'élasticité</t>
  </si>
  <si>
    <t>Module sécant</t>
  </si>
  <si>
    <t>Résistance à la compression</t>
  </si>
  <si>
    <t>GPa</t>
  </si>
  <si>
    <t>MPa</t>
  </si>
  <si>
    <t>m</t>
  </si>
  <si>
    <t>cm</t>
  </si>
  <si>
    <t>m3</t>
  </si>
  <si>
    <t>m2</t>
  </si>
  <si>
    <t>cm2</t>
  </si>
  <si>
    <t>Wplastique</t>
  </si>
  <si>
    <t>Hauteur totale</t>
  </si>
  <si>
    <t>Hauteur bac ou prédalle</t>
  </si>
  <si>
    <t>Degré de connexion</t>
  </si>
  <si>
    <t>&lt;= 1</t>
  </si>
  <si>
    <t>UI</t>
  </si>
  <si>
    <t>kUnit</t>
  </si>
  <si>
    <t>Inertie</t>
  </si>
  <si>
    <t>m4</t>
  </si>
  <si>
    <t>mm4</t>
  </si>
  <si>
    <t>Largeur dalle</t>
  </si>
  <si>
    <t>Hauteur bac</t>
  </si>
  <si>
    <t>Propriété</t>
  </si>
  <si>
    <t>Profilé</t>
  </si>
  <si>
    <t>Métallique</t>
  </si>
  <si>
    <t>Dimensions</t>
  </si>
  <si>
    <t>Gestion des Unités - Dimensions</t>
  </si>
  <si>
    <t>Résultantes</t>
  </si>
  <si>
    <t>Elémentaires</t>
  </si>
  <si>
    <t>Semelle</t>
  </si>
  <si>
    <t>Zone congé</t>
  </si>
  <si>
    <t>Âme</t>
  </si>
  <si>
    <t>Matériau</t>
  </si>
  <si>
    <t>Fy acier</t>
  </si>
  <si>
    <t>Fck Béton</t>
  </si>
  <si>
    <t>Hauteur âme droite</t>
  </si>
  <si>
    <t>Calcul Plastique</t>
  </si>
  <si>
    <t>ANP Dalle</t>
  </si>
  <si>
    <t>Condition 1</t>
  </si>
  <si>
    <t>Condition 2</t>
  </si>
  <si>
    <t>zANP</t>
  </si>
  <si>
    <t>MPlRd</t>
  </si>
  <si>
    <t>ANP Semelle</t>
  </si>
  <si>
    <t>ANP Congé</t>
  </si>
  <si>
    <t>ANP âme</t>
  </si>
  <si>
    <t>Check</t>
  </si>
  <si>
    <t>zLocal</t>
  </si>
  <si>
    <t>Résistance</t>
  </si>
  <si>
    <t>MpplRd</t>
  </si>
  <si>
    <t>Copyright CTICM</t>
  </si>
  <si>
    <t>PROPMIX</t>
  </si>
  <si>
    <t>Module flexion plastique</t>
  </si>
  <si>
    <t>Propriétés d'une section mixte en flexion positive / axe fort</t>
  </si>
  <si>
    <t>Résistance en flexion</t>
  </si>
  <si>
    <t>Profilé acier seul</t>
  </si>
  <si>
    <t>Section mixte</t>
  </si>
  <si>
    <t>Mpl,Rd</t>
  </si>
  <si>
    <t>kNm</t>
  </si>
  <si>
    <t>par rapport fibre inférieure</t>
  </si>
  <si>
    <t>Gestion  Unités - Pression</t>
  </si>
  <si>
    <t>Gestion Unité Mpl</t>
  </si>
  <si>
    <t>Nm</t>
  </si>
  <si>
    <t>daNm</t>
  </si>
  <si>
    <t>Non utilisé</t>
  </si>
  <si>
    <t>Coefficient d'équivalence acier/béton</t>
  </si>
  <si>
    <t>n0 = Ey / Ecm</t>
  </si>
  <si>
    <t>Coefficient pour le calcul</t>
  </si>
  <si>
    <t>Calcul élastique</t>
  </si>
  <si>
    <t>n</t>
  </si>
  <si>
    <t>Ap</t>
  </si>
  <si>
    <t>Ah</t>
  </si>
  <si>
    <t>Ep béton</t>
  </si>
  <si>
    <t>Hypothèse hors dalle</t>
  </si>
  <si>
    <t>z</t>
  </si>
  <si>
    <t>zP</t>
  </si>
  <si>
    <t>Hypothèse dans dalle</t>
  </si>
  <si>
    <t>dn</t>
  </si>
  <si>
    <t>Valeur affichée</t>
  </si>
  <si>
    <t>zANE</t>
  </si>
  <si>
    <t>Ih</t>
  </si>
  <si>
    <t>Propriétés élastiques homogénéisée</t>
  </si>
  <si>
    <t>www.cticm.com</t>
  </si>
  <si>
    <t>RESULTATS</t>
  </si>
  <si>
    <t>Position AN Elastique</t>
  </si>
  <si>
    <t>Position AN Plastique</t>
  </si>
  <si>
    <t>Représentation graphique</t>
  </si>
  <si>
    <t>Nombre de points pour les congés</t>
  </si>
  <si>
    <t>DeltaAngle</t>
  </si>
  <si>
    <t>rad</t>
  </si>
  <si>
    <t>Centre rayon congé</t>
  </si>
  <si>
    <t>Cadre</t>
  </si>
  <si>
    <t>Xmax</t>
  </si>
  <si>
    <t>Xmin</t>
  </si>
  <si>
    <t>Ymax</t>
  </si>
  <si>
    <t>Ymin</t>
  </si>
  <si>
    <t>Decalage</t>
  </si>
  <si>
    <t>L</t>
  </si>
  <si>
    <t>H</t>
  </si>
  <si>
    <t>yDecal</t>
  </si>
  <si>
    <t>Largeur dalle pour le dessin</t>
  </si>
  <si>
    <t>Facteur H</t>
  </si>
  <si>
    <t>ANP</t>
  </si>
  <si>
    <t>ANE</t>
  </si>
  <si>
    <t>1 x n0</t>
  </si>
  <si>
    <t>2 x n0</t>
  </si>
  <si>
    <t>3 x n0</t>
  </si>
  <si>
    <t>Epaisseur pour les propriétés elas.</t>
  </si>
  <si>
    <t>APPLICATION PROPMIX</t>
  </si>
  <si>
    <t>Calcul d'une poutre mixte sur appuis simples suivant l'EN 1994-1-1.</t>
  </si>
  <si>
    <t>AVERTISSEMENT !</t>
  </si>
  <si>
    <t>Le présent logiciel facilite les travaux d'études dans le cadre de la conception de constructions métalliques.</t>
  </si>
  <si>
    <t>En raison de la complexité des méthodes de calcul, ce logiciel s’adresse exclusivement à des utilisateurs professionnels du domaine de la construction métallique et mixte (qui sont à même de se faire une idée précise de ses possibilités, de ses limites et de son adéquation aux différents cas d’applications pratiques). L’utilisateur l’utilisera donc sous sa propre responsabilité et à ses risques et périls.</t>
  </si>
  <si>
    <t>Ce logiciel est mis à disposition à titre gratuit. Aucun droit n’est conféré à l’utilisateur du présent logiciel dont la propriété et tous droits intellectuels continuent à appartenir exclusivement au CTICM. L’utilisation de ce logiciel ne fait naître aucune obligation de garantie au bénéfice de l’utilisateur, qui s’engage à tenir la CTICM quitte et indemne de tout recours et de tous préjudices directs et/ou indirects découlant notamment d’une utilisation incorrecte ou inappropriée ou d’une utilisation à des fins inadéquates ou inappropriées.</t>
  </si>
  <si>
    <t>EN UTILISANT CETTE APPLICATION, L’UTILISATEUR DECLARE EXPRESSEMENT AVOIR LU ATTENTIVEMENT LE TEXTE FIGURANT CI-DESSUS ET EN ACCEPTER TOUS LES EFFETS JURIDIQUES ET OBLIGATIONS QUI EN DECOULENT POUR LUI.</t>
  </si>
  <si>
    <t>Dans la feuille de calcul, les valeurs à renseigner sont en indiquées par les intitulés en rouge. En outre, les unités indiquées en rouge peuvent être modifiées, aussi bien pour la définition des paramètres que pour l'édition des résultats.</t>
  </si>
  <si>
    <t>Cette application permet le calcul des propriétés élastiques et plastiques d'une section mixte acier-béton. La section est soumise à un moment positif (dalle comprimée).</t>
  </si>
  <si>
    <r>
      <t xml:space="preserve">Les méthodes de calcul programmées sont celles décrites dans l'article de la revue </t>
    </r>
    <r>
      <rPr>
        <i/>
        <sz val="11"/>
        <color theme="1"/>
        <rFont val="Calibri"/>
        <family val="2"/>
        <scheme val="minor"/>
      </rPr>
      <t>Construction Métallique</t>
    </r>
    <r>
      <rPr>
        <sz val="11"/>
        <color theme="1"/>
        <rFont val="Calibri"/>
        <family val="2"/>
        <scheme val="minor"/>
      </rPr>
      <t xml:space="preserve"> no 2018/2 intitulé :</t>
    </r>
  </si>
  <si>
    <t>Position ANP en connexion complète</t>
  </si>
  <si>
    <t>Efforts :</t>
  </si>
  <si>
    <t>Degré de compression</t>
  </si>
  <si>
    <t xml:space="preserve">Profilé </t>
  </si>
  <si>
    <t>α</t>
  </si>
  <si>
    <r>
      <t xml:space="preserve">Version 2.00 Unlock </t>
    </r>
    <r>
      <rPr>
        <i/>
        <sz val="10"/>
        <color rgb="FFFF0000"/>
        <rFont val="Calibri"/>
        <family val="2"/>
        <scheme val="minor"/>
      </rPr>
      <t>(NE PAS DIFFUSER)</t>
    </r>
  </si>
  <si>
    <t>nL</t>
  </si>
  <si>
    <t>%fibre sup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</si>
</sst>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000"/>
    <numFmt numFmtId="166" formatCode="0.0"/>
    <numFmt numFmtId="167" formatCode="0.00000"/>
    <numFmt numFmtId="168" formatCode="0.000"/>
  </numFmts>
  <fonts count="16" x14ac:knownFonts="1">
    <font>
      <sz val="11"/>
      <color theme="1"/>
      <name val="Calibri"/>
      <family val="2"/>
      <scheme val="minor"/>
    </font>
    <font>
      <b/>
      <sz val="11"/>
      <color theme="0"/>
      <name val="Calibri"/>
      <family val="2"/>
      <scheme val="minor"/>
    </font>
    <font>
      <i/>
      <sz val="11"/>
      <color theme="1"/>
      <name val="Calibri"/>
      <family val="2"/>
      <scheme val="minor"/>
    </font>
    <font>
      <sz val="11"/>
      <color rgb="FFC00000"/>
      <name val="Calibri"/>
      <family val="2"/>
      <scheme val="minor"/>
    </font>
    <font>
      <i/>
      <sz val="10"/>
      <color theme="1"/>
      <name val="Calibri"/>
      <family val="2"/>
      <scheme val="minor"/>
    </font>
    <font>
      <i/>
      <sz val="9"/>
      <color theme="1"/>
      <name val="Calibri"/>
      <family val="2"/>
      <scheme val="minor"/>
    </font>
    <font>
      <b/>
      <sz val="11"/>
      <color rgb="FFC00000"/>
      <name val="Calibri"/>
      <family val="2"/>
      <scheme val="minor"/>
    </font>
    <font>
      <i/>
      <sz val="8"/>
      <color theme="1"/>
      <name val="Calibri"/>
      <family val="2"/>
      <scheme val="minor"/>
    </font>
    <font>
      <b/>
      <sz val="11"/>
      <color theme="0" tint="-0.14999847407452621"/>
      <name val="Calibri"/>
      <family val="2"/>
      <scheme val="minor"/>
    </font>
    <font>
      <b/>
      <sz val="12"/>
      <color rgb="FFC00000"/>
      <name val="Calibri"/>
      <family val="2"/>
      <scheme val="minor"/>
    </font>
    <font>
      <u/>
      <sz val="11"/>
      <color theme="10"/>
      <name val="Calibri"/>
      <family val="2"/>
      <scheme val="minor"/>
    </font>
    <font>
      <b/>
      <sz val="14"/>
      <color rgb="FFC00000"/>
      <name val="Calibri"/>
      <family val="2"/>
      <scheme val="minor"/>
    </font>
    <font>
      <sz val="11"/>
      <color rgb="FF0033CC"/>
      <name val="Calibri"/>
      <family val="2"/>
      <scheme val="minor"/>
    </font>
    <font>
      <u/>
      <sz val="11"/>
      <color theme="1"/>
      <name val="Calibri"/>
      <family val="2"/>
      <scheme val="minor"/>
    </font>
    <font>
      <sz val="11"/>
      <color theme="1"/>
      <name val="Calibri"/>
      <family val="2"/>
    </font>
    <font>
      <i/>
      <sz val="10"/>
      <color rgb="FFFF0000"/>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AB8B7"/>
        <bgColor indexed="64"/>
      </patternFill>
    </fill>
    <fill>
      <patternFill patternType="solid">
        <fgColor rgb="FF963634"/>
        <bgColor indexed="64"/>
      </patternFill>
    </fill>
    <fill>
      <patternFill patternType="solid">
        <fgColor rgb="FFDA9694"/>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5A82CA"/>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s>
  <cellStyleXfs count="2">
    <xf numFmtId="0" fontId="0" fillId="0" borderId="0"/>
    <xf numFmtId="0" fontId="10" fillId="0" borderId="0" applyNumberFormat="0" applyFill="0" applyBorder="0" applyAlignment="0" applyProtection="0"/>
  </cellStyleXfs>
  <cellXfs count="133">
    <xf numFmtId="0" fontId="0" fillId="0" borderId="0" xfId="0"/>
    <xf numFmtId="0" fontId="0" fillId="0" borderId="0" xfId="0" applyAlignment="1">
      <alignment horizontal="right"/>
    </xf>
    <xf numFmtId="0" fontId="0" fillId="0" borderId="0" xfId="0" applyAlignment="1">
      <alignment horizontal="right" vertical="center"/>
    </xf>
    <xf numFmtId="0" fontId="0" fillId="0" borderId="0" xfId="0" applyAlignment="1">
      <alignment horizontal="center" vertical="center"/>
    </xf>
    <xf numFmtId="0" fontId="0" fillId="2" borderId="0" xfId="0" applyFill="1"/>
    <xf numFmtId="0" fontId="0" fillId="2" borderId="0" xfId="0" applyFill="1" applyAlignment="1">
      <alignment horizontal="right" vertical="center"/>
    </xf>
    <xf numFmtId="0" fontId="0" fillId="2" borderId="0" xfId="0" applyFill="1" applyAlignment="1">
      <alignment horizontal="right"/>
    </xf>
    <xf numFmtId="0" fontId="2" fillId="0" borderId="0" xfId="0" applyFont="1"/>
    <xf numFmtId="164" fontId="0" fillId="0" borderId="1" xfId="0" applyNumberFormat="1" applyBorder="1" applyAlignment="1">
      <alignment horizontal="center" vertical="center"/>
    </xf>
    <xf numFmtId="0" fontId="0" fillId="4" borderId="1" xfId="0" applyFill="1" applyBorder="1" applyAlignment="1">
      <alignment horizontal="center" vertical="center"/>
    </xf>
    <xf numFmtId="0" fontId="1" fillId="5" borderId="0" xfId="0" applyFont="1" applyFill="1"/>
    <xf numFmtId="1" fontId="0" fillId="4" borderId="1" xfId="0" applyNumberFormat="1" applyFill="1" applyBorder="1" applyAlignment="1">
      <alignment horizontal="center" vertical="center"/>
    </xf>
    <xf numFmtId="0" fontId="2" fillId="2" borderId="0" xfId="0" applyFont="1" applyFill="1" applyAlignment="1">
      <alignment horizontal="right" vertical="center"/>
    </xf>
    <xf numFmtId="0" fontId="0" fillId="3" borderId="0" xfId="0" applyFill="1"/>
    <xf numFmtId="0" fontId="2" fillId="3" borderId="0" xfId="0" applyFont="1" applyFill="1" applyAlignment="1">
      <alignment horizontal="right" vertical="center"/>
    </xf>
    <xf numFmtId="0" fontId="0" fillId="3" borderId="1" xfId="0" applyFill="1" applyBorder="1" applyAlignment="1">
      <alignment horizontal="center" vertical="center"/>
    </xf>
    <xf numFmtId="0" fontId="0" fillId="7" borderId="0" xfId="0" applyFill="1"/>
    <xf numFmtId="0" fontId="0" fillId="7" borderId="0" xfId="0" applyFill="1" applyAlignment="1">
      <alignment horizontal="right" vertical="center"/>
    </xf>
    <xf numFmtId="0" fontId="0" fillId="8" borderId="0" xfId="0" applyFill="1"/>
    <xf numFmtId="0" fontId="0" fillId="8" borderId="0" xfId="0" applyFill="1" applyAlignment="1">
      <alignment horizontal="right" vertical="center"/>
    </xf>
    <xf numFmtId="0" fontId="2" fillId="8" borderId="0" xfId="0" applyFont="1" applyFill="1"/>
    <xf numFmtId="0" fontId="0" fillId="9" borderId="0" xfId="0" applyFill="1"/>
    <xf numFmtId="0" fontId="0" fillId="9" borderId="0" xfId="0" applyFill="1" applyAlignment="1">
      <alignment horizontal="right" vertical="center"/>
    </xf>
    <xf numFmtId="0" fontId="0" fillId="0" borderId="1" xfId="0" applyBorder="1" applyAlignment="1">
      <alignment horizontal="center" vertical="center"/>
    </xf>
    <xf numFmtId="0" fontId="0" fillId="8" borderId="1" xfId="0" applyFill="1" applyBorder="1" applyAlignment="1">
      <alignment horizontal="center" vertical="center"/>
    </xf>
    <xf numFmtId="165"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3" borderId="0" xfId="0" applyFill="1" applyAlignment="1">
      <alignment horizontal="right" vertical="center"/>
    </xf>
    <xf numFmtId="0" fontId="0" fillId="3" borderId="0" xfId="0" applyFill="1" applyAlignment="1">
      <alignment horizontal="right"/>
    </xf>
    <xf numFmtId="0" fontId="0" fillId="10" borderId="0" xfId="0" applyFill="1"/>
    <xf numFmtId="0" fontId="0" fillId="11" borderId="0" xfId="0" applyFill="1"/>
    <xf numFmtId="0" fontId="0" fillId="11" borderId="0" xfId="0" applyFill="1" applyAlignment="1">
      <alignment horizontal="center" vertical="center"/>
    </xf>
    <xf numFmtId="0" fontId="0" fillId="10" borderId="0" xfId="0" applyFill="1" applyBorder="1" applyAlignment="1">
      <alignment horizontal="right" vertical="center"/>
    </xf>
    <xf numFmtId="0" fontId="0" fillId="10" borderId="1" xfId="0" applyFill="1" applyBorder="1" applyAlignment="1">
      <alignment horizontal="center" vertical="center"/>
    </xf>
    <xf numFmtId="0" fontId="0" fillId="12" borderId="0" xfId="0" applyFill="1"/>
    <xf numFmtId="0" fontId="0" fillId="12" borderId="0" xfId="0" applyFill="1" applyAlignment="1">
      <alignment horizontal="right"/>
    </xf>
    <xf numFmtId="0" fontId="0" fillId="12" borderId="0" xfId="0" applyFill="1" applyAlignment="1">
      <alignment horizontal="right" vertical="center"/>
    </xf>
    <xf numFmtId="0" fontId="0" fillId="12" borderId="1" xfId="0" applyFill="1" applyBorder="1" applyAlignment="1">
      <alignment horizontal="center" vertical="center"/>
    </xf>
    <xf numFmtId="1" fontId="0" fillId="10" borderId="1" xfId="0" applyNumberFormat="1" applyFill="1" applyBorder="1" applyAlignment="1">
      <alignment horizontal="center" vertical="center"/>
    </xf>
    <xf numFmtId="0" fontId="0" fillId="13" borderId="0" xfId="0" applyFill="1"/>
    <xf numFmtId="0" fontId="0" fillId="13" borderId="0" xfId="0" applyFill="1" applyAlignment="1">
      <alignment horizontal="center" vertical="center"/>
    </xf>
    <xf numFmtId="0" fontId="0" fillId="13" borderId="0" xfId="0" applyFill="1" applyAlignment="1">
      <alignment horizontal="right"/>
    </xf>
    <xf numFmtId="0" fontId="0" fillId="13" borderId="1" xfId="0" applyFill="1" applyBorder="1" applyAlignment="1">
      <alignment horizontal="center" vertical="center"/>
    </xf>
    <xf numFmtId="167" fontId="0" fillId="13" borderId="1" xfId="0" applyNumberFormat="1" applyFill="1" applyBorder="1" applyAlignment="1">
      <alignment horizontal="center" vertical="center"/>
    </xf>
    <xf numFmtId="1" fontId="0" fillId="13" borderId="1" xfId="0" applyNumberFormat="1" applyFill="1" applyBorder="1" applyAlignment="1">
      <alignment horizontal="center" vertical="center"/>
    </xf>
    <xf numFmtId="0" fontId="0" fillId="14" borderId="1" xfId="0" applyFill="1" applyBorder="1" applyAlignment="1">
      <alignment horizontal="center" vertical="center"/>
    </xf>
    <xf numFmtId="1" fontId="0" fillId="14" borderId="1" xfId="0" applyNumberFormat="1" applyFill="1" applyBorder="1" applyAlignment="1">
      <alignment horizontal="center" vertical="center"/>
    </xf>
    <xf numFmtId="0" fontId="0" fillId="15" borderId="0" xfId="0" applyFill="1"/>
    <xf numFmtId="0" fontId="0" fillId="15" borderId="0" xfId="0" applyFill="1" applyBorder="1" applyAlignment="1">
      <alignment horizontal="right" vertical="center"/>
    </xf>
    <xf numFmtId="0" fontId="0" fillId="15" borderId="1" xfId="0" applyFill="1" applyBorder="1" applyAlignment="1">
      <alignment horizontal="center" vertical="center"/>
    </xf>
    <xf numFmtId="0" fontId="0" fillId="2" borderId="3" xfId="0" applyFill="1" applyBorder="1"/>
    <xf numFmtId="0" fontId="4" fillId="2" borderId="3" xfId="0" applyFont="1" applyFill="1" applyBorder="1" applyAlignment="1">
      <alignment vertical="center"/>
    </xf>
    <xf numFmtId="0" fontId="0" fillId="2" borderId="4" xfId="0" applyFill="1" applyBorder="1"/>
    <xf numFmtId="0" fontId="0" fillId="2" borderId="5" xfId="0" applyFill="1" applyBorder="1"/>
    <xf numFmtId="0" fontId="0" fillId="2" borderId="0" xfId="0" applyFill="1" applyBorder="1"/>
    <xf numFmtId="0" fontId="0" fillId="2" borderId="6" xfId="0" applyFill="1" applyBorder="1"/>
    <xf numFmtId="0" fontId="0" fillId="2" borderId="8" xfId="0" applyFill="1" applyBorder="1"/>
    <xf numFmtId="0" fontId="0" fillId="2" borderId="9" xfId="0" applyFill="1" applyBorder="1"/>
    <xf numFmtId="0" fontId="0" fillId="16" borderId="0" xfId="0" applyFill="1"/>
    <xf numFmtId="0" fontId="0" fillId="16" borderId="0" xfId="0" applyFill="1" applyAlignment="1">
      <alignment horizontal="center" vertical="center"/>
    </xf>
    <xf numFmtId="0" fontId="0" fillId="7" borderId="0" xfId="0" applyFill="1" applyAlignment="1">
      <alignment horizontal="center" vertical="center"/>
    </xf>
    <xf numFmtId="166" fontId="6" fillId="4" borderId="1" xfId="0" applyNumberFormat="1" applyFont="1" applyFill="1" applyBorder="1" applyAlignment="1">
      <alignment horizontal="center" vertical="center"/>
    </xf>
    <xf numFmtId="0" fontId="0" fillId="2" borderId="0" xfId="0" applyFill="1" applyAlignment="1">
      <alignment vertical="center"/>
    </xf>
    <xf numFmtId="14" fontId="5" fillId="2" borderId="3" xfId="0" applyNumberFormat="1" applyFont="1" applyFill="1" applyBorder="1" applyAlignment="1">
      <alignment horizontal="center" vertical="center"/>
    </xf>
    <xf numFmtId="0" fontId="7" fillId="2" borderId="0" xfId="0" applyFont="1" applyFill="1"/>
    <xf numFmtId="167" fontId="0" fillId="0" borderId="0" xfId="0" applyNumberFormat="1" applyAlignment="1">
      <alignment horizontal="center" vertical="center"/>
    </xf>
    <xf numFmtId="164" fontId="0" fillId="0" borderId="0" xfId="0" applyNumberFormat="1" applyAlignment="1">
      <alignment horizontal="center" vertical="center"/>
    </xf>
    <xf numFmtId="167" fontId="0" fillId="0" borderId="1" xfId="0" applyNumberFormat="1" applyBorder="1" applyAlignment="1">
      <alignment horizontal="center" vertical="center"/>
    </xf>
    <xf numFmtId="0" fontId="3" fillId="3" borderId="0" xfId="0" applyFont="1" applyFill="1"/>
    <xf numFmtId="0" fontId="5" fillId="3" borderId="0" xfId="0" applyFont="1" applyFill="1" applyAlignment="1">
      <alignment vertical="center"/>
    </xf>
    <xf numFmtId="0" fontId="8" fillId="5" borderId="0" xfId="0" applyFont="1" applyFill="1"/>
    <xf numFmtId="0" fontId="9" fillId="2" borderId="2" xfId="0" applyFont="1" applyFill="1" applyBorder="1"/>
    <xf numFmtId="0" fontId="4" fillId="2" borderId="7" xfId="0" applyFont="1" applyFill="1" applyBorder="1"/>
    <xf numFmtId="0" fontId="10" fillId="2" borderId="8" xfId="1" applyFill="1" applyBorder="1"/>
    <xf numFmtId="0" fontId="6" fillId="3" borderId="0" xfId="0" applyFont="1" applyFill="1"/>
    <xf numFmtId="0" fontId="3" fillId="2" borderId="0" xfId="0" applyFont="1" applyFill="1" applyAlignment="1">
      <alignment horizontal="right" vertical="center"/>
    </xf>
    <xf numFmtId="0" fontId="0" fillId="17" borderId="1" xfId="0" applyFill="1" applyBorder="1" applyAlignment="1">
      <alignment horizontal="center" vertical="center"/>
    </xf>
    <xf numFmtId="0" fontId="0" fillId="3" borderId="0" xfId="0" applyFill="1" applyAlignment="1">
      <alignment horizontal="center" vertical="center"/>
    </xf>
    <xf numFmtId="0" fontId="0" fillId="18" borderId="0" xfId="0" applyFill="1"/>
    <xf numFmtId="0" fontId="2" fillId="18" borderId="0" xfId="0" applyFont="1" applyFill="1"/>
    <xf numFmtId="0" fontId="2" fillId="18" borderId="0" xfId="0" applyFont="1" applyFill="1" applyAlignment="1">
      <alignment horizontal="center" vertical="center"/>
    </xf>
    <xf numFmtId="168" fontId="0" fillId="0" borderId="0" xfId="0" applyNumberFormat="1" applyAlignment="1">
      <alignment horizontal="center" vertical="center"/>
    </xf>
    <xf numFmtId="0" fontId="0" fillId="19" borderId="0" xfId="0" applyFill="1"/>
    <xf numFmtId="2" fontId="0" fillId="0" borderId="0" xfId="0" applyNumberFormat="1" applyAlignment="1">
      <alignment horizontal="center" vertical="center"/>
    </xf>
    <xf numFmtId="0" fontId="0" fillId="17" borderId="1" xfId="0" applyFill="1" applyBorder="1"/>
    <xf numFmtId="0" fontId="0" fillId="6" borderId="1" xfId="0" applyFill="1" applyBorder="1" applyAlignment="1" applyProtection="1">
      <alignment horizontal="center" vertical="center"/>
      <protection locked="0"/>
    </xf>
    <xf numFmtId="1" fontId="0" fillId="6" borderId="1" xfId="0" applyNumberFormat="1" applyFill="1" applyBorder="1" applyAlignment="1" applyProtection="1">
      <alignment horizontal="center" vertical="center"/>
      <protection locked="0"/>
    </xf>
    <xf numFmtId="0" fontId="3" fillId="2" borderId="0" xfId="0" applyFont="1" applyFill="1" applyProtection="1">
      <protection locked="0"/>
    </xf>
    <xf numFmtId="0" fontId="3" fillId="2" borderId="0" xfId="0" applyFont="1" applyFill="1" applyAlignment="1" applyProtection="1">
      <alignment vertical="center"/>
      <protection locked="0"/>
    </xf>
    <xf numFmtId="2" fontId="0" fillId="6" borderId="1" xfId="0" applyNumberFormat="1" applyFill="1" applyBorder="1" applyAlignment="1" applyProtection="1">
      <alignment horizontal="center" vertical="center"/>
      <protection locked="0"/>
    </xf>
    <xf numFmtId="2" fontId="2" fillId="6" borderId="1" xfId="0" applyNumberFormat="1" applyFont="1" applyFill="1" applyBorder="1" applyAlignment="1" applyProtection="1">
      <alignment horizontal="center" vertical="center"/>
      <protection locked="0"/>
    </xf>
    <xf numFmtId="0" fontId="3" fillId="3" borderId="0" xfId="0" applyFont="1" applyFill="1" applyAlignment="1" applyProtection="1">
      <alignment vertical="center"/>
      <protection locked="0"/>
    </xf>
    <xf numFmtId="0" fontId="3" fillId="3" borderId="0" xfId="0" applyFont="1" applyFill="1" applyProtection="1">
      <protection locked="0"/>
    </xf>
    <xf numFmtId="0" fontId="11" fillId="2" borderId="10" xfId="0" applyFont="1" applyFill="1" applyBorder="1"/>
    <xf numFmtId="0" fontId="0" fillId="2" borderId="11" xfId="0" applyFill="1" applyBorder="1"/>
    <xf numFmtId="0" fontId="0" fillId="2" borderId="12" xfId="0" applyFill="1" applyBorder="1"/>
    <xf numFmtId="0" fontId="4" fillId="2" borderId="13" xfId="0" applyFont="1" applyFill="1" applyBorder="1"/>
    <xf numFmtId="0" fontId="0" fillId="2" borderId="14" xfId="0" applyFill="1" applyBorder="1"/>
    <xf numFmtId="0" fontId="4" fillId="2" borderId="15" xfId="0" applyFont="1" applyFill="1" applyBorder="1"/>
    <xf numFmtId="0" fontId="0" fillId="2" borderId="16" xfId="0" applyFill="1" applyBorder="1"/>
    <xf numFmtId="14" fontId="4" fillId="2" borderId="17" xfId="0" applyNumberFormat="1" applyFont="1" applyFill="1" applyBorder="1"/>
    <xf numFmtId="0" fontId="2" fillId="2" borderId="0" xfId="0" applyFont="1" applyFill="1"/>
    <xf numFmtId="0" fontId="12" fillId="2" borderId="2" xfId="0" applyFont="1" applyFill="1" applyBorder="1"/>
    <xf numFmtId="0" fontId="12" fillId="2" borderId="3" xfId="0" applyFont="1" applyFill="1" applyBorder="1"/>
    <xf numFmtId="0" fontId="12" fillId="2" borderId="4" xfId="0" applyFont="1" applyFill="1" applyBorder="1"/>
    <xf numFmtId="0" fontId="0" fillId="0" borderId="3" xfId="0" applyBorder="1"/>
    <xf numFmtId="0" fontId="0" fillId="20" borderId="18" xfId="0" applyFill="1" applyBorder="1"/>
    <xf numFmtId="0" fontId="0" fillId="20" borderId="19" xfId="0" applyFill="1" applyBorder="1"/>
    <xf numFmtId="0" fontId="0" fillId="20" borderId="20" xfId="0" applyFill="1" applyBorder="1"/>
    <xf numFmtId="0" fontId="13" fillId="20" borderId="21" xfId="0" applyFont="1" applyFill="1" applyBorder="1"/>
    <xf numFmtId="0" fontId="0" fillId="20" borderId="0" xfId="0" applyFill="1" applyBorder="1"/>
    <xf numFmtId="0" fontId="13" fillId="20" borderId="0" xfId="0" applyFont="1" applyFill="1" applyBorder="1"/>
    <xf numFmtId="0" fontId="0" fillId="20" borderId="22" xfId="0" applyFill="1" applyBorder="1"/>
    <xf numFmtId="0" fontId="0" fillId="20" borderId="21" xfId="0" applyFill="1" applyBorder="1" applyAlignment="1">
      <alignment horizontal="right"/>
    </xf>
    <xf numFmtId="0" fontId="0" fillId="20" borderId="0" xfId="0" applyFill="1" applyBorder="1" applyAlignment="1">
      <alignment horizontal="center"/>
    </xf>
    <xf numFmtId="0" fontId="14" fillId="20" borderId="0" xfId="0" applyFont="1" applyFill="1" applyBorder="1" applyAlignment="1">
      <alignment horizontal="right"/>
    </xf>
    <xf numFmtId="0" fontId="0" fillId="20" borderId="23" xfId="0" applyFill="1" applyBorder="1" applyAlignment="1">
      <alignment horizontal="right"/>
    </xf>
    <xf numFmtId="0" fontId="0" fillId="20" borderId="24" xfId="0" applyFill="1" applyBorder="1" applyAlignment="1">
      <alignment horizontal="center"/>
    </xf>
    <xf numFmtId="0" fontId="0" fillId="20" borderId="24" xfId="0" applyFill="1" applyBorder="1" applyAlignment="1">
      <alignment horizontal="right"/>
    </xf>
    <xf numFmtId="0" fontId="0" fillId="20" borderId="24" xfId="0" applyFill="1" applyBorder="1"/>
    <xf numFmtId="0" fontId="0" fillId="20" borderId="25" xfId="0" applyFill="1" applyBorder="1"/>
    <xf numFmtId="168" fontId="0" fillId="20" borderId="1" xfId="0" applyNumberFormat="1" applyFill="1" applyBorder="1" applyAlignment="1">
      <alignment horizontal="center"/>
    </xf>
    <xf numFmtId="0" fontId="0" fillId="2" borderId="0" xfId="0" applyFill="1" applyAlignment="1">
      <alignment horizontal="left" wrapText="1"/>
    </xf>
    <xf numFmtId="0" fontId="0" fillId="2" borderId="0" xfId="0" applyFill="1" applyAlignment="1">
      <alignment horizontal="left" vertical="top" wrapText="1"/>
    </xf>
    <xf numFmtId="0" fontId="12" fillId="2" borderId="5" xfId="0" applyFont="1" applyFill="1" applyBorder="1" applyAlignment="1">
      <alignment horizontal="left" wrapText="1"/>
    </xf>
    <xf numFmtId="0" fontId="12" fillId="2" borderId="0" xfId="0" applyFont="1" applyFill="1" applyBorder="1" applyAlignment="1">
      <alignment horizontal="left" wrapText="1"/>
    </xf>
    <xf numFmtId="0" fontId="12" fillId="2" borderId="6" xfId="0" applyFont="1" applyFill="1" applyBorder="1" applyAlignment="1">
      <alignment horizontal="left" wrapText="1"/>
    </xf>
    <xf numFmtId="0" fontId="12" fillId="2" borderId="7" xfId="0" applyFont="1" applyFill="1" applyBorder="1" applyAlignment="1">
      <alignment horizontal="left" wrapText="1"/>
    </xf>
    <xf numFmtId="0" fontId="12" fillId="2" borderId="8" xfId="0" applyFont="1" applyFill="1" applyBorder="1" applyAlignment="1">
      <alignment horizontal="left" wrapText="1"/>
    </xf>
    <xf numFmtId="0" fontId="12" fillId="2" borderId="9" xfId="0" applyFont="1" applyFill="1" applyBorder="1" applyAlignment="1">
      <alignment horizontal="left" wrapText="1"/>
    </xf>
    <xf numFmtId="164" fontId="0" fillId="4" borderId="1" xfId="0" applyNumberFormat="1" applyFill="1" applyBorder="1" applyAlignment="1">
      <alignment horizontal="center" vertical="center"/>
    </xf>
    <xf numFmtId="168" fontId="0" fillId="6" borderId="1" xfId="0" applyNumberFormat="1" applyFill="1" applyBorder="1" applyAlignment="1" applyProtection="1">
      <alignment horizontal="center" vertical="center"/>
      <protection locked="0"/>
    </xf>
    <xf numFmtId="2" fontId="0" fillId="2" borderId="0" xfId="0" applyNumberFormat="1" applyFill="1"/>
  </cellXfs>
  <cellStyles count="2">
    <cellStyle name="Lien hypertexte" xfId="1" builtinId="8"/>
    <cellStyle name="Normal" xfId="0" builtinId="0"/>
  </cellStyles>
  <dxfs count="8">
    <dxf>
      <numFmt numFmtId="166" formatCode="0.0"/>
    </dxf>
    <dxf>
      <numFmt numFmtId="1" formatCode="0"/>
    </dxf>
    <dxf>
      <numFmt numFmtId="169" formatCode="0.0000E+00"/>
    </dxf>
    <dxf>
      <numFmt numFmtId="2" formatCode="0.00"/>
    </dxf>
    <dxf>
      <numFmt numFmtId="169" formatCode="0.0000E+00"/>
    </dxf>
    <dxf>
      <numFmt numFmtId="168" formatCode="0.000"/>
    </dxf>
    <dxf>
      <numFmt numFmtId="2" formatCode="0.00"/>
    </dxf>
    <dxf>
      <numFmt numFmtId="166" formatCode="0.0"/>
    </dxf>
  </dxfs>
  <tableStyles count="0" defaultTableStyle="TableStyleMedium2" defaultPivotStyle="PivotStyleLight16"/>
  <colors>
    <mruColors>
      <color rgb="FF0033CC"/>
      <color rgb="FFFAB8B7"/>
      <color rgb="FFDA9694"/>
      <color rgb="FF5A82CA"/>
      <color rgb="FF963634"/>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555555555555554E-3"/>
          <c:w val="0.99764814814814817"/>
          <c:h val="0.99294444444444441"/>
        </c:manualLayout>
      </c:layout>
      <c:scatterChart>
        <c:scatterStyle val="lineMarker"/>
        <c:varyColors val="0"/>
        <c:ser>
          <c:idx val="10"/>
          <c:order val="0"/>
          <c:spPr>
            <a:ln w="19050" cap="rnd">
              <a:solidFill>
                <a:schemeClr val="accent5">
                  <a:lumMod val="60000"/>
                </a:schemeClr>
              </a:solidFill>
              <a:round/>
            </a:ln>
            <a:effectLst/>
          </c:spPr>
          <c:marker>
            <c:symbol val="none"/>
          </c:marker>
          <c:dPt>
            <c:idx val="1"/>
            <c:marker>
              <c:symbol val="none"/>
            </c:marker>
            <c:bubble3D val="0"/>
            <c:spPr>
              <a:ln w="9525" cap="rnd">
                <a:solidFill>
                  <a:schemeClr val="bg2">
                    <a:lumMod val="90000"/>
                  </a:schemeClr>
                </a:solidFill>
                <a:prstDash val="sysDash"/>
                <a:round/>
              </a:ln>
              <a:effectLst/>
            </c:spPr>
            <c:extLst>
              <c:ext xmlns:c16="http://schemas.microsoft.com/office/drawing/2014/chart" uri="{C3380CC4-5D6E-409C-BE32-E72D297353CC}">
                <c16:uniqueId val="{0000000F-1D81-40AA-9C6D-447E01310D80}"/>
              </c:ext>
            </c:extLst>
          </c:dPt>
          <c:xVal>
            <c:numRef>
              <c:f>Technique!$AO$29:$AO$30</c:f>
              <c:numCache>
                <c:formatCode>General</c:formatCode>
                <c:ptCount val="2"/>
                <c:pt idx="0">
                  <c:v>-450</c:v>
                </c:pt>
                <c:pt idx="1">
                  <c:v>-450</c:v>
                </c:pt>
              </c:numCache>
            </c:numRef>
          </c:xVal>
          <c:yVal>
            <c:numRef>
              <c:f>Technique!$AP$29:$AP$30</c:f>
              <c:numCache>
                <c:formatCode>General</c:formatCode>
                <c:ptCount val="2"/>
                <c:pt idx="0">
                  <c:v>450</c:v>
                </c:pt>
                <c:pt idx="1">
                  <c:v>508</c:v>
                </c:pt>
              </c:numCache>
            </c:numRef>
          </c:yVal>
          <c:smooth val="0"/>
          <c:extLst>
            <c:ext xmlns:c16="http://schemas.microsoft.com/office/drawing/2014/chart" uri="{C3380CC4-5D6E-409C-BE32-E72D297353CC}">
              <c16:uniqueId val="{0000000A-1D81-40AA-9C6D-447E01310D80}"/>
            </c:ext>
          </c:extLst>
        </c:ser>
        <c:ser>
          <c:idx val="9"/>
          <c:order val="1"/>
          <c:spPr>
            <a:ln w="9525" cap="rnd">
              <a:solidFill>
                <a:schemeClr val="bg1">
                  <a:lumMod val="85000"/>
                </a:schemeClr>
              </a:solidFill>
              <a:prstDash val="sysDash"/>
              <a:round/>
            </a:ln>
            <a:effectLst/>
          </c:spPr>
          <c:marker>
            <c:symbol val="none"/>
          </c:marker>
          <c:xVal>
            <c:numRef>
              <c:f>Technique!$AO$27:$AO$28</c:f>
              <c:numCache>
                <c:formatCode>General</c:formatCode>
                <c:ptCount val="2"/>
                <c:pt idx="0">
                  <c:v>450</c:v>
                </c:pt>
                <c:pt idx="1">
                  <c:v>450</c:v>
                </c:pt>
              </c:numCache>
            </c:numRef>
          </c:xVal>
          <c:yVal>
            <c:numRef>
              <c:f>Technique!$AP$27:$AP$28</c:f>
              <c:numCache>
                <c:formatCode>General</c:formatCode>
                <c:ptCount val="2"/>
                <c:pt idx="0">
                  <c:v>508</c:v>
                </c:pt>
                <c:pt idx="1">
                  <c:v>450</c:v>
                </c:pt>
              </c:numCache>
            </c:numRef>
          </c:yVal>
          <c:smooth val="0"/>
          <c:extLst>
            <c:ext xmlns:c16="http://schemas.microsoft.com/office/drawing/2014/chart" uri="{C3380CC4-5D6E-409C-BE32-E72D297353CC}">
              <c16:uniqueId val="{00000009-1D81-40AA-9C6D-447E01310D80}"/>
            </c:ext>
          </c:extLst>
        </c:ser>
        <c:ser>
          <c:idx val="6"/>
          <c:order val="2"/>
          <c:spPr>
            <a:ln w="19050" cap="rnd">
              <a:solidFill>
                <a:schemeClr val="bg1">
                  <a:lumMod val="85000"/>
                </a:schemeClr>
              </a:solidFill>
              <a:round/>
            </a:ln>
            <a:effectLst/>
          </c:spPr>
          <c:marker>
            <c:symbol val="none"/>
          </c:marker>
          <c:xVal>
            <c:numRef>
              <c:f>Technique!$AO$28:$AO$29</c:f>
              <c:numCache>
                <c:formatCode>General</c:formatCode>
                <c:ptCount val="2"/>
                <c:pt idx="0">
                  <c:v>450</c:v>
                </c:pt>
                <c:pt idx="1">
                  <c:v>-450</c:v>
                </c:pt>
              </c:numCache>
            </c:numRef>
          </c:xVal>
          <c:yVal>
            <c:numRef>
              <c:f>Technique!$AP$28:$AP$29</c:f>
              <c:numCache>
                <c:formatCode>General</c:formatCode>
                <c:ptCount val="2"/>
                <c:pt idx="0">
                  <c:v>450</c:v>
                </c:pt>
                <c:pt idx="1">
                  <c:v>450</c:v>
                </c:pt>
              </c:numCache>
            </c:numRef>
          </c:yVal>
          <c:smooth val="0"/>
          <c:extLst>
            <c:ext xmlns:c16="http://schemas.microsoft.com/office/drawing/2014/chart" uri="{C3380CC4-5D6E-409C-BE32-E72D297353CC}">
              <c16:uniqueId val="{00000006-1D81-40AA-9C6D-447E01310D80}"/>
            </c:ext>
          </c:extLst>
        </c:ser>
        <c:ser>
          <c:idx val="1"/>
          <c:order val="3"/>
          <c:spPr>
            <a:ln w="19050" cap="rnd">
              <a:solidFill>
                <a:schemeClr val="accent2"/>
              </a:solidFill>
              <a:round/>
            </a:ln>
            <a:effectLst/>
          </c:spPr>
          <c:marker>
            <c:symbol val="none"/>
          </c:marker>
          <c:xVal>
            <c:numRef>
              <c:f>Technique!$AO$11:$AO$16</c:f>
              <c:numCache>
                <c:formatCode>General</c:formatCode>
                <c:ptCount val="6"/>
                <c:pt idx="0">
                  <c:v>450</c:v>
                </c:pt>
                <c:pt idx="1">
                  <c:v>-450</c:v>
                </c:pt>
                <c:pt idx="3">
                  <c:v>-450</c:v>
                </c:pt>
                <c:pt idx="4">
                  <c:v>450</c:v>
                </c:pt>
              </c:numCache>
            </c:numRef>
          </c:xVal>
          <c:yVal>
            <c:numRef>
              <c:f>Technique!$AP$11:$AP$16</c:f>
              <c:numCache>
                <c:formatCode>General</c:formatCode>
                <c:ptCount val="6"/>
                <c:pt idx="0">
                  <c:v>570.00000000000011</c:v>
                </c:pt>
                <c:pt idx="1">
                  <c:v>570.00000000000011</c:v>
                </c:pt>
                <c:pt idx="3">
                  <c:v>508.00000000000011</c:v>
                </c:pt>
                <c:pt idx="4">
                  <c:v>508.00000000000011</c:v>
                </c:pt>
              </c:numCache>
            </c:numRef>
          </c:yVal>
          <c:smooth val="0"/>
          <c:extLst>
            <c:ext xmlns:c16="http://schemas.microsoft.com/office/drawing/2014/chart" uri="{C3380CC4-5D6E-409C-BE32-E72D297353CC}">
              <c16:uniqueId val="{00000001-1D81-40AA-9C6D-447E01310D80}"/>
            </c:ext>
          </c:extLst>
        </c:ser>
        <c:ser>
          <c:idx val="2"/>
          <c:order val="4"/>
          <c:spPr>
            <a:ln w="19050" cap="rnd">
              <a:noFill/>
              <a:round/>
            </a:ln>
            <a:effectLst/>
          </c:spPr>
          <c:marker>
            <c:symbol val="none"/>
          </c:marker>
          <c:xVal>
            <c:numRef>
              <c:f>Technique!$AS$11:$AS$15</c:f>
              <c:numCache>
                <c:formatCode>General</c:formatCode>
                <c:ptCount val="5"/>
                <c:pt idx="0">
                  <c:v>-450</c:v>
                </c:pt>
                <c:pt idx="1">
                  <c:v>-450</c:v>
                </c:pt>
                <c:pt idx="2">
                  <c:v>450</c:v>
                </c:pt>
                <c:pt idx="3">
                  <c:v>450</c:v>
                </c:pt>
                <c:pt idx="4">
                  <c:v>-450</c:v>
                </c:pt>
              </c:numCache>
            </c:numRef>
          </c:xVal>
          <c:yVal>
            <c:numRef>
              <c:f>Technique!$AT$11:$AT$15</c:f>
              <c:numCache>
                <c:formatCode>General</c:formatCode>
                <c:ptCount val="5"/>
                <c:pt idx="0">
                  <c:v>-164.99999999999994</c:v>
                </c:pt>
                <c:pt idx="1">
                  <c:v>735</c:v>
                </c:pt>
                <c:pt idx="2">
                  <c:v>735</c:v>
                </c:pt>
                <c:pt idx="3">
                  <c:v>-164.99999999999994</c:v>
                </c:pt>
                <c:pt idx="4">
                  <c:v>-164.99999999999994</c:v>
                </c:pt>
              </c:numCache>
            </c:numRef>
          </c:yVal>
          <c:smooth val="0"/>
          <c:extLst>
            <c:ext xmlns:c16="http://schemas.microsoft.com/office/drawing/2014/chart" uri="{C3380CC4-5D6E-409C-BE32-E72D297353CC}">
              <c16:uniqueId val="{00000002-1D81-40AA-9C6D-447E01310D80}"/>
            </c:ext>
          </c:extLst>
        </c:ser>
        <c:ser>
          <c:idx val="3"/>
          <c:order val="5"/>
          <c:spPr>
            <a:ln w="9525" cap="rnd">
              <a:solidFill>
                <a:schemeClr val="accent2"/>
              </a:solidFill>
              <a:prstDash val="sysDash"/>
              <a:round/>
            </a:ln>
            <a:effectLst/>
          </c:spPr>
          <c:marker>
            <c:symbol val="none"/>
          </c:marker>
          <c:xVal>
            <c:numRef>
              <c:f>Technique!$AO$17:$AO$18</c:f>
              <c:numCache>
                <c:formatCode>General</c:formatCode>
                <c:ptCount val="2"/>
                <c:pt idx="0">
                  <c:v>450</c:v>
                </c:pt>
                <c:pt idx="1">
                  <c:v>450</c:v>
                </c:pt>
              </c:numCache>
            </c:numRef>
          </c:xVal>
          <c:yVal>
            <c:numRef>
              <c:f>Technique!$AP$17:$AP$18</c:f>
              <c:numCache>
                <c:formatCode>General</c:formatCode>
                <c:ptCount val="2"/>
                <c:pt idx="0">
                  <c:v>570.00000000000011</c:v>
                </c:pt>
                <c:pt idx="1">
                  <c:v>508</c:v>
                </c:pt>
              </c:numCache>
            </c:numRef>
          </c:yVal>
          <c:smooth val="0"/>
          <c:extLst>
            <c:ext xmlns:c16="http://schemas.microsoft.com/office/drawing/2014/chart" uri="{C3380CC4-5D6E-409C-BE32-E72D297353CC}">
              <c16:uniqueId val="{00000003-1D81-40AA-9C6D-447E01310D80}"/>
            </c:ext>
          </c:extLst>
        </c:ser>
        <c:ser>
          <c:idx val="4"/>
          <c:order val="6"/>
          <c:spPr>
            <a:ln w="9525" cap="rnd">
              <a:solidFill>
                <a:schemeClr val="accent2"/>
              </a:solidFill>
              <a:prstDash val="sysDash"/>
              <a:round/>
            </a:ln>
            <a:effectLst/>
          </c:spPr>
          <c:marker>
            <c:symbol val="none"/>
          </c:marker>
          <c:xVal>
            <c:numRef>
              <c:f>Technique!$AO$20:$AO$21</c:f>
              <c:numCache>
                <c:formatCode>General</c:formatCode>
                <c:ptCount val="2"/>
                <c:pt idx="0">
                  <c:v>-450</c:v>
                </c:pt>
                <c:pt idx="1">
                  <c:v>-450</c:v>
                </c:pt>
              </c:numCache>
            </c:numRef>
          </c:xVal>
          <c:yVal>
            <c:numRef>
              <c:f>Technique!$AP$20:$AP$21</c:f>
              <c:numCache>
                <c:formatCode>General</c:formatCode>
                <c:ptCount val="2"/>
                <c:pt idx="0">
                  <c:v>570.00000000000011</c:v>
                </c:pt>
                <c:pt idx="1">
                  <c:v>508</c:v>
                </c:pt>
              </c:numCache>
            </c:numRef>
          </c:yVal>
          <c:smooth val="0"/>
          <c:extLst>
            <c:ext xmlns:c16="http://schemas.microsoft.com/office/drawing/2014/chart" uri="{C3380CC4-5D6E-409C-BE32-E72D297353CC}">
              <c16:uniqueId val="{00000004-1D81-40AA-9C6D-447E01310D80}"/>
            </c:ext>
          </c:extLst>
        </c:ser>
        <c:ser>
          <c:idx val="5"/>
          <c:order val="7"/>
          <c:spPr>
            <a:ln w="12700" cap="rnd">
              <a:solidFill>
                <a:schemeClr val="accent2"/>
              </a:solidFill>
              <a:prstDash val="sysDash"/>
              <a:round/>
            </a:ln>
            <a:effectLst/>
          </c:spPr>
          <c:marker>
            <c:symbol val="none"/>
          </c:marker>
          <c:xVal>
            <c:numRef>
              <c:f>Technique!$AO$24:$AO$25</c:f>
              <c:numCache>
                <c:formatCode>General</c:formatCode>
                <c:ptCount val="2"/>
                <c:pt idx="0">
                  <c:v>450</c:v>
                </c:pt>
                <c:pt idx="1">
                  <c:v>-450</c:v>
                </c:pt>
              </c:numCache>
            </c:numRef>
          </c:xVal>
          <c:yVal>
            <c:numRef>
              <c:f>Technique!$AP$24:$AP$25</c:f>
              <c:numCache>
                <c:formatCode>General</c:formatCode>
                <c:ptCount val="2"/>
                <c:pt idx="0">
                  <c:v>508</c:v>
                </c:pt>
                <c:pt idx="1">
                  <c:v>508</c:v>
                </c:pt>
              </c:numCache>
            </c:numRef>
          </c:yVal>
          <c:smooth val="0"/>
          <c:extLst>
            <c:ext xmlns:c16="http://schemas.microsoft.com/office/drawing/2014/chart" uri="{C3380CC4-5D6E-409C-BE32-E72D297353CC}">
              <c16:uniqueId val="{00000005-1D81-40AA-9C6D-447E01310D80}"/>
            </c:ext>
          </c:extLst>
        </c:ser>
        <c:ser>
          <c:idx val="0"/>
          <c:order val="8"/>
          <c:spPr>
            <a:ln w="19050" cap="rnd">
              <a:solidFill>
                <a:schemeClr val="accent1"/>
              </a:solidFill>
              <a:round/>
            </a:ln>
            <a:effectLst/>
          </c:spPr>
          <c:marker>
            <c:symbol val="none"/>
          </c:marker>
          <c:xVal>
            <c:numRef>
              <c:f>Technique!$AI$11:$AI$45</c:f>
              <c:numCache>
                <c:formatCode>General</c:formatCode>
                <c:ptCount val="35"/>
                <c:pt idx="0">
                  <c:v>-95</c:v>
                </c:pt>
                <c:pt idx="1">
                  <c:v>-95</c:v>
                </c:pt>
                <c:pt idx="2">
                  <c:v>-25.7</c:v>
                </c:pt>
                <c:pt idx="3" formatCode="0.000">
                  <c:v>-19.210643118126104</c:v>
                </c:pt>
                <c:pt idx="4" formatCode="0.000">
                  <c:v>-13.356509701858062</c:v>
                </c:pt>
                <c:pt idx="5" formatCode="0.000">
                  <c:v>-8.7106431181261001</c:v>
                </c:pt>
                <c:pt idx="6" formatCode="0.000">
                  <c:v>-5.7278131578017764</c:v>
                </c:pt>
                <c:pt idx="7" formatCode="0.000">
                  <c:v>-4.6999999999999993</c:v>
                </c:pt>
                <c:pt idx="8">
                  <c:v>-4.7</c:v>
                </c:pt>
                <c:pt idx="9" formatCode="0.00">
                  <c:v>-5.7278131578017764</c:v>
                </c:pt>
                <c:pt idx="10" formatCode="0.00">
                  <c:v>-8.7106431181261037</c:v>
                </c:pt>
                <c:pt idx="11" formatCode="0.00">
                  <c:v>-13.356509701858064</c:v>
                </c:pt>
                <c:pt idx="12" formatCode="0.00">
                  <c:v>-19.210643118126104</c:v>
                </c:pt>
                <c:pt idx="13" formatCode="0.00">
                  <c:v>-25.7</c:v>
                </c:pt>
                <c:pt idx="14" formatCode="0.00">
                  <c:v>-95</c:v>
                </c:pt>
                <c:pt idx="15" formatCode="0.00">
                  <c:v>-95</c:v>
                </c:pt>
                <c:pt idx="16">
                  <c:v>95</c:v>
                </c:pt>
                <c:pt idx="17">
                  <c:v>95</c:v>
                </c:pt>
                <c:pt idx="18" formatCode="0.00">
                  <c:v>25.7</c:v>
                </c:pt>
                <c:pt idx="19" formatCode="0.00">
                  <c:v>19.210643118126104</c:v>
                </c:pt>
                <c:pt idx="20" formatCode="0.00">
                  <c:v>13.356509701858064</c:v>
                </c:pt>
                <c:pt idx="21" formatCode="0.00">
                  <c:v>8.7106431181261037</c:v>
                </c:pt>
                <c:pt idx="22" formatCode="0.00">
                  <c:v>5.7278131578017764</c:v>
                </c:pt>
                <c:pt idx="23">
                  <c:v>4.7</c:v>
                </c:pt>
                <c:pt idx="24" formatCode="0.000">
                  <c:v>4.6999999999999993</c:v>
                </c:pt>
                <c:pt idx="25" formatCode="0.00">
                  <c:v>5.7278131578017764</c:v>
                </c:pt>
                <c:pt idx="26" formatCode="0.00">
                  <c:v>8.7106431181261001</c:v>
                </c:pt>
                <c:pt idx="27" formatCode="0.00">
                  <c:v>13.356509701858062</c:v>
                </c:pt>
                <c:pt idx="28" formatCode="0.00">
                  <c:v>19.210643118126104</c:v>
                </c:pt>
                <c:pt idx="29">
                  <c:v>25.7</c:v>
                </c:pt>
                <c:pt idx="30">
                  <c:v>95</c:v>
                </c:pt>
                <c:pt idx="31">
                  <c:v>95</c:v>
                </c:pt>
                <c:pt idx="32">
                  <c:v>-95</c:v>
                </c:pt>
              </c:numCache>
            </c:numRef>
          </c:xVal>
          <c:yVal>
            <c:numRef>
              <c:f>Technique!$AJ$11:$AJ$45</c:f>
              <c:numCache>
                <c:formatCode>General</c:formatCode>
                <c:ptCount val="35"/>
                <c:pt idx="0">
                  <c:v>0</c:v>
                </c:pt>
                <c:pt idx="1">
                  <c:v>14.6</c:v>
                </c:pt>
                <c:pt idx="2">
                  <c:v>14.6</c:v>
                </c:pt>
                <c:pt idx="3" formatCode="0.00000">
                  <c:v>15.627813157801778</c:v>
                </c:pt>
                <c:pt idx="4" formatCode="0.00000">
                  <c:v>18.610643118126102</c:v>
                </c:pt>
                <c:pt idx="5" formatCode="0.00000">
                  <c:v>23.256509701858064</c:v>
                </c:pt>
                <c:pt idx="6" formatCode="0.00000">
                  <c:v>29.110643118126106</c:v>
                </c:pt>
                <c:pt idx="7" formatCode="0.00000">
                  <c:v>35.6</c:v>
                </c:pt>
                <c:pt idx="8">
                  <c:v>414.4</c:v>
                </c:pt>
                <c:pt idx="9" formatCode="0.00">
                  <c:v>420.88935688187388</c:v>
                </c:pt>
                <c:pt idx="10" formatCode="0.00">
                  <c:v>426.74349029814192</c:v>
                </c:pt>
                <c:pt idx="11" formatCode="0.00">
                  <c:v>431.38935688187388</c:v>
                </c:pt>
                <c:pt idx="12" formatCode="0.00">
                  <c:v>434.37218684219818</c:v>
                </c:pt>
                <c:pt idx="13" formatCode="0.00">
                  <c:v>435.4</c:v>
                </c:pt>
                <c:pt idx="14" formatCode="0.00">
                  <c:v>435.40000000000003</c:v>
                </c:pt>
                <c:pt idx="15" formatCode="0.00">
                  <c:v>450</c:v>
                </c:pt>
                <c:pt idx="16" formatCode="0.00">
                  <c:v>450</c:v>
                </c:pt>
                <c:pt idx="17" formatCode="0.00">
                  <c:v>435.40000000000003</c:v>
                </c:pt>
                <c:pt idx="18" formatCode="0.00">
                  <c:v>435.4</c:v>
                </c:pt>
                <c:pt idx="19" formatCode="0.00">
                  <c:v>434.37218684219818</c:v>
                </c:pt>
                <c:pt idx="20" formatCode="0.00">
                  <c:v>431.38935688187388</c:v>
                </c:pt>
                <c:pt idx="21" formatCode="0.00">
                  <c:v>426.74349029814192</c:v>
                </c:pt>
                <c:pt idx="22" formatCode="0.00">
                  <c:v>420.88935688187388</c:v>
                </c:pt>
                <c:pt idx="23">
                  <c:v>414.4</c:v>
                </c:pt>
                <c:pt idx="24" formatCode="0.00000">
                  <c:v>35.6</c:v>
                </c:pt>
                <c:pt idx="25" formatCode="0.00">
                  <c:v>29.110643118126106</c:v>
                </c:pt>
                <c:pt idx="26" formatCode="0.00">
                  <c:v>23.256509701858064</c:v>
                </c:pt>
                <c:pt idx="27" formatCode="0.00">
                  <c:v>18.610643118126102</c:v>
                </c:pt>
                <c:pt idx="28" formatCode="0.00">
                  <c:v>15.627813157801778</c:v>
                </c:pt>
                <c:pt idx="29">
                  <c:v>14.6</c:v>
                </c:pt>
                <c:pt idx="30">
                  <c:v>14.6</c:v>
                </c:pt>
                <c:pt idx="31">
                  <c:v>0</c:v>
                </c:pt>
                <c:pt idx="32">
                  <c:v>0</c:v>
                </c:pt>
              </c:numCache>
            </c:numRef>
          </c:yVal>
          <c:smooth val="0"/>
          <c:extLst>
            <c:ext xmlns:c16="http://schemas.microsoft.com/office/drawing/2014/chart" uri="{C3380CC4-5D6E-409C-BE32-E72D297353CC}">
              <c16:uniqueId val="{00000000-1D81-40AA-9C6D-447E01310D80}"/>
            </c:ext>
          </c:extLst>
        </c:ser>
        <c:ser>
          <c:idx val="7"/>
          <c:order val="9"/>
          <c:tx>
            <c:v>ANP</c:v>
          </c:tx>
          <c:spPr>
            <a:ln w="19050" cap="rnd">
              <a:solidFill>
                <a:schemeClr val="accent2">
                  <a:lumMod val="60000"/>
                </a:schemeClr>
              </a:solidFill>
              <a:round/>
            </a:ln>
            <a:effectLst/>
          </c:spPr>
          <c:marker>
            <c:symbol val="none"/>
          </c:marker>
          <c:dPt>
            <c:idx val="1"/>
            <c:marker>
              <c:symbol val="none"/>
            </c:marker>
            <c:bubble3D val="0"/>
            <c:spPr>
              <a:ln w="19050" cap="rnd">
                <a:solidFill>
                  <a:srgbClr val="C00000"/>
                </a:solidFill>
                <a:round/>
              </a:ln>
              <a:effectLst/>
            </c:spPr>
            <c:extLst>
              <c:ext xmlns:c16="http://schemas.microsoft.com/office/drawing/2014/chart" uri="{C3380CC4-5D6E-409C-BE32-E72D297353CC}">
                <c16:uniqueId val="{00000010-1D81-40AA-9C6D-447E01310D80}"/>
              </c:ext>
            </c:extLst>
          </c:dPt>
          <c:dLbls>
            <c:dLbl>
              <c:idx val="0"/>
              <c:layout>
                <c:manualLayout>
                  <c:x val="-1.9602777777777778E-2"/>
                  <c:y val="-2.3341666666666667E-3"/>
                </c:manualLayout>
              </c:layout>
              <c:tx>
                <c:rich>
                  <a:bodyPr/>
                  <a:lstStyle/>
                  <a:p>
                    <a:r>
                      <a:rPr lang="en-US"/>
                      <a:t>ANP</a:t>
                    </a:r>
                  </a:p>
                </c:rich>
              </c:tx>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D81-40AA-9C6D-447E01310D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C00000"/>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Technique!$AS$19:$AS$20</c:f>
              <c:numCache>
                <c:formatCode>General</c:formatCode>
                <c:ptCount val="2"/>
                <c:pt idx="0">
                  <c:v>360</c:v>
                </c:pt>
                <c:pt idx="1">
                  <c:v>-360</c:v>
                </c:pt>
              </c:numCache>
            </c:numRef>
          </c:xVal>
          <c:yVal>
            <c:numRef>
              <c:f>Technique!$AT$19:$AT$20</c:f>
              <c:numCache>
                <c:formatCode>General</c:formatCode>
                <c:ptCount val="2"/>
                <c:pt idx="0">
                  <c:v>449.20984353171389</c:v>
                </c:pt>
                <c:pt idx="1">
                  <c:v>449.20984353171389</c:v>
                </c:pt>
              </c:numCache>
            </c:numRef>
          </c:yVal>
          <c:smooth val="0"/>
          <c:extLst>
            <c:ext xmlns:c16="http://schemas.microsoft.com/office/drawing/2014/chart" uri="{C3380CC4-5D6E-409C-BE32-E72D297353CC}">
              <c16:uniqueId val="{00000007-1D81-40AA-9C6D-447E01310D80}"/>
            </c:ext>
          </c:extLst>
        </c:ser>
        <c:ser>
          <c:idx val="8"/>
          <c:order val="10"/>
          <c:tx>
            <c:v>ANE</c:v>
          </c:tx>
          <c:spPr>
            <a:ln w="19050" cap="rnd">
              <a:solidFill>
                <a:srgbClr val="0033CC"/>
              </a:solidFill>
              <a:round/>
            </a:ln>
            <a:effectLst/>
          </c:spPr>
          <c:marker>
            <c:symbol val="none"/>
          </c:marker>
          <c:dLbls>
            <c:dLbl>
              <c:idx val="1"/>
              <c:layout>
                <c:manualLayout>
                  <c:x val="-9.245444444444445E-2"/>
                  <c:y val="-5.2652777777777776E-3"/>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0033CC"/>
                        </a:solidFill>
                        <a:latin typeface="+mn-lt"/>
                        <a:ea typeface="+mn-ea"/>
                        <a:cs typeface="+mn-cs"/>
                      </a:defRPr>
                    </a:pPr>
                    <a:r>
                      <a:rPr lang="en-US">
                        <a:solidFill>
                          <a:srgbClr val="0033CC"/>
                        </a:solidFill>
                      </a:rPr>
                      <a:t>ANE</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33CC"/>
                      </a:solidFill>
                      <a:latin typeface="+mn-lt"/>
                      <a:ea typeface="+mn-ea"/>
                      <a:cs typeface="+mn-cs"/>
                    </a:defRPr>
                  </a:pPr>
                  <a:endParaRPr lang="fr-FR"/>
                </a:p>
              </c:txPr>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1D81-40AA-9C6D-447E01310D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Technique!$AS$23:$AS$24</c:f>
              <c:numCache>
                <c:formatCode>General</c:formatCode>
                <c:ptCount val="2"/>
                <c:pt idx="0">
                  <c:v>360</c:v>
                </c:pt>
                <c:pt idx="1">
                  <c:v>-360</c:v>
                </c:pt>
              </c:numCache>
            </c:numRef>
          </c:xVal>
          <c:yVal>
            <c:numRef>
              <c:f>Technique!$AT$23:$AT$24</c:f>
              <c:numCache>
                <c:formatCode>General</c:formatCode>
                <c:ptCount val="2"/>
                <c:pt idx="0">
                  <c:v>225.00000000591024</c:v>
                </c:pt>
                <c:pt idx="1">
                  <c:v>225.00000000591024</c:v>
                </c:pt>
              </c:numCache>
            </c:numRef>
          </c:yVal>
          <c:smooth val="0"/>
          <c:extLst>
            <c:ext xmlns:c16="http://schemas.microsoft.com/office/drawing/2014/chart" uri="{C3380CC4-5D6E-409C-BE32-E72D297353CC}">
              <c16:uniqueId val="{00000008-1D81-40AA-9C6D-447E01310D80}"/>
            </c:ext>
          </c:extLst>
        </c:ser>
        <c:dLbls>
          <c:showLegendKey val="0"/>
          <c:showVal val="0"/>
          <c:showCatName val="0"/>
          <c:showSerName val="0"/>
          <c:showPercent val="0"/>
          <c:showBubbleSize val="0"/>
        </c:dLbls>
        <c:axId val="1138412975"/>
        <c:axId val="1138416303"/>
      </c:scatterChart>
      <c:valAx>
        <c:axId val="1138412975"/>
        <c:scaling>
          <c:orientation val="minMax"/>
        </c:scaling>
        <c:delete val="1"/>
        <c:axPos val="b"/>
        <c:numFmt formatCode="General" sourceLinked="1"/>
        <c:majorTickMark val="none"/>
        <c:minorTickMark val="none"/>
        <c:tickLblPos val="nextTo"/>
        <c:crossAx val="1138416303"/>
        <c:crosses val="autoZero"/>
        <c:crossBetween val="midCat"/>
      </c:valAx>
      <c:valAx>
        <c:axId val="1138416303"/>
        <c:scaling>
          <c:orientation val="minMax"/>
        </c:scaling>
        <c:delete val="1"/>
        <c:axPos val="l"/>
        <c:numFmt formatCode="General" sourceLinked="1"/>
        <c:majorTickMark val="none"/>
        <c:minorTickMark val="none"/>
        <c:tickLblPos val="nextTo"/>
        <c:crossAx val="11384129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590550</xdr:colOff>
      <xdr:row>31</xdr:row>
      <xdr:rowOff>9524</xdr:rowOff>
    </xdr:from>
    <xdr:to>
      <xdr:col>7</xdr:col>
      <xdr:colOff>304350</xdr:colOff>
      <xdr:row>49</xdr:row>
      <xdr:rowOff>180524</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ticm.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G1:AU60"/>
  <sheetViews>
    <sheetView zoomScaleNormal="100" workbookViewId="0">
      <selection activeCell="AI19" sqref="AI19"/>
    </sheetView>
  </sheetViews>
  <sheetFormatPr baseColWidth="10" defaultRowHeight="15" x14ac:dyDescent="0.25"/>
  <cols>
    <col min="1" max="24" width="1.5703125" customWidth="1"/>
    <col min="25" max="31" width="1.85546875" customWidth="1"/>
    <col min="33" max="33" width="4.42578125" customWidth="1"/>
  </cols>
  <sheetData>
    <row r="1" spans="33:47" x14ac:dyDescent="0.25">
      <c r="AG1" s="4"/>
    </row>
    <row r="2" spans="33:47" x14ac:dyDescent="0.25">
      <c r="AG2" s="4"/>
    </row>
    <row r="3" spans="33:47" x14ac:dyDescent="0.25">
      <c r="AG3" s="4"/>
      <c r="AQ3" t="s">
        <v>121</v>
      </c>
      <c r="AR3" s="76">
        <v>0</v>
      </c>
      <c r="AT3" s="3">
        <f>Decal*AT4</f>
        <v>0</v>
      </c>
    </row>
    <row r="4" spans="33:47" x14ac:dyDescent="0.25">
      <c r="AG4" s="4"/>
      <c r="AJ4" s="2" t="s">
        <v>112</v>
      </c>
      <c r="AK4" s="76">
        <v>6</v>
      </c>
      <c r="AQ4" t="s">
        <v>117</v>
      </c>
      <c r="AR4" s="15">
        <f>MAX(LdalDessin/2,BfM/2*kUnit)</f>
        <v>450</v>
      </c>
      <c r="AS4" s="2" t="s">
        <v>122</v>
      </c>
      <c r="AT4" s="3">
        <f>MAX(Xmax-Xmin,Ymax-Ymin)</f>
        <v>900</v>
      </c>
      <c r="AU4" s="3">
        <f>AT4*Decal+AT4</f>
        <v>900</v>
      </c>
    </row>
    <row r="5" spans="33:47" x14ac:dyDescent="0.25">
      <c r="AG5" s="4"/>
      <c r="AJ5" s="2" t="s">
        <v>113</v>
      </c>
      <c r="AK5" s="33">
        <f>PI()/2/(NbCong-1)</f>
        <v>0.31415926535897931</v>
      </c>
      <c r="AL5" t="s">
        <v>114</v>
      </c>
      <c r="AQ5" t="s">
        <v>118</v>
      </c>
      <c r="AR5" s="15">
        <f>-Xmax</f>
        <v>-450</v>
      </c>
      <c r="AS5" s="2" t="s">
        <v>123</v>
      </c>
      <c r="AT5" s="3">
        <f>AT4</f>
        <v>900</v>
      </c>
      <c r="AU5" s="3">
        <f>AT5*Decal+AT5</f>
        <v>900</v>
      </c>
    </row>
    <row r="6" spans="33:47" x14ac:dyDescent="0.25">
      <c r="AG6" s="4"/>
      <c r="AN6" s="2" t="s">
        <v>126</v>
      </c>
      <c r="AO6" s="76">
        <v>2</v>
      </c>
      <c r="AQ6" t="s">
        <v>119</v>
      </c>
      <c r="AR6" s="15">
        <f>(HpM+HcM)*kUnit</f>
        <v>570.00000000000011</v>
      </c>
      <c r="AS6" s="2" t="s">
        <v>124</v>
      </c>
      <c r="AT6" s="3">
        <f>MyH/2-(Ymax-Ymin)/2</f>
        <v>164.99999999999994</v>
      </c>
    </row>
    <row r="7" spans="33:47" x14ac:dyDescent="0.25">
      <c r="AG7" s="4"/>
      <c r="AN7" s="2" t="s">
        <v>125</v>
      </c>
      <c r="AO7" s="33">
        <f>MIN(AO6*HpM,LDalleM)*kUnit</f>
        <v>900</v>
      </c>
      <c r="AQ7" t="s">
        <v>120</v>
      </c>
      <c r="AR7" s="15">
        <v>0</v>
      </c>
    </row>
    <row r="8" spans="33:47" x14ac:dyDescent="0.25">
      <c r="AG8" s="4"/>
      <c r="AH8" t="s">
        <v>111</v>
      </c>
    </row>
    <row r="9" spans="33:47" x14ac:dyDescent="0.25">
      <c r="AG9" s="4"/>
      <c r="AH9" t="s">
        <v>42</v>
      </c>
      <c r="AI9" s="76">
        <v>1000</v>
      </c>
    </row>
    <row r="10" spans="33:47" x14ac:dyDescent="0.25">
      <c r="AG10" s="4"/>
      <c r="AH10" t="s">
        <v>49</v>
      </c>
      <c r="AN10" t="s">
        <v>15</v>
      </c>
      <c r="AR10" t="s">
        <v>116</v>
      </c>
    </row>
    <row r="11" spans="33:47" x14ac:dyDescent="0.25">
      <c r="AG11" s="4"/>
      <c r="AH11">
        <v>1</v>
      </c>
      <c r="AI11" s="3">
        <f>-BfM/2*kUnit</f>
        <v>-95</v>
      </c>
      <c r="AJ11" s="3">
        <v>0</v>
      </c>
      <c r="AN11">
        <v>1</v>
      </c>
      <c r="AO11" s="3">
        <f>LdalDessin/2</f>
        <v>450</v>
      </c>
      <c r="AP11" s="3">
        <f>(HpM+HcM)*kUnit</f>
        <v>570.00000000000011</v>
      </c>
      <c r="AR11">
        <v>1</v>
      </c>
      <c r="AS11" s="3">
        <f>-MyL/2-sDec</f>
        <v>-450</v>
      </c>
      <c r="AT11" s="3">
        <f>Ymin-sDec-yDec</f>
        <v>-164.99999999999994</v>
      </c>
    </row>
    <row r="12" spans="33:47" x14ac:dyDescent="0.25">
      <c r="AG12" s="4"/>
      <c r="AH12">
        <v>2</v>
      </c>
      <c r="AI12" s="3">
        <f>AI11</f>
        <v>-95</v>
      </c>
      <c r="AJ12" s="3">
        <f>TfM*kUnit</f>
        <v>14.6</v>
      </c>
      <c r="AK12" s="79" t="s">
        <v>115</v>
      </c>
      <c r="AL12" s="79"/>
      <c r="AN12">
        <v>2</v>
      </c>
      <c r="AO12" s="3">
        <f>-AO11</f>
        <v>-450</v>
      </c>
      <c r="AP12" s="3">
        <f>AP11</f>
        <v>570.00000000000011</v>
      </c>
      <c r="AR12">
        <v>2</v>
      </c>
      <c r="AS12" s="3">
        <f>AS11</f>
        <v>-450</v>
      </c>
      <c r="AT12" s="3">
        <f>AT11+MyH+2*sDec</f>
        <v>735</v>
      </c>
    </row>
    <row r="13" spans="33:47" x14ac:dyDescent="0.25">
      <c r="AG13" s="4"/>
      <c r="AH13" s="82">
        <v>3</v>
      </c>
      <c r="AI13" s="3">
        <f>-(TwM/2+RcrM)*kUnit</f>
        <v>-25.7</v>
      </c>
      <c r="AJ13" s="3">
        <f>AJ12</f>
        <v>14.6</v>
      </c>
      <c r="AK13" s="80">
        <f>AI13</f>
        <v>-25.7</v>
      </c>
      <c r="AL13" s="80">
        <f>AJ13+RcrM*kUnit</f>
        <v>35.6</v>
      </c>
      <c r="AN13">
        <v>3</v>
      </c>
      <c r="AR13">
        <v>3</v>
      </c>
      <c r="AS13" s="3">
        <f>-AS12</f>
        <v>450</v>
      </c>
      <c r="AT13" s="3">
        <f>AT12</f>
        <v>735</v>
      </c>
    </row>
    <row r="14" spans="33:47" x14ac:dyDescent="0.25">
      <c r="AG14" s="4"/>
      <c r="AH14" s="78">
        <v>4</v>
      </c>
      <c r="AI14" s="81">
        <f>$AK$13+RcrM*COS(-PI()/2+(AH14-$AH$13)*DeltaAng)*kUnit</f>
        <v>-19.210643118126104</v>
      </c>
      <c r="AJ14" s="65">
        <f>$AL$13+RcrM*SIN(-PI()/2+(AH14-$AH$13)*DeltaAng)*kUnit</f>
        <v>15.627813157801778</v>
      </c>
      <c r="AN14">
        <v>4</v>
      </c>
      <c r="AO14" s="3">
        <f>AO12</f>
        <v>-450</v>
      </c>
      <c r="AP14" s="3">
        <f>AP12-EDalleM*kUnit</f>
        <v>508.00000000000011</v>
      </c>
      <c r="AR14">
        <v>4</v>
      </c>
      <c r="AS14" s="3">
        <f>AS13</f>
        <v>450</v>
      </c>
      <c r="AT14" s="3">
        <f>AT11</f>
        <v>-164.99999999999994</v>
      </c>
    </row>
    <row r="15" spans="33:47" x14ac:dyDescent="0.25">
      <c r="AG15" s="4"/>
      <c r="AH15" s="78">
        <v>5</v>
      </c>
      <c r="AI15" s="81">
        <f>$AK$13+RcrM*COS(-PI()/2+(AH15-$AH$13)*DeltaAng)*kUnit</f>
        <v>-13.356509701858062</v>
      </c>
      <c r="AJ15" s="65">
        <f>$AL$13+RcrM*SIN(-PI()/2+(AH15-$AH$13)*DeltaAng)*kUnit</f>
        <v>18.610643118126102</v>
      </c>
      <c r="AN15">
        <v>5</v>
      </c>
      <c r="AO15" s="3">
        <f>AO11</f>
        <v>450</v>
      </c>
      <c r="AP15" s="3">
        <f>AP14</f>
        <v>508.00000000000011</v>
      </c>
      <c r="AR15">
        <v>5</v>
      </c>
      <c r="AS15" s="3">
        <f>-AS14</f>
        <v>-450</v>
      </c>
      <c r="AT15" s="3">
        <f>AT14</f>
        <v>-164.99999999999994</v>
      </c>
    </row>
    <row r="16" spans="33:47" x14ac:dyDescent="0.25">
      <c r="AG16" s="4"/>
      <c r="AH16" s="78">
        <v>6</v>
      </c>
      <c r="AI16" s="81">
        <f>$AK$13+RcrM*COS(-PI()/2+(AH16-$AH$13)*DeltaAng)*kUnit</f>
        <v>-8.7106431181261001</v>
      </c>
      <c r="AJ16" s="65">
        <f>$AL$13+RcrM*SIN(-PI()/2+(AH16-$AH$13)*DeltaAng)*kUnit</f>
        <v>23.256509701858064</v>
      </c>
      <c r="AN16">
        <v>6</v>
      </c>
      <c r="AO16" s="3"/>
      <c r="AP16" s="3"/>
    </row>
    <row r="17" spans="33:46" x14ac:dyDescent="0.25">
      <c r="AG17" s="4"/>
      <c r="AH17" s="78">
        <v>7</v>
      </c>
      <c r="AI17" s="81">
        <f>$AK$13+RcrM*COS(-PI()/2+(AH17-$AH$13)*DeltaAng)*kUnit</f>
        <v>-5.7278131578017764</v>
      </c>
      <c r="AJ17" s="65">
        <f>$AL$13+RcrM*SIN(-PI()/2+(AH17-$AH$13)*DeltaAng)*kUnit</f>
        <v>29.110643118126106</v>
      </c>
      <c r="AN17">
        <v>7</v>
      </c>
      <c r="AO17" s="3">
        <f>AO11</f>
        <v>450</v>
      </c>
      <c r="AP17" s="3">
        <f>AP11</f>
        <v>570.00000000000011</v>
      </c>
    </row>
    <row r="18" spans="33:46" x14ac:dyDescent="0.25">
      <c r="AG18" s="4"/>
      <c r="AH18" s="78">
        <v>8</v>
      </c>
      <c r="AI18" s="81">
        <f>$AK$13+RcrM*COS(-PI()/2+(AH18-$AH$13)*DeltaAng)*kUnit</f>
        <v>-4.6999999999999993</v>
      </c>
      <c r="AJ18" s="65">
        <f>$AL$13+RcrM*SIN(-PI()/2+(AH18-$AH$13)*DeltaAng)*kUnit</f>
        <v>35.6</v>
      </c>
      <c r="AN18">
        <v>8</v>
      </c>
      <c r="AO18" s="3">
        <f>AO15</f>
        <v>450</v>
      </c>
      <c r="AP18" s="3">
        <f>AP25</f>
        <v>508</v>
      </c>
      <c r="AR18" t="s">
        <v>127</v>
      </c>
      <c r="AS18" s="84">
        <v>0.8</v>
      </c>
    </row>
    <row r="19" spans="33:46" x14ac:dyDescent="0.25">
      <c r="AG19" s="4"/>
      <c r="AH19" s="82">
        <v>9</v>
      </c>
      <c r="AI19" s="3">
        <f>-TwM/2*kUnit</f>
        <v>-4.7</v>
      </c>
      <c r="AJ19" s="3">
        <f>(HpM-TfM-RcrM)*kUnit</f>
        <v>414.4</v>
      </c>
      <c r="AK19" s="80">
        <f>(-TwM/2-RcrM)*kUnit</f>
        <v>-25.7</v>
      </c>
      <c r="AL19" s="80">
        <f>(HpM-TfM-RcrM)*kUnit</f>
        <v>414.4</v>
      </c>
      <c r="AN19">
        <v>9</v>
      </c>
      <c r="AR19">
        <v>1</v>
      </c>
      <c r="AS19">
        <f>LdalDessin/2*AS18</f>
        <v>360</v>
      </c>
      <c r="AT19">
        <f>zANPUI*kUnit</f>
        <v>449.20984353171389</v>
      </c>
    </row>
    <row r="20" spans="33:46" x14ac:dyDescent="0.25">
      <c r="AG20" s="4"/>
      <c r="AH20" s="78">
        <v>10</v>
      </c>
      <c r="AI20" s="83">
        <f>$AK$19+RcrM*kUnit*COS(-PI()/2*0+(AH20-$AH$19)*DeltaAng)</f>
        <v>-5.7278131578017764</v>
      </c>
      <c r="AJ20" s="83">
        <f>$AL$19+RcrM*kUnit*SIN(-PI()/2*0+(AH20-$AH$19)*DeltaAng)</f>
        <v>420.88935688187388</v>
      </c>
      <c r="AN20">
        <v>10</v>
      </c>
      <c r="AO20" s="3">
        <f>AO12</f>
        <v>-450</v>
      </c>
      <c r="AP20" s="3">
        <f>AP12</f>
        <v>570.00000000000011</v>
      </c>
      <c r="AR20">
        <v>2</v>
      </c>
      <c r="AS20">
        <f>-AS19</f>
        <v>-360</v>
      </c>
      <c r="AT20">
        <f>AT19</f>
        <v>449.20984353171389</v>
      </c>
    </row>
    <row r="21" spans="33:46" x14ac:dyDescent="0.25">
      <c r="AG21" s="4"/>
      <c r="AH21" s="78">
        <v>11</v>
      </c>
      <c r="AI21" s="83">
        <f>$AK$19+RcrM*kUnit*COS(-PI()/2*0+(AH21-$AH$19)*DeltaAng)</f>
        <v>-8.7106431181261037</v>
      </c>
      <c r="AJ21" s="83">
        <f>$AL$19+RcrM*kUnit*SIN(-PI()/2*0+(AH21-$AH$19)*DeltaAng)</f>
        <v>426.74349029814192</v>
      </c>
      <c r="AN21">
        <v>11</v>
      </c>
      <c r="AO21" s="3">
        <f>AO14</f>
        <v>-450</v>
      </c>
      <c r="AP21" s="3">
        <f>AP24</f>
        <v>508</v>
      </c>
    </row>
    <row r="22" spans="33:46" x14ac:dyDescent="0.25">
      <c r="AG22" s="4"/>
      <c r="AH22" s="78">
        <v>12</v>
      </c>
      <c r="AI22" s="83">
        <f>$AK$19+RcrM*kUnit*COS(-PI()/2*0+(AH22-$AH$19)*DeltaAng)</f>
        <v>-13.356509701858064</v>
      </c>
      <c r="AJ22" s="83">
        <f>$AL$19+RcrM*kUnit*SIN(-PI()/2*0+(AH22-$AH$19)*DeltaAng)</f>
        <v>431.38935688187388</v>
      </c>
      <c r="AN22">
        <v>12</v>
      </c>
      <c r="AR22" t="s">
        <v>128</v>
      </c>
    </row>
    <row r="23" spans="33:46" x14ac:dyDescent="0.25">
      <c r="AG23" s="4"/>
      <c r="AH23" s="78">
        <v>13</v>
      </c>
      <c r="AI23" s="83">
        <f>$AK$19+RcrM*kUnit*COS(-PI()/2*0+(AH23-$AH$19)*DeltaAng)</f>
        <v>-19.210643118126104</v>
      </c>
      <c r="AJ23" s="83">
        <f>$AL$19+RcrM*kUnit*SIN(-PI()/2*0+(AH23-$AH$19)*DeltaAng)</f>
        <v>434.37218684219818</v>
      </c>
      <c r="AN23">
        <v>13</v>
      </c>
      <c r="AR23">
        <v>1</v>
      </c>
      <c r="AS23">
        <f>AS19</f>
        <v>360</v>
      </c>
      <c r="AT23">
        <f>zANEUI*kUnit</f>
        <v>225.00000000591024</v>
      </c>
    </row>
    <row r="24" spans="33:46" x14ac:dyDescent="0.25">
      <c r="AG24" s="4"/>
      <c r="AH24" s="78">
        <v>14</v>
      </c>
      <c r="AI24" s="83">
        <f>$AK$19+RcrM*kUnit*COS(-PI()/2*0+(AH24-$AH$19)*DeltaAng)</f>
        <v>-25.7</v>
      </c>
      <c r="AJ24" s="83">
        <f>$AL$19+RcrM*kUnit*SIN(-PI()/2*0+(AH24-$AH$19)*DeltaAng)</f>
        <v>435.4</v>
      </c>
      <c r="AN24">
        <v>14</v>
      </c>
      <c r="AO24" s="3">
        <f>AO11</f>
        <v>450</v>
      </c>
      <c r="AP24" s="3">
        <f>(HpM+TBacM)*kUnit</f>
        <v>508</v>
      </c>
      <c r="AR24">
        <v>2</v>
      </c>
      <c r="AS24">
        <f>AS20</f>
        <v>-360</v>
      </c>
      <c r="AT24">
        <f>zANEUI*kUnit</f>
        <v>225.00000000591024</v>
      </c>
    </row>
    <row r="25" spans="33:46" x14ac:dyDescent="0.25">
      <c r="AG25" s="13"/>
      <c r="AH25">
        <v>15</v>
      </c>
      <c r="AI25" s="83">
        <f>-BfM*kUnit/2</f>
        <v>-95</v>
      </c>
      <c r="AJ25" s="83">
        <f>(HpM-TfM)*kUnit</f>
        <v>435.40000000000003</v>
      </c>
      <c r="AN25">
        <v>15</v>
      </c>
      <c r="AO25" s="3">
        <f>-AO24</f>
        <v>-450</v>
      </c>
      <c r="AP25" s="3">
        <f>AP24</f>
        <v>508</v>
      </c>
    </row>
    <row r="26" spans="33:46" x14ac:dyDescent="0.25">
      <c r="AG26" s="13"/>
      <c r="AH26">
        <v>16</v>
      </c>
      <c r="AI26" s="83">
        <f>AI25</f>
        <v>-95</v>
      </c>
      <c r="AJ26" s="83">
        <f>HpM*kUnit</f>
        <v>450</v>
      </c>
      <c r="AN26">
        <v>16</v>
      </c>
    </row>
    <row r="27" spans="33:46" x14ac:dyDescent="0.25">
      <c r="AG27" s="13"/>
      <c r="AH27">
        <v>17</v>
      </c>
      <c r="AI27" s="3">
        <f>BfM*kUnit/2</f>
        <v>95</v>
      </c>
      <c r="AJ27" s="83">
        <f>AJ26</f>
        <v>450</v>
      </c>
      <c r="AN27">
        <v>17</v>
      </c>
      <c r="AO27" s="3">
        <f>AO24</f>
        <v>450</v>
      </c>
      <c r="AP27" s="3">
        <f>AP24</f>
        <v>508</v>
      </c>
    </row>
    <row r="28" spans="33:46" x14ac:dyDescent="0.25">
      <c r="AG28" s="13"/>
      <c r="AH28">
        <v>18</v>
      </c>
      <c r="AI28" s="3">
        <f>AI27</f>
        <v>95</v>
      </c>
      <c r="AJ28" s="83">
        <f>AJ25</f>
        <v>435.40000000000003</v>
      </c>
      <c r="AN28">
        <v>18</v>
      </c>
      <c r="AO28" s="3">
        <f>AO27</f>
        <v>450</v>
      </c>
      <c r="AP28" s="3">
        <f>HpM*kUnit</f>
        <v>450</v>
      </c>
    </row>
    <row r="29" spans="33:46" x14ac:dyDescent="0.25">
      <c r="AG29" s="13"/>
      <c r="AH29" s="82">
        <v>19</v>
      </c>
      <c r="AI29" s="83">
        <f>-AI24</f>
        <v>25.7</v>
      </c>
      <c r="AJ29" s="83">
        <f>AJ24</f>
        <v>435.4</v>
      </c>
      <c r="AN29">
        <v>19</v>
      </c>
      <c r="AO29" s="3">
        <f>-AO28</f>
        <v>-450</v>
      </c>
      <c r="AP29" s="3">
        <f>AP28</f>
        <v>450</v>
      </c>
    </row>
    <row r="30" spans="33:46" x14ac:dyDescent="0.25">
      <c r="AG30" s="13"/>
      <c r="AH30" s="13">
        <v>20</v>
      </c>
      <c r="AI30" s="83">
        <f>-AI23</f>
        <v>19.210643118126104</v>
      </c>
      <c r="AJ30" s="83">
        <f>AJ23</f>
        <v>434.37218684219818</v>
      </c>
      <c r="AN30">
        <v>20</v>
      </c>
      <c r="AO30" s="3">
        <f>AO29</f>
        <v>-450</v>
      </c>
      <c r="AP30" s="3">
        <f>AP27</f>
        <v>508</v>
      </c>
    </row>
    <row r="31" spans="33:46" x14ac:dyDescent="0.25">
      <c r="AG31" s="13"/>
      <c r="AH31" s="13">
        <v>21</v>
      </c>
      <c r="AI31" s="83">
        <f>-AI22</f>
        <v>13.356509701858064</v>
      </c>
      <c r="AJ31" s="83">
        <f>AJ22</f>
        <v>431.38935688187388</v>
      </c>
      <c r="AN31">
        <v>21</v>
      </c>
      <c r="AO31" s="3"/>
      <c r="AP31" s="3"/>
    </row>
    <row r="32" spans="33:46" x14ac:dyDescent="0.25">
      <c r="AG32" s="4"/>
      <c r="AH32" s="13">
        <v>22</v>
      </c>
      <c r="AI32" s="83">
        <f>-AI21</f>
        <v>8.7106431181261037</v>
      </c>
      <c r="AJ32" s="83">
        <f>AJ21</f>
        <v>426.74349029814192</v>
      </c>
      <c r="AN32">
        <v>22</v>
      </c>
      <c r="AO32" s="3"/>
      <c r="AP32" s="3"/>
    </row>
    <row r="33" spans="33:42" x14ac:dyDescent="0.25">
      <c r="AG33" s="4"/>
      <c r="AH33" s="13">
        <v>23</v>
      </c>
      <c r="AI33" s="83">
        <f>-AI20</f>
        <v>5.7278131578017764</v>
      </c>
      <c r="AJ33" s="83">
        <f>AJ20</f>
        <v>420.88935688187388</v>
      </c>
      <c r="AN33">
        <v>23</v>
      </c>
      <c r="AO33" s="3"/>
      <c r="AP33" s="3"/>
    </row>
    <row r="34" spans="33:42" x14ac:dyDescent="0.25">
      <c r="AG34" s="4"/>
      <c r="AH34" s="13">
        <v>24</v>
      </c>
      <c r="AI34" s="3">
        <f>-AI19</f>
        <v>4.7</v>
      </c>
      <c r="AJ34" s="3">
        <f>AJ19</f>
        <v>414.4</v>
      </c>
      <c r="AN34">
        <v>24</v>
      </c>
      <c r="AO34" s="3"/>
      <c r="AP34" s="3"/>
    </row>
    <row r="35" spans="33:42" x14ac:dyDescent="0.25">
      <c r="AG35" s="4"/>
      <c r="AH35" s="82">
        <v>25</v>
      </c>
      <c r="AI35" s="81">
        <f>-AI18</f>
        <v>4.6999999999999993</v>
      </c>
      <c r="AJ35" s="65">
        <f>AJ18</f>
        <v>35.6</v>
      </c>
    </row>
    <row r="36" spans="33:42" x14ac:dyDescent="0.25">
      <c r="AG36" s="4"/>
      <c r="AH36" s="13">
        <v>26</v>
      </c>
      <c r="AI36" s="83">
        <f>-AI17</f>
        <v>5.7278131578017764</v>
      </c>
      <c r="AJ36" s="83">
        <f>AJ17</f>
        <v>29.110643118126106</v>
      </c>
    </row>
    <row r="37" spans="33:42" x14ac:dyDescent="0.25">
      <c r="AG37" s="4"/>
      <c r="AH37" s="13">
        <v>27</v>
      </c>
      <c r="AI37" s="83">
        <f>-AI16</f>
        <v>8.7106431181261001</v>
      </c>
      <c r="AJ37" s="83">
        <f>AJ16</f>
        <v>23.256509701858064</v>
      </c>
    </row>
    <row r="38" spans="33:42" x14ac:dyDescent="0.25">
      <c r="AG38" s="4"/>
      <c r="AH38" s="13">
        <v>28</v>
      </c>
      <c r="AI38" s="83">
        <f>-AI15</f>
        <v>13.356509701858062</v>
      </c>
      <c r="AJ38" s="83">
        <f>AJ15</f>
        <v>18.610643118126102</v>
      </c>
    </row>
    <row r="39" spans="33:42" x14ac:dyDescent="0.25">
      <c r="AG39" s="4"/>
      <c r="AH39" s="13">
        <v>29</v>
      </c>
      <c r="AI39" s="83">
        <f>-AI14</f>
        <v>19.210643118126104</v>
      </c>
      <c r="AJ39" s="83">
        <f>AJ14</f>
        <v>15.627813157801778</v>
      </c>
    </row>
    <row r="40" spans="33:42" x14ac:dyDescent="0.25">
      <c r="AG40" s="4"/>
      <c r="AH40" s="13">
        <v>30</v>
      </c>
      <c r="AI40" s="3">
        <f>-AI13</f>
        <v>25.7</v>
      </c>
      <c r="AJ40" s="3">
        <f>AJ13</f>
        <v>14.6</v>
      </c>
    </row>
    <row r="41" spans="33:42" x14ac:dyDescent="0.25">
      <c r="AG41" s="4"/>
      <c r="AH41">
        <v>31</v>
      </c>
      <c r="AI41" s="3">
        <f>BfM/2*kUnit</f>
        <v>95</v>
      </c>
      <c r="AJ41" s="3">
        <f>TfM*kUnit</f>
        <v>14.6</v>
      </c>
    </row>
    <row r="42" spans="33:42" x14ac:dyDescent="0.25">
      <c r="AG42" s="4"/>
      <c r="AH42">
        <v>32</v>
      </c>
      <c r="AI42" s="3">
        <f>AI41</f>
        <v>95</v>
      </c>
      <c r="AJ42" s="3">
        <v>0</v>
      </c>
    </row>
    <row r="43" spans="33:42" x14ac:dyDescent="0.25">
      <c r="AG43" s="4"/>
      <c r="AH43">
        <v>33</v>
      </c>
      <c r="AI43" s="3">
        <f>-AI42</f>
        <v>-95</v>
      </c>
      <c r="AJ43" s="3">
        <f>AJ42</f>
        <v>0</v>
      </c>
    </row>
    <row r="44" spans="33:42" x14ac:dyDescent="0.25">
      <c r="AG44" s="4"/>
      <c r="AI44" s="3"/>
      <c r="AJ44" s="3"/>
    </row>
    <row r="45" spans="33:42" x14ac:dyDescent="0.25">
      <c r="AG45" s="4"/>
      <c r="AI45" s="3"/>
      <c r="AJ45" s="3"/>
    </row>
    <row r="46" spans="33:42" x14ac:dyDescent="0.25">
      <c r="AG46" s="4"/>
      <c r="AI46" s="3"/>
      <c r="AJ46" s="3"/>
    </row>
    <row r="47" spans="33:42" x14ac:dyDescent="0.25">
      <c r="AG47" s="4"/>
      <c r="AI47" s="3"/>
      <c r="AJ47" s="3"/>
    </row>
    <row r="48" spans="33:42" x14ac:dyDescent="0.25">
      <c r="AG48" s="4"/>
    </row>
    <row r="49" spans="33:33" x14ac:dyDescent="0.25">
      <c r="AG49" s="4"/>
    </row>
    <row r="50" spans="33:33" x14ac:dyDescent="0.25">
      <c r="AG50" s="4"/>
    </row>
    <row r="51" spans="33:33" x14ac:dyDescent="0.25">
      <c r="AG51" s="4"/>
    </row>
    <row r="52" spans="33:33" x14ac:dyDescent="0.25">
      <c r="AG52" s="4"/>
    </row>
    <row r="53" spans="33:33" x14ac:dyDescent="0.25">
      <c r="AG53" s="4"/>
    </row>
    <row r="54" spans="33:33" x14ac:dyDescent="0.25">
      <c r="AG54" s="4"/>
    </row>
    <row r="55" spans="33:33" x14ac:dyDescent="0.25">
      <c r="AG55" s="4"/>
    </row>
    <row r="56" spans="33:33" x14ac:dyDescent="0.25">
      <c r="AG56" s="4"/>
    </row>
    <row r="57" spans="33:33" x14ac:dyDescent="0.25">
      <c r="AG57" s="4"/>
    </row>
    <row r="58" spans="33:33" x14ac:dyDescent="0.25">
      <c r="AG58" s="4"/>
    </row>
    <row r="59" spans="33:33" x14ac:dyDescent="0.25">
      <c r="AG59" s="4"/>
    </row>
    <row r="60" spans="33:33" x14ac:dyDescent="0.25">
      <c r="AG60" s="4"/>
    </row>
  </sheetData>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AV60"/>
  <sheetViews>
    <sheetView tabSelected="1" zoomScale="85" zoomScaleNormal="85" workbookViewId="0">
      <selection activeCell="L38" sqref="L38"/>
    </sheetView>
  </sheetViews>
  <sheetFormatPr baseColWidth="10" defaultRowHeight="15" x14ac:dyDescent="0.25"/>
  <cols>
    <col min="1" max="1" width="4.42578125" customWidth="1"/>
    <col min="5" max="5" width="8" customWidth="1"/>
    <col min="6" max="6" width="4.5703125" customWidth="1"/>
    <col min="9" max="9" width="19" bestFit="1" customWidth="1"/>
    <col min="10" max="10" width="6.42578125" customWidth="1"/>
    <col min="11" max="11" width="5.28515625" customWidth="1"/>
    <col min="12" max="47" width="11.42578125" customWidth="1"/>
    <col min="48" max="48" width="18.28515625" customWidth="1"/>
  </cols>
  <sheetData>
    <row r="1" spans="1:47" ht="15.75" x14ac:dyDescent="0.25">
      <c r="A1" s="4"/>
      <c r="B1" s="71" t="s">
        <v>76</v>
      </c>
      <c r="C1" s="50"/>
      <c r="D1" s="51" t="s">
        <v>148</v>
      </c>
      <c r="E1" s="105"/>
      <c r="F1" s="63"/>
      <c r="H1" s="63">
        <v>45329</v>
      </c>
      <c r="I1" s="50"/>
      <c r="J1" s="52"/>
      <c r="K1" s="4"/>
      <c r="L1" s="4"/>
      <c r="M1" s="4"/>
      <c r="N1" s="4"/>
      <c r="O1" s="4"/>
      <c r="Q1" s="30" t="s">
        <v>52</v>
      </c>
      <c r="R1" s="30"/>
      <c r="S1" s="30"/>
      <c r="T1" s="30"/>
      <c r="U1" s="30"/>
      <c r="W1" s="58" t="s">
        <v>85</v>
      </c>
      <c r="X1" s="58"/>
      <c r="Z1" s="16" t="s">
        <v>86</v>
      </c>
      <c r="AA1" s="16"/>
    </row>
    <row r="2" spans="1:47" x14ac:dyDescent="0.25">
      <c r="A2" s="4"/>
      <c r="B2" s="53" t="s">
        <v>78</v>
      </c>
      <c r="C2" s="54"/>
      <c r="D2" s="54"/>
      <c r="E2" s="54"/>
      <c r="F2" s="54"/>
      <c r="G2" s="54"/>
      <c r="H2" s="54"/>
      <c r="I2" s="54"/>
      <c r="J2" s="55"/>
      <c r="K2" s="4"/>
      <c r="L2" s="4"/>
      <c r="M2" s="4"/>
      <c r="N2" s="4"/>
      <c r="O2" s="4"/>
      <c r="Q2" s="31" t="s">
        <v>31</v>
      </c>
      <c r="R2" s="31">
        <v>1</v>
      </c>
      <c r="S2" s="31" t="s">
        <v>34</v>
      </c>
      <c r="T2" s="31" t="s">
        <v>33</v>
      </c>
      <c r="U2" s="31" t="s">
        <v>44</v>
      </c>
      <c r="W2" s="59" t="s">
        <v>30</v>
      </c>
      <c r="X2" s="59">
        <f>1/1000000</f>
        <v>9.9999999999999995E-7</v>
      </c>
      <c r="Z2" s="17" t="s">
        <v>87</v>
      </c>
      <c r="AA2" s="60">
        <v>1</v>
      </c>
    </row>
    <row r="3" spans="1:47" x14ac:dyDescent="0.25">
      <c r="A3" s="4"/>
      <c r="B3" s="72" t="s">
        <v>75</v>
      </c>
      <c r="C3" s="56"/>
      <c r="D3" s="56"/>
      <c r="E3" s="56"/>
      <c r="F3" s="56"/>
      <c r="G3" s="56"/>
      <c r="H3" s="56"/>
      <c r="I3" s="73" t="s">
        <v>107</v>
      </c>
      <c r="J3" s="57"/>
      <c r="K3" s="4"/>
      <c r="L3" s="4"/>
      <c r="M3" s="4"/>
      <c r="N3" s="4"/>
      <c r="O3" s="4"/>
      <c r="Q3" s="31" t="s">
        <v>32</v>
      </c>
      <c r="R3" s="31">
        <v>100</v>
      </c>
      <c r="S3" s="31" t="s">
        <v>35</v>
      </c>
      <c r="T3" s="31" t="s">
        <v>10</v>
      </c>
      <c r="U3" s="31" t="s">
        <v>9</v>
      </c>
      <c r="Z3" s="17" t="s">
        <v>88</v>
      </c>
      <c r="AA3" s="60">
        <v>0.1</v>
      </c>
      <c r="AQ3" t="s">
        <v>121</v>
      </c>
      <c r="AR3" s="76">
        <v>0</v>
      </c>
      <c r="AT3" s="3">
        <f>Decal*AT4</f>
        <v>0</v>
      </c>
    </row>
    <row r="4" spans="1:47" x14ac:dyDescent="0.25">
      <c r="A4" s="4"/>
      <c r="B4" s="4"/>
      <c r="C4" s="4"/>
      <c r="D4" s="4"/>
      <c r="E4" s="4"/>
      <c r="F4" s="4"/>
      <c r="G4" s="4"/>
      <c r="H4" s="4"/>
      <c r="I4" s="4"/>
      <c r="J4" s="4"/>
      <c r="K4" s="4"/>
      <c r="L4" s="4"/>
      <c r="M4" s="4"/>
      <c r="N4" s="4"/>
      <c r="O4" s="4"/>
      <c r="Q4" s="31" t="s">
        <v>6</v>
      </c>
      <c r="R4" s="31">
        <v>1000</v>
      </c>
      <c r="S4" s="31" t="s">
        <v>8</v>
      </c>
      <c r="T4" s="31" t="s">
        <v>13</v>
      </c>
      <c r="U4" s="31" t="s">
        <v>45</v>
      </c>
      <c r="Z4" s="17" t="s">
        <v>83</v>
      </c>
      <c r="AA4" s="60">
        <v>1E-3</v>
      </c>
      <c r="AJ4" s="2" t="s">
        <v>112</v>
      </c>
      <c r="AK4" s="76">
        <v>6</v>
      </c>
      <c r="AQ4" t="s">
        <v>117</v>
      </c>
      <c r="AR4" s="15">
        <f>MAX(LdalDessin/2,BfM/2*kUnit)</f>
        <v>450</v>
      </c>
      <c r="AS4" s="2" t="s">
        <v>122</v>
      </c>
      <c r="AT4" s="3">
        <f>MAX(Xmax-Xmin,Ymax-Ymin)</f>
        <v>900</v>
      </c>
      <c r="AU4" s="3">
        <f>AT4*Decal+AT4</f>
        <v>900</v>
      </c>
    </row>
    <row r="5" spans="1:47" x14ac:dyDescent="0.25">
      <c r="A5" s="4"/>
      <c r="B5" s="10" t="s">
        <v>0</v>
      </c>
      <c r="C5" s="10"/>
      <c r="D5" s="10"/>
      <c r="E5" s="10"/>
      <c r="F5" s="4"/>
      <c r="G5" s="10" t="s">
        <v>24</v>
      </c>
      <c r="H5" s="10"/>
      <c r="I5" s="10"/>
      <c r="J5" s="10"/>
      <c r="K5" s="4"/>
      <c r="L5" s="4"/>
      <c r="M5" s="4"/>
      <c r="N5" s="4"/>
      <c r="O5" s="4"/>
      <c r="AJ5" s="2" t="s">
        <v>113</v>
      </c>
      <c r="AK5" s="33">
        <f>PI()/2/(NbCong-1)</f>
        <v>0.31415926535897931</v>
      </c>
      <c r="AL5" t="s">
        <v>114</v>
      </c>
      <c r="AQ5" t="s">
        <v>118</v>
      </c>
      <c r="AR5" s="15">
        <f>-Xmax</f>
        <v>-450</v>
      </c>
      <c r="AS5" s="2" t="s">
        <v>123</v>
      </c>
      <c r="AT5" s="3">
        <f>AT4</f>
        <v>900</v>
      </c>
      <c r="AU5" s="3">
        <f>AT5*Decal+AT5</f>
        <v>900</v>
      </c>
    </row>
    <row r="6" spans="1:47" x14ac:dyDescent="0.25">
      <c r="A6" s="4"/>
      <c r="B6" s="4"/>
      <c r="C6" s="75" t="s">
        <v>1</v>
      </c>
      <c r="D6" s="85">
        <v>450</v>
      </c>
      <c r="E6" s="87" t="s">
        <v>6</v>
      </c>
      <c r="F6" s="4"/>
      <c r="G6" s="13"/>
      <c r="H6" s="14" t="s">
        <v>21</v>
      </c>
      <c r="I6" s="13"/>
      <c r="J6" s="13"/>
      <c r="K6" s="4"/>
      <c r="L6" s="4"/>
      <c r="M6" s="4"/>
      <c r="N6" s="4"/>
      <c r="O6" s="4"/>
      <c r="U6" s="15" t="s">
        <v>42</v>
      </c>
      <c r="V6" s="15" t="s">
        <v>41</v>
      </c>
      <c r="X6" s="34" t="s">
        <v>58</v>
      </c>
      <c r="Y6" s="34"/>
      <c r="AN6" s="2" t="s">
        <v>126</v>
      </c>
      <c r="AO6" s="76">
        <v>2</v>
      </c>
      <c r="AQ6" t="s">
        <v>119</v>
      </c>
      <c r="AR6" s="15">
        <f>(HpM+HcM)*kUnit</f>
        <v>570.00000000000011</v>
      </c>
      <c r="AS6" s="2" t="s">
        <v>124</v>
      </c>
      <c r="AT6" s="3">
        <f>MyH/2-(Ymax-Ymin)/2</f>
        <v>164.99999999999994</v>
      </c>
    </row>
    <row r="7" spans="1:47" x14ac:dyDescent="0.25">
      <c r="A7" s="4"/>
      <c r="B7" s="4"/>
      <c r="C7" s="75" t="s">
        <v>2</v>
      </c>
      <c r="D7" s="85">
        <v>190</v>
      </c>
      <c r="E7" s="87" t="s">
        <v>6</v>
      </c>
      <c r="F7" s="4"/>
      <c r="G7" s="4"/>
      <c r="H7" s="75" t="s">
        <v>25</v>
      </c>
      <c r="I7" s="86">
        <v>210</v>
      </c>
      <c r="J7" s="4" t="s">
        <v>29</v>
      </c>
      <c r="K7" s="4"/>
      <c r="L7" s="4"/>
      <c r="M7" s="4"/>
      <c r="N7" s="4"/>
      <c r="R7" s="18" t="s">
        <v>51</v>
      </c>
      <c r="S7" s="18"/>
      <c r="T7" s="19" t="s">
        <v>1</v>
      </c>
      <c r="U7" s="24">
        <f>IF(UnitHp=UnitM,kUnitM,IF(UnitHp=UnitCM,kUnitCM,kUnitMM))</f>
        <v>1000</v>
      </c>
      <c r="V7" s="24">
        <f>Hp/U7</f>
        <v>0.45</v>
      </c>
      <c r="X7" s="35" t="s">
        <v>59</v>
      </c>
      <c r="Y7" s="37">
        <f>Fy_MPa/kUnitMPa</f>
        <v>275000000</v>
      </c>
      <c r="AN7" s="2" t="s">
        <v>125</v>
      </c>
      <c r="AO7" s="33">
        <f>MIN(AO6*HpM,LDalleM)*kUnit</f>
        <v>900</v>
      </c>
      <c r="AQ7" t="s">
        <v>120</v>
      </c>
      <c r="AR7" s="15">
        <v>0</v>
      </c>
    </row>
    <row r="8" spans="1:47" x14ac:dyDescent="0.25">
      <c r="A8" s="4"/>
      <c r="B8" s="4"/>
      <c r="C8" s="75" t="s">
        <v>3</v>
      </c>
      <c r="D8" s="85">
        <v>14.6</v>
      </c>
      <c r="E8" s="87" t="s">
        <v>6</v>
      </c>
      <c r="F8" s="4"/>
      <c r="G8" s="4"/>
      <c r="H8" s="75" t="s">
        <v>26</v>
      </c>
      <c r="I8" s="86">
        <v>275</v>
      </c>
      <c r="J8" s="4" t="s">
        <v>30</v>
      </c>
      <c r="K8" s="4"/>
      <c r="L8" s="4"/>
      <c r="M8" s="4"/>
      <c r="N8" s="4"/>
      <c r="O8">
        <f>33*2+734</f>
        <v>800</v>
      </c>
      <c r="R8" s="18" t="s">
        <v>49</v>
      </c>
      <c r="S8" s="18"/>
      <c r="T8" s="19" t="s">
        <v>2</v>
      </c>
      <c r="U8" s="24">
        <f>IF(E7=UnitM,kUnitM,IF(E7=UnitCM,kUnitCM,kUnitMM))</f>
        <v>1000</v>
      </c>
      <c r="V8" s="24">
        <f>Bf/U8</f>
        <v>0.19</v>
      </c>
      <c r="X8" s="36" t="s">
        <v>60</v>
      </c>
      <c r="Y8" s="37">
        <f>Fck_MPa/kUnitMPa</f>
        <v>25000000</v>
      </c>
      <c r="AH8" t="s">
        <v>111</v>
      </c>
    </row>
    <row r="9" spans="1:47" x14ac:dyDescent="0.25">
      <c r="A9" s="4"/>
      <c r="B9" s="4"/>
      <c r="C9" s="75" t="s">
        <v>4</v>
      </c>
      <c r="D9" s="85">
        <v>9.4</v>
      </c>
      <c r="E9" s="87" t="s">
        <v>6</v>
      </c>
      <c r="F9" s="4"/>
      <c r="G9" s="13"/>
      <c r="H9" s="14" t="s">
        <v>22</v>
      </c>
      <c r="I9" s="13"/>
      <c r="J9" s="13"/>
      <c r="K9" s="4"/>
      <c r="L9" s="4"/>
      <c r="M9" s="4"/>
      <c r="N9" s="4"/>
      <c r="R9" s="18" t="s">
        <v>50</v>
      </c>
      <c r="S9" s="18"/>
      <c r="T9" s="19" t="s">
        <v>3</v>
      </c>
      <c r="U9" s="24">
        <f>IF(E8=UnitM,kUnitM,IF(E8=UnitCM,kUnitCM,kUnitMM))</f>
        <v>1000</v>
      </c>
      <c r="V9" s="24">
        <f>Tf/U9</f>
        <v>1.46E-2</v>
      </c>
      <c r="AH9" t="s">
        <v>42</v>
      </c>
      <c r="AI9" s="76">
        <v>1000</v>
      </c>
    </row>
    <row r="10" spans="1:47" x14ac:dyDescent="0.25">
      <c r="A10" s="4"/>
      <c r="B10" s="4"/>
      <c r="C10" s="75" t="s">
        <v>5</v>
      </c>
      <c r="D10" s="85">
        <v>21</v>
      </c>
      <c r="E10" s="87" t="s">
        <v>6</v>
      </c>
      <c r="F10" s="4"/>
      <c r="G10" s="4"/>
      <c r="H10" s="75" t="s">
        <v>27</v>
      </c>
      <c r="I10" s="131">
        <f>31476/1000</f>
        <v>31.475999999999999</v>
      </c>
      <c r="J10" s="4" t="s">
        <v>29</v>
      </c>
      <c r="K10" s="4"/>
      <c r="L10" s="4"/>
      <c r="M10" s="4"/>
      <c r="N10" s="4"/>
      <c r="P10" s="7" t="s">
        <v>12</v>
      </c>
      <c r="Q10" s="7"/>
      <c r="R10" s="20"/>
      <c r="S10" s="18"/>
      <c r="T10" s="19" t="s">
        <v>4</v>
      </c>
      <c r="U10" s="24">
        <f>IF(E9=UnitM,kUnitM,IF(E9=UnitCM,kUnitCM,kUnitMM))</f>
        <v>1000</v>
      </c>
      <c r="V10" s="24">
        <f>Tw/U10</f>
        <v>9.4000000000000004E-3</v>
      </c>
      <c r="AH10" t="s">
        <v>49</v>
      </c>
      <c r="AN10" t="s">
        <v>15</v>
      </c>
      <c r="AR10" t="s">
        <v>116</v>
      </c>
    </row>
    <row r="11" spans="1:47" x14ac:dyDescent="0.25">
      <c r="A11" s="4"/>
      <c r="B11" s="4"/>
      <c r="C11" s="6" t="s">
        <v>7</v>
      </c>
      <c r="D11" s="11">
        <f>kUnitAire*AireM</f>
        <v>98.820776397669022</v>
      </c>
      <c r="E11" s="87" t="s">
        <v>35</v>
      </c>
      <c r="F11" s="4"/>
      <c r="G11" s="4"/>
      <c r="H11" s="75" t="s">
        <v>28</v>
      </c>
      <c r="I11" s="86">
        <v>25</v>
      </c>
      <c r="J11" s="4" t="s">
        <v>30</v>
      </c>
      <c r="K11" s="4"/>
      <c r="L11" s="4"/>
      <c r="M11" s="4"/>
      <c r="N11" s="4"/>
      <c r="R11" s="18"/>
      <c r="S11" s="18"/>
      <c r="T11" s="19" t="s">
        <v>5</v>
      </c>
      <c r="U11" s="24">
        <f>IF(E10=UnitM,kUnitM,IF(E10=UnitCM,kUnitCM,kUnitMM))</f>
        <v>1000</v>
      </c>
      <c r="V11" s="24">
        <f>Rcr/U11</f>
        <v>2.1000000000000001E-2</v>
      </c>
      <c r="X11" s="39" t="s">
        <v>62</v>
      </c>
      <c r="Y11" s="39"/>
      <c r="Z11" s="39"/>
      <c r="AA11" s="39"/>
      <c r="AB11" s="39"/>
      <c r="AC11" s="39"/>
      <c r="AD11" s="39"/>
      <c r="AE11" s="39"/>
      <c r="AH11">
        <v>1</v>
      </c>
      <c r="AI11" s="3">
        <f>-BfM/2*kUnit</f>
        <v>-95</v>
      </c>
      <c r="AJ11" s="3">
        <v>0</v>
      </c>
      <c r="AN11">
        <v>1</v>
      </c>
      <c r="AO11" s="3">
        <f>LdalDessin/2</f>
        <v>450</v>
      </c>
      <c r="AP11" s="3">
        <f>(HpM+HcM)*kUnit</f>
        <v>570.00000000000011</v>
      </c>
      <c r="AR11">
        <v>1</v>
      </c>
      <c r="AS11" s="3">
        <f>-MyL/2-sDec</f>
        <v>-450</v>
      </c>
      <c r="AT11" s="3">
        <f>Ymin-sDec-yDec</f>
        <v>-164.99999999999994</v>
      </c>
    </row>
    <row r="12" spans="1:47" x14ac:dyDescent="0.25">
      <c r="A12" s="4"/>
      <c r="B12" s="4"/>
      <c r="C12" s="6" t="s">
        <v>43</v>
      </c>
      <c r="D12" s="11">
        <f>kUnitInertie*IyM</f>
        <v>33742.354856211256</v>
      </c>
      <c r="E12" s="87" t="s">
        <v>9</v>
      </c>
      <c r="F12" s="4"/>
      <c r="G12" s="4"/>
      <c r="H12" s="4"/>
      <c r="I12" s="4"/>
      <c r="J12" s="4"/>
      <c r="K12" s="4"/>
      <c r="L12" s="4"/>
      <c r="M12" s="4"/>
      <c r="N12" s="4"/>
      <c r="R12" s="18"/>
      <c r="S12" s="18"/>
      <c r="T12" s="19" t="s">
        <v>61</v>
      </c>
      <c r="U12" s="24"/>
      <c r="V12" s="24">
        <f>HpM-2*TfM-2*RcrM</f>
        <v>0.37880000000000003</v>
      </c>
      <c r="X12" s="39"/>
      <c r="Y12" s="39"/>
      <c r="Z12" s="40" t="s">
        <v>64</v>
      </c>
      <c r="AA12" s="40" t="s">
        <v>65</v>
      </c>
      <c r="AB12" s="39" t="s">
        <v>71</v>
      </c>
      <c r="AC12" s="39" t="s">
        <v>72</v>
      </c>
      <c r="AD12" s="40" t="s">
        <v>66</v>
      </c>
      <c r="AE12" s="40" t="s">
        <v>67</v>
      </c>
      <c r="AH12">
        <v>2</v>
      </c>
      <c r="AI12" s="3">
        <f>AI11</f>
        <v>-95</v>
      </c>
      <c r="AJ12" s="3">
        <f>TfM*kUnit</f>
        <v>14.6</v>
      </c>
      <c r="AK12" s="79" t="s">
        <v>115</v>
      </c>
      <c r="AL12" s="79"/>
      <c r="AN12">
        <v>2</v>
      </c>
      <c r="AO12" s="3">
        <f>-AO11</f>
        <v>-450</v>
      </c>
      <c r="AP12" s="3">
        <f>AP11</f>
        <v>570.00000000000011</v>
      </c>
      <c r="AR12">
        <v>2</v>
      </c>
      <c r="AS12" s="3">
        <f>AS11</f>
        <v>-450</v>
      </c>
      <c r="AT12" s="3">
        <f>AT11+MyH+2*sDec</f>
        <v>735</v>
      </c>
    </row>
    <row r="13" spans="1:47" x14ac:dyDescent="0.25">
      <c r="A13" s="4"/>
      <c r="B13" s="4"/>
      <c r="C13" s="6" t="s">
        <v>77</v>
      </c>
      <c r="D13" s="11">
        <f>kUnitWpl*WplM</f>
        <v>1701.7931209718513</v>
      </c>
      <c r="E13" s="87" t="s">
        <v>10</v>
      </c>
      <c r="F13" s="4"/>
      <c r="G13" s="4"/>
      <c r="H13" s="4"/>
      <c r="I13" s="4"/>
      <c r="J13" s="4"/>
      <c r="K13" s="4"/>
      <c r="L13" s="4"/>
      <c r="M13" s="4"/>
      <c r="N13" s="4"/>
      <c r="S13" s="21"/>
      <c r="T13" s="22" t="s">
        <v>11</v>
      </c>
      <c r="U13" s="21"/>
      <c r="V13" s="25">
        <f>BfM*TfM*(HpM/2-TfM/2)+(HpM/2-TfM)^2*TwM/2+(4-PI())*RcrM^2/2*(HpM/2-TfM-kC*RcrM)</f>
        <v>8.5089656048592565E-4</v>
      </c>
      <c r="X13" s="39"/>
      <c r="Y13" s="41" t="s">
        <v>63</v>
      </c>
      <c r="Z13" s="42" t="b">
        <f>NcUI&gt;=NpUI</f>
        <v>0</v>
      </c>
      <c r="AA13" s="42" t="b">
        <f>Z13</f>
        <v>0</v>
      </c>
      <c r="AB13" s="42" t="b">
        <f>AND(Z13,AA13)</f>
        <v>0</v>
      </c>
      <c r="AC13" s="43">
        <f>EDalleM*NpUI/NcUI</f>
        <v>6.3942855316138775E-2</v>
      </c>
      <c r="AD13" s="43">
        <f>HpM+HcM-AC13</f>
        <v>0.50605714468386132</v>
      </c>
      <c r="AE13" s="44">
        <f>NpUI*(HpM/2+HcM-AC13/2)</f>
        <v>850677.48022079573</v>
      </c>
      <c r="AH13" s="82">
        <v>3</v>
      </c>
      <c r="AI13" s="3">
        <f>-(TwM/2+RcrM)*kUnit</f>
        <v>-25.7</v>
      </c>
      <c r="AJ13" s="3">
        <f>AJ12</f>
        <v>14.6</v>
      </c>
      <c r="AK13" s="80">
        <f>AI13</f>
        <v>-25.7</v>
      </c>
      <c r="AL13" s="80">
        <f>AJ13+RcrM*kUnit</f>
        <v>35.6</v>
      </c>
      <c r="AN13">
        <v>3</v>
      </c>
      <c r="AR13">
        <v>3</v>
      </c>
      <c r="AS13" s="3">
        <f>-AS12</f>
        <v>450</v>
      </c>
      <c r="AT13" s="3">
        <f>AT12</f>
        <v>735</v>
      </c>
    </row>
    <row r="14" spans="1:47" x14ac:dyDescent="0.25">
      <c r="A14" s="4"/>
      <c r="B14" s="4"/>
      <c r="C14" s="4"/>
      <c r="D14" s="4"/>
      <c r="E14" s="4"/>
      <c r="F14" s="4"/>
      <c r="G14" s="4"/>
      <c r="H14" s="4"/>
      <c r="I14" s="4"/>
      <c r="J14" s="4"/>
      <c r="K14" s="4"/>
      <c r="L14" s="4"/>
      <c r="M14" s="4"/>
      <c r="N14" s="4"/>
      <c r="P14" s="2" t="s">
        <v>14</v>
      </c>
      <c r="S14" s="21" t="s">
        <v>48</v>
      </c>
      <c r="T14" s="22" t="s">
        <v>7</v>
      </c>
      <c r="U14" s="26">
        <f>IF(UnitAire=UnitM2,kUnitM,IF(UnitAire=UnitCM2,kUnitCM,kUnitMM))^2</f>
        <v>10000</v>
      </c>
      <c r="V14" s="26">
        <f>2*BfM*TfM+(HpM-2*TfM)*TwM+(4-PI())*RcrM^2</f>
        <v>9.8820776397669022E-3</v>
      </c>
      <c r="X14" s="39"/>
      <c r="Y14" s="41" t="s">
        <v>68</v>
      </c>
      <c r="Z14" s="42" t="b">
        <f>NcUI&gt;=NpUI-2*NfUI</f>
        <v>1</v>
      </c>
      <c r="AA14" s="42" t="b">
        <f>NcUI&lt;NpUI</f>
        <v>1</v>
      </c>
      <c r="AB14" s="42" t="b">
        <f t="shared" ref="AB14:AB16" si="0">AND(Z14,AA14)</f>
        <v>1</v>
      </c>
      <c r="AC14" s="43">
        <f>TfM*(NpUI-NcUI)/2/NfUI</f>
        <v>7.9015646828610767E-4</v>
      </c>
      <c r="AD14" s="43">
        <f>HpM-AC14</f>
        <v>0.44920984353171389</v>
      </c>
      <c r="AE14" s="44">
        <f>NcUI*(EDalleM/2+zDalleM)+NpUI*HpM/2+(NcUI-NpUI)*AC14/2</f>
        <v>845935.93181705836</v>
      </c>
      <c r="AH14" s="78">
        <v>4</v>
      </c>
      <c r="AI14" s="81">
        <f>$AK$13+RcrM*COS(-PI()/2+(AH14-$AH$13)*DeltaAng)*kUnit</f>
        <v>-19.210643118126104</v>
      </c>
      <c r="AJ14" s="65">
        <f>$AL$13+RcrM*SIN(-PI()/2+(AH14-$AH$13)*DeltaAng)*kUnit</f>
        <v>15.627813157801778</v>
      </c>
      <c r="AN14">
        <v>4</v>
      </c>
      <c r="AO14" s="3">
        <f>AO12</f>
        <v>-450</v>
      </c>
      <c r="AP14" s="3">
        <f>AP12-EDalleM*kUnit</f>
        <v>508.00000000000011</v>
      </c>
      <c r="AR14">
        <v>4</v>
      </c>
      <c r="AS14" s="3">
        <f>AS13</f>
        <v>450</v>
      </c>
      <c r="AT14" s="3">
        <f>AT11</f>
        <v>-164.99999999999994</v>
      </c>
    </row>
    <row r="15" spans="1:47" x14ac:dyDescent="0.25">
      <c r="A15" s="4"/>
      <c r="B15" s="10" t="s">
        <v>15</v>
      </c>
      <c r="C15" s="10"/>
      <c r="D15" s="10"/>
      <c r="E15" s="10"/>
      <c r="F15" s="4"/>
      <c r="G15" s="10" t="s">
        <v>20</v>
      </c>
      <c r="H15" s="10"/>
      <c r="I15" s="10"/>
      <c r="J15" s="10"/>
      <c r="K15" s="4"/>
      <c r="L15" s="4"/>
      <c r="M15" s="4"/>
      <c r="N15" s="4"/>
      <c r="Q15" s="8">
        <f>1-2/(12-3*PI())</f>
        <v>0.22336793894575213</v>
      </c>
      <c r="S15" s="21" t="s">
        <v>49</v>
      </c>
      <c r="T15" s="22" t="s">
        <v>36</v>
      </c>
      <c r="U15" s="26">
        <f>IF(UnitWplY=UnitM3,kUnitM,IF(UnitWplY=UnitCM3,kUnitCM,kUnitMM))^3</f>
        <v>1000000</v>
      </c>
      <c r="V15" s="26">
        <f>2*MuY</f>
        <v>1.7017931209718513E-3</v>
      </c>
      <c r="X15" s="39"/>
      <c r="Y15" s="41" t="s">
        <v>69</v>
      </c>
      <c r="Z15" s="42" t="b">
        <f>NcUI&gt;=NpUI-2*(NfUI+NrUI)</f>
        <v>1</v>
      </c>
      <c r="AA15" s="42" t="b">
        <f>NcUI&lt;NpUI-2*NfUI</f>
        <v>0</v>
      </c>
      <c r="AB15" s="42" t="b">
        <f t="shared" si="0"/>
        <v>0</v>
      </c>
      <c r="AC15" s="43">
        <f>HwUI/2+(NcUI-NwUI)/2/NrUI*RcrM</f>
        <v>0.35289882035987019</v>
      </c>
      <c r="AD15" s="43">
        <f>HpM/2+AC15</f>
        <v>0.57789882035987017</v>
      </c>
      <c r="AE15" s="44">
        <f>MpplRdUI+NcUI*(HpM/2+EDalleM/2+zDalleM)-NwUI*HwUI/4-(NcUI-NwUI)*AC15</f>
        <v>618322.48511774524</v>
      </c>
      <c r="AH15" s="78">
        <v>5</v>
      </c>
      <c r="AI15" s="81">
        <f>$AK$13+RcrM*COS(-PI()/2+(AH15-$AH$13)*DeltaAng)*kUnit</f>
        <v>-13.356509701858062</v>
      </c>
      <c r="AJ15" s="65">
        <f>$AL$13+RcrM*SIN(-PI()/2+(AH15-$AH$13)*DeltaAng)*kUnit</f>
        <v>18.610643118126102</v>
      </c>
      <c r="AN15">
        <v>5</v>
      </c>
      <c r="AO15" s="3">
        <f>AO11</f>
        <v>450</v>
      </c>
      <c r="AP15" s="3">
        <f>AP14</f>
        <v>508.00000000000011</v>
      </c>
      <c r="AR15">
        <v>5</v>
      </c>
      <c r="AS15" s="3">
        <f>-AS14</f>
        <v>-450</v>
      </c>
      <c r="AT15" s="3">
        <f>AT14</f>
        <v>-164.99999999999994</v>
      </c>
    </row>
    <row r="16" spans="1:47" x14ac:dyDescent="0.25">
      <c r="A16" s="4"/>
      <c r="B16" s="4"/>
      <c r="C16" s="75" t="s">
        <v>17</v>
      </c>
      <c r="D16" s="85">
        <v>300</v>
      </c>
      <c r="E16" s="88" t="s">
        <v>32</v>
      </c>
      <c r="F16" s="4"/>
      <c r="G16" s="4"/>
      <c r="H16" s="75" t="s">
        <v>21</v>
      </c>
      <c r="I16" s="89">
        <v>1</v>
      </c>
      <c r="J16" s="4"/>
      <c r="K16" s="4"/>
      <c r="L16" s="4"/>
      <c r="M16" s="4"/>
      <c r="N16" s="4"/>
      <c r="S16" s="21" t="s">
        <v>50</v>
      </c>
      <c r="T16" s="22" t="s">
        <v>43</v>
      </c>
      <c r="U16" s="26">
        <f>IF(UnitInertie=UnitM4,kUnitM,IF(UnitInertie=UnitCM4,kUnitCM,kUnitMM))^4</f>
        <v>100000000</v>
      </c>
      <c r="V16" s="25">
        <f>2*BfM*TfM^3/12+2*BfM*TfM*(HpM/2-TfM/2)^2+(HpM-2*TfM)^3*TwM/12+(4-PI())*RcrM^2*(HpM/2-TfM-kC*RcrM)^2</f>
        <v>3.3742354856211256E-4</v>
      </c>
      <c r="X16" s="39"/>
      <c r="Y16" s="41" t="s">
        <v>70</v>
      </c>
      <c r="Z16" s="42" t="b">
        <f>NcUI&lt;NpUI-2*(NfUI+NrUI)</f>
        <v>0</v>
      </c>
      <c r="AA16" s="42" t="b">
        <f>Z16</f>
        <v>0</v>
      </c>
      <c r="AB16" s="42" t="b">
        <f t="shared" si="0"/>
        <v>0</v>
      </c>
      <c r="AC16" s="43">
        <f>NcUI/2/NwUI*HwUI</f>
        <v>0.50967117988394572</v>
      </c>
      <c r="AD16" s="43">
        <f>HpM/2+AC16</f>
        <v>0.7346711798839457</v>
      </c>
      <c r="AE16" s="44">
        <f>MpplRdUI+NcUI*(HpM/2+EDalleM/2+zDalleM-AC16/2)</f>
        <v>623891.32877016056</v>
      </c>
      <c r="AH16" s="78">
        <v>6</v>
      </c>
      <c r="AI16" s="81">
        <f>$AK$13+RcrM*COS(-PI()/2+(AH16-$AH$13)*DeltaAng)*kUnit</f>
        <v>-8.7106431181261001</v>
      </c>
      <c r="AJ16" s="65">
        <f>$AL$13+RcrM*SIN(-PI()/2+(AH16-$AH$13)*DeltaAng)*kUnit</f>
        <v>23.256509701858064</v>
      </c>
      <c r="AN16">
        <v>6</v>
      </c>
      <c r="AO16" s="3"/>
      <c r="AP16" s="3"/>
    </row>
    <row r="17" spans="1:46" x14ac:dyDescent="0.25">
      <c r="A17" s="4"/>
      <c r="B17" s="4"/>
      <c r="C17" s="75" t="s">
        <v>37</v>
      </c>
      <c r="D17" s="85">
        <v>120</v>
      </c>
      <c r="E17" s="88" t="s">
        <v>6</v>
      </c>
      <c r="F17" s="4"/>
      <c r="G17" s="4"/>
      <c r="H17" s="75" t="s">
        <v>22</v>
      </c>
      <c r="I17" s="89">
        <v>1.5</v>
      </c>
      <c r="J17" s="4"/>
      <c r="K17" s="4"/>
      <c r="L17" s="4"/>
      <c r="M17" s="4"/>
      <c r="N17" s="4"/>
      <c r="S17" s="47" t="s">
        <v>73</v>
      </c>
      <c r="T17" s="48" t="s">
        <v>74</v>
      </c>
      <c r="U17" s="49">
        <f>IF(UnitMplRdAcier=UnitNm,kUnitNm,IF(UnitMplRdAcier=UnitDaNm,kUnitDaNm,kUnitkNm))</f>
        <v>1E-3</v>
      </c>
      <c r="V17" s="49">
        <f>WplM*FyUI/GammaM0</f>
        <v>467993.10826725909</v>
      </c>
      <c r="Z17" s="3"/>
      <c r="AA17" s="3"/>
      <c r="AB17" s="3"/>
      <c r="AC17" s="3"/>
      <c r="AD17" s="45">
        <f>IF($AB$13,AD13,IF($AB$14,AD14,IF($AB$15,AD15,AD16)))</f>
        <v>0.44920984353171389</v>
      </c>
      <c r="AE17" s="46">
        <f>IF($AB$13,AE13,IF($AB$14,AE14,IF($AB$15,AE15,AE16)))</f>
        <v>845935.93181705836</v>
      </c>
      <c r="AH17" s="78">
        <v>7</v>
      </c>
      <c r="AI17" s="81">
        <f>$AK$13+RcrM*COS(-PI()/2+(AH17-$AH$13)*DeltaAng)*kUnit</f>
        <v>-5.7278131578017764</v>
      </c>
      <c r="AJ17" s="65">
        <f>$AL$13+RcrM*SIN(-PI()/2+(AH17-$AH$13)*DeltaAng)*kUnit</f>
        <v>29.110643118126106</v>
      </c>
      <c r="AN17">
        <v>7</v>
      </c>
      <c r="AO17" s="3">
        <f>AO11</f>
        <v>450</v>
      </c>
      <c r="AP17" s="3">
        <f>AP11</f>
        <v>570.00000000000011</v>
      </c>
    </row>
    <row r="18" spans="1:46" x14ac:dyDescent="0.25">
      <c r="A18" s="4"/>
      <c r="B18" s="4"/>
      <c r="C18" s="75" t="s">
        <v>38</v>
      </c>
      <c r="D18" s="85">
        <v>58</v>
      </c>
      <c r="E18" s="88" t="s">
        <v>6</v>
      </c>
      <c r="F18" s="4"/>
      <c r="G18" s="4"/>
      <c r="H18" s="12" t="s">
        <v>23</v>
      </c>
      <c r="I18" s="90">
        <v>1.25</v>
      </c>
      <c r="J18" s="64" t="s">
        <v>89</v>
      </c>
      <c r="K18" s="4"/>
      <c r="L18" s="4"/>
      <c r="M18" s="4"/>
      <c r="N18" s="4"/>
      <c r="AD18" s="45">
        <f>IF(UnitZAnp=UnitM,kUnitM,IF(UnitZAnp=UnitCM,kUnitCM,kUnitMM))</f>
        <v>1000</v>
      </c>
      <c r="AE18" s="45">
        <f>IF(UnitMplRdMixte=UnitNm,kUnitNm,IF(UnitMplRdMixte=UnitDaNm,kUnitDaNm,kUnitkNm))</f>
        <v>1E-3</v>
      </c>
      <c r="AH18" s="78">
        <v>8</v>
      </c>
      <c r="AI18" s="81">
        <f>$AK$13+RcrM*COS(-PI()/2+(AH18-$AH$13)*DeltaAng)*kUnit</f>
        <v>-4.6999999999999993</v>
      </c>
      <c r="AJ18" s="65">
        <f>$AL$13+RcrM*SIN(-PI()/2+(AH18-$AH$13)*DeltaAng)*kUnit</f>
        <v>35.6</v>
      </c>
      <c r="AN18">
        <v>8</v>
      </c>
      <c r="AO18" s="3">
        <f>AO15</f>
        <v>450</v>
      </c>
      <c r="AP18" s="3">
        <f>AP25</f>
        <v>508</v>
      </c>
      <c r="AR18" t="s">
        <v>127</v>
      </c>
      <c r="AS18" s="84">
        <v>0.8</v>
      </c>
    </row>
    <row r="19" spans="1:46" x14ac:dyDescent="0.25">
      <c r="A19" s="4"/>
      <c r="B19" s="4"/>
      <c r="C19" s="75" t="s">
        <v>39</v>
      </c>
      <c r="D19" s="85">
        <v>1</v>
      </c>
      <c r="E19" s="62" t="s">
        <v>40</v>
      </c>
      <c r="F19" s="4"/>
      <c r="G19" s="4"/>
      <c r="H19" s="4"/>
      <c r="I19" s="64"/>
      <c r="J19" s="4"/>
      <c r="K19" s="4"/>
      <c r="L19" s="4"/>
      <c r="M19" s="4"/>
      <c r="N19" s="4"/>
      <c r="R19" s="13" t="s">
        <v>51</v>
      </c>
      <c r="S19" s="13"/>
      <c r="T19" s="27" t="s">
        <v>46</v>
      </c>
      <c r="U19" s="15">
        <f>IF(UnitLDalle=UnitM,kUnitM,IF(UnitLDalle=UnitCM,kUnitCM,kUnitMM))</f>
        <v>100</v>
      </c>
      <c r="V19" s="15">
        <f>LDalle/U19</f>
        <v>3</v>
      </c>
      <c r="AH19" s="82">
        <v>9</v>
      </c>
      <c r="AI19" s="3">
        <f>-TwM/2*kUnit</f>
        <v>-4.7</v>
      </c>
      <c r="AJ19" s="3">
        <f>(HpM-TfM-RcrM)*kUnit</f>
        <v>414.4</v>
      </c>
      <c r="AK19" s="80">
        <f>(-TwM/2-RcrM)*kUnit</f>
        <v>-25.7</v>
      </c>
      <c r="AL19" s="80">
        <f>(HpM-TfM-RcrM)*kUnit</f>
        <v>414.4</v>
      </c>
      <c r="AN19">
        <v>9</v>
      </c>
      <c r="AR19">
        <v>1</v>
      </c>
      <c r="AS19">
        <f>LdalDessin/2*AS18</f>
        <v>360</v>
      </c>
      <c r="AT19">
        <f>zANPUI*kUnit</f>
        <v>449.20984353171389</v>
      </c>
    </row>
    <row r="20" spans="1:46" x14ac:dyDescent="0.25">
      <c r="A20" s="4"/>
      <c r="C20" s="5" t="s">
        <v>16</v>
      </c>
      <c r="D20" s="9">
        <f>kUnitEDalle*EDalleM</f>
        <v>61.999999999999993</v>
      </c>
      <c r="E20" s="88" t="s">
        <v>6</v>
      </c>
      <c r="F20" s="4"/>
      <c r="G20" s="10" t="s">
        <v>90</v>
      </c>
      <c r="H20" s="10"/>
      <c r="I20" s="10"/>
      <c r="J20" s="10"/>
      <c r="K20" s="4"/>
      <c r="L20" s="4" t="s">
        <v>149</v>
      </c>
      <c r="M20" s="4"/>
      <c r="N20" s="4"/>
      <c r="R20" s="13" t="s">
        <v>15</v>
      </c>
      <c r="S20" s="13"/>
      <c r="T20" s="27" t="s">
        <v>37</v>
      </c>
      <c r="U20" s="15">
        <f>IF(UnitHc=UnitM,kUnitM,IF(UnitHc=UnitCM,kUnitCM,kUnitMM))</f>
        <v>1000</v>
      </c>
      <c r="V20" s="15">
        <f>Hc/U20</f>
        <v>0.12</v>
      </c>
      <c r="X20" t="s">
        <v>93</v>
      </c>
      <c r="AH20" s="78">
        <v>10</v>
      </c>
      <c r="AI20" s="83">
        <f>$AK$19+RcrM*kUnit*COS(-PI()/2*0+(AH20-$AH$19)*DeltaAng)</f>
        <v>-5.7278131578017764</v>
      </c>
      <c r="AJ20" s="83">
        <f>$AL$19+RcrM*kUnit*SIN(-PI()/2*0+(AH20-$AH$19)*DeltaAng)</f>
        <v>420.88935688187388</v>
      </c>
      <c r="AN20">
        <v>10</v>
      </c>
      <c r="AO20" s="3">
        <f>AO12</f>
        <v>-450</v>
      </c>
      <c r="AP20" s="3">
        <f>AP12</f>
        <v>570.00000000000011</v>
      </c>
      <c r="AR20">
        <v>2</v>
      </c>
      <c r="AS20">
        <f>-AS19</f>
        <v>-360</v>
      </c>
      <c r="AT20">
        <f>AT19</f>
        <v>449.20984353171389</v>
      </c>
    </row>
    <row r="21" spans="1:46" x14ac:dyDescent="0.25">
      <c r="A21" s="4"/>
      <c r="B21" s="4"/>
      <c r="C21" s="6" t="s">
        <v>18</v>
      </c>
      <c r="D21" s="9">
        <f>kUnitzDalle*zDalleM</f>
        <v>5.8000000000000007</v>
      </c>
      <c r="E21" s="88" t="s">
        <v>32</v>
      </c>
      <c r="F21" s="4"/>
      <c r="G21" s="4"/>
      <c r="H21" s="5" t="s">
        <v>91</v>
      </c>
      <c r="I21" s="130">
        <f>Ey_GPa/Ecm_GPA</f>
        <v>6.6717499046892872</v>
      </c>
      <c r="J21" s="4"/>
      <c r="K21" s="4"/>
      <c r="L21" s="4">
        <v>6.6717000000000004</v>
      </c>
      <c r="M21" s="4"/>
      <c r="N21" s="4"/>
      <c r="R21" s="13"/>
      <c r="S21" s="13"/>
      <c r="T21" s="27" t="s">
        <v>47</v>
      </c>
      <c r="U21" s="15">
        <f>IF(UnitTBac=UnitM,kUnitM,IF(UnitTBac=UnitCM,kUnitCM,kUnitMM))</f>
        <v>1000</v>
      </c>
      <c r="V21" s="15">
        <f>Tbac/U21</f>
        <v>5.8000000000000003E-2</v>
      </c>
      <c r="Y21" s="2" t="s">
        <v>94</v>
      </c>
      <c r="Z21" s="3">
        <f>nCalcul</f>
        <v>1000000000000</v>
      </c>
      <c r="AA21" s="2" t="s">
        <v>95</v>
      </c>
      <c r="AB21" s="65">
        <f>AireM</f>
        <v>9.8820776397669022E-3</v>
      </c>
      <c r="AH21" s="78">
        <v>11</v>
      </c>
      <c r="AI21" s="83">
        <f>$AK$19+RcrM*kUnit*COS(-PI()/2*0+(AH21-$AH$19)*DeltaAng)</f>
        <v>-8.7106431181261037</v>
      </c>
      <c r="AJ21" s="83">
        <f>$AL$19+RcrM*kUnit*SIN(-PI()/2*0+(AH21-$AH$19)*DeltaAng)</f>
        <v>426.74349029814192</v>
      </c>
      <c r="AN21">
        <v>11</v>
      </c>
      <c r="AO21" s="3">
        <f>AO14</f>
        <v>-450</v>
      </c>
      <c r="AP21" s="3">
        <f>AP24</f>
        <v>508</v>
      </c>
    </row>
    <row r="22" spans="1:46" x14ac:dyDescent="0.25">
      <c r="A22" s="4"/>
      <c r="B22" s="4"/>
      <c r="C22" s="4"/>
      <c r="D22" s="4"/>
      <c r="E22" s="4"/>
      <c r="F22" s="4"/>
      <c r="G22" s="4"/>
      <c r="H22" s="75" t="s">
        <v>92</v>
      </c>
      <c r="I22" s="89"/>
      <c r="J22" s="4"/>
      <c r="K22" s="4"/>
      <c r="L22" s="4">
        <v>600715</v>
      </c>
      <c r="M22" s="4"/>
      <c r="N22" s="4"/>
      <c r="R22" s="13"/>
      <c r="S22" s="13"/>
      <c r="T22" s="27" t="s">
        <v>16</v>
      </c>
      <c r="U22" s="15">
        <f>IF(UnitEDalle=UnitM,kUnitM,IF(UnitEDalle=UnitCM,kUnitCM,kUnitMM))</f>
        <v>1000</v>
      </c>
      <c r="V22" s="15">
        <f>Eta*(HcM-TBacM)*Alpha</f>
        <v>6.1999999999999993E-2</v>
      </c>
      <c r="Y22" s="2" t="s">
        <v>97</v>
      </c>
      <c r="Z22" s="3">
        <f>HcM-TBacM</f>
        <v>6.1999999999999993E-2</v>
      </c>
      <c r="AA22" s="2" t="s">
        <v>96</v>
      </c>
      <c r="AB22" s="67">
        <f>AB21+LDalleM*EdalInterne/nCalcul</f>
        <v>9.8820776399529027E-3</v>
      </c>
      <c r="AC22" s="26">
        <f>IF(UnitAireMixte=UnitM2,kUnitM,IF(UnitAireMixte=UnitCM2,kUnitCM,kUnitMM))^2</f>
        <v>10000</v>
      </c>
      <c r="AH22" s="78">
        <v>12</v>
      </c>
      <c r="AI22" s="83">
        <f>$AK$19+RcrM*kUnit*COS(-PI()/2*0+(AH22-$AH$19)*DeltaAng)</f>
        <v>-13.356509701858064</v>
      </c>
      <c r="AJ22" s="83">
        <f>$AL$19+RcrM*kUnit*SIN(-PI()/2*0+(AH22-$AH$19)*DeltaAng)</f>
        <v>431.38935688187388</v>
      </c>
      <c r="AN22">
        <v>12</v>
      </c>
      <c r="AR22" t="s">
        <v>128</v>
      </c>
    </row>
    <row r="23" spans="1:46" x14ac:dyDescent="0.25">
      <c r="A23" s="4"/>
      <c r="B23" s="4"/>
      <c r="C23" s="4"/>
      <c r="D23" s="4"/>
      <c r="E23" s="4"/>
      <c r="F23" s="4"/>
      <c r="G23" s="4"/>
      <c r="H23" s="4"/>
      <c r="I23" s="130">
        <v>1000000000000</v>
      </c>
      <c r="K23" s="4"/>
      <c r="L23" s="4">
        <v>27.518363799999999</v>
      </c>
      <c r="M23" s="4"/>
      <c r="N23" s="4"/>
      <c r="R23" s="13"/>
      <c r="S23" s="13"/>
      <c r="T23" s="28" t="s">
        <v>18</v>
      </c>
      <c r="U23" s="15">
        <f>IF(UnitzDalle=UnitM,kUnitM,IF(UnitzDalle=UnitCM,kUnitCM,kUnitMM))</f>
        <v>100</v>
      </c>
      <c r="V23" s="15">
        <f>HcM-EDalleM</f>
        <v>5.8000000000000003E-2</v>
      </c>
      <c r="Y23" s="2" t="s">
        <v>100</v>
      </c>
      <c r="Z23" s="3">
        <f>HcM+HpM/2</f>
        <v>0.34499999999999997</v>
      </c>
      <c r="AA23" s="1" t="s">
        <v>102</v>
      </c>
      <c r="AB23" s="3">
        <f>nCalcul*AireM/LDalleM</f>
        <v>3294025879.9223008</v>
      </c>
      <c r="AH23" s="78">
        <v>13</v>
      </c>
      <c r="AI23" s="83">
        <f>$AK$19+RcrM*kUnit*COS(-PI()/2*0+(AH23-$AH$19)*DeltaAng)</f>
        <v>-19.210643118126104</v>
      </c>
      <c r="AJ23" s="83">
        <f>$AL$19+RcrM*kUnit*SIN(-PI()/2*0+(AH23-$AH$19)*DeltaAng)</f>
        <v>434.37218684219818</v>
      </c>
      <c r="AN23">
        <v>13</v>
      </c>
      <c r="AR23">
        <v>1</v>
      </c>
      <c r="AS23">
        <f>AS19</f>
        <v>360</v>
      </c>
      <c r="AT23">
        <f>zANEUI*kUnit</f>
        <v>225.00000000591024</v>
      </c>
    </row>
    <row r="24" spans="1:46" x14ac:dyDescent="0.25">
      <c r="A24" s="4"/>
      <c r="B24" s="4"/>
      <c r="C24" s="4"/>
      <c r="D24" s="4"/>
      <c r="E24" s="4"/>
      <c r="F24" s="4"/>
      <c r="G24" s="4"/>
      <c r="H24" s="4"/>
      <c r="I24" s="4"/>
      <c r="J24" s="4"/>
      <c r="K24" s="4"/>
      <c r="L24" s="4">
        <f>10^10</f>
        <v>10000000000</v>
      </c>
      <c r="M24" s="4"/>
      <c r="N24" s="4"/>
      <c r="R24" s="13"/>
      <c r="S24" s="13"/>
      <c r="T24" s="27" t="s">
        <v>19</v>
      </c>
      <c r="U24" s="15">
        <f>IF(UnitzFaceSup=UnitM,kUnitM,IF(UnitzFaceSup=UnitCM,kUnitCM,kUnitMM))</f>
        <v>1000</v>
      </c>
      <c r="V24" s="15">
        <f>SUM(zDalleM,EDalleM)</f>
        <v>0.12</v>
      </c>
      <c r="Y24" s="2"/>
      <c r="Z24" s="3" t="s">
        <v>99</v>
      </c>
      <c r="AB24" s="3" t="s">
        <v>105</v>
      </c>
      <c r="AH24" s="78">
        <v>14</v>
      </c>
      <c r="AI24" s="83">
        <f>$AK$19+RcrM*kUnit*COS(-PI()/2*0+(AH24-$AH$19)*DeltaAng)</f>
        <v>-25.7</v>
      </c>
      <c r="AJ24" s="83">
        <f>$AL$19+RcrM*kUnit*SIN(-PI()/2*0+(AH24-$AH$19)*DeltaAng)</f>
        <v>435.4</v>
      </c>
      <c r="AN24">
        <v>14</v>
      </c>
      <c r="AO24" s="3">
        <f>AO11</f>
        <v>450</v>
      </c>
      <c r="AP24" s="3">
        <f>(HpM+TBacM)*kUnit</f>
        <v>508</v>
      </c>
      <c r="AR24">
        <v>2</v>
      </c>
      <c r="AS24">
        <f>AS20</f>
        <v>-360</v>
      </c>
      <c r="AT24">
        <f>zANEUI*kUnit</f>
        <v>225.00000000591024</v>
      </c>
    </row>
    <row r="25" spans="1:46" x14ac:dyDescent="0.25">
      <c r="A25" s="13"/>
      <c r="B25" s="74" t="s">
        <v>108</v>
      </c>
      <c r="C25" s="68"/>
      <c r="D25" s="68"/>
      <c r="E25" s="68"/>
      <c r="F25" s="68"/>
      <c r="G25" s="68"/>
      <c r="H25" s="68"/>
      <c r="I25" s="68"/>
      <c r="J25" s="68"/>
      <c r="K25" s="13"/>
      <c r="L25" s="4"/>
      <c r="M25" s="4"/>
      <c r="N25" s="4"/>
      <c r="R25" s="13"/>
      <c r="S25" s="13"/>
      <c r="T25" s="27" t="s">
        <v>132</v>
      </c>
      <c r="U25" s="15">
        <f>IF(UnitzFaceSup=UnitM,kUnitM,IF(UnitzFaceSup=UnitCM,kUnitCM,kUnitMM))</f>
        <v>1000</v>
      </c>
      <c r="V25" s="15">
        <f>HcM-TBacM</f>
        <v>6.1999999999999993E-2</v>
      </c>
      <c r="Y25" s="2" t="s">
        <v>98</v>
      </c>
      <c r="Z25" s="66">
        <f>(zPM*AireM+LDalleM*EdalInterne^2/2/nCalcul)/AireMixteM</f>
        <v>0.34499999999408981</v>
      </c>
      <c r="AA25" t="b">
        <f>zInterne&gt;=EdalInterne</f>
        <v>1</v>
      </c>
      <c r="AB25">
        <f>IyM+AireM*(zPM-zInterne)^2+LDalleM*EdalInterne/3/nCalcul*(EdalInterne^2+3*zInterne*(zInterne-EdalInterne))</f>
        <v>3.3742354858051098E-4</v>
      </c>
      <c r="AE25">
        <f>(zPM*AireM)/AireMixteM</f>
        <v>0.34499999999350639</v>
      </c>
      <c r="AH25">
        <v>15</v>
      </c>
      <c r="AI25" s="83">
        <f>-BfM*kUnit/2</f>
        <v>-95</v>
      </c>
      <c r="AJ25" s="83">
        <f>(HpM-TfM)*kUnit</f>
        <v>435.40000000000003</v>
      </c>
      <c r="AN25">
        <v>15</v>
      </c>
      <c r="AO25" s="3">
        <f>-AO24</f>
        <v>-450</v>
      </c>
      <c r="AP25" s="3">
        <f>AP24</f>
        <v>508</v>
      </c>
    </row>
    <row r="26" spans="1:46" x14ac:dyDescent="0.25">
      <c r="A26" s="13"/>
      <c r="B26" s="13"/>
      <c r="C26" s="13"/>
      <c r="D26" s="13"/>
      <c r="E26" s="13"/>
      <c r="F26" s="13"/>
      <c r="G26" s="13"/>
      <c r="H26" s="13"/>
      <c r="I26" s="13"/>
      <c r="J26" s="13"/>
      <c r="K26" s="13"/>
      <c r="L26" s="4"/>
      <c r="M26" s="4"/>
      <c r="N26" s="4"/>
      <c r="Y26" s="2" t="s">
        <v>101</v>
      </c>
      <c r="Z26" s="66">
        <f>VariableDn*(SQRT(1+2*zPM/VariableDn)-1)</f>
        <v>0.34500016114406018</v>
      </c>
      <c r="AB26">
        <f>IyM+AireM*(zPM-zANEDalleM)^2+LDalleM*zANEDalleM^3/3/nCalcul</f>
        <v>3.3742354860343286E-4</v>
      </c>
      <c r="AE26">
        <f>(LDalleM*EdalInterne^2/2/nCalcul)/AireMixteM</f>
        <v>5.8348054023460181E-13</v>
      </c>
      <c r="AH26">
        <v>16</v>
      </c>
      <c r="AI26" s="83">
        <f>AI25</f>
        <v>-95</v>
      </c>
      <c r="AJ26" s="83">
        <f>HpM*kUnit</f>
        <v>450</v>
      </c>
      <c r="AN26">
        <v>16</v>
      </c>
    </row>
    <row r="27" spans="1:46" x14ac:dyDescent="0.25">
      <c r="A27" s="13"/>
      <c r="B27" s="70" t="s">
        <v>79</v>
      </c>
      <c r="C27" s="10"/>
      <c r="D27" s="10"/>
      <c r="E27" s="10"/>
      <c r="F27" s="13"/>
      <c r="G27" s="70" t="s">
        <v>106</v>
      </c>
      <c r="H27" s="10"/>
      <c r="I27" s="10"/>
      <c r="J27" s="10"/>
      <c r="K27" s="13"/>
      <c r="L27" s="4"/>
      <c r="M27" s="4"/>
      <c r="N27" s="4"/>
      <c r="R27" s="29" t="s">
        <v>53</v>
      </c>
      <c r="S27" s="29"/>
      <c r="T27" s="32" t="s">
        <v>55</v>
      </c>
      <c r="U27" s="29"/>
      <c r="V27" s="33">
        <f>BfM*TfM*FyUI/GammaM0</f>
        <v>762850</v>
      </c>
      <c r="AH27">
        <v>17</v>
      </c>
      <c r="AI27" s="3">
        <f>BfM*kUnit/2</f>
        <v>95</v>
      </c>
      <c r="AJ27" s="83">
        <f>AJ26</f>
        <v>450</v>
      </c>
      <c r="AN27">
        <v>17</v>
      </c>
      <c r="AO27" s="3">
        <f>AO24</f>
        <v>450</v>
      </c>
      <c r="AP27" s="3">
        <f>AP24</f>
        <v>508</v>
      </c>
    </row>
    <row r="28" spans="1:46" x14ac:dyDescent="0.25">
      <c r="A28" s="13"/>
      <c r="B28" s="28" t="s">
        <v>80</v>
      </c>
      <c r="C28" s="28" t="s">
        <v>82</v>
      </c>
      <c r="D28" s="61">
        <f>kUnitMplRdAcier*MpplRdUI</f>
        <v>467.99310826725912</v>
      </c>
      <c r="E28" s="91" t="s">
        <v>83</v>
      </c>
      <c r="F28" s="13"/>
      <c r="G28" s="13"/>
      <c r="H28" s="28" t="s">
        <v>7</v>
      </c>
      <c r="I28" s="61">
        <f>kUnitAireMixte*AireMixteM</f>
        <v>98.820776399529024</v>
      </c>
      <c r="J28" s="92" t="s">
        <v>35</v>
      </c>
      <c r="K28" s="13"/>
      <c r="L28" s="4"/>
      <c r="M28" s="4"/>
      <c r="N28" s="4"/>
      <c r="R28" s="29" t="s">
        <v>54</v>
      </c>
      <c r="S28" s="29"/>
      <c r="T28" s="32" t="s">
        <v>56</v>
      </c>
      <c r="U28" s="29"/>
      <c r="V28" s="38">
        <f>RcrM*(TwM+(4-PI())*RcrM/2)*FyUI/GammaM0</f>
        <v>106336.67546794892</v>
      </c>
      <c r="Y28" s="2" t="s">
        <v>103</v>
      </c>
      <c r="Z28" s="3">
        <f>IF(AA25,zInterne,Z26)</f>
        <v>0.34499999999408981</v>
      </c>
      <c r="AH28">
        <v>18</v>
      </c>
      <c r="AI28" s="3">
        <f>AI27</f>
        <v>95</v>
      </c>
      <c r="AJ28" s="83">
        <f>AJ25</f>
        <v>435.40000000000003</v>
      </c>
      <c r="AN28">
        <v>18</v>
      </c>
      <c r="AO28" s="3">
        <f>AO27</f>
        <v>450</v>
      </c>
      <c r="AP28" s="3">
        <f>HpM*kUnit</f>
        <v>450</v>
      </c>
    </row>
    <row r="29" spans="1:46" x14ac:dyDescent="0.25">
      <c r="A29" s="13"/>
      <c r="B29" s="28" t="s">
        <v>81</v>
      </c>
      <c r="C29" s="28" t="s">
        <v>82</v>
      </c>
      <c r="D29" s="61">
        <f>kUnitMplRdMixte*MplRdUI</f>
        <v>845.93593181705842</v>
      </c>
      <c r="E29" s="91" t="s">
        <v>83</v>
      </c>
      <c r="F29" s="13"/>
      <c r="G29" s="13"/>
      <c r="H29" s="28" t="s">
        <v>43</v>
      </c>
      <c r="I29" s="61">
        <f>kUnitInertieMixte*InertieMixteUI</f>
        <v>33742.354858051098</v>
      </c>
      <c r="J29" s="92" t="s">
        <v>9</v>
      </c>
      <c r="K29" s="13"/>
      <c r="L29" s="4"/>
      <c r="M29" s="4"/>
      <c r="N29" s="4"/>
      <c r="R29" s="29"/>
      <c r="S29" s="29"/>
      <c r="T29" s="32" t="s">
        <v>57</v>
      </c>
      <c r="U29" s="29"/>
      <c r="V29" s="33">
        <f>HwUI*TwM*FyUI/GammaM0</f>
        <v>979198.00000000012</v>
      </c>
      <c r="Y29" s="2" t="s">
        <v>104</v>
      </c>
      <c r="Z29" s="23">
        <f>HpM+HcM-Z28</f>
        <v>0.22500000000591025</v>
      </c>
      <c r="AB29" s="23">
        <f>IF(AA25,AB25,AB26)</f>
        <v>3.3742354858051098E-4</v>
      </c>
      <c r="AH29" s="82">
        <v>19</v>
      </c>
      <c r="AI29" s="83">
        <f>-AI24</f>
        <v>25.7</v>
      </c>
      <c r="AJ29" s="83">
        <f>AJ24</f>
        <v>435.4</v>
      </c>
      <c r="AN29">
        <v>19</v>
      </c>
      <c r="AO29" s="3">
        <f>-AO28</f>
        <v>-450</v>
      </c>
      <c r="AP29" s="3">
        <f>AP28</f>
        <v>450</v>
      </c>
    </row>
    <row r="30" spans="1:46" x14ac:dyDescent="0.25">
      <c r="A30" s="13"/>
      <c r="B30" s="13"/>
      <c r="C30" s="27" t="s">
        <v>110</v>
      </c>
      <c r="D30" s="61">
        <f>kUnitzANP*zANPUI</f>
        <v>449.20984353171389</v>
      </c>
      <c r="E30" s="91" t="s">
        <v>6</v>
      </c>
      <c r="F30" s="13"/>
      <c r="G30" s="13"/>
      <c r="H30" s="27" t="s">
        <v>109</v>
      </c>
      <c r="I30" s="61">
        <f>kUnitANE*zANEUI</f>
        <v>225.00000000591024</v>
      </c>
      <c r="J30" s="91" t="s">
        <v>6</v>
      </c>
      <c r="K30" s="13"/>
      <c r="L30" s="132">
        <f>I30-450</f>
        <v>-224.99999999408976</v>
      </c>
      <c r="M30" s="4" t="s">
        <v>150</v>
      </c>
      <c r="N30" s="4"/>
      <c r="R30" s="29"/>
      <c r="S30" s="29"/>
      <c r="T30" s="32" t="s">
        <v>49</v>
      </c>
      <c r="U30" s="29"/>
      <c r="V30" s="38">
        <f>2*NfUI+2*NrUI+NwUI</f>
        <v>2717571.3509358978</v>
      </c>
      <c r="Z30" s="24">
        <f>IF(UniteZANEMixte=UnitM,kUnitM,IF(UniteZANEMixte=UnitCM,kUnitCM,kUnitMM))</f>
        <v>1000</v>
      </c>
      <c r="AB30" s="26">
        <f>IF(UnitInertieMixte=UnitM4,kUnitM,IF(UnitInertieMixte=UnitCM4,kUnitCM,kUnitMM))^4</f>
        <v>100000000</v>
      </c>
      <c r="AH30" s="13">
        <v>20</v>
      </c>
      <c r="AI30" s="83">
        <f>-AI23</f>
        <v>19.210643118126104</v>
      </c>
      <c r="AJ30" s="83">
        <f>AJ23</f>
        <v>434.37218684219818</v>
      </c>
      <c r="AN30">
        <v>20</v>
      </c>
      <c r="AO30" s="3">
        <f>AO29</f>
        <v>-450</v>
      </c>
      <c r="AP30" s="3">
        <f>AP27</f>
        <v>508</v>
      </c>
    </row>
    <row r="31" spans="1:46" x14ac:dyDescent="0.25">
      <c r="A31" s="13"/>
      <c r="B31" s="13"/>
      <c r="C31" s="13"/>
      <c r="D31" s="69" t="s">
        <v>84</v>
      </c>
      <c r="E31" s="13"/>
      <c r="F31" s="13"/>
      <c r="G31" s="13"/>
      <c r="H31" s="13"/>
      <c r="I31" s="69" t="s">
        <v>84</v>
      </c>
      <c r="J31" s="13"/>
      <c r="K31" s="13"/>
      <c r="L31" s="4"/>
      <c r="M31" s="4"/>
      <c r="N31" s="4"/>
      <c r="R31" s="29"/>
      <c r="S31" s="29"/>
      <c r="T31" s="32" t="s">
        <v>15</v>
      </c>
      <c r="U31" s="29"/>
      <c r="V31" s="33">
        <f>0.85*LDalleM*EDalleM*FckUI/GammaC</f>
        <v>2634999.9999999995</v>
      </c>
      <c r="AH31" s="13">
        <v>21</v>
      </c>
      <c r="AI31" s="83">
        <f>-AI22</f>
        <v>13.356509701858064</v>
      </c>
      <c r="AJ31" s="83">
        <f>AJ22</f>
        <v>431.38935688187388</v>
      </c>
      <c r="AN31">
        <v>21</v>
      </c>
      <c r="AO31" s="3"/>
      <c r="AP31" s="3"/>
    </row>
    <row r="32" spans="1:46" x14ac:dyDescent="0.25">
      <c r="A32" s="4"/>
      <c r="B32" s="4"/>
      <c r="C32" s="4"/>
      <c r="D32" s="4"/>
      <c r="E32" s="4"/>
      <c r="F32" s="4"/>
      <c r="G32" s="4"/>
      <c r="H32" s="4"/>
      <c r="I32" s="4"/>
      <c r="J32" s="4"/>
      <c r="K32" s="4"/>
      <c r="L32" s="4"/>
      <c r="M32" s="4"/>
      <c r="N32" s="4"/>
      <c r="P32" t="e">
        <f>VLOOKUP(I22,Q35:R37,2)*n0</f>
        <v>#N/A</v>
      </c>
      <c r="AH32" s="13">
        <v>22</v>
      </c>
      <c r="AI32" s="83">
        <f>-AI21</f>
        <v>8.7106431181261037</v>
      </c>
      <c r="AJ32" s="83">
        <f>AJ21</f>
        <v>426.74349029814192</v>
      </c>
      <c r="AN32">
        <v>22</v>
      </c>
      <c r="AO32" s="3"/>
      <c r="AP32" s="3"/>
    </row>
    <row r="33" spans="1:42" x14ac:dyDescent="0.25">
      <c r="A33" s="4"/>
      <c r="B33" s="4"/>
      <c r="C33" s="4"/>
      <c r="D33" s="4"/>
      <c r="E33" s="4"/>
      <c r="F33" s="4"/>
      <c r="G33" s="4"/>
      <c r="H33" s="4"/>
      <c r="I33" s="4"/>
      <c r="J33" s="4"/>
      <c r="K33" s="4"/>
      <c r="L33" s="4"/>
      <c r="M33" s="4"/>
      <c r="N33" s="4"/>
      <c r="AH33" s="13">
        <v>23</v>
      </c>
      <c r="AI33" s="83">
        <f>-AI20</f>
        <v>5.7278131578017764</v>
      </c>
      <c r="AJ33" s="83">
        <f>AJ20</f>
        <v>420.88935688187388</v>
      </c>
      <c r="AN33">
        <v>23</v>
      </c>
      <c r="AO33" s="3"/>
      <c r="AP33" s="3"/>
    </row>
    <row r="34" spans="1:42" x14ac:dyDescent="0.25">
      <c r="A34" s="4"/>
      <c r="B34" s="4"/>
      <c r="C34" s="4"/>
      <c r="D34" s="4"/>
      <c r="E34" s="4"/>
      <c r="F34" s="4"/>
      <c r="G34" s="4"/>
      <c r="H34" s="4"/>
      <c r="I34" s="4"/>
      <c r="J34" s="4"/>
      <c r="K34" s="4"/>
      <c r="L34" s="4"/>
      <c r="M34" s="4"/>
      <c r="N34" s="4"/>
      <c r="AH34" s="13">
        <v>24</v>
      </c>
      <c r="AI34" s="3">
        <f>-AI19</f>
        <v>4.7</v>
      </c>
      <c r="AJ34" s="3">
        <f>AJ19</f>
        <v>414.4</v>
      </c>
      <c r="AN34">
        <v>24</v>
      </c>
      <c r="AO34" s="3"/>
      <c r="AP34" s="3"/>
    </row>
    <row r="35" spans="1:42" x14ac:dyDescent="0.25">
      <c r="A35" s="4"/>
      <c r="B35" s="4"/>
      <c r="C35" s="4"/>
      <c r="D35" s="4"/>
      <c r="E35" s="4"/>
      <c r="F35" s="4"/>
      <c r="G35" s="4"/>
      <c r="H35" s="4"/>
      <c r="I35" s="4"/>
      <c r="J35" s="4"/>
      <c r="K35" s="4"/>
      <c r="L35" s="4"/>
      <c r="M35" s="4"/>
      <c r="N35" s="4"/>
      <c r="Q35" s="77" t="s">
        <v>129</v>
      </c>
      <c r="R35" s="77">
        <v>1</v>
      </c>
      <c r="AH35" s="82">
        <v>25</v>
      </c>
      <c r="AI35" s="81">
        <f>-AI18</f>
        <v>4.6999999999999993</v>
      </c>
      <c r="AJ35" s="65">
        <f>AJ18</f>
        <v>35.6</v>
      </c>
    </row>
    <row r="36" spans="1:42" x14ac:dyDescent="0.25">
      <c r="A36" s="4"/>
      <c r="B36" s="4"/>
      <c r="C36" s="4"/>
      <c r="D36" s="4"/>
      <c r="E36" s="4"/>
      <c r="F36" s="4"/>
      <c r="G36" s="4"/>
      <c r="H36" s="4"/>
      <c r="I36" s="4"/>
      <c r="J36" s="4"/>
      <c r="K36" s="4"/>
      <c r="L36" s="4"/>
      <c r="M36" s="4"/>
      <c r="N36" s="4"/>
      <c r="Q36" s="77" t="s">
        <v>130</v>
      </c>
      <c r="R36" s="77">
        <v>2</v>
      </c>
      <c r="AH36" s="13">
        <v>26</v>
      </c>
      <c r="AI36" s="83">
        <f>-AI17</f>
        <v>5.7278131578017764</v>
      </c>
      <c r="AJ36" s="83">
        <f>AJ17</f>
        <v>29.110643118126106</v>
      </c>
    </row>
    <row r="37" spans="1:42" x14ac:dyDescent="0.25">
      <c r="A37" s="4"/>
      <c r="B37" s="4"/>
      <c r="C37" s="4"/>
      <c r="D37" s="4"/>
      <c r="E37" s="4"/>
      <c r="F37" s="4"/>
      <c r="G37" s="4"/>
      <c r="H37" s="4"/>
      <c r="I37" s="4"/>
      <c r="J37" s="4"/>
      <c r="K37" s="4"/>
      <c r="L37" s="4"/>
      <c r="M37" s="4"/>
      <c r="N37" s="4"/>
      <c r="Q37" s="77" t="s">
        <v>131</v>
      </c>
      <c r="R37" s="77">
        <v>3</v>
      </c>
      <c r="AH37" s="13">
        <v>27</v>
      </c>
      <c r="AI37" s="83">
        <f>-AI16</f>
        <v>8.7106431181261001</v>
      </c>
      <c r="AJ37" s="83">
        <f>AJ16</f>
        <v>23.256509701858064</v>
      </c>
    </row>
    <row r="38" spans="1:42" x14ac:dyDescent="0.25">
      <c r="A38" s="4"/>
      <c r="B38" s="4"/>
      <c r="C38" s="4"/>
      <c r="D38" s="4"/>
      <c r="E38" s="4"/>
      <c r="F38" s="4"/>
      <c r="G38" s="4"/>
      <c r="H38" s="4"/>
      <c r="I38" s="4"/>
      <c r="J38" s="4"/>
      <c r="K38" s="4"/>
      <c r="L38" s="4"/>
      <c r="M38" s="4"/>
      <c r="N38" s="4"/>
      <c r="AH38" s="13">
        <v>28</v>
      </c>
      <c r="AI38" s="83">
        <f>-AI15</f>
        <v>13.356509701858062</v>
      </c>
      <c r="AJ38" s="83">
        <f>AJ15</f>
        <v>18.610643118126102</v>
      </c>
    </row>
    <row r="39" spans="1:42" x14ac:dyDescent="0.25">
      <c r="A39" s="4"/>
      <c r="B39" s="4"/>
      <c r="C39" s="4"/>
      <c r="D39" s="4"/>
      <c r="E39" s="4"/>
      <c r="F39" s="4"/>
      <c r="G39" s="4"/>
      <c r="H39" s="4"/>
      <c r="I39" s="4"/>
      <c r="J39" s="4"/>
      <c r="K39" s="4"/>
      <c r="L39" s="4"/>
      <c r="M39" s="4"/>
      <c r="N39" s="4"/>
      <c r="AH39" s="13">
        <v>29</v>
      </c>
      <c r="AI39" s="83">
        <f>-AI14</f>
        <v>19.210643118126104</v>
      </c>
      <c r="AJ39" s="83">
        <f>AJ14</f>
        <v>15.627813157801778</v>
      </c>
    </row>
    <row r="40" spans="1:42" x14ac:dyDescent="0.25">
      <c r="A40" s="4"/>
      <c r="B40" s="4"/>
      <c r="C40" s="4"/>
      <c r="D40" s="4"/>
      <c r="E40" s="4"/>
      <c r="F40" s="4"/>
      <c r="G40" s="4"/>
      <c r="H40" s="4"/>
      <c r="I40" s="4"/>
      <c r="J40" s="4"/>
      <c r="K40" s="4"/>
      <c r="L40" s="4"/>
      <c r="M40" s="4"/>
      <c r="N40" s="4"/>
      <c r="R40" s="106" t="s">
        <v>143</v>
      </c>
      <c r="S40" s="107"/>
      <c r="T40" s="107"/>
      <c r="U40" s="107"/>
      <c r="V40" s="108"/>
      <c r="AH40" s="13">
        <v>30</v>
      </c>
      <c r="AI40" s="3">
        <f>-AI13</f>
        <v>25.7</v>
      </c>
      <c r="AJ40" s="3">
        <f>AJ13</f>
        <v>14.6</v>
      </c>
    </row>
    <row r="41" spans="1:42" x14ac:dyDescent="0.25">
      <c r="A41" s="4"/>
      <c r="B41" s="4"/>
      <c r="C41" s="4"/>
      <c r="D41" s="4"/>
      <c r="E41" s="4"/>
      <c r="F41" s="4"/>
      <c r="G41" s="4"/>
      <c r="H41" s="4"/>
      <c r="I41" s="4"/>
      <c r="J41" s="4"/>
      <c r="K41" s="4"/>
      <c r="L41" s="4"/>
      <c r="M41" s="4"/>
      <c r="N41" s="4"/>
      <c r="R41" s="109" t="s">
        <v>144</v>
      </c>
      <c r="S41" s="110"/>
      <c r="T41" s="110"/>
      <c r="U41" s="111" t="s">
        <v>145</v>
      </c>
      <c r="V41" s="112"/>
      <c r="AH41">
        <v>31</v>
      </c>
      <c r="AI41" s="3">
        <f>BfM/2*kUnit</f>
        <v>95</v>
      </c>
      <c r="AJ41" s="3">
        <f>TfM*kUnit</f>
        <v>14.6</v>
      </c>
    </row>
    <row r="42" spans="1:42" x14ac:dyDescent="0.25">
      <c r="A42" s="4"/>
      <c r="B42" s="4"/>
      <c r="C42" s="4"/>
      <c r="D42" s="4"/>
      <c r="E42" s="4"/>
      <c r="F42" s="4"/>
      <c r="G42" s="4"/>
      <c r="H42" s="4"/>
      <c r="I42" s="4"/>
      <c r="J42" s="4"/>
      <c r="K42" s="4"/>
      <c r="L42" s="4"/>
      <c r="M42" s="4"/>
      <c r="N42" s="4"/>
      <c r="R42" s="113" t="s">
        <v>146</v>
      </c>
      <c r="S42" s="114">
        <f>NpUI</f>
        <v>2717571.3509358978</v>
      </c>
      <c r="T42" s="110"/>
      <c r="U42" s="115" t="s">
        <v>147</v>
      </c>
      <c r="V42" s="121">
        <f>IF(NProfMax&lt;NDalleMax,NProfMax/NDalleMax,1)</f>
        <v>1</v>
      </c>
      <c r="AH42">
        <v>32</v>
      </c>
      <c r="AI42" s="3">
        <f>AI41</f>
        <v>95</v>
      </c>
      <c r="AJ42" s="3">
        <v>0</v>
      </c>
    </row>
    <row r="43" spans="1:42" x14ac:dyDescent="0.25">
      <c r="A43" s="4"/>
      <c r="B43" s="4"/>
      <c r="C43" s="4"/>
      <c r="D43" s="4"/>
      <c r="E43" s="4"/>
      <c r="F43" s="4"/>
      <c r="G43" s="4"/>
      <c r="H43" s="4"/>
      <c r="I43" s="4"/>
      <c r="J43" s="4"/>
      <c r="K43" s="4"/>
      <c r="L43" s="4"/>
      <c r="M43" s="4"/>
      <c r="N43" s="4"/>
      <c r="R43" s="116" t="s">
        <v>15</v>
      </c>
      <c r="S43" s="117">
        <f>0.85*LDalleM*(HcM-TBacM)*FckUI/GammaC</f>
        <v>2634999.9999999995</v>
      </c>
      <c r="T43" s="118"/>
      <c r="U43" s="119"/>
      <c r="V43" s="120"/>
      <c r="AH43">
        <v>33</v>
      </c>
      <c r="AI43" s="3">
        <f>-AI42</f>
        <v>-95</v>
      </c>
      <c r="AJ43" s="3">
        <f>AJ42</f>
        <v>0</v>
      </c>
    </row>
    <row r="44" spans="1:42" x14ac:dyDescent="0.25">
      <c r="A44" s="4"/>
      <c r="B44" s="4"/>
      <c r="C44" s="4"/>
      <c r="D44" s="4"/>
      <c r="E44" s="4"/>
      <c r="F44" s="4"/>
      <c r="G44" s="4"/>
      <c r="H44" s="4"/>
      <c r="I44" s="4"/>
      <c r="J44" s="4"/>
      <c r="K44" s="4"/>
      <c r="L44" s="4"/>
      <c r="M44" s="4"/>
      <c r="N44" s="4"/>
      <c r="AI44" s="3"/>
      <c r="AJ44" s="3"/>
    </row>
    <row r="45" spans="1:42" x14ac:dyDescent="0.25">
      <c r="A45" s="4"/>
      <c r="B45" s="4"/>
      <c r="C45" s="4"/>
      <c r="D45" s="4"/>
      <c r="E45" s="4"/>
      <c r="F45" s="4"/>
      <c r="G45" s="4"/>
      <c r="H45" s="4"/>
      <c r="I45" s="4"/>
      <c r="J45" s="4"/>
      <c r="K45" s="4"/>
      <c r="L45" s="4"/>
      <c r="M45" s="4"/>
      <c r="N45" s="4"/>
      <c r="AI45" s="3"/>
      <c r="AJ45" s="3"/>
    </row>
    <row r="46" spans="1:42" x14ac:dyDescent="0.25">
      <c r="A46" s="4"/>
      <c r="B46" s="4"/>
      <c r="C46" s="4"/>
      <c r="D46" s="4"/>
      <c r="E46" s="4"/>
      <c r="F46" s="4"/>
      <c r="G46" s="4"/>
      <c r="H46" s="4"/>
      <c r="I46" s="4"/>
      <c r="J46" s="4"/>
      <c r="K46" s="4"/>
      <c r="L46" s="4"/>
      <c r="M46" s="4"/>
      <c r="N46" s="4"/>
      <c r="AI46" s="3"/>
      <c r="AJ46" s="3"/>
    </row>
    <row r="47" spans="1:42" x14ac:dyDescent="0.25">
      <c r="A47" s="4"/>
      <c r="B47" s="4"/>
      <c r="C47" s="4"/>
      <c r="D47" s="4"/>
      <c r="E47" s="4"/>
      <c r="F47" s="4"/>
      <c r="G47" s="4"/>
      <c r="H47" s="4"/>
      <c r="I47" s="4"/>
      <c r="J47" s="4"/>
      <c r="K47" s="4"/>
      <c r="L47" s="4"/>
      <c r="M47" s="4"/>
      <c r="N47" s="4"/>
      <c r="AI47" s="3"/>
      <c r="AJ47" s="3"/>
    </row>
    <row r="48" spans="1:42" x14ac:dyDescent="0.25">
      <c r="A48" s="4"/>
      <c r="B48" s="4"/>
      <c r="C48" s="4"/>
      <c r="D48" s="4"/>
      <c r="E48" s="4"/>
      <c r="F48" s="4"/>
      <c r="G48" s="4"/>
      <c r="H48" s="4"/>
      <c r="I48" s="4"/>
      <c r="J48" s="4"/>
      <c r="K48" s="4"/>
      <c r="L48" s="4"/>
      <c r="M48" s="4"/>
      <c r="N48" s="4"/>
    </row>
    <row r="49" spans="1:14" x14ac:dyDescent="0.25">
      <c r="A49" s="4"/>
      <c r="B49" s="4"/>
      <c r="C49" s="4"/>
      <c r="D49" s="4"/>
      <c r="E49" s="4"/>
      <c r="F49" s="4"/>
      <c r="G49" s="4"/>
      <c r="H49" s="4"/>
      <c r="I49" s="4"/>
      <c r="J49" s="4"/>
      <c r="K49" s="4"/>
      <c r="L49" s="4"/>
      <c r="M49" s="4"/>
      <c r="N49" s="4"/>
    </row>
    <row r="50" spans="1:14" x14ac:dyDescent="0.25">
      <c r="A50" s="4"/>
      <c r="B50" s="4"/>
      <c r="C50" s="4"/>
      <c r="D50" s="4"/>
      <c r="E50" s="4"/>
      <c r="F50" s="4"/>
      <c r="G50" s="4"/>
      <c r="H50" s="4"/>
      <c r="I50" s="4"/>
      <c r="J50" s="4"/>
      <c r="K50" s="4"/>
      <c r="L50" s="4"/>
      <c r="M50" s="4"/>
      <c r="N50" s="4"/>
    </row>
    <row r="51" spans="1:14" x14ac:dyDescent="0.25">
      <c r="A51" s="4"/>
      <c r="B51" s="4"/>
      <c r="C51" s="4"/>
      <c r="D51" s="4"/>
      <c r="E51" s="4"/>
      <c r="F51" s="4"/>
      <c r="G51" s="4"/>
      <c r="H51" s="4"/>
      <c r="I51" s="4"/>
      <c r="J51" s="4"/>
      <c r="K51" s="4"/>
      <c r="L51" s="4"/>
      <c r="M51" s="4"/>
      <c r="N51" s="4"/>
    </row>
    <row r="52" spans="1:14" x14ac:dyDescent="0.25">
      <c r="A52" s="4"/>
      <c r="B52" s="4"/>
      <c r="C52" s="4"/>
      <c r="D52" s="4"/>
      <c r="E52" s="4"/>
      <c r="F52" s="4"/>
      <c r="G52" s="4"/>
      <c r="H52" s="4"/>
      <c r="I52" s="4"/>
      <c r="J52" s="4"/>
      <c r="K52" s="4"/>
      <c r="L52" s="4"/>
      <c r="M52" s="4"/>
      <c r="N52" s="4"/>
    </row>
    <row r="53" spans="1:14" x14ac:dyDescent="0.25">
      <c r="A53" s="4"/>
      <c r="B53" s="4"/>
      <c r="C53" s="4"/>
      <c r="D53" s="4"/>
      <c r="E53" s="4"/>
      <c r="F53" s="4"/>
      <c r="G53" s="4"/>
      <c r="H53" s="4"/>
      <c r="I53" s="4"/>
      <c r="J53" s="4"/>
      <c r="K53" s="4"/>
      <c r="L53" s="4"/>
      <c r="M53" s="4"/>
      <c r="N53" s="4"/>
    </row>
    <row r="54" spans="1:14" x14ac:dyDescent="0.25">
      <c r="A54" s="4"/>
      <c r="B54" s="4"/>
      <c r="C54" s="4"/>
      <c r="D54" s="4"/>
      <c r="E54" s="4"/>
      <c r="F54" s="4"/>
      <c r="G54" s="4"/>
      <c r="H54" s="4"/>
      <c r="I54" s="4"/>
      <c r="J54" s="4"/>
      <c r="K54" s="4"/>
      <c r="L54" s="4"/>
      <c r="M54" s="4"/>
      <c r="N54" s="4"/>
    </row>
    <row r="55" spans="1:14" x14ac:dyDescent="0.25">
      <c r="A55" s="4"/>
      <c r="B55" s="4"/>
      <c r="C55" s="4"/>
      <c r="D55" s="4"/>
      <c r="E55" s="4"/>
      <c r="F55" s="4"/>
      <c r="G55" s="4"/>
      <c r="H55" s="4"/>
      <c r="I55" s="4"/>
      <c r="J55" s="4"/>
      <c r="K55" s="4"/>
      <c r="L55" s="4"/>
      <c r="M55" s="4"/>
      <c r="N55" s="4"/>
    </row>
    <row r="56" spans="1:14" x14ac:dyDescent="0.25">
      <c r="A56" s="4"/>
      <c r="B56" s="4"/>
      <c r="C56" s="4"/>
      <c r="D56" s="4"/>
      <c r="E56" s="4"/>
      <c r="F56" s="4"/>
      <c r="G56" s="4"/>
      <c r="H56" s="4"/>
      <c r="I56" s="4"/>
      <c r="J56" s="4"/>
      <c r="K56" s="4"/>
      <c r="L56" s="4"/>
      <c r="M56" s="4"/>
      <c r="N56" s="4"/>
    </row>
    <row r="57" spans="1:14" x14ac:dyDescent="0.25">
      <c r="A57" s="4"/>
      <c r="B57" s="4"/>
      <c r="C57" s="4"/>
      <c r="D57" s="4"/>
      <c r="E57" s="4"/>
      <c r="F57" s="4"/>
      <c r="G57" s="4"/>
      <c r="H57" s="4"/>
      <c r="I57" s="4"/>
      <c r="J57" s="4"/>
      <c r="K57" s="4"/>
      <c r="L57" s="4"/>
      <c r="M57" s="4"/>
      <c r="N57" s="4"/>
    </row>
    <row r="58" spans="1:14" x14ac:dyDescent="0.25">
      <c r="A58" s="4"/>
      <c r="B58" s="4"/>
      <c r="C58" s="4"/>
      <c r="D58" s="4"/>
      <c r="E58" s="4"/>
      <c r="F58" s="4"/>
      <c r="G58" s="4"/>
      <c r="H58" s="4"/>
      <c r="I58" s="4"/>
      <c r="J58" s="4"/>
      <c r="K58" s="4"/>
      <c r="L58" s="4"/>
      <c r="M58" s="4"/>
      <c r="N58" s="4"/>
    </row>
    <row r="59" spans="1:14" x14ac:dyDescent="0.25">
      <c r="A59" s="4"/>
      <c r="B59" s="4"/>
      <c r="C59" s="4"/>
      <c r="D59" s="4"/>
      <c r="E59" s="4"/>
      <c r="F59" s="4"/>
      <c r="G59" s="4"/>
      <c r="H59" s="4"/>
      <c r="I59" s="4"/>
      <c r="J59" s="4"/>
      <c r="K59" s="4"/>
      <c r="L59" s="4"/>
      <c r="M59" s="4"/>
      <c r="N59" s="4"/>
    </row>
    <row r="60" spans="1:14" x14ac:dyDescent="0.25">
      <c r="A60" s="4"/>
      <c r="B60" s="4"/>
      <c r="C60" s="4"/>
      <c r="D60" s="4"/>
      <c r="E60" s="4"/>
      <c r="F60" s="4"/>
      <c r="G60" s="4"/>
      <c r="H60" s="4"/>
      <c r="I60" s="4"/>
      <c r="J60" s="4"/>
      <c r="K60" s="4"/>
      <c r="L60" s="4"/>
      <c r="M60" s="4"/>
      <c r="N60" s="4"/>
    </row>
  </sheetData>
  <protectedRanges>
    <protectedRange sqref="I16:I18" name="Plage12"/>
    <protectedRange sqref="J28:J30" name="Plage11"/>
    <protectedRange sqref="I22" name="Plage10"/>
    <protectedRange sqref="I16:I18" name="Plage9"/>
    <protectedRange sqref="E28:E30" name="Plage6"/>
    <protectedRange sqref="E20:E21" name="Plage5"/>
    <protectedRange sqref="E16:E18" name="Plage4"/>
    <protectedRange sqref="D16:D19" name="Plage3"/>
    <protectedRange sqref="E6:E13" name="Plage2"/>
    <protectedRange sqref="D6:D10" name="Plage1"/>
    <protectedRange sqref="I7:I8" name="Plage7"/>
    <protectedRange sqref="I10:I11" name="Plage8"/>
  </protectedRanges>
  <conditionalFormatting sqref="I30 D30">
    <cfRule type="cellIs" dxfId="7" priority="6" operator="greaterThan">
      <formula>100</formula>
    </cfRule>
    <cfRule type="cellIs" dxfId="6" priority="7" operator="between">
      <formula>1</formula>
      <formula>100</formula>
    </cfRule>
    <cfRule type="cellIs" dxfId="5" priority="8" operator="lessThan">
      <formula>1</formula>
    </cfRule>
  </conditionalFormatting>
  <conditionalFormatting sqref="D11:D13">
    <cfRule type="cellIs" dxfId="4" priority="1" operator="greaterThan">
      <formula>10000000</formula>
    </cfRule>
    <cfRule type="cellIs" dxfId="3" priority="4" operator="between">
      <formula>1</formula>
      <formula>100</formula>
    </cfRule>
    <cfRule type="cellIs" dxfId="2" priority="5" operator="lessThan">
      <formula>1</formula>
    </cfRule>
  </conditionalFormatting>
  <conditionalFormatting sqref="D11">
    <cfRule type="cellIs" dxfId="1" priority="2" operator="between">
      <formula>1000</formula>
      <formula>10000000</formula>
    </cfRule>
    <cfRule type="cellIs" dxfId="0" priority="3" operator="between">
      <formula>100</formula>
      <formula>1000</formula>
    </cfRule>
  </conditionalFormatting>
  <dataValidations disablePrompts="1" count="21">
    <dataValidation type="list" allowBlank="1" showInputMessage="1" showErrorMessage="1" sqref="E6:E10 E16:E18 E20:E21 E30 J30">
      <formula1>UnitDim</formula1>
    </dataValidation>
    <dataValidation type="list" allowBlank="1" showInputMessage="1" showErrorMessage="1" sqref="E11 J28">
      <formula1>UnitDim2</formula1>
    </dataValidation>
    <dataValidation type="list" allowBlank="1" showInputMessage="1" showErrorMessage="1" sqref="E13">
      <formula1>UnitDim3</formula1>
    </dataValidation>
    <dataValidation type="list" allowBlank="1" showInputMessage="1" showErrorMessage="1" sqref="E12 J29">
      <formula1>UnitDim4</formula1>
    </dataValidation>
    <dataValidation type="list" allowBlank="1" showInputMessage="1" showErrorMessage="1" sqref="E28:E29">
      <formula1>UnitMoment</formula1>
    </dataValidation>
    <dataValidation type="list" allowBlank="1" showInputMessage="1" showErrorMessage="1" errorTitle="Coefficient d'équivalence" error="Choisir une des valeurs prédéfinies" sqref="I22">
      <formula1>ListeN</formula1>
    </dataValidation>
    <dataValidation type="custom" allowBlank="1" showInputMessage="1" showErrorMessage="1" errorTitle="Hauteur du profilé" error="Entrez une valeur numérique" sqref="D6">
      <formula1>ISNUMBER(D6)</formula1>
    </dataValidation>
    <dataValidation type="custom" allowBlank="1" showInputMessage="1" showErrorMessage="1" errorTitle="Largeur de semelle" error="Entrez une valeur numérique" sqref="D7">
      <formula1>ISNUMBER(D7)</formula1>
    </dataValidation>
    <dataValidation type="custom" allowBlank="1" showInputMessage="1" showErrorMessage="1" errorTitle="Epaisseur d'âme" error="Entrez une valeur numérique_x000a_" sqref="D9">
      <formula1>ISNUMBER(D9)</formula1>
    </dataValidation>
    <dataValidation type="decimal" allowBlank="1" showInputMessage="1" showErrorMessage="1" errorTitle="Degré de connexion" error="Entrez une valeur numérique comprise entre 0 et 1" sqref="D19">
      <formula1>0</formula1>
      <formula2>1</formula2>
    </dataValidation>
    <dataValidation type="custom" allowBlank="1" showInputMessage="1" showErrorMessage="1" errorTitle="Hauteur de bac ou de prédalle" error="Entrez une valeur numérique" sqref="D18">
      <formula1>ISNUMBER(D18)</formula1>
    </dataValidation>
    <dataValidation type="custom" allowBlank="1" showInputMessage="1" showErrorMessage="1" errorTitle="Hauteur totale de dalle" error="Entrez une valeur numérique" sqref="D17">
      <formula1>ISNUMBER(D17)</formula1>
    </dataValidation>
    <dataValidation type="custom" allowBlank="1" showInputMessage="1" showErrorMessage="1" errorTitle="Largeur efficace de dalle" error="Entrez une valeur numérique_x000a_" sqref="D16">
      <formula1>ISNUMBER(D16)</formula1>
    </dataValidation>
    <dataValidation type="custom" allowBlank="1" showInputMessage="1" showErrorMessage="1" errorTitle="Rayon du congé de raccordement" error="Entrez une valeur numérique" sqref="D10">
      <formula1>ISNUMBER(D10)</formula1>
    </dataValidation>
    <dataValidation type="custom" allowBlank="1" showInputMessage="1" showErrorMessage="1" errorTitle="Epaisseur de semelle" error="Entrez une valeur numérique" sqref="D8">
      <formula1>ISNUMBER(D8)</formula1>
    </dataValidation>
    <dataValidation type="custom" allowBlank="1" showInputMessage="1" showErrorMessage="1" errorTitle="Module d'Young de l'acier" error="Entrez une valeur numérique" sqref="I7">
      <formula1>ISNUMBER(I7)</formula1>
    </dataValidation>
    <dataValidation type="custom" allowBlank="1" showInputMessage="1" showErrorMessage="1" errorTitle="Limite d'élasticité de l'acier" error="Entrez une valeur numérique" sqref="I8">
      <formula1>ISNUMBER(I8)</formula1>
    </dataValidation>
    <dataValidation type="custom" allowBlank="1" showInputMessage="1" showErrorMessage="1" errorTitle="Module sécant du béton" error="Entrez une valeur numérique" sqref="I10">
      <formula1>ISNUMBER(I10)</formula1>
    </dataValidation>
    <dataValidation type="custom" allowBlank="1" showInputMessage="1" showErrorMessage="1" errorTitle="Résistance à la compression" error="Entrez une valeur numérique" sqref="I11">
      <formula1>ISNUMBER(I11)</formula1>
    </dataValidation>
    <dataValidation type="decimal" allowBlank="1" showInputMessage="1" showErrorMessage="1" errorTitle="Coefficient partiel acier" error="Entrez une valeur numérique supérieure ou égale à 1" sqref="I16">
      <formula1>1</formula1>
      <formula2>2</formula2>
    </dataValidation>
    <dataValidation type="decimal" allowBlank="1" showInputMessage="1" showErrorMessage="1" errorTitle="Coefficient partiel béton" error="Entrez une valeur numérique supérieure ou égale à 1" sqref="I17">
      <formula1>1</formula1>
      <formula2>2</formula2>
    </dataValidation>
  </dataValidations>
  <hyperlinks>
    <hyperlink ref="I3" r:id="rId1"/>
  </hyperlinks>
  <pageMargins left="0.25" right="0.25"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J19"/>
  <sheetViews>
    <sheetView workbookViewId="0">
      <selection activeCell="B7" sqref="B7:I7"/>
    </sheetView>
  </sheetViews>
  <sheetFormatPr baseColWidth="10" defaultRowHeight="15" x14ac:dyDescent="0.25"/>
  <sheetData>
    <row r="1" spans="1:10" ht="15.75" thickBot="1" x14ac:dyDescent="0.3">
      <c r="A1" s="4"/>
      <c r="B1" s="4"/>
      <c r="C1" s="4"/>
      <c r="D1" s="4"/>
      <c r="E1" s="4"/>
      <c r="F1" s="4"/>
      <c r="G1" s="4"/>
      <c r="H1" s="4"/>
      <c r="I1" s="4"/>
      <c r="J1" s="4"/>
    </row>
    <row r="2" spans="1:10" ht="18.75" x14ac:dyDescent="0.3">
      <c r="A2" s="4"/>
      <c r="B2" s="93" t="s">
        <v>133</v>
      </c>
      <c r="C2" s="94"/>
      <c r="D2" s="94"/>
      <c r="E2" s="95"/>
      <c r="F2" s="4"/>
      <c r="G2" s="4"/>
      <c r="H2" s="4"/>
      <c r="I2" s="4"/>
      <c r="J2" s="4"/>
    </row>
    <row r="3" spans="1:10" x14ac:dyDescent="0.25">
      <c r="A3" s="4"/>
      <c r="B3" s="96" t="s">
        <v>75</v>
      </c>
      <c r="C3" s="54"/>
      <c r="D3" s="54"/>
      <c r="E3" s="97"/>
      <c r="F3" s="4"/>
      <c r="G3" s="4"/>
      <c r="H3" s="4"/>
      <c r="I3" s="4"/>
      <c r="J3" s="4"/>
    </row>
    <row r="4" spans="1:10" ht="15.75" thickBot="1" x14ac:dyDescent="0.3">
      <c r="A4" s="4"/>
      <c r="B4" s="98" t="str">
        <f>'Section mixte RCM 2018'!D1</f>
        <v>Version 2.00 Unlock (NE PAS DIFFUSER)</v>
      </c>
      <c r="C4" s="99"/>
      <c r="D4" s="99"/>
      <c r="E4" s="100">
        <f>'Section mixte RCM 2018'!H1</f>
        <v>45329</v>
      </c>
      <c r="F4" s="4"/>
      <c r="G4" s="4"/>
      <c r="H4" s="4"/>
      <c r="I4" s="4"/>
      <c r="J4" s="4"/>
    </row>
    <row r="5" spans="1:10" x14ac:dyDescent="0.25">
      <c r="A5" s="4"/>
      <c r="B5" s="4"/>
      <c r="C5" s="4"/>
      <c r="D5" s="4"/>
      <c r="E5" s="4"/>
      <c r="F5" s="4"/>
      <c r="G5" s="4"/>
      <c r="H5" s="4"/>
      <c r="I5" s="4"/>
      <c r="J5" s="4"/>
    </row>
    <row r="6" spans="1:10" x14ac:dyDescent="0.25">
      <c r="A6" s="4"/>
      <c r="B6" s="4"/>
      <c r="C6" s="4"/>
      <c r="D6" s="4"/>
      <c r="E6" s="4"/>
      <c r="F6" s="4"/>
      <c r="G6" s="4"/>
      <c r="H6" s="4"/>
      <c r="I6" s="4"/>
      <c r="J6" s="4"/>
    </row>
    <row r="7" spans="1:10" ht="28.5" customHeight="1" x14ac:dyDescent="0.25">
      <c r="A7" s="4"/>
      <c r="B7" s="122" t="s">
        <v>141</v>
      </c>
      <c r="C7" s="122"/>
      <c r="D7" s="122"/>
      <c r="E7" s="122"/>
      <c r="F7" s="122"/>
      <c r="G7" s="122"/>
      <c r="H7" s="122"/>
      <c r="I7" s="122"/>
      <c r="J7" s="4"/>
    </row>
    <row r="8" spans="1:10" ht="30" customHeight="1" x14ac:dyDescent="0.25">
      <c r="A8" s="4"/>
      <c r="B8" s="122" t="s">
        <v>142</v>
      </c>
      <c r="C8" s="122"/>
      <c r="D8" s="122"/>
      <c r="E8" s="122"/>
      <c r="F8" s="122"/>
      <c r="G8" s="122"/>
      <c r="H8" s="122"/>
      <c r="I8" s="122"/>
      <c r="J8" s="4"/>
    </row>
    <row r="9" spans="1:10" x14ac:dyDescent="0.25">
      <c r="A9" s="4"/>
      <c r="B9" s="4"/>
      <c r="C9" s="101" t="s">
        <v>134</v>
      </c>
      <c r="D9" s="4"/>
      <c r="E9" s="4"/>
      <c r="F9" s="4"/>
      <c r="G9" s="4"/>
      <c r="H9" s="4"/>
      <c r="I9" s="4"/>
      <c r="J9" s="4"/>
    </row>
    <row r="10" spans="1:10" x14ac:dyDescent="0.25">
      <c r="A10" s="4"/>
      <c r="B10" s="4"/>
      <c r="C10" s="4"/>
      <c r="D10" s="4"/>
      <c r="E10" s="4"/>
      <c r="F10" s="4"/>
      <c r="G10" s="4"/>
      <c r="H10" s="4"/>
      <c r="I10" s="4"/>
      <c r="J10" s="4"/>
    </row>
    <row r="11" spans="1:10" x14ac:dyDescent="0.25">
      <c r="A11" s="4"/>
      <c r="B11" s="4"/>
      <c r="C11" s="4"/>
      <c r="D11" s="4"/>
      <c r="E11" s="4"/>
      <c r="F11" s="4"/>
      <c r="G11" s="4"/>
      <c r="H11" s="4"/>
      <c r="I11" s="4"/>
      <c r="J11" s="4"/>
    </row>
    <row r="12" spans="1:10" x14ac:dyDescent="0.25">
      <c r="A12" s="4"/>
      <c r="B12" s="102" t="s">
        <v>135</v>
      </c>
      <c r="C12" s="103"/>
      <c r="D12" s="103"/>
      <c r="E12" s="103"/>
      <c r="F12" s="103"/>
      <c r="G12" s="103"/>
      <c r="H12" s="103"/>
      <c r="I12" s="104"/>
      <c r="J12" s="4"/>
    </row>
    <row r="13" spans="1:10" ht="30" customHeight="1" x14ac:dyDescent="0.25">
      <c r="A13" s="4"/>
      <c r="B13" s="124" t="s">
        <v>136</v>
      </c>
      <c r="C13" s="125"/>
      <c r="D13" s="125"/>
      <c r="E13" s="125"/>
      <c r="F13" s="125"/>
      <c r="G13" s="125"/>
      <c r="H13" s="125"/>
      <c r="I13" s="126"/>
      <c r="J13" s="4"/>
    </row>
    <row r="14" spans="1:10" ht="70.5" customHeight="1" x14ac:dyDescent="0.25">
      <c r="A14" s="4"/>
      <c r="B14" s="124" t="s">
        <v>137</v>
      </c>
      <c r="C14" s="125"/>
      <c r="D14" s="125"/>
      <c r="E14" s="125"/>
      <c r="F14" s="125"/>
      <c r="G14" s="125"/>
      <c r="H14" s="125"/>
      <c r="I14" s="126"/>
      <c r="J14" s="4"/>
    </row>
    <row r="15" spans="1:10" ht="91.5" customHeight="1" x14ac:dyDescent="0.25">
      <c r="A15" s="4"/>
      <c r="B15" s="124" t="s">
        <v>138</v>
      </c>
      <c r="C15" s="125"/>
      <c r="D15" s="125"/>
      <c r="E15" s="125"/>
      <c r="F15" s="125"/>
      <c r="G15" s="125"/>
      <c r="H15" s="125"/>
      <c r="I15" s="126"/>
      <c r="J15" s="4"/>
    </row>
    <row r="16" spans="1:10" ht="48.75" customHeight="1" x14ac:dyDescent="0.25">
      <c r="A16" s="4"/>
      <c r="B16" s="127" t="s">
        <v>139</v>
      </c>
      <c r="C16" s="128"/>
      <c r="D16" s="128"/>
      <c r="E16" s="128"/>
      <c r="F16" s="128"/>
      <c r="G16" s="128"/>
      <c r="H16" s="128"/>
      <c r="I16" s="129"/>
      <c r="J16" s="4"/>
    </row>
    <row r="17" spans="1:10" x14ac:dyDescent="0.25">
      <c r="A17" s="4"/>
      <c r="B17" s="4"/>
      <c r="C17" s="4"/>
      <c r="D17" s="4"/>
      <c r="E17" s="4"/>
      <c r="F17" s="4"/>
      <c r="G17" s="4"/>
      <c r="H17" s="4"/>
      <c r="I17" s="4"/>
      <c r="J17" s="4"/>
    </row>
    <row r="18" spans="1:10" ht="46.5" customHeight="1" x14ac:dyDescent="0.25">
      <c r="A18" s="4"/>
      <c r="B18" s="123" t="s">
        <v>140</v>
      </c>
      <c r="C18" s="123"/>
      <c r="D18" s="123"/>
      <c r="E18" s="123"/>
      <c r="F18" s="123"/>
      <c r="G18" s="123"/>
      <c r="H18" s="123"/>
      <c r="I18" s="123"/>
      <c r="J18" s="4"/>
    </row>
    <row r="19" spans="1:10" x14ac:dyDescent="0.25">
      <c r="A19" s="4"/>
      <c r="B19" s="4"/>
      <c r="C19" s="4"/>
      <c r="D19" s="4"/>
      <c r="E19" s="4"/>
      <c r="F19" s="4"/>
      <c r="G19" s="4"/>
      <c r="H19" s="4"/>
      <c r="I19" s="4"/>
      <c r="J19" s="4"/>
    </row>
  </sheetData>
  <mergeCells count="7">
    <mergeCell ref="B7:I7"/>
    <mergeCell ref="B8:I8"/>
    <mergeCell ref="B18:I18"/>
    <mergeCell ref="B14:I14"/>
    <mergeCell ref="B15:I15"/>
    <mergeCell ref="B13:I13"/>
    <mergeCell ref="B16:I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146</vt:i4>
      </vt:variant>
    </vt:vector>
  </HeadingPairs>
  <TitlesOfParts>
    <vt:vector size="149" baseType="lpstr">
      <vt:lpstr>Technique</vt:lpstr>
      <vt:lpstr>Section mixte RCM 2018</vt:lpstr>
      <vt:lpstr>Lisez-Moi</vt:lpstr>
      <vt:lpstr>Aire</vt:lpstr>
      <vt:lpstr>AireM</vt:lpstr>
      <vt:lpstr>AireMixteM</vt:lpstr>
      <vt:lpstr>Alpha</vt:lpstr>
      <vt:lpstr>Bf</vt:lpstr>
      <vt:lpstr>BfM</vt:lpstr>
      <vt:lpstr>Technique!Decal</vt:lpstr>
      <vt:lpstr>Decal</vt:lpstr>
      <vt:lpstr>Technique!DeltaAng</vt:lpstr>
      <vt:lpstr>DeltaAng</vt:lpstr>
      <vt:lpstr>Ecm_GPA</vt:lpstr>
      <vt:lpstr>EdalInterne</vt:lpstr>
      <vt:lpstr>EDalle</vt:lpstr>
      <vt:lpstr>EDalleM</vt:lpstr>
      <vt:lpstr>EDalleMElastic</vt:lpstr>
      <vt:lpstr>Eta</vt:lpstr>
      <vt:lpstr>Ey_GPa</vt:lpstr>
      <vt:lpstr>Fck_MPa</vt:lpstr>
      <vt:lpstr>FckUI</vt:lpstr>
      <vt:lpstr>Fy_MPa</vt:lpstr>
      <vt:lpstr>FyUI</vt:lpstr>
      <vt:lpstr>GammaC</vt:lpstr>
      <vt:lpstr>GammaM0</vt:lpstr>
      <vt:lpstr>GammaS</vt:lpstr>
      <vt:lpstr>Hc</vt:lpstr>
      <vt:lpstr>HcM</vt:lpstr>
      <vt:lpstr>Hp</vt:lpstr>
      <vt:lpstr>HpM</vt:lpstr>
      <vt:lpstr>HwUI</vt:lpstr>
      <vt:lpstr>InertieMixteUI</vt:lpstr>
      <vt:lpstr>InertieY</vt:lpstr>
      <vt:lpstr>IyM</vt:lpstr>
      <vt:lpstr>Iyy</vt:lpstr>
      <vt:lpstr>kC</vt:lpstr>
      <vt:lpstr>Technique!kUnit</vt:lpstr>
      <vt:lpstr>kUnit</vt:lpstr>
      <vt:lpstr>kUnitAire</vt:lpstr>
      <vt:lpstr>kUnitAireMixte</vt:lpstr>
      <vt:lpstr>kUnitANE</vt:lpstr>
      <vt:lpstr>kUnitCM</vt:lpstr>
      <vt:lpstr>kUnitDaNm</vt:lpstr>
      <vt:lpstr>kUnitEDalle</vt:lpstr>
      <vt:lpstr>kUnitInertie</vt:lpstr>
      <vt:lpstr>kUnitInertieMixte</vt:lpstr>
      <vt:lpstr>kUnitkNm</vt:lpstr>
      <vt:lpstr>kUnitM</vt:lpstr>
      <vt:lpstr>kUnitMM</vt:lpstr>
      <vt:lpstr>kUnitMPa</vt:lpstr>
      <vt:lpstr>kUnitMplRdAcier</vt:lpstr>
      <vt:lpstr>kUnitMplRdMixte</vt:lpstr>
      <vt:lpstr>kUnitNm</vt:lpstr>
      <vt:lpstr>kUnitWpl</vt:lpstr>
      <vt:lpstr>kUnitzANP</vt:lpstr>
      <vt:lpstr>kUnitzDalle</vt:lpstr>
      <vt:lpstr>kUnitzFaceSup</vt:lpstr>
      <vt:lpstr>LdalDessin</vt:lpstr>
      <vt:lpstr>LDalle</vt:lpstr>
      <vt:lpstr>LDalleM</vt:lpstr>
      <vt:lpstr>ListeN</vt:lpstr>
      <vt:lpstr>MplRdAcier</vt:lpstr>
      <vt:lpstr>MplRdMixte</vt:lpstr>
      <vt:lpstr>MplRdUI</vt:lpstr>
      <vt:lpstr>MpplRdUI</vt:lpstr>
      <vt:lpstr>MuY</vt:lpstr>
      <vt:lpstr>MyH</vt:lpstr>
      <vt:lpstr>MyL</vt:lpstr>
      <vt:lpstr>n0</vt:lpstr>
      <vt:lpstr>Technique!NbCong</vt:lpstr>
      <vt:lpstr>NbCong</vt:lpstr>
      <vt:lpstr>nCalcul</vt:lpstr>
      <vt:lpstr>NcUI</vt:lpstr>
      <vt:lpstr>NDalleMax</vt:lpstr>
      <vt:lpstr>NfUI</vt:lpstr>
      <vt:lpstr>NProfMax</vt:lpstr>
      <vt:lpstr>NpUI</vt:lpstr>
      <vt:lpstr>NrUI</vt:lpstr>
      <vt:lpstr>NwUI</vt:lpstr>
      <vt:lpstr>Rcr</vt:lpstr>
      <vt:lpstr>RcrM</vt:lpstr>
      <vt:lpstr>sDec</vt:lpstr>
      <vt:lpstr>Tbac</vt:lpstr>
      <vt:lpstr>TBacM</vt:lpstr>
      <vt:lpstr>Tf</vt:lpstr>
      <vt:lpstr>TfM</vt:lpstr>
      <vt:lpstr>Tw</vt:lpstr>
      <vt:lpstr>TwM</vt:lpstr>
      <vt:lpstr>UnitAire</vt:lpstr>
      <vt:lpstr>UnitAireMixte</vt:lpstr>
      <vt:lpstr>UnitBf</vt:lpstr>
      <vt:lpstr>UnitCM</vt:lpstr>
      <vt:lpstr>UnitCM2</vt:lpstr>
      <vt:lpstr>UnitCM3</vt:lpstr>
      <vt:lpstr>UnitCM4</vt:lpstr>
      <vt:lpstr>UnitDaNm</vt:lpstr>
      <vt:lpstr>UnitDim</vt:lpstr>
      <vt:lpstr>UnitDim2</vt:lpstr>
      <vt:lpstr>UnitDim3</vt:lpstr>
      <vt:lpstr>UnitDim4</vt:lpstr>
      <vt:lpstr>UnitEDalle</vt:lpstr>
      <vt:lpstr>UniteZANEMixte</vt:lpstr>
      <vt:lpstr>UnitHc</vt:lpstr>
      <vt:lpstr>UnitHp</vt:lpstr>
      <vt:lpstr>UnitInertie</vt:lpstr>
      <vt:lpstr>UnitInertieMixte</vt:lpstr>
      <vt:lpstr>UnitkNm</vt:lpstr>
      <vt:lpstr>UnitLDalle</vt:lpstr>
      <vt:lpstr>UnitM</vt:lpstr>
      <vt:lpstr>UnitM2</vt:lpstr>
      <vt:lpstr>UnitM3</vt:lpstr>
      <vt:lpstr>UnitM4</vt:lpstr>
      <vt:lpstr>UnitMM</vt:lpstr>
      <vt:lpstr>UnitMM2</vt:lpstr>
      <vt:lpstr>UnitMM3</vt:lpstr>
      <vt:lpstr>UnitMoment</vt:lpstr>
      <vt:lpstr>UnitMplRdAcier</vt:lpstr>
      <vt:lpstr>UnitMplRdMixte</vt:lpstr>
      <vt:lpstr>UnitNm</vt:lpstr>
      <vt:lpstr>UnitRc</vt:lpstr>
      <vt:lpstr>UnitTBac</vt:lpstr>
      <vt:lpstr>UnitTf</vt:lpstr>
      <vt:lpstr>UnitTw</vt:lpstr>
      <vt:lpstr>UnitWplY</vt:lpstr>
      <vt:lpstr>UnitZAnp</vt:lpstr>
      <vt:lpstr>UnitzDalle</vt:lpstr>
      <vt:lpstr>UnitzFaceSup</vt:lpstr>
      <vt:lpstr>VariableDn</vt:lpstr>
      <vt:lpstr>WplM</vt:lpstr>
      <vt:lpstr>WplY</vt:lpstr>
      <vt:lpstr>Xmax</vt:lpstr>
      <vt:lpstr>Xmin</vt:lpstr>
      <vt:lpstr>yDec</vt:lpstr>
      <vt:lpstr>Ymax</vt:lpstr>
      <vt:lpstr>Technique!Ymin</vt:lpstr>
      <vt:lpstr>Ymin</vt:lpstr>
      <vt:lpstr>zANEDalleM</vt:lpstr>
      <vt:lpstr>zANEUI</vt:lpstr>
      <vt:lpstr>zANPMixte</vt:lpstr>
      <vt:lpstr>zANPUI</vt:lpstr>
      <vt:lpstr>zDalle</vt:lpstr>
      <vt:lpstr>zDalleM</vt:lpstr>
      <vt:lpstr>zFaceSup</vt:lpstr>
      <vt:lpstr>zFaceSupM</vt:lpstr>
      <vt:lpstr>zInterne</vt:lpstr>
      <vt:lpstr>'Section mixte RCM 2018'!Zone_d_impression</vt:lpstr>
      <vt:lpstr>Technique!Zone_d_impression</vt:lpstr>
      <vt:lpstr>zPM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POM</dc:creator>
  <cp:lastModifiedBy>Guillaume DELACOURT</cp:lastModifiedBy>
  <cp:lastPrinted>2018-07-05T08:32:26Z</cp:lastPrinted>
  <dcterms:created xsi:type="dcterms:W3CDTF">2018-02-10T16:45:45Z</dcterms:created>
  <dcterms:modified xsi:type="dcterms:W3CDTF">2024-02-07T10:38:51Z</dcterms:modified>
</cp:coreProperties>
</file>