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2\"/>
    </mc:Choice>
  </mc:AlternateContent>
  <bookViews>
    <workbookView xWindow="0" yWindow="0" windowWidth="21570" windowHeight="9150"/>
  </bookViews>
  <sheets>
    <sheet name="Feuil1" sheetId="1" r:id="rId1"/>
    <sheet name="Param" sheetId="2" r:id="rId2"/>
  </sheets>
  <definedNames>
    <definedName name="A">Feuil1!$N$23</definedName>
    <definedName name="Alpha">Feuil1!$D$35</definedName>
    <definedName name="AlphaLT">Feuil1!$E$92</definedName>
    <definedName name="BetaW">Feuil1!$E$83</definedName>
    <definedName name="bfi">Feuil1!$D$10</definedName>
    <definedName name="bfs">Feuil1!$D$6</definedName>
    <definedName name="cc">Feuil1!$D$34</definedName>
    <definedName name="ClasseW">Feuil1!$D$43</definedName>
    <definedName name="E">Feuil1!$D$24</definedName>
    <definedName name="Elan">Feuil1!$D$33</definedName>
    <definedName name="ElancementW">Feuil1!$E$63</definedName>
    <definedName name="EpsilonW">Feuil1!$D$36</definedName>
    <definedName name="Eta">Feuil1!$E$64</definedName>
    <definedName name="F_Q2">Feuil1!$I$8</definedName>
    <definedName name="Fu">Feuil1!$D$18</definedName>
    <definedName name="FyI">Feuil1!$D$16</definedName>
    <definedName name="FyS">Feuil1!$D$14</definedName>
    <definedName name="FyW">Feuil1!$D$15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t">Feuil1!$D$12</definedName>
    <definedName name="hw">Feuil1!$D$8</definedName>
    <definedName name="IncertieCM">Feuil1!$N$26</definedName>
    <definedName name="KhiLT">Feuil1!$E$94</definedName>
    <definedName name="KhiW">Feuil1!$E$70</definedName>
    <definedName name="kTau">Feuil1!$E$68</definedName>
    <definedName name="LambdaLT">Feuil1!$E$91</definedName>
    <definedName name="LambdaW">Feuil1!$E$69</definedName>
    <definedName name="LL">Feuil1!$D$22</definedName>
    <definedName name="Mcr">Feuil1!$E$90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Feuil1!$Q$27</definedName>
    <definedName name="MplRd">Feuil1!$Q$42</definedName>
    <definedName name="MRd">Feuil1!$E$50</definedName>
    <definedName name="MStatS">Feuil1!$E$79</definedName>
    <definedName name="Nfi">Feuil1!$N$33</definedName>
    <definedName name="Nfs">Feuil1!$N$31</definedName>
    <definedName name="non">Param!$C$3</definedName>
    <definedName name="Nw">Feuil1!$N$32</definedName>
    <definedName name="oui">Param!$C$2</definedName>
    <definedName name="PhiLT">Feuil1!$E$93</definedName>
    <definedName name="Psi">Feuil1!$D$41</definedName>
    <definedName name="Psi_0">Feuil1!$N$10</definedName>
    <definedName name="pW">Feuil1!$N$41</definedName>
    <definedName name="qG">Feuil1!$I$6</definedName>
    <definedName name="qQ_1">Feuil1!$I$7</definedName>
    <definedName name="RhoA">Feuil1!$N$56</definedName>
    <definedName name="tfi">Feuil1!$D$11</definedName>
    <definedName name="tfs">Feuil1!$D$7</definedName>
    <definedName name="tw">Feuil1!$D$9</definedName>
    <definedName name="VbRd">Feuil1!$E$71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Feuil1!$E$56</definedName>
    <definedName name="zANP">Feuil1!$N$42</definedName>
    <definedName name="zG">Feuil1!$N$24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1" l="1"/>
  <c r="J30" i="1"/>
  <c r="N85" i="1"/>
  <c r="N83" i="1"/>
  <c r="N81" i="1"/>
  <c r="N79" i="1"/>
  <c r="N78" i="1"/>
  <c r="N71" i="1"/>
  <c r="N73" i="1" s="1"/>
  <c r="N70" i="1"/>
  <c r="N69" i="1"/>
  <c r="N62" i="1"/>
  <c r="N60" i="1"/>
  <c r="N61" i="1"/>
  <c r="N58" i="1"/>
  <c r="N57" i="1"/>
  <c r="N55" i="1"/>
  <c r="N54" i="1"/>
  <c r="D16" i="1"/>
  <c r="Q27" i="1" s="1"/>
  <c r="N33" i="1"/>
  <c r="E68" i="1"/>
  <c r="E63" i="1"/>
  <c r="D33" i="1"/>
  <c r="N32" i="1"/>
  <c r="N31" i="1"/>
  <c r="D12" i="1"/>
  <c r="S19" i="1"/>
  <c r="S20" i="1"/>
  <c r="S18" i="1"/>
  <c r="O20" i="1"/>
  <c r="O19" i="1"/>
  <c r="O18" i="1"/>
  <c r="N20" i="1"/>
  <c r="N19" i="1"/>
  <c r="N18" i="1"/>
  <c r="N21" i="1" s="1"/>
  <c r="N23" i="1" s="1"/>
  <c r="J14" i="1"/>
  <c r="J16" i="1"/>
  <c r="J18" i="1"/>
  <c r="J17" i="1"/>
  <c r="J15" i="1"/>
  <c r="J13" i="1"/>
  <c r="D36" i="1" l="1"/>
  <c r="E65" i="1" s="1"/>
  <c r="E66" i="1" s="1"/>
  <c r="E56" i="1"/>
  <c r="J26" i="1"/>
  <c r="P18" i="1"/>
  <c r="S21" i="1"/>
  <c r="N41" i="1"/>
  <c r="N42" i="1" s="1"/>
  <c r="D34" i="1" s="1"/>
  <c r="D35" i="1" s="1"/>
  <c r="D37" i="1" s="1"/>
  <c r="N40" i="1"/>
  <c r="N45" i="1"/>
  <c r="N36" i="1"/>
  <c r="P20" i="1"/>
  <c r="P19" i="1"/>
  <c r="J25" i="1"/>
  <c r="J23" i="1"/>
  <c r="J24" i="1"/>
  <c r="E69" i="1" l="1"/>
  <c r="E59" i="1"/>
  <c r="E60" i="1" s="1"/>
  <c r="E58" i="1"/>
  <c r="P21" i="1"/>
  <c r="N24" i="1" s="1"/>
  <c r="Q42" i="1"/>
  <c r="D38" i="1"/>
  <c r="E70" i="1" l="1"/>
  <c r="E71" i="1" s="1"/>
  <c r="Q20" i="1"/>
  <c r="R20" i="1" s="1"/>
  <c r="E79" i="1"/>
  <c r="D41" i="1"/>
  <c r="D39" i="1" s="1"/>
  <c r="D43" i="1" s="1"/>
  <c r="Q19" i="1"/>
  <c r="R19" i="1" s="1"/>
  <c r="Q18" i="1"/>
  <c r="R18" i="1" s="1"/>
  <c r="R21" i="1" s="1"/>
  <c r="N25" i="1" s="1"/>
  <c r="N26" i="1" s="1"/>
  <c r="E74" i="1" l="1"/>
  <c r="E75" i="1"/>
  <c r="E82" i="1"/>
  <c r="E86" i="1" s="1"/>
  <c r="E81" i="1"/>
  <c r="E85" i="1" s="1"/>
  <c r="Q25" i="1"/>
  <c r="Q26" i="1"/>
  <c r="E76" i="1" l="1"/>
  <c r="E50" i="1"/>
  <c r="E53" i="1" l="1"/>
  <c r="E91" i="1"/>
  <c r="E93" i="1" s="1"/>
  <c r="E94" i="1" s="1"/>
  <c r="E95" i="1" s="1"/>
  <c r="E97" i="1" s="1"/>
  <c r="E52" i="1"/>
  <c r="E54" i="1" l="1"/>
</calcChain>
</file>

<file path=xl/sharedStrings.xml><?xml version="1.0" encoding="utf-8"?>
<sst xmlns="http://schemas.openxmlformats.org/spreadsheetml/2006/main" count="218" uniqueCount="141">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</sst>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8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S99"/>
  <sheetViews>
    <sheetView tabSelected="1" workbookViewId="0">
      <selection activeCell="H79" sqref="H79"/>
    </sheetView>
  </sheetViews>
  <sheetFormatPr baseColWidth="10" defaultRowHeight="15" x14ac:dyDescent="0.25"/>
  <cols>
    <col min="14" max="14" width="12" bestFit="1" customWidth="1"/>
  </cols>
  <sheetData>
    <row r="4" spans="3:19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</row>
    <row r="6" spans="3:19" x14ac:dyDescent="0.25">
      <c r="C6" s="3" t="s">
        <v>1</v>
      </c>
      <c r="D6" s="6">
        <v>300</v>
      </c>
      <c r="E6" t="s">
        <v>7</v>
      </c>
      <c r="H6" s="3" t="s">
        <v>9</v>
      </c>
      <c r="I6" s="6">
        <v>12</v>
      </c>
      <c r="J6" t="s">
        <v>12</v>
      </c>
      <c r="M6" s="3" t="s">
        <v>18</v>
      </c>
      <c r="N6" s="6">
        <v>1.4</v>
      </c>
    </row>
    <row r="7" spans="3:19" x14ac:dyDescent="0.25">
      <c r="C7" s="3" t="s">
        <v>2</v>
      </c>
      <c r="D7" s="6">
        <v>20</v>
      </c>
      <c r="E7" t="s">
        <v>7</v>
      </c>
      <c r="H7" s="3" t="s">
        <v>10</v>
      </c>
      <c r="I7" s="6">
        <v>20</v>
      </c>
      <c r="J7" t="s">
        <v>12</v>
      </c>
      <c r="M7" s="3" t="s">
        <v>19</v>
      </c>
      <c r="N7" s="6">
        <v>1.6</v>
      </c>
    </row>
    <row r="8" spans="3:19" x14ac:dyDescent="0.25">
      <c r="C8" s="3" t="s">
        <v>3</v>
      </c>
      <c r="D8" s="6">
        <v>800</v>
      </c>
      <c r="E8" t="s">
        <v>7</v>
      </c>
      <c r="H8" s="3" t="s">
        <v>11</v>
      </c>
      <c r="I8" s="6">
        <v>30</v>
      </c>
      <c r="J8" t="s">
        <v>13</v>
      </c>
      <c r="M8" s="3" t="s">
        <v>20</v>
      </c>
      <c r="N8" s="6">
        <v>1.05</v>
      </c>
    </row>
    <row r="9" spans="3:19" x14ac:dyDescent="0.25">
      <c r="C9" s="3" t="s">
        <v>4</v>
      </c>
      <c r="D9" s="6">
        <v>12</v>
      </c>
      <c r="E9" t="s">
        <v>7</v>
      </c>
      <c r="M9" s="3" t="s">
        <v>21</v>
      </c>
      <c r="N9" s="6">
        <v>1.1000000000000001</v>
      </c>
    </row>
    <row r="10" spans="3:19" x14ac:dyDescent="0.25">
      <c r="C10" s="3" t="s">
        <v>5</v>
      </c>
      <c r="D10" s="6">
        <v>300</v>
      </c>
      <c r="E10" t="s">
        <v>7</v>
      </c>
      <c r="M10" s="3" t="s">
        <v>22</v>
      </c>
      <c r="N10" s="6">
        <v>0.7</v>
      </c>
    </row>
    <row r="11" spans="3:19" x14ac:dyDescent="0.25">
      <c r="C11" s="3" t="s">
        <v>6</v>
      </c>
      <c r="D11" s="6">
        <v>20</v>
      </c>
      <c r="E11" t="s">
        <v>7</v>
      </c>
      <c r="M11" s="3" t="s">
        <v>103</v>
      </c>
      <c r="N11" s="6">
        <v>1.25</v>
      </c>
    </row>
    <row r="12" spans="3:19" x14ac:dyDescent="0.25">
      <c r="C12" s="3" t="s">
        <v>45</v>
      </c>
      <c r="D12" s="8">
        <f>tfs+hw+tfi</f>
        <v>840</v>
      </c>
      <c r="E12" t="s">
        <v>7</v>
      </c>
      <c r="H12" s="1" t="s">
        <v>14</v>
      </c>
      <c r="I12" s="1"/>
      <c r="J12" s="1"/>
      <c r="K12" s="1"/>
    </row>
    <row r="13" spans="3:19" x14ac:dyDescent="0.25">
      <c r="C13" s="3"/>
      <c r="H13" s="10" t="s">
        <v>9</v>
      </c>
      <c r="I13" s="11" t="s">
        <v>15</v>
      </c>
      <c r="J13" s="9">
        <f>qG*LL^2/8</f>
        <v>337.5</v>
      </c>
      <c r="K13" s="12" t="s">
        <v>23</v>
      </c>
    </row>
    <row r="14" spans="3:19" x14ac:dyDescent="0.25">
      <c r="C14" s="3" t="s">
        <v>46</v>
      </c>
      <c r="D14" s="6">
        <v>440</v>
      </c>
      <c r="E14" t="s">
        <v>49</v>
      </c>
      <c r="H14" s="13"/>
      <c r="I14" s="14" t="s">
        <v>16</v>
      </c>
      <c r="J14" s="8">
        <f>qG*LL/2</f>
        <v>90</v>
      </c>
      <c r="K14" s="15" t="s">
        <v>13</v>
      </c>
    </row>
    <row r="15" spans="3:19" x14ac:dyDescent="0.25">
      <c r="C15" s="50" t="s">
        <v>47</v>
      </c>
      <c r="D15" s="6">
        <v>460</v>
      </c>
      <c r="E15" t="s">
        <v>50</v>
      </c>
      <c r="H15" s="16" t="s">
        <v>10</v>
      </c>
      <c r="I15" s="17" t="s">
        <v>15</v>
      </c>
      <c r="J15" s="9">
        <f>qQ_1*LL^2/8</f>
        <v>562.5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</row>
    <row r="16" spans="3:19" x14ac:dyDescent="0.25">
      <c r="C16" s="50" t="s">
        <v>48</v>
      </c>
      <c r="D16" s="6">
        <f>FyS</f>
        <v>440</v>
      </c>
      <c r="E16" t="s">
        <v>49</v>
      </c>
      <c r="H16" s="19"/>
      <c r="I16" s="20" t="s">
        <v>16</v>
      </c>
      <c r="J16" s="8">
        <f>qQ_1*LL/2</f>
        <v>150</v>
      </c>
      <c r="K16" s="21" t="s">
        <v>13</v>
      </c>
    </row>
    <row r="17" spans="3:19" x14ac:dyDescent="0.25">
      <c r="H17" s="22" t="s">
        <v>11</v>
      </c>
      <c r="I17" s="23" t="s">
        <v>15</v>
      </c>
      <c r="J17" s="9">
        <f>F_Q2*LL/4</f>
        <v>112.5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</row>
    <row r="18" spans="3:19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F_Q2/2</f>
        <v>15</v>
      </c>
      <c r="K18" s="27" t="s">
        <v>13</v>
      </c>
      <c r="M18" s="41" t="s">
        <v>31</v>
      </c>
      <c r="N18" s="48">
        <f>bfs*tfs</f>
        <v>6000</v>
      </c>
      <c r="O18" s="42">
        <f>-tfs/2</f>
        <v>-10</v>
      </c>
      <c r="P18" s="48">
        <f>N18*O18</f>
        <v>-60000</v>
      </c>
      <c r="Q18" s="48">
        <f>O18-zG</f>
        <v>410</v>
      </c>
      <c r="R18" s="43">
        <f>N18*Q18^2</f>
        <v>1008600000</v>
      </c>
      <c r="S18" s="49">
        <f>bfs*tfs^3/12</f>
        <v>200000</v>
      </c>
    </row>
    <row r="19" spans="3:19" x14ac:dyDescent="0.25">
      <c r="M19" s="41" t="s">
        <v>32</v>
      </c>
      <c r="N19" s="49">
        <f>hw*tw</f>
        <v>9600</v>
      </c>
      <c r="O19" s="44">
        <f>-tfs-hw/2</f>
        <v>-420</v>
      </c>
      <c r="P19" s="49">
        <f>N19*O19</f>
        <v>-4032000</v>
      </c>
      <c r="Q19" s="49">
        <f>O19-zG</f>
        <v>0</v>
      </c>
      <c r="R19" s="45">
        <f>N19*Q19^2</f>
        <v>0</v>
      </c>
      <c r="S19" s="49">
        <f>hw^3*tw/12</f>
        <v>512000000</v>
      </c>
    </row>
    <row r="20" spans="3:19" x14ac:dyDescent="0.25">
      <c r="C20" s="1" t="s">
        <v>24</v>
      </c>
      <c r="D20" s="1"/>
      <c r="E20" s="1"/>
      <c r="F20" s="1"/>
      <c r="M20" s="41" t="s">
        <v>33</v>
      </c>
      <c r="N20" s="28">
        <f>bfi*tfi</f>
        <v>6000</v>
      </c>
      <c r="O20" s="46">
        <f>-tfs-hw-tfi/2</f>
        <v>-830</v>
      </c>
      <c r="P20" s="28">
        <f>N20*O20</f>
        <v>-4980000</v>
      </c>
      <c r="Q20" s="28">
        <f>O20-zG</f>
        <v>-410</v>
      </c>
      <c r="R20" s="47">
        <f>N20*Q20^2</f>
        <v>1008600000</v>
      </c>
      <c r="S20" s="49">
        <f>bfi*tfi^3/12</f>
        <v>200000</v>
      </c>
    </row>
    <row r="21" spans="3:19" x14ac:dyDescent="0.25">
      <c r="C21" s="3"/>
      <c r="H21" s="1" t="s">
        <v>27</v>
      </c>
      <c r="I21" s="1"/>
      <c r="J21" s="1"/>
      <c r="K21" s="1"/>
      <c r="N21" s="5">
        <f>SUM(N18:N20)</f>
        <v>21600</v>
      </c>
      <c r="P21" s="5">
        <f>SUM(P18:P20)</f>
        <v>-9072000</v>
      </c>
      <c r="R21" s="5">
        <f>SUM(R18:R20)</f>
        <v>2017200000</v>
      </c>
      <c r="S21" s="5">
        <f>SUM(S18:S20)</f>
        <v>512400000</v>
      </c>
    </row>
    <row r="22" spans="3:19" x14ac:dyDescent="0.25">
      <c r="C22" s="3" t="s">
        <v>25</v>
      </c>
      <c r="D22" s="6">
        <v>15</v>
      </c>
      <c r="E22" t="s">
        <v>26</v>
      </c>
    </row>
    <row r="23" spans="3:19" x14ac:dyDescent="0.25">
      <c r="C23" s="3"/>
      <c r="D23" s="4"/>
      <c r="H23" s="29" t="s">
        <v>28</v>
      </c>
      <c r="I23" s="30" t="s">
        <v>15</v>
      </c>
      <c r="J23" s="8">
        <f>GammaG*MEdG+GammaQ*(MEd_Q1+Psi_0*MEd_Q2)</f>
        <v>1498.5</v>
      </c>
      <c r="K23" s="31" t="s">
        <v>23</v>
      </c>
      <c r="M23" s="50" t="s">
        <v>39</v>
      </c>
      <c r="N23" s="8">
        <f>N21</f>
        <v>21600</v>
      </c>
      <c r="O23" t="s">
        <v>41</v>
      </c>
    </row>
    <row r="24" spans="3:19" x14ac:dyDescent="0.25">
      <c r="C24" s="3" t="s">
        <v>120</v>
      </c>
      <c r="D24" s="6">
        <v>210000</v>
      </c>
      <c r="E24" t="s">
        <v>49</v>
      </c>
      <c r="H24" s="32"/>
      <c r="I24" s="33" t="s">
        <v>16</v>
      </c>
      <c r="J24" s="8">
        <f>GammaG*VEdG+GammaQ*(VEd_Q1+Psi_0*VEd_Q2)</f>
        <v>382.8</v>
      </c>
      <c r="K24" s="34" t="s">
        <v>13</v>
      </c>
      <c r="M24" s="50" t="s">
        <v>40</v>
      </c>
      <c r="N24" s="8">
        <f>P21/A</f>
        <v>-420</v>
      </c>
      <c r="O24" t="s">
        <v>7</v>
      </c>
    </row>
    <row r="25" spans="3:19" x14ac:dyDescent="0.25">
      <c r="C25" s="3"/>
      <c r="D25" s="4"/>
      <c r="H25" s="35" t="s">
        <v>29</v>
      </c>
      <c r="I25" s="36" t="s">
        <v>15</v>
      </c>
      <c r="J25" s="8">
        <f>GammaG*MEdG+GammaQ*(Psi_0*MEd_Q1+MEd_Q2)</f>
        <v>1282.5</v>
      </c>
      <c r="K25" s="37" t="s">
        <v>23</v>
      </c>
      <c r="M25" s="50" t="s">
        <v>108</v>
      </c>
      <c r="N25" s="8">
        <f>SUM(R21:S21)</f>
        <v>2529600000</v>
      </c>
      <c r="O25" t="s">
        <v>42</v>
      </c>
      <c r="P25" s="3" t="s">
        <v>81</v>
      </c>
      <c r="Q25" s="70">
        <f>IncertieCM/(ABS(zG))*10</f>
        <v>6022.8571428571431</v>
      </c>
      <c r="R25" t="s">
        <v>83</v>
      </c>
    </row>
    <row r="26" spans="3:19" x14ac:dyDescent="0.25">
      <c r="C26" s="3"/>
      <c r="D26" s="4"/>
      <c r="H26" s="38"/>
      <c r="I26" s="39" t="s">
        <v>16</v>
      </c>
      <c r="J26" s="8">
        <f>GammaG*VEdG+GammaQ*(Psi_0*VEd_Q1+VEd_Q2)</f>
        <v>318</v>
      </c>
      <c r="K26" s="40" t="s">
        <v>13</v>
      </c>
      <c r="N26" s="8">
        <f>N25/10^4</f>
        <v>252960</v>
      </c>
      <c r="O26" t="s">
        <v>43</v>
      </c>
      <c r="P26" s="3" t="s">
        <v>82</v>
      </c>
      <c r="Q26" s="70">
        <f>IncertieCM/(Ht-ABS(zG))*10</f>
        <v>6022.8571428571431</v>
      </c>
      <c r="R26" t="s">
        <v>83</v>
      </c>
    </row>
    <row r="27" spans="3:19" x14ac:dyDescent="0.25">
      <c r="C27" s="3"/>
      <c r="D27" s="4"/>
      <c r="P27" s="3" t="s">
        <v>84</v>
      </c>
      <c r="Q27" s="64">
        <f>MIN(Q25*FyS,Q26*FyI)/1000/GammaM0</f>
        <v>2523.8639455782318</v>
      </c>
      <c r="R27" t="s">
        <v>23</v>
      </c>
    </row>
    <row r="28" spans="3:19" x14ac:dyDescent="0.25">
      <c r="C28" s="3"/>
      <c r="D28" s="4"/>
    </row>
    <row r="29" spans="3:19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19" x14ac:dyDescent="0.25">
      <c r="C30" s="3"/>
      <c r="D30" s="4"/>
      <c r="I30" s="3" t="s">
        <v>131</v>
      </c>
      <c r="J30" s="5">
        <f>GammaG*qG+GammaQ*qQ_1</f>
        <v>48.8</v>
      </c>
      <c r="K30" t="s">
        <v>12</v>
      </c>
    </row>
    <row r="31" spans="3:19" x14ac:dyDescent="0.25">
      <c r="C31" s="3"/>
      <c r="D31" s="4"/>
      <c r="I31" s="3" t="s">
        <v>132</v>
      </c>
      <c r="J31" s="5">
        <f>Psi_0*GammaQ*F_Q2</f>
        <v>33.599999999999994</v>
      </c>
      <c r="K31" t="s">
        <v>13</v>
      </c>
      <c r="M31" s="3" t="s">
        <v>52</v>
      </c>
      <c r="N31" s="55">
        <f>bfs*tfs*FyS/GammaM0/1000</f>
        <v>2514.2857142857142</v>
      </c>
      <c r="O31" t="s">
        <v>13</v>
      </c>
    </row>
    <row r="32" spans="3:19" x14ac:dyDescent="0.25">
      <c r="C32" s="65" t="s">
        <v>64</v>
      </c>
      <c r="D32" s="65"/>
      <c r="E32" s="65"/>
      <c r="F32" s="65"/>
      <c r="M32" s="3" t="s">
        <v>53</v>
      </c>
      <c r="N32" s="55">
        <f>hw*tw*FyW/GammaM0/1000</f>
        <v>4205.7142857142853</v>
      </c>
      <c r="O32" t="s">
        <v>13</v>
      </c>
    </row>
    <row r="33" spans="3:18" x14ac:dyDescent="0.25">
      <c r="C33" s="3" t="s">
        <v>65</v>
      </c>
      <c r="D33" s="61">
        <f>hw/tw</f>
        <v>66.666666666666671</v>
      </c>
      <c r="M33" s="3" t="s">
        <v>54</v>
      </c>
      <c r="N33" s="55">
        <f>bfi*tfi*FyI/GammaM0/1000</f>
        <v>2514.2857142857142</v>
      </c>
      <c r="O33" t="s">
        <v>13</v>
      </c>
    </row>
    <row r="34" spans="3:18" x14ac:dyDescent="0.25">
      <c r="C34" s="3" t="s">
        <v>67</v>
      </c>
      <c r="D34" s="5">
        <f>zANP-tfs</f>
        <v>400</v>
      </c>
      <c r="E34" t="s">
        <v>7</v>
      </c>
    </row>
    <row r="35" spans="3:18" x14ac:dyDescent="0.25">
      <c r="C35" s="3" t="s">
        <v>68</v>
      </c>
      <c r="D35" s="5">
        <f>cc/hw</f>
        <v>0.5</v>
      </c>
      <c r="M35" s="56" t="s">
        <v>55</v>
      </c>
    </row>
    <row r="36" spans="3:18" x14ac:dyDescent="0.25">
      <c r="C36" s="3" t="s">
        <v>71</v>
      </c>
      <c r="D36" s="59">
        <f>SQRT(235/FyW)</f>
        <v>0.71475140099015644</v>
      </c>
      <c r="M36" s="50" t="s">
        <v>57</v>
      </c>
      <c r="N36" s="8" t="str">
        <f>IF(Nfs&gt;Nw+Nfi,oui,non)</f>
        <v>Non</v>
      </c>
    </row>
    <row r="37" spans="3:18" x14ac:dyDescent="0.25">
      <c r="C37" s="3" t="s">
        <v>66</v>
      </c>
      <c r="D37" s="61">
        <f>IF(Elan&lt;=0.5,36*EpsilonW/Alpha,396*EpsilonW/(13*Alpha-1))</f>
        <v>51.46210087129127</v>
      </c>
    </row>
    <row r="38" spans="3:18" x14ac:dyDescent="0.25">
      <c r="C38" s="3" t="s">
        <v>69</v>
      </c>
      <c r="D38" s="61">
        <f>IF(Elan&lt;=0.5,41.5*EpsilonW/Alpha,456*EpsilonW/(13*Alpha-1))</f>
        <v>59.259388882092964</v>
      </c>
    </row>
    <row r="39" spans="3:18" x14ac:dyDescent="0.25">
      <c r="C39" s="50" t="s">
        <v>70</v>
      </c>
      <c r="D39" s="61">
        <f>IF(Psi&lt;=-1,62*EpsilonW*(1-Psi)*SQRT(-Psi),42*espilonw/(0.67+0.33*Psi))</f>
        <v>88.629173722779399</v>
      </c>
      <c r="M39" s="56" t="s">
        <v>56</v>
      </c>
    </row>
    <row r="40" spans="3:18" x14ac:dyDescent="0.25">
      <c r="M40" s="50" t="s">
        <v>57</v>
      </c>
      <c r="N40" s="8" t="str">
        <f>IF(AND(Nfi&lt;=Nw+Nfs,Nfs&lt;=Nw+Nfi),oui,non)</f>
        <v>Oui</v>
      </c>
    </row>
    <row r="41" spans="3:18" x14ac:dyDescent="0.25">
      <c r="C41" s="50" t="s">
        <v>72</v>
      </c>
      <c r="D41" s="5">
        <f>-(-zG-tfs)/(Ht-tfi+zG)</f>
        <v>-1</v>
      </c>
      <c r="M41" s="3" t="s">
        <v>61</v>
      </c>
      <c r="N41" s="5">
        <f>1/2*(1+(Nfi-Nfs)/Nw)</f>
        <v>0.5</v>
      </c>
    </row>
    <row r="42" spans="3:18" x14ac:dyDescent="0.25">
      <c r="M42" s="3" t="s">
        <v>62</v>
      </c>
      <c r="N42" s="5">
        <f>tfs+hw*pW</f>
        <v>420</v>
      </c>
      <c r="O42" t="s">
        <v>7</v>
      </c>
      <c r="P42" s="3" t="s">
        <v>63</v>
      </c>
      <c r="Q42" s="64">
        <f>(Nfs*ABS(zANP-tfs/2)+Nfi*ABS(zANP-(Ht-tfi/2))+Nw*hw/2*(pW^2+(1-pW)^2))/1000</f>
        <v>2902.8571428571427</v>
      </c>
      <c r="R42" t="s">
        <v>23</v>
      </c>
    </row>
    <row r="43" spans="3:18" x14ac:dyDescent="0.25">
      <c r="C43" s="50" t="s">
        <v>73</v>
      </c>
      <c r="D43" s="66">
        <f>IF(Elan&lt;=D37,1,IF(Elan&lt;=D38,2,IF(Elan&lt;=D39,3,4)))</f>
        <v>3</v>
      </c>
    </row>
    <row r="44" spans="3:18" x14ac:dyDescent="0.25">
      <c r="M44" s="56" t="s">
        <v>60</v>
      </c>
    </row>
    <row r="45" spans="3:18" x14ac:dyDescent="0.25">
      <c r="M45" s="50" t="s">
        <v>57</v>
      </c>
      <c r="N45" s="8" t="str">
        <f>IF(Nfi&gt;Nw+Nfs,oui,non)</f>
        <v>Non</v>
      </c>
    </row>
    <row r="48" spans="3:18" x14ac:dyDescent="0.25">
      <c r="C48" s="68" t="s">
        <v>74</v>
      </c>
      <c r="D48" s="68"/>
      <c r="E48" s="68"/>
      <c r="F48" s="68"/>
      <c r="G48" s="68"/>
    </row>
    <row r="50" spans="3:19" x14ac:dyDescent="0.25">
      <c r="C50" s="67" t="s">
        <v>75</v>
      </c>
      <c r="D50" s="3" t="s">
        <v>80</v>
      </c>
      <c r="E50" s="62">
        <f>IF(ClasseW=3,MelRd,MplRd)</f>
        <v>2523.8639455782318</v>
      </c>
    </row>
    <row r="51" spans="3:19" x14ac:dyDescent="0.25">
      <c r="E51" s="4" t="s">
        <v>79</v>
      </c>
    </row>
    <row r="52" spans="3:19" x14ac:dyDescent="0.25">
      <c r="D52" s="2" t="s">
        <v>76</v>
      </c>
      <c r="E52" s="60">
        <f>MEd_U1/MRd</f>
        <v>0.59373248016215274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MEd_U2/MRd</f>
        <v>0.50814941995859919</v>
      </c>
    </row>
    <row r="54" spans="3:19" x14ac:dyDescent="0.25">
      <c r="D54" s="2" t="s">
        <v>78</v>
      </c>
      <c r="E54" s="75">
        <f>MAX(E52:E53)</f>
        <v>0.59373248016215274</v>
      </c>
      <c r="M54" s="3" t="s">
        <v>107</v>
      </c>
      <c r="N54" s="8">
        <f>Eta*hw*tw</f>
        <v>11520</v>
      </c>
      <c r="O54" t="s">
        <v>41</v>
      </c>
    </row>
    <row r="55" spans="3:19" x14ac:dyDescent="0.25">
      <c r="M55" s="3" t="s">
        <v>109</v>
      </c>
      <c r="N55" s="5">
        <f>(bfs^3*tfs+bfi^3*tfi+hw*tw^3)/12/10^4</f>
        <v>9011.52</v>
      </c>
      <c r="O55" t="s">
        <v>43</v>
      </c>
    </row>
    <row r="56" spans="3:19" x14ac:dyDescent="0.25">
      <c r="C56" s="67" t="s">
        <v>85</v>
      </c>
      <c r="D56" s="71" t="s">
        <v>86</v>
      </c>
      <c r="E56" s="61">
        <f>hw*tw*FyW/SQRT(3)/GammaM0/1000</f>
        <v>2428.1702749917972</v>
      </c>
      <c r="F56" t="s">
        <v>13</v>
      </c>
      <c r="M56" s="3" t="s">
        <v>111</v>
      </c>
      <c r="N56" s="6">
        <v>7850</v>
      </c>
      <c r="O56" t="s">
        <v>113</v>
      </c>
    </row>
    <row r="57" spans="3:19" x14ac:dyDescent="0.25">
      <c r="E57" s="72" t="s">
        <v>96</v>
      </c>
      <c r="M57" s="3" t="s">
        <v>110</v>
      </c>
      <c r="N57" s="63">
        <f>RhoA*A/(1000)^2</f>
        <v>169.56</v>
      </c>
      <c r="O57" t="s">
        <v>112</v>
      </c>
    </row>
    <row r="58" spans="3:19" x14ac:dyDescent="0.25">
      <c r="D58" s="2" t="s">
        <v>76</v>
      </c>
      <c r="E58" s="60">
        <f>VEd_U1/VRd</f>
        <v>0.15764957010739009</v>
      </c>
      <c r="M58" s="3" t="s">
        <v>26</v>
      </c>
      <c r="N58" s="74">
        <f>N57*LL</f>
        <v>2543.4</v>
      </c>
      <c r="O58" t="s">
        <v>114</v>
      </c>
    </row>
    <row r="59" spans="3:19" x14ac:dyDescent="0.25">
      <c r="D59" s="2" t="s">
        <v>77</v>
      </c>
      <c r="E59" s="60">
        <f>VEd_U2/VRd</f>
        <v>0.13096280902338048</v>
      </c>
      <c r="M59" s="3"/>
    </row>
    <row r="60" spans="3:19" x14ac:dyDescent="0.25">
      <c r="D60" s="2" t="s">
        <v>78</v>
      </c>
      <c r="E60" s="75">
        <f>MAX(E58:E59)</f>
        <v>0.15764957010739009</v>
      </c>
      <c r="M60" s="3" t="s">
        <v>115</v>
      </c>
      <c r="N60" s="5">
        <f>N61*LL/1000</f>
        <v>42.84</v>
      </c>
      <c r="O60" t="s">
        <v>117</v>
      </c>
    </row>
    <row r="61" spans="3:19" x14ac:dyDescent="0.25">
      <c r="M61" s="3" t="s">
        <v>116</v>
      </c>
      <c r="N61" s="5">
        <f>2*Ht+2*bfs-tw+2*bfi-tw</f>
        <v>2856</v>
      </c>
      <c r="O61" t="s">
        <v>7</v>
      </c>
    </row>
    <row r="62" spans="3:19" x14ac:dyDescent="0.25">
      <c r="C62" s="67" t="s">
        <v>87</v>
      </c>
      <c r="M62" s="3" t="s">
        <v>118</v>
      </c>
      <c r="N62" s="5">
        <f>N60-(bfs/1000*LL)</f>
        <v>38.340000000000003</v>
      </c>
      <c r="O62" t="s">
        <v>41</v>
      </c>
    </row>
    <row r="63" spans="3:19" x14ac:dyDescent="0.25">
      <c r="D63" s="3" t="s">
        <v>88</v>
      </c>
      <c r="E63" s="61">
        <f>hw/tw</f>
        <v>66.666666666666671</v>
      </c>
      <c r="M63" s="3"/>
      <c r="N63" s="4"/>
    </row>
    <row r="64" spans="3:19" x14ac:dyDescent="0.25">
      <c r="D64" s="3" t="s">
        <v>89</v>
      </c>
      <c r="E64" s="6">
        <v>1.2</v>
      </c>
      <c r="M64" s="3"/>
      <c r="N64" s="4"/>
    </row>
    <row r="65" spans="3:18" x14ac:dyDescent="0.25">
      <c r="D65" s="3" t="s">
        <v>90</v>
      </c>
      <c r="E65" s="61">
        <f>72*EpsilonW/Eta</f>
        <v>42.885084059409387</v>
      </c>
      <c r="M65" s="3"/>
      <c r="N65" s="4"/>
    </row>
    <row r="66" spans="3:18" x14ac:dyDescent="0.25">
      <c r="D66" s="50" t="s">
        <v>91</v>
      </c>
      <c r="E66" s="5" t="str">
        <f>IF(ElancementW&gt;E65,oui,non)</f>
        <v>Oui</v>
      </c>
      <c r="M66" s="3"/>
      <c r="N66" s="4"/>
    </row>
    <row r="67" spans="3:18" x14ac:dyDescent="0.25">
      <c r="M67" s="76" t="s">
        <v>119</v>
      </c>
      <c r="N67" s="77"/>
      <c r="O67" s="78"/>
      <c r="P67" s="78"/>
      <c r="Q67" s="78"/>
      <c r="R67" s="78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3">
        <f>ElancementW/(37.4*EpsilonW*SQRT(kTau))</f>
        <v>1.079223752084379</v>
      </c>
      <c r="M69" s="3" t="s">
        <v>9</v>
      </c>
      <c r="N69" s="61">
        <f>5/384*qG*LL^4/(E*IncertieCM/100)*1000^2</f>
        <v>14.890658884521551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0.76907128702177274</v>
      </c>
      <c r="M70" s="3" t="s">
        <v>10</v>
      </c>
      <c r="N70" s="61">
        <f>5/384*qQ_1*LL^4/(E*IncertieCM/100)*1000^2</f>
        <v>24.817764807535923</v>
      </c>
      <c r="O70" t="s">
        <v>7</v>
      </c>
    </row>
    <row r="71" spans="3:18" x14ac:dyDescent="0.25">
      <c r="D71" s="50" t="s">
        <v>95</v>
      </c>
      <c r="E71" s="54">
        <f>KhiW*hw*tw*FyW/SQRT(3)/GammaM1/1000</f>
        <v>1782.5525822006832</v>
      </c>
      <c r="F71" t="s">
        <v>13</v>
      </c>
      <c r="M71" s="3" t="s">
        <v>11</v>
      </c>
      <c r="N71" s="61">
        <f>F_Q2*LL^3*1000/48/(E*IncertieCM/100)*1000</f>
        <v>3.9708423692057471</v>
      </c>
      <c r="O71" t="s">
        <v>7</v>
      </c>
    </row>
    <row r="72" spans="3:18" x14ac:dyDescent="0.25">
      <c r="M72" s="3"/>
      <c r="N72" s="4"/>
    </row>
    <row r="73" spans="3:18" x14ac:dyDescent="0.25">
      <c r="E73" s="72" t="s">
        <v>96</v>
      </c>
      <c r="M73" s="50" t="s">
        <v>121</v>
      </c>
      <c r="N73" s="61">
        <f>N69+N70+Psi_0*N71</f>
        <v>42.488013350501497</v>
      </c>
      <c r="O73" t="s">
        <v>7</v>
      </c>
    </row>
    <row r="74" spans="3:18" x14ac:dyDescent="0.25">
      <c r="D74" s="2" t="s">
        <v>76</v>
      </c>
      <c r="E74" s="60">
        <f>VEd_U1/VbRd</f>
        <v>0.21474822331883595</v>
      </c>
      <c r="N74" s="4"/>
    </row>
    <row r="75" spans="3:18" x14ac:dyDescent="0.25">
      <c r="D75" s="2" t="s">
        <v>77</v>
      </c>
      <c r="E75" s="60">
        <f>VEd_U2/VbRd</f>
        <v>0.17839585949683864</v>
      </c>
    </row>
    <row r="76" spans="3:18" x14ac:dyDescent="0.25">
      <c r="D76" s="2" t="s">
        <v>78</v>
      </c>
      <c r="E76" s="75">
        <f>MAX(E74:E75)</f>
        <v>0.21474822331883595</v>
      </c>
      <c r="M76" s="79" t="s">
        <v>122</v>
      </c>
      <c r="N76" s="77"/>
      <c r="O76" s="78"/>
      <c r="P76" s="78"/>
      <c r="Q76" s="78"/>
      <c r="R76" s="78"/>
    </row>
    <row r="77" spans="3:18" x14ac:dyDescent="0.25">
      <c r="M77" s="3" t="s">
        <v>128</v>
      </c>
      <c r="N77" s="5">
        <v>9.81</v>
      </c>
      <c r="O77" t="s">
        <v>129</v>
      </c>
    </row>
    <row r="78" spans="3:18" x14ac:dyDescent="0.25">
      <c r="C78" s="67" t="s">
        <v>97</v>
      </c>
      <c r="M78" s="3" t="s">
        <v>123</v>
      </c>
      <c r="N78" s="63">
        <f>qG*LL/g*1000</f>
        <v>18348.623853211011</v>
      </c>
      <c r="O78" t="s">
        <v>114</v>
      </c>
    </row>
    <row r="79" spans="3:18" x14ac:dyDescent="0.25">
      <c r="D79" s="71" t="s">
        <v>98</v>
      </c>
      <c r="E79" s="5">
        <f>(bfs*tfs*(ABS(zG)-tfs/2))/1000</f>
        <v>2460</v>
      </c>
      <c r="F79" t="s">
        <v>83</v>
      </c>
      <c r="M79" s="3" t="s">
        <v>124</v>
      </c>
      <c r="N79" s="63">
        <f>qQ_1*LL/g*1000</f>
        <v>30581.039755351681</v>
      </c>
      <c r="O79" t="s">
        <v>114</v>
      </c>
    </row>
    <row r="80" spans="3:18" x14ac:dyDescent="0.25">
      <c r="C80" t="s">
        <v>99</v>
      </c>
      <c r="M80" s="3" t="s">
        <v>125</v>
      </c>
      <c r="N80" s="80">
        <v>0.2</v>
      </c>
    </row>
    <row r="81" spans="3:15" x14ac:dyDescent="0.25">
      <c r="D81" s="2" t="s">
        <v>100</v>
      </c>
      <c r="E81" s="62">
        <f>VEd_U1*(MStatS/IncertieCM)*100</f>
        <v>372.26755218216323</v>
      </c>
      <c r="F81" t="s">
        <v>12</v>
      </c>
      <c r="M81" s="3" t="s">
        <v>126</v>
      </c>
      <c r="N81" s="63">
        <f>N78+N80*N79</f>
        <v>24464.831804281348</v>
      </c>
      <c r="O81" t="s">
        <v>114</v>
      </c>
    </row>
    <row r="82" spans="3:15" x14ac:dyDescent="0.25">
      <c r="D82" s="2" t="s">
        <v>101</v>
      </c>
      <c r="E82" s="62">
        <f>VEd_U2*(MStatS/IncertieCM)*100</f>
        <v>309.25047438330171</v>
      </c>
      <c r="F82" t="s">
        <v>12</v>
      </c>
      <c r="M82" s="3"/>
      <c r="N82" s="4"/>
    </row>
    <row r="83" spans="3:15" x14ac:dyDescent="0.25">
      <c r="D83" s="2" t="s">
        <v>105</v>
      </c>
      <c r="E83" s="6">
        <v>0.9</v>
      </c>
      <c r="M83" s="3" t="s">
        <v>127</v>
      </c>
      <c r="N83" s="63">
        <f>N81/2</f>
        <v>12232.415902140674</v>
      </c>
      <c r="O83" t="s">
        <v>114</v>
      </c>
    </row>
    <row r="84" spans="3:15" x14ac:dyDescent="0.25">
      <c r="M84" s="3"/>
      <c r="N84" s="4"/>
    </row>
    <row r="85" spans="3:15" x14ac:dyDescent="0.25">
      <c r="D85" s="2" t="s">
        <v>104</v>
      </c>
      <c r="E85" s="60">
        <f>E81/Fu*GammaM2*SQRT(3)/2*BetaW</f>
        <v>0.77168574860362293</v>
      </c>
      <c r="F85" t="s">
        <v>7</v>
      </c>
      <c r="M85" s="3" t="s">
        <v>122</v>
      </c>
      <c r="N85" s="61">
        <f>1/2/PI()*SQRT(PI()^4*(E*IncertieCM/100)/N81/LL^3)</f>
        <v>3.9842579230177515</v>
      </c>
      <c r="O85" t="s">
        <v>130</v>
      </c>
    </row>
    <row r="86" spans="3:15" x14ac:dyDescent="0.25">
      <c r="D86" s="2" t="s">
        <v>104</v>
      </c>
      <c r="E86" s="60">
        <f>E82/Fu*GammaM2*SQRT(3)/2*BetaW</f>
        <v>0.64105555918482782</v>
      </c>
      <c r="F86" t="s">
        <v>7</v>
      </c>
    </row>
    <row r="89" spans="3:15" x14ac:dyDescent="0.25">
      <c r="C89" s="67" t="s">
        <v>133</v>
      </c>
    </row>
    <row r="90" spans="3:15" x14ac:dyDescent="0.25">
      <c r="D90" s="2" t="s">
        <v>134</v>
      </c>
      <c r="E90" s="5">
        <v>4189</v>
      </c>
      <c r="F90" t="s">
        <v>23</v>
      </c>
    </row>
    <row r="91" spans="3:15" x14ac:dyDescent="0.25">
      <c r="D91" s="3" t="s">
        <v>135</v>
      </c>
      <c r="E91" s="59">
        <f>SQRT(MRd*GammaM0/Mcr)</f>
        <v>0.79537592104535093</v>
      </c>
    </row>
    <row r="92" spans="3:15" x14ac:dyDescent="0.25">
      <c r="D92" s="3" t="s">
        <v>137</v>
      </c>
      <c r="E92" s="6">
        <v>0.76</v>
      </c>
    </row>
    <row r="93" spans="3:15" x14ac:dyDescent="0.25">
      <c r="D93" s="3" t="s">
        <v>136</v>
      </c>
      <c r="E93" s="60">
        <f>0.5*(1+AlphaLT*(LambdaLT-0.2)+LambdaLT^2)</f>
        <v>1.0425542778866035</v>
      </c>
    </row>
    <row r="94" spans="3:15" x14ac:dyDescent="0.25">
      <c r="D94" s="3" t="s">
        <v>138</v>
      </c>
      <c r="E94" s="69">
        <f>1/(PhiLT+SQRT(PhiLT^2-LambdaLT^2))</f>
        <v>0.58255723390353176</v>
      </c>
    </row>
    <row r="95" spans="3:15" x14ac:dyDescent="0.25">
      <c r="D95" s="3" t="s">
        <v>139</v>
      </c>
      <c r="E95" s="62">
        <f>KhiLT*MRd*GammaM0/GammaM1</f>
        <v>1403.4635989355945</v>
      </c>
      <c r="F95" t="s">
        <v>23</v>
      </c>
    </row>
    <row r="96" spans="3:15" x14ac:dyDescent="0.25">
      <c r="D96" s="3"/>
      <c r="E96" s="4"/>
    </row>
    <row r="97" spans="4:5" x14ac:dyDescent="0.25">
      <c r="D97" s="3" t="s">
        <v>140</v>
      </c>
      <c r="E97" s="75">
        <f>MEd_U1/E95</f>
        <v>1.0677156152368201</v>
      </c>
    </row>
    <row r="98" spans="4:5" x14ac:dyDescent="0.25">
      <c r="D98" s="3"/>
      <c r="E98" s="4"/>
    </row>
    <row r="99" spans="4:5" x14ac:dyDescent="0.25">
      <c r="D99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67</vt:i4>
      </vt:variant>
    </vt:vector>
  </HeadingPairs>
  <TitlesOfParts>
    <vt:vector size="69" baseType="lpstr">
      <vt:lpstr>Feuil1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IncertieCM</vt:lpstr>
      <vt:lpstr>KhiLT</vt:lpstr>
      <vt:lpstr>KhiW</vt:lpstr>
      <vt:lpstr>kTau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2024-08-08T07:52:49Z</dcterms:modified>
</cp:coreProperties>
</file>