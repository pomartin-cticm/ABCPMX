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4\"/>
    </mc:Choice>
  </mc:AlternateContent>
  <bookViews>
    <workbookView xWindow="0" yWindow="0" windowWidth="21570" windowHeight="9150"/>
  </bookViews>
  <sheets>
    <sheet name="S04" sheetId="1" r:id="rId1"/>
    <sheet name="Param" sheetId="2" r:id="rId2"/>
  </sheets>
  <definedNames>
    <definedName name="A">'S04'!$N$23</definedName>
    <definedName name="Alpha">'S04'!$D$35</definedName>
    <definedName name="AlphaLT">'S04'!$E$92</definedName>
    <definedName name="BetaW">'S04'!$E$83</definedName>
    <definedName name="bfi">'S04'!$D$10</definedName>
    <definedName name="bfs">'S04'!$D$6</definedName>
    <definedName name="cc">'S04'!$D$34</definedName>
    <definedName name="ClasseW">'S04'!$D$43</definedName>
    <definedName name="E">'S04'!$D$25</definedName>
    <definedName name="Elan">'S04'!$D$33</definedName>
    <definedName name="ElancementW">'S04'!$E$63</definedName>
    <definedName name="EpsilonW">'S04'!$D$36</definedName>
    <definedName name="Eta">'S04'!$E$64</definedName>
    <definedName name="F_Q2">'S04'!$I$8</definedName>
    <definedName name="Fu">'S04'!$D$18</definedName>
    <definedName name="FyI">'S04'!$D$16</definedName>
    <definedName name="FyS">'S04'!$D$14</definedName>
    <definedName name="FyW">'S04'!$D$15</definedName>
    <definedName name="g">'S04'!$N$77</definedName>
    <definedName name="GammaG">'S04'!$N$6</definedName>
    <definedName name="GammaM0">'S04'!$N$8</definedName>
    <definedName name="GammaM1">'S04'!$N$9</definedName>
    <definedName name="GammaM2">'S04'!$N$11</definedName>
    <definedName name="GammaQ">'S04'!$N$7</definedName>
    <definedName name="Ht">'S04'!$D$12</definedName>
    <definedName name="hw">'S04'!$D$8</definedName>
    <definedName name="InertieCM4">'S04'!$N$26</definedName>
    <definedName name="KhiLT">'S04'!$E$94</definedName>
    <definedName name="KhiW">'S04'!$E$70</definedName>
    <definedName name="kTau">'S04'!$E$68</definedName>
    <definedName name="La">'S04'!$D$23</definedName>
    <definedName name="LambdaLT">'S04'!$E$91</definedName>
    <definedName name="LambdaW">'S04'!$E$69</definedName>
    <definedName name="LL">'S04'!$D$22</definedName>
    <definedName name="Mcr">'S04'!$E$90</definedName>
    <definedName name="MEd_Q1">'S04'!$J$15</definedName>
    <definedName name="MEd_Q2">'S04'!$J$17</definedName>
    <definedName name="MEd_U1">'S04'!$J$23</definedName>
    <definedName name="MEd_U2">'S04'!$J$25</definedName>
    <definedName name="MEdG">'S04'!$J$13</definedName>
    <definedName name="MelRd">'S04'!$Q$27</definedName>
    <definedName name="MplRd">'S04'!$Q$43</definedName>
    <definedName name="MRd">'S04'!$E$50</definedName>
    <definedName name="MStatS">'S04'!$E$79</definedName>
    <definedName name="Nfi">'S04'!$N$33</definedName>
    <definedName name="Nfs">'S04'!$N$31</definedName>
    <definedName name="non">Param!$C$3</definedName>
    <definedName name="Nw">'S04'!$N$32</definedName>
    <definedName name="oui">Param!$C$2</definedName>
    <definedName name="PhiLT">'S04'!$E$93</definedName>
    <definedName name="Psi">'S04'!$D$41</definedName>
    <definedName name="Psi_0">'S04'!$N$10</definedName>
    <definedName name="pW">'S04'!$N$42</definedName>
    <definedName name="qG">'S04'!$I$6</definedName>
    <definedName name="qQ_1">'S04'!$I$7</definedName>
    <definedName name="RhoA">'S04'!$N$56</definedName>
    <definedName name="tfi">'S04'!$D$11</definedName>
    <definedName name="tfs">'S04'!$D$7</definedName>
    <definedName name="tw">'S04'!$D$9</definedName>
    <definedName name="VbRd">'S04'!$E$71</definedName>
    <definedName name="VEd_Q1">'S04'!$J$16</definedName>
    <definedName name="VEd_Q2">'S04'!$J$18</definedName>
    <definedName name="VEd_U1">'S04'!$J$24</definedName>
    <definedName name="VEd_U2">'S04'!$J$26</definedName>
    <definedName name="VEdG">'S04'!$J$14</definedName>
    <definedName name="VRd">'S04'!$E$56</definedName>
    <definedName name="zANP">'S04'!$N$43</definedName>
    <definedName name="zG">'S04'!$N$24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56" i="1" l="1"/>
  <c r="J16" i="1"/>
  <c r="J15" i="1"/>
  <c r="J18" i="1"/>
  <c r="J17" i="1"/>
  <c r="J31" i="1" l="1"/>
  <c r="J30" i="1"/>
  <c r="N55" i="1"/>
  <c r="N54" i="1"/>
  <c r="D16" i="1"/>
  <c r="N33" i="1" s="1"/>
  <c r="S42" i="1" s="1"/>
  <c r="E68" i="1"/>
  <c r="E63" i="1"/>
  <c r="D33" i="1"/>
  <c r="N31" i="1"/>
  <c r="S39" i="1" s="1"/>
  <c r="D12" i="1"/>
  <c r="N61" i="1" s="1"/>
  <c r="N60" i="1" s="1"/>
  <c r="N62" i="1" s="1"/>
  <c r="S19" i="1"/>
  <c r="S20" i="1"/>
  <c r="S18" i="1"/>
  <c r="O20" i="1"/>
  <c r="O19" i="1"/>
  <c r="O18" i="1"/>
  <c r="N20" i="1"/>
  <c r="N19" i="1"/>
  <c r="N18" i="1"/>
  <c r="J14" i="1"/>
  <c r="J13" i="1"/>
  <c r="N21" i="1" l="1"/>
  <c r="N23" i="1" s="1"/>
  <c r="N57" i="1" s="1"/>
  <c r="N58" i="1" s="1"/>
  <c r="D36" i="1"/>
  <c r="E65" i="1" s="1"/>
  <c r="E66" i="1" s="1"/>
  <c r="J26" i="1"/>
  <c r="P18" i="1"/>
  <c r="S21" i="1"/>
  <c r="P20" i="1"/>
  <c r="P19" i="1"/>
  <c r="J25" i="1"/>
  <c r="J23" i="1"/>
  <c r="J24" i="1"/>
  <c r="E69" i="1" l="1"/>
  <c r="E59" i="1"/>
  <c r="E58" i="1"/>
  <c r="P21" i="1"/>
  <c r="N24" i="1" s="1"/>
  <c r="E60" i="1" l="1"/>
  <c r="S33" i="1" s="1"/>
  <c r="S34" i="1" s="1"/>
  <c r="N32" i="1" s="1"/>
  <c r="E70" i="1"/>
  <c r="E71" i="1" s="1"/>
  <c r="Q20" i="1"/>
  <c r="R20" i="1" s="1"/>
  <c r="E79" i="1"/>
  <c r="D41" i="1"/>
  <c r="D39" i="1" s="1"/>
  <c r="Q19" i="1"/>
  <c r="R19" i="1" s="1"/>
  <c r="Q18" i="1"/>
  <c r="R18" i="1" s="1"/>
  <c r="N34" i="1" l="1"/>
  <c r="N46" i="1"/>
  <c r="N37" i="1"/>
  <c r="N41" i="1"/>
  <c r="N42" i="1"/>
  <c r="S40" i="1" s="1"/>
  <c r="R21" i="1"/>
  <c r="N25" i="1" s="1"/>
  <c r="N26" i="1" s="1"/>
  <c r="E74" i="1"/>
  <c r="E75" i="1"/>
  <c r="N70" i="1" l="1"/>
  <c r="N69" i="1"/>
  <c r="N43" i="1"/>
  <c r="D34" i="1" s="1"/>
  <c r="D35" i="1" s="1"/>
  <c r="S41" i="1"/>
  <c r="T41" i="1"/>
  <c r="T40" i="1"/>
  <c r="U40" i="1" s="1"/>
  <c r="E81" i="1"/>
  <c r="E85" i="1" s="1"/>
  <c r="Q26" i="1"/>
  <c r="Q25" i="1"/>
  <c r="E82" i="1"/>
  <c r="E86" i="1" s="1"/>
  <c r="E76" i="1"/>
  <c r="Q43" i="1" l="1"/>
  <c r="U41" i="1"/>
  <c r="T42" i="1"/>
  <c r="U42" i="1" s="1"/>
  <c r="T39" i="1"/>
  <c r="Q27" i="1"/>
  <c r="D37" i="1"/>
  <c r="D38" i="1"/>
  <c r="U39" i="1" l="1"/>
  <c r="U43" i="1" s="1"/>
  <c r="V39" i="1"/>
  <c r="D43" i="1"/>
  <c r="E50" i="1" s="1"/>
  <c r="G52" i="1" s="1"/>
  <c r="E52" i="1" l="1"/>
  <c r="E91" i="1"/>
  <c r="E93" i="1" s="1"/>
  <c r="E94" i="1" s="1"/>
  <c r="E95" i="1" s="1"/>
  <c r="E97" i="1" s="1"/>
  <c r="E53" i="1"/>
  <c r="G53" i="1"/>
  <c r="G54" i="1" s="1"/>
  <c r="E54" i="1" l="1"/>
</calcChain>
</file>

<file path=xl/sharedStrings.xml><?xml version="1.0" encoding="utf-8"?>
<sst xmlns="http://schemas.openxmlformats.org/spreadsheetml/2006/main" count="216" uniqueCount="144">
  <si>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</si>
  <si>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</si>
  <si>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</si>
  <si>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</si>
  <si>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</si>
  <si>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</si>
  <si>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</si>
  <si>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</si>
  <si>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</si>
  <si>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</si>
  <si>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</si>
  <si>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</si>
  <si>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</si>
  <si>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</si>
  <si>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</si>
  <si>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</si>
  <si>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</si>
  <si>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</si>
  <si>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</si>
  <si>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</si>
  <si>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</si>
  <si>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</si>
  <si>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</si>
  <si>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</si>
  <si>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</si>
  <si>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</si>
  <si>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</si>
  <si>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</si>
  <si>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</si>
  <si>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</si>
  <si>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</si>
  <si>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</si>
  <si>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</si>
  <si>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</si>
  <si>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</si>
  <si>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</si>
  <si>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</si>
  <si>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</si>
  <si>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</si>
  <si>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</si>
  <si>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</si>
  <si>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</si>
  <si>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</si>
  <si>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</si>
  <si>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</si>
  <si>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</si>
  <si>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</si>
  <si>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</si>
  <si>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</si>
  <si>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</si>
  <si>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</si>
  <si>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</si>
  <si>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</si>
  <si>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</si>
  <si>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</si>
  <si>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</si>
  <si>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</si>
  <si>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</si>
  <si>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</si>
  <si>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</si>
  <si>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</si>
  <si>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</si>
  <si>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</si>
  <si>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</si>
  <si>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</si>
  <si>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</si>
  <si>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</si>
  <si>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</si>
  <si>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</si>
  <si>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</si>
  <si>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</si>
  <si>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</si>
  <si>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</si>
  <si>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</si>
  <si>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</si>
  <si>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</si>
  <si>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</si>
  <si>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</si>
  <si>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</si>
  <si>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</si>
  <si>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</si>
  <si>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</si>
  <si>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</si>
  <si>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</si>
  <si>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</si>
  <si>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</si>
  <si>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</si>
  <si>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</si>
  <si>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</si>
  <si>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</si>
  <si>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</si>
  <si>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</si>
  <si>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</si>
  <si>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</si>
  <si>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</si>
  <si>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</si>
  <si>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</si>
  <si>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</si>
  <si>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</si>
  <si>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</si>
  <si>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</si>
  <si>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</si>
  <si>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</si>
  <si>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</si>
  <si>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</si>
  <si>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</si>
  <si>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</si>
  <si>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</si>
  <si>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</si>
  <si>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</si>
  <si>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</si>
  <si>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</si>
  <si>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</si>
  <si>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</si>
  <si>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</si>
  <si>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</si>
  <si>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</si>
  <si>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</si>
  <si>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</si>
  <si>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</si>
  <si>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</si>
  <si>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</si>
  <si>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</si>
  <si>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</si>
  <si>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</si>
  <si>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</si>
  <si>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</si>
  <si>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</si>
  <si>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</si>
  <si>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</si>
  <si>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</si>
  <si>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Console</t>
  </si>
  <si>
    <t>F sur portée a</t>
  </si>
  <si>
    <t>A multiplier par Eta</t>
  </si>
  <si>
    <t>q répartie sur portée a</t>
  </si>
  <si>
    <t>Flèche travée</t>
  </si>
  <si>
    <t>Flèche console</t>
  </si>
  <si>
    <t>Prise en compte interaction MV</t>
  </si>
  <si>
    <t>Rau</t>
  </si>
  <si>
    <t>Reduction âme</t>
  </si>
  <si>
    <t>GammaMV</t>
  </si>
  <si>
    <t>Na</t>
  </si>
  <si>
    <t>Ni</t>
  </si>
  <si>
    <t>Nidi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</si>
</sst>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8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8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8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164" fontId="0" fillId="13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V99"/>
  <sheetViews>
    <sheetView tabSelected="1" workbookViewId="0">
      <selection activeCell="G38" sqref="G38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150</v>
      </c>
      <c r="E6" t="s">
        <v>7</v>
      </c>
      <c r="H6" s="3" t="s">
        <v>9</v>
      </c>
      <c r="I6" s="6">
        <v>0</v>
      </c>
      <c r="J6" t="s">
        <v>12</v>
      </c>
      <c r="M6" s="3" t="s">
        <v>18</v>
      </c>
      <c r="N6" s="6">
        <v>1</v>
      </c>
    </row>
    <row r="7" spans="3:19" x14ac:dyDescent="0.25">
      <c r="C7" s="3" t="s">
        <v>2</v>
      </c>
      <c r="D7" s="6">
        <v>18</v>
      </c>
      <c r="E7" t="s">
        <v>7</v>
      </c>
      <c r="H7" s="3" t="s">
        <v>134</v>
      </c>
      <c r="I7" s="6">
        <v>100</v>
      </c>
      <c r="J7" t="s">
        <v>12</v>
      </c>
      <c r="M7" s="3" t="s">
        <v>19</v>
      </c>
      <c r="N7" s="6">
        <v>1</v>
      </c>
    </row>
    <row r="8" spans="3:19" x14ac:dyDescent="0.25">
      <c r="C8" s="3" t="s">
        <v>3</v>
      </c>
      <c r="D8" s="6">
        <v>280</v>
      </c>
      <c r="E8" t="s">
        <v>7</v>
      </c>
      <c r="H8" s="3" t="s">
        <v>132</v>
      </c>
      <c r="I8" s="6">
        <v>0</v>
      </c>
      <c r="J8" t="s">
        <v>13</v>
      </c>
      <c r="M8" s="3" t="s">
        <v>20</v>
      </c>
      <c r="N8" s="6">
        <v>1</v>
      </c>
    </row>
    <row r="9" spans="3:19" x14ac:dyDescent="0.25">
      <c r="C9" s="3" t="s">
        <v>4</v>
      </c>
      <c r="D9" s="6">
        <v>5</v>
      </c>
      <c r="E9" t="s">
        <v>7</v>
      </c>
      <c r="M9" s="3" t="s">
        <v>21</v>
      </c>
      <c r="N9" s="6">
        <v>1</v>
      </c>
    </row>
    <row r="10" spans="3:19" x14ac:dyDescent="0.25">
      <c r="C10" s="3" t="s">
        <v>5</v>
      </c>
      <c r="D10" s="6">
        <v>150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22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320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0</v>
      </c>
      <c r="K13" s="12" t="s">
        <v>23</v>
      </c>
    </row>
    <row r="14" spans="3:19" x14ac:dyDescent="0.25">
      <c r="C14" s="3" t="s">
        <v>46</v>
      </c>
      <c r="D14" s="6">
        <v>460</v>
      </c>
      <c r="E14" t="s">
        <v>49</v>
      </c>
      <c r="H14" s="13"/>
      <c r="I14" s="14" t="s">
        <v>16</v>
      </c>
      <c r="J14" s="8">
        <f>qG*LL/2</f>
        <v>0</v>
      </c>
      <c r="K14" s="15" t="s">
        <v>13</v>
      </c>
    </row>
    <row r="15" spans="3:19" x14ac:dyDescent="0.25">
      <c r="C15" s="50" t="s">
        <v>47</v>
      </c>
      <c r="D15" s="6">
        <f>FyS</f>
        <v>460</v>
      </c>
      <c r="E15" t="s">
        <v>50</v>
      </c>
      <c r="H15" s="16" t="s">
        <v>10</v>
      </c>
      <c r="I15" s="17" t="s">
        <v>15</v>
      </c>
      <c r="J15" s="9">
        <f>-qQ_1*La^2/2</f>
        <v>-312.5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460</v>
      </c>
      <c r="E16" t="s">
        <v>49</v>
      </c>
      <c r="H16" s="19"/>
      <c r="I16" s="20" t="s">
        <v>16</v>
      </c>
      <c r="J16" s="8">
        <f>qQ_1*La</f>
        <v>250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-F_Q2*La</f>
        <v>0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</f>
        <v>0</v>
      </c>
      <c r="K18" s="27" t="s">
        <v>13</v>
      </c>
      <c r="M18" s="41" t="s">
        <v>31</v>
      </c>
      <c r="N18" s="48">
        <f>bfs*tfs</f>
        <v>2700</v>
      </c>
      <c r="O18" s="42">
        <f>-tfs/2</f>
        <v>-9</v>
      </c>
      <c r="P18" s="48">
        <f>N18*O18</f>
        <v>-24300</v>
      </c>
      <c r="Q18" s="48">
        <f>O18-zG</f>
        <v>161.97297297297297</v>
      </c>
      <c r="R18" s="43">
        <f>N18*Q18^2</f>
        <v>70835158.728999272</v>
      </c>
      <c r="S18" s="49">
        <f>bfs*tfs^3/12</f>
        <v>72900</v>
      </c>
    </row>
    <row r="19" spans="3:19" x14ac:dyDescent="0.25">
      <c r="M19" s="41" t="s">
        <v>32</v>
      </c>
      <c r="N19" s="49">
        <f>hw*tw</f>
        <v>1400</v>
      </c>
      <c r="O19" s="44">
        <f>-tfs-hw/2</f>
        <v>-158</v>
      </c>
      <c r="P19" s="49">
        <f>N19*O19</f>
        <v>-221200</v>
      </c>
      <c r="Q19" s="49">
        <f>O19-zG</f>
        <v>12.972972972972968</v>
      </c>
      <c r="R19" s="45">
        <f>N19*Q19^2</f>
        <v>235617.23886048191</v>
      </c>
      <c r="S19" s="49">
        <f>hw^3*tw/12</f>
        <v>9146666.666666666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3300</v>
      </c>
      <c r="O20" s="46">
        <f>-tfs-hw-tfi/2</f>
        <v>-309</v>
      </c>
      <c r="P20" s="28">
        <f>N20*O20</f>
        <v>-1019700</v>
      </c>
      <c r="Q20" s="28">
        <f>O20-zG</f>
        <v>-138.02702702702703</v>
      </c>
      <c r="R20" s="47">
        <f>N20*Q20^2</f>
        <v>62869818.626734845</v>
      </c>
      <c r="S20" s="49">
        <f>bfi*tfi^3/12</f>
        <v>133100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7400</v>
      </c>
      <c r="P21" s="5">
        <f>SUM(P18:P20)</f>
        <v>-1265200</v>
      </c>
      <c r="R21" s="5">
        <f>SUM(R18:R20)</f>
        <v>133940594.5945946</v>
      </c>
      <c r="S21" s="5">
        <f>SUM(S18:S20)</f>
        <v>9352666.666666666</v>
      </c>
    </row>
    <row r="22" spans="3:19" x14ac:dyDescent="0.25">
      <c r="C22" s="3" t="s">
        <v>25</v>
      </c>
      <c r="D22" s="6">
        <v>9</v>
      </c>
      <c r="E22" t="s">
        <v>26</v>
      </c>
    </row>
    <row r="23" spans="3:19" x14ac:dyDescent="0.25">
      <c r="C23" s="3" t="s">
        <v>131</v>
      </c>
      <c r="D23" s="6">
        <v>2.5</v>
      </c>
      <c r="E23" t="s">
        <v>26</v>
      </c>
      <c r="H23" s="29" t="s">
        <v>28</v>
      </c>
      <c r="I23" s="30" t="s">
        <v>15</v>
      </c>
      <c r="J23" s="8">
        <f>GammaG*MEdG+GammaQ*(MEd_Q1+Psi_0*MEd_Q2)</f>
        <v>-312.5</v>
      </c>
      <c r="K23" s="31" t="s">
        <v>23</v>
      </c>
      <c r="M23" s="50" t="s">
        <v>39</v>
      </c>
      <c r="N23" s="8">
        <f>N21</f>
        <v>7400</v>
      </c>
      <c r="O23" t="s">
        <v>41</v>
      </c>
    </row>
    <row r="24" spans="3:19" x14ac:dyDescent="0.25">
      <c r="H24" s="32"/>
      <c r="I24" s="33" t="s">
        <v>16</v>
      </c>
      <c r="J24" s="8">
        <f>GammaG*VEdG+GammaQ*(VEd_Q1+Psi_0*VEd_Q2)</f>
        <v>250</v>
      </c>
      <c r="K24" s="34" t="s">
        <v>13</v>
      </c>
      <c r="M24" s="50" t="s">
        <v>40</v>
      </c>
      <c r="N24" s="54">
        <f>P21/A</f>
        <v>-170.97297297297297</v>
      </c>
      <c r="O24" t="s">
        <v>7</v>
      </c>
    </row>
    <row r="25" spans="3:19" x14ac:dyDescent="0.25">
      <c r="C25" s="3" t="s">
        <v>120</v>
      </c>
      <c r="D25" s="6">
        <v>210000</v>
      </c>
      <c r="E25" t="s">
        <v>49</v>
      </c>
      <c r="H25" s="35" t="s">
        <v>29</v>
      </c>
      <c r="I25" s="36" t="s">
        <v>15</v>
      </c>
      <c r="J25" s="8">
        <f>GammaG*MEdG+GammaQ*(Psi_0*MEd_Q1+MEd_Q2)</f>
        <v>-218.75</v>
      </c>
      <c r="K25" s="37" t="s">
        <v>23</v>
      </c>
      <c r="M25" s="50" t="s">
        <v>108</v>
      </c>
      <c r="N25" s="8">
        <f>SUM(R21:S21)</f>
        <v>143293261.26126125</v>
      </c>
      <c r="O25" t="s">
        <v>42</v>
      </c>
      <c r="P25" s="3" t="s">
        <v>81</v>
      </c>
      <c r="Q25" s="70">
        <f>InertieCM4/(ABS(zG))*10</f>
        <v>838.10475287174631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175</v>
      </c>
      <c r="K26" s="40" t="s">
        <v>13</v>
      </c>
      <c r="N26" s="8">
        <f>N25/10^4</f>
        <v>14329.326126126125</v>
      </c>
      <c r="O26" t="s">
        <v>43</v>
      </c>
      <c r="P26" s="3" t="s">
        <v>82</v>
      </c>
      <c r="Q26" s="70">
        <f>InertieCM4/(Ht-ABS(zG))*10</f>
        <v>961.52532946439351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385.52818632100332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121</v>
      </c>
      <c r="J30" s="5">
        <f>GammaG*qG+GammaQ*qQ_1</f>
        <v>100</v>
      </c>
      <c r="K30" t="s">
        <v>12</v>
      </c>
    </row>
    <row r="31" spans="3:19" x14ac:dyDescent="0.25">
      <c r="C31" s="3"/>
      <c r="D31" s="4"/>
      <c r="I31" s="3" t="s">
        <v>122</v>
      </c>
      <c r="J31" s="5">
        <f>Psi_0*GammaQ*F_Q2</f>
        <v>0</v>
      </c>
      <c r="K31" t="s">
        <v>13</v>
      </c>
      <c r="M31" s="3" t="s">
        <v>52</v>
      </c>
      <c r="N31" s="55">
        <f>bfs*tfs*FyS/GammaM0/1000</f>
        <v>1242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hw*tw*FyW/GammaM0/1000*S34</f>
        <v>644</v>
      </c>
      <c r="O32" t="s">
        <v>13</v>
      </c>
      <c r="R32" s="3" t="s">
        <v>137</v>
      </c>
      <c r="S32" s="6" t="s">
        <v>59</v>
      </c>
    </row>
    <row r="33" spans="3:22" x14ac:dyDescent="0.25">
      <c r="C33" s="3" t="s">
        <v>65</v>
      </c>
      <c r="D33" s="61">
        <f>hw/tw</f>
        <v>56</v>
      </c>
      <c r="M33" s="3" t="s">
        <v>54</v>
      </c>
      <c r="N33" s="55">
        <f>bfi*tfi*FyI/GammaM0/1000</f>
        <v>1518</v>
      </c>
      <c r="O33" t="s">
        <v>13</v>
      </c>
      <c r="R33" s="2" t="s">
        <v>138</v>
      </c>
      <c r="S33" s="73">
        <f>IF(E60&gt;0.5,(2*E60-1)^2,0)</f>
        <v>1.4552389804685017E-2</v>
      </c>
    </row>
    <row r="34" spans="3:22" x14ac:dyDescent="0.25">
      <c r="C34" s="3" t="s">
        <v>67</v>
      </c>
      <c r="D34" s="5">
        <f>zANP-tfs</f>
        <v>200</v>
      </c>
      <c r="E34" t="s">
        <v>7</v>
      </c>
      <c r="M34" s="50" t="s">
        <v>141</v>
      </c>
      <c r="N34" s="55">
        <f>SUM(N31:N33)</f>
        <v>3404</v>
      </c>
      <c r="O34" t="s">
        <v>13</v>
      </c>
      <c r="R34" s="3" t="s">
        <v>139</v>
      </c>
      <c r="S34" s="73">
        <f>IF(S32=oui,1-S33,1)</f>
        <v>1</v>
      </c>
    </row>
    <row r="35" spans="3:22" x14ac:dyDescent="0.25">
      <c r="C35" s="3" t="s">
        <v>68</v>
      </c>
      <c r="D35" s="5">
        <f>cc/hw</f>
        <v>0.7142857142857143</v>
      </c>
    </row>
    <row r="36" spans="3:22" x14ac:dyDescent="0.25">
      <c r="C36" s="3" t="s">
        <v>71</v>
      </c>
      <c r="D36" s="59">
        <f>SQRT(235/FyW)</f>
        <v>0.71475140099015644</v>
      </c>
      <c r="M36" s="56" t="s">
        <v>55</v>
      </c>
    </row>
    <row r="37" spans="3:22" x14ac:dyDescent="0.25">
      <c r="C37" s="3" t="s">
        <v>66</v>
      </c>
      <c r="D37" s="61">
        <f>IF(Elan&lt;=0.5,36*EpsilonW/Alpha,396*EpsilonW/(13*Alpha-1))</f>
        <v>34.160187647322651</v>
      </c>
      <c r="M37" s="50" t="s">
        <v>57</v>
      </c>
      <c r="N37" s="8" t="str">
        <f>IF(Nfs&gt;Nw+Nfi,oui,non)</f>
        <v>Non</v>
      </c>
    </row>
    <row r="38" spans="3:22" x14ac:dyDescent="0.25">
      <c r="C38" s="3" t="s">
        <v>69</v>
      </c>
      <c r="D38" s="61">
        <f>IF(Elan&lt;=0.5,41.5*EpsilonW/Alpha,456*EpsilonW/(13*Alpha-1))</f>
        <v>39.33597365449274</v>
      </c>
      <c r="S38" s="5" t="s">
        <v>142</v>
      </c>
      <c r="T38" s="5" t="s">
        <v>37</v>
      </c>
      <c r="U38" s="5" t="s">
        <v>143</v>
      </c>
    </row>
    <row r="39" spans="3:22" x14ac:dyDescent="0.25">
      <c r="C39" s="50" t="s">
        <v>70</v>
      </c>
      <c r="D39" s="61">
        <f>IF(Psi&lt;=-1,62*EpsilonW*(1-Psi)*SQRT(-Psi),42*espilonw/(0.67+0.33*Psi))</f>
        <v>107.19336115990178</v>
      </c>
      <c r="S39" s="62">
        <f>Nfs</f>
        <v>1242</v>
      </c>
      <c r="T39" s="5">
        <f>(zANP-tfs/2)</f>
        <v>209</v>
      </c>
      <c r="U39" s="62">
        <f>S39*T39/1000</f>
        <v>259.57799999999997</v>
      </c>
      <c r="V39">
        <f>N18*T39</f>
        <v>564300</v>
      </c>
    </row>
    <row r="40" spans="3:22" x14ac:dyDescent="0.25">
      <c r="M40" s="56" t="s">
        <v>56</v>
      </c>
      <c r="S40" s="62">
        <f>Nw*pW</f>
        <v>460</v>
      </c>
      <c r="T40" s="5">
        <f>pW*hw/2</f>
        <v>100</v>
      </c>
      <c r="U40" s="62">
        <f t="shared" ref="U40:U43" si="0">S40*T40/1000</f>
        <v>46</v>
      </c>
    </row>
    <row r="41" spans="3:22" x14ac:dyDescent="0.25">
      <c r="C41" s="50" t="s">
        <v>72</v>
      </c>
      <c r="D41" s="5">
        <f>-(-zG-tfs)/(Ht-tfi+zG)</f>
        <v>-1.204255319148936</v>
      </c>
      <c r="M41" s="50" t="s">
        <v>57</v>
      </c>
      <c r="N41" s="8" t="str">
        <f>IF(AND(Nfi&lt;=Nw+Nfs,Nfs&lt;=Nw+Nfi),oui,non)</f>
        <v>Oui</v>
      </c>
      <c r="S41" s="62">
        <f>(1-pW)*Nw</f>
        <v>184</v>
      </c>
      <c r="T41" s="5">
        <f>(1-pW)*hw/2</f>
        <v>40</v>
      </c>
      <c r="U41" s="62">
        <f t="shared" si="0"/>
        <v>7.36</v>
      </c>
    </row>
    <row r="42" spans="3:22" x14ac:dyDescent="0.25">
      <c r="M42" s="3" t="s">
        <v>61</v>
      </c>
      <c r="N42" s="60">
        <f>1/2*(1+(Nfi-Nfs)/Nw)</f>
        <v>0.7142857142857143</v>
      </c>
      <c r="S42" s="62">
        <f>Nfi</f>
        <v>1518</v>
      </c>
      <c r="T42" s="5">
        <f>Ht-zANP-tfi/2</f>
        <v>91</v>
      </c>
      <c r="U42" s="62">
        <f t="shared" si="0"/>
        <v>138.13800000000001</v>
      </c>
    </row>
    <row r="43" spans="3:22" x14ac:dyDescent="0.25">
      <c r="C43" s="50" t="s">
        <v>73</v>
      </c>
      <c r="D43" s="66">
        <f>IF(Elan&lt;=D37,1,IF(Elan&lt;=D38,2,IF(Elan&lt;=D39,3,4)))</f>
        <v>3</v>
      </c>
      <c r="M43" s="3" t="s">
        <v>62</v>
      </c>
      <c r="N43" s="62">
        <f>tfs+hw*pW</f>
        <v>218</v>
      </c>
      <c r="O43" t="s">
        <v>7</v>
      </c>
      <c r="P43" s="3" t="s">
        <v>63</v>
      </c>
      <c r="Q43" s="64">
        <f>(Nfs*ABS(zANP-tfs/2)+Nfi*ABS(zANP-(Ht-tfi/2))+Nw*hw/2*(pW^2+(1-pW)^2))/1000</f>
        <v>451.07600000000002</v>
      </c>
      <c r="R43" t="s">
        <v>23</v>
      </c>
      <c r="U43" s="79">
        <f>SUM(U39:U42)</f>
        <v>451.07600000000002</v>
      </c>
    </row>
    <row r="45" spans="3:22" x14ac:dyDescent="0.25">
      <c r="M45" s="56" t="s">
        <v>60</v>
      </c>
    </row>
    <row r="46" spans="3:22" x14ac:dyDescent="0.25">
      <c r="M46" s="50" t="s">
        <v>57</v>
      </c>
      <c r="N46" s="8" t="str">
        <f>IF(Nfi&gt;Nw+Nfs,oui,non)</f>
        <v>Non</v>
      </c>
    </row>
    <row r="48" spans="3:22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385.52818632100332</v>
      </c>
    </row>
    <row r="51" spans="3:19" x14ac:dyDescent="0.25">
      <c r="E51" s="4" t="s">
        <v>79</v>
      </c>
      <c r="G51" s="4" t="s">
        <v>140</v>
      </c>
    </row>
    <row r="52" spans="3:19" x14ac:dyDescent="0.25">
      <c r="D52" s="2" t="s">
        <v>76</v>
      </c>
      <c r="E52" s="60">
        <f>ABS(MEd_U1/MRd)</f>
        <v>0.81057627195071624</v>
      </c>
      <c r="F52" s="2" t="s">
        <v>76</v>
      </c>
      <c r="G52" s="60">
        <f>ABS(MEd_U1/MRd)</f>
        <v>0.81057627195071624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ABS(MEd_U2/MRd)</f>
        <v>0.56740339036550136</v>
      </c>
      <c r="F53" s="2" t="s">
        <v>77</v>
      </c>
      <c r="G53" s="60">
        <f>ABS(MEd_U2/MRd)</f>
        <v>0.56740339036550136</v>
      </c>
    </row>
    <row r="54" spans="3:19" x14ac:dyDescent="0.25">
      <c r="D54" s="2" t="s">
        <v>78</v>
      </c>
      <c r="E54" s="75">
        <f>MAX(E52:E53)</f>
        <v>0.81057627195071624</v>
      </c>
      <c r="F54" s="2" t="s">
        <v>78</v>
      </c>
      <c r="G54" s="75">
        <f>MAX(G52:G53)</f>
        <v>0.81057627195071624</v>
      </c>
      <c r="M54" s="3" t="s">
        <v>107</v>
      </c>
      <c r="N54" s="8">
        <f>Eta*hw*tw</f>
        <v>1680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1125.2916666666665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Eta*hw*tw*FyW/SQRT(3)/GammaM0/1000</f>
        <v>446.17628802974281</v>
      </c>
      <c r="F56" t="s">
        <v>13</v>
      </c>
      <c r="G56" t="s">
        <v>133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58.09</v>
      </c>
      <c r="O57" t="s">
        <v>112</v>
      </c>
    </row>
    <row r="58" spans="3:19" x14ac:dyDescent="0.25">
      <c r="D58" s="2" t="s">
        <v>76</v>
      </c>
      <c r="E58" s="60">
        <f>VEd_U1/VRd</f>
        <v>0.56031664323527341</v>
      </c>
      <c r="M58" s="3" t="s">
        <v>26</v>
      </c>
      <c r="N58" s="74">
        <f>N57*(LL+La)</f>
        <v>668.03500000000008</v>
      </c>
      <c r="O58" t="s">
        <v>114</v>
      </c>
    </row>
    <row r="59" spans="3:19" x14ac:dyDescent="0.25">
      <c r="D59" s="2" t="s">
        <v>77</v>
      </c>
      <c r="E59" s="60">
        <f>VEd_U2/VRd</f>
        <v>0.39222165026469141</v>
      </c>
      <c r="M59" s="3"/>
    </row>
    <row r="60" spans="3:19" x14ac:dyDescent="0.25">
      <c r="D60" s="2" t="s">
        <v>78</v>
      </c>
      <c r="E60" s="75">
        <f>MAX(E58:E59)</f>
        <v>0.56031664323527341</v>
      </c>
      <c r="M60" s="3" t="s">
        <v>115</v>
      </c>
      <c r="N60" s="5">
        <f>N61*(LL+La)/1000</f>
        <v>14.145</v>
      </c>
      <c r="O60" t="s">
        <v>117</v>
      </c>
    </row>
    <row r="61" spans="3:19" x14ac:dyDescent="0.25">
      <c r="M61" s="3" t="s">
        <v>116</v>
      </c>
      <c r="N61" s="5">
        <f>2*Ht+2*bfs-tw+2*bfi-tw</f>
        <v>1230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N60-(bfs/1000*(LL+La))</f>
        <v>12.42</v>
      </c>
      <c r="O62" t="s">
        <v>41</v>
      </c>
    </row>
    <row r="63" spans="3:19" x14ac:dyDescent="0.25">
      <c r="D63" s="3" t="s">
        <v>88</v>
      </c>
      <c r="E63" s="61">
        <f>hw/tw</f>
        <v>56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42.885084059409387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0.90654795175087832</v>
      </c>
      <c r="M69" s="3" t="s">
        <v>135</v>
      </c>
      <c r="N69" s="61">
        <f>-qQ_1*La^2*LL^2/18/SQRT(3)/(E*InertieCM4/100)*1000^2</f>
        <v>-53.961851440791989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0.91556105597830095</v>
      </c>
      <c r="M70" s="3" t="s">
        <v>136</v>
      </c>
      <c r="N70" s="61">
        <f>qQ_1*La^3/24/(E*InertieCM4/100)*1000^2*(4*LL+3*La)</f>
        <v>94.113728562921224</v>
      </c>
      <c r="O70" t="s">
        <v>7</v>
      </c>
    </row>
    <row r="71" spans="3:18" x14ac:dyDescent="0.25">
      <c r="D71" s="50" t="s">
        <v>95</v>
      </c>
      <c r="E71" s="54">
        <f>KhiW*hw*tw*FyW/SQRT(3)/GammaM1/1000</f>
        <v>340.41802785082496</v>
      </c>
      <c r="F71" t="s">
        <v>13</v>
      </c>
    </row>
    <row r="73" spans="3:18" x14ac:dyDescent="0.25">
      <c r="E73" s="72" t="s">
        <v>96</v>
      </c>
    </row>
    <row r="74" spans="3:18" x14ac:dyDescent="0.25">
      <c r="D74" s="2" t="s">
        <v>76</v>
      </c>
      <c r="E74" s="60">
        <f>VEd_U1/VbRd</f>
        <v>0.73439118832317785</v>
      </c>
    </row>
    <row r="75" spans="3:18" x14ac:dyDescent="0.25">
      <c r="D75" s="2" t="s">
        <v>77</v>
      </c>
      <c r="E75" s="60">
        <f>VEd_U2/VbRd</f>
        <v>0.51407383182622446</v>
      </c>
    </row>
    <row r="76" spans="3:18" x14ac:dyDescent="0.25">
      <c r="D76" s="2" t="s">
        <v>78</v>
      </c>
      <c r="E76" s="75">
        <f>MAX(E74:E75)</f>
        <v>0.73439118832317785</v>
      </c>
    </row>
    <row r="78" spans="3:18" x14ac:dyDescent="0.25">
      <c r="C78" s="67" t="s">
        <v>97</v>
      </c>
    </row>
    <row r="79" spans="3:18" x14ac:dyDescent="0.25">
      <c r="D79" s="71" t="s">
        <v>98</v>
      </c>
      <c r="E79" s="61">
        <f>(bfs*tfs*(ABS(zG)-tfs/2))/1000</f>
        <v>437.32702702702704</v>
      </c>
      <c r="F79" t="s">
        <v>83</v>
      </c>
    </row>
    <row r="80" spans="3:18" x14ac:dyDescent="0.25">
      <c r="C80" t="s">
        <v>99</v>
      </c>
    </row>
    <row r="81" spans="3:6" x14ac:dyDescent="0.25">
      <c r="D81" s="2" t="s">
        <v>100</v>
      </c>
      <c r="E81" s="62">
        <f>VEd_U1*(MStatS/InertieCM4)*100</f>
        <v>762.99301023944349</v>
      </c>
      <c r="F81" t="s">
        <v>12</v>
      </c>
    </row>
    <row r="82" spans="3:6" x14ac:dyDescent="0.25">
      <c r="D82" s="2" t="s">
        <v>101</v>
      </c>
      <c r="E82" s="62">
        <f>VEd_U2*(MStatS/InertieCM4)*100</f>
        <v>534.09510716761042</v>
      </c>
      <c r="F82" t="s">
        <v>12</v>
      </c>
    </row>
    <row r="83" spans="3:6" x14ac:dyDescent="0.25">
      <c r="D83" s="2" t="s">
        <v>105</v>
      </c>
      <c r="E83" s="6">
        <v>0.9</v>
      </c>
    </row>
    <row r="85" spans="3:6" x14ac:dyDescent="0.25">
      <c r="D85" s="2" t="s">
        <v>104</v>
      </c>
      <c r="E85" s="60">
        <f>E81/Fu*GammaM2*SQRT(3)/2*BetaW</f>
        <v>1.58163350212656</v>
      </c>
      <c r="F85" t="s">
        <v>7</v>
      </c>
    </row>
    <row r="86" spans="3:6" x14ac:dyDescent="0.25">
      <c r="D86" s="2" t="s">
        <v>104</v>
      </c>
      <c r="E86" s="60">
        <f>E82/Fu*GammaM2*SQRT(3)/2*BetaW</f>
        <v>1.1071434514885918</v>
      </c>
      <c r="F86" t="s">
        <v>7</v>
      </c>
    </row>
    <row r="89" spans="3:6" x14ac:dyDescent="0.25">
      <c r="C89" s="67" t="s">
        <v>123</v>
      </c>
    </row>
    <row r="90" spans="3:6" x14ac:dyDescent="0.25">
      <c r="D90" s="2" t="s">
        <v>124</v>
      </c>
      <c r="E90" s="5">
        <v>4189</v>
      </c>
      <c r="F90" t="s">
        <v>23</v>
      </c>
    </row>
    <row r="91" spans="3:6" x14ac:dyDescent="0.25">
      <c r="D91" s="3" t="s">
        <v>125</v>
      </c>
      <c r="E91" s="59">
        <f>SQRT(MRd*GammaM0/Mcr)</f>
        <v>0.30337017873021627</v>
      </c>
    </row>
    <row r="92" spans="3:6" x14ac:dyDescent="0.25">
      <c r="D92" s="3" t="s">
        <v>127</v>
      </c>
      <c r="E92" s="6">
        <v>0.76</v>
      </c>
    </row>
    <row r="93" spans="3:6" x14ac:dyDescent="0.25">
      <c r="D93" s="3" t="s">
        <v>126</v>
      </c>
      <c r="E93" s="60">
        <f>0.5*(1+AlphaLT*(LambdaLT-0.2)+LambdaLT^2)</f>
        <v>0.58529740058888391</v>
      </c>
    </row>
    <row r="94" spans="3:6" x14ac:dyDescent="0.25">
      <c r="D94" s="3" t="s">
        <v>128</v>
      </c>
      <c r="E94" s="69">
        <f>1/(PhiLT+SQRT(PhiLT^2-LambdaLT^2))</f>
        <v>0.92094880177136085</v>
      </c>
    </row>
    <row r="95" spans="3:6" x14ac:dyDescent="0.25">
      <c r="D95" s="3" t="s">
        <v>129</v>
      </c>
      <c r="E95" s="62">
        <f>KhiLT*MRd*GammaM0/GammaM1</f>
        <v>355.05172124141393</v>
      </c>
      <c r="F95" t="s">
        <v>23</v>
      </c>
    </row>
    <row r="96" spans="3:6" x14ac:dyDescent="0.25">
      <c r="D96" s="3"/>
      <c r="E96" s="4"/>
    </row>
    <row r="97" spans="4:5" x14ac:dyDescent="0.25">
      <c r="D97" s="3" t="s">
        <v>130</v>
      </c>
      <c r="E97" s="75">
        <f>MEd_U1/E95</f>
        <v>-0.88015345738182948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Param!$C$2:$C$3</xm:f>
          </x14:formula1>
          <xm:sqref>S32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68</vt:i4>
      </vt:variant>
    </vt:vector>
  </HeadingPairs>
  <TitlesOfParts>
    <vt:vector size="70" baseType="lpstr">
      <vt:lpstr>S04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InertieCM4</vt:lpstr>
      <vt:lpstr>KhiLT</vt:lpstr>
      <vt:lpstr>KhiW</vt:lpstr>
      <vt:lpstr>kTau</vt:lpstr>
      <vt:lpstr>La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2024-08-08T13:05:43Z</dcterms:modified>
</cp:coreProperties>
</file>