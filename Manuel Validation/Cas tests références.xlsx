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gdelacourt\source\repos\ABCPMX\Manuel Validation\"/>
    </mc:Choice>
  </mc:AlternateContent>
  <bookViews>
    <workbookView xWindow="0" yWindow="0" windowWidth="15300" windowHeight="4260"/>
  </bookViews>
  <sheets>
    <sheet name="Cas 2" sheetId="1" r:id="rId1"/>
  </sheets>
  <definedNames>
    <definedName name="_A" localSheetId="0">'Cas 2'!$B$20</definedName>
    <definedName name="_Av" localSheetId="0">'Cas 2'!$B$21</definedName>
    <definedName name="_b" localSheetId="0">'Cas 2'!$B$4</definedName>
    <definedName name="_cf" localSheetId="0">'Cas 2'!$B$10</definedName>
    <definedName name="_cw" localSheetId="0">'Cas 2'!$B$11</definedName>
    <definedName name="_epsilon" localSheetId="0">'Cas 2'!$B$14</definedName>
    <definedName name="_fy" localSheetId="0">'Cas 2'!$B$13</definedName>
    <definedName name="_h" localSheetId="0">'Cas 2'!$B$3</definedName>
    <definedName name="_hw" localSheetId="0">'Cas 2'!$B$8</definedName>
    <definedName name="_Iy" localSheetId="0">'Cas 2'!$B$22</definedName>
    <definedName name="_Iz" localSheetId="0">'Cas 2'!$B$23</definedName>
    <definedName name="_L" localSheetId="0">'Cas 2'!$B$2</definedName>
    <definedName name="_Mel_y_Rd" localSheetId="0">'Cas 2'!$B$41</definedName>
    <definedName name="_Mel_z_Rd" localSheetId="0">'Cas 2'!$B$42</definedName>
    <definedName name="_Mpl_y_Rd" localSheetId="0">'Cas 2'!$B$43</definedName>
    <definedName name="_Mpl_z_Rd" localSheetId="0">'Cas 2'!$B$44</definedName>
    <definedName name="_NtRd" localSheetId="0">'Cas 2'!$B$39</definedName>
    <definedName name="_r" localSheetId="0">'Cas 2'!$B$7</definedName>
    <definedName name="_rho" localSheetId="0">'Cas 2'!$B$16</definedName>
    <definedName name="_tf" localSheetId="0">'Cas 2'!$B$5</definedName>
    <definedName name="_tw" localSheetId="0">'Cas 2'!$B$6</definedName>
    <definedName name="_VplRd" localSheetId="0">'Cas 2'!$B$40</definedName>
    <definedName name="_Wel_y" localSheetId="0">'Cas 2'!$B$24</definedName>
    <definedName name="_Wel_z" localSheetId="0">'Cas 2'!$B$25</definedName>
    <definedName name="_Wpl_y" localSheetId="0">'Cas 2'!$B$26</definedName>
    <definedName name="_Wpl_z" localSheetId="0">'Cas 2'!$B$27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54" i="1" l="1"/>
  <c r="B53" i="1"/>
  <c r="B10" i="1"/>
  <c r="B46" i="1" s="1"/>
  <c r="B49" i="1" s="1"/>
  <c r="B51" i="1"/>
  <c r="B50" i="1"/>
  <c r="K48" i="1"/>
  <c r="K47" i="1"/>
  <c r="K46" i="1"/>
  <c r="H48" i="1"/>
  <c r="H47" i="1"/>
  <c r="H46" i="1"/>
  <c r="E48" i="1"/>
  <c r="E47" i="1"/>
  <c r="E46" i="1"/>
  <c r="B47" i="1"/>
  <c r="B14" i="1"/>
  <c r="B8" i="1"/>
  <c r="B11" i="1" s="1"/>
  <c r="B21" i="1"/>
  <c r="B40" i="1" s="1"/>
  <c r="B29" i="1"/>
  <c r="B30" i="1" s="1"/>
  <c r="B19" i="1"/>
  <c r="B35" i="1" s="1"/>
  <c r="B44" i="1"/>
  <c r="B43" i="1"/>
  <c r="B39" i="1"/>
  <c r="B25" i="1"/>
  <c r="B42" i="1" s="1"/>
  <c r="B24" i="1"/>
  <c r="B41" i="1" s="1"/>
  <c r="B36" i="1" l="1"/>
  <c r="B33" i="1"/>
  <c r="B32" i="1"/>
</calcChain>
</file>

<file path=xl/sharedStrings.xml><?xml version="1.0" encoding="utf-8"?>
<sst xmlns="http://schemas.openxmlformats.org/spreadsheetml/2006/main" count="56" uniqueCount="54">
  <si>
    <t>h (mm)</t>
  </si>
  <si>
    <t>b (mm)</t>
  </si>
  <si>
    <t>tf (mm)</t>
  </si>
  <si>
    <t>tw (mm)</t>
  </si>
  <si>
    <t>r (mm)</t>
  </si>
  <si>
    <t>A (cm2)</t>
  </si>
  <si>
    <t>Av (cm2)</t>
  </si>
  <si>
    <t>Données</t>
  </si>
  <si>
    <t>PropSection</t>
  </si>
  <si>
    <t>fy (MPa)</t>
  </si>
  <si>
    <t>Iy (cm4)</t>
  </si>
  <si>
    <t>Iz (cm4)</t>
  </si>
  <si>
    <t>Note: Remplir les cases bleues</t>
  </si>
  <si>
    <t>Wel,y (cm3)</t>
  </si>
  <si>
    <t>Wel,z (cm3)</t>
  </si>
  <si>
    <t>Wpl,y (cm3)</t>
  </si>
  <si>
    <t>Wpl,z (cm3)</t>
  </si>
  <si>
    <t>Résistance acier seul</t>
  </si>
  <si>
    <t>NtRd (kN)</t>
  </si>
  <si>
    <t>Mel,y,Rd (kN.m)</t>
  </si>
  <si>
    <t>Mel,z,Rd (kN.m)</t>
  </si>
  <si>
    <t>Mpl,y,Rd (kN.m)</t>
  </si>
  <si>
    <t>Mpl,z,Rd (kN.m)</t>
  </si>
  <si>
    <t>VplRd (kN)</t>
  </si>
  <si>
    <t>rho (kg/m3)</t>
  </si>
  <si>
    <t>Perimetre (cm)</t>
  </si>
  <si>
    <t>Massiveté M (m-1)</t>
  </si>
  <si>
    <t>Massiveté w/o upper face</t>
  </si>
  <si>
    <t>Linear mass (kg/m)</t>
  </si>
  <si>
    <t>L (m)</t>
  </si>
  <si>
    <t>Total mass (kg)</t>
  </si>
  <si>
    <t>Surface paint (cm2)</t>
  </si>
  <si>
    <t>Surface paint w/o upper face (cm2)</t>
  </si>
  <si>
    <t>hw (mm)</t>
  </si>
  <si>
    <t>epsilon</t>
  </si>
  <si>
    <t>Classe semelle</t>
  </si>
  <si>
    <t>Classe ame comp uniforme</t>
  </si>
  <si>
    <t>Classe ame flexion pure</t>
  </si>
  <si>
    <t xml:space="preserve">cf </t>
  </si>
  <si>
    <t>cw</t>
  </si>
  <si>
    <t>cf/tf</t>
  </si>
  <si>
    <t>cw/tw</t>
  </si>
  <si>
    <t>9 epsilon</t>
  </si>
  <si>
    <t>10 epsilon</t>
  </si>
  <si>
    <t>14 epsilon</t>
  </si>
  <si>
    <t>Classe ame comprimée</t>
  </si>
  <si>
    <t>33 epsilon</t>
  </si>
  <si>
    <t>38 epsilon</t>
  </si>
  <si>
    <t>42 epsilon</t>
  </si>
  <si>
    <t>Classe ame flechie</t>
  </si>
  <si>
    <t>72 epsilon</t>
  </si>
  <si>
    <t>83 epsilon</t>
  </si>
  <si>
    <t>124 epsilon</t>
  </si>
  <si>
    <t>hw/tw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</si>
</sst>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-* #,##0.00_-;\-* #,##0.00_-;_-* &quot;-&quot;??_-;_-@_-"/>
    <numFmt numFmtId="164" formatCode="0.0"/>
    <numFmt numFmtId="169" formatCode="_-* #,##0.0_-;\-* #,##0.0_-;_-* &quot;-&quot;??_-;_-@_-"/>
    <numFmt numFmtId="170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">
    <xf numFmtId="0" fontId="0" fillId="0" borderId="0" xfId="0"/>
    <xf numFmtId="0" fontId="0" fillId="2" borderId="0" xfId="0" applyFill="1"/>
    <xf numFmtId="0" fontId="2" fillId="0" borderId="0" xfId="0" applyFon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0" xfId="0" applyNumberFormat="1"/>
    <xf numFmtId="43" fontId="0" fillId="2" borderId="0" xfId="1" applyFont="1" applyFill="1"/>
    <xf numFmtId="43" fontId="0" fillId="0" borderId="0" xfId="1" applyFont="1"/>
    <xf numFmtId="0" fontId="0" fillId="0" borderId="0" xfId="0" applyFill="1"/>
    <xf numFmtId="0" fontId="0" fillId="0" borderId="0" xfId="0" applyBorder="1" applyAlignment="1">
      <alignment horizontal="left"/>
    </xf>
    <xf numFmtId="164" fontId="0" fillId="0" borderId="0" xfId="0" applyNumberFormat="1" applyBorder="1" applyAlignment="1">
      <alignment horizontal="center"/>
    </xf>
    <xf numFmtId="43" fontId="0" fillId="0" borderId="0" xfId="1" applyFont="1" applyFill="1"/>
    <xf numFmtId="0" fontId="0" fillId="2" borderId="0" xfId="0" applyFill="1" applyBorder="1" applyAlignment="1">
      <alignment horizontal="right"/>
    </xf>
    <xf numFmtId="170" fontId="0" fillId="0" borderId="0" xfId="1" applyNumberFormat="1" applyFont="1" applyFill="1"/>
    <xf numFmtId="169" fontId="0" fillId="0" borderId="0" xfId="1" applyNumberFormat="1" applyFont="1"/>
    <xf numFmtId="170" fontId="0" fillId="0" borderId="0" xfId="1" applyNumberFormat="1" applyFont="1"/>
    <xf numFmtId="2" fontId="0" fillId="0" borderId="0" xfId="0" applyNumberFormat="1" applyFill="1"/>
    <xf numFmtId="0" fontId="0" fillId="0" borderId="3" xfId="0" applyBorder="1"/>
    <xf numFmtId="0" fontId="0" fillId="0" borderId="5" xfId="0" applyBorder="1"/>
    <xf numFmtId="2" fontId="0" fillId="0" borderId="4" xfId="0" applyNumberFormat="1" applyBorder="1"/>
    <xf numFmtId="2" fontId="0" fillId="0" borderId="6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1" fontId="0" fillId="0" borderId="0" xfId="0" applyNumberFormat="1"/>
  </cellXfs>
  <cellStyles count="2">
    <cellStyle name="Millier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4"/>
  <sheetViews>
    <sheetView tabSelected="1" topLeftCell="A31" workbookViewId="0">
      <selection activeCell="B54" sqref="B54"/>
    </sheetView>
  </sheetViews>
  <sheetFormatPr baseColWidth="10" defaultRowHeight="15" x14ac:dyDescent="0.25"/>
  <cols>
    <col min="1" max="1" width="32.42578125" bestFit="1" customWidth="1"/>
    <col min="2" max="2" width="11.42578125" bestFit="1" customWidth="1"/>
  </cols>
  <sheetData>
    <row r="1" spans="1:5" ht="15.75" thickBot="1" x14ac:dyDescent="0.3">
      <c r="A1" s="3" t="s">
        <v>7</v>
      </c>
      <c r="B1" s="4"/>
    </row>
    <row r="2" spans="1:5" x14ac:dyDescent="0.25">
      <c r="A2" s="9" t="s">
        <v>29</v>
      </c>
      <c r="B2" s="12">
        <v>12.5</v>
      </c>
    </row>
    <row r="3" spans="1:5" x14ac:dyDescent="0.25">
      <c r="A3" t="s">
        <v>0</v>
      </c>
      <c r="B3" s="1">
        <v>500</v>
      </c>
      <c r="E3" s="2" t="s">
        <v>12</v>
      </c>
    </row>
    <row r="4" spans="1:5" x14ac:dyDescent="0.25">
      <c r="A4" t="s">
        <v>1</v>
      </c>
      <c r="B4" s="1">
        <v>200</v>
      </c>
    </row>
    <row r="5" spans="1:5" x14ac:dyDescent="0.25">
      <c r="A5" t="s">
        <v>2</v>
      </c>
      <c r="B5" s="1">
        <v>16</v>
      </c>
    </row>
    <row r="6" spans="1:5" x14ac:dyDescent="0.25">
      <c r="A6" t="s">
        <v>3</v>
      </c>
      <c r="B6" s="1">
        <v>10.199999999999999</v>
      </c>
    </row>
    <row r="7" spans="1:5" x14ac:dyDescent="0.25">
      <c r="A7" t="s">
        <v>4</v>
      </c>
      <c r="B7" s="1">
        <v>21</v>
      </c>
    </row>
    <row r="8" spans="1:5" x14ac:dyDescent="0.25">
      <c r="A8" t="s">
        <v>33</v>
      </c>
      <c r="B8" s="8">
        <f>_h-2*_tf-2*_r</f>
        <v>426</v>
      </c>
    </row>
    <row r="9" spans="1:5" x14ac:dyDescent="0.25">
      <c r="B9" s="8"/>
    </row>
    <row r="10" spans="1:5" x14ac:dyDescent="0.25">
      <c r="A10" t="s">
        <v>38</v>
      </c>
      <c r="B10" s="8">
        <f>(_b-2*_r-_tw)/2</f>
        <v>73.900000000000006</v>
      </c>
    </row>
    <row r="11" spans="1:5" x14ac:dyDescent="0.25">
      <c r="A11" t="s">
        <v>39</v>
      </c>
      <c r="B11" s="8">
        <f>_hw</f>
        <v>426</v>
      </c>
    </row>
    <row r="13" spans="1:5" x14ac:dyDescent="0.25">
      <c r="A13" t="s">
        <v>9</v>
      </c>
      <c r="B13" s="1">
        <v>355</v>
      </c>
    </row>
    <row r="14" spans="1:5" x14ac:dyDescent="0.25">
      <c r="A14" t="s">
        <v>34</v>
      </c>
      <c r="B14" s="16">
        <f>SQRT(235/_fy)</f>
        <v>0.81361651346682706</v>
      </c>
    </row>
    <row r="15" spans="1:5" x14ac:dyDescent="0.25">
      <c r="B15" s="8"/>
    </row>
    <row r="16" spans="1:5" x14ac:dyDescent="0.25">
      <c r="A16" t="s">
        <v>24</v>
      </c>
      <c r="B16" s="1">
        <v>7850</v>
      </c>
    </row>
    <row r="17" spans="1:2" ht="15.75" thickBot="1" x14ac:dyDescent="0.3"/>
    <row r="18" spans="1:2" ht="15.75" thickBot="1" x14ac:dyDescent="0.3">
      <c r="A18" s="3" t="s">
        <v>8</v>
      </c>
      <c r="B18" s="4"/>
    </row>
    <row r="19" spans="1:2" x14ac:dyDescent="0.25">
      <c r="A19" s="9" t="s">
        <v>25</v>
      </c>
      <c r="B19" s="10">
        <f>(2*(_h-2*_r)+2*_b+2*(_b-2*_r-_tw)+2*PI()*_r)/10</f>
        <v>174.35468914507712</v>
      </c>
    </row>
    <row r="20" spans="1:2" x14ac:dyDescent="0.25">
      <c r="A20" t="s">
        <v>5</v>
      </c>
      <c r="B20" s="6">
        <v>115.7</v>
      </c>
    </row>
    <row r="21" spans="1:2" x14ac:dyDescent="0.25">
      <c r="A21" t="s">
        <v>6</v>
      </c>
      <c r="B21" s="7">
        <f>B20-2*_b*_tf/100+2*(_tw+2*_r)*_tf/2/100</f>
        <v>60.052000000000007</v>
      </c>
    </row>
    <row r="22" spans="1:2" x14ac:dyDescent="0.25">
      <c r="A22" t="s">
        <v>10</v>
      </c>
      <c r="B22" s="6">
        <v>48279.445</v>
      </c>
    </row>
    <row r="23" spans="1:2" x14ac:dyDescent="0.25">
      <c r="A23" t="s">
        <v>11</v>
      </c>
      <c r="B23" s="6">
        <v>2142.011</v>
      </c>
    </row>
    <row r="24" spans="1:2" x14ac:dyDescent="0.25">
      <c r="A24" t="s">
        <v>13</v>
      </c>
      <c r="B24" s="7">
        <f>B22/(_h/2/10)</f>
        <v>1931.1777999999999</v>
      </c>
    </row>
    <row r="25" spans="1:2" x14ac:dyDescent="0.25">
      <c r="A25" t="s">
        <v>14</v>
      </c>
      <c r="B25" s="7">
        <f>B23/(_b/2/10)</f>
        <v>214.2011</v>
      </c>
    </row>
    <row r="26" spans="1:2" x14ac:dyDescent="0.25">
      <c r="A26" t="s">
        <v>15</v>
      </c>
      <c r="B26" s="6">
        <v>2197.652</v>
      </c>
    </row>
    <row r="27" spans="1:2" x14ac:dyDescent="0.25">
      <c r="A27" t="s">
        <v>16</v>
      </c>
      <c r="B27" s="6">
        <v>335.89800000000002</v>
      </c>
    </row>
    <row r="28" spans="1:2" x14ac:dyDescent="0.25">
      <c r="B28" s="11"/>
    </row>
    <row r="29" spans="1:2" x14ac:dyDescent="0.25">
      <c r="A29" t="s">
        <v>28</v>
      </c>
      <c r="B29" s="11">
        <f>_rho*_A/10000</f>
        <v>90.8245</v>
      </c>
    </row>
    <row r="30" spans="1:2" x14ac:dyDescent="0.25">
      <c r="A30" t="s">
        <v>30</v>
      </c>
      <c r="B30" s="11">
        <f>B29*_L</f>
        <v>1135.3062500000001</v>
      </c>
    </row>
    <row r="31" spans="1:2" x14ac:dyDescent="0.25">
      <c r="B31" s="11"/>
    </row>
    <row r="32" spans="1:2" x14ac:dyDescent="0.25">
      <c r="A32" t="s">
        <v>31</v>
      </c>
      <c r="B32" s="13">
        <f>B19*_L*100</f>
        <v>217943.36143134636</v>
      </c>
    </row>
    <row r="33" spans="1:11" x14ac:dyDescent="0.25">
      <c r="A33" t="s">
        <v>32</v>
      </c>
      <c r="B33" s="13">
        <f>(B19-_b/10)*_L*100</f>
        <v>192943.36143134639</v>
      </c>
    </row>
    <row r="34" spans="1:11" x14ac:dyDescent="0.25">
      <c r="B34" s="11"/>
    </row>
    <row r="35" spans="1:11" x14ac:dyDescent="0.25">
      <c r="A35" t="s">
        <v>26</v>
      </c>
      <c r="B35" s="11">
        <f>B19/_A*100</f>
        <v>150.69549623602171</v>
      </c>
    </row>
    <row r="36" spans="1:11" x14ac:dyDescent="0.25">
      <c r="A36" t="s">
        <v>27</v>
      </c>
      <c r="B36" s="11">
        <f>(B19-_b/10)/_A*100</f>
        <v>133.40941153420667</v>
      </c>
    </row>
    <row r="37" spans="1:11" ht="15.75" thickBot="1" x14ac:dyDescent="0.3"/>
    <row r="38" spans="1:11" ht="15.75" thickBot="1" x14ac:dyDescent="0.3">
      <c r="A38" s="3" t="s">
        <v>17</v>
      </c>
      <c r="B38" s="4"/>
    </row>
    <row r="39" spans="1:11" x14ac:dyDescent="0.25">
      <c r="A39" t="s">
        <v>18</v>
      </c>
      <c r="B39" s="15">
        <f>_A*100*_fy/1000</f>
        <v>4107.3500000000004</v>
      </c>
    </row>
    <row r="40" spans="1:11" x14ac:dyDescent="0.25">
      <c r="A40" t="s">
        <v>23</v>
      </c>
      <c r="B40" s="15">
        <f>_Av*100*_fy/(1000*SQRT(3))</f>
        <v>1230.8218619708273</v>
      </c>
    </row>
    <row r="41" spans="1:11" x14ac:dyDescent="0.25">
      <c r="A41" t="s">
        <v>19</v>
      </c>
      <c r="B41" s="15">
        <f>_Wel_y*1000*_fy*10^(-6)</f>
        <v>685.56811900000002</v>
      </c>
    </row>
    <row r="42" spans="1:11" x14ac:dyDescent="0.25">
      <c r="A42" t="s">
        <v>20</v>
      </c>
      <c r="B42" s="15">
        <f>_Wel_z*1000*_fy*10^(-6)</f>
        <v>76.041390499999991</v>
      </c>
    </row>
    <row r="43" spans="1:11" x14ac:dyDescent="0.25">
      <c r="A43" t="s">
        <v>21</v>
      </c>
      <c r="B43" s="15">
        <f>_Wpl_y*1000*_fy*10^(-6)</f>
        <v>780.16645999999992</v>
      </c>
    </row>
    <row r="44" spans="1:11" x14ac:dyDescent="0.25">
      <c r="A44" t="s">
        <v>22</v>
      </c>
      <c r="B44" s="15">
        <f>_Wpl_z*1000*_fy*10^(-6)</f>
        <v>119.24378999999999</v>
      </c>
    </row>
    <row r="45" spans="1:11" x14ac:dyDescent="0.25">
      <c r="B45" s="15"/>
      <c r="D45" s="23" t="s">
        <v>35</v>
      </c>
      <c r="E45" s="24"/>
      <c r="G45" s="25" t="s">
        <v>45</v>
      </c>
      <c r="H45" s="26"/>
      <c r="J45" s="25" t="s">
        <v>49</v>
      </c>
      <c r="K45" s="26"/>
    </row>
    <row r="46" spans="1:11" x14ac:dyDescent="0.25">
      <c r="A46" t="s">
        <v>40</v>
      </c>
      <c r="B46" s="14">
        <f>_cf/_tf</f>
        <v>4.6187500000000004</v>
      </c>
      <c r="D46" s="17" t="s">
        <v>42</v>
      </c>
      <c r="E46" s="19">
        <f>9*_epsilon</f>
        <v>7.3225486212014435</v>
      </c>
      <c r="G46" s="17" t="s">
        <v>46</v>
      </c>
      <c r="H46" s="21">
        <f>33*_epsilon</f>
        <v>26.849344944405292</v>
      </c>
      <c r="J46" s="17" t="s">
        <v>50</v>
      </c>
      <c r="K46" s="21">
        <f>72*_epsilon</f>
        <v>58.580388969611548</v>
      </c>
    </row>
    <row r="47" spans="1:11" x14ac:dyDescent="0.25">
      <c r="A47" t="s">
        <v>41</v>
      </c>
      <c r="B47" s="14">
        <f>_cw/_tw</f>
        <v>41.764705882352942</v>
      </c>
      <c r="D47" s="17" t="s">
        <v>43</v>
      </c>
      <c r="E47" s="19">
        <f>10*_epsilon</f>
        <v>8.1361651346682713</v>
      </c>
      <c r="G47" s="17" t="s">
        <v>47</v>
      </c>
      <c r="H47" s="21">
        <f>38*_epsilon</f>
        <v>30.917427511739429</v>
      </c>
      <c r="J47" s="17" t="s">
        <v>51</v>
      </c>
      <c r="K47" s="21">
        <f>83*_epsilon</f>
        <v>67.530170617746649</v>
      </c>
    </row>
    <row r="48" spans="1:11" x14ac:dyDescent="0.25">
      <c r="D48" s="18" t="s">
        <v>44</v>
      </c>
      <c r="E48" s="20">
        <f>14*_epsilon</f>
        <v>11.390631188535579</v>
      </c>
      <c r="G48" s="18" t="s">
        <v>48</v>
      </c>
      <c r="H48" s="22">
        <f>42*_epsilon</f>
        <v>34.171893565606737</v>
      </c>
      <c r="J48" s="18" t="s">
        <v>52</v>
      </c>
      <c r="K48" s="22">
        <f>124*_epsilon</f>
        <v>100.88844766988656</v>
      </c>
    </row>
    <row r="49" spans="1:2" x14ac:dyDescent="0.25">
      <c r="A49" t="s">
        <v>35</v>
      </c>
      <c r="B49">
        <f>IF(B46&lt;=E46,1,IF(B46&lt;=E47,2,IF(B46&lt;=E48,3,4)))</f>
        <v>1</v>
      </c>
    </row>
    <row r="50" spans="1:2" x14ac:dyDescent="0.25">
      <c r="A50" t="s">
        <v>36</v>
      </c>
      <c r="B50">
        <f>IF(B47&lt;=H46,1,IF(B47&lt;=H47,2,IF(B47&lt;=H48,3,4)))</f>
        <v>4</v>
      </c>
    </row>
    <row r="51" spans="1:2" x14ac:dyDescent="0.25">
      <c r="A51" t="s">
        <v>37</v>
      </c>
      <c r="B51">
        <f>IF(B47&lt;=K46,1,IF(B47&lt;=K47,2,IF(B47&lt;=K48,3,4)))</f>
        <v>1</v>
      </c>
    </row>
    <row r="53" spans="1:2" x14ac:dyDescent="0.25">
      <c r="A53" t="s">
        <v>53</v>
      </c>
      <c r="B53" s="5">
        <f>_hw/_tw</f>
        <v>41.764705882352942</v>
      </c>
    </row>
    <row r="54" spans="1:2" x14ac:dyDescent="0.25">
      <c r="A54" t="s">
        <v>52</v>
      </c>
      <c r="B54" s="27">
        <f>124*_epsilon</f>
        <v>100.88844766988656</v>
      </c>
    </row>
  </sheetData>
  <mergeCells count="4">
    <mergeCell ref="A1:B1"/>
    <mergeCell ref="A18:B18"/>
    <mergeCell ref="A38:B38"/>
    <mergeCell ref="D45:E45"/>
  </mergeCells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26</vt:i4>
      </vt:variant>
    </vt:vector>
  </HeadingPairs>
  <TitlesOfParts>
    <vt:vector size="27" baseType="lpstr">
      <vt:lpstr>Cas 2</vt:lpstr>
      <vt:lpstr>'Cas 2'!_A</vt:lpstr>
      <vt:lpstr>'Cas 2'!_Av</vt:lpstr>
      <vt:lpstr>'Cas 2'!_b</vt:lpstr>
      <vt:lpstr>'Cas 2'!_cf</vt:lpstr>
      <vt:lpstr>'Cas 2'!_cw</vt:lpstr>
      <vt:lpstr>'Cas 2'!_epsilon</vt:lpstr>
      <vt:lpstr>'Cas 2'!_fy</vt:lpstr>
      <vt:lpstr>'Cas 2'!_h</vt:lpstr>
      <vt:lpstr>'Cas 2'!_hw</vt:lpstr>
      <vt:lpstr>'Cas 2'!_Iy</vt:lpstr>
      <vt:lpstr>'Cas 2'!_Iz</vt:lpstr>
      <vt:lpstr>'Cas 2'!_L</vt:lpstr>
      <vt:lpstr>'Cas 2'!_Mel_y_Rd</vt:lpstr>
      <vt:lpstr>'Cas 2'!_Mel_z_Rd</vt:lpstr>
      <vt:lpstr>'Cas 2'!_Mpl_y_Rd</vt:lpstr>
      <vt:lpstr>'Cas 2'!_Mpl_z_Rd</vt:lpstr>
      <vt:lpstr>'Cas 2'!_NtRd</vt:lpstr>
      <vt:lpstr>'Cas 2'!_r</vt:lpstr>
      <vt:lpstr>'Cas 2'!_rho</vt:lpstr>
      <vt:lpstr>'Cas 2'!_tf</vt:lpstr>
      <vt:lpstr>'Cas 2'!_tw</vt:lpstr>
      <vt:lpstr>'Cas 2'!_VplRd</vt:lpstr>
      <vt:lpstr>'Cas 2'!_Wel_y</vt:lpstr>
      <vt:lpstr>'Cas 2'!_Wel_z</vt:lpstr>
      <vt:lpstr>'Cas 2'!_Wpl_y</vt:lpstr>
      <vt:lpstr>'Cas 2'!_Wpl_z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DELACOURT</dc:creator>
  <cp:lastModifiedBy>Guillaume DELACOURT</cp:lastModifiedBy>
  <dcterms:created xsi:type="dcterms:W3CDTF">2024-05-16T08:45:13Z</dcterms:created>
  <dcterms:modified xsi:type="dcterms:W3CDTF">2024-05-16T13:48:45Z</dcterms:modified>
</cp:coreProperties>
</file>