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2"/>
  </bookViews>
  <sheets>
    <sheet name="Cas 2" sheetId="1" r:id="rId1"/>
    <sheet name="Cas 3" sheetId="2" r:id="rId2"/>
    <sheet name="Cas 5" sheetId="3" r:id="rId3"/>
  </sheets>
  <definedNames>
    <definedName name="_A" localSheetId="0">'Cas 2'!$B$32</definedName>
    <definedName name="_A" localSheetId="1">'Cas 3'!$B$33</definedName>
    <definedName name="_A" localSheetId="2">'Cas 5'!$B$11</definedName>
    <definedName name="_A0" localSheetId="0">'Cas 2'!$B$75</definedName>
    <definedName name="_A0" localSheetId="1">'Cas 3'!#REF!</definedName>
    <definedName name="_Ac" localSheetId="2">'Cas 5'!$H$5</definedName>
    <definedName name="_Ace" localSheetId="0">'Cas 2'!$E$4</definedName>
    <definedName name="_Ace" localSheetId="1">'Cas 3'!$E$4</definedName>
    <definedName name="_Acr" localSheetId="0">'Cas 2'!$B$71</definedName>
    <definedName name="_Acr" localSheetId="1">'Cas 3'!#REF!</definedName>
    <definedName name="_As_inf" localSheetId="0">'Cas 2'!$E$10</definedName>
    <definedName name="_As_inf" localSheetId="1">'Cas 3'!$E$10</definedName>
    <definedName name="_Av" localSheetId="0">'Cas 2'!$B$33</definedName>
    <definedName name="_Av" localSheetId="1">'Cas 3'!$B$34</definedName>
    <definedName name="_Av" localSheetId="2">'Cas 5'!$B$12</definedName>
    <definedName name="_b" localSheetId="0">'Cas 2'!$B$4</definedName>
    <definedName name="_b" localSheetId="1">'Cas 3'!$B$15</definedName>
    <definedName name="_b" localSheetId="2">'Cas 5'!$E$3</definedName>
    <definedName name="_b_Droite" localSheetId="2">'Cas 5'!$B$7</definedName>
    <definedName name="_b_Gauche" localSheetId="2">'Cas 5'!$B$6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droite" localSheetId="1">'Cas 3'!$B$4</definedName>
    <definedName name="_be1" localSheetId="1">'Cas 3'!$B$6</definedName>
    <definedName name="_be2" localSheetId="1">'Cas 3'!$B$7</definedName>
    <definedName name="_beff_appui" localSheetId="1">'Cas 3'!$B$11</definedName>
    <definedName name="_beff_mi_travee" localSheetId="1">'Cas 3'!$B$10</definedName>
    <definedName name="_beta1" localSheetId="1">'Cas 3'!$B$8</definedName>
    <definedName name="_beta2" localSheetId="1">'Cas 3'!$B$9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2">'Cas 5'!$E$12</definedName>
    <definedName name="_cw" localSheetId="0">'Cas 2'!$B$12</definedName>
    <definedName name="_cw" localSheetId="1">'Cas 3'!$B$23</definedName>
    <definedName name="_cw" localSheetId="2">'Cas 5'!$E$13</definedName>
    <definedName name="_d" localSheetId="0">'Cas 2'!$H$13</definedName>
    <definedName name="_dsc" localSheetId="1">'Cas 3'!$H$14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2">'Cas 5'!$E$16</definedName>
    <definedName name="_eta" localSheetId="1">'Cas 3'!$H$28</definedName>
    <definedName name="_fck_dalle" localSheetId="0">'Cas 2'!$H$5</definedName>
    <definedName name="_fck_dalle" localSheetId="1">'Cas 3'!$H$5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usc" localSheetId="1">'Cas 3'!$H$15</definedName>
    <definedName name="_fy" localSheetId="0">'Cas 2'!$B$14</definedName>
    <definedName name="_fy" localSheetId="1">'Cas 3'!$B$25</definedName>
    <definedName name="_fy" localSheetId="2">'Cas 5'!$E$15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2">'Cas 5'!$E$2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w" localSheetId="0">'Cas 2'!$B$8</definedName>
    <definedName name="_hw" localSheetId="1">'Cas 3'!$B$19</definedName>
    <definedName name="_hw" localSheetId="2">'Cas 5'!$E$9</definedName>
    <definedName name="_Iy" localSheetId="0">'Cas 2'!$B$34</definedName>
    <definedName name="_Iy" localSheetId="1">'Cas 3'!$B$35</definedName>
    <definedName name="_Iy" localSheetId="2">'Cas 5'!$B$13</definedName>
    <definedName name="_Iz" localSheetId="0">'Cas 2'!$B$35</definedName>
    <definedName name="_Iz" localSheetId="2">'Cas 5'!$B$14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_ConsoleD" localSheetId="2">'Cas 5'!$B$4</definedName>
    <definedName name="_L_ConsoleG" localSheetId="2">'Cas 5'!$B$2</definedName>
    <definedName name="_L_tot" localSheetId="2">'Cas 5'!$B$5</definedName>
    <definedName name="_L_Travee" localSheetId="2">'Cas 5'!$B$3</definedName>
    <definedName name="_Mel_y_Rd" localSheetId="0">'Cas 2'!$B$53</definedName>
    <definedName name="_Mel_z_Rd" localSheetId="0">'Cas 2'!$B$54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enrobage" localSheetId="1">'Cas 3'!#REF!</definedName>
    <definedName name="_Na" localSheetId="1">'Cas 3'!$H$23</definedName>
    <definedName name="_Ncp" localSheetId="1">'Cas 3'!$B$104</definedName>
    <definedName name="_Nf" localSheetId="1">'Cas 3'!$B$102</definedName>
    <definedName name="_nr" localSheetId="1">'Cas 3'!$H$16</definedName>
    <definedName name="_Ns_inf" localSheetId="1">'Cas 3'!$H$24</definedName>
    <definedName name="_NtRd" localSheetId="0">'Cas 2'!$B$51</definedName>
    <definedName name="_Nw" localSheetId="1">'Cas 3'!$B$103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2">'Cas 5'!$E$8</definedName>
    <definedName name="_rho" localSheetId="0">'Cas 2'!$B$17</definedName>
    <definedName name="_rho" localSheetId="1">'Cas 3'!$B$28</definedName>
    <definedName name="_rhoA" localSheetId="2">'Cas 5'!$E$18</definedName>
    <definedName name="_rhoC" localSheetId="2">'Cas 5'!$H$6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2">'Cas 5'!$H$2</definedName>
    <definedName name="_tf" localSheetId="0">'Cas 2'!$B$5</definedName>
    <definedName name="_tf" localSheetId="1">'Cas 3'!$B$16</definedName>
    <definedName name="_tf" localSheetId="2">'Cas 5'!$E$4</definedName>
    <definedName name="_th" localSheetId="2">'Cas 5'!$H$3</definedName>
    <definedName name="_theta" localSheetId="2">'Cas 5'!$H$4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2">'Cas 5'!$E$5</definedName>
    <definedName name="_VplRd" localSheetId="0">'Cas 2'!$B$52</definedName>
    <definedName name="_VplRd" localSheetId="1">'Cas 3'!$B$53</definedName>
    <definedName name="_Wel_y" localSheetId="0">'Cas 2'!$B$36</definedName>
    <definedName name="_Wel_y" localSheetId="1">'Cas 3'!$B$37</definedName>
    <definedName name="_Wel_y" localSheetId="2">'Cas 5'!$B$15</definedName>
    <definedName name="_Wel_z" localSheetId="0">'Cas 2'!$B$37</definedName>
    <definedName name="_Wel_z" localSheetId="1">'Cas 3'!$B$38</definedName>
    <definedName name="_Wel_z" localSheetId="2">'Cas 5'!$B$16</definedName>
    <definedName name="_Wpl_y" localSheetId="0">'Cas 2'!$B$38</definedName>
    <definedName name="_Wpl_y" localSheetId="1">'Cas 3'!$B$39</definedName>
    <definedName name="_Wpl_y" localSheetId="2">'Cas 5'!$B$17</definedName>
    <definedName name="_Wpl_z" localSheetId="0">'Cas 2'!$B$39</definedName>
    <definedName name="_Wpl_z" localSheetId="1">'Cas 3'!$B$40</definedName>
    <definedName name="_Wpl_z" localSheetId="2">'Cas 5'!$B$18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_inf" localSheetId="0">'Cas 2'!$E$11</definedName>
    <definedName name="_zs_inf" localSheetId="1">'Cas 3'!$E$11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" i="3" l="1"/>
  <c r="H5" i="3"/>
  <c r="H7" i="3" s="1"/>
  <c r="B48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E38" i="3" l="1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42" i="3" l="1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B103" i="2" l="1"/>
  <c r="B6" i="2"/>
  <c r="B94" i="2"/>
  <c r="B88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0" i="3"/>
  <c r="B21" i="3" s="1"/>
</calcChain>
</file>

<file path=xl/sharedStrings.xml><?xml version="1.0" encoding="utf-8"?>
<sst xmlns="http://schemas.openxmlformats.org/spreadsheetml/2006/main" count="460" uniqueCount="237">
  <si>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</si>
  <si>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</si>
  <si>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</si>
  <si>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</si>
  <si>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</si>
  <si>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</si>
  <si>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</si>
  <si>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</si>
  <si>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</si>
  <si>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</si>
  <si>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</si>
  <si>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</si>
  <si>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</si>
  <si>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</si>
  <si>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</si>
  <si>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</si>
  <si>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</si>
  <si>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</si>
  <si>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</si>
  <si>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</si>
  <si>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</si>
  <si>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</si>
  <si>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</si>
  <si>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</si>
  <si>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</si>
  <si>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</si>
  <si>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</si>
  <si>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</si>
  <si>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</si>
  <si>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</si>
  <si>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</si>
  <si>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</si>
  <si>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</si>
  <si>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</si>
  <si>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</si>
  <si>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</si>
  <si>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</si>
  <si>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</si>
  <si>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</si>
  <si>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</si>
  <si>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</si>
  <si>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</si>
  <si>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</si>
  <si>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</si>
  <si>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</si>
  <si>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</si>
  <si>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</si>
  <si>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</si>
  <si>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</si>
  <si>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</si>
  <si>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</si>
  <si>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</si>
  <si>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</si>
  <si>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</si>
  <si>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</si>
  <si>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</si>
  <si>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</si>
  <si>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</si>
  <si>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</si>
  <si>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</si>
  <si>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</si>
  <si>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</si>
  <si>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</si>
  <si>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</si>
  <si>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</si>
  <si>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</si>
  <si>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</si>
  <si>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</si>
  <si>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</si>
  <si>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</si>
  <si>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</si>
  <si>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</si>
  <si>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</si>
  <si>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</si>
  <si>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</si>
  <si>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</si>
  <si>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</si>
  <si>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</si>
  <si>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</si>
  <si>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</si>
  <si>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</si>
  <si>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</si>
  <si>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</si>
  <si>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</si>
  <si>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</si>
  <si>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</si>
  <si>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</si>
  <si>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</si>
  <si>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</si>
  <si>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</si>
  <si>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</si>
  <si>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</si>
  <si>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</si>
  <si>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</si>
  <si>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</si>
  <si>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</si>
  <si>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</si>
  <si>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</si>
  <si>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</si>
  <si>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</si>
  <si>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</si>
  <si>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</si>
  <si>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</si>
  <si>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</si>
  <si>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</si>
  <si>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</si>
  <si>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</si>
  <si>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</si>
  <si>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</si>
  <si>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</si>
  <si>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</si>
  <si>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</si>
  <si>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</si>
  <si>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</si>
  <si>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</si>
  <si>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</si>
  <si>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</si>
  <si>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</si>
  <si>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</si>
  <si>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</si>
  <si>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</si>
  <si>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</si>
  <si>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</si>
  <si>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</si>
  <si>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</si>
  <si>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</si>
  <si>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</si>
  <si>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</si>
  <si>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</si>
  <si>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</si>
  <si>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</si>
  <si>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</si>
  <si>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</si>
  <si>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</si>
  <si>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</si>
  <si>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</si>
  <si>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</si>
  <si>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</si>
  <si>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</si>
  <si>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</si>
  <si>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</si>
  <si>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</si>
  <si>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</si>
  <si>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</si>
  <si>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</si>
  <si>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</si>
  <si>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</si>
  <si>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</si>
  <si>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</si>
  <si>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</si>
  <si>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</si>
  <si>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</si>
  <si>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</si>
  <si>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</si>
  <si>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</si>
  <si>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</si>
  <si>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</si>
  <si>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</si>
  <si>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</si>
  <si>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</si>
  <si>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</si>
  <si>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</si>
  <si>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</si>
  <si>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</si>
  <si>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</si>
  <si>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</si>
  <si>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</si>
  <si>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</si>
  <si>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</si>
  <si>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</si>
  <si>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</si>
  <si>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</si>
  <si>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</si>
  <si>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</si>
  <si>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</si>
  <si>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</si>
  <si>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</si>
  <si>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</si>
  <si>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</si>
  <si>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</si>
  <si>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</si>
  <si>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</si>
  <si>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</si>
  <si>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</si>
  <si>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</si>
  <si>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</si>
  <si>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</si>
  <si>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</si>
  <si>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</si>
  <si>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</si>
  <si>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</si>
  <si>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</si>
  <si>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</si>
  <si>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</si>
  <si>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</si>
  <si>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</si>
  <si>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</si>
  <si>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</si>
  <si>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</si>
  <si>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</si>
  <si>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</si>
  <si>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</si>
  <si>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</si>
  <si>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</si>
  <si>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</si>
  <si>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</si>
  <si>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</si>
  <si>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</si>
  <si>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</si>
  <si>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</si>
  <si>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</si>
  <si>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</si>
  <si>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</si>
  <si>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</si>
  <si>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</si>
  <si>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</si>
  <si>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</si>
  <si>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</si>
  <si>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</si>
  <si>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</si>
  <si>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</si>
  <si>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</si>
  <si>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</si>
  <si>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</si>
  <si>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</si>
  <si>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</si>
  <si>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</si>
  <si>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</si>
  <si>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V(G) (kN)</t>
  </si>
  <si>
    <t>M(G) (kN.m)</t>
  </si>
  <si>
    <t>V(Q1#1) (kN)</t>
  </si>
  <si>
    <t>résultats obtenus sur RDM7</t>
  </si>
  <si>
    <t>M(Q1#1) (kN.m)</t>
  </si>
  <si>
    <t>V(Q1#2) (kN)</t>
  </si>
  <si>
    <t>M(Q1#2) (kN.m)</t>
  </si>
  <si>
    <t>V(Q1#3) (kN)</t>
  </si>
  <si>
    <t>M(Q1#3) (kN.m)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</si>
</sst>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3" workbookViewId="0">
      <selection activeCell="B110" sqref="B110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50" t="s">
        <v>55</v>
      </c>
      <c r="B1" s="51"/>
      <c r="C1"/>
      <c r="D1" s="50" t="s">
        <v>56</v>
      </c>
      <c r="E1" s="51"/>
      <c r="F1" s="24"/>
      <c r="G1" s="50" t="s">
        <v>65</v>
      </c>
      <c r="H1" s="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50" t="s">
        <v>66</v>
      </c>
      <c r="E15" s="51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50" t="s">
        <v>7</v>
      </c>
      <c r="B30" s="51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50" t="s">
        <v>16</v>
      </c>
      <c r="B50" s="51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52" t="s">
        <v>34</v>
      </c>
      <c r="F52" s="53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50" t="s">
        <v>79</v>
      </c>
      <c r="B68" s="51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50" t="s">
        <v>111</v>
      </c>
      <c r="B96" s="51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50" t="s">
        <v>133</v>
      </c>
      <c r="B109" s="51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50" t="s">
        <v>134</v>
      </c>
      <c r="B120" s="51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workbookViewId="0">
      <selection sqref="A1:B2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50" t="s">
        <v>152</v>
      </c>
      <c r="B1" s="51"/>
      <c r="C1"/>
      <c r="D1" s="50" t="s">
        <v>56</v>
      </c>
      <c r="E1" s="51"/>
      <c r="F1" s="24"/>
      <c r="G1" s="50" t="s">
        <v>65</v>
      </c>
      <c r="H1" s="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50" t="s">
        <v>162</v>
      </c>
      <c r="H12" s="51"/>
    </row>
    <row r="13" spans="1:8" ht="15.75" thickBot="1" x14ac:dyDescent="0.3">
      <c r="A13" s="50" t="s">
        <v>55</v>
      </c>
      <c r="B13" s="51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50" t="s">
        <v>66</v>
      </c>
      <c r="E15" s="51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50" t="s">
        <v>7</v>
      </c>
      <c r="B31" s="51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50" t="s">
        <v>16</v>
      </c>
      <c r="B51" s="51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52" t="s">
        <v>34</v>
      </c>
      <c r="F53" s="53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50" t="s">
        <v>79</v>
      </c>
      <c r="B69" s="51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54" t="s">
        <v>188</v>
      </c>
      <c r="B85" s="55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50" t="s">
        <v>111</v>
      </c>
      <c r="B101" s="51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50" t="s">
        <v>133</v>
      </c>
      <c r="B118" s="51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50" t="s">
        <v>134</v>
      </c>
      <c r="B133" s="51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50" t="s">
        <v>207</v>
      </c>
      <c r="B147" s="51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1:B1"/>
    <mergeCell ref="A13:B13"/>
    <mergeCell ref="D1:E1"/>
    <mergeCell ref="G1:H1"/>
    <mergeCell ref="D15:E15"/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tabSelected="1" topLeftCell="A37" workbookViewId="0">
      <selection activeCell="A57" sqref="A57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50" t="s">
        <v>152</v>
      </c>
      <c r="B1" s="51"/>
      <c r="D1" s="50" t="s">
        <v>221</v>
      </c>
      <c r="E1" s="51"/>
      <c r="G1" s="50" t="s">
        <v>65</v>
      </c>
      <c r="H1" s="51"/>
    </row>
    <row r="2" spans="1:8" x14ac:dyDescent="0.25">
      <c r="A2" s="7" t="s">
        <v>218</v>
      </c>
      <c r="B2" s="10">
        <v>3</v>
      </c>
      <c r="D2" t="s">
        <v>0</v>
      </c>
      <c r="E2" s="1">
        <v>497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200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14.5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8.4</v>
      </c>
      <c r="G5" t="s">
        <v>226</v>
      </c>
      <c r="H5" s="23">
        <f>(_b_Gauche+_b_Droite)*1000/2*_td+_th*_b+_th^2*TAN(RADIANS(_theta))</f>
        <v>248923.76043070341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6.1048552245630008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50" t="s">
        <v>7</v>
      </c>
      <c r="B9" s="51"/>
      <c r="D9" t="s">
        <v>32</v>
      </c>
      <c r="E9" s="6">
        <f>_h-2*_tf</f>
        <v>468</v>
      </c>
    </row>
    <row r="10" spans="1:8" x14ac:dyDescent="0.25">
      <c r="A10" s="7" t="s">
        <v>24</v>
      </c>
      <c r="B10" s="8">
        <v>174.11468914507714</v>
      </c>
      <c r="D10" t="s">
        <v>113</v>
      </c>
      <c r="E10" s="6">
        <f>_hw-2*_r</f>
        <v>426</v>
      </c>
    </row>
    <row r="11" spans="1:8" x14ac:dyDescent="0.25">
      <c r="A11" t="s">
        <v>5</v>
      </c>
      <c r="B11" s="4">
        <v>101.3</v>
      </c>
      <c r="E11" s="6"/>
    </row>
    <row r="12" spans="1:8" x14ac:dyDescent="0.25">
      <c r="A12" t="s">
        <v>6</v>
      </c>
      <c r="B12" s="5">
        <v>50.607999999999997</v>
      </c>
      <c r="D12" t="s">
        <v>37</v>
      </c>
      <c r="E12" s="6">
        <f>(_b-2*_r-_tw)/2</f>
        <v>74.8</v>
      </c>
    </row>
    <row r="13" spans="1:8" x14ac:dyDescent="0.25">
      <c r="A13" t="s">
        <v>9</v>
      </c>
      <c r="B13" s="4">
        <v>43014.311000000002</v>
      </c>
      <c r="D13" t="s">
        <v>38</v>
      </c>
      <c r="E13" s="6">
        <f>_hw-2*_r</f>
        <v>426</v>
      </c>
    </row>
    <row r="14" spans="1:8" x14ac:dyDescent="0.25">
      <c r="A14" t="s">
        <v>10</v>
      </c>
      <c r="B14" s="4">
        <v>1939.511</v>
      </c>
    </row>
    <row r="15" spans="1:8" x14ac:dyDescent="0.25">
      <c r="A15" t="s">
        <v>12</v>
      </c>
      <c r="B15" s="5">
        <v>1730.9581891348089</v>
      </c>
      <c r="D15" t="s">
        <v>8</v>
      </c>
      <c r="E15" s="1">
        <v>355</v>
      </c>
    </row>
    <row r="16" spans="1:8" x14ac:dyDescent="0.25">
      <c r="A16" t="s">
        <v>13</v>
      </c>
      <c r="B16" s="5">
        <v>193.9511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1949.546</v>
      </c>
      <c r="E17" s="6"/>
    </row>
    <row r="18" spans="1:5" x14ac:dyDescent="0.25">
      <c r="A18" t="s">
        <v>15</v>
      </c>
      <c r="B18" s="4">
        <v>301.74400000000003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0.78009610500000004</v>
      </c>
    </row>
    <row r="20" spans="1:5" x14ac:dyDescent="0.25">
      <c r="A20" t="s">
        <v>27</v>
      </c>
      <c r="B20" s="9">
        <f>_rhoA*_A/10000</f>
        <v>79.520499999999998</v>
      </c>
    </row>
    <row r="21" spans="1:5" x14ac:dyDescent="0.25">
      <c r="A21" t="s">
        <v>29</v>
      </c>
      <c r="B21" s="9">
        <f>B20*_L_tot</f>
        <v>1272.328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278583.50263212342</v>
      </c>
    </row>
    <row r="24" spans="1:5" x14ac:dyDescent="0.25">
      <c r="A24" t="s">
        <v>31</v>
      </c>
      <c r="B24" s="11">
        <f>(B10-_b/10)*_L_tot*100</f>
        <v>246583.50263212342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171.88024594775629</v>
      </c>
    </row>
    <row r="27" spans="1:5" x14ac:dyDescent="0.25">
      <c r="A27" t="s">
        <v>26</v>
      </c>
      <c r="B27" s="9">
        <f>(B10-_b/10)/_A*100</f>
        <v>152.13690932386689</v>
      </c>
    </row>
    <row r="28" spans="1:5" ht="15.75" thickBot="1" x14ac:dyDescent="0.3"/>
    <row r="29" spans="1:5" ht="15.75" thickBot="1" x14ac:dyDescent="0.3">
      <c r="A29" s="50" t="s">
        <v>16</v>
      </c>
      <c r="B29" s="51"/>
    </row>
    <row r="30" spans="1:5" x14ac:dyDescent="0.25">
      <c r="A30" t="s">
        <v>17</v>
      </c>
      <c r="B30" s="23">
        <f>_A*100*_fy/1000</f>
        <v>3596.15</v>
      </c>
    </row>
    <row r="31" spans="1:5" x14ac:dyDescent="0.25">
      <c r="A31" t="s">
        <v>22</v>
      </c>
      <c r="B31" s="23">
        <f>_Av*100*_fy/(1000*SQRT(3))</f>
        <v>1037.2582560217745</v>
      </c>
      <c r="D31" s="52" t="s">
        <v>34</v>
      </c>
      <c r="E31" s="53"/>
    </row>
    <row r="32" spans="1:5" x14ac:dyDescent="0.25">
      <c r="A32" t="s">
        <v>18</v>
      </c>
      <c r="B32" s="23">
        <f>_Wel_y*1000*_fy*10^(-6)</f>
        <v>614.49015714285713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68.852640499999993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692.08882999999992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107.11912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5.1586206896551721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50.714285714285715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55.714285714285715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50" t="s">
        <v>133</v>
      </c>
      <c r="B47" s="51"/>
    </row>
    <row r="48" spans="1:5" x14ac:dyDescent="0.25">
      <c r="A48" t="s">
        <v>130</v>
      </c>
      <c r="B48" s="25">
        <f>H7+E19</f>
        <v>6.8849513295630009</v>
      </c>
    </row>
    <row r="49" spans="1:4" x14ac:dyDescent="0.25">
      <c r="A49" t="s">
        <v>228</v>
      </c>
      <c r="B49" s="3">
        <f>B48*(_L_ConsoleG+_L_Travee/2)</f>
        <v>55.079610636504007</v>
      </c>
    </row>
    <row r="50" spans="1:4" x14ac:dyDescent="0.25">
      <c r="A50" t="s">
        <v>229</v>
      </c>
      <c r="D50" s="24" t="s">
        <v>231</v>
      </c>
    </row>
    <row r="51" spans="1:4" x14ac:dyDescent="0.25">
      <c r="A51" t="s">
        <v>230</v>
      </c>
    </row>
    <row r="52" spans="1:4" x14ac:dyDescent="0.25">
      <c r="A52" t="s">
        <v>232</v>
      </c>
    </row>
    <row r="53" spans="1:4" x14ac:dyDescent="0.25">
      <c r="A53" t="s">
        <v>233</v>
      </c>
    </row>
    <row r="54" spans="1:4" x14ac:dyDescent="0.25">
      <c r="A54" t="s">
        <v>234</v>
      </c>
    </row>
    <row r="55" spans="1:4" x14ac:dyDescent="0.25">
      <c r="A55" t="s">
        <v>235</v>
      </c>
    </row>
    <row r="56" spans="1:4" x14ac:dyDescent="0.25">
      <c r="A56" t="s">
        <v>236</v>
      </c>
    </row>
  </sheetData>
  <mergeCells count="7">
    <mergeCell ref="D31:E31"/>
    <mergeCell ref="A47:B47"/>
    <mergeCell ref="A1:B1"/>
    <mergeCell ref="A9:B9"/>
    <mergeCell ref="D1:E1"/>
    <mergeCell ref="G1:H1"/>
    <mergeCell ref="A29:B29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161</vt:i4>
      </vt:variant>
    </vt:vector>
  </HeadingPairs>
  <TitlesOfParts>
    <vt:vector size="164" baseType="lpstr">
      <vt:lpstr>Cas 2</vt:lpstr>
      <vt:lpstr>Cas 3</vt:lpstr>
      <vt:lpstr>Cas 5</vt:lpstr>
      <vt:lpstr>'Cas 2'!_A</vt:lpstr>
      <vt:lpstr>'Cas 3'!_A</vt:lpstr>
      <vt:lpstr>'Cas 5'!_A</vt:lpstr>
      <vt:lpstr>'Cas 2'!_A0</vt:lpstr>
      <vt:lpstr>'Cas 5'!_Ac</vt:lpstr>
      <vt:lpstr>'Cas 2'!_Ace</vt:lpstr>
      <vt:lpstr>'Cas 3'!_Ace</vt:lpstr>
      <vt:lpstr>'Cas 2'!_Acr</vt:lpstr>
      <vt:lpstr>'Cas 2'!_As_inf</vt:lpstr>
      <vt:lpstr>'Cas 3'!_As_inf</vt:lpstr>
      <vt:lpstr>'Cas 2'!_Av</vt:lpstr>
      <vt:lpstr>'Cas 3'!_Av</vt:lpstr>
      <vt:lpstr>'Cas 5'!_Av</vt:lpstr>
      <vt:lpstr>'Cas 2'!_b</vt:lpstr>
      <vt:lpstr>'Cas 3'!_b</vt:lpstr>
      <vt:lpstr>'Cas 5'!_b</vt:lpstr>
      <vt:lpstr>'Cas 5'!_b_Droite</vt:lpstr>
      <vt:lpstr>'Cas 5'!_b_Gauche</vt:lpstr>
      <vt:lpstr>'Cas 2'!_B0</vt:lpstr>
      <vt:lpstr>'Cas 2'!_bb</vt:lpstr>
      <vt:lpstr>'Cas 2'!_bc</vt:lpstr>
      <vt:lpstr>'Cas 3'!_bc</vt:lpstr>
      <vt:lpstr>'Cas 3'!_bdroite</vt:lpstr>
      <vt:lpstr>'Cas 3'!_be1</vt:lpstr>
      <vt:lpstr>'Cas 3'!_be2</vt:lpstr>
      <vt:lpstr>'Cas 3'!_beff_appui</vt:lpstr>
      <vt:lpstr>'Cas 3'!_beff_mi_travee</vt:lpstr>
      <vt:lpstr>'Cas 3'!_beta1</vt:lpstr>
      <vt:lpstr>'Cas 3'!_beta2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2'!_cw</vt:lpstr>
      <vt:lpstr>'Cas 3'!_cw</vt:lpstr>
      <vt:lpstr>'Cas 5'!_cw</vt:lpstr>
      <vt:lpstr>'Cas 2'!_d</vt:lpstr>
      <vt:lpstr>'Cas 3'!_dsc</vt:lpstr>
      <vt:lpstr>'Cas 2'!_dw</vt:lpstr>
      <vt:lpstr>'Cas 3'!_dw</vt:lpstr>
      <vt:lpstr>'Cas 2'!_Ecm_dalle</vt:lpstr>
      <vt:lpstr>'Cas 3'!_Ecm_dalle</vt:lpstr>
      <vt:lpstr>'Cas 2'!_ep</vt:lpstr>
      <vt:lpstr>'Cas 3'!_ep</vt:lpstr>
      <vt:lpstr>'Cas 2'!_epsilon</vt:lpstr>
      <vt:lpstr>'Cas 3'!_epsilon</vt:lpstr>
      <vt:lpstr>'Cas 5'!_epsilon</vt:lpstr>
      <vt:lpstr>'Cas 3'!_eta</vt:lpstr>
      <vt:lpstr>'Cas 2'!_fck_dalle</vt:lpstr>
      <vt:lpstr>'Cas 3'!_fck_dalle</vt:lpstr>
      <vt:lpstr>'Cas 2'!_fck_enrobage</vt:lpstr>
      <vt:lpstr>'Cas 3'!_fck_enrobage</vt:lpstr>
      <vt:lpstr>'Cas 2'!_fcm_dalle</vt:lpstr>
      <vt:lpstr>'Cas 2'!_fcm_enrobage</vt:lpstr>
      <vt:lpstr>'Cas 3'!_fcm_enrobage</vt:lpstr>
      <vt:lpstr>'Cas 2'!_fctm_dalle</vt:lpstr>
      <vt:lpstr>'Cas 2'!_fctm_enrobage</vt:lpstr>
      <vt:lpstr>'Cas 2'!_fusc</vt:lpstr>
      <vt:lpstr>'Cas 3'!_fusc</vt:lpstr>
      <vt:lpstr>'Cas 2'!_fy</vt:lpstr>
      <vt:lpstr>'Cas 3'!_fy</vt:lpstr>
      <vt:lpstr>'Cas 5'!_fy</vt:lpstr>
      <vt:lpstr>'Cas 2'!_fyd</vt:lpstr>
      <vt:lpstr>'Cas 3'!_fyd</vt:lpstr>
      <vt:lpstr>'Cas 2'!_fyp</vt:lpstr>
      <vt:lpstr>'Cas 2'!_h</vt:lpstr>
      <vt:lpstr>'Cas 3'!_h</vt:lpstr>
      <vt:lpstr>'Cas 5'!_h</vt:lpstr>
      <vt:lpstr>'Cas 2'!_hp</vt:lpstr>
      <vt:lpstr>'Cas 3'!_hp</vt:lpstr>
      <vt:lpstr>'Cas 2'!_hpg</vt:lpstr>
      <vt:lpstr>'Cas 2'!_hsc</vt:lpstr>
      <vt:lpstr>'Cas 3'!_hsc</vt:lpstr>
      <vt:lpstr>'Cas 2'!_hw</vt:lpstr>
      <vt:lpstr>'Cas 3'!_hw</vt:lpstr>
      <vt:lpstr>'Cas 5'!_hw</vt:lpstr>
      <vt:lpstr>'Cas 2'!_Iy</vt:lpstr>
      <vt:lpstr>'Cas 3'!_Iy</vt:lpstr>
      <vt:lpstr>'Cas 5'!_Iy</vt:lpstr>
      <vt:lpstr>'Cas 2'!_Iz</vt:lpstr>
      <vt:lpstr>'Cas 5'!_Iz</vt:lpstr>
      <vt:lpstr>'Cas 2'!_kr</vt:lpstr>
      <vt:lpstr>'Cas 3'!_kt</vt:lpstr>
      <vt:lpstr>'Cas 3'!_kt_max</vt:lpstr>
      <vt:lpstr>'Cas 2'!_L</vt:lpstr>
      <vt:lpstr>'Cas 3'!_L</vt:lpstr>
      <vt:lpstr>'Cas 5'!_L_ConsoleD</vt:lpstr>
      <vt:lpstr>'Cas 5'!_L_ConsoleG</vt:lpstr>
      <vt:lpstr>'Cas 5'!_L_tot</vt:lpstr>
      <vt:lpstr>'Cas 5'!_L_Travee</vt:lpstr>
      <vt:lpstr>'Cas 2'!_Mel_y_Rd</vt:lpstr>
      <vt:lpstr>'Cas 2'!_Mel_z_Rd</vt:lpstr>
      <vt:lpstr>'Cas 2'!_Mpl_y_Rd</vt:lpstr>
      <vt:lpstr>'Cas 2'!_Mpl_z_Rd</vt:lpstr>
      <vt:lpstr>'Cas 2'!_n</vt:lpstr>
      <vt:lpstr>'Cas 3'!_n_dalle</vt:lpstr>
      <vt:lpstr>'Cas 3'!_Na</vt:lpstr>
      <vt:lpstr>'Cas 3'!_Ncp</vt:lpstr>
      <vt:lpstr>'Cas 3'!_Nf</vt:lpstr>
      <vt:lpstr>'Cas 3'!_nr</vt:lpstr>
      <vt:lpstr>'Cas 3'!_Ns_inf</vt:lpstr>
      <vt:lpstr>'Cas 2'!_NtRd</vt:lpstr>
      <vt:lpstr>'Cas 3'!_Nw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2'!_rho</vt:lpstr>
      <vt:lpstr>'Cas 3'!_rho</vt:lpstr>
      <vt:lpstr>'Cas 5'!_rhoA</vt:lpstr>
      <vt:lpstr>'Cas 5'!_rhoC</vt:lpstr>
      <vt:lpstr>'Cas 2'!_tc</vt:lpstr>
      <vt:lpstr>'Cas 3'!_tc</vt:lpstr>
      <vt:lpstr>'Cas 2'!_td</vt:lpstr>
      <vt:lpstr>'Cas 3'!_td</vt:lpstr>
      <vt:lpstr>'Cas 5'!_td</vt:lpstr>
      <vt:lpstr>'Cas 2'!_tf</vt:lpstr>
      <vt:lpstr>'Cas 3'!_tf</vt:lpstr>
      <vt:lpstr>'Cas 5'!_tf</vt:lpstr>
      <vt:lpstr>'Cas 5'!_th</vt:lpstr>
      <vt:lpstr>'Cas 5'!_theta</vt:lpstr>
      <vt:lpstr>'Cas 2'!_tp</vt:lpstr>
      <vt:lpstr>'Cas 2'!_tw</vt:lpstr>
      <vt:lpstr>'Cas 3'!_tw</vt:lpstr>
      <vt:lpstr>'Cas 5'!_tw</vt:lpstr>
      <vt:lpstr>'Cas 2'!_VplRd</vt:lpstr>
      <vt:lpstr>'Cas 3'!_VplRd</vt:lpstr>
      <vt:lpstr>'Cas 2'!_Wel_y</vt:lpstr>
      <vt:lpstr>'Cas 3'!_Wel_y</vt:lpstr>
      <vt:lpstr>'Cas 5'!_Wel_y</vt:lpstr>
      <vt:lpstr>'Cas 2'!_Wel_z</vt:lpstr>
      <vt:lpstr>'Cas 3'!_Wel_z</vt:lpstr>
      <vt:lpstr>'Cas 5'!_Wel_z</vt:lpstr>
      <vt:lpstr>'Cas 2'!_Wpl_y</vt:lpstr>
      <vt:lpstr>'Cas 3'!_Wpl_y</vt:lpstr>
      <vt:lpstr>'Cas 5'!_Wpl_y</vt:lpstr>
      <vt:lpstr>'Cas 2'!_Wpl_z</vt:lpstr>
      <vt:lpstr>'Cas 3'!_Wpl_z</vt:lpstr>
      <vt:lpstr>'Cas 5'!_Wpl_z</vt:lpstr>
      <vt:lpstr>'Cas 2'!_za</vt:lpstr>
      <vt:lpstr>'Cas 3'!_za</vt:lpstr>
      <vt:lpstr>'Cas 2'!_zcr</vt:lpstr>
      <vt:lpstr>'Cas 2'!_zel</vt:lpstr>
      <vt:lpstr>'Cas 3'!_zel</vt:lpstr>
      <vt:lpstr>'Cas 2'!_zpl</vt:lpstr>
      <vt:lpstr>'Cas 3'!_zpl_a</vt:lpstr>
      <vt:lpstr>'Cas 3'!_zpl_c</vt:lpstr>
      <vt:lpstr>'Cas 3'!_zs</vt:lpstr>
      <vt:lpstr>'Cas 2'!_zs_inf</vt:lpstr>
      <vt:lpstr>'Cas 3'!_zs_inf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2024-05-30T14:57:00Z</dcterms:modified>
</cp:coreProperties>
</file>