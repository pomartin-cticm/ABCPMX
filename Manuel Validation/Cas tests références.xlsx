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1"/>
  </bookViews>
  <sheets>
    <sheet name="Cas 2" sheetId="1" r:id="rId1"/>
    <sheet name="Cas 3" sheetId="2" r:id="rId2"/>
  </sheets>
  <definedNames>
    <definedName name="_A" localSheetId="0">'Cas 2'!$B$32</definedName>
    <definedName name="_A" localSheetId="1">'Cas 3'!$B$33</definedName>
    <definedName name="_A0" localSheetId="0">'Cas 2'!$B$75</definedName>
    <definedName name="_A0" localSheetId="1">'Cas 3'!#REF!</definedName>
    <definedName name="_Ace" localSheetId="0">'Cas 2'!$E$4</definedName>
    <definedName name="_Ace" localSheetId="1">'Cas 3'!$E$4</definedName>
    <definedName name="_Acr" localSheetId="0">'Cas 2'!$B$71</definedName>
    <definedName name="_Acr" localSheetId="1">'Cas 3'!#REF!</definedName>
    <definedName name="_As_inf" localSheetId="0">'Cas 2'!$E$10</definedName>
    <definedName name="_As_inf" localSheetId="1">'Cas 3'!$E$10</definedName>
    <definedName name="_Av" localSheetId="0">'Cas 2'!$B$33</definedName>
    <definedName name="_Av" localSheetId="1">'Cas 3'!$B$34</definedName>
    <definedName name="_b" localSheetId="0">'Cas 2'!$B$4</definedName>
    <definedName name="_b" localSheetId="1">'Cas 3'!$B$15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droite" localSheetId="1">'Cas 3'!$B$4</definedName>
    <definedName name="_be1" localSheetId="1">'Cas 3'!$B$6</definedName>
    <definedName name="_be2" localSheetId="1">'Cas 3'!$B$7</definedName>
    <definedName name="_beff_appui" localSheetId="1">'Cas 3'!$B$11</definedName>
    <definedName name="_beff_mi_travee" localSheetId="1">'Cas 3'!$B$10</definedName>
    <definedName name="_beta1" localSheetId="1">'Cas 3'!$B$8</definedName>
    <definedName name="_beta2" localSheetId="1">'Cas 3'!$B$9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w" localSheetId="0">'Cas 2'!$B$12</definedName>
    <definedName name="_cw" localSheetId="1">'Cas 3'!$B$23</definedName>
    <definedName name="_d" localSheetId="0">'Cas 2'!$H$13</definedName>
    <definedName name="_dsc" localSheetId="1">'Cas 3'!$H$14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ta" localSheetId="1">'Cas 3'!$H$28</definedName>
    <definedName name="_fck_dalle" localSheetId="0">'Cas 2'!$H$5</definedName>
    <definedName name="_fck_dalle" localSheetId="1">'Cas 3'!$H$5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enrobage" localSheetId="0">'Cas 2'!$E$8</definedName>
    <definedName name="_fusc" localSheetId="0">'Cas 2'!$H$14</definedName>
    <definedName name="_fusc" localSheetId="1">'Cas 3'!$H$15</definedName>
    <definedName name="_fy" localSheetId="0">'Cas 2'!$B$14</definedName>
    <definedName name="_fy" localSheetId="1">'Cas 3'!$B$25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w" localSheetId="0">'Cas 2'!$B$8</definedName>
    <definedName name="_hw" localSheetId="1">'Cas 3'!$B$19</definedName>
    <definedName name="_Iy" localSheetId="0">'Cas 2'!$B$34</definedName>
    <definedName name="_Iy" localSheetId="1">'Cas 3'!$B$35</definedName>
    <definedName name="_Iz" localSheetId="0">'Cas 2'!$B$35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Mel_y_Rd" localSheetId="0">'Cas 2'!$B$53</definedName>
    <definedName name="_Mel_z_Rd" localSheetId="0">'Cas 2'!$B$54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enrobage" localSheetId="1">'Cas 3'!#REF!</definedName>
    <definedName name="_Na" localSheetId="1">'Cas 3'!$H$23</definedName>
    <definedName name="_Ncp" localSheetId="1">'Cas 3'!$B$104</definedName>
    <definedName name="_Nf" localSheetId="1">'Cas 3'!$B$102</definedName>
    <definedName name="_nr" localSheetId="1">'Cas 3'!$H$16</definedName>
    <definedName name="_Ns_inf" localSheetId="1">'Cas 3'!$H$24</definedName>
    <definedName name="_NtRd" localSheetId="0">'Cas 2'!$B$51</definedName>
    <definedName name="_Nw" localSheetId="1">'Cas 3'!$B$103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ho" localSheetId="0">'Cas 2'!$B$17</definedName>
    <definedName name="_rho" localSheetId="1">'Cas 3'!$B$28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f" localSheetId="0">'Cas 2'!$B$5</definedName>
    <definedName name="_tf" localSheetId="1">'Cas 3'!$B$16</definedName>
    <definedName name="_tp" localSheetId="0">'Cas 2'!$E$23</definedName>
    <definedName name="_tw" localSheetId="0">'Cas 2'!$B$6</definedName>
    <definedName name="_tw" localSheetId="1">'Cas 3'!$B$17</definedName>
    <definedName name="_VplRd" localSheetId="0">'Cas 2'!$B$52</definedName>
    <definedName name="_VplRd" localSheetId="1">'Cas 3'!$B$53</definedName>
    <definedName name="_Wel_y" localSheetId="0">'Cas 2'!$B$36</definedName>
    <definedName name="_Wel_y" localSheetId="1">'Cas 3'!$B$37</definedName>
    <definedName name="_Wel_z" localSheetId="0">'Cas 2'!$B$37</definedName>
    <definedName name="_Wel_z" localSheetId="1">'Cas 3'!$B$38</definedName>
    <definedName name="_Wpl_y" localSheetId="0">'Cas 2'!$B$38</definedName>
    <definedName name="_Wpl_y" localSheetId="1">'Cas 3'!$B$39</definedName>
    <definedName name="_Wpl_z" localSheetId="0">'Cas 2'!$B$39</definedName>
    <definedName name="_Wpl_z" localSheetId="1">'Cas 3'!$B$40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_inf" localSheetId="0">'Cas 2'!$E$11</definedName>
    <definedName name="_zs_inf" localSheetId="1">'Cas 3'!$E$11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5" i="2" l="1"/>
  <c r="B144" i="2"/>
  <c r="B142" i="2"/>
  <c r="B140" i="2"/>
  <c r="B139" i="2"/>
  <c r="B151" i="2"/>
  <c r="B152" i="2" s="1"/>
  <c r="B125" i="2"/>
  <c r="B124" i="2"/>
  <c r="B123" i="2"/>
  <c r="B122" i="2"/>
  <c r="B109" i="2"/>
  <c r="B108" i="2"/>
  <c r="B91" i="1"/>
  <c r="H2" i="1"/>
  <c r="B102" i="2" l="1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B103" i="2" l="1"/>
  <c r="B6" i="2"/>
  <c r="B94" i="2"/>
  <c r="B88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24" i="1"/>
  <c r="B18" i="1"/>
  <c r="E26" i="1"/>
  <c r="B104" i="1"/>
  <c r="B103" i="1"/>
  <c r="B98" i="1"/>
  <c r="E12" i="1"/>
  <c r="B9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21" i="2"/>
  <c r="B120" i="2"/>
  <c r="B82" i="2"/>
  <c r="H7" i="1"/>
  <c r="H6" i="1"/>
  <c r="H4" i="1"/>
  <c r="H10" i="1" s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B130" i="2" l="1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3" i="1" s="1"/>
  <c r="B94" i="1" s="1"/>
  <c r="B97" i="1"/>
  <c r="B99" i="1"/>
  <c r="B77" i="1"/>
  <c r="B81" i="1" s="1"/>
  <c r="D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B116" i="2" l="1"/>
  <c r="B134" i="2" s="1"/>
  <c r="B115" i="1"/>
  <c r="B117" i="1"/>
  <c r="B122" i="1" s="1"/>
  <c r="B128" i="1"/>
  <c r="B127" i="1"/>
  <c r="B118" i="1"/>
  <c r="B116" i="1"/>
  <c r="B101" i="1"/>
  <c r="B102" i="1" s="1"/>
  <c r="B80" i="1"/>
  <c r="B62" i="1"/>
  <c r="B106" i="1" l="1"/>
  <c r="B107" i="1" s="1"/>
  <c r="B121" i="1" s="1"/>
  <c r="B105" i="1"/>
</calcChain>
</file>

<file path=xl/sharedStrings.xml><?xml version="1.0" encoding="utf-8"?>
<sst xmlns="http://schemas.openxmlformats.org/spreadsheetml/2006/main" count="379" uniqueCount="218">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</sst>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67" workbookViewId="0">
      <selection activeCell="B87" sqref="B87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34" t="s">
        <v>55</v>
      </c>
      <c r="B1" s="35"/>
      <c r="C1"/>
      <c r="D1" s="34" t="s">
        <v>56</v>
      </c>
      <c r="E1" s="35"/>
      <c r="F1" s="24"/>
      <c r="G1" s="34" t="s">
        <v>65</v>
      </c>
      <c r="H1" s="35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34" t="s">
        <v>66</v>
      </c>
      <c r="E15" s="35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34" t="s">
        <v>7</v>
      </c>
      <c r="B30" s="35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34" t="s">
        <v>16</v>
      </c>
      <c r="B50" s="35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36" t="s">
        <v>34</v>
      </c>
      <c r="F52" s="37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34" t="s">
        <v>79</v>
      </c>
      <c r="B68" s="35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34" t="s">
        <v>111</v>
      </c>
      <c r="B96" s="35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34" t="s">
        <v>133</v>
      </c>
      <c r="B109" s="35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34" t="s">
        <v>134</v>
      </c>
      <c r="B120" s="35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abSelected="1" topLeftCell="A113" workbookViewId="0">
      <selection activeCell="B145" sqref="B145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34" t="s">
        <v>152</v>
      </c>
      <c r="B1" s="35"/>
      <c r="C1"/>
      <c r="D1" s="34" t="s">
        <v>56</v>
      </c>
      <c r="E1" s="35"/>
      <c r="F1" s="24"/>
      <c r="G1" s="34" t="s">
        <v>65</v>
      </c>
      <c r="H1" s="35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34" t="s">
        <v>162</v>
      </c>
      <c r="H12" s="35"/>
    </row>
    <row r="13" spans="1:8" ht="15.75" thickBot="1" x14ac:dyDescent="0.3">
      <c r="A13" s="34" t="s">
        <v>55</v>
      </c>
      <c r="B13" s="35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34" t="s">
        <v>66</v>
      </c>
      <c r="E15" s="35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34" t="s">
        <v>7</v>
      </c>
      <c r="B31" s="35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34" t="s">
        <v>16</v>
      </c>
      <c r="B51" s="35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36" t="s">
        <v>34</v>
      </c>
      <c r="F53" s="37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34" t="s">
        <v>79</v>
      </c>
      <c r="B69" s="35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7" t="s">
        <v>189</v>
      </c>
      <c r="C72" s="48" t="s">
        <v>190</v>
      </c>
    </row>
    <row r="73" spans="1:6" x14ac:dyDescent="0.25">
      <c r="A73" t="s">
        <v>87</v>
      </c>
      <c r="B73" s="39">
        <f>_td+_h/2</f>
        <v>388.5</v>
      </c>
      <c r="C73" s="46">
        <f>_za</f>
        <v>388.5</v>
      </c>
    </row>
    <row r="74" spans="1:6" x14ac:dyDescent="0.25">
      <c r="A74" t="s">
        <v>184</v>
      </c>
      <c r="B74" s="39">
        <f>_td+_zs_inf</f>
        <v>562.5</v>
      </c>
      <c r="C74" s="46">
        <f>_zs</f>
        <v>562.5</v>
      </c>
    </row>
    <row r="75" spans="1:6" x14ac:dyDescent="0.25">
      <c r="A75" t="s">
        <v>88</v>
      </c>
      <c r="B75" s="42" t="s">
        <v>192</v>
      </c>
      <c r="C75" s="44">
        <f>_A*100+_As_inf*100+_beff_mi_travee*1000*_tc/_n_dalle</f>
        <v>18591.646270893973</v>
      </c>
    </row>
    <row r="76" spans="1:6" x14ac:dyDescent="0.25">
      <c r="A76" t="s">
        <v>193</v>
      </c>
      <c r="B76" s="42" t="s">
        <v>192</v>
      </c>
      <c r="C76" s="45">
        <f>_Ace*100/(B71*_hw)</f>
        <v>7.7225855565936534</v>
      </c>
    </row>
    <row r="77" spans="1:6" x14ac:dyDescent="0.25">
      <c r="A77" t="s">
        <v>194</v>
      </c>
      <c r="B77" s="42" t="s">
        <v>192</v>
      </c>
      <c r="C77" s="44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43" t="s">
        <v>192</v>
      </c>
      <c r="C78" s="44">
        <f>C75/C76*(-1+SQRT(1+2*C77*C76/C75^2))</f>
        <v>83.556465257011979</v>
      </c>
    </row>
    <row r="79" spans="1:6" x14ac:dyDescent="0.25">
      <c r="A79" t="s">
        <v>90</v>
      </c>
      <c r="B79" s="51">
        <f>(_beff_mi_travee*1000*_tc^2/(2*_n_dalle)+_A*100*_za+_As_inf*100*_zs)/(_beff_mi_travee*1000*_tc/_n_dalle+_A*100+_As_inf*100)</f>
        <v>239.50648863397487</v>
      </c>
      <c r="C79" s="52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9">
        <f>_tc</f>
        <v>82</v>
      </c>
      <c r="C80" s="46">
        <f>_tc+_td</f>
        <v>222</v>
      </c>
    </row>
    <row r="81" spans="1:5" x14ac:dyDescent="0.25">
      <c r="A81" t="s">
        <v>92</v>
      </c>
      <c r="B81" s="39">
        <f>_td+_tf</f>
        <v>154.5</v>
      </c>
      <c r="C81" s="46">
        <f>C80+_h</f>
        <v>719</v>
      </c>
    </row>
    <row r="82" spans="1:5" x14ac:dyDescent="0.25">
      <c r="A82" t="s">
        <v>93</v>
      </c>
      <c r="B82" s="39" t="b">
        <f>IF(B80&lt;=_zel,IF(_zel&lt;=B81,TRUE,FALSE),FALSE)</f>
        <v>0</v>
      </c>
      <c r="C82" s="39" t="b">
        <f>IF(C80&lt;=C79,IF(C79&lt;=C81,TRUE,FALSE),FALSE)</f>
        <v>1</v>
      </c>
    </row>
    <row r="83" spans="1:5" x14ac:dyDescent="0.25">
      <c r="A83" t="s">
        <v>94</v>
      </c>
      <c r="B83" s="53">
        <f>(_Iy*10^4+_A*100*(_za-_zel)^2+_As_inf*100*(_zs-_zel)^2+_beff_mi_travee*1000*_tc/_n_dalle*(_tc^2/12+(_tc/2-_zel)^2))*10^(-4)</f>
        <v>101421.8641875779</v>
      </c>
      <c r="C83" s="54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41"/>
      <c r="C84" s="40"/>
    </row>
    <row r="85" spans="1:5" ht="15.75" thickBot="1" x14ac:dyDescent="0.3">
      <c r="A85" s="49" t="s">
        <v>188</v>
      </c>
      <c r="B85" s="50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8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34" t="s">
        <v>111</v>
      </c>
      <c r="B101" s="35"/>
    </row>
    <row r="102" spans="1:4" x14ac:dyDescent="0.25">
      <c r="A102" s="7" t="s">
        <v>185</v>
      </c>
      <c r="B102" s="55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34" t="s">
        <v>133</v>
      </c>
      <c r="B118" s="35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34" t="s">
        <v>134</v>
      </c>
      <c r="B133" s="35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34" t="s">
        <v>207</v>
      </c>
      <c r="B147" s="35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31:B31"/>
    <mergeCell ref="A51:B51"/>
    <mergeCell ref="G12:H12"/>
    <mergeCell ref="A85:B85"/>
    <mergeCell ref="A147:B147"/>
    <mergeCell ref="A1:B1"/>
    <mergeCell ref="A13:B13"/>
    <mergeCell ref="D1:E1"/>
    <mergeCell ref="G1:H1"/>
    <mergeCell ref="D15:E15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131</vt:i4>
      </vt:variant>
    </vt:vector>
  </HeadingPairs>
  <TitlesOfParts>
    <vt:vector size="133" baseType="lpstr">
      <vt:lpstr>Cas 2</vt:lpstr>
      <vt:lpstr>Cas 3</vt:lpstr>
      <vt:lpstr>'Cas 2'!_A</vt:lpstr>
      <vt:lpstr>'Cas 3'!_A</vt:lpstr>
      <vt:lpstr>'Cas 2'!_A0</vt:lpstr>
      <vt:lpstr>'Cas 2'!_Ace</vt:lpstr>
      <vt:lpstr>'Cas 3'!_Ace</vt:lpstr>
      <vt:lpstr>'Cas 2'!_Acr</vt:lpstr>
      <vt:lpstr>'Cas 2'!_As_inf</vt:lpstr>
      <vt:lpstr>'Cas 3'!_As_inf</vt:lpstr>
      <vt:lpstr>'Cas 2'!_Av</vt:lpstr>
      <vt:lpstr>'Cas 3'!_Av</vt:lpstr>
      <vt:lpstr>'Cas 2'!_b</vt:lpstr>
      <vt:lpstr>'Cas 3'!_b</vt:lpstr>
      <vt:lpstr>'Cas 2'!_B0</vt:lpstr>
      <vt:lpstr>'Cas 2'!_bb</vt:lpstr>
      <vt:lpstr>'Cas 2'!_bc</vt:lpstr>
      <vt:lpstr>'Cas 3'!_bc</vt:lpstr>
      <vt:lpstr>'Cas 3'!_bdroite</vt:lpstr>
      <vt:lpstr>'Cas 3'!_be1</vt:lpstr>
      <vt:lpstr>'Cas 3'!_be2</vt:lpstr>
      <vt:lpstr>'Cas 3'!_beff_appui</vt:lpstr>
      <vt:lpstr>'Cas 3'!_beff_mi_travee</vt:lpstr>
      <vt:lpstr>'Cas 3'!_beta1</vt:lpstr>
      <vt:lpstr>'Cas 3'!_beta2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2'!_cw</vt:lpstr>
      <vt:lpstr>'Cas 3'!_cw</vt:lpstr>
      <vt:lpstr>'Cas 2'!_d</vt:lpstr>
      <vt:lpstr>'Cas 3'!_dsc</vt:lpstr>
      <vt:lpstr>'Cas 2'!_dw</vt:lpstr>
      <vt:lpstr>'Cas 3'!_dw</vt:lpstr>
      <vt:lpstr>'Cas 2'!_Ecm_dalle</vt:lpstr>
      <vt:lpstr>'Cas 3'!_Ecm_dalle</vt:lpstr>
      <vt:lpstr>'Cas 2'!_ep</vt:lpstr>
      <vt:lpstr>'Cas 3'!_ep</vt:lpstr>
      <vt:lpstr>'Cas 2'!_epsilon</vt:lpstr>
      <vt:lpstr>'Cas 3'!_epsilon</vt:lpstr>
      <vt:lpstr>'Cas 3'!_eta</vt:lpstr>
      <vt:lpstr>'Cas 2'!_fck_dalle</vt:lpstr>
      <vt:lpstr>'Cas 3'!_fck_dalle</vt:lpstr>
      <vt:lpstr>'Cas 2'!_fck_enrobage</vt:lpstr>
      <vt:lpstr>'Cas 3'!_fck_enrobage</vt:lpstr>
      <vt:lpstr>'Cas 2'!_fcm_dalle</vt:lpstr>
      <vt:lpstr>'Cas 2'!_fcm_enrobage</vt:lpstr>
      <vt:lpstr>'Cas 3'!_fcm_enrobage</vt:lpstr>
      <vt:lpstr>'Cas 2'!_fctm_dalle</vt:lpstr>
      <vt:lpstr>'Cas 2'!_fctm_enrobage</vt:lpstr>
      <vt:lpstr>'Cas 2'!_fusc</vt:lpstr>
      <vt:lpstr>'Cas 3'!_fusc</vt:lpstr>
      <vt:lpstr>'Cas 2'!_fy</vt:lpstr>
      <vt:lpstr>'Cas 3'!_fy</vt:lpstr>
      <vt:lpstr>'Cas 2'!_fyd</vt:lpstr>
      <vt:lpstr>'Cas 3'!_fyd</vt:lpstr>
      <vt:lpstr>'Cas 2'!_fyp</vt:lpstr>
      <vt:lpstr>'Cas 2'!_h</vt:lpstr>
      <vt:lpstr>'Cas 3'!_h</vt:lpstr>
      <vt:lpstr>'Cas 2'!_hp</vt:lpstr>
      <vt:lpstr>'Cas 3'!_hp</vt:lpstr>
      <vt:lpstr>'Cas 2'!_hpg</vt:lpstr>
      <vt:lpstr>'Cas 2'!_hsc</vt:lpstr>
      <vt:lpstr>'Cas 3'!_hsc</vt:lpstr>
      <vt:lpstr>'Cas 2'!_hw</vt:lpstr>
      <vt:lpstr>'Cas 3'!_hw</vt:lpstr>
      <vt:lpstr>'Cas 2'!_Iy</vt:lpstr>
      <vt:lpstr>'Cas 3'!_Iy</vt:lpstr>
      <vt:lpstr>'Cas 2'!_Iz</vt:lpstr>
      <vt:lpstr>'Cas 2'!_kr</vt:lpstr>
      <vt:lpstr>'Cas 3'!_kt</vt:lpstr>
      <vt:lpstr>'Cas 3'!_kt_max</vt:lpstr>
      <vt:lpstr>'Cas 2'!_L</vt:lpstr>
      <vt:lpstr>'Cas 3'!_L</vt:lpstr>
      <vt:lpstr>'Cas 2'!_Mel_y_Rd</vt:lpstr>
      <vt:lpstr>'Cas 2'!_Mel_z_Rd</vt:lpstr>
      <vt:lpstr>'Cas 2'!_Mpl_y_Rd</vt:lpstr>
      <vt:lpstr>'Cas 2'!_Mpl_z_Rd</vt:lpstr>
      <vt:lpstr>'Cas 2'!_n</vt:lpstr>
      <vt:lpstr>'Cas 3'!_n_dalle</vt:lpstr>
      <vt:lpstr>'Cas 3'!_Na</vt:lpstr>
      <vt:lpstr>'Cas 3'!_Ncp</vt:lpstr>
      <vt:lpstr>'Cas 3'!_Nf</vt:lpstr>
      <vt:lpstr>'Cas 3'!_nr</vt:lpstr>
      <vt:lpstr>'Cas 3'!_Ns_inf</vt:lpstr>
      <vt:lpstr>'Cas 2'!_NtRd</vt:lpstr>
      <vt:lpstr>'Cas 3'!_Nw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2'!_rho</vt:lpstr>
      <vt:lpstr>'Cas 3'!_rho</vt:lpstr>
      <vt:lpstr>'Cas 2'!_tc</vt:lpstr>
      <vt:lpstr>'Cas 3'!_tc</vt:lpstr>
      <vt:lpstr>'Cas 2'!_td</vt:lpstr>
      <vt:lpstr>'Cas 3'!_td</vt:lpstr>
      <vt:lpstr>'Cas 2'!_tf</vt:lpstr>
      <vt:lpstr>'Cas 3'!_tf</vt:lpstr>
      <vt:lpstr>'Cas 2'!_tp</vt:lpstr>
      <vt:lpstr>'Cas 2'!_tw</vt:lpstr>
      <vt:lpstr>'Cas 3'!_tw</vt:lpstr>
      <vt:lpstr>'Cas 2'!_VplRd</vt:lpstr>
      <vt:lpstr>'Cas 3'!_VplRd</vt:lpstr>
      <vt:lpstr>'Cas 2'!_Wel_y</vt:lpstr>
      <vt:lpstr>'Cas 3'!_Wel_y</vt:lpstr>
      <vt:lpstr>'Cas 2'!_Wel_z</vt:lpstr>
      <vt:lpstr>'Cas 3'!_Wel_z</vt:lpstr>
      <vt:lpstr>'Cas 2'!_Wpl_y</vt:lpstr>
      <vt:lpstr>'Cas 3'!_Wpl_y</vt:lpstr>
      <vt:lpstr>'Cas 2'!_Wpl_z</vt:lpstr>
      <vt:lpstr>'Cas 3'!_Wpl_z</vt:lpstr>
      <vt:lpstr>'Cas 2'!_za</vt:lpstr>
      <vt:lpstr>'Cas 3'!_za</vt:lpstr>
      <vt:lpstr>'Cas 2'!_zcr</vt:lpstr>
      <vt:lpstr>'Cas 2'!_zel</vt:lpstr>
      <vt:lpstr>'Cas 3'!_zel</vt:lpstr>
      <vt:lpstr>'Cas 2'!_zpl</vt:lpstr>
      <vt:lpstr>'Cas 3'!_zpl_a</vt:lpstr>
      <vt:lpstr>'Cas 3'!_zpl_c</vt:lpstr>
      <vt:lpstr>'Cas 3'!_zs</vt:lpstr>
      <vt:lpstr>'Cas 2'!_zs_inf</vt:lpstr>
      <vt:lpstr>'Cas 3'!_zs_inf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2024-05-23T15:13:25Z</dcterms:modified>
</cp:coreProperties>
</file>