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 activeTab="1"/>
  </bookViews>
  <sheets>
    <sheet name="Cas 2" sheetId="1" r:id="rId1"/>
    <sheet name="Cas 3" sheetId="2" r:id="rId2"/>
  </sheets>
  <definedNames>
    <definedName name="_A" localSheetId="0">'Cas 2'!$B$32</definedName>
    <definedName name="_A0" localSheetId="0">'Cas 2'!$B$75</definedName>
    <definedName name="_Ace" localSheetId="0">'Cas 2'!$E$4</definedName>
    <definedName name="_Acr" localSheetId="0">'Cas 2'!$B$71</definedName>
    <definedName name="_As_inf" localSheetId="0">'Cas 2'!$E$10</definedName>
    <definedName name="_Av" localSheetId="0">'Cas 2'!$B$33</definedName>
    <definedName name="_b" localSheetId="0">'Cas 2'!$B$4</definedName>
    <definedName name="_B0" localSheetId="0">'Cas 2'!$B$76</definedName>
    <definedName name="_bb" localSheetId="0">'Cas 2'!$E$21</definedName>
    <definedName name="_bc" localSheetId="0">'Cas 2'!$E$3</definedName>
    <definedName name="_bm" localSheetId="0">'Cas 2'!$E$22</definedName>
    <definedName name="_bp" localSheetId="0">'Cas 2'!$B$70</definedName>
    <definedName name="_bt" localSheetId="0">'Cas 2'!$E$20</definedName>
    <definedName name="_cf" localSheetId="0">'Cas 2'!$B$11</definedName>
    <definedName name="_cw" localSheetId="0">'Cas 2'!$B$12</definedName>
    <definedName name="_d" localSheetId="0">'Cas 2'!$H$13</definedName>
    <definedName name="_dw" localSheetId="0">'Cas 2'!$B$9</definedName>
    <definedName name="_Ecm_dalle" localSheetId="0">'Cas 2'!$H$8</definedName>
    <definedName name="_ep" localSheetId="0">'Cas 2'!$E$19</definedName>
    <definedName name="_epsilon" localSheetId="0">'Cas 2'!$B$15</definedName>
    <definedName name="_fck_dalle" localSheetId="0">'Cas 2'!$H$5</definedName>
    <definedName name="_fck_enrobage" localSheetId="0">'Cas 2'!$E$6</definedName>
    <definedName name="_fcm_dalle" localSheetId="0">'Cas 2'!$H$6</definedName>
    <definedName name="_fcm_enrobage" localSheetId="0">'Cas 2'!$E$7</definedName>
    <definedName name="_fctm_dalle" localSheetId="0">'Cas 2'!$H$7</definedName>
    <definedName name="_fctm_enrobage" localSheetId="0">'Cas 2'!$E$8</definedName>
    <definedName name="_fusc" localSheetId="0">'Cas 2'!$H$14</definedName>
    <definedName name="_fy" localSheetId="0">'Cas 2'!$B$14</definedName>
    <definedName name="_fyd">'Cas 2'!$E$12</definedName>
    <definedName name="_fyp" localSheetId="0">'Cas 2'!$E$24</definedName>
    <definedName name="_h" localSheetId="0">'Cas 2'!$B$3</definedName>
    <definedName name="_hp" localSheetId="0">'Cas 2'!$E$17</definedName>
    <definedName name="_hpg" localSheetId="0">'Cas 2'!$E$18</definedName>
    <definedName name="_hsc" localSheetId="0">'Cas 2'!$H$12</definedName>
    <definedName name="_hw" localSheetId="0">'Cas 2'!$B$8</definedName>
    <definedName name="_Iy" localSheetId="0">'Cas 2'!$B$34</definedName>
    <definedName name="_Iz" localSheetId="0">'Cas 2'!$B$35</definedName>
    <definedName name="_kr">'Cas 2'!$B$72</definedName>
    <definedName name="_L" localSheetId="0">'Cas 2'!$B$2</definedName>
    <definedName name="_Mel_y_Rd" localSheetId="0">'Cas 2'!$B$53</definedName>
    <definedName name="_Mel_z_Rd" localSheetId="0">'Cas 2'!$B$54</definedName>
    <definedName name="_Mpl_y_Rd" localSheetId="0">'Cas 2'!$B$55</definedName>
    <definedName name="_Mpl_z_Rd" localSheetId="0">'Cas 2'!$B$56</definedName>
    <definedName name="_n" localSheetId="0">'Cas 2'!$B$69</definedName>
    <definedName name="_NtRd" localSheetId="0">'Cas 2'!$B$51</definedName>
    <definedName name="_qBac" localSheetId="0">'Cas 2'!$E$26</definedName>
    <definedName name="_qDalle" localSheetId="0">'Cas 2'!$H$10</definedName>
    <definedName name="_qEnrobage" localSheetId="0">'Cas 2'!$E$13</definedName>
    <definedName name="_qProfile" localSheetId="0">'Cas 2'!$B$18</definedName>
    <definedName name="_r" localSheetId="0">'Cas 2'!$B$7</definedName>
    <definedName name="_rho" localSheetId="0">'Cas 2'!$B$17</definedName>
    <definedName name="_tc" localSheetId="0">'Cas 2'!$H$4</definedName>
    <definedName name="_td" localSheetId="0">'Cas 2'!$H$3</definedName>
    <definedName name="_tf" localSheetId="0">'Cas 2'!$B$5</definedName>
    <definedName name="_tp" localSheetId="0">'Cas 2'!$E$23</definedName>
    <definedName name="_tw" localSheetId="0">'Cas 2'!$B$6</definedName>
    <definedName name="_VplRd" localSheetId="0">'Cas 2'!$B$52</definedName>
    <definedName name="_Wel_y" localSheetId="0">'Cas 2'!$B$36</definedName>
    <definedName name="_Wel_z" localSheetId="0">'Cas 2'!$B$37</definedName>
    <definedName name="_Wpl_y" localSheetId="0">'Cas 2'!$B$38</definedName>
    <definedName name="_Wpl_z" localSheetId="0">'Cas 2'!$B$39</definedName>
    <definedName name="_za" localSheetId="0">'Cas 2'!$B$74</definedName>
    <definedName name="_zcr" localSheetId="0">'Cas 2'!$B$73</definedName>
    <definedName name="_zel" localSheetId="0">'Cas 2'!$B$77</definedName>
    <definedName name="_zpl" localSheetId="0">'Cas 2'!$B$102</definedName>
    <definedName name="_zs_inf" localSheetId="0">'Cas 2'!$E$11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4" i="1" l="1"/>
  <c r="B18" i="1"/>
  <c r="E26" i="1"/>
  <c r="B104" i="1"/>
  <c r="B103" i="1"/>
  <c r="B98" i="1"/>
  <c r="E12" i="1"/>
  <c r="B91" i="1"/>
  <c r="B92" i="1" s="1"/>
  <c r="B89" i="1"/>
  <c r="B84" i="1"/>
  <c r="E72" i="1" l="1"/>
  <c r="E74" i="1"/>
  <c r="E73" i="1"/>
  <c r="C81" i="1"/>
  <c r="B79" i="1"/>
  <c r="B78" i="1"/>
  <c r="B74" i="1"/>
  <c r="B72" i="1"/>
  <c r="B73" i="1" s="1"/>
  <c r="B71" i="1"/>
  <c r="E10" i="1"/>
  <c r="E22" i="1"/>
  <c r="H7" i="1" l="1"/>
  <c r="H6" i="1"/>
  <c r="H4" i="1"/>
  <c r="H10" i="1" s="1"/>
  <c r="E8" i="1"/>
  <c r="E7" i="1"/>
  <c r="B8" i="1"/>
  <c r="E3" i="1"/>
  <c r="B70" i="1" s="1"/>
  <c r="D32" i="1"/>
  <c r="D34" i="1"/>
  <c r="D35" i="1"/>
  <c r="D38" i="1"/>
  <c r="D39" i="1"/>
  <c r="D40" i="1"/>
  <c r="D43" i="1"/>
  <c r="D46" i="1"/>
  <c r="D49" i="1"/>
  <c r="D50" i="1"/>
  <c r="D54" i="1"/>
  <c r="D56" i="1"/>
  <c r="D57" i="1"/>
  <c r="D58" i="1"/>
  <c r="D59" i="1"/>
  <c r="D60" i="1"/>
  <c r="D61" i="1"/>
  <c r="D62" i="1"/>
  <c r="D63" i="1"/>
  <c r="D64" i="1"/>
  <c r="D65" i="1"/>
  <c r="D66" i="1"/>
  <c r="D67" i="1"/>
  <c r="D31" i="1"/>
  <c r="B76" i="1" l="1"/>
  <c r="D76" i="1" s="1"/>
  <c r="B100" i="1"/>
  <c r="B12" i="1"/>
  <c r="B59" i="1" s="1"/>
  <c r="B9" i="1"/>
  <c r="B75" i="1"/>
  <c r="D75" i="1" s="1"/>
  <c r="E9" i="1"/>
  <c r="B86" i="1"/>
  <c r="H2" i="1"/>
  <c r="E4" i="1"/>
  <c r="E13" i="1" s="1"/>
  <c r="B110" i="1" s="1"/>
  <c r="H8" i="1"/>
  <c r="B82" i="1" s="1"/>
  <c r="B11" i="1"/>
  <c r="B58" i="1" s="1"/>
  <c r="B15" i="1"/>
  <c r="B66" i="1" s="1"/>
  <c r="B33" i="1"/>
  <c r="B41" i="1"/>
  <c r="B31" i="1"/>
  <c r="B56" i="1"/>
  <c r="B55" i="1"/>
  <c r="D55" i="1" s="1"/>
  <c r="B51" i="1"/>
  <c r="D51" i="1" s="1"/>
  <c r="B37" i="1"/>
  <c r="B36" i="1"/>
  <c r="B129" i="1" l="1"/>
  <c r="B125" i="1"/>
  <c r="B112" i="1"/>
  <c r="B111" i="1"/>
  <c r="E5" i="1"/>
  <c r="B85" i="1" s="1"/>
  <c r="B90" i="1" s="1"/>
  <c r="B93" i="1" s="1"/>
  <c r="B94" i="1" s="1"/>
  <c r="B97" i="1"/>
  <c r="B99" i="1"/>
  <c r="B77" i="1"/>
  <c r="B81" i="1" s="1"/>
  <c r="D81" i="1" s="1"/>
  <c r="B54" i="1"/>
  <c r="D37" i="1"/>
  <c r="B53" i="1"/>
  <c r="D53" i="1" s="1"/>
  <c r="D36" i="1"/>
  <c r="B42" i="1"/>
  <c r="D42" i="1" s="1"/>
  <c r="D41" i="1"/>
  <c r="B52" i="1"/>
  <c r="D52" i="1" s="1"/>
  <c r="D33" i="1"/>
  <c r="F59" i="1"/>
  <c r="B47" i="1"/>
  <c r="D47" i="1" s="1"/>
  <c r="F58" i="1"/>
  <c r="F60" i="1"/>
  <c r="F63" i="1"/>
  <c r="B63" i="1" s="1"/>
  <c r="F64" i="1"/>
  <c r="F53" i="1"/>
  <c r="B61" i="1" s="1"/>
  <c r="F65" i="1"/>
  <c r="F54" i="1"/>
  <c r="F55" i="1"/>
  <c r="B65" i="1"/>
  <c r="B48" i="1"/>
  <c r="D48" i="1" s="1"/>
  <c r="B45" i="1"/>
  <c r="D45" i="1" s="1"/>
  <c r="B44" i="1"/>
  <c r="D44" i="1" s="1"/>
  <c r="B115" i="1" l="1"/>
  <c r="B117" i="1"/>
  <c r="B122" i="1" s="1"/>
  <c r="B128" i="1"/>
  <c r="B127" i="1"/>
  <c r="B118" i="1"/>
  <c r="B116" i="1"/>
  <c r="B101" i="1"/>
  <c r="B102" i="1" s="1"/>
  <c r="B80" i="1"/>
  <c r="B62" i="1"/>
  <c r="B106" i="1" l="1"/>
  <c r="B107" i="1" s="1"/>
  <c r="B121" i="1" s="1"/>
  <c r="B105" i="1"/>
</calcChain>
</file>

<file path=xl/sharedStrings.xml><?xml version="1.0" encoding="utf-8"?>
<sst xmlns="http://schemas.openxmlformats.org/spreadsheetml/2006/main" count="160" uniqueCount="152">
  <si>
    <t>h (mm)</t>
  </si>
  <si>
    <t>b (mm)</t>
  </si>
  <si>
    <t>tf (mm)</t>
  </si>
  <si>
    <t>tw (mm)</t>
  </si>
  <si>
    <t>r (mm)</t>
  </si>
  <si>
    <t>A (cm2)</t>
  </si>
  <si>
    <t>Av (cm2)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</si>
  <si>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</si>
  <si>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</si>
  <si>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</si>
  <si>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</si>
  <si>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</si>
  <si>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</si>
  <si>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</si>
  <si>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</si>
  <si>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</si>
  <si>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</si>
  <si>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</si>
  <si>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</si>
  <si>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</si>
  <si>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</si>
  <si>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</si>
  <si>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</si>
  <si>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</si>
  <si>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</si>
  <si>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</si>
  <si>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</si>
  <si>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</si>
  <si>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</si>
  <si>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</si>
  <si>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</si>
  <si>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</si>
  <si>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</si>
  <si>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</si>
  <si>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</si>
  <si>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</si>
  <si>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</si>
  <si>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</si>
  <si>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</si>
  <si>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</si>
  <si>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</si>
  <si>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</si>
  <si>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</si>
  <si>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</si>
  <si>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</si>
  <si>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</si>
  <si>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</si>
  <si>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</si>
  <si>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</si>
  <si>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</si>
  <si>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</si>
  <si>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</si>
  <si>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</si>
  <si>
    <t>Val ref</t>
  </si>
  <si>
    <t>Ecart (%)</t>
  </si>
  <si>
    <t>Données acier seul</t>
  </si>
  <si>
    <t>Données enrobage</t>
  </si>
  <si>
    <t>bc/bf</t>
  </si>
  <si>
    <t>bc (mm)</t>
  </si>
  <si>
    <t>Ace (cm2)</t>
  </si>
  <si>
    <t>h0 (mm)</t>
  </si>
  <si>
    <t>fcm (MPa)</t>
  </si>
  <si>
    <t>fck (MPa)</t>
  </si>
  <si>
    <t>fctm (MPa)</t>
  </si>
  <si>
    <t>Ecm (MPa)</t>
  </si>
  <si>
    <t>Données dalle</t>
  </si>
  <si>
    <t>Données bac</t>
  </si>
  <si>
    <t>Type</t>
  </si>
  <si>
    <t>Perpendiculaire</t>
  </si>
  <si>
    <t>hp (mm)</t>
  </si>
  <si>
    <t>hpg (mm)</t>
  </si>
  <si>
    <t>ep (mm)</t>
  </si>
  <si>
    <t>bt (mm)</t>
  </si>
  <si>
    <t>bb (mm)</t>
  </si>
  <si>
    <t>tp (mm)</t>
  </si>
  <si>
    <t>fyp (MPa)</t>
  </si>
  <si>
    <t>tc (mm)</t>
  </si>
  <si>
    <t>td (mm)</t>
  </si>
  <si>
    <t>bm (mm)</t>
  </si>
  <si>
    <t xml:space="preserve">Propriétés élastiques </t>
  </si>
  <si>
    <t>n</t>
  </si>
  <si>
    <t>As,inf (cm2)</t>
  </si>
  <si>
    <t>zs,inf (mm)</t>
  </si>
  <si>
    <t>Acr (mm2)</t>
  </si>
  <si>
    <t>kr</t>
  </si>
  <si>
    <t>bp (mm)</t>
  </si>
  <si>
    <t>zcr (mm)</t>
  </si>
  <si>
    <t>za (mm)</t>
  </si>
  <si>
    <t>A0 (mm2)</t>
  </si>
  <si>
    <t>B0 (mm3)</t>
  </si>
  <si>
    <t>zel (mm)</t>
  </si>
  <si>
    <t>zel,min (mm)</t>
  </si>
  <si>
    <t>zel,max (mm)</t>
  </si>
  <si>
    <t>Condition respectée ?</t>
  </si>
  <si>
    <t>Ih,y (cm4)</t>
  </si>
  <si>
    <t>n0</t>
  </si>
  <si>
    <t>psiL</t>
  </si>
  <si>
    <t>Multiplicateur de fluage</t>
  </si>
  <si>
    <t>CP</t>
  </si>
  <si>
    <t>Retrait</t>
  </si>
  <si>
    <t>RH</t>
  </si>
  <si>
    <t>phi RH</t>
  </si>
  <si>
    <t>beta(fcm)</t>
  </si>
  <si>
    <t>t0 (j)</t>
  </si>
  <si>
    <t>t (j)</t>
  </si>
  <si>
    <t>beta (t0)</t>
  </si>
  <si>
    <t>phi0</t>
  </si>
  <si>
    <t>beta H</t>
  </si>
  <si>
    <t>beta c(t,t0)</t>
  </si>
  <si>
    <t>phi(t,t0)</t>
  </si>
  <si>
    <t>nL</t>
  </si>
  <si>
    <t>Propriétés plastiques</t>
  </si>
  <si>
    <t>Nw (kN)</t>
  </si>
  <si>
    <t>dw (mm)</t>
  </si>
  <si>
    <t>Ns (kN)</t>
  </si>
  <si>
    <t>fyd (MPa)</t>
  </si>
  <si>
    <t>Ncw (kN)</t>
  </si>
  <si>
    <t>Ncr (kN)</t>
  </si>
  <si>
    <t>p</t>
  </si>
  <si>
    <t>zpl (mm)</t>
  </si>
  <si>
    <t>zpl,min (mm)</t>
  </si>
  <si>
    <t>zpl,max (mm)</t>
  </si>
  <si>
    <t>hc (mm)</t>
  </si>
  <si>
    <t>Mpl,Rd (kN.m)</t>
  </si>
  <si>
    <t>qProfilé (kN/ml)</t>
  </si>
  <si>
    <t>qEnrobage</t>
  </si>
  <si>
    <t>b (m)</t>
  </si>
  <si>
    <t>mu (kg/m2)</t>
  </si>
  <si>
    <t>qBac (kN/ml)</t>
  </si>
  <si>
    <t>qDalle (kN/m)</t>
  </si>
  <si>
    <t>qPP (kN/ml)</t>
  </si>
  <si>
    <t>M(G1) (kN.m)</t>
  </si>
  <si>
    <t>V(G1) (kN)</t>
  </si>
  <si>
    <t>Analyse</t>
  </si>
  <si>
    <t>Vérification</t>
  </si>
  <si>
    <t>V(Qc) (kN)</t>
  </si>
  <si>
    <t>M (Qc) (kN.m)</t>
  </si>
  <si>
    <t>V(ELS) (kN)</t>
  </si>
  <si>
    <t>M(ELS) (kN.m)</t>
  </si>
  <si>
    <t>V(ELU) (kN)</t>
  </si>
  <si>
    <t>M (ELU) (kN.m)</t>
  </si>
  <si>
    <t>Critere M</t>
  </si>
  <si>
    <t>Critere V</t>
  </si>
  <si>
    <t>f(G1) (mm)</t>
  </si>
  <si>
    <t>f (Qc)</t>
  </si>
  <si>
    <t>Calcul sur RDM7</t>
  </si>
  <si>
    <t>f (ELS) (mm)</t>
  </si>
  <si>
    <t>f (G+0,2Q) (mm)</t>
  </si>
  <si>
    <t>f (Hz)</t>
  </si>
  <si>
    <t>MbRd (kN.m)</t>
  </si>
  <si>
    <t>Critere LT</t>
  </si>
  <si>
    <t>Valeur issue de l'article RCM 2023 n°3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</si>
</sst>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  <numFmt numFmtId="167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2" fillId="0" borderId="0" xfId="0" applyFont="1"/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66" fontId="0" fillId="0" borderId="0" xfId="1" applyNumberFormat="1" applyFont="1" applyFill="1"/>
    <xf numFmtId="165" fontId="0" fillId="0" borderId="0" xfId="1" applyNumberFormat="1" applyFont="1"/>
    <xf numFmtId="166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3" fillId="0" borderId="0" xfId="0" applyFont="1"/>
    <xf numFmtId="167" fontId="0" fillId="0" borderId="0" xfId="0" applyNumberFormat="1"/>
    <xf numFmtId="2" fontId="0" fillId="0" borderId="0" xfId="0" applyNumberFormat="1"/>
    <xf numFmtId="167" fontId="0" fillId="2" borderId="0" xfId="0" applyNumberForma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6" xfId="0" applyBorder="1"/>
    <xf numFmtId="167" fontId="0" fillId="0" borderId="0" xfId="0" applyNumberFormat="1" applyFill="1"/>
    <xf numFmtId="2" fontId="0" fillId="2" borderId="0" xfId="0" applyNumberFormat="1" applyFill="1"/>
    <xf numFmtId="164" fontId="0" fillId="2" borderId="0" xfId="0" applyNumberFormat="1" applyFill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topLeftCell="A105" workbookViewId="0">
      <selection activeCell="C124" sqref="C124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4"/>
    <col min="4" max="4" width="12.5703125" bestFit="1" customWidth="1"/>
    <col min="5" max="5" width="21.7109375" bestFit="1" customWidth="1"/>
    <col min="7" max="7" width="13.5703125" bestFit="1" customWidth="1"/>
  </cols>
  <sheetData>
    <row r="1" spans="1:8" ht="15.75" thickBot="1" x14ac:dyDescent="0.3">
      <c r="A1" s="28" t="s">
        <v>55</v>
      </c>
      <c r="B1" s="29"/>
      <c r="C1"/>
      <c r="D1" s="28" t="s">
        <v>56</v>
      </c>
      <c r="E1" s="29"/>
      <c r="F1" s="24"/>
      <c r="G1" s="28" t="s">
        <v>65</v>
      </c>
      <c r="H1" s="29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2*_tc*(1+_hp*_bm/(_ep*_tc))</f>
        <v>209.67149758454107</v>
      </c>
    </row>
    <row r="3" spans="1:8" x14ac:dyDescent="0.25">
      <c r="A3" t="s">
        <v>0</v>
      </c>
      <c r="B3" s="1">
        <v>497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</v>
      </c>
      <c r="B4" s="1">
        <v>200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2</v>
      </c>
      <c r="B5" s="1">
        <v>14.5</v>
      </c>
      <c r="C5"/>
      <c r="D5" t="s">
        <v>60</v>
      </c>
      <c r="E5" s="23">
        <f>_Ace*100/_hw</f>
        <v>190.74786324786325</v>
      </c>
      <c r="G5" t="s">
        <v>62</v>
      </c>
      <c r="H5" s="1">
        <v>25</v>
      </c>
    </row>
    <row r="6" spans="1:8" x14ac:dyDescent="0.25">
      <c r="A6" t="s">
        <v>3</v>
      </c>
      <c r="B6" s="1">
        <v>8.4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4</v>
      </c>
      <c r="B7" s="1">
        <v>21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32</v>
      </c>
      <c r="B8" s="6">
        <f>_h-2*_tf</f>
        <v>468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113</v>
      </c>
      <c r="B9" s="6">
        <f>_hw-2*_r</f>
        <v>426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B10" s="6"/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x14ac:dyDescent="0.25">
      <c r="A11" t="s">
        <v>37</v>
      </c>
      <c r="B11" s="6">
        <f>(_b-2*_r-_tw)/2</f>
        <v>74.8</v>
      </c>
      <c r="C11"/>
      <c r="D11" t="s">
        <v>82</v>
      </c>
      <c r="E11" s="1">
        <v>422.5</v>
      </c>
    </row>
    <row r="12" spans="1:8" x14ac:dyDescent="0.25">
      <c r="A12" t="s">
        <v>38</v>
      </c>
      <c r="B12" s="6">
        <f>_hw-2*_r</f>
        <v>426</v>
      </c>
      <c r="C12"/>
      <c r="D12" t="s">
        <v>115</v>
      </c>
      <c r="E12" s="23">
        <f>500/1.15</f>
        <v>434.78260869565219</v>
      </c>
    </row>
    <row r="13" spans="1:8" x14ac:dyDescent="0.25">
      <c r="C13"/>
      <c r="D13" t="s">
        <v>125</v>
      </c>
      <c r="E13" s="26">
        <f>_Ace*10^(-4)*2500*9.81/1000</f>
        <v>2.1893467500000003</v>
      </c>
    </row>
    <row r="14" spans="1:8" ht="15.75" thickBot="1" x14ac:dyDescent="0.3">
      <c r="A14" t="s">
        <v>8</v>
      </c>
      <c r="B14" s="1">
        <v>355</v>
      </c>
      <c r="C14"/>
    </row>
    <row r="15" spans="1:8" ht="15.75" thickBot="1" x14ac:dyDescent="0.3">
      <c r="A15" t="s">
        <v>33</v>
      </c>
      <c r="B15" s="14">
        <f>SQRT(235/_fy)</f>
        <v>0.81361651346682706</v>
      </c>
      <c r="C15"/>
      <c r="D15" s="28" t="s">
        <v>66</v>
      </c>
      <c r="E15" s="29"/>
    </row>
    <row r="16" spans="1:8" x14ac:dyDescent="0.25">
      <c r="B16" s="6"/>
      <c r="C16"/>
      <c r="D16" t="s">
        <v>67</v>
      </c>
      <c r="E16" s="1" t="s">
        <v>68</v>
      </c>
    </row>
    <row r="17" spans="1:5" x14ac:dyDescent="0.25">
      <c r="A17" t="s">
        <v>23</v>
      </c>
      <c r="B17" s="1">
        <v>7850</v>
      </c>
      <c r="C17"/>
      <c r="D17" t="s">
        <v>69</v>
      </c>
      <c r="E17" s="1">
        <v>58</v>
      </c>
    </row>
    <row r="18" spans="1:5" x14ac:dyDescent="0.25">
      <c r="A18" t="s">
        <v>124</v>
      </c>
      <c r="B18" s="35">
        <f>_rho*_A*10^(-4)*9.81/1000</f>
        <v>0.78009610500000004</v>
      </c>
      <c r="C18"/>
      <c r="D18" t="s">
        <v>70</v>
      </c>
      <c r="E18" s="1">
        <v>58</v>
      </c>
    </row>
    <row r="19" spans="1:5" x14ac:dyDescent="0.25">
      <c r="B19" s="6"/>
      <c r="C19"/>
      <c r="D19" t="s">
        <v>71</v>
      </c>
      <c r="E19" s="1">
        <v>207</v>
      </c>
    </row>
    <row r="20" spans="1:5" x14ac:dyDescent="0.25">
      <c r="B20" s="6"/>
      <c r="C20"/>
      <c r="D20" t="s">
        <v>72</v>
      </c>
      <c r="E20" s="1">
        <v>101</v>
      </c>
    </row>
    <row r="21" spans="1:5" x14ac:dyDescent="0.25">
      <c r="B21" s="6"/>
      <c r="C21"/>
      <c r="D21" t="s">
        <v>73</v>
      </c>
      <c r="E21" s="1">
        <v>62</v>
      </c>
    </row>
    <row r="22" spans="1:5" x14ac:dyDescent="0.25">
      <c r="B22" s="6"/>
      <c r="C22"/>
      <c r="D22" t="s">
        <v>78</v>
      </c>
      <c r="E22">
        <f>(E20+E21)/2</f>
        <v>81.5</v>
      </c>
    </row>
    <row r="23" spans="1:5" x14ac:dyDescent="0.25">
      <c r="B23" s="6"/>
      <c r="C23"/>
      <c r="D23" t="s">
        <v>74</v>
      </c>
      <c r="E23" s="1">
        <v>1</v>
      </c>
    </row>
    <row r="24" spans="1:5" x14ac:dyDescent="0.25">
      <c r="B24" s="6"/>
      <c r="C24"/>
      <c r="D24" t="s">
        <v>75</v>
      </c>
      <c r="E24" s="1">
        <v>350</v>
      </c>
    </row>
    <row r="25" spans="1:5" x14ac:dyDescent="0.25">
      <c r="B25" s="6"/>
      <c r="C25"/>
      <c r="D25" t="s">
        <v>127</v>
      </c>
      <c r="E25" s="1">
        <v>11.37</v>
      </c>
    </row>
    <row r="26" spans="1:5" x14ac:dyDescent="0.25">
      <c r="B26" s="6"/>
      <c r="C26"/>
      <c r="D26" t="s">
        <v>128</v>
      </c>
      <c r="E26" s="25">
        <f>E25*H9*9.81/1000</f>
        <v>0.27884924999999999</v>
      </c>
    </row>
    <row r="27" spans="1:5" x14ac:dyDescent="0.25">
      <c r="B27" s="6"/>
      <c r="C27"/>
    </row>
    <row r="28" spans="1:5" x14ac:dyDescent="0.25">
      <c r="B28" s="2" t="s">
        <v>11</v>
      </c>
      <c r="C28"/>
    </row>
    <row r="29" spans="1:5" ht="15.75" thickBot="1" x14ac:dyDescent="0.3">
      <c r="C29"/>
    </row>
    <row r="30" spans="1:5" ht="15.75" thickBot="1" x14ac:dyDescent="0.3">
      <c r="A30" s="28" t="s">
        <v>7</v>
      </c>
      <c r="B30" s="29"/>
      <c r="C30" s="24" t="s">
        <v>53</v>
      </c>
      <c r="D30" t="s">
        <v>54</v>
      </c>
    </row>
    <row r="31" spans="1:5" x14ac:dyDescent="0.25">
      <c r="A31" s="7" t="s">
        <v>24</v>
      </c>
      <c r="B31" s="8">
        <f>(2*(_h-2*_r)+2*_b+2*(_b-2*_r-_tw)+2*PI()*_r)/10</f>
        <v>174.11468914507714</v>
      </c>
      <c r="D31" t="str">
        <f>IF(C31&lt;&gt;"",(B31/C31-1)*100,"")</f>
        <v/>
      </c>
    </row>
    <row r="32" spans="1:5" x14ac:dyDescent="0.25">
      <c r="A32" t="s">
        <v>5</v>
      </c>
      <c r="B32" s="4">
        <v>101.3</v>
      </c>
      <c r="C32" s="24">
        <v>101.1</v>
      </c>
      <c r="D32" s="26">
        <f t="shared" ref="D32:D67" si="0">IF(C32&lt;&gt;"",(B32/C32-1)*100,"")</f>
        <v>0.19782393669633969</v>
      </c>
    </row>
    <row r="33" spans="1:4" x14ac:dyDescent="0.25">
      <c r="A33" t="s">
        <v>6</v>
      </c>
      <c r="B33" s="5">
        <f>B32-2*_b*_tf/100+2*(_tw+2*_r)*_tf/2/100</f>
        <v>50.607999999999997</v>
      </c>
      <c r="C33" s="24">
        <v>50.4</v>
      </c>
      <c r="D33" s="26">
        <f t="shared" si="0"/>
        <v>0.41269841269842011</v>
      </c>
    </row>
    <row r="34" spans="1:4" x14ac:dyDescent="0.25">
      <c r="A34" t="s">
        <v>9</v>
      </c>
      <c r="B34" s="4">
        <v>43014.311000000002</v>
      </c>
      <c r="C34" s="24">
        <v>42933</v>
      </c>
      <c r="D34" s="26">
        <f t="shared" si="0"/>
        <v>0.18939044557799711</v>
      </c>
    </row>
    <row r="35" spans="1:4" x14ac:dyDescent="0.25">
      <c r="A35" t="s">
        <v>10</v>
      </c>
      <c r="B35" s="4">
        <v>1939.511</v>
      </c>
      <c r="C35" s="24">
        <v>1936</v>
      </c>
      <c r="D35" s="26">
        <f t="shared" si="0"/>
        <v>0.18135330578512576</v>
      </c>
    </row>
    <row r="36" spans="1:4" x14ac:dyDescent="0.25">
      <c r="A36" t="s">
        <v>12</v>
      </c>
      <c r="B36" s="5">
        <f>B34/(_h/2/10)</f>
        <v>1730.9581891348089</v>
      </c>
      <c r="C36" s="24">
        <v>1728</v>
      </c>
      <c r="D36" s="26">
        <f t="shared" si="0"/>
        <v>0.17119150085700419</v>
      </c>
    </row>
    <row r="37" spans="1:4" x14ac:dyDescent="0.25">
      <c r="A37" t="s">
        <v>13</v>
      </c>
      <c r="B37" s="5">
        <f>B35/(_b/2/10)</f>
        <v>193.9511</v>
      </c>
      <c r="C37" s="24">
        <v>193.6</v>
      </c>
      <c r="D37" s="26">
        <f t="shared" si="0"/>
        <v>0.18135330578512576</v>
      </c>
    </row>
    <row r="38" spans="1:4" x14ac:dyDescent="0.25">
      <c r="A38" t="s">
        <v>14</v>
      </c>
      <c r="B38" s="4">
        <v>1949.546</v>
      </c>
      <c r="C38" s="24">
        <v>1946</v>
      </c>
      <c r="D38" s="26">
        <f t="shared" si="0"/>
        <v>0.18221993833504868</v>
      </c>
    </row>
    <row r="39" spans="1:4" x14ac:dyDescent="0.25">
      <c r="A39" t="s">
        <v>15</v>
      </c>
      <c r="B39" s="4">
        <v>301.74400000000003</v>
      </c>
      <c r="C39" s="24">
        <v>298.3</v>
      </c>
      <c r="D39" s="26">
        <f t="shared" si="0"/>
        <v>1.1545424069728583</v>
      </c>
    </row>
    <row r="40" spans="1:4" x14ac:dyDescent="0.25">
      <c r="B40" s="9"/>
      <c r="D40" s="26" t="str">
        <f t="shared" si="0"/>
        <v/>
      </c>
    </row>
    <row r="41" spans="1:4" x14ac:dyDescent="0.25">
      <c r="A41" t="s">
        <v>27</v>
      </c>
      <c r="B41" s="9">
        <f>_rho*_A/10000</f>
        <v>79.520499999999998</v>
      </c>
      <c r="C41" s="24">
        <v>74.900000000000006</v>
      </c>
      <c r="D41" s="26">
        <f t="shared" si="0"/>
        <v>6.1688918558077344</v>
      </c>
    </row>
    <row r="42" spans="1:4" x14ac:dyDescent="0.25">
      <c r="A42" t="s">
        <v>29</v>
      </c>
      <c r="B42" s="9">
        <f>B41*_L</f>
        <v>994.00625000000002</v>
      </c>
      <c r="C42" s="24">
        <v>992</v>
      </c>
      <c r="D42" s="26">
        <f t="shared" si="0"/>
        <v>0.20224294354838079</v>
      </c>
    </row>
    <row r="43" spans="1:4" x14ac:dyDescent="0.25">
      <c r="B43" s="9"/>
      <c r="D43" s="26" t="str">
        <f t="shared" si="0"/>
        <v/>
      </c>
    </row>
    <row r="44" spans="1:4" x14ac:dyDescent="0.25">
      <c r="A44" t="s">
        <v>30</v>
      </c>
      <c r="B44" s="11">
        <f>B31*_L*100</f>
        <v>217643.36143134642</v>
      </c>
      <c r="C44" s="24">
        <v>217643</v>
      </c>
      <c r="D44" s="26">
        <f t="shared" si="0"/>
        <v>1.6606614796632613E-4</v>
      </c>
    </row>
    <row r="45" spans="1:4" x14ac:dyDescent="0.25">
      <c r="A45" t="s">
        <v>31</v>
      </c>
      <c r="B45" s="11">
        <f>(B31-_b/10)*_L*100</f>
        <v>192643.36143134642</v>
      </c>
      <c r="C45" s="24">
        <v>192643</v>
      </c>
      <c r="D45" s="26">
        <f t="shared" si="0"/>
        <v>1.8761717084370133E-4</v>
      </c>
    </row>
    <row r="46" spans="1:4" x14ac:dyDescent="0.25">
      <c r="B46" s="9"/>
      <c r="D46" s="26" t="str">
        <f t="shared" si="0"/>
        <v/>
      </c>
    </row>
    <row r="47" spans="1:4" x14ac:dyDescent="0.25">
      <c r="A47" t="s">
        <v>25</v>
      </c>
      <c r="B47" s="9">
        <f>B31/_A*100</f>
        <v>171.88024594775629</v>
      </c>
      <c r="C47" s="24">
        <v>172.2</v>
      </c>
      <c r="D47" s="26">
        <f t="shared" si="0"/>
        <v>-0.18568760292897446</v>
      </c>
    </row>
    <row r="48" spans="1:4" x14ac:dyDescent="0.25">
      <c r="A48" t="s">
        <v>26</v>
      </c>
      <c r="B48" s="9">
        <f>(B31-_b/10)/_A*100</f>
        <v>152.13690932386689</v>
      </c>
      <c r="C48" s="24">
        <v>152.4</v>
      </c>
      <c r="D48" s="26">
        <f t="shared" si="0"/>
        <v>-0.17263167725269923</v>
      </c>
    </row>
    <row r="49" spans="1:6" ht="15.75" thickBot="1" x14ac:dyDescent="0.3">
      <c r="D49" s="26" t="str">
        <f t="shared" si="0"/>
        <v/>
      </c>
    </row>
    <row r="50" spans="1:6" ht="15.75" thickBot="1" x14ac:dyDescent="0.3">
      <c r="A50" s="28" t="s">
        <v>16</v>
      </c>
      <c r="B50" s="29"/>
      <c r="D50" s="26" t="str">
        <f t="shared" si="0"/>
        <v/>
      </c>
    </row>
    <row r="51" spans="1:6" x14ac:dyDescent="0.25">
      <c r="A51" t="s">
        <v>17</v>
      </c>
      <c r="B51" s="13">
        <f>_A*100*_fy/1000</f>
        <v>3596.15</v>
      </c>
      <c r="C51" s="24">
        <v>3589</v>
      </c>
      <c r="D51" s="26">
        <f t="shared" si="0"/>
        <v>0.19921983839510382</v>
      </c>
    </row>
    <row r="52" spans="1:6" x14ac:dyDescent="0.25">
      <c r="A52" t="s">
        <v>22</v>
      </c>
      <c r="B52" s="13">
        <f>_Av*100*_fy/(1000*SQRT(3))</f>
        <v>1037.2582560217745</v>
      </c>
      <c r="C52" s="24">
        <v>1033</v>
      </c>
      <c r="D52" s="26">
        <f t="shared" si="0"/>
        <v>0.41222226735473377</v>
      </c>
      <c r="E52" s="30" t="s">
        <v>34</v>
      </c>
      <c r="F52" s="31"/>
    </row>
    <row r="53" spans="1:6" x14ac:dyDescent="0.25">
      <c r="A53" t="s">
        <v>18</v>
      </c>
      <c r="B53" s="13">
        <f>_Wel_y*1000*_fy*10^(-6)</f>
        <v>614.49015714285713</v>
      </c>
      <c r="C53" s="24">
        <v>613</v>
      </c>
      <c r="D53" s="26">
        <f t="shared" si="0"/>
        <v>0.2430925192262956</v>
      </c>
      <c r="E53" s="15" t="s">
        <v>41</v>
      </c>
      <c r="F53" s="17">
        <f>9*_epsilon</f>
        <v>7.3225486212014435</v>
      </c>
    </row>
    <row r="54" spans="1:6" x14ac:dyDescent="0.25">
      <c r="A54" t="s">
        <v>19</v>
      </c>
      <c r="B54" s="13">
        <f>_Wel_z*1000*_fy*10^(-6)</f>
        <v>68.852640499999993</v>
      </c>
      <c r="D54" s="26" t="str">
        <f t="shared" si="0"/>
        <v/>
      </c>
      <c r="E54" s="15" t="s">
        <v>42</v>
      </c>
      <c r="F54" s="17">
        <f>10*_epsilon</f>
        <v>8.1361651346682713</v>
      </c>
    </row>
    <row r="55" spans="1:6" x14ac:dyDescent="0.25">
      <c r="A55" t="s">
        <v>20</v>
      </c>
      <c r="B55" s="13">
        <f>_Wpl_y*1000*_fy*10^(-6)</f>
        <v>692.08882999999992</v>
      </c>
      <c r="C55" s="24">
        <v>691</v>
      </c>
      <c r="D55" s="26">
        <f t="shared" si="0"/>
        <v>0.15757308248913748</v>
      </c>
      <c r="E55" s="16" t="s">
        <v>43</v>
      </c>
      <c r="F55" s="18">
        <f>14*_epsilon</f>
        <v>11.390631188535579</v>
      </c>
    </row>
    <row r="56" spans="1:6" x14ac:dyDescent="0.25">
      <c r="A56" t="s">
        <v>21</v>
      </c>
      <c r="B56" s="13">
        <f>_Wpl_z*1000*_fy*10^(-6)</f>
        <v>107.11912</v>
      </c>
      <c r="D56" s="26" t="str">
        <f t="shared" si="0"/>
        <v/>
      </c>
    </row>
    <row r="57" spans="1:6" x14ac:dyDescent="0.25">
      <c r="B57" s="13"/>
      <c r="D57" s="3" t="str">
        <f t="shared" si="0"/>
        <v/>
      </c>
      <c r="E57" s="21" t="s">
        <v>44</v>
      </c>
      <c r="F57" s="22"/>
    </row>
    <row r="58" spans="1:6" x14ac:dyDescent="0.25">
      <c r="A58" t="s">
        <v>39</v>
      </c>
      <c r="B58" s="12">
        <f>_cf/_tf</f>
        <v>5.1586206896551721</v>
      </c>
      <c r="D58" s="3" t="str">
        <f t="shared" si="0"/>
        <v/>
      </c>
      <c r="E58" s="15" t="s">
        <v>45</v>
      </c>
      <c r="F58" s="19">
        <f>33*_epsilon</f>
        <v>26.849344944405292</v>
      </c>
    </row>
    <row r="59" spans="1:6" x14ac:dyDescent="0.25">
      <c r="A59" t="s">
        <v>40</v>
      </c>
      <c r="B59" s="12">
        <f>_cw/_tw</f>
        <v>50.714285714285715</v>
      </c>
      <c r="D59" s="3" t="str">
        <f t="shared" si="0"/>
        <v/>
      </c>
      <c r="E59" s="15" t="s">
        <v>46</v>
      </c>
      <c r="F59" s="19">
        <f>38*_epsilon</f>
        <v>30.917427511739429</v>
      </c>
    </row>
    <row r="60" spans="1:6" x14ac:dyDescent="0.25">
      <c r="D60" s="3" t="str">
        <f t="shared" si="0"/>
        <v/>
      </c>
      <c r="E60" s="16" t="s">
        <v>47</v>
      </c>
      <c r="F60" s="20">
        <f>42*_epsilon</f>
        <v>34.171893565606737</v>
      </c>
    </row>
    <row r="61" spans="1:6" x14ac:dyDescent="0.25">
      <c r="A61" t="s">
        <v>34</v>
      </c>
      <c r="B61">
        <f>IF(B58&lt;=F53,1,IF(B58&lt;=F54,2,IF(B58&lt;=F55,3,4)))</f>
        <v>1</v>
      </c>
      <c r="D61" s="3" t="str">
        <f t="shared" si="0"/>
        <v/>
      </c>
    </row>
    <row r="62" spans="1:6" x14ac:dyDescent="0.25">
      <c r="A62" t="s">
        <v>35</v>
      </c>
      <c r="B62">
        <f>IF(B59&lt;=F58,1,IF(B59&lt;=F59,2,IF(B59&lt;=F60,3,4)))</f>
        <v>4</v>
      </c>
      <c r="D62" s="3" t="str">
        <f t="shared" si="0"/>
        <v/>
      </c>
      <c r="E62" s="21" t="s">
        <v>48</v>
      </c>
      <c r="F62" s="22"/>
    </row>
    <row r="63" spans="1:6" x14ac:dyDescent="0.25">
      <c r="A63" t="s">
        <v>36</v>
      </c>
      <c r="B63">
        <f>IF(B59&lt;=F63,1,IF(B59&lt;=F64,2,IF(B59&lt;=F65,3,4)))</f>
        <v>1</v>
      </c>
      <c r="D63" s="3" t="str">
        <f t="shared" si="0"/>
        <v/>
      </c>
      <c r="E63" s="15" t="s">
        <v>49</v>
      </c>
      <c r="F63" s="19">
        <f>72*_epsilon</f>
        <v>58.580388969611548</v>
      </c>
    </row>
    <row r="64" spans="1:6" x14ac:dyDescent="0.25">
      <c r="D64" s="3" t="str">
        <f t="shared" si="0"/>
        <v/>
      </c>
      <c r="E64" s="15" t="s">
        <v>50</v>
      </c>
      <c r="F64" s="19">
        <f>83*_epsilon</f>
        <v>67.530170617746649</v>
      </c>
    </row>
    <row r="65" spans="1:6" x14ac:dyDescent="0.25">
      <c r="A65" t="s">
        <v>52</v>
      </c>
      <c r="B65" s="3">
        <f>_hw/_tw</f>
        <v>55.714285714285715</v>
      </c>
      <c r="D65" s="3" t="str">
        <f t="shared" si="0"/>
        <v/>
      </c>
      <c r="E65" s="16" t="s">
        <v>51</v>
      </c>
      <c r="F65" s="20">
        <f>124*_epsilon</f>
        <v>100.88844766988656</v>
      </c>
    </row>
    <row r="66" spans="1:6" x14ac:dyDescent="0.25">
      <c r="A66" t="s">
        <v>51</v>
      </c>
      <c r="B66" s="23">
        <f>124*_epsilon</f>
        <v>100.88844766988656</v>
      </c>
      <c r="D66" s="3" t="str">
        <f t="shared" si="0"/>
        <v/>
      </c>
    </row>
    <row r="67" spans="1:6" ht="15.75" thickBot="1" x14ac:dyDescent="0.3">
      <c r="D67" s="3" t="str">
        <f t="shared" si="0"/>
        <v/>
      </c>
    </row>
    <row r="68" spans="1:6" ht="15.75" thickBot="1" x14ac:dyDescent="0.3">
      <c r="A68" s="28" t="s">
        <v>79</v>
      </c>
      <c r="B68" s="29"/>
    </row>
    <row r="69" spans="1:6" x14ac:dyDescent="0.25">
      <c r="A69" t="s">
        <v>80</v>
      </c>
      <c r="B69">
        <v>6.67</v>
      </c>
    </row>
    <row r="70" spans="1:6" x14ac:dyDescent="0.25">
      <c r="A70" t="s">
        <v>85</v>
      </c>
      <c r="B70">
        <f>_bc-_tw</f>
        <v>191.6</v>
      </c>
    </row>
    <row r="71" spans="1:6" x14ac:dyDescent="0.25">
      <c r="A71" t="s">
        <v>83</v>
      </c>
      <c r="B71" s="26">
        <f>(4-PI())*_r^2/(2*_n)</f>
        <v>28.377634165434873</v>
      </c>
    </row>
    <row r="72" spans="1:6" x14ac:dyDescent="0.25">
      <c r="A72" t="s">
        <v>84</v>
      </c>
      <c r="B72" s="25">
        <f>(10-3*PI())/(12-3*PI())</f>
        <v>0.22336793894575216</v>
      </c>
      <c r="E72">
        <f>(53002/52921-1)*100</f>
        <v>0.15305833223107079</v>
      </c>
    </row>
    <row r="73" spans="1:6" x14ac:dyDescent="0.25">
      <c r="A73" t="s">
        <v>86</v>
      </c>
      <c r="B73">
        <f>_tf+_kr*_r</f>
        <v>19.190726717860795</v>
      </c>
      <c r="E73">
        <f>(47200/47128-1)*100</f>
        <v>0.15277542013241163</v>
      </c>
    </row>
    <row r="74" spans="1:6" x14ac:dyDescent="0.25">
      <c r="A74" t="s">
        <v>87</v>
      </c>
      <c r="B74">
        <f>_h/2</f>
        <v>248.5</v>
      </c>
      <c r="E74">
        <f>(47083/47005-1)*100</f>
        <v>0.16593979363896949</v>
      </c>
    </row>
    <row r="75" spans="1:6" x14ac:dyDescent="0.25">
      <c r="A75" t="s">
        <v>88</v>
      </c>
      <c r="B75" s="23">
        <f>_A*100+_As_inf*100-_Acr-_bp*_tf/_n</f>
        <v>10011.826262677469</v>
      </c>
      <c r="C75" s="24">
        <v>9998</v>
      </c>
      <c r="D75">
        <f>(B75/C75-1)*100</f>
        <v>0.13829028483165473</v>
      </c>
    </row>
    <row r="76" spans="1:6" x14ac:dyDescent="0.25">
      <c r="A76" t="s">
        <v>89</v>
      </c>
      <c r="B76" s="23">
        <f>_A*100*_za+_As_inf*100*_zs_inf-_Acr*_zcr-_bp*_tf^2/(2*_n)</f>
        <v>2651782.2111678715</v>
      </c>
      <c r="C76" s="24">
        <v>2646805</v>
      </c>
      <c r="D76">
        <f>(B76/C76-1)*100</f>
        <v>0.18804600897577295</v>
      </c>
    </row>
    <row r="77" spans="1:6" x14ac:dyDescent="0.25">
      <c r="A77" t="s">
        <v>90</v>
      </c>
      <c r="B77" s="3">
        <f>_n*_A0/_bp*(-1+SQRT(1+2*_bp*_B0/(_n*_A0^2)))</f>
        <v>204.73330249305826</v>
      </c>
    </row>
    <row r="78" spans="1:6" x14ac:dyDescent="0.25">
      <c r="A78" t="s">
        <v>91</v>
      </c>
      <c r="B78">
        <f>_tf+_r</f>
        <v>35.5</v>
      </c>
    </row>
    <row r="79" spans="1:6" x14ac:dyDescent="0.25">
      <c r="A79" t="s">
        <v>92</v>
      </c>
      <c r="B79">
        <f>_zs_inf</f>
        <v>422.5</v>
      </c>
    </row>
    <row r="80" spans="1:6" x14ac:dyDescent="0.25">
      <c r="A80" t="s">
        <v>93</v>
      </c>
      <c r="B80" t="b">
        <f>IF(B78&lt;=_zel,IF(_zel&lt;=B79,TRUE,FALSE),FALSE)</f>
        <v>1</v>
      </c>
    </row>
    <row r="81" spans="1:6" x14ac:dyDescent="0.25">
      <c r="A81" t="s">
        <v>94</v>
      </c>
      <c r="B81">
        <f>(_Iy*10^4+_A*100*(_za-_zel)^2+_As_inf*100*(_zs_inf-_zel)^2+_bp*(_zel-_tf)^3/(3*_n)-_Acr*(_zcr-_zel)^2)*10^(-4)</f>
        <v>52998.314147422454</v>
      </c>
      <c r="C81" s="24">
        <f>52814</f>
        <v>52814</v>
      </c>
      <c r="D81">
        <f>(B81/C81-1)*100</f>
        <v>0.34898729015497842</v>
      </c>
    </row>
    <row r="82" spans="1:6" x14ac:dyDescent="0.25">
      <c r="A82" t="s">
        <v>95</v>
      </c>
      <c r="B82" s="26">
        <f>210000/_Ecm_dalle</f>
        <v>6.6717909812633494</v>
      </c>
    </row>
    <row r="83" spans="1:6" x14ac:dyDescent="0.25">
      <c r="A83" t="s">
        <v>96</v>
      </c>
      <c r="B83" s="1">
        <v>1.1000000000000001</v>
      </c>
      <c r="E83" s="21" t="s">
        <v>97</v>
      </c>
      <c r="F83" s="22"/>
    </row>
    <row r="84" spans="1:6" x14ac:dyDescent="0.25">
      <c r="A84" t="s">
        <v>100</v>
      </c>
      <c r="B84" s="1">
        <f>50/100</f>
        <v>0.5</v>
      </c>
      <c r="E84" s="32" t="s">
        <v>98</v>
      </c>
      <c r="F84" s="33">
        <v>1.1000000000000001</v>
      </c>
    </row>
    <row r="85" spans="1:6" x14ac:dyDescent="0.25">
      <c r="A85" t="s">
        <v>101</v>
      </c>
      <c r="B85" s="25">
        <f>IF(E6&lt;=35,1+(1-B84)/(0.1*E5^(1/3)),FALSE)</f>
        <v>1.8685939040970632</v>
      </c>
      <c r="E85" s="16" t="s">
        <v>99</v>
      </c>
      <c r="F85" s="34">
        <v>0.55000000000000004</v>
      </c>
    </row>
    <row r="86" spans="1:6" x14ac:dyDescent="0.25">
      <c r="A86" t="s">
        <v>102</v>
      </c>
      <c r="B86" s="25">
        <f>16.8/SQRT(_fcm_enrobage)</f>
        <v>2.9245046200557239</v>
      </c>
    </row>
    <row r="87" spans="1:6" x14ac:dyDescent="0.25">
      <c r="A87" t="s">
        <v>103</v>
      </c>
      <c r="B87">
        <v>56</v>
      </c>
    </row>
    <row r="88" spans="1:6" x14ac:dyDescent="0.25">
      <c r="A88" t="s">
        <v>104</v>
      </c>
      <c r="B88">
        <v>18250</v>
      </c>
    </row>
    <row r="89" spans="1:6" x14ac:dyDescent="0.25">
      <c r="A89" t="s">
        <v>105</v>
      </c>
      <c r="B89" s="25">
        <f>1/(0.1+B87^0.2)</f>
        <v>0.42792578098028256</v>
      </c>
    </row>
    <row r="90" spans="1:6" x14ac:dyDescent="0.25">
      <c r="A90" t="s">
        <v>106</v>
      </c>
      <c r="B90" s="26">
        <f>B85*B86*B89</f>
        <v>2.3384909388400645</v>
      </c>
    </row>
    <row r="91" spans="1:6" x14ac:dyDescent="0.25">
      <c r="A91" t="s">
        <v>107</v>
      </c>
      <c r="B91" s="3">
        <f>IF(_fck_enrobage&lt;=25,MIN(1.5*(1+(0.012*B84*100)^18+250),1500),FALSE)</f>
        <v>376.50015233993503</v>
      </c>
    </row>
    <row r="92" spans="1:6" x14ac:dyDescent="0.25">
      <c r="A92" t="s">
        <v>108</v>
      </c>
      <c r="B92" s="26">
        <f>((B88-B87)/(B91+B88-B87))^0.3</f>
        <v>0.9938741085684526</v>
      </c>
    </row>
    <row r="93" spans="1:6" x14ac:dyDescent="0.25">
      <c r="A93" t="s">
        <v>109</v>
      </c>
      <c r="B93" s="25">
        <f>B90*B92</f>
        <v>2.3241655972350728</v>
      </c>
    </row>
    <row r="94" spans="1:6" x14ac:dyDescent="0.25">
      <c r="A94" t="s">
        <v>110</v>
      </c>
      <c r="B94" s="26">
        <f>B82*(1+B83*B93)</f>
        <v>23.728772758918403</v>
      </c>
    </row>
    <row r="95" spans="1:6" ht="15.75" thickBot="1" x14ac:dyDescent="0.3"/>
    <row r="96" spans="1:6" ht="15.75" thickBot="1" x14ac:dyDescent="0.3">
      <c r="A96" s="28" t="s">
        <v>111</v>
      </c>
      <c r="B96" s="29"/>
    </row>
    <row r="97" spans="1:4" x14ac:dyDescent="0.25">
      <c r="A97" t="s">
        <v>112</v>
      </c>
      <c r="B97">
        <f>_dw*_tw*_fy/1000</f>
        <v>1270.3320000000001</v>
      </c>
    </row>
    <row r="98" spans="1:4" x14ac:dyDescent="0.25">
      <c r="A98" t="s">
        <v>114</v>
      </c>
      <c r="B98" s="23">
        <f>_As_inf*100*_fyd/1000</f>
        <v>142.05462433623416</v>
      </c>
    </row>
    <row r="99" spans="1:4" x14ac:dyDescent="0.25">
      <c r="A99" t="s">
        <v>116</v>
      </c>
      <c r="B99" s="23">
        <f>0.85*_dw*_bp*_fck_enrobage/(1.5*1000)</f>
        <v>1156.3059999999996</v>
      </c>
    </row>
    <row r="100" spans="1:4" x14ac:dyDescent="0.25">
      <c r="A100" t="s">
        <v>117</v>
      </c>
      <c r="B100" s="3">
        <f>0.85*(_r*_bp-(4-PI())*_r^2/2)*_fck_enrobage/(1.5*1000)</f>
        <v>54.31955005165112</v>
      </c>
    </row>
    <row r="101" spans="1:4" x14ac:dyDescent="0.25">
      <c r="A101" t="s">
        <v>118</v>
      </c>
      <c r="B101" s="26">
        <f>(B97+B98-B100)/(2*B97+B99)</f>
        <v>0.36734598178632322</v>
      </c>
    </row>
    <row r="102" spans="1:4" x14ac:dyDescent="0.25">
      <c r="A102" t="s">
        <v>119</v>
      </c>
      <c r="B102" s="23">
        <f>_tf+_r+B101*_dw</f>
        <v>191.98938824097368</v>
      </c>
    </row>
    <row r="103" spans="1:4" x14ac:dyDescent="0.25">
      <c r="A103" t="s">
        <v>120</v>
      </c>
      <c r="B103">
        <f>_tf+_r</f>
        <v>35.5</v>
      </c>
    </row>
    <row r="104" spans="1:4" x14ac:dyDescent="0.25">
      <c r="A104" t="s">
        <v>121</v>
      </c>
      <c r="B104">
        <f>_zs_inf</f>
        <v>422.5</v>
      </c>
      <c r="D104" s="3"/>
    </row>
    <row r="105" spans="1:4" x14ac:dyDescent="0.25">
      <c r="A105" t="s">
        <v>93</v>
      </c>
      <c r="B105" t="b">
        <f>IF(B103&lt;=_zpl,IF(_zpl&lt;=B104,TRUE,FALSE),FALSE)</f>
        <v>1</v>
      </c>
    </row>
    <row r="106" spans="1:4" x14ac:dyDescent="0.25">
      <c r="A106" t="s">
        <v>122</v>
      </c>
      <c r="B106" s="23">
        <f>_zpl-_tf-_r</f>
        <v>156.48938824097368</v>
      </c>
    </row>
    <row r="107" spans="1:4" x14ac:dyDescent="0.25">
      <c r="A107" t="s">
        <v>123</v>
      </c>
      <c r="B107" s="3">
        <f>((_Wpl_y*10^3-(_h/2-_zpl)^2*_tw)*_fy+B98*1000*(_zs_inf-_h/2)+0.85*B106*_bp*_fck_enrobage/1.5*(_h/2-_tf-_r-B106/2)+B100*1000*(_h/2-_tf-_r/2))*10^(-6)</f>
        <v>776.66314007116341</v>
      </c>
    </row>
    <row r="108" spans="1:4" ht="15.75" thickBot="1" x14ac:dyDescent="0.3"/>
    <row r="109" spans="1:4" ht="15.75" thickBot="1" x14ac:dyDescent="0.3">
      <c r="A109" s="28" t="s">
        <v>133</v>
      </c>
      <c r="B109" s="29"/>
    </row>
    <row r="110" spans="1:4" x14ac:dyDescent="0.25">
      <c r="A110" t="s">
        <v>130</v>
      </c>
      <c r="B110" s="26">
        <f>_qProfile+_qEnrobage+_qBac+_qDalle</f>
        <v>9.6760339528260868</v>
      </c>
    </row>
    <row r="111" spans="1:4" x14ac:dyDescent="0.25">
      <c r="A111" t="s">
        <v>132</v>
      </c>
      <c r="B111" s="3">
        <f>B110*_L/2</f>
        <v>60.475212205163039</v>
      </c>
    </row>
    <row r="112" spans="1:4" x14ac:dyDescent="0.25">
      <c r="A112" t="s">
        <v>131</v>
      </c>
      <c r="B112" s="3">
        <f>B110*_L^2/8</f>
        <v>188.98503814113451</v>
      </c>
    </row>
    <row r="113" spans="1:3" x14ac:dyDescent="0.25">
      <c r="A113" t="s">
        <v>135</v>
      </c>
      <c r="B113" s="3">
        <v>13.3</v>
      </c>
    </row>
    <row r="114" spans="1:3" x14ac:dyDescent="0.25">
      <c r="A114" t="s">
        <v>136</v>
      </c>
      <c r="B114" s="3">
        <v>45.3</v>
      </c>
    </row>
    <row r="115" spans="1:3" x14ac:dyDescent="0.25">
      <c r="A115" t="s">
        <v>137</v>
      </c>
      <c r="B115" s="3">
        <f>B111+B113</f>
        <v>73.775212205163044</v>
      </c>
    </row>
    <row r="116" spans="1:3" x14ac:dyDescent="0.25">
      <c r="A116" t="s">
        <v>138</v>
      </c>
      <c r="B116" s="3">
        <f t="shared" ref="B116" si="1">B112+B114</f>
        <v>234.28503814113452</v>
      </c>
    </row>
    <row r="117" spans="1:3" x14ac:dyDescent="0.25">
      <c r="A117" t="s">
        <v>139</v>
      </c>
      <c r="B117" s="3">
        <f>1.35*B111+1.5*B113</f>
        <v>101.59153647697011</v>
      </c>
    </row>
    <row r="118" spans="1:3" x14ac:dyDescent="0.25">
      <c r="A118" t="s">
        <v>140</v>
      </c>
      <c r="B118" s="3">
        <f>1.35*B112+1.5*B114</f>
        <v>323.07980149053162</v>
      </c>
    </row>
    <row r="119" spans="1:3" ht="15.75" thickBot="1" x14ac:dyDescent="0.3"/>
    <row r="120" spans="1:3" ht="15.75" thickBot="1" x14ac:dyDescent="0.3">
      <c r="A120" s="28" t="s">
        <v>134</v>
      </c>
      <c r="B120" s="29"/>
    </row>
    <row r="121" spans="1:3" x14ac:dyDescent="0.25">
      <c r="A121" t="s">
        <v>141</v>
      </c>
      <c r="B121" s="26">
        <f>B118/B107</f>
        <v>0.41598446587915677</v>
      </c>
    </row>
    <row r="122" spans="1:3" x14ac:dyDescent="0.25">
      <c r="A122" t="s">
        <v>142</v>
      </c>
      <c r="B122" s="26">
        <f>B117/_VplRd</f>
        <v>9.794237441561271E-2</v>
      </c>
    </row>
    <row r="123" spans="1:3" x14ac:dyDescent="0.25">
      <c r="A123" t="s">
        <v>149</v>
      </c>
      <c r="B123" s="36">
        <v>492.5</v>
      </c>
      <c r="C123" s="24" t="s">
        <v>151</v>
      </c>
    </row>
    <row r="124" spans="1:3" x14ac:dyDescent="0.25">
      <c r="A124" t="s">
        <v>150</v>
      </c>
      <c r="B124" s="26">
        <f>B118/B123</f>
        <v>0.65599959693508958</v>
      </c>
    </row>
    <row r="125" spans="1:3" x14ac:dyDescent="0.25">
      <c r="A125" t="s">
        <v>143</v>
      </c>
      <c r="B125" s="3">
        <f>5*B110*(_L*1000)^4/(384*210000*47199*10^(4))</f>
        <v>31.033025872841279</v>
      </c>
    </row>
    <row r="126" spans="1:3" x14ac:dyDescent="0.25">
      <c r="A126" t="s">
        <v>144</v>
      </c>
      <c r="B126" s="37">
        <v>6.476</v>
      </c>
      <c r="C126" s="24" t="s">
        <v>145</v>
      </c>
    </row>
    <row r="127" spans="1:3" x14ac:dyDescent="0.25">
      <c r="A127" t="s">
        <v>146</v>
      </c>
      <c r="B127" s="3">
        <f>B125+B126</f>
        <v>37.509025872841278</v>
      </c>
    </row>
    <row r="128" spans="1:3" x14ac:dyDescent="0.25">
      <c r="A128" t="s">
        <v>147</v>
      </c>
      <c r="B128">
        <f>B125+0.2*B126</f>
        <v>32.32822587284128</v>
      </c>
    </row>
    <row r="129" spans="1:2" x14ac:dyDescent="0.25">
      <c r="A129" t="s">
        <v>148</v>
      </c>
      <c r="B129">
        <f>PI()/2*SQRT(210*52998*10/(B110*1000/9.81*_L*_L^4))</f>
        <v>0.95514662218841706</v>
      </c>
    </row>
  </sheetData>
  <mergeCells count="11">
    <mergeCell ref="A96:B96"/>
    <mergeCell ref="A109:B109"/>
    <mergeCell ref="A120:B120"/>
    <mergeCell ref="G1:H1"/>
    <mergeCell ref="D15:E15"/>
    <mergeCell ref="A68:B68"/>
    <mergeCell ref="A1:B1"/>
    <mergeCell ref="A30:B30"/>
    <mergeCell ref="A50:B50"/>
    <mergeCell ref="E52:F52"/>
    <mergeCell ref="D1:E1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>
      <selection activeCell="D19" sqref="D19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66</vt:i4>
      </vt:variant>
    </vt:vector>
  </HeadingPairs>
  <TitlesOfParts>
    <vt:vector size="68" baseType="lpstr">
      <vt:lpstr>Cas 2</vt:lpstr>
      <vt:lpstr>Cas 3</vt:lpstr>
      <vt:lpstr>'Cas 2'!_A</vt:lpstr>
      <vt:lpstr>'Cas 2'!_A0</vt:lpstr>
      <vt:lpstr>'Cas 2'!_Ace</vt:lpstr>
      <vt:lpstr>'Cas 2'!_Acr</vt:lpstr>
      <vt:lpstr>'Cas 2'!_As_inf</vt:lpstr>
      <vt:lpstr>'Cas 2'!_Av</vt:lpstr>
      <vt:lpstr>'Cas 2'!_b</vt:lpstr>
      <vt:lpstr>'Cas 2'!_B0</vt:lpstr>
      <vt:lpstr>'Cas 2'!_bb</vt:lpstr>
      <vt:lpstr>'Cas 2'!_bc</vt:lpstr>
      <vt:lpstr>'Cas 2'!_bm</vt:lpstr>
      <vt:lpstr>'Cas 2'!_bp</vt:lpstr>
      <vt:lpstr>'Cas 2'!_bt</vt:lpstr>
      <vt:lpstr>'Cas 2'!_cf</vt:lpstr>
      <vt:lpstr>'Cas 2'!_cw</vt:lpstr>
      <vt:lpstr>'Cas 2'!_d</vt:lpstr>
      <vt:lpstr>'Cas 2'!_dw</vt:lpstr>
      <vt:lpstr>'Cas 2'!_Ecm_dalle</vt:lpstr>
      <vt:lpstr>'Cas 2'!_ep</vt:lpstr>
      <vt:lpstr>'Cas 2'!_epsilon</vt:lpstr>
      <vt:lpstr>'Cas 2'!_fck_dalle</vt:lpstr>
      <vt:lpstr>'Cas 2'!_fck_enrobage</vt:lpstr>
      <vt:lpstr>'Cas 2'!_fcm_dalle</vt:lpstr>
      <vt:lpstr>'Cas 2'!_fcm_enrobage</vt:lpstr>
      <vt:lpstr>'Cas 2'!_fctm_dalle</vt:lpstr>
      <vt:lpstr>'Cas 2'!_fctm_enrobage</vt:lpstr>
      <vt:lpstr>'Cas 2'!_fusc</vt:lpstr>
      <vt:lpstr>'Cas 2'!_fy</vt:lpstr>
      <vt:lpstr>_fyd</vt:lpstr>
      <vt:lpstr>'Cas 2'!_fyp</vt:lpstr>
      <vt:lpstr>'Cas 2'!_h</vt:lpstr>
      <vt:lpstr>'Cas 2'!_hp</vt:lpstr>
      <vt:lpstr>'Cas 2'!_hpg</vt:lpstr>
      <vt:lpstr>'Cas 2'!_hsc</vt:lpstr>
      <vt:lpstr>'Cas 2'!_hw</vt:lpstr>
      <vt:lpstr>'Cas 2'!_Iy</vt:lpstr>
      <vt:lpstr>'Cas 2'!_Iz</vt:lpstr>
      <vt:lpstr>_kr</vt:lpstr>
      <vt:lpstr>'Cas 2'!_L</vt:lpstr>
      <vt:lpstr>'Cas 2'!_Mel_y_Rd</vt:lpstr>
      <vt:lpstr>'Cas 2'!_Mel_z_Rd</vt:lpstr>
      <vt:lpstr>'Cas 2'!_Mpl_y_Rd</vt:lpstr>
      <vt:lpstr>'Cas 2'!_Mpl_z_Rd</vt:lpstr>
      <vt:lpstr>'Cas 2'!_n</vt:lpstr>
      <vt:lpstr>'Cas 2'!_NtRd</vt:lpstr>
      <vt:lpstr>'Cas 2'!_qBac</vt:lpstr>
      <vt:lpstr>'Cas 2'!_qDalle</vt:lpstr>
      <vt:lpstr>'Cas 2'!_qEnrobage</vt:lpstr>
      <vt:lpstr>'Cas 2'!_qProfile</vt:lpstr>
      <vt:lpstr>'Cas 2'!_r</vt:lpstr>
      <vt:lpstr>'Cas 2'!_rho</vt:lpstr>
      <vt:lpstr>'Cas 2'!_tc</vt:lpstr>
      <vt:lpstr>'Cas 2'!_td</vt:lpstr>
      <vt:lpstr>'Cas 2'!_tf</vt:lpstr>
      <vt:lpstr>'Cas 2'!_tp</vt:lpstr>
      <vt:lpstr>'Cas 2'!_tw</vt:lpstr>
      <vt:lpstr>'Cas 2'!_VplRd</vt:lpstr>
      <vt:lpstr>'Cas 2'!_Wel_y</vt:lpstr>
      <vt:lpstr>'Cas 2'!_Wel_z</vt:lpstr>
      <vt:lpstr>'Cas 2'!_Wpl_y</vt:lpstr>
      <vt:lpstr>'Cas 2'!_Wpl_z</vt:lpstr>
      <vt:lpstr>'Cas 2'!_za</vt:lpstr>
      <vt:lpstr>'Cas 2'!_zcr</vt:lpstr>
      <vt:lpstr>'Cas 2'!_zel</vt:lpstr>
      <vt:lpstr>'Cas 2'!_zpl</vt:lpstr>
      <vt:lpstr>'Cas 2'!_zs_inf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2024-05-21T15:35:17Z</dcterms:modified>
</cp:coreProperties>
</file>