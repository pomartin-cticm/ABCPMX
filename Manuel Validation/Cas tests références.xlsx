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/>
  </bookViews>
  <sheets>
    <sheet name="Cas 2" sheetId="1" r:id="rId1"/>
  </sheets>
  <definedNames>
    <definedName name="_A" localSheetId="0">'Cas 2'!$B$29</definedName>
    <definedName name="_A0" localSheetId="0">'Cas 2'!$B$72</definedName>
    <definedName name="_Ace" localSheetId="0">'Cas 2'!$E$4</definedName>
    <definedName name="_Acr" localSheetId="0">'Cas 2'!$B$68</definedName>
    <definedName name="_As_inf" localSheetId="0">'Cas 2'!$E$10</definedName>
    <definedName name="_Av" localSheetId="0">'Cas 2'!$B$30</definedName>
    <definedName name="_b" localSheetId="0">'Cas 2'!$B$4</definedName>
    <definedName name="_B0" localSheetId="0">'Cas 2'!$B$73</definedName>
    <definedName name="_bb" localSheetId="0">'Cas 2'!$E$20</definedName>
    <definedName name="_bc" localSheetId="0">'Cas 2'!$E$3</definedName>
    <definedName name="_bm" localSheetId="0">'Cas 2'!$E$21</definedName>
    <definedName name="_bp" localSheetId="0">'Cas 2'!$B$67</definedName>
    <definedName name="_bt" localSheetId="0">'Cas 2'!$E$19</definedName>
    <definedName name="_cf" localSheetId="0">'Cas 2'!$B$10</definedName>
    <definedName name="_cw" localSheetId="0">'Cas 2'!$B$11</definedName>
    <definedName name="_d" localSheetId="0">'Cas 2'!$H$12</definedName>
    <definedName name="_Ecm_dalle" localSheetId="0">'Cas 2'!$H$8</definedName>
    <definedName name="_ep" localSheetId="0">'Cas 2'!$E$18</definedName>
    <definedName name="_epsilon" localSheetId="0">'Cas 2'!$B$14</definedName>
    <definedName name="_fck_dalle" localSheetId="0">'Cas 2'!$H$5</definedName>
    <definedName name="_fck_enrobage" localSheetId="0">'Cas 2'!$E$6</definedName>
    <definedName name="_fcm_dalle" localSheetId="0">'Cas 2'!$H$6</definedName>
    <definedName name="_fcm_enrobage" localSheetId="0">'Cas 2'!$E$7</definedName>
    <definedName name="_fctm_dalle" localSheetId="0">'Cas 2'!$H$7</definedName>
    <definedName name="_fctm_enrobage" localSheetId="0">'Cas 2'!$E$8</definedName>
    <definedName name="_fusc" localSheetId="0">'Cas 2'!$H$13</definedName>
    <definedName name="_fy" localSheetId="0">'Cas 2'!$B$13</definedName>
    <definedName name="_fyp" localSheetId="0">'Cas 2'!$E$23</definedName>
    <definedName name="_h" localSheetId="0">'Cas 2'!$B$3</definedName>
    <definedName name="_hp" localSheetId="0">'Cas 2'!$E$16</definedName>
    <definedName name="_hpg" localSheetId="0">'Cas 2'!$E$17</definedName>
    <definedName name="_hsc" localSheetId="0">'Cas 2'!$H$11</definedName>
    <definedName name="_hw" localSheetId="0">'Cas 2'!$B$8</definedName>
    <definedName name="_Iy" localSheetId="0">'Cas 2'!$B$31</definedName>
    <definedName name="_Iz" localSheetId="0">'Cas 2'!$B$32</definedName>
    <definedName name="_kr">'Cas 2'!$B$69</definedName>
    <definedName name="_L" localSheetId="0">'Cas 2'!$B$2</definedName>
    <definedName name="_Mel_y_Rd" localSheetId="0">'Cas 2'!$B$50</definedName>
    <definedName name="_Mel_z_Rd" localSheetId="0">'Cas 2'!$B$51</definedName>
    <definedName name="_Mpl_y_Rd" localSheetId="0">'Cas 2'!$B$52</definedName>
    <definedName name="_Mpl_z_Rd" localSheetId="0">'Cas 2'!$B$53</definedName>
    <definedName name="_n" localSheetId="0">'Cas 2'!$B$66</definedName>
    <definedName name="_NtRd" localSheetId="0">'Cas 2'!$B$48</definedName>
    <definedName name="_r" localSheetId="0">'Cas 2'!$B$7</definedName>
    <definedName name="_rho" localSheetId="0">'Cas 2'!$B$16</definedName>
    <definedName name="_tc" localSheetId="0">'Cas 2'!$H$4</definedName>
    <definedName name="_td" localSheetId="0">'Cas 2'!$H$3</definedName>
    <definedName name="_tf" localSheetId="0">'Cas 2'!$B$5</definedName>
    <definedName name="_tp" localSheetId="0">'Cas 2'!$E$22</definedName>
    <definedName name="_tw" localSheetId="0">'Cas 2'!$B$6</definedName>
    <definedName name="_VplRd" localSheetId="0">'Cas 2'!$B$49</definedName>
    <definedName name="_Wel_y" localSheetId="0">'Cas 2'!$B$33</definedName>
    <definedName name="_Wel_z" localSheetId="0">'Cas 2'!$B$34</definedName>
    <definedName name="_Wpl_y" localSheetId="0">'Cas 2'!$B$35</definedName>
    <definedName name="_Wpl_z" localSheetId="0">'Cas 2'!$B$36</definedName>
    <definedName name="_za" localSheetId="0">'Cas 2'!$B$71</definedName>
    <definedName name="_zcr" localSheetId="0">'Cas 2'!$B$70</definedName>
    <definedName name="_zel" localSheetId="0">'Cas 2'!$B$74</definedName>
    <definedName name="_zs_inf" localSheetId="0">'Cas 2'!$E$11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9" i="1" l="1"/>
  <c r="E71" i="1"/>
  <c r="E70" i="1"/>
  <c r="C78" i="1"/>
  <c r="B76" i="1"/>
  <c r="B75" i="1"/>
  <c r="B71" i="1"/>
  <c r="B70" i="1"/>
  <c r="B67" i="1"/>
  <c r="B69" i="1"/>
  <c r="B68" i="1"/>
  <c r="B72" i="1" s="1"/>
  <c r="D72" i="1" s="1"/>
  <c r="E10" i="1"/>
  <c r="E21" i="1"/>
  <c r="B73" i="1" l="1"/>
  <c r="D73" i="1" s="1"/>
  <c r="H7" i="1"/>
  <c r="H6" i="1"/>
  <c r="H4" i="1"/>
  <c r="E8" i="1"/>
  <c r="E7" i="1"/>
  <c r="E9" i="1" s="1"/>
  <c r="B8" i="1"/>
  <c r="B11" i="1" s="1"/>
  <c r="E3" i="1"/>
  <c r="D29" i="1"/>
  <c r="D31" i="1"/>
  <c r="D32" i="1"/>
  <c r="D35" i="1"/>
  <c r="D36" i="1"/>
  <c r="D37" i="1"/>
  <c r="D40" i="1"/>
  <c r="D43" i="1"/>
  <c r="D46" i="1"/>
  <c r="D47" i="1"/>
  <c r="D51" i="1"/>
  <c r="D53" i="1"/>
  <c r="D54" i="1"/>
  <c r="D55" i="1"/>
  <c r="D56" i="1"/>
  <c r="D57" i="1"/>
  <c r="D58" i="1"/>
  <c r="D59" i="1"/>
  <c r="D60" i="1"/>
  <c r="D61" i="1"/>
  <c r="D62" i="1"/>
  <c r="D63" i="1"/>
  <c r="D64" i="1"/>
  <c r="D28" i="1"/>
  <c r="B74" i="1" l="1"/>
  <c r="B78" i="1" s="1"/>
  <c r="D78" i="1" s="1"/>
  <c r="H2" i="1"/>
  <c r="E4" i="1"/>
  <c r="E5" i="1" s="1"/>
  <c r="H8" i="1"/>
  <c r="B10" i="1"/>
  <c r="B55" i="1" s="1"/>
  <c r="B14" i="1"/>
  <c r="B63" i="1" s="1"/>
  <c r="B56" i="1"/>
  <c r="B30" i="1"/>
  <c r="B38" i="1"/>
  <c r="B28" i="1"/>
  <c r="B53" i="1"/>
  <c r="B52" i="1"/>
  <c r="D52" i="1" s="1"/>
  <c r="B48" i="1"/>
  <c r="D48" i="1" s="1"/>
  <c r="B34" i="1"/>
  <c r="B33" i="1"/>
  <c r="B77" i="1" l="1"/>
  <c r="B51" i="1"/>
  <c r="D34" i="1"/>
  <c r="B50" i="1"/>
  <c r="D50" i="1" s="1"/>
  <c r="D33" i="1"/>
  <c r="B39" i="1"/>
  <c r="D39" i="1" s="1"/>
  <c r="D38" i="1"/>
  <c r="B49" i="1"/>
  <c r="D49" i="1" s="1"/>
  <c r="D30" i="1"/>
  <c r="F56" i="1"/>
  <c r="B44" i="1"/>
  <c r="D44" i="1" s="1"/>
  <c r="F55" i="1"/>
  <c r="F57" i="1"/>
  <c r="F60" i="1"/>
  <c r="B60" i="1" s="1"/>
  <c r="F61" i="1"/>
  <c r="F50" i="1"/>
  <c r="B58" i="1" s="1"/>
  <c r="F62" i="1"/>
  <c r="F51" i="1"/>
  <c r="F52" i="1"/>
  <c r="B62" i="1"/>
  <c r="B45" i="1"/>
  <c r="D45" i="1" s="1"/>
  <c r="B42" i="1"/>
  <c r="D42" i="1" s="1"/>
  <c r="B41" i="1"/>
  <c r="D41" i="1" s="1"/>
  <c r="B59" i="1" l="1"/>
</calcChain>
</file>

<file path=xl/sharedStrings.xml><?xml version="1.0" encoding="utf-8"?>
<sst xmlns="http://schemas.openxmlformats.org/spreadsheetml/2006/main" count="102" uniqueCount="95">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</sst>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70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2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0" xfId="0" applyFont="1"/>
    <xf numFmtId="170" fontId="0" fillId="0" borderId="0" xfId="0" applyNumberFormat="1"/>
    <xf numFmtId="2" fontId="0" fillId="0" borderId="0" xfId="0" applyNumberFormat="1"/>
    <xf numFmtId="170" fontId="0" fillId="2" borderId="0" xfId="0" applyNumberFormat="1" applyFill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8"/>
  <sheetViews>
    <sheetView tabSelected="1" topLeftCell="A9" workbookViewId="0">
      <selection activeCell="E82" sqref="E82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8"/>
    <col min="5" max="5" width="21.7109375" bestFit="1" customWidth="1"/>
  </cols>
  <sheetData>
    <row r="1" spans="1:8" ht="15.75" thickBot="1" x14ac:dyDescent="0.3">
      <c r="A1" s="24" t="s">
        <v>55</v>
      </c>
      <c r="B1" s="25"/>
      <c r="C1"/>
      <c r="D1" s="24" t="s">
        <v>56</v>
      </c>
      <c r="E1" s="25"/>
      <c r="F1" s="28"/>
      <c r="G1" s="24" t="s">
        <v>65</v>
      </c>
      <c r="H1" s="25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2*_tc*(1+_hp*_bm/(_ep*_tc))</f>
        <v>209.67149758454107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892.5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190.7051282051282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30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30">
        <f>0.3*_fck_enrobage^(2/3)</f>
        <v>2.5649639200150443</v>
      </c>
      <c r="G8" t="s">
        <v>64</v>
      </c>
      <c r="H8" s="30">
        <f>22*(_fcm_enrobage/10)^0.3*1000</f>
        <v>31475.806210019346</v>
      </c>
    </row>
    <row r="9" spans="1:8" x14ac:dyDescent="0.25">
      <c r="B9" s="6"/>
      <c r="C9"/>
      <c r="D9" t="s">
        <v>64</v>
      </c>
      <c r="E9" s="30">
        <f>22*(_fcm_enrobage/10)^0.3*1000</f>
        <v>31475.806210019346</v>
      </c>
    </row>
    <row r="10" spans="1:8" x14ac:dyDescent="0.25">
      <c r="A10" t="s">
        <v>37</v>
      </c>
      <c r="B10" s="6">
        <f>(_b-2*_r-_tw)/2</f>
        <v>74.8</v>
      </c>
      <c r="C10"/>
      <c r="D10" t="s">
        <v>81</v>
      </c>
      <c r="E10" s="31">
        <f>PI()*(12^2+8^2)/4*2/100</f>
        <v>3.267256359733385</v>
      </c>
    </row>
    <row r="11" spans="1:8" x14ac:dyDescent="0.25">
      <c r="A11" t="s">
        <v>38</v>
      </c>
      <c r="B11" s="6">
        <f>_hw-2*_r</f>
        <v>426</v>
      </c>
      <c r="C11"/>
      <c r="D11" t="s">
        <v>82</v>
      </c>
      <c r="E11" s="1">
        <v>422.5</v>
      </c>
    </row>
    <row r="12" spans="1:8" x14ac:dyDescent="0.25">
      <c r="C12"/>
    </row>
    <row r="13" spans="1:8" ht="15.75" thickBot="1" x14ac:dyDescent="0.3">
      <c r="A13" t="s">
        <v>8</v>
      </c>
      <c r="B13" s="1">
        <v>355</v>
      </c>
      <c r="C13"/>
    </row>
    <row r="14" spans="1:8" ht="15.75" thickBot="1" x14ac:dyDescent="0.3">
      <c r="A14" t="s">
        <v>33</v>
      </c>
      <c r="B14" s="14">
        <f>SQRT(235/_fy)</f>
        <v>0.81361651346682706</v>
      </c>
      <c r="C14"/>
      <c r="D14" s="24" t="s">
        <v>66</v>
      </c>
      <c r="E14" s="25"/>
    </row>
    <row r="15" spans="1:8" x14ac:dyDescent="0.25">
      <c r="B15" s="6"/>
      <c r="C15"/>
      <c r="D15" t="s">
        <v>67</v>
      </c>
      <c r="E15" s="1" t="s">
        <v>68</v>
      </c>
    </row>
    <row r="16" spans="1:8" x14ac:dyDescent="0.25">
      <c r="A16" t="s">
        <v>23</v>
      </c>
      <c r="B16" s="1">
        <v>7850</v>
      </c>
      <c r="C16"/>
      <c r="D16" t="s">
        <v>69</v>
      </c>
      <c r="E16" s="1">
        <v>58</v>
      </c>
    </row>
    <row r="17" spans="1:5" x14ac:dyDescent="0.25">
      <c r="B17" s="6"/>
      <c r="C17"/>
      <c r="D17" t="s">
        <v>70</v>
      </c>
      <c r="E17" s="1">
        <v>58</v>
      </c>
    </row>
    <row r="18" spans="1:5" x14ac:dyDescent="0.25">
      <c r="B18" s="6"/>
      <c r="C18"/>
      <c r="D18" t="s">
        <v>71</v>
      </c>
      <c r="E18" s="1">
        <v>207</v>
      </c>
    </row>
    <row r="19" spans="1:5" x14ac:dyDescent="0.25">
      <c r="B19" s="6"/>
      <c r="C19"/>
      <c r="D19" t="s">
        <v>72</v>
      </c>
      <c r="E19" s="1">
        <v>101</v>
      </c>
    </row>
    <row r="20" spans="1:5" x14ac:dyDescent="0.25">
      <c r="B20" s="6"/>
      <c r="C20"/>
      <c r="D20" t="s">
        <v>73</v>
      </c>
      <c r="E20" s="1">
        <v>62</v>
      </c>
    </row>
    <row r="21" spans="1:5" x14ac:dyDescent="0.25">
      <c r="B21" s="6"/>
      <c r="C21"/>
      <c r="D21" t="s">
        <v>78</v>
      </c>
      <c r="E21">
        <f>(E19+E20)/2</f>
        <v>81.5</v>
      </c>
    </row>
    <row r="22" spans="1:5" x14ac:dyDescent="0.25">
      <c r="B22" s="6"/>
      <c r="C22"/>
      <c r="D22" t="s">
        <v>74</v>
      </c>
      <c r="E22" s="1">
        <v>1</v>
      </c>
    </row>
    <row r="23" spans="1:5" x14ac:dyDescent="0.25">
      <c r="B23" s="6"/>
      <c r="C23"/>
      <c r="D23" t="s">
        <v>75</v>
      </c>
      <c r="E23" s="1">
        <v>350</v>
      </c>
    </row>
    <row r="24" spans="1:5" x14ac:dyDescent="0.25">
      <c r="B24" s="6"/>
      <c r="C24"/>
    </row>
    <row r="25" spans="1:5" x14ac:dyDescent="0.25">
      <c r="B25" s="2" t="s">
        <v>11</v>
      </c>
      <c r="C25"/>
    </row>
    <row r="26" spans="1:5" ht="15.75" thickBot="1" x14ac:dyDescent="0.3">
      <c r="C26"/>
    </row>
    <row r="27" spans="1:5" ht="15.75" thickBot="1" x14ac:dyDescent="0.3">
      <c r="A27" s="24" t="s">
        <v>7</v>
      </c>
      <c r="B27" s="25"/>
      <c r="C27" s="28" t="s">
        <v>53</v>
      </c>
      <c r="D27" t="s">
        <v>54</v>
      </c>
    </row>
    <row r="28" spans="1:5" x14ac:dyDescent="0.25">
      <c r="A28" s="7" t="s">
        <v>24</v>
      </c>
      <c r="B28" s="8">
        <f>(2*(_h-2*_r)+2*_b+2*(_b-2*_r-_tw)+2*PI()*_r)/10</f>
        <v>174.11468914507714</v>
      </c>
      <c r="D28" t="str">
        <f>IF(C28&lt;&gt;"",(B28/C28-1)*100,"")</f>
        <v/>
      </c>
    </row>
    <row r="29" spans="1:5" x14ac:dyDescent="0.25">
      <c r="A29" t="s">
        <v>5</v>
      </c>
      <c r="B29" s="4">
        <v>101.5</v>
      </c>
      <c r="C29" s="28">
        <v>101.1</v>
      </c>
      <c r="D29" s="30">
        <f t="shared" ref="D29:D64" si="0">IF(C29&lt;&gt;"",(B29/C29-1)*100,"")</f>
        <v>0.39564787339267937</v>
      </c>
    </row>
    <row r="30" spans="1:5" x14ac:dyDescent="0.25">
      <c r="A30" t="s">
        <v>6</v>
      </c>
      <c r="B30" s="5">
        <f>B29-2*_b*_tf/100+2*(_tw+2*_r)*_tf/2/100</f>
        <v>50.808</v>
      </c>
      <c r="C30" s="28">
        <v>50.4</v>
      </c>
      <c r="D30" s="30">
        <f t="shared" si="0"/>
        <v>0.80952380952381553</v>
      </c>
    </row>
    <row r="31" spans="1:5" x14ac:dyDescent="0.25">
      <c r="A31" t="s">
        <v>9</v>
      </c>
      <c r="B31" s="4">
        <v>43014.311000000002</v>
      </c>
      <c r="C31" s="28">
        <v>42933</v>
      </c>
      <c r="D31" s="30">
        <f t="shared" si="0"/>
        <v>0.18939044557799711</v>
      </c>
    </row>
    <row r="32" spans="1:5" x14ac:dyDescent="0.25">
      <c r="A32" t="s">
        <v>10</v>
      </c>
      <c r="B32" s="4">
        <v>1939.511</v>
      </c>
      <c r="C32" s="28">
        <v>1936</v>
      </c>
      <c r="D32" s="30">
        <f t="shared" si="0"/>
        <v>0.18135330578512576</v>
      </c>
    </row>
    <row r="33" spans="1:4" x14ac:dyDescent="0.25">
      <c r="A33" t="s">
        <v>12</v>
      </c>
      <c r="B33" s="5">
        <f>B31/(_h/2/10)</f>
        <v>1730.9581891348089</v>
      </c>
      <c r="C33" s="28">
        <v>1728</v>
      </c>
      <c r="D33" s="30">
        <f t="shared" si="0"/>
        <v>0.17119150085700419</v>
      </c>
    </row>
    <row r="34" spans="1:4" x14ac:dyDescent="0.25">
      <c r="A34" t="s">
        <v>13</v>
      </c>
      <c r="B34" s="5">
        <f>B32/(_b/2/10)</f>
        <v>193.9511</v>
      </c>
      <c r="C34" s="28">
        <v>193.6</v>
      </c>
      <c r="D34" s="30">
        <f t="shared" si="0"/>
        <v>0.18135330578512576</v>
      </c>
    </row>
    <row r="35" spans="1:4" x14ac:dyDescent="0.25">
      <c r="A35" t="s">
        <v>14</v>
      </c>
      <c r="B35" s="4">
        <v>1949.546</v>
      </c>
      <c r="C35" s="28">
        <v>1946</v>
      </c>
      <c r="D35" s="30">
        <f t="shared" si="0"/>
        <v>0.18221993833504868</v>
      </c>
    </row>
    <row r="36" spans="1:4" x14ac:dyDescent="0.25">
      <c r="A36" t="s">
        <v>15</v>
      </c>
      <c r="B36" s="4">
        <v>301.74400000000003</v>
      </c>
      <c r="C36" s="28">
        <v>298.3</v>
      </c>
      <c r="D36" s="30">
        <f t="shared" si="0"/>
        <v>1.1545424069728583</v>
      </c>
    </row>
    <row r="37" spans="1:4" x14ac:dyDescent="0.25">
      <c r="B37" s="9"/>
      <c r="D37" s="30" t="str">
        <f t="shared" si="0"/>
        <v/>
      </c>
    </row>
    <row r="38" spans="1:4" x14ac:dyDescent="0.25">
      <c r="A38" t="s">
        <v>27</v>
      </c>
      <c r="B38" s="9">
        <f>_rho*_A/10000</f>
        <v>79.677499999999995</v>
      </c>
      <c r="C38" s="28">
        <v>74.900000000000006</v>
      </c>
      <c r="D38" s="30">
        <f t="shared" si="0"/>
        <v>6.3785046728971784</v>
      </c>
    </row>
    <row r="39" spans="1:4" x14ac:dyDescent="0.25">
      <c r="A39" t="s">
        <v>29</v>
      </c>
      <c r="B39" s="9">
        <f>B38*_L</f>
        <v>995.96874999999989</v>
      </c>
      <c r="C39" s="28">
        <v>992</v>
      </c>
      <c r="D39" s="30">
        <f t="shared" si="0"/>
        <v>0.40007560483870108</v>
      </c>
    </row>
    <row r="40" spans="1:4" x14ac:dyDescent="0.25">
      <c r="B40" s="9"/>
      <c r="D40" s="30" t="str">
        <f t="shared" si="0"/>
        <v/>
      </c>
    </row>
    <row r="41" spans="1:4" x14ac:dyDescent="0.25">
      <c r="A41" t="s">
        <v>30</v>
      </c>
      <c r="B41" s="11">
        <f>B28*_L*100</f>
        <v>217643.36143134642</v>
      </c>
      <c r="C41" s="28">
        <v>217643</v>
      </c>
      <c r="D41" s="30">
        <f t="shared" si="0"/>
        <v>1.6606614796632613E-4</v>
      </c>
    </row>
    <row r="42" spans="1:4" x14ac:dyDescent="0.25">
      <c r="A42" t="s">
        <v>31</v>
      </c>
      <c r="B42" s="11">
        <f>(B28-_b/10)*_L*100</f>
        <v>192643.36143134642</v>
      </c>
      <c r="C42" s="28">
        <v>192643</v>
      </c>
      <c r="D42" s="30">
        <f t="shared" si="0"/>
        <v>1.8761717084370133E-4</v>
      </c>
    </row>
    <row r="43" spans="1:4" x14ac:dyDescent="0.25">
      <c r="B43" s="9"/>
      <c r="D43" s="30" t="str">
        <f t="shared" si="0"/>
        <v/>
      </c>
    </row>
    <row r="44" spans="1:4" x14ac:dyDescent="0.25">
      <c r="A44" t="s">
        <v>25</v>
      </c>
      <c r="B44" s="9">
        <f>B28/_A*100</f>
        <v>171.54156566017451</v>
      </c>
      <c r="C44" s="28">
        <v>172.2</v>
      </c>
      <c r="D44" s="30">
        <f t="shared" si="0"/>
        <v>-0.38236605100201437</v>
      </c>
    </row>
    <row r="45" spans="1:4" x14ac:dyDescent="0.25">
      <c r="A45" t="s">
        <v>26</v>
      </c>
      <c r="B45" s="9">
        <f>(B28-_b/10)/_A*100</f>
        <v>151.83713216263757</v>
      </c>
      <c r="C45" s="28">
        <v>152.4</v>
      </c>
      <c r="D45" s="30">
        <f t="shared" si="0"/>
        <v>-0.36933585128768875</v>
      </c>
    </row>
    <row r="46" spans="1:4" ht="15.75" thickBot="1" x14ac:dyDescent="0.3">
      <c r="D46" s="30" t="str">
        <f t="shared" si="0"/>
        <v/>
      </c>
    </row>
    <row r="47" spans="1:4" ht="15.75" thickBot="1" x14ac:dyDescent="0.3">
      <c r="A47" s="24" t="s">
        <v>16</v>
      </c>
      <c r="B47" s="25"/>
      <c r="D47" s="30" t="str">
        <f t="shared" si="0"/>
        <v/>
      </c>
    </row>
    <row r="48" spans="1:4" x14ac:dyDescent="0.25">
      <c r="A48" t="s">
        <v>17</v>
      </c>
      <c r="B48" s="13">
        <f>_A*100*_fy/1000</f>
        <v>3603.25</v>
      </c>
      <c r="C48" s="28">
        <v>3589</v>
      </c>
      <c r="D48" s="30">
        <f t="shared" si="0"/>
        <v>0.39704653106715782</v>
      </c>
    </row>
    <row r="49" spans="1:6" x14ac:dyDescent="0.25">
      <c r="A49" t="s">
        <v>22</v>
      </c>
      <c r="B49" s="13">
        <f>_Av*100*_fy/(1000*SQRT(3))</f>
        <v>1041.357442933021</v>
      </c>
      <c r="C49" s="28">
        <v>1033</v>
      </c>
      <c r="D49" s="30">
        <f t="shared" si="0"/>
        <v>0.8090457824802666</v>
      </c>
      <c r="E49" s="26" t="s">
        <v>34</v>
      </c>
      <c r="F49" s="27"/>
    </row>
    <row r="50" spans="1:6" x14ac:dyDescent="0.25">
      <c r="A50" t="s">
        <v>18</v>
      </c>
      <c r="B50" s="13">
        <f>_Wel_y*1000*_fy*10^(-6)</f>
        <v>614.49015714285713</v>
      </c>
      <c r="C50" s="28">
        <v>613</v>
      </c>
      <c r="D50" s="30">
        <f t="shared" si="0"/>
        <v>0.2430925192262956</v>
      </c>
      <c r="E50" s="15" t="s">
        <v>41</v>
      </c>
      <c r="F50" s="17">
        <f>9*_epsilon</f>
        <v>7.3225486212014435</v>
      </c>
    </row>
    <row r="51" spans="1:6" x14ac:dyDescent="0.25">
      <c r="A51" t="s">
        <v>19</v>
      </c>
      <c r="B51" s="13">
        <f>_Wel_z*1000*_fy*10^(-6)</f>
        <v>68.852640499999993</v>
      </c>
      <c r="D51" s="30" t="str">
        <f t="shared" si="0"/>
        <v/>
      </c>
      <c r="E51" s="15" t="s">
        <v>42</v>
      </c>
      <c r="F51" s="17">
        <f>10*_epsilon</f>
        <v>8.1361651346682713</v>
      </c>
    </row>
    <row r="52" spans="1:6" x14ac:dyDescent="0.25">
      <c r="A52" t="s">
        <v>20</v>
      </c>
      <c r="B52" s="13">
        <f>_Wpl_y*1000*_fy*10^(-6)</f>
        <v>692.08882999999992</v>
      </c>
      <c r="C52" s="28">
        <v>691</v>
      </c>
      <c r="D52" s="30">
        <f t="shared" si="0"/>
        <v>0.15757308248913748</v>
      </c>
      <c r="E52" s="16" t="s">
        <v>43</v>
      </c>
      <c r="F52" s="18">
        <f>14*_epsilon</f>
        <v>11.390631188535579</v>
      </c>
    </row>
    <row r="53" spans="1:6" x14ac:dyDescent="0.25">
      <c r="A53" t="s">
        <v>21</v>
      </c>
      <c r="B53" s="13">
        <f>_Wpl_z*1000*_fy*10^(-6)</f>
        <v>107.11912</v>
      </c>
      <c r="D53" s="30" t="str">
        <f t="shared" si="0"/>
        <v/>
      </c>
    </row>
    <row r="54" spans="1:6" x14ac:dyDescent="0.25">
      <c r="B54" s="13"/>
      <c r="D54" s="3" t="str">
        <f t="shared" si="0"/>
        <v/>
      </c>
      <c r="E54" s="21" t="s">
        <v>44</v>
      </c>
      <c r="F54" s="22"/>
    </row>
    <row r="55" spans="1:6" x14ac:dyDescent="0.25">
      <c r="A55" t="s">
        <v>39</v>
      </c>
      <c r="B55" s="12">
        <f>_cf/_tf</f>
        <v>5.1586206896551721</v>
      </c>
      <c r="D55" s="3" t="str">
        <f t="shared" si="0"/>
        <v/>
      </c>
      <c r="E55" s="15" t="s">
        <v>45</v>
      </c>
      <c r="F55" s="19">
        <f>33*_epsilon</f>
        <v>26.849344944405292</v>
      </c>
    </row>
    <row r="56" spans="1:6" x14ac:dyDescent="0.25">
      <c r="A56" t="s">
        <v>40</v>
      </c>
      <c r="B56" s="12">
        <f>_cw/_tw</f>
        <v>50.714285714285715</v>
      </c>
      <c r="D56" s="3" t="str">
        <f t="shared" si="0"/>
        <v/>
      </c>
      <c r="E56" s="15" t="s">
        <v>46</v>
      </c>
      <c r="F56" s="19">
        <f>38*_epsilon</f>
        <v>30.917427511739429</v>
      </c>
    </row>
    <row r="57" spans="1:6" x14ac:dyDescent="0.25">
      <c r="D57" s="3" t="str">
        <f t="shared" si="0"/>
        <v/>
      </c>
      <c r="E57" s="16" t="s">
        <v>47</v>
      </c>
      <c r="F57" s="20">
        <f>42*_epsilon</f>
        <v>34.171893565606737</v>
      </c>
    </row>
    <row r="58" spans="1:6" x14ac:dyDescent="0.25">
      <c r="A58" t="s">
        <v>34</v>
      </c>
      <c r="B58">
        <f>IF(B55&lt;=F50,1,IF(B55&lt;=F51,2,IF(B55&lt;=F52,3,4)))</f>
        <v>1</v>
      </c>
      <c r="D58" s="3" t="str">
        <f t="shared" si="0"/>
        <v/>
      </c>
    </row>
    <row r="59" spans="1:6" x14ac:dyDescent="0.25">
      <c r="A59" t="s">
        <v>35</v>
      </c>
      <c r="B59">
        <f>IF(B56&lt;=F55,1,IF(B56&lt;=F56,2,IF(B56&lt;=F57,3,4)))</f>
        <v>4</v>
      </c>
      <c r="D59" s="3" t="str">
        <f t="shared" si="0"/>
        <v/>
      </c>
      <c r="E59" s="21" t="s">
        <v>48</v>
      </c>
      <c r="F59" s="22"/>
    </row>
    <row r="60" spans="1:6" x14ac:dyDescent="0.25">
      <c r="A60" t="s">
        <v>36</v>
      </c>
      <c r="B60">
        <f>IF(B56&lt;=F60,1,IF(B56&lt;=F61,2,IF(B56&lt;=F62,3,4)))</f>
        <v>1</v>
      </c>
      <c r="D60" s="3" t="str">
        <f t="shared" si="0"/>
        <v/>
      </c>
      <c r="E60" s="15" t="s">
        <v>49</v>
      </c>
      <c r="F60" s="19">
        <f>72*_epsilon</f>
        <v>58.580388969611548</v>
      </c>
    </row>
    <row r="61" spans="1:6" x14ac:dyDescent="0.25">
      <c r="D61" s="3" t="str">
        <f t="shared" si="0"/>
        <v/>
      </c>
      <c r="E61" s="15" t="s">
        <v>50</v>
      </c>
      <c r="F61" s="19">
        <f>83*_epsilon</f>
        <v>67.530170617746649</v>
      </c>
    </row>
    <row r="62" spans="1:6" x14ac:dyDescent="0.25">
      <c r="A62" t="s">
        <v>52</v>
      </c>
      <c r="B62" s="3">
        <f>_hw/_tw</f>
        <v>55.714285714285715</v>
      </c>
      <c r="D62" s="3" t="str">
        <f t="shared" si="0"/>
        <v/>
      </c>
      <c r="E62" s="16" t="s">
        <v>51</v>
      </c>
      <c r="F62" s="20">
        <f>124*_epsilon</f>
        <v>100.88844766988656</v>
      </c>
    </row>
    <row r="63" spans="1:6" x14ac:dyDescent="0.25">
      <c r="A63" t="s">
        <v>51</v>
      </c>
      <c r="B63" s="23">
        <f>124*_epsilon</f>
        <v>100.88844766988656</v>
      </c>
      <c r="D63" s="3" t="str">
        <f t="shared" si="0"/>
        <v/>
      </c>
    </row>
    <row r="64" spans="1:6" ht="15.75" thickBot="1" x14ac:dyDescent="0.3">
      <c r="D64" s="3" t="str">
        <f t="shared" si="0"/>
        <v/>
      </c>
    </row>
    <row r="65" spans="1:5" ht="15.75" thickBot="1" x14ac:dyDescent="0.3">
      <c r="A65" s="24" t="s">
        <v>79</v>
      </c>
      <c r="B65" s="25"/>
    </row>
    <row r="66" spans="1:5" x14ac:dyDescent="0.25">
      <c r="A66" t="s">
        <v>80</v>
      </c>
      <c r="B66">
        <v>6.67</v>
      </c>
    </row>
    <row r="67" spans="1:5" x14ac:dyDescent="0.25">
      <c r="A67" t="s">
        <v>85</v>
      </c>
      <c r="B67">
        <f>_bc-_tw</f>
        <v>191.6</v>
      </c>
    </row>
    <row r="68" spans="1:5" x14ac:dyDescent="0.25">
      <c r="A68" t="s">
        <v>83</v>
      </c>
      <c r="B68" s="30">
        <f>(4-PI())*_r^2/(2*_n)</f>
        <v>28.377634165434873</v>
      </c>
    </row>
    <row r="69" spans="1:5" x14ac:dyDescent="0.25">
      <c r="A69" t="s">
        <v>84</v>
      </c>
      <c r="B69" s="29">
        <f>(10-3*PI())/(12-3*PI())</f>
        <v>0.22336793894575216</v>
      </c>
      <c r="E69">
        <f>(53002/52921-1)*100</f>
        <v>0.15305833223107079</v>
      </c>
    </row>
    <row r="70" spans="1:5" x14ac:dyDescent="0.25">
      <c r="A70" t="s">
        <v>86</v>
      </c>
      <c r="B70">
        <f>_tf+_kr*_r</f>
        <v>19.190726717860795</v>
      </c>
      <c r="E70">
        <f>(47200/47128-1)*100</f>
        <v>0.15277542013241163</v>
      </c>
    </row>
    <row r="71" spans="1:5" x14ac:dyDescent="0.25">
      <c r="A71" t="s">
        <v>87</v>
      </c>
      <c r="B71">
        <f>_h/2</f>
        <v>248.5</v>
      </c>
      <c r="E71">
        <f>(47083/47005-1)*100</f>
        <v>0.16593979363896949</v>
      </c>
    </row>
    <row r="72" spans="1:5" x14ac:dyDescent="0.25">
      <c r="A72" t="s">
        <v>88</v>
      </c>
      <c r="B72" s="23">
        <f>_A*100+_As_inf*100-_Acr-_bp*_tf/_n</f>
        <v>10031.826262677469</v>
      </c>
      <c r="C72" s="28">
        <v>9998</v>
      </c>
      <c r="D72">
        <f>(B72/C72-1)*100</f>
        <v>0.33833029283325544</v>
      </c>
    </row>
    <row r="73" spans="1:5" x14ac:dyDescent="0.25">
      <c r="A73" t="s">
        <v>89</v>
      </c>
      <c r="B73" s="23">
        <f>_A*100*_za+_As_inf*100*_zs_inf-_Acr*_zcr-_bp*_tf^2/(2*_n)</f>
        <v>2656752.2111678715</v>
      </c>
      <c r="C73" s="28">
        <v>2646805</v>
      </c>
      <c r="D73">
        <f>(B73/C73-1)*100</f>
        <v>0.37581956992946974</v>
      </c>
    </row>
    <row r="74" spans="1:5" x14ac:dyDescent="0.25">
      <c r="A74" t="s">
        <v>90</v>
      </c>
      <c r="B74" s="3">
        <f>_n*_A0/_bp*(-1+SQRT(1+2*_bp*_B0/(_n*_A0^2)))</f>
        <v>204.78830751093571</v>
      </c>
    </row>
    <row r="75" spans="1:5" x14ac:dyDescent="0.25">
      <c r="A75" t="s">
        <v>91</v>
      </c>
      <c r="B75">
        <f>_tf+_r</f>
        <v>35.5</v>
      </c>
    </row>
    <row r="76" spans="1:5" x14ac:dyDescent="0.25">
      <c r="A76" t="s">
        <v>92</v>
      </c>
      <c r="B76">
        <f>_zs_inf</f>
        <v>422.5</v>
      </c>
    </row>
    <row r="77" spans="1:5" x14ac:dyDescent="0.25">
      <c r="A77" t="s">
        <v>93</v>
      </c>
      <c r="B77" t="b">
        <f>IF(B75&lt;=_zel,IF(_zel&lt;=B76,TRUE,FALSE),FALSE)</f>
        <v>1</v>
      </c>
    </row>
    <row r="78" spans="1:5" x14ac:dyDescent="0.25">
      <c r="A78" t="s">
        <v>94</v>
      </c>
      <c r="B78">
        <f>(_Iy*10^4+_A*100*(_za-_zel)^2+_As_inf*100*(_zs_inf-_zel)^2+_bp*(_zel-_tf)^3/(3*_n)-_Acr*(_zcr-_zel)^2)*10^(-4)</f>
        <v>53002.140380188146</v>
      </c>
      <c r="C78" s="28">
        <f>52814</f>
        <v>52814</v>
      </c>
      <c r="D78">
        <f>(B78/C78-1)*100</f>
        <v>0.35623202216863437</v>
      </c>
    </row>
  </sheetData>
  <mergeCells count="8">
    <mergeCell ref="G1:H1"/>
    <mergeCell ref="D14:E14"/>
    <mergeCell ref="A65:B65"/>
    <mergeCell ref="A1:B1"/>
    <mergeCell ref="A27:B27"/>
    <mergeCell ref="A47:B47"/>
    <mergeCell ref="E49:F49"/>
    <mergeCell ref="D1:E1"/>
  </mergeCells>
  <dataValidations disablePrompts="1" count="1">
    <dataValidation type="list" allowBlank="1" showInputMessage="1" showErrorMessage="1" sqref="E15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59</vt:i4>
      </vt:variant>
    </vt:vector>
  </HeadingPairs>
  <TitlesOfParts>
    <vt:vector size="60" baseType="lpstr">
      <vt:lpstr>Cas 2</vt:lpstr>
      <vt:lpstr>'Cas 2'!_A</vt:lpstr>
      <vt:lpstr>'Cas 2'!_A0</vt:lpstr>
      <vt:lpstr>'Cas 2'!_Ace</vt:lpstr>
      <vt:lpstr>'Cas 2'!_Acr</vt:lpstr>
      <vt:lpstr>'Cas 2'!_As_inf</vt:lpstr>
      <vt:lpstr>'Cas 2'!_Av</vt:lpstr>
      <vt:lpstr>'Cas 2'!_b</vt:lpstr>
      <vt:lpstr>'Cas 2'!_B0</vt:lpstr>
      <vt:lpstr>'Cas 2'!_bb</vt:lpstr>
      <vt:lpstr>'Cas 2'!_bc</vt:lpstr>
      <vt:lpstr>'Cas 2'!_bm</vt:lpstr>
      <vt:lpstr>'Cas 2'!_bp</vt:lpstr>
      <vt:lpstr>'Cas 2'!_bt</vt:lpstr>
      <vt:lpstr>'Cas 2'!_cf</vt:lpstr>
      <vt:lpstr>'Cas 2'!_cw</vt:lpstr>
      <vt:lpstr>'Cas 2'!_d</vt:lpstr>
      <vt:lpstr>'Cas 2'!_Ecm_dalle</vt:lpstr>
      <vt:lpstr>'Cas 2'!_ep</vt:lpstr>
      <vt:lpstr>'Cas 2'!_epsilon</vt:lpstr>
      <vt:lpstr>'Cas 2'!_fck_dalle</vt:lpstr>
      <vt:lpstr>'Cas 2'!_fck_enrobage</vt:lpstr>
      <vt:lpstr>'Cas 2'!_fcm_dalle</vt:lpstr>
      <vt:lpstr>'Cas 2'!_fcm_enrobage</vt:lpstr>
      <vt:lpstr>'Cas 2'!_fctm_dalle</vt:lpstr>
      <vt:lpstr>'Cas 2'!_fctm_enrobage</vt:lpstr>
      <vt:lpstr>'Cas 2'!_fusc</vt:lpstr>
      <vt:lpstr>'Cas 2'!_fy</vt:lpstr>
      <vt:lpstr>'Cas 2'!_fyp</vt:lpstr>
      <vt:lpstr>'Cas 2'!_h</vt:lpstr>
      <vt:lpstr>'Cas 2'!_hp</vt:lpstr>
      <vt:lpstr>'Cas 2'!_hpg</vt:lpstr>
      <vt:lpstr>'Cas 2'!_hsc</vt:lpstr>
      <vt:lpstr>'Cas 2'!_hw</vt:lpstr>
      <vt:lpstr>'Cas 2'!_Iy</vt:lpstr>
      <vt:lpstr>'Cas 2'!_Iz</vt:lpstr>
      <vt:lpstr>_kr</vt:lpstr>
      <vt:lpstr>'Cas 2'!_L</vt:lpstr>
      <vt:lpstr>'Cas 2'!_Mel_y_Rd</vt:lpstr>
      <vt:lpstr>'Cas 2'!_Mel_z_Rd</vt:lpstr>
      <vt:lpstr>'Cas 2'!_Mpl_y_Rd</vt:lpstr>
      <vt:lpstr>'Cas 2'!_Mpl_z_Rd</vt:lpstr>
      <vt:lpstr>'Cas 2'!_n</vt:lpstr>
      <vt:lpstr>'Cas 2'!_NtRd</vt:lpstr>
      <vt:lpstr>'Cas 2'!_r</vt:lpstr>
      <vt:lpstr>'Cas 2'!_rho</vt:lpstr>
      <vt:lpstr>'Cas 2'!_tc</vt:lpstr>
      <vt:lpstr>'Cas 2'!_td</vt:lpstr>
      <vt:lpstr>'Cas 2'!_tf</vt:lpstr>
      <vt:lpstr>'Cas 2'!_tp</vt:lpstr>
      <vt:lpstr>'Cas 2'!_tw</vt:lpstr>
      <vt:lpstr>'Cas 2'!_VplRd</vt:lpstr>
      <vt:lpstr>'Cas 2'!_Wel_y</vt:lpstr>
      <vt:lpstr>'Cas 2'!_Wel_z</vt:lpstr>
      <vt:lpstr>'Cas 2'!_Wpl_y</vt:lpstr>
      <vt:lpstr>'Cas 2'!_Wpl_z</vt:lpstr>
      <vt:lpstr>'Cas 2'!_za</vt:lpstr>
      <vt:lpstr>'Cas 2'!_zcr</vt:lpstr>
      <vt:lpstr>'Cas 2'!_zel</vt:lpstr>
      <vt:lpstr>'Cas 2'!_zs_inf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2024-05-17T16:17:32Z</dcterms:modified>
</cp:coreProperties>
</file>