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2"/>
  </bookViews>
  <sheets>
    <sheet name="Cas 2" sheetId="1" r:id="rId1"/>
    <sheet name="Cas 3" sheetId="2" r:id="rId2"/>
    <sheet name="Cas 5" sheetId="3" r:id="rId3"/>
  </sheets>
  <definedNames>
    <definedName name="_A" localSheetId="0">'Cas 2'!$B$32</definedName>
    <definedName name="_A" localSheetId="1">'Cas 3'!$B$33</definedName>
    <definedName name="_A" localSheetId="2">'Cas 5'!$B$11</definedName>
    <definedName name="_A0" localSheetId="0">'Cas 2'!$B$75</definedName>
    <definedName name="_A0" localSheetId="1">'Cas 3'!#REF!</definedName>
    <definedName name="_Ac" localSheetId="2">'Cas 5'!$H$5</definedName>
    <definedName name="_Ace" localSheetId="0">'Cas 2'!$E$4</definedName>
    <definedName name="_Ace" localSheetId="1">'Cas 3'!$E$4</definedName>
    <definedName name="_Acr" localSheetId="0">'Cas 2'!$B$71</definedName>
    <definedName name="_Acr" localSheetId="1">'Cas 3'!#REF!</definedName>
    <definedName name="_As_inf" localSheetId="0">'Cas 2'!$E$10</definedName>
    <definedName name="_As_inf" localSheetId="1">'Cas 3'!$E$10</definedName>
    <definedName name="_Av" localSheetId="0">'Cas 2'!$B$33</definedName>
    <definedName name="_Av" localSheetId="1">'Cas 3'!$B$34</definedName>
    <definedName name="_Av" localSheetId="2">'Cas 5'!$B$12</definedName>
    <definedName name="_b" localSheetId="0">'Cas 2'!$B$4</definedName>
    <definedName name="_b" localSheetId="1">'Cas 3'!$B$15</definedName>
    <definedName name="_b" localSheetId="2">'Cas 5'!$E$3</definedName>
    <definedName name="_b_Droite" localSheetId="2">'Cas 5'!$B$7</definedName>
    <definedName name="_b_Gauche" localSheetId="2">'Cas 5'!$B$6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droite" localSheetId="1">'Cas 3'!$B$4</definedName>
    <definedName name="_be1" localSheetId="1">'Cas 3'!$B$6</definedName>
    <definedName name="_be2" localSheetId="1">'Cas 3'!$B$7</definedName>
    <definedName name="_beff_appui" localSheetId="1">'Cas 3'!$B$11</definedName>
    <definedName name="_beff_mi_travee" localSheetId="1">'Cas 3'!$B$10</definedName>
    <definedName name="_beta1" localSheetId="1">'Cas 3'!$B$8</definedName>
    <definedName name="_beta2" localSheetId="1">'Cas 3'!$B$9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2">'Cas 5'!$E$12</definedName>
    <definedName name="_cw" localSheetId="0">'Cas 2'!$B$12</definedName>
    <definedName name="_cw" localSheetId="1">'Cas 3'!$B$23</definedName>
    <definedName name="_cw" localSheetId="2">'Cas 5'!$E$13</definedName>
    <definedName name="_d" localSheetId="0">'Cas 2'!$H$13</definedName>
    <definedName name="_dsc" localSheetId="1">'Cas 3'!$H$14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2">'Cas 5'!$E$16</definedName>
    <definedName name="_eta" localSheetId="1">'Cas 3'!$H$28</definedName>
    <definedName name="_fck_dalle" localSheetId="0">'Cas 2'!$H$5</definedName>
    <definedName name="_fck_dalle" localSheetId="1">'Cas 3'!$H$5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enrobage" localSheetId="0">'Cas 2'!$E$8</definedName>
    <definedName name="_fusc" localSheetId="0">'Cas 2'!$H$14</definedName>
    <definedName name="_fusc" localSheetId="1">'Cas 3'!$H$15</definedName>
    <definedName name="_fy" localSheetId="0">'Cas 2'!$B$14</definedName>
    <definedName name="_fy" localSheetId="1">'Cas 3'!$B$25</definedName>
    <definedName name="_fy" localSheetId="2">'Cas 5'!$E$15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2">'Cas 5'!$E$2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w" localSheetId="0">'Cas 2'!$B$8</definedName>
    <definedName name="_hw" localSheetId="1">'Cas 3'!$B$19</definedName>
    <definedName name="_hw" localSheetId="2">'Cas 5'!$E$9</definedName>
    <definedName name="_Iy" localSheetId="0">'Cas 2'!$B$34</definedName>
    <definedName name="_Iy" localSheetId="1">'Cas 3'!$B$35</definedName>
    <definedName name="_Iy" localSheetId="2">'Cas 5'!$B$13</definedName>
    <definedName name="_Iz" localSheetId="0">'Cas 2'!$B$35</definedName>
    <definedName name="_Iz" localSheetId="2">'Cas 5'!$B$14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_ConsoleD" localSheetId="2">'Cas 5'!$B$4</definedName>
    <definedName name="_L_ConsoleG" localSheetId="2">'Cas 5'!$B$2</definedName>
    <definedName name="_L_tot" localSheetId="2">'Cas 5'!$B$5</definedName>
    <definedName name="_L_Travee" localSheetId="2">'Cas 5'!$B$3</definedName>
    <definedName name="_Mel_y_Rd" localSheetId="0">'Cas 2'!$B$53</definedName>
    <definedName name="_Mel_z_Rd" localSheetId="0">'Cas 2'!$B$54</definedName>
    <definedName name="_Mpl_Rd" localSheetId="2">'Cas 5'!$B$69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enrobage" localSheetId="1">'Cas 3'!#REF!</definedName>
    <definedName name="_Na" localSheetId="1">'Cas 3'!$H$23</definedName>
    <definedName name="_Ncp" localSheetId="1">'Cas 3'!$B$104</definedName>
    <definedName name="_Nf" localSheetId="1">'Cas 3'!$B$102</definedName>
    <definedName name="_nr" localSheetId="1">'Cas 3'!$H$16</definedName>
    <definedName name="_Ns_inf" localSheetId="1">'Cas 3'!$H$24</definedName>
    <definedName name="_NtRd" localSheetId="0">'Cas 2'!$B$51</definedName>
    <definedName name="_Nw" localSheetId="1">'Cas 3'!$B$103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2">'Cas 5'!$E$8</definedName>
    <definedName name="_rho" localSheetId="0">'Cas 2'!$B$17</definedName>
    <definedName name="_rho" localSheetId="1">'Cas 3'!$B$28</definedName>
    <definedName name="_rhoA" localSheetId="2">'Cas 5'!$E$18</definedName>
    <definedName name="_rhoC" localSheetId="2">'Cas 5'!$H$6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2">'Cas 5'!$H$2</definedName>
    <definedName name="_tf" localSheetId="0">'Cas 2'!$B$5</definedName>
    <definedName name="_tf" localSheetId="1">'Cas 3'!$B$16</definedName>
    <definedName name="_tf" localSheetId="2">'Cas 5'!$E$4</definedName>
    <definedName name="_th" localSheetId="2">'Cas 5'!$H$3</definedName>
    <definedName name="_theta" localSheetId="2">'Cas 5'!$H$4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2">'Cas 5'!$E$5</definedName>
    <definedName name="_VplRd" localSheetId="0">'Cas 2'!$B$52</definedName>
    <definedName name="_VplRd" localSheetId="1">'Cas 3'!$B$53</definedName>
    <definedName name="_VplRd" localSheetId="2">'Cas 5'!$B$52</definedName>
    <definedName name="_Wel_y" localSheetId="0">'Cas 2'!$B$36</definedName>
    <definedName name="_Wel_y" localSheetId="1">'Cas 3'!$B$37</definedName>
    <definedName name="_Wel_y" localSheetId="2">'Cas 5'!$B$15</definedName>
    <definedName name="_Wel_z" localSheetId="0">'Cas 2'!$B$37</definedName>
    <definedName name="_Wel_z" localSheetId="1">'Cas 3'!$B$38</definedName>
    <definedName name="_Wel_z" localSheetId="2">'Cas 5'!$B$16</definedName>
    <definedName name="_Wpl_y" localSheetId="0">'Cas 2'!$B$38</definedName>
    <definedName name="_Wpl_y" localSheetId="1">'Cas 3'!$B$39</definedName>
    <definedName name="_Wpl_y" localSheetId="2">'Cas 5'!$B$17</definedName>
    <definedName name="_Wpl_z" localSheetId="0">'Cas 2'!$B$39</definedName>
    <definedName name="_Wpl_z" localSheetId="1">'Cas 3'!$B$40</definedName>
    <definedName name="_Wpl_z" localSheetId="2">'Cas 5'!$B$18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_inf" localSheetId="0">'Cas 2'!$E$11</definedName>
    <definedName name="_zs_inf" localSheetId="1">'Cas 3'!$E$11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7" i="3" l="1"/>
  <c r="C75" i="3"/>
  <c r="D75" i="3"/>
  <c r="B75" i="3"/>
  <c r="B10" i="3"/>
  <c r="B12" i="3"/>
  <c r="B70" i="3" s="1"/>
  <c r="B11" i="3"/>
  <c r="B20" i="3" s="1"/>
  <c r="B16" i="3"/>
  <c r="B15" i="3"/>
  <c r="B69" i="3"/>
  <c r="B73" i="3" s="1"/>
  <c r="C73" i="3" l="1"/>
  <c r="B74" i="3"/>
  <c r="C74" i="3"/>
  <c r="D74" i="3"/>
  <c r="D77" i="3"/>
  <c r="D79" i="3" s="1"/>
  <c r="D80" i="3" s="1"/>
  <c r="D81" i="3" s="1"/>
  <c r="D73" i="3"/>
  <c r="C77" i="3"/>
  <c r="C79" i="3" s="1"/>
  <c r="C80" i="3" s="1"/>
  <c r="C82" i="3" s="1"/>
  <c r="B79" i="3"/>
  <c r="B80" i="3" s="1"/>
  <c r="B81" i="3" s="1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D82" i="3" l="1"/>
  <c r="C81" i="3"/>
  <c r="B82" i="3"/>
  <c r="B48" i="3"/>
  <c r="C48" i="3" s="1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B42" i="3" l="1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B103" i="2" l="1"/>
  <c r="B6" i="2"/>
  <c r="B94" i="2"/>
  <c r="B88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</calcChain>
</file>

<file path=xl/sharedStrings.xml><?xml version="1.0" encoding="utf-8"?>
<sst xmlns="http://schemas.openxmlformats.org/spreadsheetml/2006/main" count="487" uniqueCount="257">
  <si>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</si>
  <si>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</si>
  <si>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</si>
  <si>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</si>
  <si>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</si>
  <si>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</si>
  <si>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</si>
  <si>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</si>
  <si>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</si>
  <si>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</si>
  <si>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</si>
  <si>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</si>
  <si>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</si>
  <si>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</si>
  <si>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</si>
  <si>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</si>
  <si>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</si>
  <si>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</si>
  <si>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</si>
  <si>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</si>
  <si>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</si>
  <si>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</si>
  <si>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</si>
  <si>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</si>
  <si>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</si>
  <si>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</si>
  <si>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</si>
  <si>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</si>
  <si>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</si>
  <si>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</si>
  <si>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</si>
  <si>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</si>
  <si>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</si>
  <si>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</si>
  <si>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</si>
  <si>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</si>
  <si>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</si>
  <si>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</si>
  <si>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</si>
  <si>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</si>
  <si>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</si>
  <si>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</si>
  <si>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</si>
  <si>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</si>
  <si>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</si>
  <si>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</si>
  <si>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</si>
  <si>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</si>
  <si>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</si>
  <si>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</si>
  <si>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</si>
  <si>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</si>
  <si>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</si>
  <si>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</si>
  <si>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</si>
  <si>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</si>
  <si>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</si>
  <si>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</si>
  <si>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</si>
  <si>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</si>
  <si>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</si>
  <si>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</si>
  <si>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</si>
  <si>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</si>
  <si>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</si>
  <si>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</si>
  <si>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</si>
  <si>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</si>
  <si>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</si>
  <si>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</si>
  <si>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</si>
  <si>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</si>
  <si>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</si>
  <si>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</si>
  <si>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</si>
  <si>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</si>
  <si>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</si>
  <si>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</si>
  <si>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</si>
  <si>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</si>
  <si>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</si>
  <si>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</si>
  <si>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</si>
  <si>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</si>
  <si>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</si>
  <si>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</si>
  <si>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</si>
  <si>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</si>
  <si>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</si>
  <si>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</si>
  <si>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</si>
  <si>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</si>
  <si>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</si>
  <si>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</si>
  <si>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</si>
  <si>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</si>
  <si>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</si>
  <si>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</si>
  <si>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</si>
  <si>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</si>
  <si>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</si>
  <si>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</si>
  <si>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</si>
  <si>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</si>
  <si>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</si>
  <si>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</si>
  <si>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</si>
  <si>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</si>
  <si>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</si>
  <si>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</si>
  <si>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</si>
  <si>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</si>
  <si>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</si>
  <si>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</si>
  <si>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</si>
  <si>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</si>
  <si>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</si>
  <si>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</si>
  <si>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</si>
  <si>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</si>
  <si>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</si>
  <si>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</si>
  <si>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</si>
  <si>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</si>
  <si>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</si>
  <si>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</si>
  <si>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</si>
  <si>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</si>
  <si>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</si>
  <si>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</si>
  <si>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</si>
  <si>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</si>
  <si>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</si>
  <si>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</si>
  <si>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</si>
  <si>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</si>
  <si>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</si>
  <si>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</si>
  <si>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</si>
  <si>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</si>
  <si>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</si>
  <si>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</si>
  <si>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</si>
  <si>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</si>
  <si>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</si>
  <si>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</si>
  <si>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</si>
  <si>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</si>
  <si>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</si>
  <si>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</si>
  <si>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</si>
  <si>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</si>
  <si>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</si>
  <si>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</si>
  <si>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</si>
  <si>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</si>
  <si>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</si>
  <si>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</si>
  <si>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</si>
  <si>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</si>
  <si>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</si>
  <si>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</si>
  <si>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</si>
  <si>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</si>
  <si>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</si>
  <si>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</si>
  <si>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</si>
  <si>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</si>
  <si>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</si>
  <si>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</si>
  <si>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</si>
  <si>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</si>
  <si>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</si>
  <si>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</si>
  <si>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</si>
  <si>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</si>
  <si>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</si>
  <si>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</si>
  <si>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</si>
  <si>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</si>
  <si>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</si>
  <si>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</si>
  <si>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</si>
  <si>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</si>
  <si>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</si>
  <si>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</si>
  <si>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</si>
  <si>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</si>
  <si>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</si>
  <si>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</si>
  <si>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</si>
  <si>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</si>
  <si>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</si>
  <si>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</si>
  <si>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</si>
  <si>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</si>
  <si>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</si>
  <si>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</si>
  <si>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</si>
  <si>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</si>
  <si>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</si>
  <si>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</si>
  <si>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</si>
  <si>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</si>
  <si>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</si>
  <si>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</si>
  <si>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</si>
  <si>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</si>
  <si>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</si>
  <si>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</si>
  <si>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</si>
  <si>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</si>
  <si>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</si>
  <si>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</si>
  <si>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</si>
  <si>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</si>
  <si>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</si>
  <si>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</si>
  <si>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</si>
  <si>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</si>
  <si>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</si>
  <si>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</si>
  <si>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</si>
  <si>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</si>
  <si>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</si>
  <si>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</si>
  <si>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</si>
  <si>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</si>
  <si>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V(G) (kN)</t>
  </si>
  <si>
    <t>M(G) (kN.m)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</si>
  <si>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</si>
  <si>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</si>
  <si>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</si>
  <si>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</si>
  <si>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</si>
  <si>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</si>
  <si>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55,08/-30,98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</si>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</sst>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78" formatCode="_-* #,##0.000_-;\-* #,##0.0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1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78" fontId="0" fillId="0" borderId="0" xfId="1" applyNumberFormat="1" applyFon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28" workbookViewId="0">
      <selection activeCell="B31" sqref="B31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50" t="s">
        <v>55</v>
      </c>
      <c r="B1" s="51"/>
      <c r="C1"/>
      <c r="D1" s="50" t="s">
        <v>56</v>
      </c>
      <c r="E1" s="51"/>
      <c r="F1" s="24"/>
      <c r="G1" s="50" t="s">
        <v>65</v>
      </c>
      <c r="H1" s="5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50" t="s">
        <v>66</v>
      </c>
      <c r="E15" s="51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50" t="s">
        <v>7</v>
      </c>
      <c r="B30" s="51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50" t="s">
        <v>16</v>
      </c>
      <c r="B50" s="51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52" t="s">
        <v>34</v>
      </c>
      <c r="F52" s="53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50" t="s">
        <v>79</v>
      </c>
      <c r="B68" s="51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50" t="s">
        <v>111</v>
      </c>
      <c r="B96" s="51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50" t="s">
        <v>133</v>
      </c>
      <c r="B109" s="51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50" t="s">
        <v>134</v>
      </c>
      <c r="B120" s="51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workbookViewId="0">
      <selection sqref="A1:B2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50" t="s">
        <v>152</v>
      </c>
      <c r="B1" s="51"/>
      <c r="C1"/>
      <c r="D1" s="50" t="s">
        <v>56</v>
      </c>
      <c r="E1" s="51"/>
      <c r="F1" s="24"/>
      <c r="G1" s="50" t="s">
        <v>65</v>
      </c>
      <c r="H1" s="5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50" t="s">
        <v>162</v>
      </c>
      <c r="H12" s="51"/>
    </row>
    <row r="13" spans="1:8" ht="15.75" thickBot="1" x14ac:dyDescent="0.3">
      <c r="A13" s="50" t="s">
        <v>55</v>
      </c>
      <c r="B13" s="51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50" t="s">
        <v>66</v>
      </c>
      <c r="E15" s="51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50" t="s">
        <v>7</v>
      </c>
      <c r="B31" s="51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50" t="s">
        <v>16</v>
      </c>
      <c r="B51" s="51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52" t="s">
        <v>34</v>
      </c>
      <c r="F53" s="53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50" t="s">
        <v>79</v>
      </c>
      <c r="B69" s="51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54" t="s">
        <v>188</v>
      </c>
      <c r="B85" s="55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50" t="s">
        <v>111</v>
      </c>
      <c r="B101" s="51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50" t="s">
        <v>133</v>
      </c>
      <c r="B118" s="51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50" t="s">
        <v>134</v>
      </c>
      <c r="B133" s="51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50" t="s">
        <v>207</v>
      </c>
      <c r="B147" s="51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  <mergeCell ref="A1:B1"/>
    <mergeCell ref="A13:B13"/>
    <mergeCell ref="D1:E1"/>
    <mergeCell ref="G1:H1"/>
    <mergeCell ref="D15:E15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2"/>
  <sheetViews>
    <sheetView tabSelected="1" topLeftCell="A58" workbookViewId="0">
      <selection activeCell="G66" sqref="G66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50" t="s">
        <v>152</v>
      </c>
      <c r="B1" s="51"/>
      <c r="D1" s="50" t="s">
        <v>221</v>
      </c>
      <c r="E1" s="51"/>
      <c r="G1" s="50" t="s">
        <v>65</v>
      </c>
      <c r="H1" s="51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50" t="s">
        <v>7</v>
      </c>
      <c r="B9" s="51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70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50" t="s">
        <v>16</v>
      </c>
      <c r="B29" s="51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52" t="s">
        <v>34</v>
      </c>
      <c r="E31" s="53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50" t="s">
        <v>133</v>
      </c>
      <c r="B47" s="51"/>
    </row>
    <row r="48" spans="1:5" x14ac:dyDescent="0.25">
      <c r="A48" t="s">
        <v>130</v>
      </c>
      <c r="B48" s="25">
        <f>H7+E19</f>
        <v>6.8560492004849909</v>
      </c>
      <c r="C48" s="26">
        <f>B48*1.35</f>
        <v>9.2556664206547374</v>
      </c>
    </row>
    <row r="49" spans="1:4" x14ac:dyDescent="0.25">
      <c r="A49" s="28" t="s">
        <v>228</v>
      </c>
      <c r="B49" s="59">
        <v>34.424999999999997</v>
      </c>
    </row>
    <row r="50" spans="1:4" x14ac:dyDescent="0.25">
      <c r="A50" s="16" t="s">
        <v>229</v>
      </c>
      <c r="B50" s="58" t="s">
        <v>236</v>
      </c>
      <c r="D50" s="24" t="s">
        <v>231</v>
      </c>
    </row>
    <row r="51" spans="1:4" x14ac:dyDescent="0.25">
      <c r="A51" s="28" t="s">
        <v>230</v>
      </c>
      <c r="B51" s="56">
        <v>13.47</v>
      </c>
    </row>
    <row r="52" spans="1:4" x14ac:dyDescent="0.25">
      <c r="A52" s="15" t="s">
        <v>240</v>
      </c>
      <c r="B52" s="57">
        <v>14.74</v>
      </c>
    </row>
    <row r="53" spans="1:4" x14ac:dyDescent="0.25">
      <c r="A53" s="15" t="s">
        <v>241</v>
      </c>
      <c r="B53" s="57">
        <v>-19.5</v>
      </c>
    </row>
    <row r="54" spans="1:4" x14ac:dyDescent="0.25">
      <c r="A54" s="15" t="s">
        <v>232</v>
      </c>
      <c r="B54" s="57">
        <v>11.67</v>
      </c>
    </row>
    <row r="55" spans="1:4" x14ac:dyDescent="0.25">
      <c r="A55" s="15" t="s">
        <v>233</v>
      </c>
      <c r="B55" s="57">
        <v>25.17</v>
      </c>
    </row>
    <row r="56" spans="1:4" x14ac:dyDescent="0.25">
      <c r="A56" s="15" t="s">
        <v>234</v>
      </c>
      <c r="B56" s="57">
        <v>12</v>
      </c>
    </row>
    <row r="57" spans="1:4" x14ac:dyDescent="0.25">
      <c r="A57" s="16" t="s">
        <v>235</v>
      </c>
      <c r="B57" s="58">
        <v>-19.5</v>
      </c>
    </row>
    <row r="58" spans="1:4" x14ac:dyDescent="0.25">
      <c r="A58" s="28" t="s">
        <v>237</v>
      </c>
      <c r="B58" s="56">
        <v>66.650000000000006</v>
      </c>
    </row>
    <row r="59" spans="1:4" x14ac:dyDescent="0.25">
      <c r="A59" s="15" t="s">
        <v>242</v>
      </c>
      <c r="B59" s="57">
        <v>96.16</v>
      </c>
    </row>
    <row r="60" spans="1:4" x14ac:dyDescent="0.25">
      <c r="A60" s="15" t="s">
        <v>243</v>
      </c>
      <c r="B60" s="57">
        <v>-71.05</v>
      </c>
    </row>
    <row r="61" spans="1:4" x14ac:dyDescent="0.25">
      <c r="A61" s="15" t="s">
        <v>238</v>
      </c>
      <c r="B61" s="57">
        <v>63.95</v>
      </c>
    </row>
    <row r="62" spans="1:4" x14ac:dyDescent="0.25">
      <c r="A62" s="15" t="s">
        <v>244</v>
      </c>
      <c r="B62" s="57">
        <v>111.9</v>
      </c>
    </row>
    <row r="63" spans="1:4" x14ac:dyDescent="0.25">
      <c r="A63" s="15" t="s">
        <v>245</v>
      </c>
      <c r="B63" s="57">
        <v>-41.81</v>
      </c>
    </row>
    <row r="64" spans="1:4" x14ac:dyDescent="0.25">
      <c r="A64" s="15" t="s">
        <v>239</v>
      </c>
      <c r="B64" s="57">
        <v>49.15</v>
      </c>
    </row>
    <row r="65" spans="1:4" x14ac:dyDescent="0.25">
      <c r="A65" s="60" t="s">
        <v>246</v>
      </c>
      <c r="B65" s="57">
        <v>58.96</v>
      </c>
    </row>
    <row r="66" spans="1:4" x14ac:dyDescent="0.25">
      <c r="A66" s="16" t="s">
        <v>247</v>
      </c>
      <c r="B66" s="58">
        <v>-71.06</v>
      </c>
    </row>
    <row r="67" spans="1:4" ht="15.75" thickBot="1" x14ac:dyDescent="0.3"/>
    <row r="68" spans="1:4" ht="15.75" thickBot="1" x14ac:dyDescent="0.3">
      <c r="A68" s="50" t="s">
        <v>134</v>
      </c>
      <c r="B68" s="51"/>
    </row>
    <row r="69" spans="1:4" x14ac:dyDescent="0.25">
      <c r="A69" t="s">
        <v>123</v>
      </c>
      <c r="B69" s="23">
        <f>_Wpl_y*1000*_fy*10^(-6)</f>
        <v>603.85500000000002</v>
      </c>
    </row>
    <row r="70" spans="1:4" x14ac:dyDescent="0.25">
      <c r="A70" t="s">
        <v>248</v>
      </c>
      <c r="B70" s="23">
        <f>_Av*100*_fy/(1000*SQRT(3))</f>
        <v>1042.1194079466816</v>
      </c>
    </row>
    <row r="71" spans="1:4" x14ac:dyDescent="0.25">
      <c r="B71" s="23"/>
    </row>
    <row r="72" spans="1:4" x14ac:dyDescent="0.25">
      <c r="A72" s="21"/>
      <c r="B72" s="68" t="s">
        <v>249</v>
      </c>
      <c r="C72" s="69" t="s">
        <v>250</v>
      </c>
      <c r="D72" s="22" t="s">
        <v>251</v>
      </c>
    </row>
    <row r="73" spans="1:4" x14ac:dyDescent="0.25">
      <c r="A73" s="15" t="s">
        <v>141</v>
      </c>
      <c r="B73" s="65">
        <f>MAX(B59,ABS(B60))/_Mpl_Rd</f>
        <v>0.15924352700565533</v>
      </c>
      <c r="C73" s="61">
        <f>MAX(B62,ABS(B63))/_Mpl_Rd</f>
        <v>0.18530938718732146</v>
      </c>
      <c r="D73" s="17">
        <f>MAX(B65,ABS(B66))/_Mpl_Rd</f>
        <v>0.11767725695738215</v>
      </c>
    </row>
    <row r="74" spans="1:4" x14ac:dyDescent="0.25">
      <c r="A74" s="15" t="s">
        <v>142</v>
      </c>
      <c r="B74" s="65">
        <f>B58/B70</f>
        <v>6.3956202611486199E-2</v>
      </c>
      <c r="C74" s="61">
        <f>B61/B70</f>
        <v>6.1365328687239942E-2</v>
      </c>
      <c r="D74" s="17">
        <f>B64/B70</f>
        <v>4.7163501250630853E-2</v>
      </c>
    </row>
    <row r="75" spans="1:4" x14ac:dyDescent="0.25">
      <c r="A75" s="15" t="s">
        <v>255</v>
      </c>
      <c r="B75" s="66">
        <f>1/B73</f>
        <v>6.2796900998336103</v>
      </c>
      <c r="C75" s="62">
        <f t="shared" ref="C75:D75" si="0">1/C73</f>
        <v>5.3963806970509385</v>
      </c>
      <c r="D75" s="63">
        <f t="shared" si="0"/>
        <v>8.4978187447227693</v>
      </c>
    </row>
    <row r="76" spans="1:4" x14ac:dyDescent="0.25">
      <c r="A76" s="15" t="s">
        <v>256</v>
      </c>
      <c r="B76" s="66">
        <v>5.4870000000000001</v>
      </c>
      <c r="C76" s="62"/>
      <c r="D76" s="63"/>
    </row>
    <row r="77" spans="1:4" x14ac:dyDescent="0.25">
      <c r="A77" s="15" t="s">
        <v>252</v>
      </c>
      <c r="B77" s="65">
        <f>SQRT(B75/B76)</f>
        <v>1.0697976163788039</v>
      </c>
      <c r="C77" s="61">
        <f>SQRT(_Mpl_Rd/C75)</f>
        <v>10.578279633286312</v>
      </c>
      <c r="D77" s="17">
        <f>SQRT(_Mpl_Rd/D75)</f>
        <v>8.4297093662830402</v>
      </c>
    </row>
    <row r="78" spans="1:4" x14ac:dyDescent="0.25">
      <c r="A78" s="15" t="s">
        <v>167</v>
      </c>
      <c r="B78" s="66">
        <v>0.21</v>
      </c>
      <c r="C78" s="62">
        <v>1.21</v>
      </c>
      <c r="D78" s="63">
        <v>2.21</v>
      </c>
    </row>
    <row r="79" spans="1:4" x14ac:dyDescent="0.25">
      <c r="A79" s="15" t="s">
        <v>253</v>
      </c>
      <c r="B79" s="65">
        <f>0.5*(1+B78*(B77-0.2)+B77^2)</f>
        <v>1.1635622197246596</v>
      </c>
      <c r="C79" s="61">
        <f t="shared" ref="C79:D79" si="1">0.5*(1+C78*(C77-0.2)+C77^2)</f>
        <v>62.728859178138222</v>
      </c>
      <c r="D79" s="17">
        <f t="shared" si="1"/>
        <v>45.123828849742765</v>
      </c>
    </row>
    <row r="80" spans="1:4" x14ac:dyDescent="0.25">
      <c r="A80" s="15" t="s">
        <v>254</v>
      </c>
      <c r="B80" s="65">
        <f>1/(B79+SQRT(B79^2-B77^2))</f>
        <v>0.61683628663191403</v>
      </c>
      <c r="C80" s="61">
        <f t="shared" ref="C80:D80" si="2">1/(C79+SQRT(C79^2-C77^2))</f>
        <v>8.0283012749364502E-3</v>
      </c>
      <c r="D80" s="17">
        <f t="shared" si="2"/>
        <v>1.1179020366719835E-2</v>
      </c>
    </row>
    <row r="81" spans="1:4" x14ac:dyDescent="0.25">
      <c r="A81" s="15" t="s">
        <v>149</v>
      </c>
      <c r="B81" s="66">
        <f>B80*_Mpl_Rd</f>
        <v>372.47967586411448</v>
      </c>
      <c r="C81" s="62">
        <f>C80*_Mpl_Rd</f>
        <v>4.8479298663767505</v>
      </c>
      <c r="D81" s="63">
        <f>D80*_Mpl_Rd</f>
        <v>6.750507343545606</v>
      </c>
    </row>
    <row r="82" spans="1:4" x14ac:dyDescent="0.25">
      <c r="A82" s="16" t="s">
        <v>150</v>
      </c>
      <c r="B82" s="67">
        <f>B73/B80</f>
        <v>0.25816173668246117</v>
      </c>
      <c r="C82" s="64">
        <f t="shared" ref="C82:D82" si="3">C73/C80</f>
        <v>23.082017084465768</v>
      </c>
      <c r="D82" s="18">
        <f t="shared" si="3"/>
        <v>10.526616205809024</v>
      </c>
    </row>
  </sheetData>
  <mergeCells count="8">
    <mergeCell ref="G1:H1"/>
    <mergeCell ref="A29:B29"/>
    <mergeCell ref="A68:B68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163</vt:i4>
      </vt:variant>
    </vt:vector>
  </HeadingPairs>
  <TitlesOfParts>
    <vt:vector size="166" baseType="lpstr">
      <vt:lpstr>Cas 2</vt:lpstr>
      <vt:lpstr>Cas 3</vt:lpstr>
      <vt:lpstr>Cas 5</vt:lpstr>
      <vt:lpstr>'Cas 2'!_A</vt:lpstr>
      <vt:lpstr>'Cas 3'!_A</vt:lpstr>
      <vt:lpstr>'Cas 5'!_A</vt:lpstr>
      <vt:lpstr>'Cas 2'!_A0</vt:lpstr>
      <vt:lpstr>'Cas 5'!_Ac</vt:lpstr>
      <vt:lpstr>'Cas 2'!_Ace</vt:lpstr>
      <vt:lpstr>'Cas 3'!_Ace</vt:lpstr>
      <vt:lpstr>'Cas 2'!_Acr</vt:lpstr>
      <vt:lpstr>'Cas 2'!_As_inf</vt:lpstr>
      <vt:lpstr>'Cas 3'!_As_inf</vt:lpstr>
      <vt:lpstr>'Cas 2'!_Av</vt:lpstr>
      <vt:lpstr>'Cas 3'!_Av</vt:lpstr>
      <vt:lpstr>'Cas 5'!_Av</vt:lpstr>
      <vt:lpstr>'Cas 2'!_b</vt:lpstr>
      <vt:lpstr>'Cas 3'!_b</vt:lpstr>
      <vt:lpstr>'Cas 5'!_b</vt:lpstr>
      <vt:lpstr>'Cas 5'!_b_Droite</vt:lpstr>
      <vt:lpstr>'Cas 5'!_b_Gauche</vt:lpstr>
      <vt:lpstr>'Cas 2'!_B0</vt:lpstr>
      <vt:lpstr>'Cas 2'!_bb</vt:lpstr>
      <vt:lpstr>'Cas 2'!_bc</vt:lpstr>
      <vt:lpstr>'Cas 3'!_bc</vt:lpstr>
      <vt:lpstr>'Cas 3'!_bdroite</vt:lpstr>
      <vt:lpstr>'Cas 3'!_be1</vt:lpstr>
      <vt:lpstr>'Cas 3'!_be2</vt:lpstr>
      <vt:lpstr>'Cas 3'!_beff_appui</vt:lpstr>
      <vt:lpstr>'Cas 3'!_beff_mi_travee</vt:lpstr>
      <vt:lpstr>'Cas 3'!_beta1</vt:lpstr>
      <vt:lpstr>'Cas 3'!_beta2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2'!_cw</vt:lpstr>
      <vt:lpstr>'Cas 3'!_cw</vt:lpstr>
      <vt:lpstr>'Cas 5'!_cw</vt:lpstr>
      <vt:lpstr>'Cas 2'!_d</vt:lpstr>
      <vt:lpstr>'Cas 3'!_dsc</vt:lpstr>
      <vt:lpstr>'Cas 2'!_dw</vt:lpstr>
      <vt:lpstr>'Cas 3'!_dw</vt:lpstr>
      <vt:lpstr>'Cas 2'!_Ecm_dalle</vt:lpstr>
      <vt:lpstr>'Cas 3'!_Ecm_dalle</vt:lpstr>
      <vt:lpstr>'Cas 2'!_ep</vt:lpstr>
      <vt:lpstr>'Cas 3'!_ep</vt:lpstr>
      <vt:lpstr>'Cas 2'!_epsilon</vt:lpstr>
      <vt:lpstr>'Cas 3'!_epsilon</vt:lpstr>
      <vt:lpstr>'Cas 5'!_epsilon</vt:lpstr>
      <vt:lpstr>'Cas 3'!_eta</vt:lpstr>
      <vt:lpstr>'Cas 2'!_fck_dalle</vt:lpstr>
      <vt:lpstr>'Cas 3'!_fck_dalle</vt:lpstr>
      <vt:lpstr>'Cas 2'!_fck_enrobage</vt:lpstr>
      <vt:lpstr>'Cas 3'!_fck_enrobage</vt:lpstr>
      <vt:lpstr>'Cas 2'!_fcm_dalle</vt:lpstr>
      <vt:lpstr>'Cas 2'!_fcm_enrobage</vt:lpstr>
      <vt:lpstr>'Cas 3'!_fcm_enrobage</vt:lpstr>
      <vt:lpstr>'Cas 2'!_fctm_dalle</vt:lpstr>
      <vt:lpstr>'Cas 2'!_fctm_enrobage</vt:lpstr>
      <vt:lpstr>'Cas 2'!_fusc</vt:lpstr>
      <vt:lpstr>'Cas 3'!_fusc</vt:lpstr>
      <vt:lpstr>'Cas 2'!_fy</vt:lpstr>
      <vt:lpstr>'Cas 3'!_fy</vt:lpstr>
      <vt:lpstr>'Cas 5'!_fy</vt:lpstr>
      <vt:lpstr>'Cas 2'!_fyd</vt:lpstr>
      <vt:lpstr>'Cas 3'!_fyd</vt:lpstr>
      <vt:lpstr>'Cas 2'!_fyp</vt:lpstr>
      <vt:lpstr>'Cas 2'!_h</vt:lpstr>
      <vt:lpstr>'Cas 3'!_h</vt:lpstr>
      <vt:lpstr>'Cas 5'!_h</vt:lpstr>
      <vt:lpstr>'Cas 2'!_hp</vt:lpstr>
      <vt:lpstr>'Cas 3'!_hp</vt:lpstr>
      <vt:lpstr>'Cas 2'!_hpg</vt:lpstr>
      <vt:lpstr>'Cas 2'!_hsc</vt:lpstr>
      <vt:lpstr>'Cas 3'!_hsc</vt:lpstr>
      <vt:lpstr>'Cas 2'!_hw</vt:lpstr>
      <vt:lpstr>'Cas 3'!_hw</vt:lpstr>
      <vt:lpstr>'Cas 5'!_hw</vt:lpstr>
      <vt:lpstr>'Cas 2'!_Iy</vt:lpstr>
      <vt:lpstr>'Cas 3'!_Iy</vt:lpstr>
      <vt:lpstr>'Cas 5'!_Iy</vt:lpstr>
      <vt:lpstr>'Cas 2'!_Iz</vt:lpstr>
      <vt:lpstr>'Cas 5'!_Iz</vt:lpstr>
      <vt:lpstr>'Cas 2'!_kr</vt:lpstr>
      <vt:lpstr>'Cas 3'!_kt</vt:lpstr>
      <vt:lpstr>'Cas 3'!_kt_max</vt:lpstr>
      <vt:lpstr>'Cas 2'!_L</vt:lpstr>
      <vt:lpstr>'Cas 3'!_L</vt:lpstr>
      <vt:lpstr>'Cas 5'!_L_ConsoleD</vt:lpstr>
      <vt:lpstr>'Cas 5'!_L_ConsoleG</vt:lpstr>
      <vt:lpstr>'Cas 5'!_L_tot</vt:lpstr>
      <vt:lpstr>'Cas 5'!_L_Travee</vt:lpstr>
      <vt:lpstr>'Cas 2'!_Mel_y_Rd</vt:lpstr>
      <vt:lpstr>'Cas 2'!_Mel_z_Rd</vt:lpstr>
      <vt:lpstr>'Cas 5'!_Mpl_Rd</vt:lpstr>
      <vt:lpstr>'Cas 2'!_Mpl_y_Rd</vt:lpstr>
      <vt:lpstr>'Cas 2'!_Mpl_z_Rd</vt:lpstr>
      <vt:lpstr>'Cas 2'!_n</vt:lpstr>
      <vt:lpstr>'Cas 3'!_n_dalle</vt:lpstr>
      <vt:lpstr>'Cas 3'!_Na</vt:lpstr>
      <vt:lpstr>'Cas 3'!_Ncp</vt:lpstr>
      <vt:lpstr>'Cas 3'!_Nf</vt:lpstr>
      <vt:lpstr>'Cas 3'!_nr</vt:lpstr>
      <vt:lpstr>'Cas 3'!_Ns_inf</vt:lpstr>
      <vt:lpstr>'Cas 2'!_NtRd</vt:lpstr>
      <vt:lpstr>'Cas 3'!_Nw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2'!_rho</vt:lpstr>
      <vt:lpstr>'Cas 3'!_rho</vt:lpstr>
      <vt:lpstr>'Cas 5'!_rhoA</vt:lpstr>
      <vt:lpstr>'Cas 5'!_rhoC</vt:lpstr>
      <vt:lpstr>'Cas 2'!_tc</vt:lpstr>
      <vt:lpstr>'Cas 3'!_tc</vt:lpstr>
      <vt:lpstr>'Cas 2'!_td</vt:lpstr>
      <vt:lpstr>'Cas 3'!_td</vt:lpstr>
      <vt:lpstr>'Cas 5'!_td</vt:lpstr>
      <vt:lpstr>'Cas 2'!_tf</vt:lpstr>
      <vt:lpstr>'Cas 3'!_tf</vt:lpstr>
      <vt:lpstr>'Cas 5'!_tf</vt:lpstr>
      <vt:lpstr>'Cas 5'!_th</vt:lpstr>
      <vt:lpstr>'Cas 5'!_theta</vt:lpstr>
      <vt:lpstr>'Cas 2'!_tp</vt:lpstr>
      <vt:lpstr>'Cas 2'!_tw</vt:lpstr>
      <vt:lpstr>'Cas 3'!_tw</vt:lpstr>
      <vt:lpstr>'Cas 5'!_tw</vt:lpstr>
      <vt:lpstr>'Cas 2'!_VplRd</vt:lpstr>
      <vt:lpstr>'Cas 3'!_VplRd</vt:lpstr>
      <vt:lpstr>'Cas 5'!_VplRd</vt:lpstr>
      <vt:lpstr>'Cas 2'!_Wel_y</vt:lpstr>
      <vt:lpstr>'Cas 3'!_Wel_y</vt:lpstr>
      <vt:lpstr>'Cas 5'!_Wel_y</vt:lpstr>
      <vt:lpstr>'Cas 2'!_Wel_z</vt:lpstr>
      <vt:lpstr>'Cas 3'!_Wel_z</vt:lpstr>
      <vt:lpstr>'Cas 5'!_Wel_z</vt:lpstr>
      <vt:lpstr>'Cas 2'!_Wpl_y</vt:lpstr>
      <vt:lpstr>'Cas 3'!_Wpl_y</vt:lpstr>
      <vt:lpstr>'Cas 5'!_Wpl_y</vt:lpstr>
      <vt:lpstr>'Cas 2'!_Wpl_z</vt:lpstr>
      <vt:lpstr>'Cas 3'!_Wpl_z</vt:lpstr>
      <vt:lpstr>'Cas 5'!_Wpl_z</vt:lpstr>
      <vt:lpstr>'Cas 2'!_za</vt:lpstr>
      <vt:lpstr>'Cas 3'!_za</vt:lpstr>
      <vt:lpstr>'Cas 2'!_zcr</vt:lpstr>
      <vt:lpstr>'Cas 2'!_zel</vt:lpstr>
      <vt:lpstr>'Cas 3'!_zel</vt:lpstr>
      <vt:lpstr>'Cas 2'!_zpl</vt:lpstr>
      <vt:lpstr>'Cas 3'!_zpl_a</vt:lpstr>
      <vt:lpstr>'Cas 3'!_zpl_c</vt:lpstr>
      <vt:lpstr>'Cas 3'!_zs</vt:lpstr>
      <vt:lpstr>'Cas 2'!_zs_inf</vt:lpstr>
      <vt:lpstr>'Cas 3'!_zs_inf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2024-05-31T16:06:17Z</dcterms:modified>
</cp:coreProperties>
</file>