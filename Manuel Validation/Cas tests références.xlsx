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delacourt\source\repos\ABCPMX\Manuel Validation\"/>
    </mc:Choice>
  </mc:AlternateContent>
  <bookViews>
    <workbookView xWindow="0" yWindow="0" windowWidth="15300" windowHeight="4260"/>
  </bookViews>
  <sheets>
    <sheet name="Cas 2" sheetId="1" r:id="rId1"/>
    <sheet name="Cas 3" sheetId="2" r:id="rId2"/>
    <sheet name="Cas 4" sheetId="4" r:id="rId3"/>
    <sheet name="Cas 5" sheetId="3" r:id="rId4"/>
  </sheets>
  <definedNames>
    <definedName name="_A" localSheetId="0">'Cas 2'!$B$32</definedName>
    <definedName name="_A" localSheetId="1">'Cas 3'!$B$33</definedName>
    <definedName name="_A" localSheetId="3">'Cas 5'!$B$11</definedName>
    <definedName name="_A0" localSheetId="0">'Cas 2'!$B$75</definedName>
    <definedName name="_A0" localSheetId="1">'Cas 3'!#REF!</definedName>
    <definedName name="_Ac" localSheetId="3">'Cas 5'!$H$5</definedName>
    <definedName name="_Ace" localSheetId="0">'Cas 2'!$E$4</definedName>
    <definedName name="_Ace" localSheetId="1">'Cas 3'!$E$4</definedName>
    <definedName name="_Acr" localSheetId="0">'Cas 2'!$B$71</definedName>
    <definedName name="_Acr" localSheetId="1">'Cas 3'!#REF!</definedName>
    <definedName name="_As_inf" localSheetId="0">'Cas 2'!$E$10</definedName>
    <definedName name="_As_inf" localSheetId="1">'Cas 3'!$E$10</definedName>
    <definedName name="_Av" localSheetId="0">'Cas 2'!$B$33</definedName>
    <definedName name="_Av" localSheetId="1">'Cas 3'!$B$34</definedName>
    <definedName name="_Av" localSheetId="3">'Cas 5'!$B$12</definedName>
    <definedName name="_b" localSheetId="0">'Cas 2'!$B$4</definedName>
    <definedName name="_b" localSheetId="1">'Cas 3'!$B$15</definedName>
    <definedName name="_b" localSheetId="3">'Cas 5'!$E$3</definedName>
    <definedName name="_b_Droite" localSheetId="3">'Cas 5'!$B$7</definedName>
    <definedName name="_b_Gauche" localSheetId="3">'Cas 5'!$B$6</definedName>
    <definedName name="_B0" localSheetId="0">'Cas 2'!$B$76</definedName>
    <definedName name="_B0" localSheetId="1">'Cas 3'!#REF!</definedName>
    <definedName name="_bb" localSheetId="0">'Cas 2'!$E$21</definedName>
    <definedName name="_bc" localSheetId="0">'Cas 2'!$E$3</definedName>
    <definedName name="_bc" localSheetId="1">'Cas 3'!$E$3</definedName>
    <definedName name="_bdroite" localSheetId="1">'Cas 3'!$B$4</definedName>
    <definedName name="_be1" localSheetId="1">'Cas 3'!$B$6</definedName>
    <definedName name="_be2" localSheetId="1">'Cas 3'!$B$7</definedName>
    <definedName name="_beff_appui" localSheetId="1">'Cas 3'!$B$11</definedName>
    <definedName name="_beff_mi_travee" localSheetId="1">'Cas 3'!$B$10</definedName>
    <definedName name="_beta1" localSheetId="1">'Cas 3'!$B$8</definedName>
    <definedName name="_beta2" localSheetId="1">'Cas 3'!$B$9</definedName>
    <definedName name="_bgauche" localSheetId="1">'Cas 3'!$B$3</definedName>
    <definedName name="_bm" localSheetId="0">'Cas 2'!$E$22</definedName>
    <definedName name="_bm" localSheetId="1">'Cas 3'!$E$22</definedName>
    <definedName name="_bp" localSheetId="0">'Cas 2'!$B$70</definedName>
    <definedName name="_bp" localSheetId="1">'Cas 3'!#REF!</definedName>
    <definedName name="_bt" localSheetId="0">'Cas 2'!$E$20</definedName>
    <definedName name="_cf" localSheetId="0">'Cas 2'!$B$11</definedName>
    <definedName name="_cf" localSheetId="1">'Cas 3'!$B$22</definedName>
    <definedName name="_cf" localSheetId="3">'Cas 5'!$E$12</definedName>
    <definedName name="_cw" localSheetId="0">'Cas 2'!$B$12</definedName>
    <definedName name="_cw" localSheetId="1">'Cas 3'!$B$23</definedName>
    <definedName name="_cw" localSheetId="3">'Cas 5'!$E$13</definedName>
    <definedName name="_d" localSheetId="0">'Cas 2'!$H$13</definedName>
    <definedName name="_dsc" localSheetId="1">'Cas 3'!$H$14</definedName>
    <definedName name="_dw" localSheetId="0">'Cas 2'!$B$9</definedName>
    <definedName name="_dw" localSheetId="1">'Cas 3'!$B$20</definedName>
    <definedName name="_Ecm_dalle" localSheetId="0">'Cas 2'!$H$8</definedName>
    <definedName name="_Ecm_dalle" localSheetId="1">'Cas 3'!$H$8</definedName>
    <definedName name="_ep" localSheetId="0">'Cas 2'!$E$19</definedName>
    <definedName name="_ep" localSheetId="1">'Cas 3'!$E$19</definedName>
    <definedName name="_epsilon" localSheetId="0">'Cas 2'!$B$15</definedName>
    <definedName name="_epsilon" localSheetId="1">'Cas 3'!$B$26</definedName>
    <definedName name="_epsilon" localSheetId="3">'Cas 5'!$E$16</definedName>
    <definedName name="_eta" localSheetId="1">'Cas 3'!$H$28</definedName>
    <definedName name="_fck_dalle" localSheetId="0">'Cas 2'!$H$5</definedName>
    <definedName name="_fck_dalle" localSheetId="1">'Cas 3'!$H$5</definedName>
    <definedName name="_fck_enrobage" localSheetId="0">'Cas 2'!$E$6</definedName>
    <definedName name="_fck_enrobage" localSheetId="1">'Cas 3'!$E$6</definedName>
    <definedName name="_fcm_dalle" localSheetId="0">'Cas 2'!$H$6</definedName>
    <definedName name="_fcm_enrobage" localSheetId="0">'Cas 2'!$E$7</definedName>
    <definedName name="_fcm_enrobage" localSheetId="1">'Cas 3'!$E$7</definedName>
    <definedName name="_fctm_dalle" localSheetId="0">'Cas 2'!$H$7</definedName>
    <definedName name="_fctm_enrobage" localSheetId="0">'Cas 2'!$E$8</definedName>
    <definedName name="_fusc" localSheetId="0">'Cas 2'!$H$14</definedName>
    <definedName name="_fusc" localSheetId="1">'Cas 3'!$H$15</definedName>
    <definedName name="_fy" localSheetId="0">'Cas 2'!$B$14</definedName>
    <definedName name="_fy" localSheetId="1">'Cas 3'!$B$25</definedName>
    <definedName name="_fy" localSheetId="3">'Cas 5'!$E$15</definedName>
    <definedName name="_fyd" localSheetId="0">'Cas 2'!$E$12</definedName>
    <definedName name="_fyd" localSheetId="1">'Cas 3'!$E$12</definedName>
    <definedName name="_fyp" localSheetId="0">'Cas 2'!$E$24</definedName>
    <definedName name="_h" localSheetId="0">'Cas 2'!$B$3</definedName>
    <definedName name="_h" localSheetId="1">'Cas 3'!$B$14</definedName>
    <definedName name="_h" localSheetId="3">'Cas 5'!$E$2</definedName>
    <definedName name="_hp" localSheetId="0">'Cas 2'!$E$17</definedName>
    <definedName name="_hp" localSheetId="1">'Cas 3'!$E$17</definedName>
    <definedName name="_hpg" localSheetId="0">'Cas 2'!$E$18</definedName>
    <definedName name="_hsc" localSheetId="0">'Cas 2'!$H$12</definedName>
    <definedName name="_hsc" localSheetId="1">'Cas 3'!$H$13</definedName>
    <definedName name="_hw" localSheetId="0">'Cas 2'!$B$8</definedName>
    <definedName name="_hw" localSheetId="1">'Cas 3'!$B$19</definedName>
    <definedName name="_hw" localSheetId="3">'Cas 5'!$E$9</definedName>
    <definedName name="_Iy" localSheetId="0">'Cas 2'!$B$34</definedName>
    <definedName name="_Iy" localSheetId="1">'Cas 3'!$B$35</definedName>
    <definedName name="_Iy" localSheetId="3">'Cas 5'!$B$13</definedName>
    <definedName name="_Iz" localSheetId="0">'Cas 2'!$B$35</definedName>
    <definedName name="_Iz" localSheetId="3">'Cas 5'!$B$14</definedName>
    <definedName name="_kr" localSheetId="0">'Cas 2'!$B$72</definedName>
    <definedName name="_kr" localSheetId="1">'Cas 3'!#REF!</definedName>
    <definedName name="_kt" localSheetId="1">'Cas 3'!$H$21</definedName>
    <definedName name="_kt_max" localSheetId="1">'Cas 3'!$H$20</definedName>
    <definedName name="_L" localSheetId="0">'Cas 2'!$B$2</definedName>
    <definedName name="_L" localSheetId="1">'Cas 3'!$B$2</definedName>
    <definedName name="_L_ConsoleD" localSheetId="3">'Cas 5'!$B$4</definedName>
    <definedName name="_L_ConsoleG" localSheetId="3">'Cas 5'!$B$2</definedName>
    <definedName name="_L_tot" localSheetId="3">'Cas 5'!$B$5</definedName>
    <definedName name="_L_Travee" localSheetId="3">'Cas 5'!$B$3</definedName>
    <definedName name="_Mel_y_Rd" localSheetId="0">'Cas 2'!$B$53</definedName>
    <definedName name="_Mel_z_Rd" localSheetId="0">'Cas 2'!$B$54</definedName>
    <definedName name="_Mpl_Rd" localSheetId="3">'Cas 5'!$B$69</definedName>
    <definedName name="_Mpl_y_Rd" localSheetId="0">'Cas 2'!$B$55</definedName>
    <definedName name="_Mpl_z_Rd" localSheetId="0">'Cas 2'!$B$56</definedName>
    <definedName name="_n" localSheetId="0">'Cas 2'!$B$69</definedName>
    <definedName name="_n_dalle" localSheetId="1">'Cas 3'!$B$70</definedName>
    <definedName name="_n_enrobage" localSheetId="1">'Cas 3'!#REF!</definedName>
    <definedName name="_Na" localSheetId="1">'Cas 3'!$H$23</definedName>
    <definedName name="_Ncp" localSheetId="1">'Cas 3'!$B$104</definedName>
    <definedName name="_Nf" localSheetId="1">'Cas 3'!$B$102</definedName>
    <definedName name="_nr" localSheetId="1">'Cas 3'!$H$16</definedName>
    <definedName name="_Ns_inf" localSheetId="1">'Cas 3'!$H$24</definedName>
    <definedName name="_NtRd" localSheetId="0">'Cas 2'!$B$51</definedName>
    <definedName name="_Nw" localSheetId="1">'Cas 3'!$B$103</definedName>
    <definedName name="_qBac" localSheetId="0">'Cas 2'!$E$26</definedName>
    <definedName name="_qBac" localSheetId="1">'Cas 3'!$E$26</definedName>
    <definedName name="_qDalle" localSheetId="0">'Cas 2'!$H$10</definedName>
    <definedName name="_qDalle" localSheetId="1">'Cas 3'!$H$10</definedName>
    <definedName name="_qEnrobage" localSheetId="0">'Cas 2'!$E$13</definedName>
    <definedName name="_qEnrobage" localSheetId="1">'Cas 3'!$E$13</definedName>
    <definedName name="_qProfile" localSheetId="0">'Cas 2'!$B$18</definedName>
    <definedName name="_qProfile" localSheetId="1">'Cas 3'!$B$29</definedName>
    <definedName name="_r" localSheetId="0">'Cas 2'!$B$7</definedName>
    <definedName name="_r" localSheetId="1">'Cas 3'!$B$18</definedName>
    <definedName name="_r" localSheetId="3">'Cas 5'!$E$8</definedName>
    <definedName name="_rho" localSheetId="0">'Cas 2'!$B$17</definedName>
    <definedName name="_rho" localSheetId="1">'Cas 3'!$B$28</definedName>
    <definedName name="_rhoA" localSheetId="3">'Cas 5'!$E$18</definedName>
    <definedName name="_rhoC" localSheetId="3">'Cas 5'!$H$6</definedName>
    <definedName name="_tc" localSheetId="0">'Cas 2'!$H$4</definedName>
    <definedName name="_tc" localSheetId="1">'Cas 3'!$H$4</definedName>
    <definedName name="_td" localSheetId="0">'Cas 2'!$H$3</definedName>
    <definedName name="_td" localSheetId="1">'Cas 3'!$H$3</definedName>
    <definedName name="_td" localSheetId="3">'Cas 5'!$H$2</definedName>
    <definedName name="_tf" localSheetId="0">'Cas 2'!$B$5</definedName>
    <definedName name="_tf" localSheetId="1">'Cas 3'!$B$16</definedName>
    <definedName name="_tf" localSheetId="3">'Cas 5'!$E$4</definedName>
    <definedName name="_th" localSheetId="3">'Cas 5'!$H$3</definedName>
    <definedName name="_theta" localSheetId="3">'Cas 5'!$H$4</definedName>
    <definedName name="_tp" localSheetId="0">'Cas 2'!$E$23</definedName>
    <definedName name="_tw" localSheetId="0">'Cas 2'!$B$6</definedName>
    <definedName name="_tw" localSheetId="1">'Cas 3'!$B$17</definedName>
    <definedName name="_tw" localSheetId="3">'Cas 5'!$E$5</definedName>
    <definedName name="_VplRd" localSheetId="0">'Cas 2'!$B$52</definedName>
    <definedName name="_VplRd" localSheetId="1">'Cas 3'!$B$53</definedName>
    <definedName name="_VplRd" localSheetId="3">'Cas 5'!$B$52</definedName>
    <definedName name="_Wel_y" localSheetId="0">'Cas 2'!$B$36</definedName>
    <definedName name="_Wel_y" localSheetId="1">'Cas 3'!$B$37</definedName>
    <definedName name="_Wel_y" localSheetId="3">'Cas 5'!$B$15</definedName>
    <definedName name="_Wel_z" localSheetId="0">'Cas 2'!$B$37</definedName>
    <definedName name="_Wel_z" localSheetId="1">'Cas 3'!$B$38</definedName>
    <definedName name="_Wel_z" localSheetId="3">'Cas 5'!$B$16</definedName>
    <definedName name="_Wpl_y" localSheetId="0">'Cas 2'!$B$38</definedName>
    <definedName name="_Wpl_y" localSheetId="1">'Cas 3'!$B$39</definedName>
    <definedName name="_Wpl_y" localSheetId="3">'Cas 5'!$B$17</definedName>
    <definedName name="_Wpl_z" localSheetId="0">'Cas 2'!$B$39</definedName>
    <definedName name="_Wpl_z" localSheetId="1">'Cas 3'!$B$40</definedName>
    <definedName name="_Wpl_z" localSheetId="3">'Cas 5'!$B$18</definedName>
    <definedName name="_za" localSheetId="0">'Cas 2'!$B$74</definedName>
    <definedName name="_za" localSheetId="1">'Cas 3'!$B$73</definedName>
    <definedName name="_zcr" localSheetId="0">'Cas 2'!$B$73</definedName>
    <definedName name="_zcr" localSheetId="1">'Cas 3'!#REF!</definedName>
    <definedName name="_zel" localSheetId="0">'Cas 2'!$B$77</definedName>
    <definedName name="_zel" localSheetId="1">'Cas 3'!$B$79</definedName>
    <definedName name="_zpl" localSheetId="0">'Cas 2'!$B$102</definedName>
    <definedName name="_zpl_a" localSheetId="1">'Cas 3'!$B$107</definedName>
    <definedName name="_zpl_c" localSheetId="1">'Cas 3'!$B$105</definedName>
    <definedName name="_zs" localSheetId="1">'Cas 3'!$B$74</definedName>
    <definedName name="_zs_inf" localSheetId="0">'Cas 2'!$E$11</definedName>
    <definedName name="_zs_inf" localSheetId="1">'Cas 3'!$E$11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7" i="3" l="1"/>
  <c r="D77" i="3"/>
  <c r="D78" i="3"/>
  <c r="C78" i="3"/>
  <c r="B78" i="3"/>
  <c r="H77" i="3"/>
  <c r="I77" i="3"/>
  <c r="G77" i="3"/>
  <c r="H76" i="3"/>
  <c r="I76" i="3"/>
  <c r="G76" i="3"/>
  <c r="B10" i="3" l="1"/>
  <c r="B12" i="3"/>
  <c r="B70" i="3" s="1"/>
  <c r="B11" i="3"/>
  <c r="B20" i="3" s="1"/>
  <c r="B16" i="3"/>
  <c r="B15" i="3"/>
  <c r="B69" i="3"/>
  <c r="B73" i="3" s="1"/>
  <c r="G73" i="3" s="1"/>
  <c r="G78" i="3" s="1"/>
  <c r="G79" i="3" s="1"/>
  <c r="G80" i="3" s="1"/>
  <c r="B75" i="3" l="1"/>
  <c r="B77" i="3" s="1"/>
  <c r="G81" i="3"/>
  <c r="C73" i="3"/>
  <c r="B74" i="3"/>
  <c r="G74" i="3" s="1"/>
  <c r="C74" i="3"/>
  <c r="H74" i="3" s="1"/>
  <c r="D74" i="3"/>
  <c r="I74" i="3" s="1"/>
  <c r="D73" i="3"/>
  <c r="B79" i="3"/>
  <c r="B80" i="3" s="1"/>
  <c r="B81" i="3" s="1"/>
  <c r="H5" i="3"/>
  <c r="H7" i="3" s="1"/>
  <c r="E19" i="3"/>
  <c r="B35" i="3"/>
  <c r="B34" i="3"/>
  <c r="B33" i="3"/>
  <c r="B32" i="3"/>
  <c r="B31" i="3"/>
  <c r="B30" i="3"/>
  <c r="B5" i="3"/>
  <c r="B23" i="3" s="1"/>
  <c r="E16" i="3"/>
  <c r="E33" i="3" s="1"/>
  <c r="E12" i="3"/>
  <c r="B37" i="3" s="1"/>
  <c r="E9" i="3"/>
  <c r="E10" i="3" s="1"/>
  <c r="B27" i="3"/>
  <c r="B26" i="3"/>
  <c r="H73" i="3" l="1"/>
  <c r="C75" i="3"/>
  <c r="C79" i="3" s="1"/>
  <c r="C80" i="3" s="1"/>
  <c r="C82" i="3" s="1"/>
  <c r="I73" i="3"/>
  <c r="D75" i="3"/>
  <c r="D79" i="3" s="1"/>
  <c r="D80" i="3" s="1"/>
  <c r="D81" i="3" s="1"/>
  <c r="B82" i="3"/>
  <c r="B48" i="3"/>
  <c r="C48" i="3" s="1"/>
  <c r="E38" i="3"/>
  <c r="E39" i="3"/>
  <c r="E42" i="3"/>
  <c r="E32" i="3"/>
  <c r="B40" i="3" s="1"/>
  <c r="E37" i="3"/>
  <c r="E43" i="3"/>
  <c r="E34" i="3"/>
  <c r="E44" i="3"/>
  <c r="B45" i="3"/>
  <c r="B44" i="3"/>
  <c r="B24" i="3"/>
  <c r="E13" i="3"/>
  <c r="B38" i="3" s="1"/>
  <c r="B142" i="2"/>
  <c r="B140" i="2"/>
  <c r="B139" i="2"/>
  <c r="B151" i="2"/>
  <c r="B152" i="2" s="1"/>
  <c r="B125" i="2"/>
  <c r="B124" i="2"/>
  <c r="B123" i="2"/>
  <c r="B122" i="2"/>
  <c r="B109" i="2"/>
  <c r="B108" i="2"/>
  <c r="C81" i="3" l="1"/>
  <c r="D82" i="3"/>
  <c r="I78" i="3"/>
  <c r="I79" i="3" s="1"/>
  <c r="I80" i="3" s="1"/>
  <c r="H78" i="3"/>
  <c r="H79" i="3" s="1"/>
  <c r="H80" i="3" s="1"/>
  <c r="B42" i="3"/>
  <c r="B41" i="3"/>
  <c r="B102" i="2"/>
  <c r="B74" i="2"/>
  <c r="C74" i="2" s="1"/>
  <c r="B73" i="2"/>
  <c r="C73" i="2" s="1"/>
  <c r="B81" i="2"/>
  <c r="H29" i="2"/>
  <c r="H23" i="2"/>
  <c r="H18" i="2"/>
  <c r="H17" i="2"/>
  <c r="B5" i="2"/>
  <c r="B7" i="2" s="1"/>
  <c r="B9" i="2" s="1"/>
  <c r="H81" i="3" l="1"/>
  <c r="I81" i="3"/>
  <c r="B103" i="2"/>
  <c r="B6" i="2"/>
  <c r="B94" i="2"/>
  <c r="B88" i="2"/>
  <c r="D68" i="2"/>
  <c r="D67" i="2"/>
  <c r="D66" i="2"/>
  <c r="D65" i="2"/>
  <c r="D64" i="2"/>
  <c r="D63" i="2"/>
  <c r="D62" i="2"/>
  <c r="D61" i="2"/>
  <c r="D60" i="2"/>
  <c r="D59" i="2"/>
  <c r="D58" i="2"/>
  <c r="D57" i="2"/>
  <c r="B57" i="2"/>
  <c r="B56" i="2"/>
  <c r="D56" i="2" s="1"/>
  <c r="D55" i="2"/>
  <c r="B52" i="2"/>
  <c r="D52" i="2" s="1"/>
  <c r="D51" i="2"/>
  <c r="D50" i="2"/>
  <c r="D47" i="2"/>
  <c r="D44" i="2"/>
  <c r="B42" i="2"/>
  <c r="B43" i="2" s="1"/>
  <c r="D43" i="2" s="1"/>
  <c r="D41" i="2"/>
  <c r="D40" i="2"/>
  <c r="D39" i="2"/>
  <c r="B38" i="2"/>
  <c r="D38" i="2" s="1"/>
  <c r="B37" i="2"/>
  <c r="B54" i="2" s="1"/>
  <c r="D54" i="2" s="1"/>
  <c r="D36" i="2"/>
  <c r="D35" i="2"/>
  <c r="B34" i="2"/>
  <c r="D34" i="2" s="1"/>
  <c r="D33" i="2"/>
  <c r="D32" i="2"/>
  <c r="B32" i="2"/>
  <c r="B49" i="2" s="1"/>
  <c r="D49" i="2" s="1"/>
  <c r="E26" i="2"/>
  <c r="E22" i="2"/>
  <c r="H21" i="2" s="1"/>
  <c r="B29" i="2"/>
  <c r="B26" i="2"/>
  <c r="B67" i="2" s="1"/>
  <c r="E12" i="2"/>
  <c r="B22" i="2"/>
  <c r="B59" i="2" s="1"/>
  <c r="E10" i="2"/>
  <c r="E8" i="2"/>
  <c r="B19" i="2"/>
  <c r="B66" i="2" s="1"/>
  <c r="H7" i="2"/>
  <c r="E7" i="2"/>
  <c r="H6" i="2"/>
  <c r="H4" i="2"/>
  <c r="E3" i="2"/>
  <c r="H2" i="2" l="1"/>
  <c r="B89" i="2" s="1"/>
  <c r="C80" i="2"/>
  <c r="C81" i="2" s="1"/>
  <c r="B91" i="2"/>
  <c r="H24" i="2"/>
  <c r="H10" i="2"/>
  <c r="B80" i="2"/>
  <c r="B8" i="2"/>
  <c r="B11" i="2" s="1"/>
  <c r="B10" i="2"/>
  <c r="B53" i="2"/>
  <c r="D53" i="2" s="1"/>
  <c r="D42" i="2"/>
  <c r="E9" i="2"/>
  <c r="F61" i="2"/>
  <c r="B46" i="2"/>
  <c r="D46" i="2" s="1"/>
  <c r="B55" i="2"/>
  <c r="F59" i="2"/>
  <c r="F55" i="2"/>
  <c r="F60" i="2"/>
  <c r="F66" i="2"/>
  <c r="B23" i="2"/>
  <c r="B60" i="2" s="1"/>
  <c r="H8" i="2"/>
  <c r="H19" i="2" s="1"/>
  <c r="H22" i="2" s="1"/>
  <c r="E4" i="2"/>
  <c r="C76" i="2" s="1"/>
  <c r="B45" i="2"/>
  <c r="D45" i="2" s="1"/>
  <c r="B20" i="2"/>
  <c r="F54" i="2"/>
  <c r="B62" i="2" s="1"/>
  <c r="F64" i="2"/>
  <c r="F65" i="2"/>
  <c r="D37" i="2"/>
  <c r="B48" i="2"/>
  <c r="D48" i="2" s="1"/>
  <c r="F56" i="2"/>
  <c r="B18" i="1"/>
  <c r="E26" i="1"/>
  <c r="B104" i="1"/>
  <c r="B103" i="1"/>
  <c r="B98" i="1"/>
  <c r="E12" i="1"/>
  <c r="B89" i="1"/>
  <c r="B84" i="1"/>
  <c r="H27" i="2" l="1"/>
  <c r="B148" i="2"/>
  <c r="B149" i="2" s="1"/>
  <c r="C75" i="2"/>
  <c r="B79" i="2"/>
  <c r="D79" i="2" s="1"/>
  <c r="C77" i="2"/>
  <c r="H25" i="2"/>
  <c r="H26" i="2" s="1"/>
  <c r="H28" i="2" s="1"/>
  <c r="B104" i="2" s="1"/>
  <c r="B86" i="2"/>
  <c r="B64" i="2"/>
  <c r="B63" i="2"/>
  <c r="E13" i="2"/>
  <c r="B119" i="2" s="1"/>
  <c r="B145" i="2" s="1"/>
  <c r="E5" i="2"/>
  <c r="E72" i="1"/>
  <c r="E74" i="1"/>
  <c r="E73" i="1"/>
  <c r="C81" i="1"/>
  <c r="B79" i="1"/>
  <c r="B78" i="1"/>
  <c r="B74" i="1"/>
  <c r="B72" i="1"/>
  <c r="B73" i="1" s="1"/>
  <c r="B71" i="1"/>
  <c r="E10" i="1"/>
  <c r="E22" i="1"/>
  <c r="B154" i="2" l="1"/>
  <c r="B153" i="2"/>
  <c r="B105" i="2"/>
  <c r="B106" i="2"/>
  <c r="C78" i="2"/>
  <c r="C79" i="2" s="1"/>
  <c r="B83" i="2"/>
  <c r="B138" i="2"/>
  <c r="B144" i="2" s="1"/>
  <c r="B121" i="2"/>
  <c r="B120" i="2"/>
  <c r="B82" i="2"/>
  <c r="H7" i="1"/>
  <c r="H6" i="1"/>
  <c r="H4" i="1"/>
  <c r="E8" i="1"/>
  <c r="E7" i="1"/>
  <c r="B8" i="1"/>
  <c r="E3" i="1"/>
  <c r="B70" i="1" s="1"/>
  <c r="D32" i="1"/>
  <c r="D34" i="1"/>
  <c r="D35" i="1"/>
  <c r="D38" i="1"/>
  <c r="D39" i="1"/>
  <c r="D40" i="1"/>
  <c r="D43" i="1"/>
  <c r="D46" i="1"/>
  <c r="D49" i="1"/>
  <c r="D50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31" i="1"/>
  <c r="H10" i="1" l="1"/>
  <c r="H2" i="1"/>
  <c r="B130" i="2"/>
  <c r="B135" i="2" s="1"/>
  <c r="B128" i="2"/>
  <c r="B129" i="2"/>
  <c r="B131" i="2"/>
  <c r="B107" i="2"/>
  <c r="B112" i="2"/>
  <c r="E79" i="2"/>
  <c r="C82" i="2"/>
  <c r="C83" i="2"/>
  <c r="B90" i="2"/>
  <c r="B95" i="2" s="1"/>
  <c r="B96" i="2"/>
  <c r="B97" i="2" s="1"/>
  <c r="B143" i="2"/>
  <c r="B76" i="1"/>
  <c r="D76" i="1" s="1"/>
  <c r="B100" i="1"/>
  <c r="B12" i="1"/>
  <c r="B59" i="1" s="1"/>
  <c r="B9" i="1"/>
  <c r="B75" i="1"/>
  <c r="D75" i="1" s="1"/>
  <c r="E9" i="1"/>
  <c r="B86" i="1"/>
  <c r="E4" i="1"/>
  <c r="E13" i="1" s="1"/>
  <c r="B110" i="1" s="1"/>
  <c r="H8" i="1"/>
  <c r="B82" i="1" s="1"/>
  <c r="B11" i="1"/>
  <c r="B58" i="1" s="1"/>
  <c r="B15" i="1"/>
  <c r="B66" i="1" s="1"/>
  <c r="B33" i="1"/>
  <c r="B41" i="1"/>
  <c r="B31" i="1"/>
  <c r="B56" i="1"/>
  <c r="B55" i="1"/>
  <c r="D55" i="1" s="1"/>
  <c r="B51" i="1"/>
  <c r="D51" i="1" s="1"/>
  <c r="B37" i="1"/>
  <c r="B36" i="1"/>
  <c r="B114" i="2" l="1"/>
  <c r="B115" i="2"/>
  <c r="B110" i="2"/>
  <c r="B113" i="2"/>
  <c r="B111" i="2"/>
  <c r="B98" i="2"/>
  <c r="B99" i="2" s="1"/>
  <c r="B137" i="2"/>
  <c r="B129" i="1"/>
  <c r="B125" i="1"/>
  <c r="B112" i="1"/>
  <c r="B111" i="1"/>
  <c r="E5" i="1"/>
  <c r="B85" i="1" s="1"/>
  <c r="B90" i="1" s="1"/>
  <c r="B97" i="1"/>
  <c r="B99" i="1"/>
  <c r="B77" i="1"/>
  <c r="B81" i="1" s="1"/>
  <c r="B54" i="1"/>
  <c r="D37" i="1"/>
  <c r="B53" i="1"/>
  <c r="D53" i="1" s="1"/>
  <c r="D36" i="1"/>
  <c r="B42" i="1"/>
  <c r="D42" i="1" s="1"/>
  <c r="D41" i="1"/>
  <c r="B52" i="1"/>
  <c r="D52" i="1" s="1"/>
  <c r="D33" i="1"/>
  <c r="F59" i="1"/>
  <c r="B47" i="1"/>
  <c r="D47" i="1" s="1"/>
  <c r="F58" i="1"/>
  <c r="F60" i="1"/>
  <c r="F63" i="1"/>
  <c r="B63" i="1" s="1"/>
  <c r="F64" i="1"/>
  <c r="F53" i="1"/>
  <c r="B61" i="1" s="1"/>
  <c r="F65" i="1"/>
  <c r="F54" i="1"/>
  <c r="F55" i="1"/>
  <c r="B65" i="1"/>
  <c r="B48" i="1"/>
  <c r="D48" i="1" s="1"/>
  <c r="B45" i="1"/>
  <c r="D45" i="1" s="1"/>
  <c r="B44" i="1"/>
  <c r="D44" i="1" s="1"/>
  <c r="D81" i="1" l="1"/>
  <c r="B116" i="2"/>
  <c r="B134" i="2" s="1"/>
  <c r="B115" i="1"/>
  <c r="B117" i="1"/>
  <c r="B122" i="1" s="1"/>
  <c r="B128" i="1"/>
  <c r="B127" i="1"/>
  <c r="B118" i="1"/>
  <c r="B124" i="1" s="1"/>
  <c r="B116" i="1"/>
  <c r="B101" i="1"/>
  <c r="B102" i="1" s="1"/>
  <c r="B80" i="1"/>
  <c r="B91" i="1" s="1"/>
  <c r="B92" i="1" s="1"/>
  <c r="B93" i="1" s="1"/>
  <c r="B94" i="1" s="1"/>
  <c r="B62" i="1"/>
  <c r="B106" i="1" l="1"/>
  <c r="B107" i="1" s="1"/>
  <c r="B121" i="1" s="1"/>
  <c r="B105" i="1"/>
  <c r="B21" i="3"/>
</calcChain>
</file>

<file path=xl/sharedStrings.xml><?xml version="1.0" encoding="utf-8"?>
<sst xmlns="http://schemas.openxmlformats.org/spreadsheetml/2006/main" count="500" uniqueCount="259">
  <si>
    <t>h (mm)</t>
  </si>
  <si>
    <t>b (mm)</t>
  </si>
  <si>
    <t>tf (mm)</t>
  </si>
  <si>
    <t>tw (mm)</t>
  </si>
  <si>
    <t>r (mm)</t>
  </si>
  <si>
    <t>A (cm2)</t>
  </si>
  <si>
    <t>Av (cm2)</t>
  </si>
  <si>
    <t>PropSection</t>
  </si>
  <si>
    <t>fy (MPa)</t>
  </si>
  <si>
    <t>Iy (cm4)</t>
  </si>
  <si>
    <t>Iz (cm4)</t>
  </si>
  <si>
    <t>Note: Remplir les cases bleues</t>
  </si>
  <si>
    <t>Wel,y (cm3)</t>
  </si>
  <si>
    <t>Wel,z (cm3)</t>
  </si>
  <si>
    <t>Wpl,y (cm3)</t>
  </si>
  <si>
    <t>Wpl,z (cm3)</t>
  </si>
  <si>
    <t>Résistance acier seul</t>
  </si>
  <si>
    <t>NtRd (kN)</t>
  </si>
  <si>
    <t>Mel,y,Rd (kN.m)</t>
  </si>
  <si>
    <t>Mel,z,Rd (kN.m)</t>
  </si>
  <si>
    <t>Mpl,y,Rd (kN.m)</t>
  </si>
  <si>
    <t>Mpl,z,Rd (kN.m)</t>
  </si>
  <si>
    <t>VplRd (kN)</t>
  </si>
  <si>
    <t>rho (kg/m3)</t>
  </si>
  <si>
    <t>Perimetre (cm)</t>
  </si>
  <si>
    <t>Massiveté M (m-1)</t>
  </si>
  <si>
    <t>Massiveté w/o upper face</t>
  </si>
  <si>
    <t>Linear mass (kg/m)</t>
  </si>
  <si>
    <t>L (m)</t>
  </si>
  <si>
    <t>Total mass (kg)</t>
  </si>
  <si>
    <t>Surface paint (cm2)</t>
  </si>
  <si>
    <t>Surface paint w/o upper face (cm2)</t>
  </si>
  <si>
    <t>hw (mm)</t>
  </si>
  <si>
    <t>epsilon</t>
  </si>
  <si>
    <t>Classe semelle</t>
  </si>
  <si>
    <t>Classe ame comp uniforme</t>
  </si>
  <si>
    <t>Classe ame flexion pure</t>
  </si>
  <si>
    <t xml:space="preserve">cf </t>
  </si>
  <si>
    <t>cw</t>
  </si>
  <si>
    <t>cf/tf</t>
  </si>
  <si>
    <t>cw/tw</t>
  </si>
  <si>
    <t>9 epsilon</t>
  </si>
  <si>
    <t>10 epsilon</t>
  </si>
  <si>
    <t>14 epsilon</t>
  </si>
  <si>
    <t>Classe ame comprimée</t>
  </si>
  <si>
    <t>33 epsilon</t>
  </si>
  <si>
    <t>38 epsilon</t>
  </si>
  <si>
    <t>42 epsilon</t>
  </si>
  <si>
    <t>Classe ame flechie</t>
  </si>
  <si>
    <t>72 epsilon</t>
  </si>
  <si>
    <t>83 epsilon</t>
  </si>
  <si>
    <t>124 epsilon</t>
  </si>
  <si>
    <t>hw/tw</t>
  </si>
  <si>
    <t>Val ref</t>
  </si>
  <si>
    <t>Ecart (%)</t>
  </si>
  <si>
    <t>Données acier seul</t>
  </si>
  <si>
    <t>Données enrobage</t>
  </si>
  <si>
    <t>bc/bf</t>
  </si>
  <si>
    <t>bc (mm)</t>
  </si>
  <si>
    <t>Ace (cm2)</t>
  </si>
  <si>
    <t>h0 (mm)</t>
  </si>
  <si>
    <t>fcm (MPa)</t>
  </si>
  <si>
    <t>fck (MPa)</t>
  </si>
  <si>
    <t>fctm (MPa)</t>
  </si>
  <si>
    <t>Ecm (MPa)</t>
  </si>
  <si>
    <t>Données dalle</t>
  </si>
  <si>
    <t>Données bac</t>
  </si>
  <si>
    <t>Type</t>
  </si>
  <si>
    <t>Perpendiculaire</t>
  </si>
  <si>
    <t>hp (mm)</t>
  </si>
  <si>
    <t>hpg (mm)</t>
  </si>
  <si>
    <t>ep (mm)</t>
  </si>
  <si>
    <t>bt (mm)</t>
  </si>
  <si>
    <t>bb (mm)</t>
  </si>
  <si>
    <t>tp (mm)</t>
  </si>
  <si>
    <t>fyp (MPa)</t>
  </si>
  <si>
    <t>tc (mm)</t>
  </si>
  <si>
    <t>td (mm)</t>
  </si>
  <si>
    <t>bm (mm)</t>
  </si>
  <si>
    <t xml:space="preserve">Propriétés élastiques </t>
  </si>
  <si>
    <t>n</t>
  </si>
  <si>
    <t>As,inf (cm2)</t>
  </si>
  <si>
    <t>zs,inf (mm)</t>
  </si>
  <si>
    <t>Acr (mm2)</t>
  </si>
  <si>
    <t>kr</t>
  </si>
  <si>
    <t>bp (mm)</t>
  </si>
  <si>
    <t>zcr (mm)</t>
  </si>
  <si>
    <t>za (mm)</t>
  </si>
  <si>
    <t>A0 (mm2)</t>
  </si>
  <si>
    <t>B0 (mm3)</t>
  </si>
  <si>
    <t>zel (mm)</t>
  </si>
  <si>
    <t>zel,min (mm)</t>
  </si>
  <si>
    <t>zel,max (mm)</t>
  </si>
  <si>
    <t>Condition respectée ?</t>
  </si>
  <si>
    <t>Ih,y (cm4)</t>
  </si>
  <si>
    <t>n0</t>
  </si>
  <si>
    <t>psiL</t>
  </si>
  <si>
    <t>Multiplicateur de fluage</t>
  </si>
  <si>
    <t>CP</t>
  </si>
  <si>
    <t>Retrait</t>
  </si>
  <si>
    <t>RH</t>
  </si>
  <si>
    <t>phi RH</t>
  </si>
  <si>
    <t>beta(fcm)</t>
  </si>
  <si>
    <t>t0 (j)</t>
  </si>
  <si>
    <t>t (j)</t>
  </si>
  <si>
    <t>beta (t0)</t>
  </si>
  <si>
    <t>phi0</t>
  </si>
  <si>
    <t>beta H</t>
  </si>
  <si>
    <t>beta c(t,t0)</t>
  </si>
  <si>
    <t>phi(t,t0)</t>
  </si>
  <si>
    <t>nL</t>
  </si>
  <si>
    <t>Propriétés plastiques</t>
  </si>
  <si>
    <t>Nw (kN)</t>
  </si>
  <si>
    <t>dw (mm)</t>
  </si>
  <si>
    <t>Ns (kN)</t>
  </si>
  <si>
    <t>fyd (MPa)</t>
  </si>
  <si>
    <t>Ncw (kN)</t>
  </si>
  <si>
    <t>Ncr (kN)</t>
  </si>
  <si>
    <t>p</t>
  </si>
  <si>
    <t>zpl (mm)</t>
  </si>
  <si>
    <t>zpl,min (mm)</t>
  </si>
  <si>
    <t>zpl,max (mm)</t>
  </si>
  <si>
    <t>hc (mm)</t>
  </si>
  <si>
    <t>Mpl,Rd (kN.m)</t>
  </si>
  <si>
    <t>qProfilé (kN/ml)</t>
  </si>
  <si>
    <t>qEnrobage</t>
  </si>
  <si>
    <t>b (m)</t>
  </si>
  <si>
    <t>mu (kg/m2)</t>
  </si>
  <si>
    <t>qBac (kN/ml)</t>
  </si>
  <si>
    <t>qDalle (kN/m)</t>
  </si>
  <si>
    <t>qPP (kN/ml)</t>
  </si>
  <si>
    <t>M(G1) (kN.m)</t>
  </si>
  <si>
    <t>V(G1) (kN)</t>
  </si>
  <si>
    <t>Analyse</t>
  </si>
  <si>
    <t>Vérification</t>
  </si>
  <si>
    <t>V(Qc) (kN)</t>
  </si>
  <si>
    <t>M (Qc) (kN.m)</t>
  </si>
  <si>
    <t>V(ELS) (kN)</t>
  </si>
  <si>
    <t>M(ELS) (kN.m)</t>
  </si>
  <si>
    <t>V(ELU) (kN)</t>
  </si>
  <si>
    <t>M (ELU) (kN.m)</t>
  </si>
  <si>
    <t>Critere M</t>
  </si>
  <si>
    <t>Critere V</t>
  </si>
  <si>
    <t>f(G1) (mm)</t>
  </si>
  <si>
    <t>f (Qc)</t>
  </si>
  <si>
    <t>Calcul sur RDM7</t>
  </si>
  <si>
    <t>f (ELS) (mm)</t>
  </si>
  <si>
    <t>f (G+0,2Q) (mm)</t>
  </si>
  <si>
    <t>f (Hz)</t>
  </si>
  <si>
    <t>MbRd (kN.m)</t>
  </si>
  <si>
    <t>Critere LT</t>
  </si>
  <si>
    <t>Valeur issue de l'article RCM 2023 n°3</t>
  </si>
  <si>
    <t>Données poutre</t>
  </si>
  <si>
    <t>bgauche (m)</t>
  </si>
  <si>
    <t>bdroite (m)</t>
  </si>
  <si>
    <t>L/8 (m)</t>
  </si>
  <si>
    <t>be1 (m)</t>
  </si>
  <si>
    <t>be2 (m)</t>
  </si>
  <si>
    <t>beta 1</t>
  </si>
  <si>
    <t>beta 2</t>
  </si>
  <si>
    <t>beff mi travée (m)</t>
  </si>
  <si>
    <t>beff appui (m)</t>
  </si>
  <si>
    <t>Données connecteurs</t>
  </si>
  <si>
    <t>hsc (mm)</t>
  </si>
  <si>
    <t>dsc (mm)</t>
  </si>
  <si>
    <t>Prd,s (kN)</t>
  </si>
  <si>
    <t>fu,sc (MPa)</t>
  </si>
  <si>
    <t>alpha</t>
  </si>
  <si>
    <t>PRd,c (kN)</t>
  </si>
  <si>
    <t>kt,max</t>
  </si>
  <si>
    <t>kt</t>
  </si>
  <si>
    <t>nr</t>
  </si>
  <si>
    <t>PRd (kN)</t>
  </si>
  <si>
    <t>Na (kN)</t>
  </si>
  <si>
    <t>Nc (kN)</t>
  </si>
  <si>
    <t>Résistance à la traction du profilé</t>
  </si>
  <si>
    <t xml:space="preserve">Résistance à la compression de la dalle béton </t>
  </si>
  <si>
    <t>Ns,inf (kN)</t>
  </si>
  <si>
    <t>Résistance à la traction des aciers d'enrobage (on ne prend pas en compte les armatures supérieures)</t>
  </si>
  <si>
    <t>Nconnex (kN)</t>
  </si>
  <si>
    <t>Nconnecteur (kN)</t>
  </si>
  <si>
    <t>eta</t>
  </si>
  <si>
    <t>eta min</t>
  </si>
  <si>
    <t>n dalle</t>
  </si>
  <si>
    <t>zs (mm)</t>
  </si>
  <si>
    <t>Nf (kN)</t>
  </si>
  <si>
    <t>Ncp (kN)</t>
  </si>
  <si>
    <t>n enrobage</t>
  </si>
  <si>
    <t>Calcul coefficient équivalence LT</t>
  </si>
  <si>
    <t>ANE dans la dalle</t>
  </si>
  <si>
    <t>ANE dans section</t>
  </si>
  <si>
    <t>Hypothèse</t>
  </si>
  <si>
    <t>-</t>
  </si>
  <si>
    <t>de (mm)</t>
  </si>
  <si>
    <t>C (mm2)</t>
  </si>
  <si>
    <t>zce (mm)</t>
  </si>
  <si>
    <t>zpl,a (mm)</t>
  </si>
  <si>
    <t>zpl,c (mm)</t>
  </si>
  <si>
    <t>Moment dalle (kN.m)</t>
  </si>
  <si>
    <t>Moment semelle sup (kN.m)</t>
  </si>
  <si>
    <t>Moment âme (kN.m)</t>
  </si>
  <si>
    <t>Moment semelle inf (kN.m)</t>
  </si>
  <si>
    <t>Moment armatures inf (kN.m)</t>
  </si>
  <si>
    <t>V(G2) (kN)</t>
  </si>
  <si>
    <t>M(G2) (kN.m)</t>
  </si>
  <si>
    <t>V(Q1) (kN)</t>
  </si>
  <si>
    <t>M(Q1) (kN.m)</t>
  </si>
  <si>
    <t xml:space="preserve">Dimensionnement armatures transversales </t>
  </si>
  <si>
    <t>ved (MPa)</t>
  </si>
  <si>
    <t>DFx/Dx (kN/m)</t>
  </si>
  <si>
    <t>theta (°)</t>
  </si>
  <si>
    <t>ved,lim (MPa)</t>
  </si>
  <si>
    <t>nu</t>
  </si>
  <si>
    <t>gamma sf</t>
  </si>
  <si>
    <t>Asf/sf (cm2/m)</t>
  </si>
  <si>
    <t>f(G2) (mm)</t>
  </si>
  <si>
    <t>f(Q1) (mm)</t>
  </si>
  <si>
    <t>f (SHC) (mm)</t>
  </si>
  <si>
    <t>L_ConsoleG (m)</t>
  </si>
  <si>
    <t>L_travée (m)</t>
  </si>
  <si>
    <t>L_ConsoleD (m)</t>
  </si>
  <si>
    <t>Données profil acier</t>
  </si>
  <si>
    <t>L tot (m)</t>
  </si>
  <si>
    <t>bGauche (m)</t>
  </si>
  <si>
    <t>bDroite (m)</t>
  </si>
  <si>
    <t>th (mm)</t>
  </si>
  <si>
    <t>Ac (mm2)</t>
  </si>
  <si>
    <t>rho c (kg/m3)</t>
  </si>
  <si>
    <t>V(G) (kN)</t>
  </si>
  <si>
    <t>M(G) (kN.m)</t>
  </si>
  <si>
    <t>V(Q1#1) (kN)</t>
  </si>
  <si>
    <t>résultats obtenus sur RDM7</t>
  </si>
  <si>
    <t>V(Q1#2) (kN)</t>
  </si>
  <si>
    <t>M(Q1#2) (kN.m)</t>
  </si>
  <si>
    <t>V(Q1#3) (kN)</t>
  </si>
  <si>
    <t>M(Q1#3) (kN.m)</t>
  </si>
  <si>
    <t>55,08/-30,98</t>
  </si>
  <si>
    <t>V ELU 1 (kN)</t>
  </si>
  <si>
    <t>V ELU 2 (kN)</t>
  </si>
  <si>
    <t>V ELU 3 (kN)</t>
  </si>
  <si>
    <t>M(Q1#1)+ (kN.m)</t>
  </si>
  <si>
    <t>M(Q1#1)- (kN.m)</t>
  </si>
  <si>
    <t>M ELU 1 + (kN.m)</t>
  </si>
  <si>
    <t>M ELU 1 - (kN.m)</t>
  </si>
  <si>
    <t>M ELU 2 + (kN.m)</t>
  </si>
  <si>
    <t>M ELU 2 - (kN.m)</t>
  </si>
  <si>
    <t>M ELU 3 + (kN.m)</t>
  </si>
  <si>
    <t>M ELU 3 - (kN.m)</t>
  </si>
  <si>
    <t>Vpl,Rd (kN)</t>
  </si>
  <si>
    <t>ELU1</t>
  </si>
  <si>
    <t>ELU2</t>
  </si>
  <si>
    <t>ELU3</t>
  </si>
  <si>
    <t>lambda</t>
  </si>
  <si>
    <t>phi</t>
  </si>
  <si>
    <t>khi</t>
  </si>
  <si>
    <t>alpha ult</t>
  </si>
  <si>
    <t>alpha cr</t>
  </si>
  <si>
    <t>Mcr (kN.m)</t>
  </si>
  <si>
    <t>Sans objet, l'ensemble des résultats sont dans l'article RCM 2022 n°3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</si>
</sst>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0.000"/>
    <numFmt numFmtId="168" formatCode="0.0000"/>
    <numFmt numFmtId="169" formatCode="_-* #,##0.000_-;\-* #,##0.0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6">
    <xf numFmtId="0" fontId="0" fillId="0" borderId="0" xfId="0"/>
    <xf numFmtId="0" fontId="0" fillId="2" borderId="0" xfId="0" applyFill="1"/>
    <xf numFmtId="0" fontId="2" fillId="0" borderId="0" xfId="0" applyFont="1"/>
    <xf numFmtId="164" fontId="0" fillId="0" borderId="0" xfId="0" applyNumberFormat="1"/>
    <xf numFmtId="43" fontId="0" fillId="2" borderId="0" xfId="1" applyFont="1" applyFill="1"/>
    <xf numFmtId="43" fontId="0" fillId="0" borderId="0" xfId="1" applyFont="1"/>
    <xf numFmtId="0" fontId="0" fillId="0" borderId="0" xfId="0" applyFill="1"/>
    <xf numFmtId="0" fontId="0" fillId="0" borderId="0" xfId="0" applyBorder="1" applyAlignment="1">
      <alignment horizontal="left"/>
    </xf>
    <xf numFmtId="164" fontId="0" fillId="0" borderId="0" xfId="0" applyNumberFormat="1" applyBorder="1" applyAlignment="1">
      <alignment horizontal="center"/>
    </xf>
    <xf numFmtId="43" fontId="0" fillId="0" borderId="0" xfId="1" applyFont="1" applyFill="1"/>
    <xf numFmtId="0" fontId="0" fillId="2" borderId="0" xfId="0" applyFill="1" applyBorder="1" applyAlignment="1">
      <alignment horizontal="right"/>
    </xf>
    <xf numFmtId="166" fontId="0" fillId="0" borderId="0" xfId="1" applyNumberFormat="1" applyFont="1" applyFill="1"/>
    <xf numFmtId="165" fontId="0" fillId="0" borderId="0" xfId="1" applyNumberFormat="1" applyFont="1"/>
    <xf numFmtId="166" fontId="0" fillId="0" borderId="0" xfId="1" applyNumberFormat="1" applyFont="1"/>
    <xf numFmtId="2" fontId="0" fillId="0" borderId="0" xfId="0" applyNumberFormat="1" applyFill="1"/>
    <xf numFmtId="0" fontId="0" fillId="0" borderId="3" xfId="0" applyBorder="1"/>
    <xf numFmtId="0" fontId="0" fillId="0" borderId="5" xfId="0" applyBorder="1"/>
    <xf numFmtId="2" fontId="0" fillId="0" borderId="4" xfId="0" applyNumberFormat="1" applyBorder="1"/>
    <xf numFmtId="2" fontId="0" fillId="0" borderId="6" xfId="0" applyNumberFormat="1" applyBorder="1"/>
    <xf numFmtId="164" fontId="0" fillId="0" borderId="4" xfId="0" applyNumberFormat="1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3" fillId="0" borderId="0" xfId="0" applyFont="1"/>
    <xf numFmtId="167" fontId="0" fillId="0" borderId="0" xfId="0" applyNumberFormat="1"/>
    <xf numFmtId="2" fontId="0" fillId="0" borderId="0" xfId="0" applyNumberFormat="1"/>
    <xf numFmtId="167" fontId="0" fillId="2" borderId="0" xfId="0" applyNumberFormat="1" applyFill="1"/>
    <xf numFmtId="0" fontId="0" fillId="0" borderId="9" xfId="0" applyBorder="1"/>
    <xf numFmtId="0" fontId="0" fillId="0" borderId="10" xfId="0" applyBorder="1"/>
    <xf numFmtId="0" fontId="0" fillId="0" borderId="6" xfId="0" applyBorder="1"/>
    <xf numFmtId="167" fontId="0" fillId="0" borderId="0" xfId="0" applyNumberFormat="1" applyFill="1"/>
    <xf numFmtId="2" fontId="0" fillId="2" borderId="0" xfId="0" applyNumberFormat="1" applyFill="1"/>
    <xf numFmtId="164" fontId="0" fillId="2" borderId="0" xfId="0" applyNumberFormat="1" applyFill="1"/>
    <xf numFmtId="168" fontId="0" fillId="0" borderId="0" xfId="0" applyNumberFormat="1"/>
    <xf numFmtId="0" fontId="0" fillId="0" borderId="12" xfId="0" applyBorder="1"/>
    <xf numFmtId="0" fontId="3" fillId="0" borderId="0" xfId="0" applyFont="1" applyBorder="1"/>
    <xf numFmtId="43" fontId="0" fillId="0" borderId="0" xfId="1" applyFont="1" applyBorder="1"/>
    <xf numFmtId="0" fontId="0" fillId="0" borderId="12" xfId="0" quotePrefix="1" applyBorder="1"/>
    <xf numFmtId="0" fontId="0" fillId="0" borderId="12" xfId="0" quotePrefix="1" applyFill="1" applyBorder="1"/>
    <xf numFmtId="164" fontId="5" fillId="0" borderId="12" xfId="0" applyNumberFormat="1" applyFont="1" applyBorder="1"/>
    <xf numFmtId="2" fontId="5" fillId="0" borderId="12" xfId="0" applyNumberFormat="1" applyFont="1" applyBorder="1"/>
    <xf numFmtId="0" fontId="5" fillId="0" borderId="12" xfId="0" applyFont="1" applyBorder="1"/>
    <xf numFmtId="0" fontId="2" fillId="0" borderId="11" xfId="0" applyFont="1" applyBorder="1"/>
    <xf numFmtId="0" fontId="4" fillId="0" borderId="11" xfId="0" applyFont="1" applyBorder="1"/>
    <xf numFmtId="164" fontId="2" fillId="0" borderId="12" xfId="0" applyNumberFormat="1" applyFont="1" applyBorder="1"/>
    <xf numFmtId="164" fontId="4" fillId="0" borderId="12" xfId="0" applyNumberFormat="1" applyFont="1" applyBorder="1"/>
    <xf numFmtId="166" fontId="2" fillId="0" borderId="13" xfId="1" applyNumberFormat="1" applyFont="1" applyBorder="1"/>
    <xf numFmtId="166" fontId="4" fillId="0" borderId="13" xfId="1" applyNumberFormat="1" applyFont="1" applyBorder="1"/>
    <xf numFmtId="1" fontId="0" fillId="0" borderId="0" xfId="0" applyNumberFormat="1" applyBorder="1" applyAlignment="1">
      <alignment horizontal="right"/>
    </xf>
    <xf numFmtId="0" fontId="0" fillId="2" borderId="10" xfId="0" applyFill="1" applyBorder="1"/>
    <xf numFmtId="0" fontId="0" fillId="2" borderId="4" xfId="0" applyFill="1" applyBorder="1"/>
    <xf numFmtId="0" fontId="0" fillId="2" borderId="6" xfId="0" applyFill="1" applyBorder="1"/>
    <xf numFmtId="164" fontId="0" fillId="2" borderId="10" xfId="0" applyNumberFormat="1" applyFill="1" applyBorder="1"/>
    <xf numFmtId="0" fontId="0" fillId="0" borderId="0" xfId="0" applyBorder="1"/>
    <xf numFmtId="2" fontId="0" fillId="0" borderId="0" xfId="0" applyNumberFormat="1" applyBorder="1"/>
    <xf numFmtId="2" fontId="0" fillId="2" borderId="0" xfId="0" applyNumberFormat="1" applyFill="1" applyBorder="1"/>
    <xf numFmtId="2" fontId="0" fillId="2" borderId="4" xfId="0" applyNumberFormat="1" applyFill="1" applyBorder="1"/>
    <xf numFmtId="2" fontId="0" fillId="0" borderId="14" xfId="0" applyNumberFormat="1" applyBorder="1"/>
    <xf numFmtId="2" fontId="0" fillId="0" borderId="3" xfId="0" applyNumberFormat="1" applyBorder="1"/>
    <xf numFmtId="2" fontId="0" fillId="2" borderId="3" xfId="0" applyNumberFormat="1" applyFill="1" applyBorder="1"/>
    <xf numFmtId="2" fontId="0" fillId="0" borderId="5" xfId="0" applyNumberFormat="1" applyBorder="1"/>
    <xf numFmtId="1" fontId="0" fillId="0" borderId="7" xfId="0" applyNumberFormat="1" applyBorder="1"/>
    <xf numFmtId="0" fontId="0" fillId="0" borderId="15" xfId="0" applyBorder="1"/>
    <xf numFmtId="169" fontId="0" fillId="0" borderId="0" xfId="1" applyNumberFormat="1" applyFont="1"/>
    <xf numFmtId="1" fontId="0" fillId="0" borderId="9" xfId="0" applyNumberFormat="1" applyBorder="1"/>
    <xf numFmtId="0" fontId="0" fillId="0" borderId="16" xfId="0" applyBorder="1"/>
    <xf numFmtId="2" fontId="0" fillId="0" borderId="9" xfId="0" applyNumberFormat="1" applyBorder="1"/>
    <xf numFmtId="2" fontId="0" fillId="0" borderId="16" xfId="0" applyNumberFormat="1" applyBorder="1"/>
    <xf numFmtId="2" fontId="0" fillId="0" borderId="10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tabSelected="1" workbookViewId="0">
      <selection activeCell="B31" sqref="B31"/>
    </sheetView>
  </sheetViews>
  <sheetFormatPr baseColWidth="10" defaultRowHeight="15" x14ac:dyDescent="0.25"/>
  <cols>
    <col min="1" max="1" width="32.42578125" bestFit="1" customWidth="1"/>
    <col min="2" max="2" width="11.42578125" customWidth="1"/>
    <col min="3" max="3" width="11.42578125" style="24"/>
    <col min="4" max="4" width="12.5703125" bestFit="1" customWidth="1"/>
    <col min="5" max="5" width="21.7109375" bestFit="1" customWidth="1"/>
    <col min="7" max="7" width="13.5703125" bestFit="1" customWidth="1"/>
  </cols>
  <sheetData>
    <row r="1" spans="1:8" ht="15.75" thickBot="1" x14ac:dyDescent="0.3">
      <c r="A1" s="70" t="s">
        <v>55</v>
      </c>
      <c r="B1" s="71"/>
      <c r="C1"/>
      <c r="D1" s="70" t="s">
        <v>56</v>
      </c>
      <c r="E1" s="71"/>
      <c r="F1" s="24"/>
      <c r="G1" s="70" t="s">
        <v>65</v>
      </c>
      <c r="H1" s="71"/>
    </row>
    <row r="2" spans="1:8" x14ac:dyDescent="0.25">
      <c r="A2" s="7" t="s">
        <v>28</v>
      </c>
      <c r="B2" s="10">
        <v>12.5</v>
      </c>
      <c r="C2"/>
      <c r="D2" t="s">
        <v>57</v>
      </c>
      <c r="E2">
        <v>1</v>
      </c>
      <c r="G2" t="s">
        <v>60</v>
      </c>
      <c r="H2" s="23">
        <f>IF(E16="Perpendiculaire",2*_tc,FALSE)</f>
        <v>164</v>
      </c>
    </row>
    <row r="3" spans="1:8" x14ac:dyDescent="0.25">
      <c r="A3" t="s">
        <v>0</v>
      </c>
      <c r="B3" s="1">
        <v>497</v>
      </c>
      <c r="C3"/>
      <c r="D3" t="s">
        <v>58</v>
      </c>
      <c r="E3" s="1">
        <f>E2*_b</f>
        <v>200</v>
      </c>
      <c r="G3" t="s">
        <v>77</v>
      </c>
      <c r="H3" s="1">
        <v>140</v>
      </c>
    </row>
    <row r="4" spans="1:8" x14ac:dyDescent="0.25">
      <c r="A4" t="s">
        <v>1</v>
      </c>
      <c r="B4" s="1">
        <v>200</v>
      </c>
      <c r="C4"/>
      <c r="D4" t="s">
        <v>59</v>
      </c>
      <c r="E4">
        <f>_b*_h/100-_A-(_b-_bc)*_hw/100</f>
        <v>892.7</v>
      </c>
      <c r="G4" t="s">
        <v>76</v>
      </c>
      <c r="H4">
        <f>_td-_hp</f>
        <v>82</v>
      </c>
    </row>
    <row r="5" spans="1:8" x14ac:dyDescent="0.25">
      <c r="A5" t="s">
        <v>2</v>
      </c>
      <c r="B5" s="1">
        <v>14.5</v>
      </c>
      <c r="C5"/>
      <c r="D5" t="s">
        <v>60</v>
      </c>
      <c r="E5" s="23">
        <f>_Ace*100/_hw</f>
        <v>190.74786324786325</v>
      </c>
      <c r="G5" t="s">
        <v>62</v>
      </c>
      <c r="H5" s="1">
        <v>25</v>
      </c>
    </row>
    <row r="6" spans="1:8" x14ac:dyDescent="0.25">
      <c r="A6" t="s">
        <v>3</v>
      </c>
      <c r="B6" s="1">
        <v>8.4</v>
      </c>
      <c r="C6"/>
      <c r="D6" t="s">
        <v>62</v>
      </c>
      <c r="E6" s="1">
        <v>25</v>
      </c>
      <c r="G6" t="s">
        <v>61</v>
      </c>
      <c r="H6">
        <f>_fck_enrobage+8</f>
        <v>33</v>
      </c>
    </row>
    <row r="7" spans="1:8" x14ac:dyDescent="0.25">
      <c r="A7" t="s">
        <v>4</v>
      </c>
      <c r="B7" s="1">
        <v>21</v>
      </c>
      <c r="C7"/>
      <c r="D7" t="s">
        <v>61</v>
      </c>
      <c r="E7">
        <f>_fck_enrobage+8</f>
        <v>33</v>
      </c>
      <c r="G7" t="s">
        <v>63</v>
      </c>
      <c r="H7" s="26">
        <f>0.3*_fck_enrobage^(2/3)</f>
        <v>2.5649639200150443</v>
      </c>
    </row>
    <row r="8" spans="1:8" x14ac:dyDescent="0.25">
      <c r="A8" t="s">
        <v>32</v>
      </c>
      <c r="B8" s="6">
        <f>_h-2*_tf</f>
        <v>468</v>
      </c>
      <c r="C8"/>
      <c r="D8" t="s">
        <v>63</v>
      </c>
      <c r="E8" s="26">
        <f>0.3*_fck_enrobage^(2/3)</f>
        <v>2.5649639200150443</v>
      </c>
      <c r="G8" t="s">
        <v>64</v>
      </c>
      <c r="H8" s="26">
        <f>22*(_fcm_enrobage/10)^0.3*1000</f>
        <v>31475.806210019346</v>
      </c>
    </row>
    <row r="9" spans="1:8" x14ac:dyDescent="0.25">
      <c r="A9" t="s">
        <v>113</v>
      </c>
      <c r="B9" s="6">
        <f>_hw-2*_r</f>
        <v>426</v>
      </c>
      <c r="C9"/>
      <c r="D9" t="s">
        <v>64</v>
      </c>
      <c r="E9" s="26">
        <f>22*(_fcm_enrobage/10)^0.3*1000</f>
        <v>31475.806210019346</v>
      </c>
      <c r="G9" t="s">
        <v>126</v>
      </c>
      <c r="H9">
        <v>2.5</v>
      </c>
    </row>
    <row r="10" spans="1:8" x14ac:dyDescent="0.25">
      <c r="B10" s="6"/>
      <c r="C10"/>
      <c r="D10" t="s">
        <v>81</v>
      </c>
      <c r="E10" s="27">
        <f>PI()*(12^2+8^2)/4*2/100</f>
        <v>3.267256359733385</v>
      </c>
      <c r="G10" t="s">
        <v>129</v>
      </c>
      <c r="H10" s="26">
        <f>(_tc+_hp*_bm/_ep)/1000*H9*2500*9.81/1000</f>
        <v>6.4277418478260868</v>
      </c>
    </row>
    <row r="11" spans="1:8" x14ac:dyDescent="0.25">
      <c r="A11" t="s">
        <v>37</v>
      </c>
      <c r="B11" s="6">
        <f>(_b-2*_r-_tw)/2</f>
        <v>74.8</v>
      </c>
      <c r="C11"/>
      <c r="D11" t="s">
        <v>82</v>
      </c>
      <c r="E11" s="1">
        <v>422.5</v>
      </c>
    </row>
    <row r="12" spans="1:8" x14ac:dyDescent="0.25">
      <c r="A12" t="s">
        <v>38</v>
      </c>
      <c r="B12" s="6">
        <f>_hw-2*_r</f>
        <v>426</v>
      </c>
      <c r="C12"/>
      <c r="D12" t="s">
        <v>115</v>
      </c>
      <c r="E12" s="23">
        <f>500/1.15</f>
        <v>434.78260869565219</v>
      </c>
    </row>
    <row r="13" spans="1:8" x14ac:dyDescent="0.25">
      <c r="C13"/>
      <c r="D13" t="s">
        <v>125</v>
      </c>
      <c r="E13" s="26">
        <f>_Ace*10^(-4)*2500*9.81/1000</f>
        <v>2.1893467500000003</v>
      </c>
    </row>
    <row r="14" spans="1:8" ht="15.75" thickBot="1" x14ac:dyDescent="0.3">
      <c r="A14" t="s">
        <v>8</v>
      </c>
      <c r="B14" s="1">
        <v>355</v>
      </c>
      <c r="C14"/>
    </row>
    <row r="15" spans="1:8" ht="15.75" thickBot="1" x14ac:dyDescent="0.3">
      <c r="A15" t="s">
        <v>33</v>
      </c>
      <c r="B15" s="14">
        <f>SQRT(235/_fy)</f>
        <v>0.81361651346682706</v>
      </c>
      <c r="C15"/>
      <c r="D15" s="70" t="s">
        <v>66</v>
      </c>
      <c r="E15" s="71"/>
    </row>
    <row r="16" spans="1:8" x14ac:dyDescent="0.25">
      <c r="B16" s="6"/>
      <c r="C16"/>
      <c r="D16" t="s">
        <v>67</v>
      </c>
      <c r="E16" s="1" t="s">
        <v>68</v>
      </c>
    </row>
    <row r="17" spans="1:5" x14ac:dyDescent="0.25">
      <c r="A17" t="s">
        <v>23</v>
      </c>
      <c r="B17" s="1">
        <v>7850</v>
      </c>
      <c r="C17"/>
      <c r="D17" t="s">
        <v>69</v>
      </c>
      <c r="E17" s="1">
        <v>58</v>
      </c>
    </row>
    <row r="18" spans="1:5" x14ac:dyDescent="0.25">
      <c r="A18" t="s">
        <v>124</v>
      </c>
      <c r="B18" s="31">
        <f>_rho*_A*10^(-4)*9.81/1000</f>
        <v>0.78009610500000004</v>
      </c>
      <c r="C18"/>
      <c r="D18" t="s">
        <v>70</v>
      </c>
      <c r="E18" s="1">
        <v>58</v>
      </c>
    </row>
    <row r="19" spans="1:5" x14ac:dyDescent="0.25">
      <c r="B19" s="6"/>
      <c r="C19"/>
      <c r="D19" t="s">
        <v>71</v>
      </c>
      <c r="E19" s="1">
        <v>207</v>
      </c>
    </row>
    <row r="20" spans="1:5" x14ac:dyDescent="0.25">
      <c r="B20" s="6"/>
      <c r="C20"/>
      <c r="D20" t="s">
        <v>72</v>
      </c>
      <c r="E20" s="1">
        <v>101</v>
      </c>
    </row>
    <row r="21" spans="1:5" x14ac:dyDescent="0.25">
      <c r="B21" s="6"/>
      <c r="C21"/>
      <c r="D21" t="s">
        <v>73</v>
      </c>
      <c r="E21" s="1">
        <v>62</v>
      </c>
    </row>
    <row r="22" spans="1:5" x14ac:dyDescent="0.25">
      <c r="B22" s="6"/>
      <c r="C22"/>
      <c r="D22" t="s">
        <v>78</v>
      </c>
      <c r="E22">
        <f>(E20+E21)/2</f>
        <v>81.5</v>
      </c>
    </row>
    <row r="23" spans="1:5" x14ac:dyDescent="0.25">
      <c r="B23" s="6"/>
      <c r="C23"/>
      <c r="D23" t="s">
        <v>74</v>
      </c>
      <c r="E23" s="1">
        <v>1</v>
      </c>
    </row>
    <row r="24" spans="1:5" x14ac:dyDescent="0.25">
      <c r="B24" s="6"/>
      <c r="C24"/>
      <c r="D24" t="s">
        <v>75</v>
      </c>
      <c r="E24" s="1">
        <v>350</v>
      </c>
    </row>
    <row r="25" spans="1:5" x14ac:dyDescent="0.25">
      <c r="B25" s="6"/>
      <c r="C25"/>
      <c r="D25" t="s">
        <v>127</v>
      </c>
      <c r="E25" s="1">
        <v>11.37</v>
      </c>
    </row>
    <row r="26" spans="1:5" x14ac:dyDescent="0.25">
      <c r="B26" s="6"/>
      <c r="C26"/>
      <c r="D26" t="s">
        <v>128</v>
      </c>
      <c r="E26" s="25">
        <f>E25*H9*9.81/1000</f>
        <v>0.27884924999999999</v>
      </c>
    </row>
    <row r="27" spans="1:5" x14ac:dyDescent="0.25">
      <c r="B27" s="6"/>
      <c r="C27"/>
    </row>
    <row r="28" spans="1:5" x14ac:dyDescent="0.25">
      <c r="B28" s="2" t="s">
        <v>11</v>
      </c>
      <c r="C28"/>
    </row>
    <row r="29" spans="1:5" ht="15.75" thickBot="1" x14ac:dyDescent="0.3">
      <c r="C29"/>
    </row>
    <row r="30" spans="1:5" ht="15.75" thickBot="1" x14ac:dyDescent="0.3">
      <c r="A30" s="70" t="s">
        <v>7</v>
      </c>
      <c r="B30" s="71"/>
      <c r="C30" s="24" t="s">
        <v>53</v>
      </c>
      <c r="D30" t="s">
        <v>54</v>
      </c>
    </row>
    <row r="31" spans="1:5" x14ac:dyDescent="0.25">
      <c r="A31" s="7" t="s">
        <v>24</v>
      </c>
      <c r="B31" s="8">
        <f>(2*(_h-2*_r)+2*_b+2*(_b-2*_r-_tw)+2*PI()*_r)/10</f>
        <v>174.11468914507714</v>
      </c>
      <c r="D31" t="str">
        <f>IF(C31&lt;&gt;"",(B31/C31-1)*100,"")</f>
        <v/>
      </c>
    </row>
    <row r="32" spans="1:5" x14ac:dyDescent="0.25">
      <c r="A32" t="s">
        <v>5</v>
      </c>
      <c r="B32" s="4">
        <v>101.3</v>
      </c>
      <c r="C32" s="24">
        <v>101.1</v>
      </c>
      <c r="D32" s="26">
        <f t="shared" ref="D32:D67" si="0">IF(C32&lt;&gt;"",(B32/C32-1)*100,"")</f>
        <v>0.19782393669633969</v>
      </c>
    </row>
    <row r="33" spans="1:4" x14ac:dyDescent="0.25">
      <c r="A33" t="s">
        <v>6</v>
      </c>
      <c r="B33" s="5">
        <f>B32-2*_b*_tf/100+2*(_tw+2*_r)*_tf/2/100</f>
        <v>50.607999999999997</v>
      </c>
      <c r="C33" s="24">
        <v>50.4</v>
      </c>
      <c r="D33" s="26">
        <f t="shared" si="0"/>
        <v>0.41269841269842011</v>
      </c>
    </row>
    <row r="34" spans="1:4" x14ac:dyDescent="0.25">
      <c r="A34" t="s">
        <v>9</v>
      </c>
      <c r="B34" s="4">
        <v>43014.311000000002</v>
      </c>
      <c r="C34" s="24">
        <v>42933</v>
      </c>
      <c r="D34" s="26">
        <f t="shared" si="0"/>
        <v>0.18939044557799711</v>
      </c>
    </row>
    <row r="35" spans="1:4" x14ac:dyDescent="0.25">
      <c r="A35" t="s">
        <v>10</v>
      </c>
      <c r="B35" s="4">
        <v>1939.511</v>
      </c>
      <c r="C35" s="24">
        <v>1936</v>
      </c>
      <c r="D35" s="26">
        <f t="shared" si="0"/>
        <v>0.18135330578512576</v>
      </c>
    </row>
    <row r="36" spans="1:4" x14ac:dyDescent="0.25">
      <c r="A36" t="s">
        <v>12</v>
      </c>
      <c r="B36" s="5">
        <f>B34/(_h/2/10)</f>
        <v>1730.9581891348089</v>
      </c>
      <c r="C36" s="24">
        <v>1728</v>
      </c>
      <c r="D36" s="26">
        <f t="shared" si="0"/>
        <v>0.17119150085700419</v>
      </c>
    </row>
    <row r="37" spans="1:4" x14ac:dyDescent="0.25">
      <c r="A37" t="s">
        <v>13</v>
      </c>
      <c r="B37" s="5">
        <f>B35/(_b/2/10)</f>
        <v>193.9511</v>
      </c>
      <c r="C37" s="24">
        <v>193.6</v>
      </c>
      <c r="D37" s="26">
        <f t="shared" si="0"/>
        <v>0.18135330578512576</v>
      </c>
    </row>
    <row r="38" spans="1:4" x14ac:dyDescent="0.25">
      <c r="A38" t="s">
        <v>14</v>
      </c>
      <c r="B38" s="4">
        <v>1949.546</v>
      </c>
      <c r="C38" s="24">
        <v>1946</v>
      </c>
      <c r="D38" s="26">
        <f t="shared" si="0"/>
        <v>0.18221993833504868</v>
      </c>
    </row>
    <row r="39" spans="1:4" x14ac:dyDescent="0.25">
      <c r="A39" t="s">
        <v>15</v>
      </c>
      <c r="B39" s="4">
        <v>301.74400000000003</v>
      </c>
      <c r="C39" s="24">
        <v>298.3</v>
      </c>
      <c r="D39" s="26">
        <f t="shared" si="0"/>
        <v>1.1545424069728583</v>
      </c>
    </row>
    <row r="40" spans="1:4" x14ac:dyDescent="0.25">
      <c r="B40" s="9"/>
      <c r="D40" s="26" t="str">
        <f t="shared" si="0"/>
        <v/>
      </c>
    </row>
    <row r="41" spans="1:4" x14ac:dyDescent="0.25">
      <c r="A41" t="s">
        <v>27</v>
      </c>
      <c r="B41" s="9">
        <f>_rho*_A/10000</f>
        <v>79.520499999999998</v>
      </c>
      <c r="C41" s="24">
        <v>74.900000000000006</v>
      </c>
      <c r="D41" s="26">
        <f t="shared" si="0"/>
        <v>6.1688918558077344</v>
      </c>
    </row>
    <row r="42" spans="1:4" x14ac:dyDescent="0.25">
      <c r="A42" t="s">
        <v>29</v>
      </c>
      <c r="B42" s="9">
        <f>B41*_L</f>
        <v>994.00625000000002</v>
      </c>
      <c r="C42" s="24">
        <v>992</v>
      </c>
      <c r="D42" s="26">
        <f t="shared" si="0"/>
        <v>0.20224294354838079</v>
      </c>
    </row>
    <row r="43" spans="1:4" x14ac:dyDescent="0.25">
      <c r="B43" s="9"/>
      <c r="D43" s="26" t="str">
        <f t="shared" si="0"/>
        <v/>
      </c>
    </row>
    <row r="44" spans="1:4" x14ac:dyDescent="0.25">
      <c r="A44" t="s">
        <v>30</v>
      </c>
      <c r="B44" s="11">
        <f>B31*_L*100</f>
        <v>217643.36143134642</v>
      </c>
      <c r="C44" s="24">
        <v>217643</v>
      </c>
      <c r="D44" s="26">
        <f t="shared" si="0"/>
        <v>1.6606614796632613E-4</v>
      </c>
    </row>
    <row r="45" spans="1:4" x14ac:dyDescent="0.25">
      <c r="A45" t="s">
        <v>31</v>
      </c>
      <c r="B45" s="11">
        <f>(B31-_b/10)*_L*100</f>
        <v>192643.36143134642</v>
      </c>
      <c r="C45" s="24">
        <v>192643</v>
      </c>
      <c r="D45" s="26">
        <f t="shared" si="0"/>
        <v>1.8761717084370133E-4</v>
      </c>
    </row>
    <row r="46" spans="1:4" x14ac:dyDescent="0.25">
      <c r="B46" s="9"/>
      <c r="D46" s="26" t="str">
        <f t="shared" si="0"/>
        <v/>
      </c>
    </row>
    <row r="47" spans="1:4" x14ac:dyDescent="0.25">
      <c r="A47" t="s">
        <v>25</v>
      </c>
      <c r="B47" s="9">
        <f>B31/_A*100</f>
        <v>171.88024594775629</v>
      </c>
      <c r="C47" s="24">
        <v>172.2</v>
      </c>
      <c r="D47" s="26">
        <f t="shared" si="0"/>
        <v>-0.18568760292897446</v>
      </c>
    </row>
    <row r="48" spans="1:4" x14ac:dyDescent="0.25">
      <c r="A48" t="s">
        <v>26</v>
      </c>
      <c r="B48" s="9">
        <f>(B31-_b/10)/_A*100</f>
        <v>152.13690932386689</v>
      </c>
      <c r="C48" s="24">
        <v>152.4</v>
      </c>
      <c r="D48" s="26">
        <f t="shared" si="0"/>
        <v>-0.17263167725269923</v>
      </c>
    </row>
    <row r="49" spans="1:6" ht="15.75" thickBot="1" x14ac:dyDescent="0.3">
      <c r="D49" s="26" t="str">
        <f t="shared" si="0"/>
        <v/>
      </c>
    </row>
    <row r="50" spans="1:6" ht="15.75" thickBot="1" x14ac:dyDescent="0.3">
      <c r="A50" s="70" t="s">
        <v>16</v>
      </c>
      <c r="B50" s="71"/>
      <c r="D50" s="26" t="str">
        <f t="shared" si="0"/>
        <v/>
      </c>
    </row>
    <row r="51" spans="1:6" x14ac:dyDescent="0.25">
      <c r="A51" t="s">
        <v>17</v>
      </c>
      <c r="B51" s="13">
        <f>_A*100*_fy/1000</f>
        <v>3596.15</v>
      </c>
      <c r="C51" s="24">
        <v>3589</v>
      </c>
      <c r="D51" s="26">
        <f t="shared" si="0"/>
        <v>0.19921983839510382</v>
      </c>
    </row>
    <row r="52" spans="1:6" x14ac:dyDescent="0.25">
      <c r="A52" t="s">
        <v>22</v>
      </c>
      <c r="B52" s="13">
        <f>_Av*100*_fy/(1000*SQRT(3))</f>
        <v>1037.2582560217745</v>
      </c>
      <c r="C52" s="24">
        <v>1033</v>
      </c>
      <c r="D52" s="26">
        <f t="shared" si="0"/>
        <v>0.41222226735473377</v>
      </c>
      <c r="E52" s="72" t="s">
        <v>34</v>
      </c>
      <c r="F52" s="73"/>
    </row>
    <row r="53" spans="1:6" x14ac:dyDescent="0.25">
      <c r="A53" t="s">
        <v>18</v>
      </c>
      <c r="B53" s="13">
        <f>_Wel_y*1000*_fy*10^(-6)</f>
        <v>614.49015714285713</v>
      </c>
      <c r="C53" s="24">
        <v>613</v>
      </c>
      <c r="D53" s="26">
        <f t="shared" si="0"/>
        <v>0.2430925192262956</v>
      </c>
      <c r="E53" s="15" t="s">
        <v>41</v>
      </c>
      <c r="F53" s="17">
        <f>9*_epsilon</f>
        <v>7.3225486212014435</v>
      </c>
    </row>
    <row r="54" spans="1:6" x14ac:dyDescent="0.25">
      <c r="A54" t="s">
        <v>19</v>
      </c>
      <c r="B54" s="13">
        <f>_Wel_z*1000*_fy*10^(-6)</f>
        <v>68.852640499999993</v>
      </c>
      <c r="D54" s="26" t="str">
        <f t="shared" si="0"/>
        <v/>
      </c>
      <c r="E54" s="15" t="s">
        <v>42</v>
      </c>
      <c r="F54" s="17">
        <f>10*_epsilon</f>
        <v>8.1361651346682713</v>
      </c>
    </row>
    <row r="55" spans="1:6" x14ac:dyDescent="0.25">
      <c r="A55" t="s">
        <v>20</v>
      </c>
      <c r="B55" s="13">
        <f>_Wpl_y*1000*_fy*10^(-6)</f>
        <v>692.08882999999992</v>
      </c>
      <c r="C55" s="24">
        <v>691</v>
      </c>
      <c r="D55" s="26">
        <f t="shared" si="0"/>
        <v>0.15757308248913748</v>
      </c>
      <c r="E55" s="16" t="s">
        <v>43</v>
      </c>
      <c r="F55" s="18">
        <f>14*_epsilon</f>
        <v>11.390631188535579</v>
      </c>
    </row>
    <row r="56" spans="1:6" x14ac:dyDescent="0.25">
      <c r="A56" t="s">
        <v>21</v>
      </c>
      <c r="B56" s="13">
        <f>_Wpl_z*1000*_fy*10^(-6)</f>
        <v>107.11912</v>
      </c>
      <c r="D56" s="26" t="str">
        <f t="shared" si="0"/>
        <v/>
      </c>
    </row>
    <row r="57" spans="1:6" x14ac:dyDescent="0.25">
      <c r="B57" s="13"/>
      <c r="D57" s="3" t="str">
        <f t="shared" si="0"/>
        <v/>
      </c>
      <c r="E57" s="21" t="s">
        <v>44</v>
      </c>
      <c r="F57" s="22"/>
    </row>
    <row r="58" spans="1:6" x14ac:dyDescent="0.25">
      <c r="A58" t="s">
        <v>39</v>
      </c>
      <c r="B58" s="12">
        <f>_cf/_tf</f>
        <v>5.1586206896551721</v>
      </c>
      <c r="D58" s="3" t="str">
        <f t="shared" si="0"/>
        <v/>
      </c>
      <c r="E58" s="15" t="s">
        <v>45</v>
      </c>
      <c r="F58" s="19">
        <f>33*_epsilon</f>
        <v>26.849344944405292</v>
      </c>
    </row>
    <row r="59" spans="1:6" x14ac:dyDescent="0.25">
      <c r="A59" t="s">
        <v>40</v>
      </c>
      <c r="B59" s="12">
        <f>_cw/_tw</f>
        <v>50.714285714285715</v>
      </c>
      <c r="D59" s="3" t="str">
        <f t="shared" si="0"/>
        <v/>
      </c>
      <c r="E59" s="15" t="s">
        <v>46</v>
      </c>
      <c r="F59" s="19">
        <f>38*_epsilon</f>
        <v>30.917427511739429</v>
      </c>
    </row>
    <row r="60" spans="1:6" x14ac:dyDescent="0.25">
      <c r="D60" s="3" t="str">
        <f t="shared" si="0"/>
        <v/>
      </c>
      <c r="E60" s="16" t="s">
        <v>47</v>
      </c>
      <c r="F60" s="20">
        <f>42*_epsilon</f>
        <v>34.171893565606737</v>
      </c>
    </row>
    <row r="61" spans="1:6" x14ac:dyDescent="0.25">
      <c r="A61" t="s">
        <v>34</v>
      </c>
      <c r="B61">
        <f>IF(B58&lt;=F53,1,IF(B58&lt;=F54,2,IF(B58&lt;=F55,3,4)))</f>
        <v>1</v>
      </c>
      <c r="D61" s="3" t="str">
        <f t="shared" si="0"/>
        <v/>
      </c>
    </row>
    <row r="62" spans="1:6" x14ac:dyDescent="0.25">
      <c r="A62" t="s">
        <v>35</v>
      </c>
      <c r="B62">
        <f>IF(B59&lt;=F58,1,IF(B59&lt;=F59,2,IF(B59&lt;=F60,3,4)))</f>
        <v>4</v>
      </c>
      <c r="D62" s="3" t="str">
        <f t="shared" si="0"/>
        <v/>
      </c>
      <c r="E62" s="21" t="s">
        <v>48</v>
      </c>
      <c r="F62" s="22"/>
    </row>
    <row r="63" spans="1:6" x14ac:dyDescent="0.25">
      <c r="A63" t="s">
        <v>36</v>
      </c>
      <c r="B63">
        <f>IF(B59&lt;=F63,1,IF(B59&lt;=F64,2,IF(B59&lt;=F65,3,4)))</f>
        <v>1</v>
      </c>
      <c r="D63" s="3" t="str">
        <f t="shared" si="0"/>
        <v/>
      </c>
      <c r="E63" s="15" t="s">
        <v>49</v>
      </c>
      <c r="F63" s="19">
        <f>72*_epsilon</f>
        <v>58.580388969611548</v>
      </c>
    </row>
    <row r="64" spans="1:6" x14ac:dyDescent="0.25">
      <c r="D64" s="3" t="str">
        <f t="shared" si="0"/>
        <v/>
      </c>
      <c r="E64" s="15" t="s">
        <v>50</v>
      </c>
      <c r="F64" s="19">
        <f>83*_epsilon</f>
        <v>67.530170617746649</v>
      </c>
    </row>
    <row r="65" spans="1:6" x14ac:dyDescent="0.25">
      <c r="A65" t="s">
        <v>52</v>
      </c>
      <c r="B65" s="3">
        <f>_hw/_tw</f>
        <v>55.714285714285715</v>
      </c>
      <c r="D65" s="3" t="str">
        <f t="shared" si="0"/>
        <v/>
      </c>
      <c r="E65" s="16" t="s">
        <v>51</v>
      </c>
      <c r="F65" s="20">
        <f>124*_epsilon</f>
        <v>100.88844766988656</v>
      </c>
    </row>
    <row r="66" spans="1:6" x14ac:dyDescent="0.25">
      <c r="A66" t="s">
        <v>51</v>
      </c>
      <c r="B66" s="23">
        <f>124*_epsilon</f>
        <v>100.88844766988656</v>
      </c>
      <c r="D66" s="3" t="str">
        <f t="shared" si="0"/>
        <v/>
      </c>
    </row>
    <row r="67" spans="1:6" ht="15.75" thickBot="1" x14ac:dyDescent="0.3">
      <c r="D67" s="3" t="str">
        <f t="shared" si="0"/>
        <v/>
      </c>
    </row>
    <row r="68" spans="1:6" ht="15.75" thickBot="1" x14ac:dyDescent="0.3">
      <c r="A68" s="70" t="s">
        <v>79</v>
      </c>
      <c r="B68" s="71"/>
    </row>
    <row r="69" spans="1:6" x14ac:dyDescent="0.25">
      <c r="A69" t="s">
        <v>80</v>
      </c>
      <c r="B69">
        <v>6.67</v>
      </c>
    </row>
    <row r="70" spans="1:6" x14ac:dyDescent="0.25">
      <c r="A70" t="s">
        <v>85</v>
      </c>
      <c r="B70">
        <f>_bc-_tw</f>
        <v>191.6</v>
      </c>
    </row>
    <row r="71" spans="1:6" x14ac:dyDescent="0.25">
      <c r="A71" t="s">
        <v>83</v>
      </c>
      <c r="B71" s="26">
        <f>(4-PI())*_r^2/(2*_n)</f>
        <v>28.377634165434873</v>
      </c>
    </row>
    <row r="72" spans="1:6" x14ac:dyDescent="0.25">
      <c r="A72" t="s">
        <v>84</v>
      </c>
      <c r="B72" s="25">
        <f>(10-3*PI())/(12-3*PI())</f>
        <v>0.22336793894575216</v>
      </c>
      <c r="E72">
        <f>(53002/52921-1)*100</f>
        <v>0.15305833223107079</v>
      </c>
    </row>
    <row r="73" spans="1:6" x14ac:dyDescent="0.25">
      <c r="A73" t="s">
        <v>86</v>
      </c>
      <c r="B73">
        <f>_tf+_kr*_r</f>
        <v>19.190726717860795</v>
      </c>
      <c r="E73">
        <f>(47200/47128-1)*100</f>
        <v>0.15277542013241163</v>
      </c>
    </row>
    <row r="74" spans="1:6" x14ac:dyDescent="0.25">
      <c r="A74" t="s">
        <v>87</v>
      </c>
      <c r="B74">
        <f>_h/2</f>
        <v>248.5</v>
      </c>
      <c r="E74">
        <f>(47083/47005-1)*100</f>
        <v>0.16593979363896949</v>
      </c>
    </row>
    <row r="75" spans="1:6" x14ac:dyDescent="0.25">
      <c r="A75" t="s">
        <v>88</v>
      </c>
      <c r="B75" s="23">
        <f>_A*100+_As_inf*100-_Acr-_bp*_tf/_n</f>
        <v>10011.826262677469</v>
      </c>
      <c r="C75" s="24">
        <v>9998</v>
      </c>
      <c r="D75">
        <f>(B75/C75-1)*100</f>
        <v>0.13829028483165473</v>
      </c>
    </row>
    <row r="76" spans="1:6" x14ac:dyDescent="0.25">
      <c r="A76" t="s">
        <v>89</v>
      </c>
      <c r="B76" s="23">
        <f>_A*100*_za+_As_inf*100*_zs_inf-_Acr*_zcr-_bp*_tf^2/(2*_n)</f>
        <v>2651782.2111678715</v>
      </c>
      <c r="C76" s="24">
        <v>2646805</v>
      </c>
      <c r="D76">
        <f>(B76/C76-1)*100</f>
        <v>0.18804600897577295</v>
      </c>
    </row>
    <row r="77" spans="1:6" x14ac:dyDescent="0.25">
      <c r="A77" t="s">
        <v>90</v>
      </c>
      <c r="B77" s="3">
        <f>_n*_A0/_bp*(-1+SQRT(1+2*_bp*_B0/(_n*_A0^2)))</f>
        <v>204.73330249305826</v>
      </c>
    </row>
    <row r="78" spans="1:6" x14ac:dyDescent="0.25">
      <c r="A78" t="s">
        <v>91</v>
      </c>
      <c r="B78">
        <f>_tf+_r</f>
        <v>35.5</v>
      </c>
    </row>
    <row r="79" spans="1:6" x14ac:dyDescent="0.25">
      <c r="A79" t="s">
        <v>92</v>
      </c>
      <c r="B79">
        <f>_zs_inf</f>
        <v>422.5</v>
      </c>
    </row>
    <row r="80" spans="1:6" x14ac:dyDescent="0.25">
      <c r="A80" t="s">
        <v>93</v>
      </c>
      <c r="B80" t="b">
        <f>IF(B78&lt;=_zel,IF(_zel&lt;=B79,TRUE,FALSE),FALSE)</f>
        <v>1</v>
      </c>
    </row>
    <row r="81" spans="1:6" x14ac:dyDescent="0.25">
      <c r="A81" t="s">
        <v>94</v>
      </c>
      <c r="B81">
        <f>(_Iy*10^4+_A*100*(_za-_zel)^2+_As_inf*100*(_zs_inf-_zel)^2+_bp*(_zel-_tf)^3/(3*_n)-_Acr*(_zcr-_zel)^2)*10^(-4)</f>
        <v>52998.314147422454</v>
      </c>
      <c r="C81" s="24">
        <f>52814</f>
        <v>52814</v>
      </c>
      <c r="D81">
        <f>(B81/C81-1)*100</f>
        <v>0.34898729015497842</v>
      </c>
    </row>
    <row r="82" spans="1:6" x14ac:dyDescent="0.25">
      <c r="A82" t="s">
        <v>95</v>
      </c>
      <c r="B82" s="26">
        <f>210000/_Ecm_dalle</f>
        <v>6.6717909812633494</v>
      </c>
    </row>
    <row r="83" spans="1:6" x14ac:dyDescent="0.25">
      <c r="A83" t="s">
        <v>96</v>
      </c>
      <c r="B83" s="1">
        <v>1.1000000000000001</v>
      </c>
      <c r="E83" s="21" t="s">
        <v>97</v>
      </c>
      <c r="F83" s="22"/>
    </row>
    <row r="84" spans="1:6" x14ac:dyDescent="0.25">
      <c r="A84" t="s">
        <v>100</v>
      </c>
      <c r="B84" s="1">
        <f>50/100</f>
        <v>0.5</v>
      </c>
      <c r="E84" s="28" t="s">
        <v>98</v>
      </c>
      <c r="F84" s="29">
        <v>1.1000000000000001</v>
      </c>
    </row>
    <row r="85" spans="1:6" x14ac:dyDescent="0.25">
      <c r="A85" t="s">
        <v>101</v>
      </c>
      <c r="B85" s="25">
        <f>IF(E6&lt;=35,1+(1-B84)/(0.1*E5^(1/3)),FALSE)</f>
        <v>1.8685939040970632</v>
      </c>
      <c r="E85" s="16" t="s">
        <v>99</v>
      </c>
      <c r="F85" s="30">
        <v>0.55000000000000004</v>
      </c>
    </row>
    <row r="86" spans="1:6" x14ac:dyDescent="0.25">
      <c r="A86" t="s">
        <v>102</v>
      </c>
      <c r="B86" s="25">
        <f>16.8/SQRT(_fcm_enrobage)</f>
        <v>2.9245046200557239</v>
      </c>
    </row>
    <row r="87" spans="1:6" x14ac:dyDescent="0.25">
      <c r="A87" t="s">
        <v>103</v>
      </c>
      <c r="B87">
        <v>56</v>
      </c>
    </row>
    <row r="88" spans="1:6" x14ac:dyDescent="0.25">
      <c r="A88" t="s">
        <v>104</v>
      </c>
      <c r="B88">
        <v>18250</v>
      </c>
    </row>
    <row r="89" spans="1:6" x14ac:dyDescent="0.25">
      <c r="A89" t="s">
        <v>105</v>
      </c>
      <c r="B89" s="25">
        <f>1/(0.1+B87^0.2)</f>
        <v>0.42792578098028256</v>
      </c>
    </row>
    <row r="90" spans="1:6" x14ac:dyDescent="0.25">
      <c r="A90" t="s">
        <v>106</v>
      </c>
      <c r="B90" s="26">
        <f>B85*B86*B89</f>
        <v>2.3384909388400645</v>
      </c>
    </row>
    <row r="91" spans="1:6" x14ac:dyDescent="0.25">
      <c r="A91" t="s">
        <v>107</v>
      </c>
      <c r="B91" s="3">
        <f>IF(_fcm_enrobage&lt;=35,MIN(B81*1.5*(1+(0.012*B80)^18)+250,1500),FALSE)</f>
        <v>1500</v>
      </c>
    </row>
    <row r="92" spans="1:6" x14ac:dyDescent="0.25">
      <c r="A92" t="s">
        <v>108</v>
      </c>
      <c r="B92" s="26">
        <f>((B88-B87)/(B91+B88-B87))^0.3</f>
        <v>0.97651355707570364</v>
      </c>
    </row>
    <row r="93" spans="1:6" x14ac:dyDescent="0.25">
      <c r="A93" t="s">
        <v>109</v>
      </c>
      <c r="B93" s="25">
        <f>B90*B92</f>
        <v>2.283568104876013</v>
      </c>
    </row>
    <row r="94" spans="1:6" x14ac:dyDescent="0.25">
      <c r="A94" t="s">
        <v>110</v>
      </c>
      <c r="B94" s="26">
        <f>B82*(1+B83*B93)</f>
        <v>23.430828977197017</v>
      </c>
    </row>
    <row r="95" spans="1:6" ht="15.75" thickBot="1" x14ac:dyDescent="0.3"/>
    <row r="96" spans="1:6" ht="15.75" thickBot="1" x14ac:dyDescent="0.3">
      <c r="A96" s="70" t="s">
        <v>111</v>
      </c>
      <c r="B96" s="71"/>
    </row>
    <row r="97" spans="1:4" x14ac:dyDescent="0.25">
      <c r="A97" t="s">
        <v>112</v>
      </c>
      <c r="B97">
        <f>_dw*_tw*_fy/1000</f>
        <v>1270.3320000000001</v>
      </c>
    </row>
    <row r="98" spans="1:4" x14ac:dyDescent="0.25">
      <c r="A98" t="s">
        <v>114</v>
      </c>
      <c r="B98" s="23">
        <f>_As_inf*100*_fyd/1000</f>
        <v>142.05462433623416</v>
      </c>
    </row>
    <row r="99" spans="1:4" x14ac:dyDescent="0.25">
      <c r="A99" t="s">
        <v>116</v>
      </c>
      <c r="B99" s="23">
        <f>0.85*_dw*_bp*_fck_enrobage/(1.5*1000)</f>
        <v>1156.3059999999996</v>
      </c>
    </row>
    <row r="100" spans="1:4" x14ac:dyDescent="0.25">
      <c r="A100" t="s">
        <v>117</v>
      </c>
      <c r="B100" s="3">
        <f>0.85*(_r*_bp-(4-PI())*_r^2/2)*_fck_enrobage/(1.5*1000)</f>
        <v>54.31955005165112</v>
      </c>
    </row>
    <row r="101" spans="1:4" x14ac:dyDescent="0.25">
      <c r="A101" t="s">
        <v>118</v>
      </c>
      <c r="B101" s="26">
        <f>(B97+B98-B100)/(2*B97+B99)</f>
        <v>0.36734598178632322</v>
      </c>
    </row>
    <row r="102" spans="1:4" x14ac:dyDescent="0.25">
      <c r="A102" t="s">
        <v>119</v>
      </c>
      <c r="B102" s="23">
        <f>_tf+_r+B101*_dw</f>
        <v>191.98938824097368</v>
      </c>
    </row>
    <row r="103" spans="1:4" x14ac:dyDescent="0.25">
      <c r="A103" t="s">
        <v>120</v>
      </c>
      <c r="B103">
        <f>_tf+_r</f>
        <v>35.5</v>
      </c>
    </row>
    <row r="104" spans="1:4" x14ac:dyDescent="0.25">
      <c r="A104" t="s">
        <v>121</v>
      </c>
      <c r="B104">
        <f>_zs_inf</f>
        <v>422.5</v>
      </c>
      <c r="D104" s="3"/>
    </row>
    <row r="105" spans="1:4" x14ac:dyDescent="0.25">
      <c r="A105" t="s">
        <v>93</v>
      </c>
      <c r="B105" t="b">
        <f>IF(B103&lt;=_zpl,IF(_zpl&lt;=B104,TRUE,FALSE),FALSE)</f>
        <v>1</v>
      </c>
    </row>
    <row r="106" spans="1:4" x14ac:dyDescent="0.25">
      <c r="A106" t="s">
        <v>122</v>
      </c>
      <c r="B106" s="23">
        <f>_zpl-_tf-_r</f>
        <v>156.48938824097368</v>
      </c>
    </row>
    <row r="107" spans="1:4" x14ac:dyDescent="0.25">
      <c r="A107" t="s">
        <v>123</v>
      </c>
      <c r="B107" s="3">
        <f>((_Wpl_y*10^3-(_h/2-_zpl)^2*_tw)*_fy+B98*1000*(_zs_inf-_h/2)+0.85*B106*_bp*_fck_enrobage/1.5*(_h/2-_tf-_r-B106/2)+B100*1000*(_h/2-_tf-_r/2))*10^(-6)</f>
        <v>776.66314007116341</v>
      </c>
    </row>
    <row r="108" spans="1:4" ht="15.75" thickBot="1" x14ac:dyDescent="0.3"/>
    <row r="109" spans="1:4" ht="15.75" thickBot="1" x14ac:dyDescent="0.3">
      <c r="A109" s="70" t="s">
        <v>133</v>
      </c>
      <c r="B109" s="71"/>
    </row>
    <row r="110" spans="1:4" x14ac:dyDescent="0.25">
      <c r="A110" t="s">
        <v>130</v>
      </c>
      <c r="B110" s="26">
        <f>_qProfile+_qEnrobage+_qBac+_qDalle</f>
        <v>9.6760339528260868</v>
      </c>
    </row>
    <row r="111" spans="1:4" x14ac:dyDescent="0.25">
      <c r="A111" t="s">
        <v>132</v>
      </c>
      <c r="B111" s="3">
        <f>B110*_L/2</f>
        <v>60.475212205163039</v>
      </c>
    </row>
    <row r="112" spans="1:4" x14ac:dyDescent="0.25">
      <c r="A112" t="s">
        <v>131</v>
      </c>
      <c r="B112" s="3">
        <f>B110*_L^2/8</f>
        <v>188.98503814113451</v>
      </c>
    </row>
    <row r="113" spans="1:3" x14ac:dyDescent="0.25">
      <c r="A113" t="s">
        <v>135</v>
      </c>
      <c r="B113" s="3">
        <v>13.3</v>
      </c>
    </row>
    <row r="114" spans="1:3" x14ac:dyDescent="0.25">
      <c r="A114" t="s">
        <v>136</v>
      </c>
      <c r="B114" s="3">
        <v>45.3</v>
      </c>
    </row>
    <row r="115" spans="1:3" x14ac:dyDescent="0.25">
      <c r="A115" t="s">
        <v>137</v>
      </c>
      <c r="B115" s="3">
        <f>B111+B113</f>
        <v>73.775212205163044</v>
      </c>
    </row>
    <row r="116" spans="1:3" x14ac:dyDescent="0.25">
      <c r="A116" t="s">
        <v>138</v>
      </c>
      <c r="B116" s="3">
        <f t="shared" ref="B116" si="1">B112+B114</f>
        <v>234.28503814113452</v>
      </c>
    </row>
    <row r="117" spans="1:3" x14ac:dyDescent="0.25">
      <c r="A117" t="s">
        <v>139</v>
      </c>
      <c r="B117" s="3">
        <f>1.35*B111+1.5*B113</f>
        <v>101.59153647697011</v>
      </c>
    </row>
    <row r="118" spans="1:3" x14ac:dyDescent="0.25">
      <c r="A118" t="s">
        <v>140</v>
      </c>
      <c r="B118" s="3">
        <f>1.35*B112+1.5*B114</f>
        <v>323.07980149053162</v>
      </c>
    </row>
    <row r="119" spans="1:3" ht="15.75" thickBot="1" x14ac:dyDescent="0.3"/>
    <row r="120" spans="1:3" ht="15.75" thickBot="1" x14ac:dyDescent="0.3">
      <c r="A120" s="70" t="s">
        <v>134</v>
      </c>
      <c r="B120" s="71"/>
    </row>
    <row r="121" spans="1:3" x14ac:dyDescent="0.25">
      <c r="A121" t="s">
        <v>141</v>
      </c>
      <c r="B121" s="26">
        <f>B118/B107</f>
        <v>0.41598446587915677</v>
      </c>
    </row>
    <row r="122" spans="1:3" x14ac:dyDescent="0.25">
      <c r="A122" t="s">
        <v>142</v>
      </c>
      <c r="B122" s="26">
        <f>B117/_VplRd</f>
        <v>9.794237441561271E-2</v>
      </c>
    </row>
    <row r="123" spans="1:3" x14ac:dyDescent="0.25">
      <c r="A123" t="s">
        <v>149</v>
      </c>
      <c r="B123" s="32">
        <v>492.5</v>
      </c>
      <c r="C123" s="24" t="s">
        <v>151</v>
      </c>
    </row>
    <row r="124" spans="1:3" x14ac:dyDescent="0.25">
      <c r="A124" t="s">
        <v>150</v>
      </c>
      <c r="B124" s="26">
        <f>B118/B123</f>
        <v>0.65599959693508958</v>
      </c>
    </row>
    <row r="125" spans="1:3" x14ac:dyDescent="0.25">
      <c r="A125" t="s">
        <v>143</v>
      </c>
      <c r="B125" s="3">
        <f>5*B110*(_L*1000)^4/(384*210000*47199*10^(4))</f>
        <v>31.033025872841279</v>
      </c>
    </row>
    <row r="126" spans="1:3" x14ac:dyDescent="0.25">
      <c r="A126" t="s">
        <v>144</v>
      </c>
      <c r="B126" s="33">
        <v>6.476</v>
      </c>
      <c r="C126" s="24" t="s">
        <v>145</v>
      </c>
    </row>
    <row r="127" spans="1:3" x14ac:dyDescent="0.25">
      <c r="A127" t="s">
        <v>146</v>
      </c>
      <c r="B127" s="3">
        <f>B125+B126</f>
        <v>37.509025872841278</v>
      </c>
    </row>
    <row r="128" spans="1:3" x14ac:dyDescent="0.25">
      <c r="A128" t="s">
        <v>147</v>
      </c>
      <c r="B128">
        <f>B125+0.2*B126</f>
        <v>32.32822587284128</v>
      </c>
    </row>
    <row r="129" spans="1:2" x14ac:dyDescent="0.25">
      <c r="A129" t="s">
        <v>148</v>
      </c>
      <c r="B129">
        <f>PI()/2*SQRT(210*52998*10/(B110*1000/9.81*_L*_L^4))</f>
        <v>0.95514662218841706</v>
      </c>
    </row>
  </sheetData>
  <mergeCells count="11">
    <mergeCell ref="A96:B96"/>
    <mergeCell ref="A109:B109"/>
    <mergeCell ref="A120:B120"/>
    <mergeCell ref="G1:H1"/>
    <mergeCell ref="D15:E15"/>
    <mergeCell ref="A68:B68"/>
    <mergeCell ref="A1:B1"/>
    <mergeCell ref="A30:B30"/>
    <mergeCell ref="A50:B50"/>
    <mergeCell ref="E52:F52"/>
    <mergeCell ref="D1:E1"/>
  </mergeCells>
  <dataValidations disablePrompts="1" count="1">
    <dataValidation type="list" allowBlank="1" showInputMessage="1" showErrorMessage="1" sqref="E16">
      <formula1>"Aucun,Perpendiculaire,Longitudinal"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4"/>
  <sheetViews>
    <sheetView workbookViewId="0">
      <selection sqref="A1:B2"/>
    </sheetView>
  </sheetViews>
  <sheetFormatPr baseColWidth="10" defaultRowHeight="15" x14ac:dyDescent="0.25"/>
  <cols>
    <col min="1" max="1" width="32.42578125" bestFit="1" customWidth="1"/>
    <col min="2" max="2" width="16.28515625" bestFit="1" customWidth="1"/>
    <col min="3" max="3" width="16.85546875" style="24" customWidth="1"/>
    <col min="4" max="4" width="12.5703125" bestFit="1" customWidth="1"/>
    <col min="5" max="5" width="21.7109375" bestFit="1" customWidth="1"/>
    <col min="7" max="7" width="16.85546875" bestFit="1" customWidth="1"/>
  </cols>
  <sheetData>
    <row r="1" spans="1:8" ht="15.75" thickBot="1" x14ac:dyDescent="0.3">
      <c r="A1" s="70" t="s">
        <v>152</v>
      </c>
      <c r="B1" s="71"/>
      <c r="C1"/>
      <c r="D1" s="70" t="s">
        <v>56</v>
      </c>
      <c r="E1" s="71"/>
      <c r="F1" s="24"/>
      <c r="G1" s="70" t="s">
        <v>65</v>
      </c>
      <c r="H1" s="71"/>
    </row>
    <row r="2" spans="1:8" x14ac:dyDescent="0.25">
      <c r="A2" s="7" t="s">
        <v>28</v>
      </c>
      <c r="B2" s="10">
        <v>12.5</v>
      </c>
      <c r="C2"/>
      <c r="D2" t="s">
        <v>57</v>
      </c>
      <c r="E2">
        <v>1</v>
      </c>
      <c r="G2" t="s">
        <v>60</v>
      </c>
      <c r="H2" s="23">
        <f>IF(E16="Perpendiculaire",2*_tc,FALSE)</f>
        <v>164</v>
      </c>
    </row>
    <row r="3" spans="1:8" x14ac:dyDescent="0.25">
      <c r="A3" t="s">
        <v>153</v>
      </c>
      <c r="B3" s="10">
        <v>1.25</v>
      </c>
      <c r="C3"/>
      <c r="D3" t="s">
        <v>58</v>
      </c>
      <c r="E3" s="1">
        <f>E2*_b</f>
        <v>200</v>
      </c>
      <c r="G3" t="s">
        <v>77</v>
      </c>
      <c r="H3" s="1">
        <v>140</v>
      </c>
    </row>
    <row r="4" spans="1:8" x14ac:dyDescent="0.25">
      <c r="A4" t="s">
        <v>154</v>
      </c>
      <c r="B4" s="10">
        <v>1.25</v>
      </c>
      <c r="C4"/>
      <c r="D4" t="s">
        <v>59</v>
      </c>
      <c r="E4">
        <f>_b*_h/100-_A-(_b-_bc)*_hw/100</f>
        <v>892.7</v>
      </c>
      <c r="G4" t="s">
        <v>76</v>
      </c>
      <c r="H4">
        <f>_td-_hp</f>
        <v>82</v>
      </c>
    </row>
    <row r="5" spans="1:8" x14ac:dyDescent="0.25">
      <c r="A5" t="s">
        <v>155</v>
      </c>
      <c r="B5">
        <f>_L/8</f>
        <v>1.5625</v>
      </c>
      <c r="C5"/>
      <c r="D5" t="s">
        <v>60</v>
      </c>
      <c r="E5" s="3">
        <f>_Ace*100/_hw</f>
        <v>190.74786324786325</v>
      </c>
      <c r="G5" t="s">
        <v>62</v>
      </c>
      <c r="H5" s="1">
        <v>25</v>
      </c>
    </row>
    <row r="6" spans="1:8" x14ac:dyDescent="0.25">
      <c r="A6" t="s">
        <v>156</v>
      </c>
      <c r="B6">
        <f>MIN(_bgauche,B5)</f>
        <v>1.25</v>
      </c>
      <c r="C6"/>
      <c r="D6" t="s">
        <v>62</v>
      </c>
      <c r="E6" s="1">
        <v>25</v>
      </c>
      <c r="G6" t="s">
        <v>61</v>
      </c>
      <c r="H6">
        <f>_fck_enrobage+8</f>
        <v>33</v>
      </c>
    </row>
    <row r="7" spans="1:8" x14ac:dyDescent="0.25">
      <c r="A7" t="s">
        <v>157</v>
      </c>
      <c r="B7">
        <f>MIN(_bdroite,B5)</f>
        <v>1.25</v>
      </c>
      <c r="C7"/>
      <c r="D7" t="s">
        <v>61</v>
      </c>
      <c r="E7">
        <f>_fck_enrobage+8</f>
        <v>33</v>
      </c>
      <c r="G7" t="s">
        <v>63</v>
      </c>
      <c r="H7" s="26">
        <f>0.3*_fck_enrobage^(2/3)</f>
        <v>2.5649639200150443</v>
      </c>
    </row>
    <row r="8" spans="1:8" x14ac:dyDescent="0.25">
      <c r="A8" t="s">
        <v>158</v>
      </c>
      <c r="B8">
        <f>MIN(1,0.55+0.025*_L/_be1)</f>
        <v>0.8</v>
      </c>
      <c r="C8"/>
      <c r="D8" t="s">
        <v>63</v>
      </c>
      <c r="E8" s="26">
        <f>0.3*_fck_enrobage^(2/3)</f>
        <v>2.5649639200150443</v>
      </c>
      <c r="G8" t="s">
        <v>64</v>
      </c>
      <c r="H8" s="26">
        <f>22*(_fcm_enrobage/10)^0.3*1000</f>
        <v>31475.806210019346</v>
      </c>
    </row>
    <row r="9" spans="1:8" x14ac:dyDescent="0.25">
      <c r="A9" t="s">
        <v>159</v>
      </c>
      <c r="B9">
        <f>MIN(1,0.55+0.025*_L/_be2)</f>
        <v>0.8</v>
      </c>
      <c r="C9"/>
      <c r="D9" t="s">
        <v>64</v>
      </c>
      <c r="E9" s="26">
        <f>22*(_fcm_enrobage/10)^0.3*1000</f>
        <v>31475.806210019346</v>
      </c>
      <c r="G9" t="s">
        <v>126</v>
      </c>
      <c r="H9">
        <v>2.5</v>
      </c>
    </row>
    <row r="10" spans="1:8" x14ac:dyDescent="0.25">
      <c r="A10" t="s">
        <v>160</v>
      </c>
      <c r="B10" s="26">
        <f>_be1+_be2</f>
        <v>2.5</v>
      </c>
      <c r="C10"/>
      <c r="D10" t="s">
        <v>81</v>
      </c>
      <c r="E10" s="27">
        <f>PI()*(12^2+8^2)/4*2/100</f>
        <v>3.267256359733385</v>
      </c>
      <c r="G10" t="s">
        <v>129</v>
      </c>
      <c r="H10" s="26">
        <f>(_tc+_hp*_bm/_ep)/1000*H9*2500*9.81/1000</f>
        <v>6.4277418478260868</v>
      </c>
    </row>
    <row r="11" spans="1:8" ht="15.75" thickBot="1" x14ac:dyDescent="0.3">
      <c r="A11" t="s">
        <v>161</v>
      </c>
      <c r="B11" s="26">
        <f>_be1*_beta1+_be2*_beta2</f>
        <v>2</v>
      </c>
      <c r="C11"/>
      <c r="D11" t="s">
        <v>82</v>
      </c>
      <c r="E11" s="1">
        <v>422.5</v>
      </c>
    </row>
    <row r="12" spans="1:8" ht="15.75" thickBot="1" x14ac:dyDescent="0.3">
      <c r="C12"/>
      <c r="D12" t="s">
        <v>115</v>
      </c>
      <c r="E12" s="23">
        <f>500/1.15</f>
        <v>434.78260869565219</v>
      </c>
      <c r="G12" s="70" t="s">
        <v>162</v>
      </c>
      <c r="H12" s="71"/>
    </row>
    <row r="13" spans="1:8" ht="15.75" thickBot="1" x14ac:dyDescent="0.3">
      <c r="A13" s="70" t="s">
        <v>55</v>
      </c>
      <c r="B13" s="71"/>
      <c r="C13"/>
      <c r="D13" t="s">
        <v>125</v>
      </c>
      <c r="E13" s="26">
        <f>_Ace*10^(-4)*2500*9.81/1000</f>
        <v>2.1893467500000003</v>
      </c>
      <c r="G13" t="s">
        <v>163</v>
      </c>
      <c r="H13" s="10">
        <v>100</v>
      </c>
    </row>
    <row r="14" spans="1:8" ht="15.75" thickBot="1" x14ac:dyDescent="0.3">
      <c r="A14" t="s">
        <v>0</v>
      </c>
      <c r="B14" s="1">
        <v>497</v>
      </c>
      <c r="C14"/>
      <c r="G14" t="s">
        <v>164</v>
      </c>
      <c r="H14" s="10">
        <v>19</v>
      </c>
    </row>
    <row r="15" spans="1:8" ht="15.75" thickBot="1" x14ac:dyDescent="0.3">
      <c r="A15" t="s">
        <v>1</v>
      </c>
      <c r="B15" s="1">
        <v>200</v>
      </c>
      <c r="C15"/>
      <c r="D15" s="70" t="s">
        <v>66</v>
      </c>
      <c r="E15" s="71"/>
      <c r="G15" t="s">
        <v>166</v>
      </c>
      <c r="H15" s="10">
        <v>450</v>
      </c>
    </row>
    <row r="16" spans="1:8" x14ac:dyDescent="0.25">
      <c r="A16" t="s">
        <v>2</v>
      </c>
      <c r="B16" s="1">
        <v>14.5</v>
      </c>
      <c r="C16"/>
      <c r="D16" t="s">
        <v>67</v>
      </c>
      <c r="E16" s="1" t="s">
        <v>68</v>
      </c>
      <c r="G16" t="s">
        <v>171</v>
      </c>
      <c r="H16" s="10">
        <v>2</v>
      </c>
    </row>
    <row r="17" spans="1:9" x14ac:dyDescent="0.25">
      <c r="A17" t="s">
        <v>3</v>
      </c>
      <c r="B17" s="1">
        <v>8.4</v>
      </c>
      <c r="C17"/>
      <c r="D17" t="s">
        <v>69</v>
      </c>
      <c r="E17" s="1">
        <v>58</v>
      </c>
      <c r="G17" t="s">
        <v>165</v>
      </c>
      <c r="H17" s="3">
        <f>0.8*_fusc*PI()*_dsc^2/4/(1000*1.25)</f>
        <v>81.656276252105897</v>
      </c>
    </row>
    <row r="18" spans="1:9" x14ac:dyDescent="0.25">
      <c r="A18" t="s">
        <v>4</v>
      </c>
      <c r="B18" s="1">
        <v>21</v>
      </c>
      <c r="C18"/>
      <c r="D18" t="s">
        <v>70</v>
      </c>
      <c r="E18" s="1">
        <v>58</v>
      </c>
      <c r="G18" t="s">
        <v>167</v>
      </c>
      <c r="H18" s="3">
        <f>IF(_hsc/_dsc&gt;=4,1,FALSE)</f>
        <v>1</v>
      </c>
    </row>
    <row r="19" spans="1:9" x14ac:dyDescent="0.25">
      <c r="A19" t="s">
        <v>32</v>
      </c>
      <c r="B19" s="6">
        <f>_h-2*_tf</f>
        <v>468</v>
      </c>
      <c r="C19"/>
      <c r="D19" t="s">
        <v>71</v>
      </c>
      <c r="E19" s="1">
        <v>207</v>
      </c>
      <c r="G19" t="s">
        <v>168</v>
      </c>
      <c r="H19" s="3">
        <f>0.29*H18*_dsc^2*SQRT(H5*_Ecm_dalle)/(1000*1.25)</f>
        <v>74.293979654469197</v>
      </c>
    </row>
    <row r="20" spans="1:9" x14ac:dyDescent="0.25">
      <c r="A20" t="s">
        <v>113</v>
      </c>
      <c r="B20" s="6">
        <f>_hw-2*_r</f>
        <v>426</v>
      </c>
      <c r="C20"/>
      <c r="D20" t="s">
        <v>72</v>
      </c>
      <c r="E20" s="1">
        <v>101</v>
      </c>
      <c r="G20" t="s">
        <v>169</v>
      </c>
      <c r="H20">
        <v>0.6</v>
      </c>
    </row>
    <row r="21" spans="1:9" x14ac:dyDescent="0.25">
      <c r="B21" s="6"/>
      <c r="C21"/>
      <c r="D21" t="s">
        <v>73</v>
      </c>
      <c r="E21" s="1">
        <v>62</v>
      </c>
      <c r="G21" t="s">
        <v>170</v>
      </c>
      <c r="H21" s="25">
        <f>0.7*_bm/(SQRT(_nr)*_hp)*(_hsc/_hp-1)</f>
        <v>0.5036559329373026</v>
      </c>
    </row>
    <row r="22" spans="1:9" x14ac:dyDescent="0.25">
      <c r="A22" t="s">
        <v>37</v>
      </c>
      <c r="B22" s="6">
        <f>(_b-2*_r-_tw)/2</f>
        <v>74.8</v>
      </c>
      <c r="C22"/>
      <c r="D22" t="s">
        <v>78</v>
      </c>
      <c r="E22">
        <f>(E20+E21)/2</f>
        <v>81.5</v>
      </c>
      <c r="G22" t="s">
        <v>172</v>
      </c>
      <c r="H22" s="26">
        <f>MIN(_kt,_kt_max)*MIN(H17,H19)</f>
        <v>37.418603634496662</v>
      </c>
    </row>
    <row r="23" spans="1:9" x14ac:dyDescent="0.25">
      <c r="A23" t="s">
        <v>38</v>
      </c>
      <c r="B23" s="6">
        <f>_hw-2*_r</f>
        <v>426</v>
      </c>
      <c r="C23"/>
      <c r="D23" t="s">
        <v>74</v>
      </c>
      <c r="E23" s="1">
        <v>1</v>
      </c>
      <c r="G23" t="s">
        <v>173</v>
      </c>
      <c r="H23" s="23">
        <f>_A*100*_fy/1000</f>
        <v>3596.15</v>
      </c>
      <c r="I23" s="24" t="s">
        <v>175</v>
      </c>
    </row>
    <row r="24" spans="1:9" x14ac:dyDescent="0.25">
      <c r="C24"/>
      <c r="D24" t="s">
        <v>75</v>
      </c>
      <c r="E24" s="1">
        <v>350</v>
      </c>
      <c r="G24" t="s">
        <v>177</v>
      </c>
      <c r="H24" s="3">
        <f>_As_inf*100*_fyd/1000</f>
        <v>142.05462433623416</v>
      </c>
      <c r="I24" s="24" t="s">
        <v>178</v>
      </c>
    </row>
    <row r="25" spans="1:9" x14ac:dyDescent="0.25">
      <c r="A25" t="s">
        <v>8</v>
      </c>
      <c r="B25" s="1">
        <v>355</v>
      </c>
      <c r="C25"/>
      <c r="D25" t="s">
        <v>127</v>
      </c>
      <c r="E25" s="1">
        <v>11.37</v>
      </c>
      <c r="G25" t="s">
        <v>174</v>
      </c>
      <c r="H25" s="23">
        <f>0.85*_beff_mi_travee*1000*_tc*H5/1.5/1000</f>
        <v>2904.1666666666665</v>
      </c>
      <c r="I25" s="24" t="s">
        <v>176</v>
      </c>
    </row>
    <row r="26" spans="1:9" x14ac:dyDescent="0.25">
      <c r="A26" t="s">
        <v>33</v>
      </c>
      <c r="B26" s="14">
        <f>SQRT(235/_fy)</f>
        <v>0.81361651346682706</v>
      </c>
      <c r="C26"/>
      <c r="D26" t="s">
        <v>128</v>
      </c>
      <c r="E26" s="25">
        <f>E25*H9*9.81/1000</f>
        <v>0.27884924999999999</v>
      </c>
      <c r="G26" t="s">
        <v>179</v>
      </c>
      <c r="H26" s="23">
        <f>MIN(H25,H23+H24)</f>
        <v>2904.1666666666665</v>
      </c>
    </row>
    <row r="27" spans="1:9" x14ac:dyDescent="0.25">
      <c r="B27" s="6"/>
      <c r="C27"/>
      <c r="G27" t="s">
        <v>180</v>
      </c>
      <c r="H27" s="3">
        <f>_nr*(_L*1000/2)/_ep*H22</f>
        <v>2259.5775141604267</v>
      </c>
    </row>
    <row r="28" spans="1:9" x14ac:dyDescent="0.25">
      <c r="A28" t="s">
        <v>23</v>
      </c>
      <c r="B28" s="1">
        <v>7850</v>
      </c>
      <c r="C28"/>
      <c r="D28" s="2" t="s">
        <v>11</v>
      </c>
      <c r="G28" t="s">
        <v>181</v>
      </c>
      <c r="H28" s="26">
        <f>MIN(H27/H26,1)</f>
        <v>0.7780467767553837</v>
      </c>
    </row>
    <row r="29" spans="1:9" x14ac:dyDescent="0.25">
      <c r="A29" t="s">
        <v>124</v>
      </c>
      <c r="B29" s="31">
        <f>_rho*_A*10^(-4)*9.81/1000</f>
        <v>0.78009610500000004</v>
      </c>
      <c r="C29"/>
      <c r="G29" t="s">
        <v>182</v>
      </c>
      <c r="H29">
        <f>MAX(1-(355/_fy)*(0.75-0.03*_L),0.4)</f>
        <v>0.625</v>
      </c>
    </row>
    <row r="30" spans="1:9" ht="15.75" thickBot="1" x14ac:dyDescent="0.3">
      <c r="C30"/>
    </row>
    <row r="31" spans="1:9" ht="15.75" thickBot="1" x14ac:dyDescent="0.3">
      <c r="A31" s="70" t="s">
        <v>7</v>
      </c>
      <c r="B31" s="71"/>
      <c r="C31" s="24" t="s">
        <v>53</v>
      </c>
      <c r="D31" t="s">
        <v>54</v>
      </c>
    </row>
    <row r="32" spans="1:9" x14ac:dyDescent="0.25">
      <c r="A32" s="7" t="s">
        <v>24</v>
      </c>
      <c r="B32" s="8">
        <f>(2*(_h-2*_r)+2*_b+2*(_b-2*_r-_tw)+2*PI()*_r)/10</f>
        <v>174.11468914507714</v>
      </c>
      <c r="D32" t="str">
        <f>IF(C32&lt;&gt;"",(B32/C32-1)*100,"")</f>
        <v/>
      </c>
    </row>
    <row r="33" spans="1:4" x14ac:dyDescent="0.25">
      <c r="A33" t="s">
        <v>5</v>
      </c>
      <c r="B33" s="4">
        <v>101.3</v>
      </c>
      <c r="C33" s="24">
        <v>101.1</v>
      </c>
      <c r="D33" s="26">
        <f t="shared" ref="D33:D68" si="0">IF(C33&lt;&gt;"",(B33/C33-1)*100,"")</f>
        <v>0.19782393669633969</v>
      </c>
    </row>
    <row r="34" spans="1:4" x14ac:dyDescent="0.25">
      <c r="A34" t="s">
        <v>6</v>
      </c>
      <c r="B34" s="5">
        <f>B33-2*_b*_tf/100+2*(_tw+2*_r)*_tf/2/100</f>
        <v>50.607999999999997</v>
      </c>
      <c r="C34" s="24">
        <v>50.4</v>
      </c>
      <c r="D34" s="26">
        <f t="shared" si="0"/>
        <v>0.41269841269842011</v>
      </c>
    </row>
    <row r="35" spans="1:4" x14ac:dyDescent="0.25">
      <c r="A35" t="s">
        <v>9</v>
      </c>
      <c r="B35" s="4">
        <v>43014.311000000002</v>
      </c>
      <c r="C35" s="24">
        <v>42933</v>
      </c>
      <c r="D35" s="26">
        <f t="shared" si="0"/>
        <v>0.18939044557799711</v>
      </c>
    </row>
    <row r="36" spans="1:4" x14ac:dyDescent="0.25">
      <c r="A36" t="s">
        <v>10</v>
      </c>
      <c r="B36" s="4">
        <v>1939.511</v>
      </c>
      <c r="C36" s="24">
        <v>1936</v>
      </c>
      <c r="D36" s="26">
        <f t="shared" si="0"/>
        <v>0.18135330578512576</v>
      </c>
    </row>
    <row r="37" spans="1:4" x14ac:dyDescent="0.25">
      <c r="A37" t="s">
        <v>12</v>
      </c>
      <c r="B37" s="5">
        <f>B35/(_h/2/10)</f>
        <v>1730.9581891348089</v>
      </c>
      <c r="C37" s="24">
        <v>1728</v>
      </c>
      <c r="D37" s="26">
        <f t="shared" si="0"/>
        <v>0.17119150085700419</v>
      </c>
    </row>
    <row r="38" spans="1:4" x14ac:dyDescent="0.25">
      <c r="A38" t="s">
        <v>13</v>
      </c>
      <c r="B38" s="5">
        <f>B36/(_b/2/10)</f>
        <v>193.9511</v>
      </c>
      <c r="C38" s="24">
        <v>193.6</v>
      </c>
      <c r="D38" s="26">
        <f t="shared" si="0"/>
        <v>0.18135330578512576</v>
      </c>
    </row>
    <row r="39" spans="1:4" x14ac:dyDescent="0.25">
      <c r="A39" t="s">
        <v>14</v>
      </c>
      <c r="B39" s="4">
        <v>1949.546</v>
      </c>
      <c r="C39" s="24">
        <v>1946</v>
      </c>
      <c r="D39" s="26">
        <f t="shared" si="0"/>
        <v>0.18221993833504868</v>
      </c>
    </row>
    <row r="40" spans="1:4" x14ac:dyDescent="0.25">
      <c r="A40" t="s">
        <v>15</v>
      </c>
      <c r="B40" s="4">
        <v>301.74400000000003</v>
      </c>
      <c r="C40" s="24">
        <v>298.3</v>
      </c>
      <c r="D40" s="26">
        <f t="shared" si="0"/>
        <v>1.1545424069728583</v>
      </c>
    </row>
    <row r="41" spans="1:4" x14ac:dyDescent="0.25">
      <c r="B41" s="9"/>
      <c r="D41" s="26" t="str">
        <f t="shared" si="0"/>
        <v/>
      </c>
    </row>
    <row r="42" spans="1:4" x14ac:dyDescent="0.25">
      <c r="A42" t="s">
        <v>27</v>
      </c>
      <c r="B42" s="9">
        <f>_rho*_A/10000</f>
        <v>79.520499999999998</v>
      </c>
      <c r="C42" s="24">
        <v>74.900000000000006</v>
      </c>
      <c r="D42" s="26">
        <f t="shared" si="0"/>
        <v>6.1688918558077344</v>
      </c>
    </row>
    <row r="43" spans="1:4" x14ac:dyDescent="0.25">
      <c r="A43" t="s">
        <v>29</v>
      </c>
      <c r="B43" s="9">
        <f>B42*_L</f>
        <v>994.00625000000002</v>
      </c>
      <c r="C43" s="24">
        <v>992</v>
      </c>
      <c r="D43" s="26">
        <f t="shared" si="0"/>
        <v>0.20224294354838079</v>
      </c>
    </row>
    <row r="44" spans="1:4" x14ac:dyDescent="0.25">
      <c r="B44" s="9"/>
      <c r="D44" s="26" t="str">
        <f t="shared" si="0"/>
        <v/>
      </c>
    </row>
    <row r="45" spans="1:4" x14ac:dyDescent="0.25">
      <c r="A45" t="s">
        <v>30</v>
      </c>
      <c r="B45" s="11">
        <f>B32*_L*100</f>
        <v>217643.36143134642</v>
      </c>
      <c r="C45" s="24">
        <v>217643</v>
      </c>
      <c r="D45" s="26">
        <f t="shared" si="0"/>
        <v>1.6606614796632613E-4</v>
      </c>
    </row>
    <row r="46" spans="1:4" x14ac:dyDescent="0.25">
      <c r="A46" t="s">
        <v>31</v>
      </c>
      <c r="B46" s="11">
        <f>(B32-_b/10)*_L*100</f>
        <v>192643.36143134642</v>
      </c>
      <c r="C46" s="24">
        <v>192643</v>
      </c>
      <c r="D46" s="26">
        <f t="shared" si="0"/>
        <v>1.8761717084370133E-4</v>
      </c>
    </row>
    <row r="47" spans="1:4" x14ac:dyDescent="0.25">
      <c r="B47" s="9"/>
      <c r="D47" s="26" t="str">
        <f t="shared" si="0"/>
        <v/>
      </c>
    </row>
    <row r="48" spans="1:4" x14ac:dyDescent="0.25">
      <c r="A48" t="s">
        <v>25</v>
      </c>
      <c r="B48" s="9">
        <f>B32/_A*100</f>
        <v>171.88024594775629</v>
      </c>
      <c r="C48" s="24">
        <v>172.2</v>
      </c>
      <c r="D48" s="26">
        <f t="shared" si="0"/>
        <v>-0.18568760292897446</v>
      </c>
    </row>
    <row r="49" spans="1:6" x14ac:dyDescent="0.25">
      <c r="A49" t="s">
        <v>26</v>
      </c>
      <c r="B49" s="9">
        <f>(B32-_b/10)/_A*100</f>
        <v>152.13690932386689</v>
      </c>
      <c r="C49" s="24">
        <v>152.4</v>
      </c>
      <c r="D49" s="26">
        <f t="shared" si="0"/>
        <v>-0.17263167725269923</v>
      </c>
    </row>
    <row r="50" spans="1:6" ht="15.75" thickBot="1" x14ac:dyDescent="0.3">
      <c r="D50" s="26" t="str">
        <f t="shared" si="0"/>
        <v/>
      </c>
    </row>
    <row r="51" spans="1:6" ht="15.75" thickBot="1" x14ac:dyDescent="0.3">
      <c r="A51" s="70" t="s">
        <v>16</v>
      </c>
      <c r="B51" s="71"/>
      <c r="D51" s="26" t="str">
        <f t="shared" si="0"/>
        <v/>
      </c>
    </row>
    <row r="52" spans="1:6" x14ac:dyDescent="0.25">
      <c r="A52" t="s">
        <v>17</v>
      </c>
      <c r="B52" s="13">
        <f>_A*100*_fy/1000</f>
        <v>3596.15</v>
      </c>
      <c r="C52" s="24">
        <v>3589</v>
      </c>
      <c r="D52" s="26">
        <f t="shared" si="0"/>
        <v>0.19921983839510382</v>
      </c>
    </row>
    <row r="53" spans="1:6" x14ac:dyDescent="0.25">
      <c r="A53" t="s">
        <v>22</v>
      </c>
      <c r="B53" s="13">
        <f>_Av*100*_fy/(1000*SQRT(3))</f>
        <v>1037.2582560217745</v>
      </c>
      <c r="C53" s="24">
        <v>1033</v>
      </c>
      <c r="D53" s="26">
        <f t="shared" si="0"/>
        <v>0.41222226735473377</v>
      </c>
      <c r="E53" s="72" t="s">
        <v>34</v>
      </c>
      <c r="F53" s="73"/>
    </row>
    <row r="54" spans="1:6" x14ac:dyDescent="0.25">
      <c r="A54" t="s">
        <v>18</v>
      </c>
      <c r="B54" s="13">
        <f>_Wel_y*1000*_fy*10^(-6)</f>
        <v>614.49015714285713</v>
      </c>
      <c r="C54" s="24">
        <v>613</v>
      </c>
      <c r="D54" s="26">
        <f t="shared" si="0"/>
        <v>0.2430925192262956</v>
      </c>
      <c r="E54" s="15" t="s">
        <v>41</v>
      </c>
      <c r="F54" s="17">
        <f>9*_epsilon</f>
        <v>7.3225486212014435</v>
      </c>
    </row>
    <row r="55" spans="1:6" x14ac:dyDescent="0.25">
      <c r="A55" t="s">
        <v>19</v>
      </c>
      <c r="B55" s="13">
        <f>_Wel_z*1000*_fy*10^(-6)</f>
        <v>68.852640499999993</v>
      </c>
      <c r="D55" s="26" t="str">
        <f t="shared" si="0"/>
        <v/>
      </c>
      <c r="E55" s="15" t="s">
        <v>42</v>
      </c>
      <c r="F55" s="17">
        <f>10*_epsilon</f>
        <v>8.1361651346682713</v>
      </c>
    </row>
    <row r="56" spans="1:6" x14ac:dyDescent="0.25">
      <c r="A56" t="s">
        <v>20</v>
      </c>
      <c r="B56" s="13">
        <f>_Wpl_y*1000*_fy*10^(-6)</f>
        <v>692.08882999999992</v>
      </c>
      <c r="C56" s="24">
        <v>691</v>
      </c>
      <c r="D56" s="26">
        <f t="shared" si="0"/>
        <v>0.15757308248913748</v>
      </c>
      <c r="E56" s="16" t="s">
        <v>43</v>
      </c>
      <c r="F56" s="18">
        <f>14*_epsilon</f>
        <v>11.390631188535579</v>
      </c>
    </row>
    <row r="57" spans="1:6" x14ac:dyDescent="0.25">
      <c r="A57" t="s">
        <v>21</v>
      </c>
      <c r="B57" s="13">
        <f>_Wpl_z*1000*_fy*10^(-6)</f>
        <v>107.11912</v>
      </c>
      <c r="D57" s="26" t="str">
        <f t="shared" si="0"/>
        <v/>
      </c>
    </row>
    <row r="58" spans="1:6" x14ac:dyDescent="0.25">
      <c r="B58" s="13"/>
      <c r="D58" s="3" t="str">
        <f t="shared" si="0"/>
        <v/>
      </c>
      <c r="E58" s="21" t="s">
        <v>44</v>
      </c>
      <c r="F58" s="22"/>
    </row>
    <row r="59" spans="1:6" x14ac:dyDescent="0.25">
      <c r="A59" t="s">
        <v>39</v>
      </c>
      <c r="B59" s="12">
        <f>_cf/_tf</f>
        <v>5.1586206896551721</v>
      </c>
      <c r="D59" s="3" t="str">
        <f t="shared" si="0"/>
        <v/>
      </c>
      <c r="E59" s="15" t="s">
        <v>45</v>
      </c>
      <c r="F59" s="19">
        <f>33*_epsilon</f>
        <v>26.849344944405292</v>
      </c>
    </row>
    <row r="60" spans="1:6" x14ac:dyDescent="0.25">
      <c r="A60" t="s">
        <v>40</v>
      </c>
      <c r="B60" s="12">
        <f>_cw/_tw</f>
        <v>50.714285714285715</v>
      </c>
      <c r="D60" s="3" t="str">
        <f t="shared" si="0"/>
        <v/>
      </c>
      <c r="E60" s="15" t="s">
        <v>46</v>
      </c>
      <c r="F60" s="19">
        <f>38*_epsilon</f>
        <v>30.917427511739429</v>
      </c>
    </row>
    <row r="61" spans="1:6" x14ac:dyDescent="0.25">
      <c r="D61" s="3" t="str">
        <f t="shared" si="0"/>
        <v/>
      </c>
      <c r="E61" s="16" t="s">
        <v>47</v>
      </c>
      <c r="F61" s="20">
        <f>42*_epsilon</f>
        <v>34.171893565606737</v>
      </c>
    </row>
    <row r="62" spans="1:6" x14ac:dyDescent="0.25">
      <c r="A62" t="s">
        <v>34</v>
      </c>
      <c r="B62">
        <f>IF(B59&lt;=F54,1,IF(B59&lt;=F55,2,IF(B59&lt;=F56,3,4)))</f>
        <v>1</v>
      </c>
      <c r="D62" s="3" t="str">
        <f t="shared" si="0"/>
        <v/>
      </c>
    </row>
    <row r="63" spans="1:6" x14ac:dyDescent="0.25">
      <c r="A63" t="s">
        <v>35</v>
      </c>
      <c r="B63">
        <f>IF(B60&lt;=F59,1,IF(B60&lt;=F60,2,IF(B60&lt;=F61,3,4)))</f>
        <v>4</v>
      </c>
      <c r="D63" s="3" t="str">
        <f t="shared" si="0"/>
        <v/>
      </c>
      <c r="E63" s="21" t="s">
        <v>48</v>
      </c>
      <c r="F63" s="22"/>
    </row>
    <row r="64" spans="1:6" x14ac:dyDescent="0.25">
      <c r="A64" t="s">
        <v>36</v>
      </c>
      <c r="B64">
        <f>IF(B60&lt;=F64,1,IF(B60&lt;=F65,2,IF(B60&lt;=F66,3,4)))</f>
        <v>1</v>
      </c>
      <c r="D64" s="3" t="str">
        <f t="shared" si="0"/>
        <v/>
      </c>
      <c r="E64" s="15" t="s">
        <v>49</v>
      </c>
      <c r="F64" s="19">
        <f>72*_epsilon</f>
        <v>58.580388969611548</v>
      </c>
    </row>
    <row r="65" spans="1:6" x14ac:dyDescent="0.25">
      <c r="D65" s="3" t="str">
        <f t="shared" si="0"/>
        <v/>
      </c>
      <c r="E65" s="15" t="s">
        <v>50</v>
      </c>
      <c r="F65" s="19">
        <f>83*_epsilon</f>
        <v>67.530170617746649</v>
      </c>
    </row>
    <row r="66" spans="1:6" x14ac:dyDescent="0.25">
      <c r="A66" t="s">
        <v>52</v>
      </c>
      <c r="B66" s="3">
        <f>_hw/_tw</f>
        <v>55.714285714285715</v>
      </c>
      <c r="D66" s="3" t="str">
        <f t="shared" si="0"/>
        <v/>
      </c>
      <c r="E66" s="16" t="s">
        <v>51</v>
      </c>
      <c r="F66" s="20">
        <f>124*_epsilon</f>
        <v>100.88844766988656</v>
      </c>
    </row>
    <row r="67" spans="1:6" x14ac:dyDescent="0.25">
      <c r="A67" t="s">
        <v>51</v>
      </c>
      <c r="B67" s="23">
        <f>124*_epsilon</f>
        <v>100.88844766988656</v>
      </c>
      <c r="D67" s="3" t="str">
        <f t="shared" si="0"/>
        <v/>
      </c>
    </row>
    <row r="68" spans="1:6" ht="15.75" thickBot="1" x14ac:dyDescent="0.3">
      <c r="D68" s="3" t="str">
        <f t="shared" si="0"/>
        <v/>
      </c>
    </row>
    <row r="69" spans="1:6" ht="15.75" thickBot="1" x14ac:dyDescent="0.3">
      <c r="A69" s="70" t="s">
        <v>79</v>
      </c>
      <c r="B69" s="71"/>
    </row>
    <row r="70" spans="1:6" x14ac:dyDescent="0.25">
      <c r="A70" t="s">
        <v>183</v>
      </c>
      <c r="B70" s="32">
        <v>25.2</v>
      </c>
    </row>
    <row r="71" spans="1:6" x14ac:dyDescent="0.25">
      <c r="A71" t="s">
        <v>187</v>
      </c>
      <c r="B71" s="32">
        <v>24.7</v>
      </c>
    </row>
    <row r="72" spans="1:6" x14ac:dyDescent="0.25">
      <c r="A72" t="s">
        <v>191</v>
      </c>
      <c r="B72" s="43" t="s">
        <v>189</v>
      </c>
      <c r="C72" s="44" t="s">
        <v>190</v>
      </c>
    </row>
    <row r="73" spans="1:6" x14ac:dyDescent="0.25">
      <c r="A73" t="s">
        <v>87</v>
      </c>
      <c r="B73" s="35">
        <f>_td+_h/2</f>
        <v>388.5</v>
      </c>
      <c r="C73" s="42">
        <f>_za</f>
        <v>388.5</v>
      </c>
    </row>
    <row r="74" spans="1:6" x14ac:dyDescent="0.25">
      <c r="A74" t="s">
        <v>184</v>
      </c>
      <c r="B74" s="35">
        <f>_td+_zs_inf</f>
        <v>562.5</v>
      </c>
      <c r="C74" s="42">
        <f>_zs</f>
        <v>562.5</v>
      </c>
    </row>
    <row r="75" spans="1:6" x14ac:dyDescent="0.25">
      <c r="A75" t="s">
        <v>88</v>
      </c>
      <c r="B75" s="38" t="s">
        <v>192</v>
      </c>
      <c r="C75" s="40">
        <f>_A*100+_As_inf*100+_beff_mi_travee*1000*_tc/_n_dalle</f>
        <v>18591.646270893973</v>
      </c>
    </row>
    <row r="76" spans="1:6" x14ac:dyDescent="0.25">
      <c r="A76" t="s">
        <v>193</v>
      </c>
      <c r="B76" s="38" t="s">
        <v>192</v>
      </c>
      <c r="C76" s="41">
        <f>_Ace*100/(B71*_hw)</f>
        <v>7.7225855565936534</v>
      </c>
    </row>
    <row r="77" spans="1:6" x14ac:dyDescent="0.25">
      <c r="A77" t="s">
        <v>194</v>
      </c>
      <c r="B77" s="38" t="s">
        <v>192</v>
      </c>
      <c r="C77" s="40">
        <f>_A*100*(_h/2-_tf)+_As_inf*100*(_zs_inf-_tf)+_beff_mi_travee*1000*_tc/_n_dalle*(_tc/2-_tf-_td)</f>
        <v>1580410.56741363</v>
      </c>
    </row>
    <row r="78" spans="1:6" x14ac:dyDescent="0.25">
      <c r="A78" t="s">
        <v>195</v>
      </c>
      <c r="B78" s="39" t="s">
        <v>192</v>
      </c>
      <c r="C78" s="40">
        <f>C75/C76*(-1+SQRT(1+2*C77*C76/C75^2))</f>
        <v>83.556465257011979</v>
      </c>
    </row>
    <row r="79" spans="1:6" x14ac:dyDescent="0.25">
      <c r="A79" t="s">
        <v>90</v>
      </c>
      <c r="B79" s="45">
        <f>(_beff_mi_travee*1000*_tc^2/(2*_n_dalle)+_A*100*_za+_As_inf*100*_zs)/(_beff_mi_travee*1000*_tc/_n_dalle+_A*100+_As_inf*100)</f>
        <v>239.50648863397487</v>
      </c>
      <c r="C79" s="46">
        <f>_td+_tf+C78</f>
        <v>238.05646525701198</v>
      </c>
      <c r="D79">
        <f>_zel-_td</f>
        <v>99.506488633974868</v>
      </c>
      <c r="E79" s="3">
        <f>C79-_td</f>
        <v>98.056465257011979</v>
      </c>
    </row>
    <row r="80" spans="1:6" x14ac:dyDescent="0.25">
      <c r="A80" t="s">
        <v>91</v>
      </c>
      <c r="B80" s="35">
        <f>_tc</f>
        <v>82</v>
      </c>
      <c r="C80" s="42">
        <f>_tc+_td</f>
        <v>222</v>
      </c>
    </row>
    <row r="81" spans="1:5" x14ac:dyDescent="0.25">
      <c r="A81" t="s">
        <v>92</v>
      </c>
      <c r="B81" s="35">
        <f>_td+_tf</f>
        <v>154.5</v>
      </c>
      <c r="C81" s="42">
        <f>C80+_h</f>
        <v>719</v>
      </c>
    </row>
    <row r="82" spans="1:5" x14ac:dyDescent="0.25">
      <c r="A82" t="s">
        <v>93</v>
      </c>
      <c r="B82" s="35" t="b">
        <f>IF(B80&lt;=_zel,IF(_zel&lt;=B81,TRUE,FALSE),FALSE)</f>
        <v>0</v>
      </c>
      <c r="C82" s="35" t="b">
        <f>IF(C80&lt;=C79,IF(C79&lt;=C81,TRUE,FALSE),FALSE)</f>
        <v>1</v>
      </c>
    </row>
    <row r="83" spans="1:5" x14ac:dyDescent="0.25">
      <c r="A83" t="s">
        <v>94</v>
      </c>
      <c r="B83" s="47">
        <f>(_Iy*10^4+_A*100*(_za-_zel)^2+_As_inf*100*(_zs-_zel)^2+_beff_mi_travee*1000*_tc/_n_dalle*(_tc^2/12+(_tc/2-_zel)^2))*10^(-4)</f>
        <v>101421.8641875779</v>
      </c>
      <c r="C83" s="48">
        <f>(_Iy*10^4+_A*100*(_za-C79)^2+_As_inf*100*(_zs-C79)^2+_beff_mi_travee*1000*_tc/_n_dalle*(_tc^2/12+(_tc/2-C79)^2)+(_bc-_tw)*C78^3/(3*B71))*10^(-4)</f>
        <v>101576.61353768932</v>
      </c>
    </row>
    <row r="84" spans="1:5" ht="15.75" thickBot="1" x14ac:dyDescent="0.3">
      <c r="B84" s="37"/>
      <c r="C84" s="36"/>
    </row>
    <row r="85" spans="1:5" ht="15.75" thickBot="1" x14ac:dyDescent="0.3">
      <c r="A85" s="74" t="s">
        <v>188</v>
      </c>
      <c r="B85" s="75"/>
    </row>
    <row r="86" spans="1:5" x14ac:dyDescent="0.25">
      <c r="A86" t="s">
        <v>95</v>
      </c>
      <c r="B86" s="26">
        <f>210000/_Ecm_dalle</f>
        <v>6.6717909812633494</v>
      </c>
    </row>
    <row r="87" spans="1:5" x14ac:dyDescent="0.25">
      <c r="A87" t="s">
        <v>96</v>
      </c>
      <c r="B87" s="1">
        <v>1.1000000000000001</v>
      </c>
    </row>
    <row r="88" spans="1:5" x14ac:dyDescent="0.25">
      <c r="A88" t="s">
        <v>100</v>
      </c>
      <c r="B88" s="1">
        <f>50/100</f>
        <v>0.5</v>
      </c>
    </row>
    <row r="89" spans="1:5" x14ac:dyDescent="0.25">
      <c r="A89" t="s">
        <v>60</v>
      </c>
      <c r="B89" s="32">
        <f>H2</f>
        <v>164</v>
      </c>
      <c r="D89" s="21" t="s">
        <v>97</v>
      </c>
      <c r="E89" s="22"/>
    </row>
    <row r="90" spans="1:5" x14ac:dyDescent="0.25">
      <c r="A90" t="s">
        <v>101</v>
      </c>
      <c r="B90" s="25">
        <f>IF(E6&lt;=35,1+(1-B88)/(0.1*B89^(1/3)),FALSE)</f>
        <v>1.9134582902287138</v>
      </c>
      <c r="D90" s="28" t="s">
        <v>98</v>
      </c>
      <c r="E90" s="29">
        <v>1.1000000000000001</v>
      </c>
    </row>
    <row r="91" spans="1:5" x14ac:dyDescent="0.25">
      <c r="A91" t="s">
        <v>102</v>
      </c>
      <c r="B91" s="34">
        <f>16.8/SQRT(_fcm_enrobage)</f>
        <v>2.9245046200557239</v>
      </c>
      <c r="D91" s="16" t="s">
        <v>99</v>
      </c>
      <c r="E91" s="30">
        <v>0.55000000000000004</v>
      </c>
    </row>
    <row r="92" spans="1:5" x14ac:dyDescent="0.25">
      <c r="A92" t="s">
        <v>103</v>
      </c>
      <c r="B92" s="1">
        <v>28</v>
      </c>
    </row>
    <row r="93" spans="1:5" x14ac:dyDescent="0.25">
      <c r="A93" t="s">
        <v>104</v>
      </c>
      <c r="B93">
        <v>18250</v>
      </c>
    </row>
    <row r="94" spans="1:5" x14ac:dyDescent="0.25">
      <c r="A94" t="s">
        <v>105</v>
      </c>
      <c r="B94" s="25">
        <f>1/(0.1+B92^0.2)</f>
        <v>0.48844954537902541</v>
      </c>
    </row>
    <row r="95" spans="1:5" x14ac:dyDescent="0.25">
      <c r="A95" t="s">
        <v>106</v>
      </c>
      <c r="B95" s="26">
        <f>B90*B91*B94</f>
        <v>2.7333234126112149</v>
      </c>
    </row>
    <row r="96" spans="1:5" x14ac:dyDescent="0.25">
      <c r="A96" t="s">
        <v>107</v>
      </c>
      <c r="B96" s="3">
        <f>IF(_fcm_enrobage&lt;=35,MIN(B89*1.5*(1+(0.012*B88)^18)+250,1500),FALSE)</f>
        <v>496</v>
      </c>
    </row>
    <row r="97" spans="1:4" x14ac:dyDescent="0.25">
      <c r="A97" t="s">
        <v>108</v>
      </c>
      <c r="B97" s="26">
        <f>((B93-B92)/(B96+B93-B92))^0.3</f>
        <v>0.99197557722517693</v>
      </c>
    </row>
    <row r="98" spans="1:4" x14ac:dyDescent="0.25">
      <c r="A98" t="s">
        <v>109</v>
      </c>
      <c r="B98" s="25">
        <f>B95*B97</f>
        <v>2.7113900699681004</v>
      </c>
    </row>
    <row r="99" spans="1:4" x14ac:dyDescent="0.25">
      <c r="A99" t="s">
        <v>110</v>
      </c>
      <c r="B99" s="26">
        <f>B86*(1+B87*B98)</f>
        <v>26.570601578313543</v>
      </c>
    </row>
    <row r="100" spans="1:4" ht="15.75" thickBot="1" x14ac:dyDescent="0.3"/>
    <row r="101" spans="1:4" ht="15.75" thickBot="1" x14ac:dyDescent="0.3">
      <c r="A101" s="70" t="s">
        <v>111</v>
      </c>
      <c r="B101" s="71"/>
    </row>
    <row r="102" spans="1:4" x14ac:dyDescent="0.25">
      <c r="A102" s="7" t="s">
        <v>185</v>
      </c>
      <c r="B102" s="49">
        <f>_tf*_b*_fy/1000</f>
        <v>1029.5</v>
      </c>
    </row>
    <row r="103" spans="1:4" x14ac:dyDescent="0.25">
      <c r="A103" t="s">
        <v>112</v>
      </c>
      <c r="B103">
        <f>_A*100*_fy/1000-2*B102</f>
        <v>1537.15</v>
      </c>
    </row>
    <row r="104" spans="1:4" x14ac:dyDescent="0.25">
      <c r="A104" t="s">
        <v>186</v>
      </c>
      <c r="B104" s="23">
        <f>_eta*0.85*_beff_mi_travee*1000*_tc*_fck_dalle/(1000*1.5)</f>
        <v>2259.5775141604267</v>
      </c>
    </row>
    <row r="105" spans="1:4" x14ac:dyDescent="0.25">
      <c r="A105" t="s">
        <v>197</v>
      </c>
      <c r="B105" s="23">
        <f>B104/(0.85*_beff_mi_travee*1000*_fck_dalle/1000/1.5)</f>
        <v>63.799835693941468</v>
      </c>
    </row>
    <row r="106" spans="1:4" x14ac:dyDescent="0.25">
      <c r="A106" t="s">
        <v>118</v>
      </c>
      <c r="B106" s="26">
        <f>(_Na+_Ns_inf-_Ncp)/(2*_Nf)</f>
        <v>0.71812875676338395</v>
      </c>
    </row>
    <row r="107" spans="1:4" x14ac:dyDescent="0.25">
      <c r="A107" t="s">
        <v>196</v>
      </c>
      <c r="B107" s="23">
        <f>_td+B106*_tf</f>
        <v>150.41286697306907</v>
      </c>
    </row>
    <row r="108" spans="1:4" x14ac:dyDescent="0.25">
      <c r="A108" t="s">
        <v>120</v>
      </c>
      <c r="B108">
        <f>_td</f>
        <v>140</v>
      </c>
    </row>
    <row r="109" spans="1:4" x14ac:dyDescent="0.25">
      <c r="A109" t="s">
        <v>121</v>
      </c>
      <c r="B109">
        <f>_td+_tf</f>
        <v>154.5</v>
      </c>
      <c r="D109" s="3"/>
    </row>
    <row r="110" spans="1:4" x14ac:dyDescent="0.25">
      <c r="A110" t="s">
        <v>93</v>
      </c>
      <c r="B110" t="b">
        <f>IF(B108&lt;=_zpl_a,IF(_zpl_a&lt;=B109,TRUE,FALSE),FALSE)</f>
        <v>1</v>
      </c>
    </row>
    <row r="111" spans="1:4" x14ac:dyDescent="0.25">
      <c r="A111" t="s">
        <v>198</v>
      </c>
      <c r="B111" s="23">
        <f>_Ncp*(_zpl_a-_zpl_c/2)/1000</f>
        <v>267.78919498217044</v>
      </c>
    </row>
    <row r="112" spans="1:4" x14ac:dyDescent="0.25">
      <c r="A112" t="s">
        <v>199</v>
      </c>
      <c r="B112" s="3">
        <f>(B106^2+(1-B106)^2)*_Nf*_tf/2/1000</f>
        <v>4.4422021517425065</v>
      </c>
    </row>
    <row r="113" spans="1:2" x14ac:dyDescent="0.25">
      <c r="A113" t="s">
        <v>200</v>
      </c>
      <c r="B113" s="23">
        <f>_Nw*(_h/2+_td-_zpl_a)/1000</f>
        <v>365.97563653234687</v>
      </c>
    </row>
    <row r="114" spans="1:2" x14ac:dyDescent="0.25">
      <c r="A114" t="s">
        <v>201</v>
      </c>
      <c r="B114" s="3">
        <f>_Nf*(_h-_tf/2+_td-_zpl_a)/1000</f>
        <v>493.47757845122544</v>
      </c>
    </row>
    <row r="115" spans="1:2" x14ac:dyDescent="0.25">
      <c r="A115" t="s">
        <v>202</v>
      </c>
      <c r="B115" s="3">
        <f>_Ns_inf*(_zs_inf+_td-_zpl_a)/1000</f>
        <v>58.538882875936423</v>
      </c>
    </row>
    <row r="116" spans="1:2" x14ac:dyDescent="0.25">
      <c r="A116" t="s">
        <v>123</v>
      </c>
      <c r="B116" s="3">
        <f>SUM(B111:B115)</f>
        <v>1190.2234949934218</v>
      </c>
    </row>
    <row r="117" spans="1:2" ht="15.75" thickBot="1" x14ac:dyDescent="0.3"/>
    <row r="118" spans="1:2" ht="15.75" thickBot="1" x14ac:dyDescent="0.3">
      <c r="A118" s="70" t="s">
        <v>133</v>
      </c>
      <c r="B118" s="71"/>
    </row>
    <row r="119" spans="1:2" x14ac:dyDescent="0.25">
      <c r="A119" t="s">
        <v>130</v>
      </c>
      <c r="B119" s="26">
        <f>_qProfile+_qEnrobage+_qBac+_qDalle</f>
        <v>9.6760339528260868</v>
      </c>
    </row>
    <row r="120" spans="1:2" x14ac:dyDescent="0.25">
      <c r="A120" t="s">
        <v>132</v>
      </c>
      <c r="B120" s="3">
        <f>B119*_L/2</f>
        <v>60.475212205163039</v>
      </c>
    </row>
    <row r="121" spans="1:2" x14ac:dyDescent="0.25">
      <c r="A121" t="s">
        <v>131</v>
      </c>
      <c r="B121" s="3">
        <f>B119*_L^2/8</f>
        <v>188.98503814113451</v>
      </c>
    </row>
    <row r="122" spans="1:2" x14ac:dyDescent="0.25">
      <c r="A122" t="s">
        <v>203</v>
      </c>
      <c r="B122" s="3">
        <f>2.5*_L/2</f>
        <v>15.625</v>
      </c>
    </row>
    <row r="123" spans="1:2" x14ac:dyDescent="0.25">
      <c r="A123" t="s">
        <v>204</v>
      </c>
      <c r="B123" s="3">
        <f>2.5*_L^2/8</f>
        <v>48.828125</v>
      </c>
    </row>
    <row r="124" spans="1:2" x14ac:dyDescent="0.25">
      <c r="A124" t="s">
        <v>205</v>
      </c>
      <c r="B124" s="3">
        <f>6.25*_L/2</f>
        <v>39.0625</v>
      </c>
    </row>
    <row r="125" spans="1:2" x14ac:dyDescent="0.25">
      <c r="A125" t="s">
        <v>206</v>
      </c>
      <c r="B125" s="3">
        <f>6.25*_L^2/8</f>
        <v>122.0703125</v>
      </c>
    </row>
    <row r="126" spans="1:2" x14ac:dyDescent="0.25">
      <c r="A126" t="s">
        <v>135</v>
      </c>
      <c r="B126" s="3">
        <v>13.3</v>
      </c>
    </row>
    <row r="127" spans="1:2" x14ac:dyDescent="0.25">
      <c r="A127" t="s">
        <v>136</v>
      </c>
      <c r="B127" s="3">
        <v>45.3</v>
      </c>
    </row>
    <row r="128" spans="1:2" x14ac:dyDescent="0.25">
      <c r="A128" t="s">
        <v>137</v>
      </c>
      <c r="B128" s="3">
        <f>B120+B122+B124</f>
        <v>115.16271220516305</v>
      </c>
    </row>
    <row r="129" spans="1:3" x14ac:dyDescent="0.25">
      <c r="A129" t="s">
        <v>138</v>
      </c>
      <c r="B129" s="3">
        <f>B121+B123+B125</f>
        <v>359.88347564113451</v>
      </c>
    </row>
    <row r="130" spans="1:3" x14ac:dyDescent="0.25">
      <c r="A130" t="s">
        <v>139</v>
      </c>
      <c r="B130" s="3">
        <f>1.35*(B120+B122)+1.5*B124</f>
        <v>161.32903647697012</v>
      </c>
    </row>
    <row r="131" spans="1:3" x14ac:dyDescent="0.25">
      <c r="A131" t="s">
        <v>140</v>
      </c>
      <c r="B131" s="3">
        <f>1.35*(B121+B123)+1.5*B125</f>
        <v>504.15323899053163</v>
      </c>
    </row>
    <row r="132" spans="1:3" ht="15.75" thickBot="1" x14ac:dyDescent="0.3"/>
    <row r="133" spans="1:3" ht="15.75" thickBot="1" x14ac:dyDescent="0.3">
      <c r="A133" s="70" t="s">
        <v>134</v>
      </c>
      <c r="B133" s="71"/>
    </row>
    <row r="134" spans="1:3" x14ac:dyDescent="0.25">
      <c r="A134" t="s">
        <v>141</v>
      </c>
      <c r="B134" s="26">
        <f>B131/B116</f>
        <v>0.42357863133370427</v>
      </c>
    </row>
    <row r="135" spans="1:3" x14ac:dyDescent="0.25">
      <c r="A135" t="s">
        <v>142</v>
      </c>
      <c r="B135" s="26">
        <f>B130/_VplRd</f>
        <v>0.15553410690190103</v>
      </c>
    </row>
    <row r="136" spans="1:3" x14ac:dyDescent="0.25">
      <c r="A136" t="s">
        <v>149</v>
      </c>
      <c r="B136" s="32">
        <v>492.5</v>
      </c>
      <c r="C136" s="24" t="s">
        <v>151</v>
      </c>
    </row>
    <row r="137" spans="1:3" x14ac:dyDescent="0.25">
      <c r="A137" t="s">
        <v>150</v>
      </c>
      <c r="B137" s="26">
        <f>B131/B136</f>
        <v>1.0236613989655465</v>
      </c>
    </row>
    <row r="138" spans="1:3" x14ac:dyDescent="0.25">
      <c r="A138" t="s">
        <v>143</v>
      </c>
      <c r="B138" s="3">
        <f>5*B119*(_L*1000)^4/(384*210000*47199*10^(4))</f>
        <v>31.033025872841279</v>
      </c>
    </row>
    <row r="139" spans="1:3" x14ac:dyDescent="0.25">
      <c r="A139" t="s">
        <v>215</v>
      </c>
      <c r="B139" s="26">
        <f>5*2.5*(_L*1000)^4/(384*210000*99895*10^(4))</f>
        <v>3.7883997101966984</v>
      </c>
    </row>
    <row r="140" spans="1:3" x14ac:dyDescent="0.25">
      <c r="A140" t="s">
        <v>216</v>
      </c>
      <c r="B140" s="26">
        <f>5*6.25*(_L*1000)^4/(384*210000*142875*10^(4))</f>
        <v>6.6219105695555411</v>
      </c>
    </row>
    <row r="141" spans="1:3" x14ac:dyDescent="0.25">
      <c r="A141" t="s">
        <v>144</v>
      </c>
      <c r="B141" s="33">
        <v>6.476</v>
      </c>
      <c r="C141" s="24" t="s">
        <v>145</v>
      </c>
    </row>
    <row r="142" spans="1:3" x14ac:dyDescent="0.25">
      <c r="A142" t="s">
        <v>217</v>
      </c>
      <c r="B142" s="33">
        <f>112.5*_L^2/(8*210000*101577)*10^8</f>
        <v>10.300727175302621</v>
      </c>
    </row>
    <row r="143" spans="1:3" x14ac:dyDescent="0.25">
      <c r="A143" t="s">
        <v>146</v>
      </c>
      <c r="B143" s="3">
        <f>B138+B141</f>
        <v>37.509025872841278</v>
      </c>
    </row>
    <row r="144" spans="1:3" x14ac:dyDescent="0.25">
      <c r="A144" t="s">
        <v>147</v>
      </c>
      <c r="B144">
        <f>B138+B139+0.2*B141</f>
        <v>36.11662558303798</v>
      </c>
    </row>
    <row r="145" spans="1:2" x14ac:dyDescent="0.25">
      <c r="A145" t="s">
        <v>148</v>
      </c>
      <c r="B145">
        <f>PI()/2*SQRT(210*142677*10/(B119*1000/9.81*_L*_L^4))</f>
        <v>1.5671742538677766</v>
      </c>
    </row>
    <row r="146" spans="1:2" ht="15.75" thickBot="1" x14ac:dyDescent="0.3"/>
    <row r="147" spans="1:2" ht="15.75" thickBot="1" x14ac:dyDescent="0.3">
      <c r="A147" s="70" t="s">
        <v>207</v>
      </c>
      <c r="B147" s="71"/>
    </row>
    <row r="148" spans="1:2" x14ac:dyDescent="0.25">
      <c r="A148" t="s">
        <v>209</v>
      </c>
      <c r="B148" s="3">
        <f>_nr*H22/(2*_ep/1000)</f>
        <v>180.76620113283414</v>
      </c>
    </row>
    <row r="149" spans="1:2" x14ac:dyDescent="0.25">
      <c r="A149" t="s">
        <v>208</v>
      </c>
      <c r="B149" s="26">
        <f>B148/1000/(_tc/1000)</f>
        <v>2.2044658674735871</v>
      </c>
    </row>
    <row r="150" spans="1:2" x14ac:dyDescent="0.25">
      <c r="A150" t="s">
        <v>210</v>
      </c>
      <c r="B150" s="33">
        <v>27</v>
      </c>
    </row>
    <row r="151" spans="1:2" x14ac:dyDescent="0.25">
      <c r="A151" t="s">
        <v>212</v>
      </c>
      <c r="B151" s="14">
        <f>0.6*(1-_fck_dalle/250)</f>
        <v>0.54</v>
      </c>
    </row>
    <row r="152" spans="1:2" x14ac:dyDescent="0.25">
      <c r="A152" t="s">
        <v>211</v>
      </c>
      <c r="B152" s="26">
        <f>B151*_fck_dalle/1.5*SIN(RADIANS(B150))*COS(RADIANS(B150))</f>
        <v>3.6405764746872631</v>
      </c>
    </row>
    <row r="153" spans="1:2" x14ac:dyDescent="0.25">
      <c r="A153" t="s">
        <v>213</v>
      </c>
      <c r="B153" s="26">
        <f>B149/B152</f>
        <v>0.60552659250564367</v>
      </c>
    </row>
    <row r="154" spans="1:2" x14ac:dyDescent="0.25">
      <c r="A154" t="s">
        <v>214</v>
      </c>
      <c r="B154" s="26">
        <f>B149*_tc*TAN(RADIANS(B150))/(500/1.15)*10</f>
        <v>2.1184145373689756</v>
      </c>
    </row>
  </sheetData>
  <mergeCells count="15">
    <mergeCell ref="A31:B31"/>
    <mergeCell ref="A51:B51"/>
    <mergeCell ref="G12:H12"/>
    <mergeCell ref="A85:B85"/>
    <mergeCell ref="A147:B147"/>
    <mergeCell ref="E53:F53"/>
    <mergeCell ref="A69:B69"/>
    <mergeCell ref="A101:B101"/>
    <mergeCell ref="A118:B118"/>
    <mergeCell ref="A133:B133"/>
    <mergeCell ref="A1:B1"/>
    <mergeCell ref="A13:B13"/>
    <mergeCell ref="D1:E1"/>
    <mergeCell ref="G1:H1"/>
    <mergeCell ref="D15:E15"/>
  </mergeCells>
  <dataValidations disablePrompts="1" count="1">
    <dataValidation type="list" allowBlank="1" showInputMessage="1" showErrorMessage="1" sqref="E16">
      <formula1>"Aucun,Perpendiculaire,Longitudinal"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s="24" t="s">
        <v>258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opLeftCell="B55" workbookViewId="0">
      <selection activeCell="I76" sqref="I76"/>
    </sheetView>
  </sheetViews>
  <sheetFormatPr baseColWidth="10" defaultRowHeight="15" x14ac:dyDescent="0.25"/>
  <cols>
    <col min="1" max="1" width="32.42578125" bestFit="1" customWidth="1"/>
    <col min="4" max="4" width="15.5703125" bestFit="1" customWidth="1"/>
    <col min="7" max="7" width="13.5703125" bestFit="1" customWidth="1"/>
  </cols>
  <sheetData>
    <row r="1" spans="1:8" ht="15.75" thickBot="1" x14ac:dyDescent="0.3">
      <c r="A1" s="70" t="s">
        <v>152</v>
      </c>
      <c r="B1" s="71"/>
      <c r="D1" s="70" t="s">
        <v>221</v>
      </c>
      <c r="E1" s="71"/>
      <c r="G1" s="70" t="s">
        <v>65</v>
      </c>
      <c r="H1" s="71"/>
    </row>
    <row r="2" spans="1:8" x14ac:dyDescent="0.25">
      <c r="A2" s="7" t="s">
        <v>218</v>
      </c>
      <c r="B2" s="10">
        <v>3</v>
      </c>
      <c r="D2" t="s">
        <v>0</v>
      </c>
      <c r="E2" s="1">
        <v>450</v>
      </c>
      <c r="G2" t="s">
        <v>77</v>
      </c>
      <c r="H2">
        <v>120</v>
      </c>
    </row>
    <row r="3" spans="1:8" x14ac:dyDescent="0.25">
      <c r="A3" t="s">
        <v>219</v>
      </c>
      <c r="B3" s="1">
        <v>10</v>
      </c>
      <c r="D3" t="s">
        <v>1</v>
      </c>
      <c r="E3" s="1">
        <v>190</v>
      </c>
      <c r="G3" t="s">
        <v>225</v>
      </c>
      <c r="H3">
        <v>40</v>
      </c>
    </row>
    <row r="4" spans="1:8" x14ac:dyDescent="0.25">
      <c r="A4" t="s">
        <v>220</v>
      </c>
      <c r="B4" s="1">
        <v>3</v>
      </c>
      <c r="D4" t="s">
        <v>2</v>
      </c>
      <c r="E4" s="1">
        <v>14.6</v>
      </c>
      <c r="G4" t="s">
        <v>210</v>
      </c>
      <c r="H4">
        <v>30</v>
      </c>
    </row>
    <row r="5" spans="1:8" x14ac:dyDescent="0.25">
      <c r="A5" t="s">
        <v>222</v>
      </c>
      <c r="B5" s="1">
        <f>_L_ConsoleG+_L_Travee+_L_ConsoleD</f>
        <v>16</v>
      </c>
      <c r="D5" t="s">
        <v>3</v>
      </c>
      <c r="E5" s="1">
        <v>9.4</v>
      </c>
      <c r="G5" t="s">
        <v>226</v>
      </c>
      <c r="H5" s="23">
        <f>(_b_Gauche+_b_Droite)*1000/2*_td+_th*_b+_th^2*TAN(RADIANS(_theta))</f>
        <v>248523.76043070341</v>
      </c>
    </row>
    <row r="6" spans="1:8" x14ac:dyDescent="0.25">
      <c r="A6" t="s">
        <v>223</v>
      </c>
      <c r="B6" s="1">
        <v>2</v>
      </c>
      <c r="E6" s="1"/>
      <c r="G6" t="s">
        <v>227</v>
      </c>
      <c r="H6">
        <v>2500</v>
      </c>
    </row>
    <row r="7" spans="1:8" x14ac:dyDescent="0.25">
      <c r="A7" t="s">
        <v>224</v>
      </c>
      <c r="B7" s="1">
        <v>2</v>
      </c>
      <c r="E7" s="1"/>
      <c r="G7" t="s">
        <v>129</v>
      </c>
      <c r="H7" s="25">
        <f>_rhoC*_Ac*10^(-6)*9.81/1000</f>
        <v>6.0950452245630009</v>
      </c>
    </row>
    <row r="8" spans="1:8" ht="15.75" thickBot="1" x14ac:dyDescent="0.3">
      <c r="D8" t="s">
        <v>4</v>
      </c>
      <c r="E8" s="1">
        <v>21</v>
      </c>
    </row>
    <row r="9" spans="1:8" ht="15.75" thickBot="1" x14ac:dyDescent="0.3">
      <c r="A9" s="70" t="s">
        <v>7</v>
      </c>
      <c r="B9" s="71"/>
      <c r="D9" t="s">
        <v>32</v>
      </c>
      <c r="E9" s="6">
        <f>_h-2*_tf</f>
        <v>420.8</v>
      </c>
    </row>
    <row r="10" spans="1:8" x14ac:dyDescent="0.25">
      <c r="A10" s="7" t="s">
        <v>24</v>
      </c>
      <c r="B10" s="8">
        <f>(2*(_h-2*_r)+2*_b+2*(_b-2*_r-_tw)+2*PI()*_r)/10</f>
        <v>160.51468914507714</v>
      </c>
      <c r="D10" t="s">
        <v>113</v>
      </c>
      <c r="E10" s="6">
        <f>_hw-2*_r</f>
        <v>378.8</v>
      </c>
    </row>
    <row r="11" spans="1:8" x14ac:dyDescent="0.25">
      <c r="A11" t="s">
        <v>5</v>
      </c>
      <c r="B11" s="9">
        <f>(2*_b*_tf+(_h-2*_tf)*_tw+4*(1-PI()/4)*_r^2)/100</f>
        <v>98.820776397669022</v>
      </c>
      <c r="E11" s="6"/>
    </row>
    <row r="12" spans="1:8" x14ac:dyDescent="0.25">
      <c r="A12" t="s">
        <v>6</v>
      </c>
      <c r="B12" s="64">
        <f>((_h-2*_tf)*_tw+4*(1-PI()/4)*_r^2+_tf*(_tw+2*_r))/100</f>
        <v>50.845176397669007</v>
      </c>
      <c r="D12" t="s">
        <v>37</v>
      </c>
      <c r="E12" s="6">
        <f>(_b-2*_r-_tw)/2</f>
        <v>69.3</v>
      </c>
    </row>
    <row r="13" spans="1:8" x14ac:dyDescent="0.25">
      <c r="A13" t="s">
        <v>9</v>
      </c>
      <c r="B13" s="4">
        <v>33740</v>
      </c>
      <c r="D13" t="s">
        <v>38</v>
      </c>
      <c r="E13" s="6">
        <f>_hw-2*_r</f>
        <v>378.8</v>
      </c>
    </row>
    <row r="14" spans="1:8" x14ac:dyDescent="0.25">
      <c r="A14" t="s">
        <v>10</v>
      </c>
      <c r="B14" s="4">
        <v>1675</v>
      </c>
    </row>
    <row r="15" spans="1:8" x14ac:dyDescent="0.25">
      <c r="A15" t="s">
        <v>12</v>
      </c>
      <c r="B15" s="5">
        <f>_Iy/(_h/10/2)</f>
        <v>1499.5555555555557</v>
      </c>
      <c r="D15" t="s">
        <v>8</v>
      </c>
      <c r="E15" s="1">
        <v>355</v>
      </c>
    </row>
    <row r="16" spans="1:8" x14ac:dyDescent="0.25">
      <c r="A16" t="s">
        <v>13</v>
      </c>
      <c r="B16" s="5">
        <f>_Iz/(_b/10/2)</f>
        <v>176.31578947368422</v>
      </c>
      <c r="D16" t="s">
        <v>33</v>
      </c>
      <c r="E16" s="14">
        <f>SQRT(235/_fy)</f>
        <v>0.81361651346682706</v>
      </c>
    </row>
    <row r="17" spans="1:5" x14ac:dyDescent="0.25">
      <c r="A17" t="s">
        <v>14</v>
      </c>
      <c r="B17" s="4">
        <v>1701</v>
      </c>
      <c r="E17" s="6"/>
    </row>
    <row r="18" spans="1:5" x14ac:dyDescent="0.25">
      <c r="A18" t="s">
        <v>15</v>
      </c>
      <c r="B18" s="4">
        <v>276.3</v>
      </c>
      <c r="D18" t="s">
        <v>23</v>
      </c>
      <c r="E18" s="1">
        <v>7850</v>
      </c>
    </row>
    <row r="19" spans="1:5" x14ac:dyDescent="0.25">
      <c r="D19" t="s">
        <v>124</v>
      </c>
      <c r="E19" s="31">
        <f>_rhoA*_A*10^(-4)*9.81/1000</f>
        <v>0.76100397592198954</v>
      </c>
    </row>
    <row r="20" spans="1:5" x14ac:dyDescent="0.25">
      <c r="A20" t="s">
        <v>27</v>
      </c>
      <c r="B20" s="9">
        <f>_rhoA*_A/10000</f>
        <v>77.574309472170185</v>
      </c>
    </row>
    <row r="21" spans="1:5" x14ac:dyDescent="0.25">
      <c r="A21" t="s">
        <v>29</v>
      </c>
      <c r="B21" s="9">
        <f>B20*_L_tot</f>
        <v>1241.188951554723</v>
      </c>
    </row>
    <row r="22" spans="1:5" x14ac:dyDescent="0.25">
      <c r="B22" s="9"/>
    </row>
    <row r="23" spans="1:5" x14ac:dyDescent="0.25">
      <c r="A23" t="s">
        <v>30</v>
      </c>
      <c r="B23" s="11">
        <f>B10*_L_tot*100</f>
        <v>256823.50263212342</v>
      </c>
    </row>
    <row r="24" spans="1:5" x14ac:dyDescent="0.25">
      <c r="A24" t="s">
        <v>31</v>
      </c>
      <c r="B24" s="11">
        <f>(B10-_b/10)*_L_tot*100</f>
        <v>226423.50263212342</v>
      </c>
    </row>
    <row r="25" spans="1:5" x14ac:dyDescent="0.25">
      <c r="B25" s="9"/>
    </row>
    <row r="26" spans="1:5" x14ac:dyDescent="0.25">
      <c r="A26" t="s">
        <v>25</v>
      </c>
      <c r="B26" s="9">
        <f>B10/_A*100</f>
        <v>162.43010326000976</v>
      </c>
    </row>
    <row r="27" spans="1:5" x14ac:dyDescent="0.25">
      <c r="A27" t="s">
        <v>26</v>
      </c>
      <c r="B27" s="9">
        <f>(B10-_b/10)/_A*100</f>
        <v>143.20337716797698</v>
      </c>
    </row>
    <row r="28" spans="1:5" ht="15.75" thickBot="1" x14ac:dyDescent="0.3"/>
    <row r="29" spans="1:5" ht="15.75" thickBot="1" x14ac:dyDescent="0.3">
      <c r="A29" s="70" t="s">
        <v>16</v>
      </c>
      <c r="B29" s="71"/>
    </row>
    <row r="30" spans="1:5" x14ac:dyDescent="0.25">
      <c r="A30" t="s">
        <v>17</v>
      </c>
      <c r="B30" s="23">
        <f>_A*100*_fy/1000</f>
        <v>3508.1375621172501</v>
      </c>
    </row>
    <row r="31" spans="1:5" x14ac:dyDescent="0.25">
      <c r="A31" t="s">
        <v>22</v>
      </c>
      <c r="B31" s="23">
        <f>_Av*100*_fy/(1000*SQRT(3))</f>
        <v>1042.1194079466816</v>
      </c>
      <c r="D31" s="72" t="s">
        <v>34</v>
      </c>
      <c r="E31" s="73"/>
    </row>
    <row r="32" spans="1:5" x14ac:dyDescent="0.25">
      <c r="A32" t="s">
        <v>18</v>
      </c>
      <c r="B32" s="23">
        <f>_Wel_y*1000*_fy*10^(-6)</f>
        <v>532.34222222222229</v>
      </c>
      <c r="D32" s="15" t="s">
        <v>41</v>
      </c>
      <c r="E32" s="17">
        <f>9*_epsilon</f>
        <v>7.3225486212014435</v>
      </c>
    </row>
    <row r="33" spans="1:5" x14ac:dyDescent="0.25">
      <c r="A33" t="s">
        <v>19</v>
      </c>
      <c r="B33" s="23">
        <f>_Wel_z*1000*_fy*10^(-6)</f>
        <v>62.592105263157897</v>
      </c>
      <c r="D33" s="15" t="s">
        <v>42</v>
      </c>
      <c r="E33" s="17">
        <f>10*_epsilon</f>
        <v>8.1361651346682713</v>
      </c>
    </row>
    <row r="34" spans="1:5" x14ac:dyDescent="0.25">
      <c r="A34" t="s">
        <v>20</v>
      </c>
      <c r="B34" s="23">
        <f>_Wpl_y*1000*_fy*10^(-6)</f>
        <v>603.85500000000002</v>
      </c>
      <c r="D34" s="16" t="s">
        <v>43</v>
      </c>
      <c r="E34" s="18">
        <f>14*_epsilon</f>
        <v>11.390631188535579</v>
      </c>
    </row>
    <row r="35" spans="1:5" x14ac:dyDescent="0.25">
      <c r="A35" t="s">
        <v>21</v>
      </c>
      <c r="B35" s="23">
        <f>_Wpl_z*1000*_fy*10^(-6)</f>
        <v>98.086500000000001</v>
      </c>
    </row>
    <row r="36" spans="1:5" x14ac:dyDescent="0.25">
      <c r="D36" s="21" t="s">
        <v>44</v>
      </c>
      <c r="E36" s="22"/>
    </row>
    <row r="37" spans="1:5" x14ac:dyDescent="0.25">
      <c r="A37" t="s">
        <v>39</v>
      </c>
      <c r="B37" s="3">
        <f>_cf/_tf</f>
        <v>4.7465753424657535</v>
      </c>
      <c r="D37" s="15" t="s">
        <v>45</v>
      </c>
      <c r="E37" s="19">
        <f>33*_epsilon</f>
        <v>26.849344944405292</v>
      </c>
    </row>
    <row r="38" spans="1:5" x14ac:dyDescent="0.25">
      <c r="A38" t="s">
        <v>40</v>
      </c>
      <c r="B38" s="3">
        <f>_cw/_tw</f>
        <v>40.297872340425535</v>
      </c>
      <c r="D38" s="15" t="s">
        <v>46</v>
      </c>
      <c r="E38" s="19">
        <f>38*_epsilon</f>
        <v>30.917427511739429</v>
      </c>
    </row>
    <row r="39" spans="1:5" x14ac:dyDescent="0.25">
      <c r="D39" s="16" t="s">
        <v>47</v>
      </c>
      <c r="E39" s="20">
        <f>42*_epsilon</f>
        <v>34.171893565606737</v>
      </c>
    </row>
    <row r="40" spans="1:5" x14ac:dyDescent="0.25">
      <c r="A40" t="s">
        <v>34</v>
      </c>
      <c r="B40">
        <f>IF(B37&lt;=E32,1,IF(B37&lt;=E33,2,IF(B37&lt;=E34,3,4)))</f>
        <v>1</v>
      </c>
    </row>
    <row r="41" spans="1:5" x14ac:dyDescent="0.25">
      <c r="A41" t="s">
        <v>35</v>
      </c>
      <c r="B41">
        <f>IF(B38&lt;=E37,1,IF(B38&lt;=E38,2,IF(B38&lt;=E39,3,4)))</f>
        <v>4</v>
      </c>
      <c r="D41" s="21" t="s">
        <v>48</v>
      </c>
      <c r="E41" s="22"/>
    </row>
    <row r="42" spans="1:5" x14ac:dyDescent="0.25">
      <c r="A42" t="s">
        <v>36</v>
      </c>
      <c r="B42">
        <f>IF(B38&lt;=E42,1,IF(B38&lt;=E43,2,IF(B38&lt;=E44,3,4)))</f>
        <v>1</v>
      </c>
      <c r="D42" s="15" t="s">
        <v>49</v>
      </c>
      <c r="E42" s="19">
        <f>72*_epsilon</f>
        <v>58.580388969611548</v>
      </c>
    </row>
    <row r="43" spans="1:5" x14ac:dyDescent="0.25">
      <c r="D43" s="15" t="s">
        <v>50</v>
      </c>
      <c r="E43" s="19">
        <f>83*_epsilon</f>
        <v>67.530170617746649</v>
      </c>
    </row>
    <row r="44" spans="1:5" x14ac:dyDescent="0.25">
      <c r="A44" t="s">
        <v>52</v>
      </c>
      <c r="B44" s="3">
        <f>_hw/_tw</f>
        <v>44.765957446808507</v>
      </c>
      <c r="D44" s="16" t="s">
        <v>51</v>
      </c>
      <c r="E44" s="20">
        <f>124*_epsilon</f>
        <v>100.88844766988656</v>
      </c>
    </row>
    <row r="45" spans="1:5" x14ac:dyDescent="0.25">
      <c r="A45" t="s">
        <v>51</v>
      </c>
      <c r="B45" s="3">
        <f>124*_epsilon</f>
        <v>100.88844766988656</v>
      </c>
    </row>
    <row r="46" spans="1:5" ht="15.75" thickBot="1" x14ac:dyDescent="0.3"/>
    <row r="47" spans="1:5" ht="15.75" thickBot="1" x14ac:dyDescent="0.3">
      <c r="A47" s="70" t="s">
        <v>133</v>
      </c>
      <c r="B47" s="71"/>
    </row>
    <row r="48" spans="1:5" x14ac:dyDescent="0.25">
      <c r="A48" t="s">
        <v>130</v>
      </c>
      <c r="B48" s="25">
        <f>H7+E19</f>
        <v>6.8560492004849909</v>
      </c>
      <c r="C48" s="26">
        <f>B48*1.35</f>
        <v>9.2556664206547374</v>
      </c>
    </row>
    <row r="49" spans="1:4" x14ac:dyDescent="0.25">
      <c r="A49" s="28" t="s">
        <v>228</v>
      </c>
      <c r="B49" s="53">
        <v>34.424999999999997</v>
      </c>
    </row>
    <row r="50" spans="1:4" x14ac:dyDescent="0.25">
      <c r="A50" s="16" t="s">
        <v>229</v>
      </c>
      <c r="B50" s="52" t="s">
        <v>236</v>
      </c>
      <c r="D50" s="24" t="s">
        <v>231</v>
      </c>
    </row>
    <row r="51" spans="1:4" x14ac:dyDescent="0.25">
      <c r="A51" s="28" t="s">
        <v>230</v>
      </c>
      <c r="B51" s="50">
        <v>13.47</v>
      </c>
    </row>
    <row r="52" spans="1:4" x14ac:dyDescent="0.25">
      <c r="A52" s="15" t="s">
        <v>240</v>
      </c>
      <c r="B52" s="51">
        <v>14.74</v>
      </c>
    </row>
    <row r="53" spans="1:4" x14ac:dyDescent="0.25">
      <c r="A53" s="15" t="s">
        <v>241</v>
      </c>
      <c r="B53" s="51">
        <v>-19.5</v>
      </c>
    </row>
    <row r="54" spans="1:4" x14ac:dyDescent="0.25">
      <c r="A54" s="15" t="s">
        <v>232</v>
      </c>
      <c r="B54" s="51">
        <v>11.67</v>
      </c>
    </row>
    <row r="55" spans="1:4" x14ac:dyDescent="0.25">
      <c r="A55" s="15" t="s">
        <v>233</v>
      </c>
      <c r="B55" s="51">
        <v>25.17</v>
      </c>
    </row>
    <row r="56" spans="1:4" x14ac:dyDescent="0.25">
      <c r="A56" s="15" t="s">
        <v>234</v>
      </c>
      <c r="B56" s="51">
        <v>12</v>
      </c>
    </row>
    <row r="57" spans="1:4" x14ac:dyDescent="0.25">
      <c r="A57" s="16" t="s">
        <v>235</v>
      </c>
      <c r="B57" s="52">
        <v>-19.5</v>
      </c>
    </row>
    <row r="58" spans="1:4" x14ac:dyDescent="0.25">
      <c r="A58" s="28" t="s">
        <v>237</v>
      </c>
      <c r="B58" s="50">
        <v>66.650000000000006</v>
      </c>
    </row>
    <row r="59" spans="1:4" x14ac:dyDescent="0.25">
      <c r="A59" s="15" t="s">
        <v>242</v>
      </c>
      <c r="B59" s="51">
        <v>96.16</v>
      </c>
    </row>
    <row r="60" spans="1:4" x14ac:dyDescent="0.25">
      <c r="A60" s="15" t="s">
        <v>243</v>
      </c>
      <c r="B60" s="51">
        <v>-71.05</v>
      </c>
    </row>
    <row r="61" spans="1:4" x14ac:dyDescent="0.25">
      <c r="A61" s="15" t="s">
        <v>238</v>
      </c>
      <c r="B61" s="51">
        <v>63.95</v>
      </c>
    </row>
    <row r="62" spans="1:4" x14ac:dyDescent="0.25">
      <c r="A62" s="15" t="s">
        <v>244</v>
      </c>
      <c r="B62" s="51">
        <v>111.9</v>
      </c>
    </row>
    <row r="63" spans="1:4" x14ac:dyDescent="0.25">
      <c r="A63" s="15" t="s">
        <v>245</v>
      </c>
      <c r="B63" s="51">
        <v>-41.81</v>
      </c>
    </row>
    <row r="64" spans="1:4" x14ac:dyDescent="0.25">
      <c r="A64" s="15" t="s">
        <v>239</v>
      </c>
      <c r="B64" s="51">
        <v>49.15</v>
      </c>
    </row>
    <row r="65" spans="1:9" x14ac:dyDescent="0.25">
      <c r="A65" s="54" t="s">
        <v>246</v>
      </c>
      <c r="B65" s="51">
        <v>58.96</v>
      </c>
    </row>
    <row r="66" spans="1:9" x14ac:dyDescent="0.25">
      <c r="A66" s="16" t="s">
        <v>247</v>
      </c>
      <c r="B66" s="52">
        <v>-71.06</v>
      </c>
    </row>
    <row r="67" spans="1:9" ht="15.75" thickBot="1" x14ac:dyDescent="0.3"/>
    <row r="68" spans="1:9" ht="15.75" thickBot="1" x14ac:dyDescent="0.3">
      <c r="A68" s="70" t="s">
        <v>134</v>
      </c>
      <c r="B68" s="71"/>
    </row>
    <row r="69" spans="1:9" x14ac:dyDescent="0.25">
      <c r="A69" t="s">
        <v>123</v>
      </c>
      <c r="B69" s="23">
        <f>_Wpl_y*1000*_fy*10^(-6)</f>
        <v>603.85500000000002</v>
      </c>
    </row>
    <row r="70" spans="1:9" x14ac:dyDescent="0.25">
      <c r="A70" t="s">
        <v>248</v>
      </c>
      <c r="B70" s="23">
        <f>_Av*100*_fy/(1000*SQRT(3))</f>
        <v>1042.1194079466816</v>
      </c>
    </row>
    <row r="71" spans="1:9" x14ac:dyDescent="0.25">
      <c r="B71" s="23"/>
    </row>
    <row r="72" spans="1:9" x14ac:dyDescent="0.25">
      <c r="A72" s="21"/>
      <c r="B72" s="62" t="s">
        <v>249</v>
      </c>
      <c r="C72" s="63" t="s">
        <v>250</v>
      </c>
      <c r="D72" s="22" t="s">
        <v>251</v>
      </c>
      <c r="F72" s="21"/>
      <c r="G72" s="65" t="s">
        <v>249</v>
      </c>
      <c r="H72" s="66" t="s">
        <v>250</v>
      </c>
      <c r="I72" s="29" t="s">
        <v>251</v>
      </c>
    </row>
    <row r="73" spans="1:9" x14ac:dyDescent="0.25">
      <c r="A73" s="15" t="s">
        <v>141</v>
      </c>
      <c r="B73" s="59">
        <f>MAX(B59,ABS(B60))/_Mpl_Rd</f>
        <v>0.15924352700565533</v>
      </c>
      <c r="C73" s="55">
        <f>MAX(B62,ABS(B63))/_Mpl_Rd</f>
        <v>0.18530938718732146</v>
      </c>
      <c r="D73" s="17">
        <f>MAX(B65,ABS(B66))/_Mpl_Rd</f>
        <v>0.11767725695738215</v>
      </c>
      <c r="F73" s="15" t="s">
        <v>141</v>
      </c>
      <c r="G73" s="67">
        <f>B73</f>
        <v>0.15924352700565533</v>
      </c>
      <c r="H73" s="68">
        <f t="shared" ref="H73:I73" si="0">C73</f>
        <v>0.18530938718732146</v>
      </c>
      <c r="I73" s="69">
        <f t="shared" si="0"/>
        <v>0.11767725695738215</v>
      </c>
    </row>
    <row r="74" spans="1:9" x14ac:dyDescent="0.25">
      <c r="A74" s="15" t="s">
        <v>142</v>
      </c>
      <c r="B74" s="59">
        <f>B58/B70</f>
        <v>6.3956202611486199E-2</v>
      </c>
      <c r="C74" s="55">
        <f>B61/B70</f>
        <v>6.1365328687239942E-2</v>
      </c>
      <c r="D74" s="17">
        <f>B64/B70</f>
        <v>4.7163501250630853E-2</v>
      </c>
      <c r="F74" s="15" t="s">
        <v>142</v>
      </c>
      <c r="G74" s="59">
        <f>B74</f>
        <v>6.3956202611486199E-2</v>
      </c>
      <c r="H74" s="55">
        <f t="shared" ref="H74" si="1">C74</f>
        <v>6.1365328687239942E-2</v>
      </c>
      <c r="I74" s="17">
        <f t="shared" ref="I74" si="2">D74</f>
        <v>4.7163501250630853E-2</v>
      </c>
    </row>
    <row r="75" spans="1:9" x14ac:dyDescent="0.25">
      <c r="A75" s="15" t="s">
        <v>255</v>
      </c>
      <c r="B75" s="60">
        <f>1/B73</f>
        <v>6.2796900998336103</v>
      </c>
      <c r="C75" s="56">
        <f t="shared" ref="C75:D75" si="3">1/C73</f>
        <v>5.3963806970509385</v>
      </c>
      <c r="D75" s="57">
        <f t="shared" si="3"/>
        <v>8.4978187447227693</v>
      </c>
      <c r="F75" s="15" t="s">
        <v>257</v>
      </c>
      <c r="G75" s="60">
        <v>521.97</v>
      </c>
      <c r="H75" s="56">
        <v>546.22</v>
      </c>
      <c r="I75" s="57">
        <v>496.55</v>
      </c>
    </row>
    <row r="76" spans="1:9" x14ac:dyDescent="0.25">
      <c r="A76" s="15" t="s">
        <v>256</v>
      </c>
      <c r="B76" s="60">
        <v>5.4870000000000001</v>
      </c>
      <c r="C76" s="56">
        <v>4.9240000000000004</v>
      </c>
      <c r="D76" s="57">
        <v>6.9660000000000002</v>
      </c>
      <c r="F76" s="15" t="s">
        <v>252</v>
      </c>
      <c r="G76" s="59">
        <f>SQRT(_Mpl_Rd/G75)</f>
        <v>1.0755820898480224</v>
      </c>
      <c r="H76" s="55">
        <f>SQRT(_Mpl_Rd/H75)</f>
        <v>1.0514352535543854</v>
      </c>
      <c r="I76" s="17">
        <f>SQRT(_Mpl_Rd/I75)</f>
        <v>1.1027697391446936</v>
      </c>
    </row>
    <row r="77" spans="1:9" x14ac:dyDescent="0.25">
      <c r="A77" s="15" t="s">
        <v>252</v>
      </c>
      <c r="B77" s="59">
        <f>SQRT(B75/B76)</f>
        <v>1.0697976163788039</v>
      </c>
      <c r="C77" s="55">
        <f t="shared" ref="C77:D77" si="4">SQRT(C75/C76)</f>
        <v>1.0468688272173641</v>
      </c>
      <c r="D77" s="17">
        <f t="shared" si="4"/>
        <v>1.1044905303869459</v>
      </c>
      <c r="F77" s="15" t="s">
        <v>167</v>
      </c>
      <c r="G77" s="60">
        <f>IF(_h/_b&lt;=2,0.21,0.34)</f>
        <v>0.34</v>
      </c>
      <c r="H77" s="56">
        <f>IF(_h/_b&lt;=2,0.21,0.34)</f>
        <v>0.34</v>
      </c>
      <c r="I77" s="57">
        <f>IF(_h/_b&lt;=2,0.21,0.34)</f>
        <v>0.34</v>
      </c>
    </row>
    <row r="78" spans="1:9" x14ac:dyDescent="0.25">
      <c r="A78" s="15" t="s">
        <v>167</v>
      </c>
      <c r="B78" s="60">
        <f>IF(_h/_b&lt;=2,0.21,0.34)</f>
        <v>0.34</v>
      </c>
      <c r="C78" s="56">
        <f>IF(_h/_b&lt;=2,0.21,0.34)</f>
        <v>0.34</v>
      </c>
      <c r="D78" s="57">
        <f>IF(_h/_b&lt;=2,0.21,0.34)</f>
        <v>0.34</v>
      </c>
      <c r="F78" s="15" t="s">
        <v>253</v>
      </c>
      <c r="G78" s="59">
        <f>0.5*(1+G77*(G76-0.2)+G76^2)</f>
        <v>1.2272873712750836</v>
      </c>
      <c r="H78" s="55">
        <f t="shared" ref="H78:I78" si="5">0.5*(1+H77*(H76-0.2)+H76^2)</f>
        <v>1.1975020393127329</v>
      </c>
      <c r="I78" s="17">
        <f t="shared" si="5"/>
        <v>1.2615214044412257</v>
      </c>
    </row>
    <row r="79" spans="1:9" x14ac:dyDescent="0.25">
      <c r="A79" s="15" t="s">
        <v>253</v>
      </c>
      <c r="B79" s="59">
        <f>0.5*(1+B78*(B77-0.2)+B77^2)</f>
        <v>1.2200990647892818</v>
      </c>
      <c r="C79" s="55">
        <f t="shared" ref="C79:D79" si="6">0.5*(1+C78*(C77-0.2)+C77^2)</f>
        <v>1.1919348713266817</v>
      </c>
      <c r="D79" s="17">
        <f t="shared" si="6"/>
        <v>1.2637130560229994</v>
      </c>
      <c r="F79" s="15" t="s">
        <v>254</v>
      </c>
      <c r="G79" s="59">
        <f>1/(G78+SQRT(G78^2-G76^2))</f>
        <v>0.54994850835187725</v>
      </c>
      <c r="H79" s="55">
        <f t="shared" ref="H79:I79" si="7">1/(H78+SQRT(H78^2-H76^2))</f>
        <v>0.56476533795169126</v>
      </c>
      <c r="I79" s="17">
        <f t="shared" si="7"/>
        <v>0.53357025759830123</v>
      </c>
    </row>
    <row r="80" spans="1:9" x14ac:dyDescent="0.25">
      <c r="A80" s="15" t="s">
        <v>254</v>
      </c>
      <c r="B80" s="59">
        <f>1/(B79+SQRT(B79^2-B77^2))</f>
        <v>0.55347596700576529</v>
      </c>
      <c r="C80" s="55">
        <f t="shared" ref="C80:D80" si="8">1/(C79+SQRT(C79^2-C77^2))</f>
        <v>0.56759336517890635</v>
      </c>
      <c r="D80" s="17">
        <f t="shared" si="8"/>
        <v>0.5325453315503752</v>
      </c>
      <c r="F80" s="15" t="s">
        <v>149</v>
      </c>
      <c r="G80" s="60">
        <f>G79*_Mpl_Rd</f>
        <v>332.08915651082287</v>
      </c>
      <c r="H80" s="56">
        <f>H79*_Mpl_Rd</f>
        <v>341.03637314881854</v>
      </c>
      <c r="I80" s="57">
        <f>I79*_Mpl_Rd</f>
        <v>322.19906790202219</v>
      </c>
    </row>
    <row r="81" spans="1:9" x14ac:dyDescent="0.25">
      <c r="A81" s="15" t="s">
        <v>149</v>
      </c>
      <c r="B81" s="60">
        <f>B80*_Mpl_Rd</f>
        <v>334.21923005626638</v>
      </c>
      <c r="C81" s="56">
        <f>C80*_Mpl_Rd</f>
        <v>342.74409153010851</v>
      </c>
      <c r="D81" s="57">
        <f>D80*_Mpl_Rd</f>
        <v>321.58016118335183</v>
      </c>
      <c r="F81" s="16" t="s">
        <v>150</v>
      </c>
      <c r="G81" s="61">
        <f>G73/G79</f>
        <v>0.28956079448762767</v>
      </c>
      <c r="H81" s="58">
        <f>H73/H79</f>
        <v>0.32811749364684345</v>
      </c>
      <c r="I81" s="18">
        <f>I73/I79</f>
        <v>0.2205468825924993</v>
      </c>
    </row>
    <row r="82" spans="1:9" x14ac:dyDescent="0.25">
      <c r="A82" s="16" t="s">
        <v>150</v>
      </c>
      <c r="B82" s="61">
        <f>B73/B80</f>
        <v>0.28771534176477903</v>
      </c>
      <c r="C82" s="58">
        <f t="shared" ref="C82:D82" si="9">C73/C80</f>
        <v>0.3264826521164701</v>
      </c>
      <c r="D82" s="18">
        <f t="shared" si="9"/>
        <v>0.22097134269263738</v>
      </c>
    </row>
  </sheetData>
  <mergeCells count="8">
    <mergeCell ref="G1:H1"/>
    <mergeCell ref="A29:B29"/>
    <mergeCell ref="A68:B68"/>
    <mergeCell ref="D31:E31"/>
    <mergeCell ref="A47:B47"/>
    <mergeCell ref="A1:B1"/>
    <mergeCell ref="A9:B9"/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163</vt:i4>
      </vt:variant>
    </vt:vector>
  </HeadingPairs>
  <TitlesOfParts>
    <vt:vector size="167" baseType="lpstr">
      <vt:lpstr>Cas 2</vt:lpstr>
      <vt:lpstr>Cas 3</vt:lpstr>
      <vt:lpstr>Cas 4</vt:lpstr>
      <vt:lpstr>Cas 5</vt:lpstr>
      <vt:lpstr>'Cas 2'!_A</vt:lpstr>
      <vt:lpstr>'Cas 3'!_A</vt:lpstr>
      <vt:lpstr>'Cas 5'!_A</vt:lpstr>
      <vt:lpstr>'Cas 2'!_A0</vt:lpstr>
      <vt:lpstr>'Cas 5'!_Ac</vt:lpstr>
      <vt:lpstr>'Cas 2'!_Ace</vt:lpstr>
      <vt:lpstr>'Cas 3'!_Ace</vt:lpstr>
      <vt:lpstr>'Cas 2'!_Acr</vt:lpstr>
      <vt:lpstr>'Cas 2'!_As_inf</vt:lpstr>
      <vt:lpstr>'Cas 3'!_As_inf</vt:lpstr>
      <vt:lpstr>'Cas 2'!_Av</vt:lpstr>
      <vt:lpstr>'Cas 3'!_Av</vt:lpstr>
      <vt:lpstr>'Cas 5'!_Av</vt:lpstr>
      <vt:lpstr>'Cas 2'!_b</vt:lpstr>
      <vt:lpstr>'Cas 3'!_b</vt:lpstr>
      <vt:lpstr>'Cas 5'!_b</vt:lpstr>
      <vt:lpstr>'Cas 5'!_b_Droite</vt:lpstr>
      <vt:lpstr>'Cas 5'!_b_Gauche</vt:lpstr>
      <vt:lpstr>'Cas 2'!_B0</vt:lpstr>
      <vt:lpstr>'Cas 2'!_bb</vt:lpstr>
      <vt:lpstr>'Cas 2'!_bc</vt:lpstr>
      <vt:lpstr>'Cas 3'!_bc</vt:lpstr>
      <vt:lpstr>'Cas 3'!_bdroite</vt:lpstr>
      <vt:lpstr>'Cas 3'!_be1</vt:lpstr>
      <vt:lpstr>'Cas 3'!_be2</vt:lpstr>
      <vt:lpstr>'Cas 3'!_beff_appui</vt:lpstr>
      <vt:lpstr>'Cas 3'!_beff_mi_travee</vt:lpstr>
      <vt:lpstr>'Cas 3'!_beta1</vt:lpstr>
      <vt:lpstr>'Cas 3'!_beta2</vt:lpstr>
      <vt:lpstr>'Cas 3'!_bgauche</vt:lpstr>
      <vt:lpstr>'Cas 2'!_bm</vt:lpstr>
      <vt:lpstr>'Cas 3'!_bm</vt:lpstr>
      <vt:lpstr>'Cas 2'!_bp</vt:lpstr>
      <vt:lpstr>'Cas 2'!_bt</vt:lpstr>
      <vt:lpstr>'Cas 2'!_cf</vt:lpstr>
      <vt:lpstr>'Cas 3'!_cf</vt:lpstr>
      <vt:lpstr>'Cas 5'!_cf</vt:lpstr>
      <vt:lpstr>'Cas 2'!_cw</vt:lpstr>
      <vt:lpstr>'Cas 3'!_cw</vt:lpstr>
      <vt:lpstr>'Cas 5'!_cw</vt:lpstr>
      <vt:lpstr>'Cas 2'!_d</vt:lpstr>
      <vt:lpstr>'Cas 3'!_dsc</vt:lpstr>
      <vt:lpstr>'Cas 2'!_dw</vt:lpstr>
      <vt:lpstr>'Cas 3'!_dw</vt:lpstr>
      <vt:lpstr>'Cas 2'!_Ecm_dalle</vt:lpstr>
      <vt:lpstr>'Cas 3'!_Ecm_dalle</vt:lpstr>
      <vt:lpstr>'Cas 2'!_ep</vt:lpstr>
      <vt:lpstr>'Cas 3'!_ep</vt:lpstr>
      <vt:lpstr>'Cas 2'!_epsilon</vt:lpstr>
      <vt:lpstr>'Cas 3'!_epsilon</vt:lpstr>
      <vt:lpstr>'Cas 5'!_epsilon</vt:lpstr>
      <vt:lpstr>'Cas 3'!_eta</vt:lpstr>
      <vt:lpstr>'Cas 2'!_fck_dalle</vt:lpstr>
      <vt:lpstr>'Cas 3'!_fck_dalle</vt:lpstr>
      <vt:lpstr>'Cas 2'!_fck_enrobage</vt:lpstr>
      <vt:lpstr>'Cas 3'!_fck_enrobage</vt:lpstr>
      <vt:lpstr>'Cas 2'!_fcm_dalle</vt:lpstr>
      <vt:lpstr>'Cas 2'!_fcm_enrobage</vt:lpstr>
      <vt:lpstr>'Cas 3'!_fcm_enrobage</vt:lpstr>
      <vt:lpstr>'Cas 2'!_fctm_dalle</vt:lpstr>
      <vt:lpstr>'Cas 2'!_fctm_enrobage</vt:lpstr>
      <vt:lpstr>'Cas 2'!_fusc</vt:lpstr>
      <vt:lpstr>'Cas 3'!_fusc</vt:lpstr>
      <vt:lpstr>'Cas 2'!_fy</vt:lpstr>
      <vt:lpstr>'Cas 3'!_fy</vt:lpstr>
      <vt:lpstr>'Cas 5'!_fy</vt:lpstr>
      <vt:lpstr>'Cas 2'!_fyd</vt:lpstr>
      <vt:lpstr>'Cas 3'!_fyd</vt:lpstr>
      <vt:lpstr>'Cas 2'!_fyp</vt:lpstr>
      <vt:lpstr>'Cas 2'!_h</vt:lpstr>
      <vt:lpstr>'Cas 3'!_h</vt:lpstr>
      <vt:lpstr>'Cas 5'!_h</vt:lpstr>
      <vt:lpstr>'Cas 2'!_hp</vt:lpstr>
      <vt:lpstr>'Cas 3'!_hp</vt:lpstr>
      <vt:lpstr>'Cas 2'!_hpg</vt:lpstr>
      <vt:lpstr>'Cas 2'!_hsc</vt:lpstr>
      <vt:lpstr>'Cas 3'!_hsc</vt:lpstr>
      <vt:lpstr>'Cas 2'!_hw</vt:lpstr>
      <vt:lpstr>'Cas 3'!_hw</vt:lpstr>
      <vt:lpstr>'Cas 5'!_hw</vt:lpstr>
      <vt:lpstr>'Cas 2'!_Iy</vt:lpstr>
      <vt:lpstr>'Cas 3'!_Iy</vt:lpstr>
      <vt:lpstr>'Cas 5'!_Iy</vt:lpstr>
      <vt:lpstr>'Cas 2'!_Iz</vt:lpstr>
      <vt:lpstr>'Cas 5'!_Iz</vt:lpstr>
      <vt:lpstr>'Cas 2'!_kr</vt:lpstr>
      <vt:lpstr>'Cas 3'!_kt</vt:lpstr>
      <vt:lpstr>'Cas 3'!_kt_max</vt:lpstr>
      <vt:lpstr>'Cas 2'!_L</vt:lpstr>
      <vt:lpstr>'Cas 3'!_L</vt:lpstr>
      <vt:lpstr>'Cas 5'!_L_ConsoleD</vt:lpstr>
      <vt:lpstr>'Cas 5'!_L_ConsoleG</vt:lpstr>
      <vt:lpstr>'Cas 5'!_L_tot</vt:lpstr>
      <vt:lpstr>'Cas 5'!_L_Travee</vt:lpstr>
      <vt:lpstr>'Cas 2'!_Mel_y_Rd</vt:lpstr>
      <vt:lpstr>'Cas 2'!_Mel_z_Rd</vt:lpstr>
      <vt:lpstr>'Cas 5'!_Mpl_Rd</vt:lpstr>
      <vt:lpstr>'Cas 2'!_Mpl_y_Rd</vt:lpstr>
      <vt:lpstr>'Cas 2'!_Mpl_z_Rd</vt:lpstr>
      <vt:lpstr>'Cas 2'!_n</vt:lpstr>
      <vt:lpstr>'Cas 3'!_n_dalle</vt:lpstr>
      <vt:lpstr>'Cas 3'!_Na</vt:lpstr>
      <vt:lpstr>'Cas 3'!_Ncp</vt:lpstr>
      <vt:lpstr>'Cas 3'!_Nf</vt:lpstr>
      <vt:lpstr>'Cas 3'!_nr</vt:lpstr>
      <vt:lpstr>'Cas 3'!_Ns_inf</vt:lpstr>
      <vt:lpstr>'Cas 2'!_NtRd</vt:lpstr>
      <vt:lpstr>'Cas 3'!_Nw</vt:lpstr>
      <vt:lpstr>'Cas 2'!_qBac</vt:lpstr>
      <vt:lpstr>'Cas 3'!_qBac</vt:lpstr>
      <vt:lpstr>'Cas 2'!_qDalle</vt:lpstr>
      <vt:lpstr>'Cas 3'!_qDalle</vt:lpstr>
      <vt:lpstr>'Cas 2'!_qEnrobage</vt:lpstr>
      <vt:lpstr>'Cas 3'!_qEnrobage</vt:lpstr>
      <vt:lpstr>'Cas 2'!_qProfile</vt:lpstr>
      <vt:lpstr>'Cas 3'!_qProfile</vt:lpstr>
      <vt:lpstr>'Cas 2'!_r</vt:lpstr>
      <vt:lpstr>'Cas 3'!_r</vt:lpstr>
      <vt:lpstr>'Cas 5'!_r</vt:lpstr>
      <vt:lpstr>'Cas 2'!_rho</vt:lpstr>
      <vt:lpstr>'Cas 3'!_rho</vt:lpstr>
      <vt:lpstr>'Cas 5'!_rhoA</vt:lpstr>
      <vt:lpstr>'Cas 5'!_rhoC</vt:lpstr>
      <vt:lpstr>'Cas 2'!_tc</vt:lpstr>
      <vt:lpstr>'Cas 3'!_tc</vt:lpstr>
      <vt:lpstr>'Cas 2'!_td</vt:lpstr>
      <vt:lpstr>'Cas 3'!_td</vt:lpstr>
      <vt:lpstr>'Cas 5'!_td</vt:lpstr>
      <vt:lpstr>'Cas 2'!_tf</vt:lpstr>
      <vt:lpstr>'Cas 3'!_tf</vt:lpstr>
      <vt:lpstr>'Cas 5'!_tf</vt:lpstr>
      <vt:lpstr>'Cas 5'!_th</vt:lpstr>
      <vt:lpstr>'Cas 5'!_theta</vt:lpstr>
      <vt:lpstr>'Cas 2'!_tp</vt:lpstr>
      <vt:lpstr>'Cas 2'!_tw</vt:lpstr>
      <vt:lpstr>'Cas 3'!_tw</vt:lpstr>
      <vt:lpstr>'Cas 5'!_tw</vt:lpstr>
      <vt:lpstr>'Cas 2'!_VplRd</vt:lpstr>
      <vt:lpstr>'Cas 3'!_VplRd</vt:lpstr>
      <vt:lpstr>'Cas 5'!_VplRd</vt:lpstr>
      <vt:lpstr>'Cas 2'!_Wel_y</vt:lpstr>
      <vt:lpstr>'Cas 3'!_Wel_y</vt:lpstr>
      <vt:lpstr>'Cas 5'!_Wel_y</vt:lpstr>
      <vt:lpstr>'Cas 2'!_Wel_z</vt:lpstr>
      <vt:lpstr>'Cas 3'!_Wel_z</vt:lpstr>
      <vt:lpstr>'Cas 5'!_Wel_z</vt:lpstr>
      <vt:lpstr>'Cas 2'!_Wpl_y</vt:lpstr>
      <vt:lpstr>'Cas 3'!_Wpl_y</vt:lpstr>
      <vt:lpstr>'Cas 5'!_Wpl_y</vt:lpstr>
      <vt:lpstr>'Cas 2'!_Wpl_z</vt:lpstr>
      <vt:lpstr>'Cas 3'!_Wpl_z</vt:lpstr>
      <vt:lpstr>'Cas 5'!_Wpl_z</vt:lpstr>
      <vt:lpstr>'Cas 2'!_za</vt:lpstr>
      <vt:lpstr>'Cas 3'!_za</vt:lpstr>
      <vt:lpstr>'Cas 2'!_zcr</vt:lpstr>
      <vt:lpstr>'Cas 2'!_zel</vt:lpstr>
      <vt:lpstr>'Cas 3'!_zel</vt:lpstr>
      <vt:lpstr>'Cas 2'!_zpl</vt:lpstr>
      <vt:lpstr>'Cas 3'!_zpl_a</vt:lpstr>
      <vt:lpstr>'Cas 3'!_zpl_c</vt:lpstr>
      <vt:lpstr>'Cas 3'!_zs</vt:lpstr>
      <vt:lpstr>'Cas 2'!_zs_inf</vt:lpstr>
      <vt:lpstr>'Cas 3'!_zs_inf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DELACOURT</dc:creator>
  <cp:lastModifiedBy>Guillaume DELACOURT</cp:lastModifiedBy>
  <dcterms:created xsi:type="dcterms:W3CDTF">2024-05-16T08:45:13Z</dcterms:created>
  <dcterms:modified xsi:type="dcterms:W3CDTF">2024-06-03T15:48:13Z</dcterms:modified>
</cp:coreProperties>
</file>