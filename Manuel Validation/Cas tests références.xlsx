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/>
  </bookViews>
  <sheets>
    <sheet name="Cas 2" sheetId="1" r:id="rId1"/>
  </sheets>
  <definedNames>
    <definedName name="_A" localSheetId="0">'Cas 2'!$B$32</definedName>
    <definedName name="_A0" localSheetId="0">'Cas 2'!$B$75</definedName>
    <definedName name="_Ace" localSheetId="0">'Cas 2'!$E$4</definedName>
    <definedName name="_Acr" localSheetId="0">'Cas 2'!$B$71</definedName>
    <definedName name="_As_inf" localSheetId="0">'Cas 2'!$E$10</definedName>
    <definedName name="_Av" localSheetId="0">'Cas 2'!$B$33</definedName>
    <definedName name="_b" localSheetId="0">'Cas 2'!$B$4</definedName>
    <definedName name="_B0" localSheetId="0">'Cas 2'!$B$76</definedName>
    <definedName name="_bb" localSheetId="0">'Cas 2'!$E$21</definedName>
    <definedName name="_bc" localSheetId="0">'Cas 2'!$E$3</definedName>
    <definedName name="_bm" localSheetId="0">'Cas 2'!$E$22</definedName>
    <definedName name="_bp" localSheetId="0">'Cas 2'!$B$70</definedName>
    <definedName name="_bt" localSheetId="0">'Cas 2'!$E$20</definedName>
    <definedName name="_cf" localSheetId="0">'Cas 2'!$B$11</definedName>
    <definedName name="_cw" localSheetId="0">'Cas 2'!$B$12</definedName>
    <definedName name="_d" localSheetId="0">'Cas 2'!$H$13</definedName>
    <definedName name="_dw" localSheetId="0">'Cas 2'!$B$9</definedName>
    <definedName name="_Ecm_dalle" localSheetId="0">'Cas 2'!$H$8</definedName>
    <definedName name="_ep" localSheetId="0">'Cas 2'!$E$19</definedName>
    <definedName name="_epsilon" localSheetId="0">'Cas 2'!$B$15</definedName>
    <definedName name="_fck_dalle" localSheetId="0">'Cas 2'!$H$5</definedName>
    <definedName name="_fck_enrobage" localSheetId="0">'Cas 2'!$E$6</definedName>
    <definedName name="_fcm_dalle" localSheetId="0">'Cas 2'!$H$6</definedName>
    <definedName name="_fcm_enrobage" localSheetId="0">'Cas 2'!$E$7</definedName>
    <definedName name="_fctm_dalle" localSheetId="0">'Cas 2'!$H$7</definedName>
    <definedName name="_fctm_enrobage" localSheetId="0">'Cas 2'!$E$8</definedName>
    <definedName name="_fusc" localSheetId="0">'Cas 2'!$H$14</definedName>
    <definedName name="_fy" localSheetId="0">'Cas 2'!$B$14</definedName>
    <definedName name="_fyd">'Cas 2'!$E$12</definedName>
    <definedName name="_fyp" localSheetId="0">'Cas 2'!$E$24</definedName>
    <definedName name="_h" localSheetId="0">'Cas 2'!$B$3</definedName>
    <definedName name="_hp" localSheetId="0">'Cas 2'!$E$17</definedName>
    <definedName name="_hpg" localSheetId="0">'Cas 2'!$E$18</definedName>
    <definedName name="_hsc" localSheetId="0">'Cas 2'!$H$12</definedName>
    <definedName name="_hw" localSheetId="0">'Cas 2'!$B$8</definedName>
    <definedName name="_Iy" localSheetId="0">'Cas 2'!$B$34</definedName>
    <definedName name="_Iz" localSheetId="0">'Cas 2'!$B$35</definedName>
    <definedName name="_kr">'Cas 2'!$B$72</definedName>
    <definedName name="_L" localSheetId="0">'Cas 2'!$B$2</definedName>
    <definedName name="_Mel_y_Rd" localSheetId="0">'Cas 2'!$B$53</definedName>
    <definedName name="_Mel_z_Rd" localSheetId="0">'Cas 2'!$B$54</definedName>
    <definedName name="_Mpl_y_Rd" localSheetId="0">'Cas 2'!$B$55</definedName>
    <definedName name="_Mpl_z_Rd" localSheetId="0">'Cas 2'!$B$56</definedName>
    <definedName name="_n" localSheetId="0">'Cas 2'!$B$69</definedName>
    <definedName name="_NtRd" localSheetId="0">'Cas 2'!$B$51</definedName>
    <definedName name="_qBac" localSheetId="0">'Cas 2'!$E$26</definedName>
    <definedName name="_qDalle" localSheetId="0">'Cas 2'!$H$10</definedName>
    <definedName name="_qEnrobage" localSheetId="0">'Cas 2'!$E$13</definedName>
    <definedName name="_qProfile" localSheetId="0">'Cas 2'!$B$18</definedName>
    <definedName name="_r" localSheetId="0">'Cas 2'!$B$7</definedName>
    <definedName name="_rho" localSheetId="0">'Cas 2'!$B$17</definedName>
    <definedName name="_tc" localSheetId="0">'Cas 2'!$H$4</definedName>
    <definedName name="_td" localSheetId="0">'Cas 2'!$H$3</definedName>
    <definedName name="_tf" localSheetId="0">'Cas 2'!$B$5</definedName>
    <definedName name="_tp" localSheetId="0">'Cas 2'!$E$23</definedName>
    <definedName name="_tw" localSheetId="0">'Cas 2'!$B$6</definedName>
    <definedName name="_VplRd" localSheetId="0">'Cas 2'!$B$52</definedName>
    <definedName name="_Wel_y" localSheetId="0">'Cas 2'!$B$36</definedName>
    <definedName name="_Wel_z" localSheetId="0">'Cas 2'!$B$37</definedName>
    <definedName name="_Wpl_y" localSheetId="0">'Cas 2'!$B$38</definedName>
    <definedName name="_Wpl_z" localSheetId="0">'Cas 2'!$B$39</definedName>
    <definedName name="_za" localSheetId="0">'Cas 2'!$B$74</definedName>
    <definedName name="_zcr" localSheetId="0">'Cas 2'!$B$73</definedName>
    <definedName name="_zel" localSheetId="0">'Cas 2'!$B$77</definedName>
    <definedName name="_zpl" localSheetId="0">'Cas 2'!$B$102</definedName>
    <definedName name="_zs_inf" localSheetId="0">'Cas 2'!$E$11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4" i="1" l="1"/>
  <c r="B18" i="1"/>
  <c r="E26" i="1"/>
  <c r="B104" i="1"/>
  <c r="B103" i="1"/>
  <c r="B98" i="1"/>
  <c r="E12" i="1"/>
  <c r="B91" i="1"/>
  <c r="B92" i="1" s="1"/>
  <c r="B89" i="1"/>
  <c r="B84" i="1"/>
  <c r="E72" i="1" l="1"/>
  <c r="E74" i="1"/>
  <c r="E73" i="1"/>
  <c r="C81" i="1"/>
  <c r="B79" i="1"/>
  <c r="B78" i="1"/>
  <c r="B74" i="1"/>
  <c r="B72" i="1"/>
  <c r="B73" i="1" s="1"/>
  <c r="B71" i="1"/>
  <c r="E10" i="1"/>
  <c r="E22" i="1"/>
  <c r="H7" i="1" l="1"/>
  <c r="H6" i="1"/>
  <c r="H4" i="1"/>
  <c r="H10" i="1" s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B76" i="1" l="1"/>
  <c r="D76" i="1" s="1"/>
  <c r="B100" i="1"/>
  <c r="B12" i="1"/>
  <c r="B59" i="1" s="1"/>
  <c r="B9" i="1"/>
  <c r="B75" i="1"/>
  <c r="D75" i="1" s="1"/>
  <c r="E9" i="1"/>
  <c r="B86" i="1"/>
  <c r="H2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29" i="1" l="1"/>
  <c r="B125" i="1"/>
  <c r="B112" i="1"/>
  <c r="B111" i="1"/>
  <c r="E5" i="1"/>
  <c r="B85" i="1" s="1"/>
  <c r="B90" i="1" s="1"/>
  <c r="B93" i="1" s="1"/>
  <c r="B94" i="1" s="1"/>
  <c r="B97" i="1"/>
  <c r="B99" i="1"/>
  <c r="B77" i="1"/>
  <c r="B81" i="1" s="1"/>
  <c r="D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B115" i="1" l="1"/>
  <c r="B117" i="1"/>
  <c r="B122" i="1" s="1"/>
  <c r="B128" i="1"/>
  <c r="B127" i="1"/>
  <c r="B118" i="1"/>
  <c r="B116" i="1"/>
  <c r="B101" i="1"/>
  <c r="B102" i="1" s="1"/>
  <c r="B80" i="1"/>
  <c r="B62" i="1"/>
  <c r="B106" i="1" l="1"/>
  <c r="B107" i="1" s="1"/>
  <c r="B121" i="1" s="1"/>
  <c r="B105" i="1"/>
</calcChain>
</file>

<file path=xl/sharedStrings.xml><?xml version="1.0" encoding="utf-8"?>
<sst xmlns="http://schemas.openxmlformats.org/spreadsheetml/2006/main" count="160" uniqueCount="152">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</sst>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abSelected="1" topLeftCell="A105" workbookViewId="0">
      <selection activeCell="C124" sqref="C124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28" t="s">
        <v>55</v>
      </c>
      <c r="B1" s="29"/>
      <c r="C1"/>
      <c r="D1" s="28" t="s">
        <v>56</v>
      </c>
      <c r="E1" s="29"/>
      <c r="F1" s="24"/>
      <c r="G1" s="28" t="s">
        <v>65</v>
      </c>
      <c r="H1" s="29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2*_tc*(1+_hp*_bm/(_ep*_tc))</f>
        <v>209.67149758454107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28" t="s">
        <v>66</v>
      </c>
      <c r="E15" s="29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5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28" t="s">
        <v>7</v>
      </c>
      <c r="B30" s="29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28" t="s">
        <v>16</v>
      </c>
      <c r="B50" s="29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30" t="s">
        <v>34</v>
      </c>
      <c r="F52" s="31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28" t="s">
        <v>79</v>
      </c>
      <c r="B68" s="29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32" t="s">
        <v>98</v>
      </c>
      <c r="F84" s="33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4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IF(_fck_enrobage&lt;=25,MIN(1.5*(1+(0.012*B84*100)^18+250),1500),FALSE)</f>
        <v>376.50015233993503</v>
      </c>
    </row>
    <row r="92" spans="1:6" x14ac:dyDescent="0.25">
      <c r="A92" t="s">
        <v>108</v>
      </c>
      <c r="B92" s="26">
        <f>((B88-B87)/(B91+B88-B87))^0.3</f>
        <v>0.9938741085684526</v>
      </c>
    </row>
    <row r="93" spans="1:6" x14ac:dyDescent="0.25">
      <c r="A93" t="s">
        <v>109</v>
      </c>
      <c r="B93" s="25">
        <f>B90*B92</f>
        <v>2.3241655972350728</v>
      </c>
    </row>
    <row r="94" spans="1:6" x14ac:dyDescent="0.25">
      <c r="A94" t="s">
        <v>110</v>
      </c>
      <c r="B94" s="26">
        <f>B82*(1+B83*B93)</f>
        <v>23.728772758918403</v>
      </c>
    </row>
    <row r="95" spans="1:6" ht="15.75" thickBot="1" x14ac:dyDescent="0.3"/>
    <row r="96" spans="1:6" ht="15.75" thickBot="1" x14ac:dyDescent="0.3">
      <c r="A96" s="28" t="s">
        <v>111</v>
      </c>
      <c r="B96" s="29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28" t="s">
        <v>133</v>
      </c>
      <c r="B109" s="29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28" t="s">
        <v>134</v>
      </c>
      <c r="B120" s="29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6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7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66</vt:i4>
      </vt:variant>
    </vt:vector>
  </HeadingPairs>
  <TitlesOfParts>
    <vt:vector size="67" baseType="lpstr">
      <vt:lpstr>Cas 2</vt:lpstr>
      <vt:lpstr>'Cas 2'!_A</vt:lpstr>
      <vt:lpstr>'Cas 2'!_A0</vt:lpstr>
      <vt:lpstr>'Cas 2'!_Ace</vt:lpstr>
      <vt:lpstr>'Cas 2'!_Acr</vt:lpstr>
      <vt:lpstr>'Cas 2'!_As_inf</vt:lpstr>
      <vt:lpstr>'Cas 2'!_Av</vt:lpstr>
      <vt:lpstr>'Cas 2'!_b</vt:lpstr>
      <vt:lpstr>'Cas 2'!_B0</vt:lpstr>
      <vt:lpstr>'Cas 2'!_bb</vt:lpstr>
      <vt:lpstr>'Cas 2'!_bc</vt:lpstr>
      <vt:lpstr>'Cas 2'!_bm</vt:lpstr>
      <vt:lpstr>'Cas 2'!_bp</vt:lpstr>
      <vt:lpstr>'Cas 2'!_bt</vt:lpstr>
      <vt:lpstr>'Cas 2'!_cf</vt:lpstr>
      <vt:lpstr>'Cas 2'!_cw</vt:lpstr>
      <vt:lpstr>'Cas 2'!_d</vt:lpstr>
      <vt:lpstr>'Cas 2'!_dw</vt:lpstr>
      <vt:lpstr>'Cas 2'!_Ecm_dalle</vt:lpstr>
      <vt:lpstr>'Cas 2'!_ep</vt:lpstr>
      <vt:lpstr>'Cas 2'!_epsilon</vt:lpstr>
      <vt:lpstr>'Cas 2'!_fck_dalle</vt:lpstr>
      <vt:lpstr>'Cas 2'!_fck_enrobage</vt:lpstr>
      <vt:lpstr>'Cas 2'!_fcm_dalle</vt:lpstr>
      <vt:lpstr>'Cas 2'!_fcm_enrobage</vt:lpstr>
      <vt:lpstr>'Cas 2'!_fctm_dalle</vt:lpstr>
      <vt:lpstr>'Cas 2'!_fctm_enrobage</vt:lpstr>
      <vt:lpstr>'Cas 2'!_fusc</vt:lpstr>
      <vt:lpstr>'Cas 2'!_fy</vt:lpstr>
      <vt:lpstr>_fyd</vt:lpstr>
      <vt:lpstr>'Cas 2'!_fyp</vt:lpstr>
      <vt:lpstr>'Cas 2'!_h</vt:lpstr>
      <vt:lpstr>'Cas 2'!_hp</vt:lpstr>
      <vt:lpstr>'Cas 2'!_hpg</vt:lpstr>
      <vt:lpstr>'Cas 2'!_hsc</vt:lpstr>
      <vt:lpstr>'Cas 2'!_hw</vt:lpstr>
      <vt:lpstr>'Cas 2'!_Iy</vt:lpstr>
      <vt:lpstr>'Cas 2'!_Iz</vt:lpstr>
      <vt:lpstr>_kr</vt:lpstr>
      <vt:lpstr>'Cas 2'!_L</vt:lpstr>
      <vt:lpstr>'Cas 2'!_Mel_y_Rd</vt:lpstr>
      <vt:lpstr>'Cas 2'!_Mel_z_Rd</vt:lpstr>
      <vt:lpstr>'Cas 2'!_Mpl_y_Rd</vt:lpstr>
      <vt:lpstr>'Cas 2'!_Mpl_z_Rd</vt:lpstr>
      <vt:lpstr>'Cas 2'!_n</vt:lpstr>
      <vt:lpstr>'Cas 2'!_NtRd</vt:lpstr>
      <vt:lpstr>'Cas 2'!_qBac</vt:lpstr>
      <vt:lpstr>'Cas 2'!_qDalle</vt:lpstr>
      <vt:lpstr>'Cas 2'!_qEnrobage</vt:lpstr>
      <vt:lpstr>'Cas 2'!_qProfile</vt:lpstr>
      <vt:lpstr>'Cas 2'!_r</vt:lpstr>
      <vt:lpstr>'Cas 2'!_rho</vt:lpstr>
      <vt:lpstr>'Cas 2'!_tc</vt:lpstr>
      <vt:lpstr>'Cas 2'!_td</vt:lpstr>
      <vt:lpstr>'Cas 2'!_tf</vt:lpstr>
      <vt:lpstr>'Cas 2'!_tp</vt:lpstr>
      <vt:lpstr>'Cas 2'!_tw</vt:lpstr>
      <vt:lpstr>'Cas 2'!_VplRd</vt:lpstr>
      <vt:lpstr>'Cas 2'!_Wel_y</vt:lpstr>
      <vt:lpstr>'Cas 2'!_Wel_z</vt:lpstr>
      <vt:lpstr>'Cas 2'!_Wpl_y</vt:lpstr>
      <vt:lpstr>'Cas 2'!_Wpl_z</vt:lpstr>
      <vt:lpstr>'Cas 2'!_za</vt:lpstr>
      <vt:lpstr>'Cas 2'!_zcr</vt:lpstr>
      <vt:lpstr>'Cas 2'!_zel</vt:lpstr>
      <vt:lpstr>'Cas 2'!_zpl</vt:lpstr>
      <vt:lpstr>'Cas 2'!_zs_inf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2024-05-21T15:27:04Z</dcterms:modified>
</cp:coreProperties>
</file>