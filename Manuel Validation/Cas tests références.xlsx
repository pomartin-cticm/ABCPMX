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4"/>
  </bookViews>
  <sheets>
    <sheet name="Cas 2" sheetId="1" r:id="rId1"/>
    <sheet name="Cas 3" sheetId="2" r:id="rId2"/>
    <sheet name="Cas 4" sheetId="4" r:id="rId3"/>
    <sheet name="Cas 5" sheetId="3" r:id="rId4"/>
    <sheet name="Cas 6" sheetId="6" r:id="rId5"/>
  </sheets>
  <definedNames>
    <definedName name="_A" localSheetId="0">'Cas 2'!$B$32</definedName>
    <definedName name="_A" localSheetId="1">'Cas 3'!$B$33</definedName>
    <definedName name="_A" localSheetId="3">'Cas 5'!$B$11</definedName>
    <definedName name="_A" localSheetId="4">'Cas 6'!$B$15</definedName>
    <definedName name="_A0" localSheetId="0">'Cas 2'!$B$75</definedName>
    <definedName name="_A0" localSheetId="1">'Cas 3'!#REF!</definedName>
    <definedName name="_Ac" localSheetId="3">'Cas 5'!$H$5</definedName>
    <definedName name="_Ac_brute" localSheetId="4">'Cas 6'!$H$5</definedName>
    <definedName name="_Ace" localSheetId="0">'Cas 2'!$E$4</definedName>
    <definedName name="_Ace" localSheetId="1">'Cas 3'!$E$4</definedName>
    <definedName name="_Ace" localSheetId="4">'Cas 6'!$E$4</definedName>
    <definedName name="_Acr" localSheetId="0">'Cas 2'!$B$71</definedName>
    <definedName name="_Acr" localSheetId="1">'Cas 3'!#REF!</definedName>
    <definedName name="_Ah" localSheetId="4">'Cas 6'!#REF!</definedName>
    <definedName name="_As_inf" localSheetId="0">'Cas 2'!$E$10</definedName>
    <definedName name="_As_inf" localSheetId="1">'Cas 3'!$E$10</definedName>
    <definedName name="_As_inf" localSheetId="4">'Cas 6'!$E$10</definedName>
    <definedName name="_Av" localSheetId="0">'Cas 2'!$B$33</definedName>
    <definedName name="_Av" localSheetId="1">'Cas 3'!$B$34</definedName>
    <definedName name="_Av" localSheetId="3">'Cas 5'!$B$12</definedName>
    <definedName name="_Av" localSheetId="4">'Cas 6'!$B$16</definedName>
    <definedName name="_b" localSheetId="0">'Cas 2'!$B$4</definedName>
    <definedName name="_b" localSheetId="1">'Cas 3'!$B$15</definedName>
    <definedName name="_b" localSheetId="3">'Cas 5'!$E$3</definedName>
    <definedName name="_b_Droite" localSheetId="3">'Cas 5'!$B$7</definedName>
    <definedName name="_b_Droite" localSheetId="4">'Cas 6'!$B$4</definedName>
    <definedName name="_b_Gauche" localSheetId="3">'Cas 5'!$B$6</definedName>
    <definedName name="_b_Gauche" localSheetId="4">'Cas 6'!$B$3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c" localSheetId="4">'Cas 6'!$E$3</definedName>
    <definedName name="_bdroite" localSheetId="1">'Cas 3'!$B$4</definedName>
    <definedName name="_be1" localSheetId="1">'Cas 3'!$B$6</definedName>
    <definedName name="_be1" localSheetId="4">'Cas 6'!$B$3</definedName>
    <definedName name="_be2" localSheetId="1">'Cas 3'!$B$7</definedName>
    <definedName name="_be2" localSheetId="4">'Cas 6'!$B$4</definedName>
    <definedName name="_beff" localSheetId="4">'Cas 6'!$B$81</definedName>
    <definedName name="_beff_appui" localSheetId="1">'Cas 3'!$B$11</definedName>
    <definedName name="_beff_appuis" localSheetId="4">'Cas 6'!$B$11</definedName>
    <definedName name="_beff_mi_travee" localSheetId="1">'Cas 3'!$B$10</definedName>
    <definedName name="_beff_mi_travee" localSheetId="4">'Cas 6'!$B$10</definedName>
    <definedName name="_beta1" localSheetId="1">'Cas 3'!$B$8</definedName>
    <definedName name="_beta1" localSheetId="4">'Cas 6'!$B$8</definedName>
    <definedName name="_beta2" localSheetId="1">'Cas 3'!$B$9</definedName>
    <definedName name="_beta2" localSheetId="4">'Cas 6'!$B$9</definedName>
    <definedName name="_bfi" localSheetId="4">'Cas 6'!$E$5</definedName>
    <definedName name="_bfs" localSheetId="4">'Cas 6'!$E$3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3">'Cas 5'!$E$12</definedName>
    <definedName name="_cf_inf" localSheetId="4">'Cas 6'!$E$14</definedName>
    <definedName name="_cf_sup" localSheetId="4">'Cas 6'!$E$12</definedName>
    <definedName name="_cw" localSheetId="0">'Cas 2'!$B$12</definedName>
    <definedName name="_cw" localSheetId="1">'Cas 3'!$B$23</definedName>
    <definedName name="_cw" localSheetId="3">'Cas 5'!$E$13</definedName>
    <definedName name="_cw" localSheetId="4">'Cas 6'!$E$13</definedName>
    <definedName name="_d" localSheetId="0">'Cas 2'!$H$13</definedName>
    <definedName name="_dsc" localSheetId="1">'Cas 3'!$H$14</definedName>
    <definedName name="_dsc" localSheetId="4">'Cas 6'!$H$16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cm_dalle" localSheetId="4">'Cas 6'!$H$10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3">'Cas 5'!$E$16</definedName>
    <definedName name="_epsilon" localSheetId="4">'Cas 6'!$E$17</definedName>
    <definedName name="_eta" localSheetId="1">'Cas 3'!$H$28</definedName>
    <definedName name="_fck_dalle" localSheetId="0">'Cas 2'!$H$5</definedName>
    <definedName name="_fck_dalle" localSheetId="1">'Cas 3'!$H$5</definedName>
    <definedName name="_fck_dalle" localSheetId="4">'Cas 6'!$H$7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dalle" localSheetId="4">'Cas 6'!$H$8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dalle" localSheetId="4">'Cas 6'!$H$9</definedName>
    <definedName name="_fctm_enrobage" localSheetId="0">'Cas 2'!$E$8</definedName>
    <definedName name="_fusc" localSheetId="0">'Cas 2'!$H$14</definedName>
    <definedName name="_fusc" localSheetId="1">'Cas 3'!$H$15</definedName>
    <definedName name="_fusc" localSheetId="4">'Cas 6'!$H$17</definedName>
    <definedName name="_fy" localSheetId="0">'Cas 2'!$B$14</definedName>
    <definedName name="_fy" localSheetId="1">'Cas 3'!$B$25</definedName>
    <definedName name="_fy" localSheetId="3">'Cas 5'!$E$15</definedName>
    <definedName name="_fy" localSheetId="4">'Cas 6'!$E$16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3">'Cas 5'!$E$2</definedName>
    <definedName name="_h" localSheetId="4">'Cas 6'!$E$2</definedName>
    <definedName name="_h0_dalle" localSheetId="4">'Cas 6'!$H$2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sc" localSheetId="4">'Cas 6'!$H$15</definedName>
    <definedName name="_hw" localSheetId="0">'Cas 2'!$B$8</definedName>
    <definedName name="_hw" localSheetId="1">'Cas 3'!$B$19</definedName>
    <definedName name="_hw" localSheetId="3">'Cas 5'!$E$9</definedName>
    <definedName name="_hw" localSheetId="4">'Cas 6'!$E$8</definedName>
    <definedName name="_Iy" localSheetId="0">'Cas 2'!$B$34</definedName>
    <definedName name="_Iy" localSheetId="1">'Cas 3'!$B$35</definedName>
    <definedName name="_Iy" localSheetId="3">'Cas 5'!$B$13</definedName>
    <definedName name="_Iy" localSheetId="4">'Cas 6'!$B$17</definedName>
    <definedName name="_Iz" localSheetId="0">'Cas 2'!$B$35</definedName>
    <definedName name="_Iz" localSheetId="3">'Cas 5'!$B$14</definedName>
    <definedName name="_Iz" localSheetId="4">'Cas 6'!$B$18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" localSheetId="3">'Cas 5'!$B$2</definedName>
    <definedName name="_L" localSheetId="4">'Cas 6'!$B$2</definedName>
    <definedName name="_L_ConsoleD" localSheetId="3">'Cas 5'!$B$4</definedName>
    <definedName name="_L_ConsoleG" localSheetId="3">'Cas 5'!$B$2</definedName>
    <definedName name="_L_tot" localSheetId="3">'Cas 5'!$B$5</definedName>
    <definedName name="_L_Travee" localSheetId="3">'Cas 5'!$B$3</definedName>
    <definedName name="_L_Travee" localSheetId="4">'Cas 6'!$B$2</definedName>
    <definedName name="_Mel_y_Rd" localSheetId="0">'Cas 2'!$B$53</definedName>
    <definedName name="_Mel_z_Rd" localSheetId="0">'Cas 2'!$B$54</definedName>
    <definedName name="_Mpl_Rd" localSheetId="3">'Cas 5'!$B$70</definedName>
    <definedName name="_Mpl_Rd" localSheetId="4">'Cas 6'!#REF!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dalle" localSheetId="4">'Cas 6'!$B$80</definedName>
    <definedName name="_n_enrobage" localSheetId="1">'Cas 3'!#REF!</definedName>
    <definedName name="_Na" localSheetId="1">'Cas 3'!$H$23</definedName>
    <definedName name="_Na" localSheetId="4">'Cas 6'!$H$24</definedName>
    <definedName name="_Ncp" localSheetId="1">'Cas 3'!$B$104</definedName>
    <definedName name="_Nf" localSheetId="1">'Cas 3'!$B$102</definedName>
    <definedName name="_nr" localSheetId="1">'Cas 3'!$H$16</definedName>
    <definedName name="_nr" localSheetId="4">'Cas 6'!$H$18</definedName>
    <definedName name="_Ns_inf" localSheetId="1">'Cas 3'!$H$24</definedName>
    <definedName name="_NtRd" localSheetId="0">'Cas 2'!$B$51</definedName>
    <definedName name="_Nw" localSheetId="1">'Cas 3'!$B$103</definedName>
    <definedName name="_PRd" localSheetId="4">'Cas 6'!$H$23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3">'Cas 5'!$E$8</definedName>
    <definedName name="_r" localSheetId="4">'Cas 6'!$E$10</definedName>
    <definedName name="_rho" localSheetId="0">'Cas 2'!$B$17</definedName>
    <definedName name="_rho" localSheetId="1">'Cas 3'!$B$28</definedName>
    <definedName name="_rhoA" localSheetId="3">'Cas 5'!$E$18</definedName>
    <definedName name="_rhoA" localSheetId="4">'Cas 6'!$E$19</definedName>
    <definedName name="_rhoC" localSheetId="3">'Cas 5'!$H$6</definedName>
    <definedName name="_rhoC" localSheetId="4">'Cas 6'!$H$6</definedName>
    <definedName name="_sx" localSheetId="4">'Cas 6'!$H$19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3">'Cas 5'!$H$2</definedName>
    <definedName name="_td" localSheetId="4">'Cas 6'!$H$3</definedName>
    <definedName name="_tf" localSheetId="0">'Cas 2'!$B$5</definedName>
    <definedName name="_tf" localSheetId="1">'Cas 3'!$B$16</definedName>
    <definedName name="_tf" localSheetId="3">'Cas 5'!$E$4</definedName>
    <definedName name="_tf" localSheetId="4">'Cas 6'!$B$16</definedName>
    <definedName name="_tfi" localSheetId="4">'Cas 6'!$E$6</definedName>
    <definedName name="_tfs" localSheetId="4">'Cas 6'!$E$4</definedName>
    <definedName name="_th" localSheetId="3">'Cas 5'!$H$3</definedName>
    <definedName name="_theta" localSheetId="3">'Cas 5'!$H$4</definedName>
    <definedName name="_tj" localSheetId="4">'Cas 6'!$H$4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3">'Cas 5'!$E$5</definedName>
    <definedName name="_tw" localSheetId="4">'Cas 6'!$E$7</definedName>
    <definedName name="_VplRd" localSheetId="0">'Cas 2'!$B$52</definedName>
    <definedName name="_VplRd" localSheetId="1">'Cas 3'!$B$53</definedName>
    <definedName name="_VplRd" localSheetId="3">'Cas 5'!$B$53</definedName>
    <definedName name="_VplRd" localSheetId="4">'Cas 6'!#REF!</definedName>
    <definedName name="_Wel_y" localSheetId="0">'Cas 2'!$B$36</definedName>
    <definedName name="_Wel_y" localSheetId="1">'Cas 3'!$B$37</definedName>
    <definedName name="_Wel_y" localSheetId="3">'Cas 5'!$B$15</definedName>
    <definedName name="_Wel_y" localSheetId="4">'Cas 6'!$B$19</definedName>
    <definedName name="_Wel_z" localSheetId="0">'Cas 2'!$B$37</definedName>
    <definedName name="_Wel_z" localSheetId="1">'Cas 3'!$B$38</definedName>
    <definedName name="_Wel_z" localSheetId="3">'Cas 5'!$B$16</definedName>
    <definedName name="_Wel_z" localSheetId="4">'Cas 6'!$B$20</definedName>
    <definedName name="_Wpl_y" localSheetId="0">'Cas 2'!$B$38</definedName>
    <definedName name="_Wpl_y" localSheetId="1">'Cas 3'!$B$39</definedName>
    <definedName name="_Wpl_y" localSheetId="3">'Cas 5'!$B$17</definedName>
    <definedName name="_Wpl_y" localSheetId="4">'Cas 6'!$B$21</definedName>
    <definedName name="_Wpl_z" localSheetId="0">'Cas 2'!$B$39</definedName>
    <definedName name="_Wpl_z" localSheetId="1">'Cas 3'!$B$40</definedName>
    <definedName name="_Wpl_z" localSheetId="3">'Cas 5'!$B$18</definedName>
    <definedName name="_Wpl_z" localSheetId="4">'Cas 6'!$B$22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el" localSheetId="4">'Cas 6'!$B$70</definedName>
    <definedName name="_zp" localSheetId="4">'Cas 6'!#REF!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" localSheetId="4">'Cas 6'!$B$65</definedName>
    <definedName name="_zs_inf" localSheetId="0">'Cas 2'!$E$11</definedName>
    <definedName name="_zs_inf" localSheetId="1">'Cas 3'!$E$11</definedName>
    <definedName name="_zs_inf" localSheetId="4">'Cas 6'!$E$11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03" i="6" l="1"/>
  <c r="B198" i="6"/>
  <c r="B202" i="6"/>
  <c r="B201" i="6"/>
  <c r="B200" i="6"/>
  <c r="B197" i="6"/>
  <c r="B193" i="6"/>
  <c r="C179" i="6"/>
  <c r="D179" i="6"/>
  <c r="E179" i="6"/>
  <c r="E180" i="6" s="1"/>
  <c r="B179" i="6"/>
  <c r="B180" i="6" s="1"/>
  <c r="C177" i="6"/>
  <c r="D177" i="6"/>
  <c r="E177" i="6"/>
  <c r="B177" i="6"/>
  <c r="C180" i="6"/>
  <c r="D180" i="6"/>
  <c r="F180" i="6" l="1"/>
  <c r="B194" i="6" s="1"/>
  <c r="B175" i="6"/>
  <c r="D168" i="6"/>
  <c r="B97" i="6"/>
  <c r="C183" i="6"/>
  <c r="B169" i="6"/>
  <c r="B172" i="6" s="1"/>
  <c r="B117" i="6"/>
  <c r="H128" i="6"/>
  <c r="H133" i="6"/>
  <c r="H134" i="6" s="1"/>
  <c r="G130" i="6"/>
  <c r="F130" i="6"/>
  <c r="E130" i="6"/>
  <c r="N130" i="6" s="1"/>
  <c r="G129" i="6"/>
  <c r="F129" i="6"/>
  <c r="D129" i="6"/>
  <c r="G128" i="6"/>
  <c r="F128" i="6"/>
  <c r="E128" i="6"/>
  <c r="N128" i="6" s="1"/>
  <c r="F127" i="6"/>
  <c r="D127" i="6"/>
  <c r="I128" i="6" l="1"/>
  <c r="J128" i="6" s="1"/>
  <c r="K128" i="6" s="1"/>
  <c r="L128" i="6" s="1"/>
  <c r="H129" i="6"/>
  <c r="H127" i="6"/>
  <c r="B46" i="6"/>
  <c r="B147" i="6"/>
  <c r="B145" i="6"/>
  <c r="B146" i="6" s="1"/>
  <c r="B144" i="6"/>
  <c r="D169" i="6" s="1"/>
  <c r="B142" i="6"/>
  <c r="C169" i="6" s="1"/>
  <c r="B141" i="6"/>
  <c r="C168" i="6" s="1"/>
  <c r="H5" i="6"/>
  <c r="B149" i="6" s="1"/>
  <c r="H113" i="6"/>
  <c r="H114" i="6" s="1"/>
  <c r="G110" i="6"/>
  <c r="G109" i="6"/>
  <c r="G108" i="6"/>
  <c r="H108" i="6"/>
  <c r="E110" i="6"/>
  <c r="N110" i="6" s="1"/>
  <c r="D109" i="6"/>
  <c r="H109" i="6" s="1"/>
  <c r="E108" i="6"/>
  <c r="N108" i="6" s="1"/>
  <c r="D107" i="6"/>
  <c r="H107" i="6" s="1"/>
  <c r="F107" i="6"/>
  <c r="F110" i="6"/>
  <c r="F109" i="6"/>
  <c r="F108" i="6"/>
  <c r="G87" i="6"/>
  <c r="G89" i="6"/>
  <c r="E87" i="6"/>
  <c r="E89" i="6"/>
  <c r="D87" i="6"/>
  <c r="C86" i="6"/>
  <c r="D86" i="6" s="1"/>
  <c r="H2" i="6"/>
  <c r="B67" i="6" s="1"/>
  <c r="I108" i="6" l="1"/>
  <c r="M108" i="6" s="1"/>
  <c r="O108" i="6" s="1"/>
  <c r="P108" i="6" s="1"/>
  <c r="Q108" i="6" s="1"/>
  <c r="D172" i="6"/>
  <c r="C170" i="6"/>
  <c r="C173" i="6" s="1"/>
  <c r="C171" i="6"/>
  <c r="C174" i="6" s="1"/>
  <c r="D171" i="6"/>
  <c r="D174" i="6" s="1"/>
  <c r="D170" i="6"/>
  <c r="D173" i="6" s="1"/>
  <c r="M128" i="6"/>
  <c r="O128" i="6" s="1"/>
  <c r="P128" i="6" s="1"/>
  <c r="Q128" i="6" s="1"/>
  <c r="B152" i="6"/>
  <c r="I109" i="6"/>
  <c r="M109" i="6" s="1"/>
  <c r="F87" i="6"/>
  <c r="E14" i="6"/>
  <c r="B43" i="6" s="1"/>
  <c r="J108" i="6" l="1"/>
  <c r="K108" i="6" s="1"/>
  <c r="L108" i="6" s="1"/>
  <c r="B153" i="6"/>
  <c r="E169" i="6" s="1"/>
  <c r="F169" i="6" s="1"/>
  <c r="F172" i="6" s="1"/>
  <c r="C172" i="6"/>
  <c r="J109" i="6"/>
  <c r="K109" i="6" s="1"/>
  <c r="L109" i="6" s="1"/>
  <c r="C45" i="6"/>
  <c r="C46" i="6"/>
  <c r="E170" i="6" l="1"/>
  <c r="E171" i="6"/>
  <c r="E174" i="6" s="1"/>
  <c r="B16" i="6"/>
  <c r="E173" i="6" l="1"/>
  <c r="B88" i="2"/>
  <c r="B15" i="6"/>
  <c r="B14" i="6"/>
  <c r="E8" i="6"/>
  <c r="H29" i="6"/>
  <c r="H21" i="6"/>
  <c r="H20" i="6"/>
  <c r="H9" i="6"/>
  <c r="H8" i="6"/>
  <c r="H10" i="6" s="1"/>
  <c r="B64" i="6" s="1"/>
  <c r="B72" i="6"/>
  <c r="B66" i="6"/>
  <c r="E178" i="6" l="1"/>
  <c r="C178" i="6"/>
  <c r="D178" i="6"/>
  <c r="C129" i="6"/>
  <c r="D130" i="6"/>
  <c r="E129" i="6"/>
  <c r="D110" i="6"/>
  <c r="E109" i="6"/>
  <c r="N109" i="6" s="1"/>
  <c r="O109" i="6" s="1"/>
  <c r="P109" i="6" s="1"/>
  <c r="Q109" i="6" s="1"/>
  <c r="C88" i="6"/>
  <c r="G88" i="6" s="1"/>
  <c r="C109" i="6"/>
  <c r="B47" i="6"/>
  <c r="B48" i="6"/>
  <c r="B68" i="6"/>
  <c r="B69" i="6"/>
  <c r="B74" i="6"/>
  <c r="H22" i="6"/>
  <c r="B10" i="6"/>
  <c r="B9" i="6"/>
  <c r="B8" i="6"/>
  <c r="B5" i="6"/>
  <c r="B7" i="6" s="1"/>
  <c r="B39" i="6"/>
  <c r="B38" i="6"/>
  <c r="E17" i="6"/>
  <c r="B59" i="6" s="1"/>
  <c r="B37" i="6"/>
  <c r="B36" i="6"/>
  <c r="E12" i="6"/>
  <c r="B182" i="6"/>
  <c r="H11" i="6"/>
  <c r="B107" i="6" l="1"/>
  <c r="N129" i="6"/>
  <c r="I129" i="6"/>
  <c r="I130" i="6"/>
  <c r="H130" i="6"/>
  <c r="E88" i="6"/>
  <c r="C93" i="6" s="1"/>
  <c r="D88" i="6"/>
  <c r="F88" i="6" s="1"/>
  <c r="D89" i="6"/>
  <c r="F89" i="6" s="1"/>
  <c r="H110" i="6"/>
  <c r="I110" i="6"/>
  <c r="M110" i="6" s="1"/>
  <c r="O110" i="6" s="1"/>
  <c r="P110" i="6" s="1"/>
  <c r="Q110" i="6" s="1"/>
  <c r="K41" i="6"/>
  <c r="K47" i="6"/>
  <c r="K54" i="6"/>
  <c r="K50" i="6"/>
  <c r="K46" i="6"/>
  <c r="K42" i="6"/>
  <c r="H36" i="6"/>
  <c r="H25" i="6"/>
  <c r="H23" i="6"/>
  <c r="B24" i="6"/>
  <c r="B25" i="6" s="1"/>
  <c r="H24" i="6"/>
  <c r="B41" i="6"/>
  <c r="B75" i="6"/>
  <c r="B73" i="6"/>
  <c r="E9" i="6"/>
  <c r="B28" i="6"/>
  <c r="B27" i="6"/>
  <c r="B6" i="6"/>
  <c r="B11" i="6"/>
  <c r="B31" i="6"/>
  <c r="E13" i="6"/>
  <c r="B42" i="6" s="1"/>
  <c r="E37" i="6"/>
  <c r="H38" i="6"/>
  <c r="B60" i="6"/>
  <c r="E36" i="6"/>
  <c r="B53" i="6" s="1"/>
  <c r="B58" i="6"/>
  <c r="H37" i="6"/>
  <c r="K38" i="6"/>
  <c r="B30" i="6"/>
  <c r="E38" i="6"/>
  <c r="B34" i="6"/>
  <c r="E20" i="6"/>
  <c r="B35" i="6"/>
  <c r="K36" i="6"/>
  <c r="K37" i="6"/>
  <c r="C175" i="6" l="1"/>
  <c r="C176" i="6" s="1"/>
  <c r="D175" i="6"/>
  <c r="D176" i="6" s="1"/>
  <c r="E175" i="6"/>
  <c r="E176" i="6" s="1"/>
  <c r="B100" i="6"/>
  <c r="B185" i="6"/>
  <c r="B119" i="6"/>
  <c r="B127" i="6" s="1"/>
  <c r="B99" i="6"/>
  <c r="B101" i="6" s="1"/>
  <c r="M129" i="6"/>
  <c r="O129" i="6" s="1"/>
  <c r="P129" i="6" s="1"/>
  <c r="Q129" i="6" s="1"/>
  <c r="J129" i="6"/>
  <c r="K129" i="6" s="1"/>
  <c r="L129" i="6" s="1"/>
  <c r="H27" i="6"/>
  <c r="B120" i="6"/>
  <c r="J110" i="6"/>
  <c r="K110" i="6" s="1"/>
  <c r="L110" i="6" s="1"/>
  <c r="J130" i="6"/>
  <c r="K130" i="6" s="1"/>
  <c r="L130" i="6" s="1"/>
  <c r="M130" i="6"/>
  <c r="O130" i="6" s="1"/>
  <c r="P130" i="6" s="1"/>
  <c r="Q130" i="6" s="1"/>
  <c r="B52" i="6"/>
  <c r="H26" i="6"/>
  <c r="B50" i="6"/>
  <c r="B137" i="6"/>
  <c r="B76" i="6"/>
  <c r="B77" i="6" s="1"/>
  <c r="B51" i="6"/>
  <c r="B102" i="6" l="1"/>
  <c r="E107" i="6" s="1"/>
  <c r="I107" i="6" s="1"/>
  <c r="B121" i="6"/>
  <c r="B122" i="6" s="1"/>
  <c r="E127" i="6" s="1"/>
  <c r="H28" i="6"/>
  <c r="C137" i="6"/>
  <c r="B140" i="6"/>
  <c r="B139" i="6"/>
  <c r="B168" i="6" s="1"/>
  <c r="B178" i="6" l="1"/>
  <c r="F178" i="6" s="1"/>
  <c r="B176" i="6"/>
  <c r="F176" i="6" s="1"/>
  <c r="B192" i="6" s="1"/>
  <c r="N107" i="6"/>
  <c r="E172" i="6"/>
  <c r="B155" i="6"/>
  <c r="B191" i="6" s="1"/>
  <c r="M107" i="6"/>
  <c r="J107" i="6"/>
  <c r="K107" i="6" s="1"/>
  <c r="B171" i="6"/>
  <c r="F171" i="6" s="1"/>
  <c r="B170" i="6"/>
  <c r="F170" i="6" s="1"/>
  <c r="N127" i="6"/>
  <c r="I127" i="6"/>
  <c r="B154" i="6"/>
  <c r="B190" i="6" s="1"/>
  <c r="B156" i="6"/>
  <c r="B86" i="6"/>
  <c r="G86" i="6" s="1"/>
  <c r="D79" i="3"/>
  <c r="C79" i="3"/>
  <c r="B79" i="3"/>
  <c r="H78" i="3"/>
  <c r="I78" i="3"/>
  <c r="G78" i="3"/>
  <c r="O107" i="6" l="1"/>
  <c r="P107" i="6" s="1"/>
  <c r="P111" i="6" s="1"/>
  <c r="L107" i="6"/>
  <c r="L111" i="6" s="1"/>
  <c r="K111" i="6"/>
  <c r="B173" i="6"/>
  <c r="F173" i="6"/>
  <c r="B174" i="6"/>
  <c r="F174" i="6"/>
  <c r="M127" i="6"/>
  <c r="O127" i="6" s="1"/>
  <c r="P127" i="6" s="1"/>
  <c r="J127" i="6"/>
  <c r="K127" i="6" s="1"/>
  <c r="E86" i="6"/>
  <c r="E90" i="6" s="1"/>
  <c r="B10" i="3"/>
  <c r="B12" i="3"/>
  <c r="B71" i="3" s="1"/>
  <c r="B11" i="3"/>
  <c r="B20" i="3" s="1"/>
  <c r="B16" i="3"/>
  <c r="B15" i="3"/>
  <c r="B70" i="3"/>
  <c r="Q107" i="6" l="1"/>
  <c r="Q111" i="6" s="1"/>
  <c r="E114" i="6" s="1"/>
  <c r="E113" i="6"/>
  <c r="B189" i="6"/>
  <c r="L127" i="6"/>
  <c r="L131" i="6" s="1"/>
  <c r="K131" i="6"/>
  <c r="Q127" i="6"/>
  <c r="Q131" i="6" s="1"/>
  <c r="P131" i="6"/>
  <c r="F86" i="6"/>
  <c r="F92" i="6" s="1"/>
  <c r="B74" i="3"/>
  <c r="G74" i="3" s="1"/>
  <c r="H77" i="3"/>
  <c r="I77" i="3"/>
  <c r="G77" i="3"/>
  <c r="C74" i="3"/>
  <c r="B75" i="3"/>
  <c r="G75" i="3" s="1"/>
  <c r="C75" i="3"/>
  <c r="H75" i="3" s="1"/>
  <c r="D75" i="3"/>
  <c r="I75" i="3" s="1"/>
  <c r="D74" i="3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H87" i="6" l="1"/>
  <c r="E133" i="6"/>
  <c r="E134" i="6"/>
  <c r="H86" i="6"/>
  <c r="H88" i="6"/>
  <c r="B48" i="3"/>
  <c r="H89" i="6"/>
  <c r="B76" i="3"/>
  <c r="B78" i="3" s="1"/>
  <c r="B80" i="3" s="1"/>
  <c r="B81" i="3" s="1"/>
  <c r="B82" i="3" s="1"/>
  <c r="G79" i="3"/>
  <c r="G80" i="3" s="1"/>
  <c r="H74" i="3"/>
  <c r="C76" i="3"/>
  <c r="I74" i="3"/>
  <c r="D76" i="3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B83" i="3" l="1"/>
  <c r="D78" i="3"/>
  <c r="D80" i="3" s="1"/>
  <c r="D81" i="3" s="1"/>
  <c r="C78" i="3"/>
  <c r="C80" i="3" s="1"/>
  <c r="C81" i="3" s="1"/>
  <c r="G81" i="3"/>
  <c r="G82" i="3"/>
  <c r="I79" i="3"/>
  <c r="I80" i="3" s="1"/>
  <c r="I81" i="3" s="1"/>
  <c r="H79" i="3"/>
  <c r="H80" i="3" s="1"/>
  <c r="H81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C83" i="3" l="1"/>
  <c r="C82" i="3"/>
  <c r="D82" i="3"/>
  <c r="D83" i="3"/>
  <c r="H82" i="3"/>
  <c r="I82" i="3"/>
  <c r="B103" i="2"/>
  <c r="B6" i="2"/>
  <c r="B94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  <c r="F93" i="6"/>
  <c r="F94" i="6" s="1"/>
</calcChain>
</file>

<file path=xl/sharedStrings.xml><?xml version="1.0" encoding="utf-8"?>
<sst xmlns="http://schemas.openxmlformats.org/spreadsheetml/2006/main" count="800" uniqueCount="378">
  <si>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</si>
  <si>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</si>
  <si>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</si>
  <si>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</si>
  <si>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</si>
  <si>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</si>
  <si>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</si>
  <si>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</si>
  <si>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</si>
  <si>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</si>
  <si>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</si>
  <si>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</si>
  <si>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</si>
  <si>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</si>
  <si>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</si>
  <si>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</si>
  <si>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</si>
  <si>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</si>
  <si>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</si>
  <si>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</si>
  <si>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</si>
  <si>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</si>
  <si>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</si>
  <si>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</si>
  <si>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</si>
  <si>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</si>
  <si>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</si>
  <si>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</si>
  <si>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</si>
  <si>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</si>
  <si>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</si>
  <si>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</si>
  <si>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</si>
  <si>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</si>
  <si>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</si>
  <si>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</si>
  <si>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</si>
  <si>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</si>
  <si>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</si>
  <si>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</si>
  <si>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</si>
  <si>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</si>
  <si>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</si>
  <si>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</si>
  <si>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</si>
  <si>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</si>
  <si>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</si>
  <si>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</si>
  <si>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</si>
  <si>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</si>
  <si>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</si>
  <si>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</si>
  <si>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</si>
  <si>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</si>
  <si>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</si>
  <si>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</si>
  <si>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</si>
  <si>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</si>
  <si>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</si>
  <si>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</si>
  <si>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</si>
  <si>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</si>
  <si>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</si>
  <si>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</si>
  <si>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</si>
  <si>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</si>
  <si>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</si>
  <si>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</si>
  <si>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</si>
  <si>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</si>
  <si>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</si>
  <si>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</si>
  <si>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</si>
  <si>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</si>
  <si>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</si>
  <si>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</si>
  <si>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</si>
  <si>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</si>
  <si>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</si>
  <si>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</si>
  <si>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</si>
  <si>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</si>
  <si>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</si>
  <si>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</si>
  <si>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</si>
  <si>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</si>
  <si>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</si>
  <si>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</si>
  <si>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</si>
  <si>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</si>
  <si>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</si>
  <si>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</si>
  <si>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</si>
  <si>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</si>
  <si>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</si>
  <si>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</si>
  <si>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</si>
  <si>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</si>
  <si>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</si>
  <si>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</si>
  <si>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</si>
  <si>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</si>
  <si>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</si>
  <si>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</si>
  <si>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</si>
  <si>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</si>
  <si>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</si>
  <si>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</si>
  <si>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</si>
  <si>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</si>
  <si>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</si>
  <si>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</si>
  <si>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</si>
  <si>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</si>
  <si>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</si>
  <si>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</si>
  <si>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</si>
  <si>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</si>
  <si>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</si>
  <si>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</si>
  <si>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</si>
  <si>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</si>
  <si>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</si>
  <si>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</si>
  <si>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</si>
  <si>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</si>
  <si>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</si>
  <si>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</si>
  <si>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</si>
  <si>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</si>
  <si>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</si>
  <si>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</si>
  <si>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</si>
  <si>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</si>
  <si>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</si>
  <si>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</si>
  <si>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</si>
  <si>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</si>
  <si>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</si>
  <si>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</si>
  <si>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</si>
  <si>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</si>
  <si>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</si>
  <si>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</si>
  <si>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</si>
  <si>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</si>
  <si>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</si>
  <si>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</si>
  <si>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</si>
  <si>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</si>
  <si>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</si>
  <si>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</si>
  <si>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</si>
  <si>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</si>
  <si>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</si>
  <si>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</si>
  <si>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</si>
  <si>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</si>
  <si>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</si>
  <si>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</si>
  <si>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</si>
  <si>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</si>
  <si>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</si>
  <si>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</si>
  <si>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</si>
  <si>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</si>
  <si>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</si>
  <si>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</si>
  <si>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</si>
  <si>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</si>
  <si>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</si>
  <si>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</si>
  <si>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</si>
  <si>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</si>
  <si>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</si>
  <si>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</si>
  <si>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</si>
  <si>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</si>
  <si>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</si>
  <si>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</si>
  <si>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</si>
  <si>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</si>
  <si>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</si>
  <si>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</si>
  <si>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</si>
  <si>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</si>
  <si>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</si>
  <si>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</si>
  <si>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</si>
  <si>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</si>
  <si>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</si>
  <si>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</si>
  <si>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</si>
  <si>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</si>
  <si>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</si>
  <si>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</si>
  <si>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</si>
  <si>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</si>
  <si>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</si>
  <si>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</si>
  <si>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</si>
  <si>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</si>
  <si>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</si>
  <si>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</si>
  <si>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</si>
  <si>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</si>
  <si>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</si>
  <si>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</si>
  <si>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</si>
  <si>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</si>
  <si>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</si>
  <si>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</si>
  <si>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</si>
  <si>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</si>
  <si>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</si>
  <si>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</si>
  <si>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</si>
  <si>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</si>
  <si>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</si>
  <si>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</si>
  <si>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</si>
  <si>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</si>
  <si>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</si>
  <si>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</si>
  <si>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</si>
  <si>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</si>
  <si>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</si>
  <si>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</si>
  <si>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</si>
  <si>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</si>
  <si>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</si>
  <si>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</si>
  <si>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</si>
  <si>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</si>
  <si>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</si>
  <si>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</si>
  <si>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</si>
  <si>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</si>
  <si>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</si>
  <si>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</si>
  <si>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</si>
  <si>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</si>
  <si>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</si>
  <si>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</si>
  <si>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</si>
  <si>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</si>
  <si>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</si>
  <si>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</si>
  <si>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</si>
  <si>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</si>
  <si>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</si>
  <si>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</si>
  <si>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</si>
  <si>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</si>
  <si>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</si>
  <si>
    <t>Sans objet, l'ensemble des résultats sont dans l'article RCM 2022 n°3</t>
  </si>
  <si>
    <t xml:space="preserve">PropSection section seule </t>
  </si>
  <si>
    <t>tj (mm)</t>
  </si>
  <si>
    <t>Ac, brute (mm2)</t>
  </si>
  <si>
    <t>sx (mm)</t>
  </si>
  <si>
    <t>bfs (mm)</t>
  </si>
  <si>
    <t>tfs (mm)</t>
  </si>
  <si>
    <t>bfi (mm)</t>
  </si>
  <si>
    <t>tfi (mm)</t>
  </si>
  <si>
    <t>cf ,sup</t>
  </si>
  <si>
    <t>Classe semelle sup</t>
  </si>
  <si>
    <t>beff (m)</t>
  </si>
  <si>
    <t>Classe section flexion pure</t>
  </si>
  <si>
    <t>Classe section compression pure</t>
  </si>
  <si>
    <t>zCDG par rapport arase inf (mm)</t>
  </si>
  <si>
    <t>zANP par rapport arase inf (mm)</t>
  </si>
  <si>
    <t>psi</t>
  </si>
  <si>
    <t>456 epsilon/(13alpha-1)</t>
  </si>
  <si>
    <t>396 epsilon/(13alpha-1)</t>
  </si>
  <si>
    <t>36 epsilon/alpha</t>
  </si>
  <si>
    <t>41,5 epsilon/alpha</t>
  </si>
  <si>
    <t>Classe ame plast. N+M (alpha&gt;0,5)</t>
  </si>
  <si>
    <t>Classe ame plast. N+M (alpha&lt;=0,5)</t>
  </si>
  <si>
    <t>Classe ame élast. N+M (psi&gt;-1)</t>
  </si>
  <si>
    <t>42 epsilon/(0,67+0,33psi)</t>
  </si>
  <si>
    <t>Classe ame élast. N+M (psi&lt;=-1)</t>
  </si>
  <si>
    <t>62 epsilon(1-psi)*racine(-psi)</t>
  </si>
  <si>
    <t>cf,sup/tf,sup</t>
  </si>
  <si>
    <t>cf,inf/tf,inf</t>
  </si>
  <si>
    <t>cf ,inf</t>
  </si>
  <si>
    <t>Classe semelle inf</t>
  </si>
  <si>
    <t>72 epsilon / eta</t>
  </si>
  <si>
    <t>Elements</t>
  </si>
  <si>
    <t>Dalle</t>
  </si>
  <si>
    <t>Semelle sup</t>
  </si>
  <si>
    <t>Ame</t>
  </si>
  <si>
    <t>Semelle inf</t>
  </si>
  <si>
    <t>t (mm)</t>
  </si>
  <si>
    <t xml:space="preserve">zel (mm) </t>
  </si>
  <si>
    <t>zG (mm)</t>
  </si>
  <si>
    <t>A (mm2)</t>
  </si>
  <si>
    <t>Total</t>
  </si>
  <si>
    <t>S (mm3)</t>
  </si>
  <si>
    <t>Iy (mm4)</t>
  </si>
  <si>
    <t>A(z-zg)²</t>
  </si>
  <si>
    <t>IY (mm4)</t>
  </si>
  <si>
    <t>IY (cm4)</t>
  </si>
  <si>
    <t>(Hypothèse)</t>
  </si>
  <si>
    <t xml:space="preserve">zpl (mm) </t>
  </si>
  <si>
    <t>Ni,Rd (kN) +</t>
  </si>
  <si>
    <t>Ni,Rd (kN) -</t>
  </si>
  <si>
    <t>h+ (mm)</t>
  </si>
  <si>
    <t>h- (mm)</t>
  </si>
  <si>
    <t>arase sup (mm)</t>
  </si>
  <si>
    <t>arase inf (mm)</t>
  </si>
  <si>
    <t>arase sup comp (mm)</t>
  </si>
  <si>
    <t>arase inf comp (mm)</t>
  </si>
  <si>
    <t>arase sup trac (mm)</t>
  </si>
  <si>
    <t>arase inf trac (mm)</t>
  </si>
  <si>
    <t>fd + (MPa)</t>
  </si>
  <si>
    <t>fd - (MPa)</t>
  </si>
  <si>
    <t>Mi,Rd (kN.m) +</t>
  </si>
  <si>
    <t>Mi,Rd (kN.m) -</t>
  </si>
  <si>
    <t>NRd (kN)</t>
  </si>
  <si>
    <t>MRd (kN.m)</t>
  </si>
  <si>
    <t>(z,sup - xpl)/h (%)</t>
  </si>
  <si>
    <t>beta</t>
  </si>
  <si>
    <t>qG2 (kPa)</t>
  </si>
  <si>
    <t>M(Qc) (kN.m)</t>
  </si>
  <si>
    <t>M(G1) + (kN.m)</t>
  </si>
  <si>
    <t>M(G1) - (kN.m)</t>
  </si>
  <si>
    <t>epsilon cs</t>
  </si>
  <si>
    <t>Ey (MPa)</t>
  </si>
  <si>
    <t>nLT</t>
  </si>
  <si>
    <t>Nr (kN)</t>
  </si>
  <si>
    <t>zLT (mm)</t>
  </si>
  <si>
    <t>Mr (kN.m)</t>
  </si>
  <si>
    <t>MEd (kN.m)</t>
  </si>
  <si>
    <t>VEd (kN)</t>
  </si>
  <si>
    <t>Ved, const (kN)</t>
  </si>
  <si>
    <t>MEd, const (kN.m)</t>
  </si>
  <si>
    <t>Répartition plastique (acier entierement tendu)</t>
  </si>
  <si>
    <t>Flexion obtenue sur RDM7</t>
  </si>
  <si>
    <t>Propriétés plastiques pour x = 0,5 m (eta)</t>
  </si>
  <si>
    <t>L/4 (m)</t>
  </si>
  <si>
    <t>x (m)</t>
  </si>
  <si>
    <t>Delta Rd (kN)</t>
  </si>
  <si>
    <t>Nc,Rd (kN)</t>
  </si>
  <si>
    <t>t dalle (mm)</t>
  </si>
  <si>
    <t>G1</t>
  </si>
  <si>
    <t>G2</t>
  </si>
  <si>
    <t>Q1</t>
  </si>
  <si>
    <t>SHC</t>
  </si>
  <si>
    <t xml:space="preserve">critere sigma </t>
  </si>
  <si>
    <t>critere sup profilé</t>
  </si>
  <si>
    <t>critere  inf profilé</t>
  </si>
  <si>
    <t>Travail de la dalle ?</t>
  </si>
  <si>
    <t>N</t>
  </si>
  <si>
    <t>O</t>
  </si>
  <si>
    <t>sigma sup dalle (MPa)</t>
  </si>
  <si>
    <t>sigma sup profilé (MPa)</t>
  </si>
  <si>
    <t>sigma inf profilé (MPa)</t>
  </si>
  <si>
    <t>ELU</t>
  </si>
  <si>
    <t>Critere MV</t>
  </si>
  <si>
    <t xml:space="preserve">Beta </t>
  </si>
  <si>
    <t>Le calcul prend en compte le fluage car Cl3</t>
  </si>
  <si>
    <t>flux cisaillement connecteur (kN/m)</t>
  </si>
  <si>
    <t>Ved (kN)</t>
  </si>
  <si>
    <t>PRd/sx (kN/m)</t>
  </si>
  <si>
    <t>IY (cm4) mi travee</t>
  </si>
  <si>
    <t>zel (mm) mi travee</t>
  </si>
  <si>
    <t>IY (cm4) appuis</t>
  </si>
  <si>
    <t>zel (mm) appuis</t>
  </si>
  <si>
    <t>Propriétés plastiques à mi travée (eta)</t>
  </si>
  <si>
    <t>Critere connex</t>
  </si>
  <si>
    <t>Sh,0 (mm3)</t>
  </si>
  <si>
    <t>flux cisaillement soudure sup (kN/m)</t>
  </si>
  <si>
    <t>Sh,1 (mm3)</t>
  </si>
  <si>
    <t>Beta w</t>
  </si>
  <si>
    <t>fu (Mpa)</t>
  </si>
  <si>
    <t>aw,sup (mm)</t>
  </si>
  <si>
    <t>aw,inf (mm)</t>
  </si>
  <si>
    <t>Sh,2 (mm3)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</si>
</sst>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  <numFmt numFmtId="170" formatCode="0.000000"/>
    <numFmt numFmtId="171" formatCode="_-* #,##0.0\ _€_-;\-* #,##0.0\ _€_-;_-* &quot;-&quot;?\ _€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2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  <xf numFmtId="0" fontId="0" fillId="0" borderId="0" xfId="0" applyFill="1" applyBorder="1"/>
    <xf numFmtId="164" fontId="0" fillId="0" borderId="0" xfId="0" applyNumberFormat="1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10" xfId="0" applyNumberFormat="1" applyBorder="1"/>
    <xf numFmtId="164" fontId="0" fillId="0" borderId="8" xfId="0" applyNumberFormat="1" applyBorder="1"/>
    <xf numFmtId="164" fontId="0" fillId="0" borderId="0" xfId="0" applyNumberFormat="1" applyBorder="1"/>
    <xf numFmtId="0" fontId="0" fillId="0" borderId="7" xfId="0" applyBorder="1" applyAlignment="1">
      <alignment horizontal="center"/>
    </xf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4" xfId="0" applyBorder="1"/>
    <xf numFmtId="0" fontId="0" fillId="0" borderId="14" xfId="0" applyBorder="1"/>
    <xf numFmtId="0" fontId="0" fillId="0" borderId="11" xfId="0" applyBorder="1"/>
    <xf numFmtId="167" fontId="0" fillId="0" borderId="3" xfId="0" applyNumberFormat="1" applyBorder="1"/>
    <xf numFmtId="1" fontId="0" fillId="0" borderId="4" xfId="0" applyNumberFormat="1" applyBorder="1"/>
    <xf numFmtId="167" fontId="0" fillId="0" borderId="15" xfId="0" applyNumberFormat="1" applyBorder="1"/>
    <xf numFmtId="164" fontId="0" fillId="0" borderId="15" xfId="0" applyNumberFormat="1" applyBorder="1"/>
    <xf numFmtId="0" fontId="0" fillId="0" borderId="22" xfId="0" applyBorder="1"/>
    <xf numFmtId="0" fontId="0" fillId="0" borderId="23" xfId="0" applyBorder="1"/>
    <xf numFmtId="43" fontId="0" fillId="0" borderId="24" xfId="1" applyFont="1" applyBorder="1"/>
    <xf numFmtId="0" fontId="0" fillId="0" borderId="15" xfId="0" applyFill="1" applyBorder="1"/>
    <xf numFmtId="0" fontId="0" fillId="0" borderId="8" xfId="0" applyFill="1" applyBorder="1"/>
    <xf numFmtId="0" fontId="0" fillId="0" borderId="9" xfId="0" applyFill="1" applyBorder="1"/>
    <xf numFmtId="164" fontId="0" fillId="0" borderId="3" xfId="0" applyNumberFormat="1" applyBorder="1"/>
    <xf numFmtId="0" fontId="0" fillId="0" borderId="7" xfId="0" applyFill="1" applyBorder="1"/>
    <xf numFmtId="1" fontId="0" fillId="0" borderId="14" xfId="0" applyNumberFormat="1" applyBorder="1"/>
    <xf numFmtId="1" fontId="0" fillId="0" borderId="6" xfId="0" applyNumberFormat="1" applyBorder="1"/>
    <xf numFmtId="0" fontId="0" fillId="0" borderId="25" xfId="0" applyBorder="1"/>
    <xf numFmtId="1" fontId="0" fillId="0" borderId="18" xfId="0" applyNumberFormat="1" applyBorder="1"/>
    <xf numFmtId="0" fontId="0" fillId="0" borderId="26" xfId="0" applyBorder="1"/>
    <xf numFmtId="1" fontId="0" fillId="0" borderId="21" xfId="0" applyNumberFormat="1" applyBorder="1"/>
    <xf numFmtId="1" fontId="0" fillId="0" borderId="5" xfId="0" applyNumberFormat="1" applyBorder="1"/>
    <xf numFmtId="164" fontId="0" fillId="2" borderId="6" xfId="0" applyNumberFormat="1" applyFill="1" applyBorder="1"/>
    <xf numFmtId="164" fontId="0" fillId="0" borderId="10" xfId="0" applyNumberFormat="1" applyFill="1" applyBorder="1"/>
    <xf numFmtId="164" fontId="0" fillId="0" borderId="6" xfId="0" applyNumberFormat="1" applyFill="1" applyBorder="1"/>
    <xf numFmtId="164" fontId="0" fillId="2" borderId="4" xfId="0" applyNumberFormat="1" applyFill="1" applyBorder="1"/>
    <xf numFmtId="0" fontId="0" fillId="0" borderId="28" xfId="0" applyBorder="1"/>
    <xf numFmtId="167" fontId="0" fillId="2" borderId="27" xfId="0" applyNumberFormat="1" applyFill="1" applyBorder="1"/>
    <xf numFmtId="0" fontId="0" fillId="0" borderId="3" xfId="0" applyFill="1" applyBorder="1"/>
    <xf numFmtId="170" fontId="0" fillId="0" borderId="10" xfId="0" applyNumberFormat="1" applyFill="1" applyBorder="1"/>
    <xf numFmtId="164" fontId="0" fillId="0" borderId="4" xfId="0" applyNumberFormat="1" applyFill="1" applyBorder="1"/>
    <xf numFmtId="0" fontId="0" fillId="0" borderId="5" xfId="0" applyFill="1" applyBorder="1"/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29" xfId="0" applyBorder="1"/>
    <xf numFmtId="164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3" xfId="0" applyBorder="1"/>
    <xf numFmtId="1" fontId="0" fillId="0" borderId="14" xfId="0" applyNumberFormat="1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4" fontId="0" fillId="0" borderId="13" xfId="0" applyNumberFormat="1" applyBorder="1"/>
    <xf numFmtId="0" fontId="0" fillId="0" borderId="9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left"/>
    </xf>
    <xf numFmtId="164" fontId="0" fillId="0" borderId="7" xfId="0" applyNumberFormat="1" applyBorder="1"/>
    <xf numFmtId="0" fontId="0" fillId="0" borderId="5" xfId="0" applyBorder="1" applyAlignment="1">
      <alignment horizontal="right"/>
    </xf>
    <xf numFmtId="164" fontId="0" fillId="0" borderId="14" xfId="0" applyNumberFormat="1" applyBorder="1"/>
    <xf numFmtId="166" fontId="0" fillId="0" borderId="16" xfId="1" applyNumberFormat="1" applyFont="1" applyBorder="1"/>
    <xf numFmtId="166" fontId="0" fillId="0" borderId="9" xfId="1" applyNumberFormat="1" applyFont="1" applyBorder="1" applyAlignment="1">
      <alignment horizontal="right"/>
    </xf>
    <xf numFmtId="166" fontId="0" fillId="0" borderId="10" xfId="1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171" fontId="0" fillId="0" borderId="14" xfId="0" applyNumberFormat="1" applyBorder="1" applyAlignment="1">
      <alignment horizontal="center"/>
    </xf>
    <xf numFmtId="0" fontId="0" fillId="0" borderId="29" xfId="0" applyBorder="1" applyAlignment="1">
      <alignment horizontal="left"/>
    </xf>
    <xf numFmtId="0" fontId="0" fillId="0" borderId="13" xfId="0" applyBorder="1" applyAlignment="1">
      <alignment horizontal="left"/>
    </xf>
    <xf numFmtId="171" fontId="0" fillId="0" borderId="16" xfId="0" applyNumberFormat="1" applyBorder="1" applyAlignment="1">
      <alignment horizont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6" workbookViewId="0">
      <selection activeCell="B4" sqref="B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149" t="s">
        <v>55</v>
      </c>
      <c r="B1" s="150"/>
      <c r="C1"/>
      <c r="D1" s="149" t="s">
        <v>56</v>
      </c>
      <c r="E1" s="150"/>
      <c r="F1" s="24"/>
      <c r="G1" s="149" t="s">
        <v>65</v>
      </c>
      <c r="H1" s="150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149" t="s">
        <v>66</v>
      </c>
      <c r="E15" s="150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149" t="s">
        <v>7</v>
      </c>
      <c r="B30" s="150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149" t="s">
        <v>16</v>
      </c>
      <c r="B50" s="150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151" t="s">
        <v>34</v>
      </c>
      <c r="F52" s="152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149" t="s">
        <v>79</v>
      </c>
      <c r="B68" s="150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149" t="s">
        <v>111</v>
      </c>
      <c r="B96" s="150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149" t="s">
        <v>133</v>
      </c>
      <c r="B109" s="150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149" t="s">
        <v>134</v>
      </c>
      <c r="B120" s="150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opLeftCell="A136" workbookViewId="0">
      <selection activeCell="B154" sqref="B154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149" t="s">
        <v>152</v>
      </c>
      <c r="B1" s="150"/>
      <c r="C1"/>
      <c r="D1" s="149" t="s">
        <v>56</v>
      </c>
      <c r="E1" s="150"/>
      <c r="F1" s="24"/>
      <c r="G1" s="149" t="s">
        <v>65</v>
      </c>
      <c r="H1" s="150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149" t="s">
        <v>162</v>
      </c>
      <c r="H12" s="150"/>
    </row>
    <row r="13" spans="1:8" ht="15.75" thickBot="1" x14ac:dyDescent="0.3">
      <c r="A13" s="149" t="s">
        <v>55</v>
      </c>
      <c r="B13" s="150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149" t="s">
        <v>66</v>
      </c>
      <c r="E15" s="150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149" t="s">
        <v>7</v>
      </c>
      <c r="B31" s="150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149" t="s">
        <v>16</v>
      </c>
      <c r="B51" s="150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151" t="s">
        <v>34</v>
      </c>
      <c r="F53" s="152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149" t="s">
        <v>79</v>
      </c>
      <c r="B69" s="150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153" t="s">
        <v>188</v>
      </c>
      <c r="B85" s="154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149" t="s">
        <v>111</v>
      </c>
      <c r="B101" s="150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149" t="s">
        <v>133</v>
      </c>
      <c r="B118" s="150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149" t="s">
        <v>134</v>
      </c>
      <c r="B133" s="150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149" t="s">
        <v>207</v>
      </c>
      <c r="B147" s="150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  <mergeCell ref="A1:B1"/>
    <mergeCell ref="A13:B13"/>
    <mergeCell ref="D1:E1"/>
    <mergeCell ref="G1:H1"/>
    <mergeCell ref="D15:E15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s="24" t="s">
        <v>255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3"/>
  <sheetViews>
    <sheetView topLeftCell="A49" workbookViewId="0">
      <selection activeCell="G52" sqref="G52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149" t="s">
        <v>152</v>
      </c>
      <c r="B1" s="150"/>
      <c r="D1" s="149" t="s">
        <v>221</v>
      </c>
      <c r="E1" s="150"/>
      <c r="G1" s="149" t="s">
        <v>65</v>
      </c>
      <c r="H1" s="150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149" t="s">
        <v>7</v>
      </c>
      <c r="B9" s="150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149" t="s">
        <v>16</v>
      </c>
      <c r="B29" s="150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151" t="s">
        <v>34</v>
      </c>
      <c r="E31" s="152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149" t="s">
        <v>133</v>
      </c>
      <c r="B47" s="150"/>
    </row>
    <row r="48" spans="1:5" x14ac:dyDescent="0.25">
      <c r="A48" s="107" t="s">
        <v>130</v>
      </c>
      <c r="B48" s="108">
        <f>E19+H7</f>
        <v>6.8560492004849909</v>
      </c>
    </row>
    <row r="49" spans="1:4" x14ac:dyDescent="0.25">
      <c r="A49" s="28" t="s">
        <v>132</v>
      </c>
      <c r="B49" s="53">
        <v>34.200000000000003</v>
      </c>
      <c r="D49" s="24" t="s">
        <v>229</v>
      </c>
    </row>
    <row r="50" spans="1:4" x14ac:dyDescent="0.25">
      <c r="A50" s="15" t="s">
        <v>324</v>
      </c>
      <c r="B50" s="106">
        <v>55.1</v>
      </c>
    </row>
    <row r="51" spans="1:4" x14ac:dyDescent="0.25">
      <c r="A51" s="16" t="s">
        <v>325</v>
      </c>
      <c r="B51" s="103">
        <v>55.1</v>
      </c>
    </row>
    <row r="52" spans="1:4" x14ac:dyDescent="0.25">
      <c r="A52" s="28" t="s">
        <v>228</v>
      </c>
      <c r="B52" s="50">
        <v>13.47</v>
      </c>
    </row>
    <row r="53" spans="1:4" x14ac:dyDescent="0.25">
      <c r="A53" s="15" t="s">
        <v>237</v>
      </c>
      <c r="B53" s="51">
        <v>14.74</v>
      </c>
    </row>
    <row r="54" spans="1:4" x14ac:dyDescent="0.25">
      <c r="A54" s="15" t="s">
        <v>238</v>
      </c>
      <c r="B54" s="51">
        <v>-19.5</v>
      </c>
    </row>
    <row r="55" spans="1:4" x14ac:dyDescent="0.25">
      <c r="A55" s="15" t="s">
        <v>230</v>
      </c>
      <c r="B55" s="51">
        <v>11.67</v>
      </c>
    </row>
    <row r="56" spans="1:4" x14ac:dyDescent="0.25">
      <c r="A56" s="15" t="s">
        <v>231</v>
      </c>
      <c r="B56" s="51">
        <v>25.17</v>
      </c>
    </row>
    <row r="57" spans="1:4" x14ac:dyDescent="0.25">
      <c r="A57" s="15" t="s">
        <v>232</v>
      </c>
      <c r="B57" s="51">
        <v>12</v>
      </c>
    </row>
    <row r="58" spans="1:4" x14ac:dyDescent="0.25">
      <c r="A58" s="16" t="s">
        <v>233</v>
      </c>
      <c r="B58" s="52">
        <v>-19.5</v>
      </c>
    </row>
    <row r="59" spans="1:4" x14ac:dyDescent="0.25">
      <c r="A59" s="28" t="s">
        <v>234</v>
      </c>
      <c r="B59" s="50">
        <v>66.650000000000006</v>
      </c>
    </row>
    <row r="60" spans="1:4" x14ac:dyDescent="0.25">
      <c r="A60" s="15" t="s">
        <v>239</v>
      </c>
      <c r="B60" s="51">
        <v>96.16</v>
      </c>
    </row>
    <row r="61" spans="1:4" x14ac:dyDescent="0.25">
      <c r="A61" s="15" t="s">
        <v>240</v>
      </c>
      <c r="B61" s="51">
        <v>-71.05</v>
      </c>
    </row>
    <row r="62" spans="1:4" x14ac:dyDescent="0.25">
      <c r="A62" s="15" t="s">
        <v>235</v>
      </c>
      <c r="B62" s="51">
        <v>63.95</v>
      </c>
    </row>
    <row r="63" spans="1:4" x14ac:dyDescent="0.25">
      <c r="A63" s="15" t="s">
        <v>241</v>
      </c>
      <c r="B63" s="51">
        <v>111.9</v>
      </c>
    </row>
    <row r="64" spans="1:4" x14ac:dyDescent="0.25">
      <c r="A64" s="15" t="s">
        <v>242</v>
      </c>
      <c r="B64" s="51">
        <v>-41.81</v>
      </c>
    </row>
    <row r="65" spans="1:9" x14ac:dyDescent="0.25">
      <c r="A65" s="15" t="s">
        <v>236</v>
      </c>
      <c r="B65" s="51">
        <v>49.15</v>
      </c>
    </row>
    <row r="66" spans="1:9" x14ac:dyDescent="0.25">
      <c r="A66" s="54" t="s">
        <v>243</v>
      </c>
      <c r="B66" s="51">
        <v>58.96</v>
      </c>
    </row>
    <row r="67" spans="1:9" x14ac:dyDescent="0.25">
      <c r="A67" s="16" t="s">
        <v>244</v>
      </c>
      <c r="B67" s="52">
        <v>-71.06</v>
      </c>
    </row>
    <row r="68" spans="1:9" ht="15.75" thickBot="1" x14ac:dyDescent="0.3"/>
    <row r="69" spans="1:9" ht="15.75" thickBot="1" x14ac:dyDescent="0.3">
      <c r="A69" s="149" t="s">
        <v>134</v>
      </c>
      <c r="B69" s="150"/>
    </row>
    <row r="70" spans="1:9" x14ac:dyDescent="0.25">
      <c r="A70" t="s">
        <v>123</v>
      </c>
      <c r="B70" s="23">
        <f>_Wpl_y*1000*_fy*10^(-6)</f>
        <v>603.85500000000002</v>
      </c>
    </row>
    <row r="71" spans="1:9" x14ac:dyDescent="0.25">
      <c r="A71" t="s">
        <v>245</v>
      </c>
      <c r="B71" s="23">
        <f>_Av*100*_fy/(1000*SQRT(3))</f>
        <v>1042.1194079466816</v>
      </c>
    </row>
    <row r="72" spans="1:9" x14ac:dyDescent="0.25">
      <c r="B72" s="23"/>
    </row>
    <row r="73" spans="1:9" x14ac:dyDescent="0.25">
      <c r="A73" s="21"/>
      <c r="B73" s="62" t="s">
        <v>246</v>
      </c>
      <c r="C73" s="63" t="s">
        <v>247</v>
      </c>
      <c r="D73" s="22" t="s">
        <v>248</v>
      </c>
      <c r="F73" s="21"/>
      <c r="G73" s="65" t="s">
        <v>246</v>
      </c>
      <c r="H73" s="66" t="s">
        <v>247</v>
      </c>
      <c r="I73" s="29" t="s">
        <v>248</v>
      </c>
    </row>
    <row r="74" spans="1:9" x14ac:dyDescent="0.25">
      <c r="A74" s="15" t="s">
        <v>141</v>
      </c>
      <c r="B74" s="59">
        <f>MAX(B60,ABS(B61))/_Mpl_Rd</f>
        <v>0.15924352700565533</v>
      </c>
      <c r="C74" s="55">
        <f>MAX(B63,ABS(B64))/_Mpl_Rd</f>
        <v>0.18530938718732146</v>
      </c>
      <c r="D74" s="17">
        <f>MAX(B66,ABS(B67))/_Mpl_Rd</f>
        <v>0.11767725695738215</v>
      </c>
      <c r="F74" s="15" t="s">
        <v>141</v>
      </c>
      <c r="G74" s="67">
        <f>B74</f>
        <v>0.15924352700565533</v>
      </c>
      <c r="H74" s="68">
        <f t="shared" ref="H74:I74" si="0">C74</f>
        <v>0.18530938718732146</v>
      </c>
      <c r="I74" s="69">
        <f t="shared" si="0"/>
        <v>0.11767725695738215</v>
      </c>
    </row>
    <row r="75" spans="1:9" x14ac:dyDescent="0.25">
      <c r="A75" s="15" t="s">
        <v>142</v>
      </c>
      <c r="B75" s="59">
        <f>B59/B71</f>
        <v>6.3956202611486199E-2</v>
      </c>
      <c r="C75" s="55">
        <f>B62/B71</f>
        <v>6.1365328687239942E-2</v>
      </c>
      <c r="D75" s="17">
        <f>B65/B71</f>
        <v>4.7163501250630853E-2</v>
      </c>
      <c r="F75" s="15" t="s">
        <v>142</v>
      </c>
      <c r="G75" s="59">
        <f>B75</f>
        <v>6.3956202611486199E-2</v>
      </c>
      <c r="H75" s="55">
        <f t="shared" ref="H75" si="1">C75</f>
        <v>6.1365328687239942E-2</v>
      </c>
      <c r="I75" s="17">
        <f t="shared" ref="I75" si="2">D75</f>
        <v>4.7163501250630853E-2</v>
      </c>
    </row>
    <row r="76" spans="1:9" x14ac:dyDescent="0.25">
      <c r="A76" s="15" t="s">
        <v>252</v>
      </c>
      <c r="B76" s="60">
        <f>1/B74</f>
        <v>6.2796900998336103</v>
      </c>
      <c r="C76" s="56">
        <f t="shared" ref="C76:D76" si="3">1/C74</f>
        <v>5.3963806970509385</v>
      </c>
      <c r="D76" s="57">
        <f t="shared" si="3"/>
        <v>8.4978187447227693</v>
      </c>
      <c r="F76" s="15" t="s">
        <v>254</v>
      </c>
      <c r="G76" s="60">
        <v>521.97</v>
      </c>
      <c r="H76" s="56">
        <v>546.22</v>
      </c>
      <c r="I76" s="57">
        <v>496.55</v>
      </c>
    </row>
    <row r="77" spans="1:9" x14ac:dyDescent="0.25">
      <c r="A77" s="15" t="s">
        <v>253</v>
      </c>
      <c r="B77" s="60">
        <v>5.4870000000000001</v>
      </c>
      <c r="C77" s="56">
        <v>4.9240000000000004</v>
      </c>
      <c r="D77" s="57">
        <v>6.9660000000000002</v>
      </c>
      <c r="F77" s="15" t="s">
        <v>249</v>
      </c>
      <c r="G77" s="59">
        <f>SQRT(_Mpl_Rd/G76)</f>
        <v>1.0755820898480224</v>
      </c>
      <c r="H77" s="55">
        <f>SQRT(_Mpl_Rd/H76)</f>
        <v>1.0514352535543854</v>
      </c>
      <c r="I77" s="17">
        <f>SQRT(_Mpl_Rd/I76)</f>
        <v>1.1027697391446936</v>
      </c>
    </row>
    <row r="78" spans="1:9" x14ac:dyDescent="0.25">
      <c r="A78" s="15" t="s">
        <v>249</v>
      </c>
      <c r="B78" s="59">
        <f>SQRT(B76/B77)</f>
        <v>1.0697976163788039</v>
      </c>
      <c r="C78" s="55">
        <f t="shared" ref="C78:D78" si="4">SQRT(C76/C77)</f>
        <v>1.0468688272173641</v>
      </c>
      <c r="D78" s="17">
        <f t="shared" si="4"/>
        <v>1.1044905303869459</v>
      </c>
      <c r="F78" s="15" t="s">
        <v>167</v>
      </c>
      <c r="G78" s="60">
        <f>IF(_h/_b&lt;=2,0.21,0.34)</f>
        <v>0.34</v>
      </c>
      <c r="H78" s="56">
        <f>IF(_h/_b&lt;=2,0.21,0.34)</f>
        <v>0.34</v>
      </c>
      <c r="I78" s="57">
        <f>IF(_h/_b&lt;=2,0.21,0.34)</f>
        <v>0.34</v>
      </c>
    </row>
    <row r="79" spans="1:9" x14ac:dyDescent="0.25">
      <c r="A79" s="15" t="s">
        <v>167</v>
      </c>
      <c r="B79" s="60">
        <f>IF(_h/_b&lt;=2,0.21,0.34)</f>
        <v>0.34</v>
      </c>
      <c r="C79" s="56">
        <f>IF(_h/_b&lt;=2,0.21,0.34)</f>
        <v>0.34</v>
      </c>
      <c r="D79" s="57">
        <f>IF(_h/_b&lt;=2,0.21,0.34)</f>
        <v>0.34</v>
      </c>
      <c r="F79" s="15" t="s">
        <v>250</v>
      </c>
      <c r="G79" s="59">
        <f>0.5*(1+G78*(G77-0.2)+G77^2)</f>
        <v>1.2272873712750836</v>
      </c>
      <c r="H79" s="55">
        <f t="shared" ref="H79:I79" si="5">0.5*(1+H78*(H77-0.2)+H77^2)</f>
        <v>1.1975020393127329</v>
      </c>
      <c r="I79" s="17">
        <f t="shared" si="5"/>
        <v>1.2615214044412257</v>
      </c>
    </row>
    <row r="80" spans="1:9" x14ac:dyDescent="0.25">
      <c r="A80" s="15" t="s">
        <v>250</v>
      </c>
      <c r="B80" s="59">
        <f>0.5*(1+B79*(B78-0.2)+B78^2)</f>
        <v>1.2200990647892818</v>
      </c>
      <c r="C80" s="55">
        <f t="shared" ref="C80:D80" si="6">0.5*(1+C79*(C78-0.2)+C78^2)</f>
        <v>1.1919348713266817</v>
      </c>
      <c r="D80" s="17">
        <f t="shared" si="6"/>
        <v>1.2637130560229994</v>
      </c>
      <c r="F80" s="15" t="s">
        <v>251</v>
      </c>
      <c r="G80" s="59">
        <f>1/(G79+SQRT(G79^2-G77^2))</f>
        <v>0.54994850835187725</v>
      </c>
      <c r="H80" s="55">
        <f t="shared" ref="H80:I80" si="7">1/(H79+SQRT(H79^2-H77^2))</f>
        <v>0.56476533795169126</v>
      </c>
      <c r="I80" s="17">
        <f t="shared" si="7"/>
        <v>0.53357025759830123</v>
      </c>
    </row>
    <row r="81" spans="1:9" x14ac:dyDescent="0.25">
      <c r="A81" s="15" t="s">
        <v>251</v>
      </c>
      <c r="B81" s="59">
        <f>1/(B80+SQRT(B80^2-B78^2))</f>
        <v>0.55347596700576529</v>
      </c>
      <c r="C81" s="55">
        <f t="shared" ref="C81:D81" si="8">1/(C80+SQRT(C80^2-C78^2))</f>
        <v>0.56759336517890635</v>
      </c>
      <c r="D81" s="17">
        <f t="shared" si="8"/>
        <v>0.5325453315503752</v>
      </c>
      <c r="F81" s="15" t="s">
        <v>149</v>
      </c>
      <c r="G81" s="60">
        <f>G80*_Mpl_Rd</f>
        <v>332.08915651082287</v>
      </c>
      <c r="H81" s="56">
        <f>H80*_Mpl_Rd</f>
        <v>341.03637314881854</v>
      </c>
      <c r="I81" s="57">
        <f>I80*_Mpl_Rd</f>
        <v>322.19906790202219</v>
      </c>
    </row>
    <row r="82" spans="1:9" x14ac:dyDescent="0.25">
      <c r="A82" s="15" t="s">
        <v>149</v>
      </c>
      <c r="B82" s="60">
        <f>B81*_Mpl_Rd</f>
        <v>334.21923005626638</v>
      </c>
      <c r="C82" s="56">
        <f>C81*_Mpl_Rd</f>
        <v>342.74409153010851</v>
      </c>
      <c r="D82" s="57">
        <f>D81*_Mpl_Rd</f>
        <v>321.58016118335183</v>
      </c>
      <c r="F82" s="16" t="s">
        <v>150</v>
      </c>
      <c r="G82" s="61">
        <f>G74/G80</f>
        <v>0.28956079448762767</v>
      </c>
      <c r="H82" s="58">
        <f>H74/H80</f>
        <v>0.32811749364684345</v>
      </c>
      <c r="I82" s="18">
        <f>I74/I80</f>
        <v>0.2205468825924993</v>
      </c>
    </row>
    <row r="83" spans="1:9" x14ac:dyDescent="0.25">
      <c r="A83" s="16" t="s">
        <v>150</v>
      </c>
      <c r="B83" s="61">
        <f>B74/B81</f>
        <v>0.28771534176477903</v>
      </c>
      <c r="C83" s="58">
        <f t="shared" ref="C83:D83" si="9">C74/C81</f>
        <v>0.3264826521164701</v>
      </c>
      <c r="D83" s="18">
        <f t="shared" si="9"/>
        <v>0.22097134269263738</v>
      </c>
    </row>
  </sheetData>
  <mergeCells count="8">
    <mergeCell ref="G1:H1"/>
    <mergeCell ref="A29:B29"/>
    <mergeCell ref="A69:B69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3"/>
  <sheetViews>
    <sheetView tabSelected="1" topLeftCell="A180" zoomScaleNormal="100" workbookViewId="0">
      <selection activeCell="B204" sqref="B204"/>
    </sheetView>
  </sheetViews>
  <sheetFormatPr baseColWidth="10" defaultRowHeight="15" x14ac:dyDescent="0.25"/>
  <cols>
    <col min="1" max="1" width="33.5703125" bestFit="1" customWidth="1"/>
    <col min="2" max="3" width="16.28515625" bestFit="1" customWidth="1"/>
    <col min="4" max="4" width="15.5703125" bestFit="1" customWidth="1"/>
    <col min="5" max="5" width="13.85546875" bestFit="1" customWidth="1"/>
    <col min="7" max="7" width="21.7109375" bestFit="1" customWidth="1"/>
    <col min="8" max="9" width="20" bestFit="1" customWidth="1"/>
    <col min="10" max="10" width="10.7109375" customWidth="1"/>
    <col min="11" max="11" width="17.7109375" bestFit="1" customWidth="1"/>
    <col min="12" max="12" width="18.42578125" bestFit="1" customWidth="1"/>
    <col min="13" max="13" width="17.7109375" bestFit="1" customWidth="1"/>
    <col min="17" max="17" width="13.85546875" bestFit="1" customWidth="1"/>
  </cols>
  <sheetData>
    <row r="1" spans="1:8" ht="15.75" thickBot="1" x14ac:dyDescent="0.3">
      <c r="A1" s="149" t="s">
        <v>152</v>
      </c>
      <c r="B1" s="150"/>
      <c r="D1" s="149" t="s">
        <v>221</v>
      </c>
      <c r="E1" s="150"/>
      <c r="G1" s="149" t="s">
        <v>65</v>
      </c>
      <c r="H1" s="150"/>
    </row>
    <row r="2" spans="1:8" x14ac:dyDescent="0.25">
      <c r="A2" t="s">
        <v>219</v>
      </c>
      <c r="B2" s="1">
        <v>10</v>
      </c>
      <c r="D2" t="s">
        <v>0</v>
      </c>
      <c r="E2" s="1">
        <v>300</v>
      </c>
      <c r="G2" t="s">
        <v>60</v>
      </c>
      <c r="H2" s="26">
        <f>1/(1/_td-_bfs/(2*(_b_Gauche+_b_Droite)*1000*_td))</f>
        <v>123.71134020618557</v>
      </c>
    </row>
    <row r="3" spans="1:8" x14ac:dyDescent="0.25">
      <c r="A3" t="s">
        <v>223</v>
      </c>
      <c r="B3" s="1">
        <v>1</v>
      </c>
      <c r="D3" t="s">
        <v>260</v>
      </c>
      <c r="E3" s="1">
        <v>120</v>
      </c>
      <c r="G3" t="s">
        <v>77</v>
      </c>
      <c r="H3">
        <v>120</v>
      </c>
    </row>
    <row r="4" spans="1:8" x14ac:dyDescent="0.25">
      <c r="A4" t="s">
        <v>224</v>
      </c>
      <c r="B4" s="1">
        <v>1</v>
      </c>
      <c r="D4" t="s">
        <v>261</v>
      </c>
      <c r="E4" s="1">
        <v>6</v>
      </c>
      <c r="G4" t="s">
        <v>257</v>
      </c>
      <c r="H4">
        <v>10</v>
      </c>
    </row>
    <row r="5" spans="1:8" x14ac:dyDescent="0.25">
      <c r="A5" t="s">
        <v>155</v>
      </c>
      <c r="B5">
        <f>_L/8</f>
        <v>1.25</v>
      </c>
      <c r="D5" t="s">
        <v>262</v>
      </c>
      <c r="E5" s="1">
        <v>150</v>
      </c>
      <c r="G5" t="s">
        <v>258</v>
      </c>
      <c r="H5" s="23">
        <f>(_b_Gauche+_b_Droite)*1000*_td</f>
        <v>240000</v>
      </c>
    </row>
    <row r="6" spans="1:8" x14ac:dyDescent="0.25">
      <c r="A6" t="s">
        <v>156</v>
      </c>
      <c r="B6">
        <f>MIN(_b_Gauche,B5)</f>
        <v>1</v>
      </c>
      <c r="D6" t="s">
        <v>263</v>
      </c>
      <c r="E6" s="1">
        <v>10.7</v>
      </c>
      <c r="G6" t="s">
        <v>227</v>
      </c>
      <c r="H6">
        <v>2500</v>
      </c>
    </row>
    <row r="7" spans="1:8" x14ac:dyDescent="0.25">
      <c r="A7" t="s">
        <v>157</v>
      </c>
      <c r="B7">
        <f>MIN(_b_Droite,B5)</f>
        <v>1</v>
      </c>
      <c r="D7" t="s">
        <v>3</v>
      </c>
      <c r="E7" s="1">
        <v>7.1</v>
      </c>
      <c r="G7" t="s">
        <v>62</v>
      </c>
      <c r="H7" s="1">
        <v>20</v>
      </c>
    </row>
    <row r="8" spans="1:8" x14ac:dyDescent="0.25">
      <c r="A8" t="s">
        <v>158</v>
      </c>
      <c r="B8">
        <f>MIN(1,0.55+0.025*_L/_be1)</f>
        <v>0.8</v>
      </c>
      <c r="D8" t="s">
        <v>32</v>
      </c>
      <c r="E8" s="6">
        <f>_h-_tfs-_tfi</f>
        <v>283.3</v>
      </c>
      <c r="G8" t="s">
        <v>61</v>
      </c>
      <c r="H8">
        <f>_fck_dalle+8</f>
        <v>28</v>
      </c>
    </row>
    <row r="9" spans="1:8" x14ac:dyDescent="0.25">
      <c r="A9" t="s">
        <v>159</v>
      </c>
      <c r="B9">
        <f>MIN(1,0.55+0.025*_L/_be2)</f>
        <v>0.8</v>
      </c>
      <c r="D9" t="s">
        <v>113</v>
      </c>
      <c r="E9" s="6">
        <f>_hw-2*_r</f>
        <v>283.3</v>
      </c>
      <c r="G9" t="s">
        <v>63</v>
      </c>
      <c r="H9" s="26">
        <f>0.3*_fck_dalle^(2/3)</f>
        <v>2.2104188991842313</v>
      </c>
    </row>
    <row r="10" spans="1:8" x14ac:dyDescent="0.25">
      <c r="A10" t="s">
        <v>160</v>
      </c>
      <c r="B10" s="26">
        <f>_be1+_be2</f>
        <v>2</v>
      </c>
      <c r="D10" t="s">
        <v>4</v>
      </c>
      <c r="E10" s="1">
        <v>0</v>
      </c>
      <c r="G10" t="s">
        <v>64</v>
      </c>
      <c r="H10" s="13">
        <f>22*(_fcm_dalle/10)^0.3*1000</f>
        <v>29961.951054640311</v>
      </c>
    </row>
    <row r="11" spans="1:8" x14ac:dyDescent="0.25">
      <c r="A11" t="s">
        <v>161</v>
      </c>
      <c r="B11" s="26">
        <f>_be1*_beta1+_be2*_beta2</f>
        <v>1.6</v>
      </c>
      <c r="E11" s="6"/>
      <c r="G11" t="s">
        <v>129</v>
      </c>
      <c r="H11" s="25">
        <f>_rhoC*_Ac_brute*10^(-6)*9.81/1000</f>
        <v>5.8860000000000001</v>
      </c>
    </row>
    <row r="12" spans="1:8" ht="15.75" thickBot="1" x14ac:dyDescent="0.3">
      <c r="D12" t="s">
        <v>264</v>
      </c>
      <c r="E12" s="6">
        <f>(_bfs-2*_r-_tw)/2</f>
        <v>56.45</v>
      </c>
    </row>
    <row r="13" spans="1:8" ht="15.75" thickBot="1" x14ac:dyDescent="0.3">
      <c r="A13" s="149" t="s">
        <v>256</v>
      </c>
      <c r="B13" s="150"/>
      <c r="D13" t="s">
        <v>38</v>
      </c>
      <c r="E13" s="6">
        <f>_hw-2*_r</f>
        <v>283.3</v>
      </c>
    </row>
    <row r="14" spans="1:8" ht="15.75" thickBot="1" x14ac:dyDescent="0.3">
      <c r="A14" s="7" t="s">
        <v>24</v>
      </c>
      <c r="B14" s="71">
        <f>(2*(_h-2*_r)+_bfs+_bfi+(_bfs-2*_r-_tw)+(_bfi-2*_r-_tw)+2*PI()*_r)/10</f>
        <v>112.58</v>
      </c>
      <c r="D14" t="s">
        <v>284</v>
      </c>
      <c r="E14" s="6">
        <f>(_bfi-2*_r-_tw)/2</f>
        <v>71.45</v>
      </c>
      <c r="G14" s="149" t="s">
        <v>162</v>
      </c>
      <c r="H14" s="150"/>
    </row>
    <row r="15" spans="1:8" x14ac:dyDescent="0.25">
      <c r="A15" t="s">
        <v>5</v>
      </c>
      <c r="B15" s="9">
        <f>(_bfs*_tfs+_bfi*_tfi+(_h-_tfs-_tfi)*_tw+4*(1-PI()/4)*_r^2)/100</f>
        <v>43.3643</v>
      </c>
      <c r="G15" t="s">
        <v>163</v>
      </c>
      <c r="H15" s="10">
        <v>100</v>
      </c>
    </row>
    <row r="16" spans="1:8" x14ac:dyDescent="0.25">
      <c r="A16" t="s">
        <v>6</v>
      </c>
      <c r="B16" s="64">
        <f>((_h-_tfs-_tfi)*_tw)/100</f>
        <v>20.1143</v>
      </c>
      <c r="D16" t="s">
        <v>8</v>
      </c>
      <c r="E16" s="1">
        <v>420</v>
      </c>
      <c r="G16" t="s">
        <v>164</v>
      </c>
      <c r="H16" s="10">
        <v>19</v>
      </c>
    </row>
    <row r="17" spans="1:8" x14ac:dyDescent="0.25">
      <c r="A17" t="s">
        <v>9</v>
      </c>
      <c r="B17" s="4">
        <v>5921.277</v>
      </c>
      <c r="D17" t="s">
        <v>33</v>
      </c>
      <c r="E17" s="14">
        <f>SQRT(235/_fy)</f>
        <v>0.74801324154309567</v>
      </c>
      <c r="G17" t="s">
        <v>166</v>
      </c>
      <c r="H17" s="10">
        <v>450</v>
      </c>
    </row>
    <row r="18" spans="1:8" x14ac:dyDescent="0.25">
      <c r="A18" t="s">
        <v>10</v>
      </c>
      <c r="B18" s="4">
        <v>388.18299999999999</v>
      </c>
      <c r="E18" s="6"/>
      <c r="G18" t="s">
        <v>171</v>
      </c>
      <c r="H18" s="10">
        <v>1</v>
      </c>
    </row>
    <row r="19" spans="1:8" x14ac:dyDescent="0.25">
      <c r="A19" t="s">
        <v>12</v>
      </c>
      <c r="B19" s="4">
        <v>332.58</v>
      </c>
      <c r="D19" t="s">
        <v>23</v>
      </c>
      <c r="E19" s="1">
        <v>7850</v>
      </c>
      <c r="G19" t="s">
        <v>259</v>
      </c>
      <c r="H19" s="10">
        <v>190</v>
      </c>
    </row>
    <row r="20" spans="1:8" x14ac:dyDescent="0.25">
      <c r="A20" t="s">
        <v>13</v>
      </c>
      <c r="B20" s="4">
        <v>51.758000000000003</v>
      </c>
      <c r="D20" t="s">
        <v>124</v>
      </c>
      <c r="E20" s="31">
        <f>_rhoA*_A*10^(-4)*9.81/1000</f>
        <v>0.33394196965500006</v>
      </c>
      <c r="G20" t="s">
        <v>165</v>
      </c>
      <c r="H20" s="3">
        <f>0.8*_fusc*PI()*_dsc^2/4/(1000*1.25)</f>
        <v>81.656276252105897</v>
      </c>
    </row>
    <row r="21" spans="1:8" x14ac:dyDescent="0.25">
      <c r="A21" t="s">
        <v>14</v>
      </c>
      <c r="B21" s="4">
        <v>454.96199999999999</v>
      </c>
      <c r="G21" t="s">
        <v>167</v>
      </c>
      <c r="H21" s="3">
        <f>IF(_hsc/_dsc&gt;=4,1,FALSE)</f>
        <v>1</v>
      </c>
    </row>
    <row r="22" spans="1:8" x14ac:dyDescent="0.25">
      <c r="A22" t="s">
        <v>15</v>
      </c>
      <c r="B22" s="4">
        <v>85.24</v>
      </c>
      <c r="G22" t="s">
        <v>168</v>
      </c>
      <c r="H22" s="3">
        <f>0.29*H21*_dsc^2*SQRT(_fck_dalle*_Ecm_dalle)/(1000*1.25)</f>
        <v>64.832867388792735</v>
      </c>
    </row>
    <row r="23" spans="1:8" x14ac:dyDescent="0.25">
      <c r="G23" t="s">
        <v>172</v>
      </c>
      <c r="H23" s="26">
        <f>MIN(H20,H22)</f>
        <v>64.832867388792735</v>
      </c>
    </row>
    <row r="24" spans="1:8" x14ac:dyDescent="0.25">
      <c r="A24" t="s">
        <v>27</v>
      </c>
      <c r="B24" s="9">
        <f>_rhoA*_A/10000</f>
        <v>34.040975500000002</v>
      </c>
      <c r="G24" t="s">
        <v>173</v>
      </c>
      <c r="H24" s="23">
        <f>_A*100*_fy/1000</f>
        <v>1821.3006</v>
      </c>
    </row>
    <row r="25" spans="1:8" x14ac:dyDescent="0.25">
      <c r="A25" t="s">
        <v>29</v>
      </c>
      <c r="B25" s="9">
        <f>B24*_L</f>
        <v>340.40975500000002</v>
      </c>
      <c r="G25" t="s">
        <v>174</v>
      </c>
      <c r="H25" s="23">
        <f>0.85*_beff_mi_travee*1000*(_td-_tj)*_fck_dalle/1.5/1000</f>
        <v>2493.3333333333335</v>
      </c>
    </row>
    <row r="26" spans="1:8" x14ac:dyDescent="0.25">
      <c r="B26" s="9"/>
      <c r="G26" t="s">
        <v>179</v>
      </c>
      <c r="H26" s="23">
        <f>MIN(H25,H24)</f>
        <v>1821.3006</v>
      </c>
    </row>
    <row r="27" spans="1:8" x14ac:dyDescent="0.25">
      <c r="A27" t="s">
        <v>30</v>
      </c>
      <c r="B27" s="11">
        <f>B14*_L*100</f>
        <v>112580</v>
      </c>
      <c r="G27" t="s">
        <v>180</v>
      </c>
      <c r="H27" s="3">
        <f>_nr*(_L*1000/2)/_sx*_PRd</f>
        <v>1706.128089178756</v>
      </c>
    </row>
    <row r="28" spans="1:8" x14ac:dyDescent="0.25">
      <c r="A28" t="s">
        <v>31</v>
      </c>
      <c r="B28" s="11">
        <f>(B14-_bfs/10)*_L*100</f>
        <v>100580</v>
      </c>
      <c r="G28" t="s">
        <v>181</v>
      </c>
      <c r="H28" s="26">
        <f>MIN(H27/H26,1)</f>
        <v>0.93676359035886547</v>
      </c>
    </row>
    <row r="29" spans="1:8" x14ac:dyDescent="0.25">
      <c r="B29" s="9"/>
      <c r="G29" t="s">
        <v>182</v>
      </c>
      <c r="H29">
        <f>MAX(1-(355/_fy)*(0.75-0.03*_L),0.4)</f>
        <v>0.61964285714285716</v>
      </c>
    </row>
    <row r="30" spans="1:8" x14ac:dyDescent="0.25">
      <c r="A30" t="s">
        <v>25</v>
      </c>
      <c r="B30" s="9">
        <f>B14/_A*100</f>
        <v>259.61447550173762</v>
      </c>
    </row>
    <row r="31" spans="1:8" x14ac:dyDescent="0.25">
      <c r="A31" t="s">
        <v>26</v>
      </c>
      <c r="B31" s="9">
        <f>(B14-_bfs/10)/_A*100</f>
        <v>231.9419430268677</v>
      </c>
    </row>
    <row r="32" spans="1:8" ht="15.75" thickBot="1" x14ac:dyDescent="0.3"/>
    <row r="33" spans="1:11" ht="15.75" thickBot="1" x14ac:dyDescent="0.3">
      <c r="A33" s="149" t="s">
        <v>16</v>
      </c>
      <c r="B33" s="150"/>
    </row>
    <row r="34" spans="1:11" x14ac:dyDescent="0.25">
      <c r="A34" t="s">
        <v>17</v>
      </c>
      <c r="B34" s="23">
        <f>_A*100*_fy/1000</f>
        <v>1821.3006</v>
      </c>
    </row>
    <row r="35" spans="1:11" x14ac:dyDescent="0.25">
      <c r="A35" t="s">
        <v>22</v>
      </c>
      <c r="B35" s="23">
        <f>_Av*100*_fy/(1000*SQRT(3))</f>
        <v>487.74585382155738</v>
      </c>
      <c r="D35" s="151" t="s">
        <v>34</v>
      </c>
      <c r="E35" s="152"/>
      <c r="G35" s="21" t="s">
        <v>44</v>
      </c>
      <c r="H35" s="22"/>
      <c r="J35" s="21" t="s">
        <v>48</v>
      </c>
      <c r="K35" s="22"/>
    </row>
    <row r="36" spans="1:11" x14ac:dyDescent="0.25">
      <c r="A36" t="s">
        <v>18</v>
      </c>
      <c r="B36" s="23">
        <f>_Wel_y*1000*_fy*10^(-6)</f>
        <v>139.68359999999998</v>
      </c>
      <c r="D36" s="15" t="s">
        <v>41</v>
      </c>
      <c r="E36" s="17">
        <f>9*_epsilon</f>
        <v>6.7321191738878614</v>
      </c>
      <c r="G36" s="15" t="s">
        <v>45</v>
      </c>
      <c r="H36" s="19">
        <f>33*_epsilon</f>
        <v>24.684436970922157</v>
      </c>
      <c r="J36" s="15" t="s">
        <v>49</v>
      </c>
      <c r="K36" s="19">
        <f>72*_epsilon</f>
        <v>53.856953391102891</v>
      </c>
    </row>
    <row r="37" spans="1:11" x14ac:dyDescent="0.25">
      <c r="A37" t="s">
        <v>19</v>
      </c>
      <c r="B37" s="23">
        <f>_Wel_z*1000*_fy*10^(-6)</f>
        <v>21.73836</v>
      </c>
      <c r="D37" s="15" t="s">
        <v>42</v>
      </c>
      <c r="E37" s="17">
        <f>10*_epsilon</f>
        <v>7.4801324154309565</v>
      </c>
      <c r="G37" s="15" t="s">
        <v>46</v>
      </c>
      <c r="H37" s="19">
        <f>38*_epsilon</f>
        <v>28.424503178637636</v>
      </c>
      <c r="J37" s="15" t="s">
        <v>50</v>
      </c>
      <c r="K37" s="19">
        <f>83*_epsilon</f>
        <v>62.085099048076941</v>
      </c>
    </row>
    <row r="38" spans="1:11" x14ac:dyDescent="0.25">
      <c r="A38" t="s">
        <v>20</v>
      </c>
      <c r="B38" s="23">
        <f>_Wpl_y*1000*_fy*10^(-6)</f>
        <v>191.08403999999999</v>
      </c>
      <c r="D38" s="16" t="s">
        <v>43</v>
      </c>
      <c r="E38" s="18">
        <f>14*_epsilon</f>
        <v>10.472185381603339</v>
      </c>
      <c r="G38" s="16" t="s">
        <v>47</v>
      </c>
      <c r="H38" s="20">
        <f>42*_epsilon</f>
        <v>31.41655614481002</v>
      </c>
      <c r="J38" s="16" t="s">
        <v>51</v>
      </c>
      <c r="K38" s="20">
        <f>124*_epsilon</f>
        <v>92.753641951343866</v>
      </c>
    </row>
    <row r="39" spans="1:11" x14ac:dyDescent="0.25">
      <c r="A39" t="s">
        <v>21</v>
      </c>
      <c r="B39" s="23">
        <f>_Wpl_z*1000*_fy*10^(-6)</f>
        <v>35.800799999999995</v>
      </c>
    </row>
    <row r="40" spans="1:11" x14ac:dyDescent="0.25">
      <c r="J40" s="151" t="s">
        <v>276</v>
      </c>
      <c r="K40" s="152"/>
    </row>
    <row r="41" spans="1:11" x14ac:dyDescent="0.25">
      <c r="A41" t="s">
        <v>282</v>
      </c>
      <c r="B41" s="3">
        <f>_cf_sup/_tfs</f>
        <v>9.4083333333333332</v>
      </c>
      <c r="J41" s="28" t="s">
        <v>273</v>
      </c>
      <c r="K41" s="74">
        <f>396*_epsilon/(13*B47-1)</f>
        <v>35.433373133731216</v>
      </c>
    </row>
    <row r="42" spans="1:11" x14ac:dyDescent="0.25">
      <c r="A42" t="s">
        <v>40</v>
      </c>
      <c r="B42" s="3">
        <f>_cw/_tw</f>
        <v>39.901408450704231</v>
      </c>
      <c r="J42" s="16" t="s">
        <v>272</v>
      </c>
      <c r="K42" s="20">
        <f>456*_epsilon/(13*B47-1)</f>
        <v>40.802066032781397</v>
      </c>
    </row>
    <row r="43" spans="1:11" x14ac:dyDescent="0.25">
      <c r="A43" t="s">
        <v>283</v>
      </c>
      <c r="B43" s="26">
        <f>_cf_inf/_tfi</f>
        <v>6.6775700934579447</v>
      </c>
      <c r="J43" s="54"/>
      <c r="K43" s="76"/>
    </row>
    <row r="44" spans="1:11" x14ac:dyDescent="0.25">
      <c r="B44" s="3"/>
    </row>
    <row r="45" spans="1:11" x14ac:dyDescent="0.25">
      <c r="A45" t="s">
        <v>269</v>
      </c>
      <c r="B45" s="33">
        <v>121.96</v>
      </c>
      <c r="C45" s="3">
        <f>B45-300</f>
        <v>-178.04000000000002</v>
      </c>
      <c r="J45" s="151" t="s">
        <v>277</v>
      </c>
      <c r="K45" s="152"/>
    </row>
    <row r="46" spans="1:11" x14ac:dyDescent="0.25">
      <c r="A46" t="s">
        <v>270</v>
      </c>
      <c r="B46" s="33">
        <f>B45-31.93</f>
        <v>90.03</v>
      </c>
      <c r="C46" s="3">
        <f>-300+B46</f>
        <v>-209.97</v>
      </c>
      <c r="J46" s="28" t="s">
        <v>274</v>
      </c>
      <c r="K46" s="74">
        <f>36*_epsilon/B47</f>
        <v>37.401762258419005</v>
      </c>
    </row>
    <row r="47" spans="1:11" x14ac:dyDescent="0.25">
      <c r="A47" t="s">
        <v>167</v>
      </c>
      <c r="B47" s="26">
        <f>(_h-B46-_tfs)/_hw</f>
        <v>0.71997882103776911</v>
      </c>
      <c r="J47" s="16" t="s">
        <v>275</v>
      </c>
      <c r="K47" s="20">
        <f>41.5*_epsilon/B47</f>
        <v>43.115920381233018</v>
      </c>
    </row>
    <row r="48" spans="1:11" x14ac:dyDescent="0.25">
      <c r="A48" t="s">
        <v>271</v>
      </c>
      <c r="B48" s="26">
        <f>-(B45-_tfi)/(_hw-B45+_tfi)</f>
        <v>-0.64671006742617987</v>
      </c>
    </row>
    <row r="49" spans="1:11" x14ac:dyDescent="0.25">
      <c r="J49" s="151" t="s">
        <v>278</v>
      </c>
      <c r="K49" s="152"/>
    </row>
    <row r="50" spans="1:11" x14ac:dyDescent="0.25">
      <c r="A50" t="s">
        <v>265</v>
      </c>
      <c r="B50">
        <f>IF(B41&lt;=E36,1,IF(B41&lt;=E37,2,IF(B41&lt;=E38,3,4)))</f>
        <v>3</v>
      </c>
      <c r="J50" s="21" t="s">
        <v>279</v>
      </c>
      <c r="K50" s="75">
        <f>42*_epsilon/(0.67+0.33*B48)</f>
        <v>68.807581305815532</v>
      </c>
    </row>
    <row r="51" spans="1:11" x14ac:dyDescent="0.25">
      <c r="A51" t="s">
        <v>35</v>
      </c>
      <c r="B51">
        <f>IF(B42&lt;=H36,1,IF(B42&lt;=H37,2,IF(B42&lt;=H38,3,4)))</f>
        <v>4</v>
      </c>
    </row>
    <row r="52" spans="1:11" x14ac:dyDescent="0.25">
      <c r="A52" t="s">
        <v>36</v>
      </c>
      <c r="B52">
        <f>IF(B47&gt;0.5,IF(B42&lt;=K41,1,IF(B42&lt;=K42,2,IF(B48&gt;-1,IF(B42&lt;=K50,3,4),IF(B42&lt;=K54,3,4)))),IF(B42&lt;=K46,1,IF(B42&lt;=K47,2,IF(B48&gt;-1,IF(B42&lt;=K50,3,4),IF(B42&lt;=K54,3,4)))))</f>
        <v>2</v>
      </c>
      <c r="J52" s="151" t="s">
        <v>280</v>
      </c>
      <c r="K52" s="152"/>
    </row>
    <row r="53" spans="1:11" x14ac:dyDescent="0.25">
      <c r="A53" t="s">
        <v>285</v>
      </c>
      <c r="B53">
        <f>IF(B43&lt;=E36,1,IF(B43&lt;=E37,2,IF(B43&lt;=E38,3,4)))</f>
        <v>1</v>
      </c>
      <c r="J53" s="72"/>
      <c r="K53" s="73"/>
    </row>
    <row r="54" spans="1:11" x14ac:dyDescent="0.25">
      <c r="J54" s="21" t="s">
        <v>281</v>
      </c>
      <c r="K54" s="75">
        <f>62*_epsilon*(1-B48)*SQRT(-B48)</f>
        <v>61.414783744295001</v>
      </c>
    </row>
    <row r="55" spans="1:11" x14ac:dyDescent="0.25">
      <c r="A55" t="s">
        <v>267</v>
      </c>
    </row>
    <row r="56" spans="1:11" x14ac:dyDescent="0.25">
      <c r="A56" t="s">
        <v>268</v>
      </c>
    </row>
    <row r="58" spans="1:11" x14ac:dyDescent="0.25">
      <c r="A58" t="s">
        <v>52</v>
      </c>
      <c r="B58" s="3">
        <f>_hw/_tw</f>
        <v>39.901408450704231</v>
      </c>
    </row>
    <row r="59" spans="1:11" x14ac:dyDescent="0.25">
      <c r="A59" t="s">
        <v>286</v>
      </c>
      <c r="B59" s="3">
        <f>72*_epsilon/1</f>
        <v>53.856953391102891</v>
      </c>
    </row>
    <row r="60" spans="1:11" x14ac:dyDescent="0.25">
      <c r="A60" t="s">
        <v>51</v>
      </c>
      <c r="B60" s="3">
        <f>124*_epsilon</f>
        <v>92.753641951343866</v>
      </c>
    </row>
    <row r="62" spans="1:11" ht="15.75" thickBot="1" x14ac:dyDescent="0.3">
      <c r="A62" s="54"/>
      <c r="B62" s="70"/>
    </row>
    <row r="63" spans="1:11" ht="15.75" thickBot="1" x14ac:dyDescent="0.3">
      <c r="A63" s="155" t="s">
        <v>188</v>
      </c>
      <c r="B63" s="156"/>
    </row>
    <row r="64" spans="1:11" x14ac:dyDescent="0.25">
      <c r="A64" t="s">
        <v>95</v>
      </c>
      <c r="B64" s="26">
        <f>210000/_Ecm_dalle</f>
        <v>7.008889361611736</v>
      </c>
    </row>
    <row r="65" spans="1:5" x14ac:dyDescent="0.25">
      <c r="A65" t="s">
        <v>96</v>
      </c>
      <c r="B65" s="1">
        <v>0.55000000000000004</v>
      </c>
      <c r="D65" s="21" t="s">
        <v>97</v>
      </c>
      <c r="E65" s="22"/>
    </row>
    <row r="66" spans="1:5" x14ac:dyDescent="0.25">
      <c r="A66" t="s">
        <v>100</v>
      </c>
      <c r="B66" s="1">
        <f>50/100</f>
        <v>0.5</v>
      </c>
      <c r="D66" s="28" t="s">
        <v>98</v>
      </c>
      <c r="E66" s="29">
        <v>1.1000000000000001</v>
      </c>
    </row>
    <row r="67" spans="1:5" x14ac:dyDescent="0.25">
      <c r="A67" t="s">
        <v>60</v>
      </c>
      <c r="B67" s="32">
        <f>_h0_dalle</f>
        <v>123.71134020618557</v>
      </c>
      <c r="D67" s="16" t="s">
        <v>99</v>
      </c>
      <c r="E67" s="30">
        <v>0.55000000000000004</v>
      </c>
    </row>
    <row r="68" spans="1:5" x14ac:dyDescent="0.25">
      <c r="A68" t="s">
        <v>101</v>
      </c>
      <c r="B68" s="25">
        <f>IF(_fck_dalle&lt;=35,1+(1-B66)/(0.1*B67^(1/3)),FALSE)</f>
        <v>2.0034602351846282</v>
      </c>
    </row>
    <row r="69" spans="1:5" x14ac:dyDescent="0.25">
      <c r="A69" t="s">
        <v>102</v>
      </c>
      <c r="B69" s="34">
        <f>16.8/SQRT(_fcm_dalle)</f>
        <v>3.1749015732775088</v>
      </c>
    </row>
    <row r="70" spans="1:5" x14ac:dyDescent="0.25">
      <c r="A70" t="s">
        <v>103</v>
      </c>
      <c r="B70" s="1">
        <v>1</v>
      </c>
    </row>
    <row r="71" spans="1:5" x14ac:dyDescent="0.25">
      <c r="A71" t="s">
        <v>104</v>
      </c>
      <c r="B71">
        <v>18250</v>
      </c>
    </row>
    <row r="72" spans="1:5" x14ac:dyDescent="0.25">
      <c r="A72" t="s">
        <v>105</v>
      </c>
      <c r="B72" s="25">
        <f>1/(0.1+B70^0.2)</f>
        <v>0.90909090909090906</v>
      </c>
    </row>
    <row r="73" spans="1:5" x14ac:dyDescent="0.25">
      <c r="A73" t="s">
        <v>106</v>
      </c>
      <c r="B73" s="26">
        <f>B68*B69*B72</f>
        <v>5.782535502442367</v>
      </c>
    </row>
    <row r="74" spans="1:5" x14ac:dyDescent="0.25">
      <c r="A74" t="s">
        <v>107</v>
      </c>
      <c r="B74" s="3">
        <f>IF(_fcm_dalle&lt;=35,MIN(B67*1.5*(1+(0.012*B66)^18)+250,1500),FALSE)</f>
        <v>435.56701030927832</v>
      </c>
    </row>
    <row r="75" spans="1:5" x14ac:dyDescent="0.25">
      <c r="A75" t="s">
        <v>108</v>
      </c>
      <c r="B75" s="26">
        <f>((B71-B70)/(B74+B71-B70))^0.3</f>
        <v>0.99294869626582294</v>
      </c>
    </row>
    <row r="76" spans="1:5" x14ac:dyDescent="0.25">
      <c r="A76" t="s">
        <v>109</v>
      </c>
      <c r="B76" s="25">
        <f>B73*B75</f>
        <v>5.7417610882609837</v>
      </c>
    </row>
    <row r="77" spans="1:5" x14ac:dyDescent="0.25">
      <c r="A77" t="s">
        <v>110</v>
      </c>
      <c r="B77" s="26">
        <f>B64*(1+B65*B76)</f>
        <v>29.142741876247484</v>
      </c>
    </row>
    <row r="78" spans="1:5" ht="15.75" thickBot="1" x14ac:dyDescent="0.3">
      <c r="A78" s="54"/>
      <c r="B78" s="70"/>
    </row>
    <row r="79" spans="1:5" ht="15.75" thickBot="1" x14ac:dyDescent="0.3">
      <c r="A79" s="149" t="s">
        <v>79</v>
      </c>
      <c r="B79" s="150"/>
    </row>
    <row r="80" spans="1:5" x14ac:dyDescent="0.25">
      <c r="A80" t="s">
        <v>183</v>
      </c>
      <c r="B80" s="32">
        <v>29.1</v>
      </c>
      <c r="C80" s="24"/>
    </row>
    <row r="81" spans="1:8" x14ac:dyDescent="0.25">
      <c r="A81" t="s">
        <v>266</v>
      </c>
      <c r="B81" s="32">
        <v>1.6</v>
      </c>
      <c r="C81" s="24"/>
    </row>
    <row r="82" spans="1:8" x14ac:dyDescent="0.25">
      <c r="B82" s="14"/>
      <c r="C82" s="24"/>
    </row>
    <row r="83" spans="1:8" x14ac:dyDescent="0.25">
      <c r="A83" t="s">
        <v>293</v>
      </c>
      <c r="B83" s="32">
        <v>-34</v>
      </c>
      <c r="C83" s="24" t="s">
        <v>302</v>
      </c>
    </row>
    <row r="85" spans="1:8" x14ac:dyDescent="0.25">
      <c r="A85" s="83" t="s">
        <v>287</v>
      </c>
      <c r="B85" s="21" t="s">
        <v>1</v>
      </c>
      <c r="C85" s="63" t="s">
        <v>292</v>
      </c>
      <c r="D85" s="63" t="s">
        <v>294</v>
      </c>
      <c r="E85" s="63" t="s">
        <v>295</v>
      </c>
      <c r="F85" s="22" t="s">
        <v>297</v>
      </c>
      <c r="G85" s="63" t="s">
        <v>298</v>
      </c>
      <c r="H85" s="22" t="s">
        <v>299</v>
      </c>
    </row>
    <row r="86" spans="1:8" x14ac:dyDescent="0.25">
      <c r="A86" s="35" t="s">
        <v>288</v>
      </c>
      <c r="B86" s="84">
        <f>_beff*1000/_n_dalle</f>
        <v>54.982817869415804</v>
      </c>
      <c r="C86" s="54">
        <f>MIN(MAX(_td-B83,0),_td)</f>
        <v>120</v>
      </c>
      <c r="D86" s="54">
        <f>_td-C86/2</f>
        <v>60</v>
      </c>
      <c r="E86" s="76">
        <f>B86*C86</f>
        <v>6597.9381443298962</v>
      </c>
      <c r="F86" s="85">
        <f>E86*D86</f>
        <v>395876.28865979379</v>
      </c>
      <c r="G86" s="54">
        <f>B86*C86^3/12</f>
        <v>7917525.7731958749</v>
      </c>
      <c r="H86" s="81">
        <f>E86*(D86-$F$92)^2</f>
        <v>58801425.338739321</v>
      </c>
    </row>
    <row r="87" spans="1:8" x14ac:dyDescent="0.25">
      <c r="A87" s="35" t="s">
        <v>289</v>
      </c>
      <c r="B87" s="15">
        <v>120</v>
      </c>
      <c r="C87" s="54">
        <v>6</v>
      </c>
      <c r="D87" s="54">
        <f>-C87/2</f>
        <v>-3</v>
      </c>
      <c r="E87" s="76">
        <f t="shared" ref="E87:E89" si="0">B87*C87</f>
        <v>720</v>
      </c>
      <c r="F87" s="85">
        <f t="shared" ref="F87:F89" si="1">E87*D87</f>
        <v>-2160</v>
      </c>
      <c r="G87" s="54">
        <f t="shared" ref="G87:G89" si="2">B87*C87^3/12</f>
        <v>2160</v>
      </c>
      <c r="H87" s="81">
        <f>E87*(D87-$F$92)^2</f>
        <v>710066.2821910996</v>
      </c>
    </row>
    <row r="88" spans="1:8" x14ac:dyDescent="0.25">
      <c r="A88" s="35" t="s">
        <v>290</v>
      </c>
      <c r="B88" s="15">
        <v>7.1</v>
      </c>
      <c r="C88" s="54">
        <f>_hw</f>
        <v>283.3</v>
      </c>
      <c r="D88" s="54">
        <f>-C87-C88/2</f>
        <v>-147.65</v>
      </c>
      <c r="E88" s="76">
        <f t="shared" si="0"/>
        <v>2011.43</v>
      </c>
      <c r="F88" s="85">
        <f t="shared" si="1"/>
        <v>-296987.63950000005</v>
      </c>
      <c r="G88" s="54">
        <f t="shared" si="2"/>
        <v>13452928.259391665</v>
      </c>
      <c r="H88" s="81">
        <f>E88*(D88-$F$92)^2</f>
        <v>25795957.219251785</v>
      </c>
    </row>
    <row r="89" spans="1:8" x14ac:dyDescent="0.25">
      <c r="A89" s="35" t="s">
        <v>291</v>
      </c>
      <c r="B89" s="15">
        <v>150</v>
      </c>
      <c r="C89" s="54">
        <v>10.7</v>
      </c>
      <c r="D89" s="54">
        <f>-C87-C88-C89/2</f>
        <v>-294.65000000000003</v>
      </c>
      <c r="E89" s="76">
        <f t="shared" si="0"/>
        <v>1605</v>
      </c>
      <c r="F89" s="85">
        <f t="shared" si="1"/>
        <v>-472913.25000000006</v>
      </c>
      <c r="G89" s="54">
        <f t="shared" si="2"/>
        <v>15313.037499999997</v>
      </c>
      <c r="H89" s="81">
        <f>E89*(D89-$F$92)^2</f>
        <v>108703515.74962555</v>
      </c>
    </row>
    <row r="90" spans="1:8" x14ac:dyDescent="0.25">
      <c r="A90" s="83" t="s">
        <v>296</v>
      </c>
      <c r="B90" s="21"/>
      <c r="C90" s="86"/>
      <c r="D90" s="63"/>
      <c r="E90" s="87">
        <f>SUM(E86:E89)</f>
        <v>10934.368144329896</v>
      </c>
      <c r="F90" s="22"/>
      <c r="G90" s="63"/>
      <c r="H90" s="22"/>
    </row>
    <row r="91" spans="1:8" ht="15.75" thickBot="1" x14ac:dyDescent="0.3"/>
    <row r="92" spans="1:8" x14ac:dyDescent="0.25">
      <c r="E92" s="78" t="s">
        <v>90</v>
      </c>
      <c r="F92" s="88">
        <f>SUM(F86:F89)/E90</f>
        <v>-34.40387189041919</v>
      </c>
    </row>
    <row r="93" spans="1:8" x14ac:dyDescent="0.25">
      <c r="C93">
        <f>SUM(E87:E89)*_fy/1000</f>
        <v>1821.3006</v>
      </c>
      <c r="E93" s="79" t="s">
        <v>300</v>
      </c>
      <c r="F93" s="89">
        <f>SUM(G86:H89)</f>
        <v>215398891.6598953</v>
      </c>
    </row>
    <row r="94" spans="1:8" ht="15.75" thickBot="1" x14ac:dyDescent="0.3">
      <c r="E94" s="80" t="s">
        <v>301</v>
      </c>
      <c r="F94" s="90">
        <f>F93*10^(-4)</f>
        <v>21539.889165989531</v>
      </c>
    </row>
    <row r="95" spans="1:8" ht="15.75" thickBot="1" x14ac:dyDescent="0.3"/>
    <row r="96" spans="1:8" ht="15.75" thickBot="1" x14ac:dyDescent="0.3">
      <c r="A96" s="149" t="s">
        <v>368</v>
      </c>
      <c r="B96" s="150"/>
    </row>
    <row r="97" spans="1:17" x14ac:dyDescent="0.25">
      <c r="A97" s="7" t="s">
        <v>339</v>
      </c>
      <c r="B97" s="113">
        <f>_L/4</f>
        <v>2.5</v>
      </c>
    </row>
    <row r="98" spans="1:17" x14ac:dyDescent="0.25">
      <c r="A98" s="7" t="s">
        <v>340</v>
      </c>
      <c r="B98" s="114">
        <v>5</v>
      </c>
    </row>
    <row r="99" spans="1:17" x14ac:dyDescent="0.25">
      <c r="A99" s="7" t="s">
        <v>266</v>
      </c>
      <c r="B99" s="113">
        <f>IF(B98&lt;=B97,_beff_appuis+(_beff_mi_travee-_beff_appuis)/B97*B98,_beff_mi_travee)</f>
        <v>2</v>
      </c>
    </row>
    <row r="100" spans="1:17" x14ac:dyDescent="0.25">
      <c r="A100" s="115" t="s">
        <v>341</v>
      </c>
      <c r="B100" s="14">
        <f>_PRd*B98*1000/_sx</f>
        <v>1706.1280891787565</v>
      </c>
    </row>
    <row r="101" spans="1:17" x14ac:dyDescent="0.25">
      <c r="A101" s="115" t="s">
        <v>342</v>
      </c>
      <c r="B101" s="14">
        <f>B99*1000*(_td-_tj)*0.85*_fck_dalle/1.5/1000</f>
        <v>2493.3333333333335</v>
      </c>
    </row>
    <row r="102" spans="1:17" x14ac:dyDescent="0.25">
      <c r="A102" s="115" t="s">
        <v>343</v>
      </c>
      <c r="B102" s="14">
        <f>MIN(B100:B101)*1000/(0.85*_fck_dalle/1.5*B99*1000)</f>
        <v>75.270356875533366</v>
      </c>
    </row>
    <row r="103" spans="1:17" x14ac:dyDescent="0.25">
      <c r="A103" s="113"/>
      <c r="B103" s="113"/>
    </row>
    <row r="104" spans="1:17" x14ac:dyDescent="0.25">
      <c r="A104" t="s">
        <v>303</v>
      </c>
      <c r="B104" s="32">
        <v>-1.1499999999999999</v>
      </c>
      <c r="C104" s="24" t="s">
        <v>302</v>
      </c>
    </row>
    <row r="106" spans="1:17" x14ac:dyDescent="0.25">
      <c r="A106" s="83" t="s">
        <v>287</v>
      </c>
      <c r="B106" s="21" t="s">
        <v>1</v>
      </c>
      <c r="C106" s="63" t="s">
        <v>292</v>
      </c>
      <c r="D106" s="91" t="s">
        <v>308</v>
      </c>
      <c r="E106" s="91" t="s">
        <v>309</v>
      </c>
      <c r="F106" s="95" t="s">
        <v>314</v>
      </c>
      <c r="G106" s="92" t="s">
        <v>315</v>
      </c>
      <c r="H106" s="95" t="s">
        <v>310</v>
      </c>
      <c r="I106" s="91" t="s">
        <v>311</v>
      </c>
      <c r="J106" s="91" t="s">
        <v>306</v>
      </c>
      <c r="K106" s="91" t="s">
        <v>304</v>
      </c>
      <c r="L106" s="92" t="s">
        <v>316</v>
      </c>
      <c r="M106" s="95" t="s">
        <v>312</v>
      </c>
      <c r="N106" s="91" t="s">
        <v>313</v>
      </c>
      <c r="O106" s="91" t="s">
        <v>307</v>
      </c>
      <c r="P106" s="91" t="s">
        <v>305</v>
      </c>
      <c r="Q106" s="92" t="s">
        <v>317</v>
      </c>
    </row>
    <row r="107" spans="1:17" x14ac:dyDescent="0.25">
      <c r="A107" s="35" t="s">
        <v>288</v>
      </c>
      <c r="B107" s="84">
        <f>_beff_mi_travee*1000</f>
        <v>2000</v>
      </c>
      <c r="C107" s="54">
        <v>120</v>
      </c>
      <c r="D107" s="54">
        <f>_td</f>
        <v>120</v>
      </c>
      <c r="E107" s="55">
        <f>C107-B102</f>
        <v>44.729643124466634</v>
      </c>
      <c r="F107" s="94">
        <f>0.85*_fck_dalle/1.5</f>
        <v>11.333333333333334</v>
      </c>
      <c r="G107" s="81">
        <v>0</v>
      </c>
      <c r="H107" s="59">
        <f>D107</f>
        <v>120</v>
      </c>
      <c r="I107" s="55">
        <f>IF($B$104&gt;=D107,D107,IF($B$104&lt;=E107,E107,$B$104))</f>
        <v>44.729643124466634</v>
      </c>
      <c r="J107" s="55">
        <f>H107-I107</f>
        <v>75.270356875533366</v>
      </c>
      <c r="K107" s="54">
        <f>J107*B107*F107/1000</f>
        <v>1706.1280891787565</v>
      </c>
      <c r="L107" s="81">
        <f>K107*((H107+I107)/2-$B$104)/1000</f>
        <v>142.48698293007794</v>
      </c>
      <c r="M107" s="59">
        <f>I107</f>
        <v>44.729643124466634</v>
      </c>
      <c r="N107" s="54">
        <f>E107</f>
        <v>44.729643124466634</v>
      </c>
      <c r="O107" s="55">
        <f>M107-N107</f>
        <v>0</v>
      </c>
      <c r="P107" s="54">
        <f>O107*B107*G107/1000</f>
        <v>0</v>
      </c>
      <c r="Q107" s="81">
        <f>P107*((M107+N107)/2-$B$104)/1000</f>
        <v>0</v>
      </c>
    </row>
    <row r="108" spans="1:17" x14ac:dyDescent="0.25">
      <c r="A108" s="35" t="s">
        <v>289</v>
      </c>
      <c r="B108" s="15">
        <v>120</v>
      </c>
      <c r="C108" s="54">
        <v>6</v>
      </c>
      <c r="D108" s="54">
        <v>0</v>
      </c>
      <c r="E108" s="54">
        <f>-_tfs</f>
        <v>-6</v>
      </c>
      <c r="F108" s="15">
        <f t="shared" ref="F108:G110" si="3">_fy</f>
        <v>420</v>
      </c>
      <c r="G108" s="81">
        <f t="shared" si="3"/>
        <v>420</v>
      </c>
      <c r="H108" s="59">
        <f t="shared" ref="H108:H110" si="4">D108</f>
        <v>0</v>
      </c>
      <c r="I108" s="55">
        <f t="shared" ref="I108:I110" si="5">IF($B$104&gt;=D108,D108,IF($B$104&lt;=E108,E108,$B$104))</f>
        <v>-1.1499999999999999</v>
      </c>
      <c r="J108" s="55">
        <f t="shared" ref="J108:J110" si="6">H108-I108</f>
        <v>1.1499999999999999</v>
      </c>
      <c r="K108" s="54">
        <f t="shared" ref="K108:K110" si="7">J108*B108*F108/1000</f>
        <v>57.96</v>
      </c>
      <c r="L108" s="81">
        <f t="shared" ref="L108:L110" si="8">K108*((H108+I108)/2-$B$104)/1000</f>
        <v>3.3326999999999996E-2</v>
      </c>
      <c r="M108" s="59">
        <f t="shared" ref="M108:M110" si="9">I108</f>
        <v>-1.1499999999999999</v>
      </c>
      <c r="N108" s="54">
        <f t="shared" ref="N108:N110" si="10">E108</f>
        <v>-6</v>
      </c>
      <c r="O108" s="55">
        <f t="shared" ref="O108:O110" si="11">M108-N108</f>
        <v>4.8499999999999996</v>
      </c>
      <c r="P108" s="54">
        <f t="shared" ref="P108:P110" si="12">O108*B108*G108/1000</f>
        <v>244.44</v>
      </c>
      <c r="Q108" s="81">
        <f t="shared" ref="Q108:Q110" si="13">P108*((M108+N108)/2-$B$104)/1000</f>
        <v>-0.59276700000000004</v>
      </c>
    </row>
    <row r="109" spans="1:17" x14ac:dyDescent="0.25">
      <c r="A109" s="35" t="s">
        <v>290</v>
      </c>
      <c r="B109" s="15">
        <v>7.1</v>
      </c>
      <c r="C109" s="54">
        <f>_hw</f>
        <v>283.3</v>
      </c>
      <c r="D109" s="54">
        <f>-_tfs</f>
        <v>-6</v>
      </c>
      <c r="E109" s="54">
        <f>-_tfs-_hw</f>
        <v>-289.3</v>
      </c>
      <c r="F109" s="15">
        <f t="shared" si="3"/>
        <v>420</v>
      </c>
      <c r="G109" s="81">
        <f t="shared" si="3"/>
        <v>420</v>
      </c>
      <c r="H109" s="59">
        <f t="shared" si="4"/>
        <v>-6</v>
      </c>
      <c r="I109" s="55">
        <f t="shared" si="5"/>
        <v>-6</v>
      </c>
      <c r="J109" s="55">
        <f t="shared" si="6"/>
        <v>0</v>
      </c>
      <c r="K109" s="54">
        <f t="shared" si="7"/>
        <v>0</v>
      </c>
      <c r="L109" s="81">
        <f t="shared" si="8"/>
        <v>0</v>
      </c>
      <c r="M109" s="59">
        <f t="shared" si="9"/>
        <v>-6</v>
      </c>
      <c r="N109" s="54">
        <f t="shared" si="10"/>
        <v>-289.3</v>
      </c>
      <c r="O109" s="55">
        <f t="shared" si="11"/>
        <v>283.3</v>
      </c>
      <c r="P109" s="54">
        <f t="shared" si="12"/>
        <v>844.80060000000003</v>
      </c>
      <c r="Q109" s="81">
        <f t="shared" si="13"/>
        <v>-123.76328790000001</v>
      </c>
    </row>
    <row r="110" spans="1:17" x14ac:dyDescent="0.25">
      <c r="A110" s="35" t="s">
        <v>291</v>
      </c>
      <c r="B110" s="15">
        <v>150</v>
      </c>
      <c r="C110" s="54">
        <v>10.7</v>
      </c>
      <c r="D110" s="54">
        <f>-_tfs-_hw</f>
        <v>-289.3</v>
      </c>
      <c r="E110" s="54">
        <f>-_h</f>
        <v>-300</v>
      </c>
      <c r="F110" s="15">
        <f t="shared" si="3"/>
        <v>420</v>
      </c>
      <c r="G110" s="81">
        <f t="shared" si="3"/>
        <v>420</v>
      </c>
      <c r="H110" s="61">
        <f t="shared" si="4"/>
        <v>-289.3</v>
      </c>
      <c r="I110" s="58">
        <f t="shared" si="5"/>
        <v>-289.3</v>
      </c>
      <c r="J110" s="55">
        <f t="shared" si="6"/>
        <v>0</v>
      </c>
      <c r="K110" s="54">
        <f t="shared" si="7"/>
        <v>0</v>
      </c>
      <c r="L110" s="81">
        <f t="shared" si="8"/>
        <v>0</v>
      </c>
      <c r="M110" s="59">
        <f t="shared" si="9"/>
        <v>-289.3</v>
      </c>
      <c r="N110" s="54">
        <f t="shared" si="10"/>
        <v>-300</v>
      </c>
      <c r="O110" s="55">
        <f t="shared" si="11"/>
        <v>10.699999999999989</v>
      </c>
      <c r="P110" s="54">
        <f t="shared" si="12"/>
        <v>674.09999999999923</v>
      </c>
      <c r="Q110" s="81">
        <f t="shared" si="13"/>
        <v>-197.84834999999978</v>
      </c>
    </row>
    <row r="111" spans="1:17" x14ac:dyDescent="0.25">
      <c r="A111" s="83" t="s">
        <v>296</v>
      </c>
      <c r="B111" s="21"/>
      <c r="C111" s="86"/>
      <c r="D111" s="63"/>
      <c r="E111" s="63"/>
      <c r="F111" s="21"/>
      <c r="G111" s="22"/>
      <c r="H111" s="16"/>
      <c r="I111" s="82"/>
      <c r="J111" s="82"/>
      <c r="K111" s="96">
        <f>SUM(K107:K110)</f>
        <v>1764.0880891787565</v>
      </c>
      <c r="L111" s="97">
        <f>SUM(L107:L110)</f>
        <v>142.52030993007796</v>
      </c>
      <c r="M111" s="102"/>
      <c r="N111" s="96"/>
      <c r="O111" s="96"/>
      <c r="P111" s="96">
        <f>SUM(P107:P110)</f>
        <v>1763.3405999999993</v>
      </c>
      <c r="Q111" s="97">
        <f>SUM(Q107:Q110)</f>
        <v>-322.20440489999976</v>
      </c>
    </row>
    <row r="112" spans="1:17" ht="15.75" thickBot="1" x14ac:dyDescent="0.3">
      <c r="P112" s="54"/>
    </row>
    <row r="113" spans="1:17" x14ac:dyDescent="0.25">
      <c r="D113" s="98" t="s">
        <v>318</v>
      </c>
      <c r="E113" s="99">
        <f>K111-P111</f>
        <v>0.7474891787571778</v>
      </c>
      <c r="G113" t="s">
        <v>320</v>
      </c>
      <c r="H113" s="23">
        <f>(_td-B104)/(_h+_td)*100</f>
        <v>28.845238095238095</v>
      </c>
    </row>
    <row r="114" spans="1:17" ht="15.75" thickBot="1" x14ac:dyDescent="0.3">
      <c r="D114" s="100" t="s">
        <v>319</v>
      </c>
      <c r="E114" s="101">
        <f>ABS(L111)+ABS(Q111)</f>
        <v>464.72471483007769</v>
      </c>
      <c r="G114" t="s">
        <v>321</v>
      </c>
      <c r="H114" s="25">
        <f>IF(H113&lt;=15,1,IF(H113&gt;=40,0.85,1+(H113-15)/(40-15)*(0.85-1)))</f>
        <v>0.91692857142857143</v>
      </c>
    </row>
    <row r="115" spans="1:17" ht="15.75" thickBot="1" x14ac:dyDescent="0.3"/>
    <row r="116" spans="1:17" ht="15.75" thickBot="1" x14ac:dyDescent="0.3">
      <c r="A116" s="149" t="s">
        <v>338</v>
      </c>
      <c r="B116" s="150"/>
    </row>
    <row r="117" spans="1:17" x14ac:dyDescent="0.25">
      <c r="A117" s="7" t="s">
        <v>339</v>
      </c>
      <c r="B117" s="113">
        <f>_L/4</f>
        <v>2.5</v>
      </c>
    </row>
    <row r="118" spans="1:17" x14ac:dyDescent="0.25">
      <c r="A118" s="7" t="s">
        <v>340</v>
      </c>
      <c r="B118" s="114">
        <v>0.5</v>
      </c>
    </row>
    <row r="119" spans="1:17" x14ac:dyDescent="0.25">
      <c r="A119" s="7" t="s">
        <v>266</v>
      </c>
      <c r="B119" s="113">
        <f>IF(B118&lt;=B117,_beff_appuis+(_beff_mi_travee-_beff_appuis)/B117*B118,_beff_mi_travee)</f>
        <v>1.6800000000000002</v>
      </c>
    </row>
    <row r="120" spans="1:17" x14ac:dyDescent="0.25">
      <c r="A120" s="115" t="s">
        <v>341</v>
      </c>
      <c r="B120" s="14">
        <f>_PRd*B118*1000/_sx</f>
        <v>170.61280891787561</v>
      </c>
      <c r="C120" s="24"/>
    </row>
    <row r="121" spans="1:17" x14ac:dyDescent="0.25">
      <c r="A121" s="115" t="s">
        <v>342</v>
      </c>
      <c r="B121" s="14">
        <f>B119*1000*(_td-_tj)*0.85*_fck_dalle/1.5/1000</f>
        <v>2094.4</v>
      </c>
      <c r="C121" s="24"/>
    </row>
    <row r="122" spans="1:17" x14ac:dyDescent="0.25">
      <c r="A122" s="115" t="s">
        <v>343</v>
      </c>
      <c r="B122" s="14">
        <f>MIN(B120:B121)*1000/(0.85*_fck_dalle/1.5*B119*1000)</f>
        <v>8.9607567708968254</v>
      </c>
      <c r="C122" s="24"/>
    </row>
    <row r="123" spans="1:17" x14ac:dyDescent="0.25">
      <c r="A123" s="115"/>
      <c r="B123" s="14"/>
      <c r="C123" s="24"/>
    </row>
    <row r="124" spans="1:17" x14ac:dyDescent="0.25">
      <c r="A124" t="s">
        <v>303</v>
      </c>
      <c r="B124" s="32">
        <v>-181.5</v>
      </c>
      <c r="C124" s="24" t="s">
        <v>302</v>
      </c>
    </row>
    <row r="126" spans="1:17" x14ac:dyDescent="0.25">
      <c r="A126" s="83" t="s">
        <v>287</v>
      </c>
      <c r="B126" s="21" t="s">
        <v>1</v>
      </c>
      <c r="C126" s="63" t="s">
        <v>292</v>
      </c>
      <c r="D126" s="91" t="s">
        <v>308</v>
      </c>
      <c r="E126" s="91" t="s">
        <v>309</v>
      </c>
      <c r="F126" s="95" t="s">
        <v>314</v>
      </c>
      <c r="G126" s="92" t="s">
        <v>315</v>
      </c>
      <c r="H126" s="95" t="s">
        <v>310</v>
      </c>
      <c r="I126" s="91" t="s">
        <v>311</v>
      </c>
      <c r="J126" s="91" t="s">
        <v>306</v>
      </c>
      <c r="K126" s="91" t="s">
        <v>304</v>
      </c>
      <c r="L126" s="92" t="s">
        <v>316</v>
      </c>
      <c r="M126" s="95" t="s">
        <v>312</v>
      </c>
      <c r="N126" s="91" t="s">
        <v>313</v>
      </c>
      <c r="O126" s="91" t="s">
        <v>307</v>
      </c>
      <c r="P126" s="91" t="s">
        <v>305</v>
      </c>
      <c r="Q126" s="92" t="s">
        <v>317</v>
      </c>
    </row>
    <row r="127" spans="1:17" x14ac:dyDescent="0.25">
      <c r="A127" s="35" t="s">
        <v>288</v>
      </c>
      <c r="B127" s="84">
        <f>B119*1000</f>
        <v>1680.0000000000002</v>
      </c>
      <c r="C127" s="54">
        <v>120</v>
      </c>
      <c r="D127" s="54">
        <f>_td</f>
        <v>120</v>
      </c>
      <c r="E127" s="55">
        <f>C127-B122</f>
        <v>111.03924322910318</v>
      </c>
      <c r="F127" s="94">
        <f>0.85*_fck_dalle/1.5</f>
        <v>11.333333333333334</v>
      </c>
      <c r="G127" s="81">
        <v>0</v>
      </c>
      <c r="H127" s="59">
        <f>D127</f>
        <v>120</v>
      </c>
      <c r="I127" s="55">
        <f>IF($B$124&gt;=D127,D127,IF($B$124&lt;=E127,E127,$B$124))</f>
        <v>111.03924322910318</v>
      </c>
      <c r="J127" s="55">
        <f>H127-I127</f>
        <v>8.9607567708968219</v>
      </c>
      <c r="K127" s="54">
        <f>J127*B127*F127/1000</f>
        <v>170.61280891787553</v>
      </c>
      <c r="L127" s="81">
        <f>K127*((H127+I127)/2-$B$124)/1000</f>
        <v>50.675351947383191</v>
      </c>
      <c r="M127" s="59">
        <f>I127</f>
        <v>111.03924322910318</v>
      </c>
      <c r="N127" s="55">
        <f>E127</f>
        <v>111.03924322910318</v>
      </c>
      <c r="O127" s="55">
        <f>M127-N127</f>
        <v>0</v>
      </c>
      <c r="P127" s="54">
        <f>O127*B127*G127/1000</f>
        <v>0</v>
      </c>
      <c r="Q127" s="81">
        <f>P127*((M127+N127)/2-$B$124)/1000</f>
        <v>0</v>
      </c>
    </row>
    <row r="128" spans="1:17" x14ac:dyDescent="0.25">
      <c r="A128" s="35" t="s">
        <v>289</v>
      </c>
      <c r="B128" s="15">
        <v>120</v>
      </c>
      <c r="C128" s="54">
        <v>6</v>
      </c>
      <c r="D128" s="54">
        <v>0</v>
      </c>
      <c r="E128" s="54">
        <f>-_tfs</f>
        <v>-6</v>
      </c>
      <c r="F128" s="15">
        <f t="shared" ref="F128:G130" si="14">_fy</f>
        <v>420</v>
      </c>
      <c r="G128" s="81">
        <f t="shared" si="14"/>
        <v>420</v>
      </c>
      <c r="H128" s="59">
        <f t="shared" ref="H128:H130" si="15">D128</f>
        <v>0</v>
      </c>
      <c r="I128" s="55">
        <f>IF($B$124&gt;=D128,D128,IF($B$124&lt;=E128,E128,$B$124))</f>
        <v>-6</v>
      </c>
      <c r="J128" s="55">
        <f t="shared" ref="J128:J130" si="16">H128-I128</f>
        <v>6</v>
      </c>
      <c r="K128" s="54">
        <f t="shared" ref="K128:K130" si="17">J128*B128*F128/1000</f>
        <v>302.39999999999998</v>
      </c>
      <c r="L128" s="81">
        <f>K128*((H128+I128)/2-$B$124)/1000</f>
        <v>53.978399999999993</v>
      </c>
      <c r="M128" s="59">
        <f t="shared" ref="M128:M130" si="18">I128</f>
        <v>-6</v>
      </c>
      <c r="N128" s="54">
        <f t="shared" ref="N128:N130" si="19">E128</f>
        <v>-6</v>
      </c>
      <c r="O128" s="55">
        <f t="shared" ref="O128:O130" si="20">M128-N128</f>
        <v>0</v>
      </c>
      <c r="P128" s="54">
        <f t="shared" ref="P128:P130" si="21">O128*B128*G128/1000</f>
        <v>0</v>
      </c>
      <c r="Q128" s="81">
        <f>P128*((M128+N128)/2-$B$124)/1000</f>
        <v>0</v>
      </c>
    </row>
    <row r="129" spans="1:17" x14ac:dyDescent="0.25">
      <c r="A129" s="35" t="s">
        <v>290</v>
      </c>
      <c r="B129" s="15">
        <v>7.1</v>
      </c>
      <c r="C129" s="54">
        <f>_hw</f>
        <v>283.3</v>
      </c>
      <c r="D129" s="54">
        <f>-_tfs</f>
        <v>-6</v>
      </c>
      <c r="E129" s="54">
        <f>-_tfs-_hw</f>
        <v>-289.3</v>
      </c>
      <c r="F129" s="15">
        <f t="shared" si="14"/>
        <v>420</v>
      </c>
      <c r="G129" s="81">
        <f t="shared" si="14"/>
        <v>420</v>
      </c>
      <c r="H129" s="59">
        <f t="shared" si="15"/>
        <v>-6</v>
      </c>
      <c r="I129" s="55">
        <f>IF($B$124&gt;=D129,D129,IF($B$124&lt;=E129,E129,$B$124))</f>
        <v>-181.5</v>
      </c>
      <c r="J129" s="55">
        <f t="shared" si="16"/>
        <v>175.5</v>
      </c>
      <c r="K129" s="54">
        <f t="shared" si="17"/>
        <v>523.34100000000001</v>
      </c>
      <c r="L129" s="81">
        <f>K129*((H129+I129)/2-$B$124)/1000</f>
        <v>45.923172749999999</v>
      </c>
      <c r="M129" s="59">
        <f t="shared" si="18"/>
        <v>-181.5</v>
      </c>
      <c r="N129" s="54">
        <f t="shared" si="19"/>
        <v>-289.3</v>
      </c>
      <c r="O129" s="55">
        <f t="shared" si="20"/>
        <v>107.80000000000001</v>
      </c>
      <c r="P129" s="54">
        <f t="shared" si="21"/>
        <v>321.45959999999997</v>
      </c>
      <c r="Q129" s="81">
        <f>P129*((M129+N129)/2-$B$124)/1000</f>
        <v>-17.326672439999999</v>
      </c>
    </row>
    <row r="130" spans="1:17" x14ac:dyDescent="0.25">
      <c r="A130" s="35" t="s">
        <v>291</v>
      </c>
      <c r="B130" s="15">
        <v>150</v>
      </c>
      <c r="C130" s="54">
        <v>10.7</v>
      </c>
      <c r="D130" s="54">
        <f>-_tfs-_hw</f>
        <v>-289.3</v>
      </c>
      <c r="E130" s="54">
        <f>-_h</f>
        <v>-300</v>
      </c>
      <c r="F130" s="15">
        <f t="shared" si="14"/>
        <v>420</v>
      </c>
      <c r="G130" s="81">
        <f t="shared" si="14"/>
        <v>420</v>
      </c>
      <c r="H130" s="59">
        <f t="shared" si="15"/>
        <v>-289.3</v>
      </c>
      <c r="I130" s="55">
        <f>IF($B$124&gt;=D130,D130,IF($B$124&lt;=E130,E130,$B$124))</f>
        <v>-289.3</v>
      </c>
      <c r="J130" s="55">
        <f t="shared" si="16"/>
        <v>0</v>
      </c>
      <c r="K130" s="54">
        <f t="shared" si="17"/>
        <v>0</v>
      </c>
      <c r="L130" s="81">
        <f>K130*((H130+I130)/2-$B$124)/1000</f>
        <v>0</v>
      </c>
      <c r="M130" s="59">
        <f t="shared" si="18"/>
        <v>-289.3</v>
      </c>
      <c r="N130" s="54">
        <f t="shared" si="19"/>
        <v>-300</v>
      </c>
      <c r="O130" s="55">
        <f t="shared" si="20"/>
        <v>10.699999999999989</v>
      </c>
      <c r="P130" s="54">
        <f t="shared" si="21"/>
        <v>674.09999999999923</v>
      </c>
      <c r="Q130" s="81">
        <f>P130*((M130+N130)/2-$B$124)/1000</f>
        <v>-76.274414999999891</v>
      </c>
    </row>
    <row r="131" spans="1:17" x14ac:dyDescent="0.25">
      <c r="A131" s="83" t="s">
        <v>296</v>
      </c>
      <c r="B131" s="21"/>
      <c r="C131" s="86"/>
      <c r="D131" s="63"/>
      <c r="E131" s="63"/>
      <c r="F131" s="21"/>
      <c r="G131" s="22"/>
      <c r="H131" s="16"/>
      <c r="I131" s="82"/>
      <c r="J131" s="82"/>
      <c r="K131" s="96">
        <f>SUM(K127:K130)</f>
        <v>996.35380891787554</v>
      </c>
      <c r="L131" s="97">
        <f>SUM(L127:L130)</f>
        <v>150.57692469738319</v>
      </c>
      <c r="M131" s="102"/>
      <c r="N131" s="96"/>
      <c r="O131" s="96"/>
      <c r="P131" s="96">
        <f>SUM(P127:P130)</f>
        <v>995.55959999999914</v>
      </c>
      <c r="Q131" s="97">
        <f>SUM(Q127:Q130)</f>
        <v>-93.601087439999887</v>
      </c>
    </row>
    <row r="132" spans="1:17" ht="15.75" thickBot="1" x14ac:dyDescent="0.3">
      <c r="P132" s="54"/>
    </row>
    <row r="133" spans="1:17" x14ac:dyDescent="0.25">
      <c r="D133" s="98" t="s">
        <v>318</v>
      </c>
      <c r="E133" s="99">
        <f>K131-P131</f>
        <v>0.79420891787640358</v>
      </c>
      <c r="G133" t="s">
        <v>320</v>
      </c>
      <c r="H133" s="23">
        <f>(_td-B124)/(_h+_td)*100</f>
        <v>71.785714285714292</v>
      </c>
    </row>
    <row r="134" spans="1:17" ht="15.75" thickBot="1" x14ac:dyDescent="0.3">
      <c r="D134" s="100" t="s">
        <v>319</v>
      </c>
      <c r="E134" s="101">
        <f>L131+Q131</f>
        <v>56.975837257383304</v>
      </c>
      <c r="G134" t="s">
        <v>321</v>
      </c>
      <c r="H134" s="25">
        <f>IF(H133&lt;=15,1,IF(H133&gt;=40,0.85,1+(H133-15)/(40-15)*(0.85-1)))</f>
        <v>0.85</v>
      </c>
    </row>
    <row r="135" spans="1:17" ht="15.75" thickBot="1" x14ac:dyDescent="0.3"/>
    <row r="136" spans="1:17" ht="15.75" thickBot="1" x14ac:dyDescent="0.3">
      <c r="A136" s="149" t="s">
        <v>133</v>
      </c>
      <c r="B136" s="150"/>
    </row>
    <row r="137" spans="1:17" x14ac:dyDescent="0.25">
      <c r="A137" t="s">
        <v>130</v>
      </c>
      <c r="B137" s="27">
        <f>H11+E20</f>
        <v>6.2199419696550002</v>
      </c>
      <c r="C137" s="25">
        <f>B137*1.35</f>
        <v>8.3969216590342501</v>
      </c>
    </row>
    <row r="138" spans="1:17" x14ac:dyDescent="0.25">
      <c r="A138" t="s">
        <v>322</v>
      </c>
      <c r="B138" s="27">
        <v>2</v>
      </c>
      <c r="C138" s="26"/>
    </row>
    <row r="139" spans="1:17" x14ac:dyDescent="0.25">
      <c r="A139" s="28" t="s">
        <v>132</v>
      </c>
      <c r="B139" s="104">
        <f>B137*_L/2</f>
        <v>31.099709848275001</v>
      </c>
    </row>
    <row r="140" spans="1:17" x14ac:dyDescent="0.25">
      <c r="A140" s="16" t="s">
        <v>131</v>
      </c>
      <c r="B140" s="105">
        <f>B137*_L^2/8</f>
        <v>77.749274620687501</v>
      </c>
      <c r="D140" s="24"/>
    </row>
    <row r="141" spans="1:17" x14ac:dyDescent="0.25">
      <c r="A141" s="28" t="s">
        <v>203</v>
      </c>
      <c r="B141" s="104">
        <f>B138*(_b_Gauche+_b_Droite)*_L/2</f>
        <v>20</v>
      </c>
      <c r="D141" s="24"/>
    </row>
    <row r="142" spans="1:17" x14ac:dyDescent="0.25">
      <c r="A142" s="16" t="s">
        <v>204</v>
      </c>
      <c r="B142" s="105">
        <f>B138*(_b_Gauche+_b_Droite)*_L^2/8</f>
        <v>50</v>
      </c>
      <c r="D142" s="24"/>
    </row>
    <row r="143" spans="1:17" x14ac:dyDescent="0.25">
      <c r="A143" s="28" t="s">
        <v>205</v>
      </c>
      <c r="B143" s="53">
        <v>0.5</v>
      </c>
      <c r="D143" s="24"/>
    </row>
    <row r="144" spans="1:17" x14ac:dyDescent="0.25">
      <c r="A144" s="16" t="s">
        <v>206</v>
      </c>
      <c r="B144" s="103">
        <f>B143*_L/2</f>
        <v>2.5</v>
      </c>
      <c r="D144" s="24"/>
    </row>
    <row r="145" spans="1:4" x14ac:dyDescent="0.25">
      <c r="A145" s="28" t="s">
        <v>135</v>
      </c>
      <c r="B145" s="53">
        <f>4*(_L-4)/_L</f>
        <v>2.4</v>
      </c>
      <c r="D145" s="24"/>
    </row>
    <row r="146" spans="1:4" x14ac:dyDescent="0.25">
      <c r="A146" s="16" t="s">
        <v>323</v>
      </c>
      <c r="B146" s="103">
        <f>B145*4</f>
        <v>9.6</v>
      </c>
      <c r="D146" s="24"/>
    </row>
    <row r="147" spans="1:4" x14ac:dyDescent="0.25">
      <c r="A147" s="93" t="s">
        <v>326</v>
      </c>
      <c r="B147" s="110">
        <f>325*10^(-6)</f>
        <v>3.2499999999999999E-4</v>
      </c>
      <c r="D147" s="24"/>
    </row>
    <row r="148" spans="1:4" x14ac:dyDescent="0.25">
      <c r="A148" s="109" t="s">
        <v>327</v>
      </c>
      <c r="B148" s="111">
        <v>210000</v>
      </c>
      <c r="D148" s="24"/>
    </row>
    <row r="149" spans="1:4" x14ac:dyDescent="0.25">
      <c r="A149" s="109" t="s">
        <v>226</v>
      </c>
      <c r="B149" s="81">
        <f>_Ac_brute</f>
        <v>240000</v>
      </c>
    </row>
    <row r="150" spans="1:4" x14ac:dyDescent="0.25">
      <c r="A150" s="109" t="s">
        <v>328</v>
      </c>
      <c r="B150" s="57">
        <v>29.142741876247484</v>
      </c>
    </row>
    <row r="151" spans="1:4" x14ac:dyDescent="0.25">
      <c r="A151" s="109" t="s">
        <v>330</v>
      </c>
      <c r="B151" s="57">
        <v>-22.108000000000001</v>
      </c>
    </row>
    <row r="152" spans="1:4" x14ac:dyDescent="0.25">
      <c r="A152" s="109" t="s">
        <v>329</v>
      </c>
      <c r="B152" s="19">
        <f>B147*B148*B149/(1000*B150)</f>
        <v>562.06104660832773</v>
      </c>
    </row>
    <row r="153" spans="1:4" x14ac:dyDescent="0.25">
      <c r="A153" s="112" t="s">
        <v>331</v>
      </c>
      <c r="B153" s="20">
        <f>B152*((_td-_tj)/2+_tj-B151)/1000</f>
        <v>48.960013647958213</v>
      </c>
    </row>
    <row r="154" spans="1:4" x14ac:dyDescent="0.25">
      <c r="A154" s="93" t="s">
        <v>333</v>
      </c>
      <c r="B154" s="74">
        <f>1.35*B139+1.35*B141+1.5*B143</f>
        <v>69.734608295171256</v>
      </c>
      <c r="C154" s="24" t="s">
        <v>336</v>
      </c>
    </row>
    <row r="155" spans="1:4" x14ac:dyDescent="0.25">
      <c r="A155" s="112" t="s">
        <v>332</v>
      </c>
      <c r="B155" s="20">
        <f>1.35*B140+1.35*B142+1.5*B144+1.35*B153</f>
        <v>242.30753916267173</v>
      </c>
      <c r="C155" s="24"/>
    </row>
    <row r="156" spans="1:4" x14ac:dyDescent="0.25">
      <c r="A156" s="93" t="s">
        <v>334</v>
      </c>
      <c r="B156" s="74">
        <f>1.35*B139+1.5*B145</f>
        <v>45.584608295171257</v>
      </c>
      <c r="C156" s="24" t="s">
        <v>336</v>
      </c>
    </row>
    <row r="157" spans="1:4" x14ac:dyDescent="0.25">
      <c r="A157" s="112" t="s">
        <v>335</v>
      </c>
      <c r="B157" s="20">
        <v>117.3</v>
      </c>
      <c r="C157" t="s">
        <v>337</v>
      </c>
    </row>
    <row r="158" spans="1:4" ht="15.75" thickBot="1" x14ac:dyDescent="0.3"/>
    <row r="159" spans="1:4" ht="15.75" thickBot="1" x14ac:dyDescent="0.3">
      <c r="A159" s="149" t="s">
        <v>134</v>
      </c>
      <c r="B159" s="150"/>
    </row>
    <row r="160" spans="1:4" x14ac:dyDescent="0.25">
      <c r="A160" s="113"/>
      <c r="B160" s="113"/>
    </row>
    <row r="161" spans="1:7" x14ac:dyDescent="0.25">
      <c r="A161" s="113"/>
      <c r="B161" s="77" t="s">
        <v>344</v>
      </c>
      <c r="C161" s="63" t="s">
        <v>345</v>
      </c>
      <c r="D161" s="63" t="s">
        <v>346</v>
      </c>
      <c r="E161" s="22" t="s">
        <v>347</v>
      </c>
      <c r="F161" s="83" t="s">
        <v>357</v>
      </c>
    </row>
    <row r="162" spans="1:7" x14ac:dyDescent="0.25">
      <c r="A162" s="124" t="s">
        <v>328</v>
      </c>
      <c r="B162" s="131"/>
      <c r="C162" s="66">
        <v>30.8</v>
      </c>
      <c r="D162" s="66">
        <v>7.01</v>
      </c>
      <c r="E162" s="29">
        <v>29.1</v>
      </c>
      <c r="F162" s="119"/>
    </row>
    <row r="163" spans="1:7" x14ac:dyDescent="0.25">
      <c r="A163" s="28" t="s">
        <v>364</v>
      </c>
      <c r="B163" s="147">
        <v>5921</v>
      </c>
      <c r="C163" s="146">
        <v>22581</v>
      </c>
      <c r="D163" s="146">
        <v>31404</v>
      </c>
      <c r="E163" s="148">
        <v>22952</v>
      </c>
      <c r="F163" s="119"/>
    </row>
    <row r="164" spans="1:7" x14ac:dyDescent="0.25">
      <c r="A164" s="126" t="s">
        <v>365</v>
      </c>
      <c r="B164" s="144">
        <v>-178</v>
      </c>
      <c r="C164" s="82">
        <v>-26.8</v>
      </c>
      <c r="D164" s="82">
        <v>38.799999999999997</v>
      </c>
      <c r="E164" s="30">
        <v>-23.7</v>
      </c>
      <c r="F164" s="127"/>
    </row>
    <row r="165" spans="1:7" x14ac:dyDescent="0.25">
      <c r="A165" s="28" t="s">
        <v>366</v>
      </c>
      <c r="B165" s="147">
        <v>5921</v>
      </c>
      <c r="C165" s="146">
        <v>21530.096266744444</v>
      </c>
      <c r="D165" s="146">
        <v>30234.112325995633</v>
      </c>
      <c r="E165" s="148">
        <v>21539.889165989531</v>
      </c>
      <c r="F165" s="119"/>
    </row>
    <row r="166" spans="1:7" x14ac:dyDescent="0.25">
      <c r="A166" s="126" t="s">
        <v>367</v>
      </c>
      <c r="B166" s="144">
        <v>-178</v>
      </c>
      <c r="C166" s="96">
        <v>-34.487492252446586</v>
      </c>
      <c r="D166" s="145">
        <v>30.897637600365364</v>
      </c>
      <c r="E166" s="20">
        <v>-34.40387189041919</v>
      </c>
      <c r="F166" s="127"/>
    </row>
    <row r="167" spans="1:7" x14ac:dyDescent="0.25">
      <c r="A167" s="126" t="s">
        <v>351</v>
      </c>
      <c r="B167" s="16" t="s">
        <v>352</v>
      </c>
      <c r="C167" s="82" t="s">
        <v>353</v>
      </c>
      <c r="D167" s="82" t="s">
        <v>353</v>
      </c>
      <c r="E167" s="30" t="s">
        <v>353</v>
      </c>
      <c r="F167" s="127"/>
    </row>
    <row r="168" spans="1:7" x14ac:dyDescent="0.25">
      <c r="A168" s="142" t="s">
        <v>362</v>
      </c>
      <c r="B168" s="143">
        <f>B139</f>
        <v>31.099709848275001</v>
      </c>
      <c r="C168" s="87">
        <f>B141</f>
        <v>20</v>
      </c>
      <c r="D168" s="87">
        <f>B143</f>
        <v>0.5</v>
      </c>
      <c r="E168" s="22">
        <v>0</v>
      </c>
      <c r="F168" s="83"/>
    </row>
    <row r="169" spans="1:7" x14ac:dyDescent="0.25">
      <c r="A169" s="125" t="s">
        <v>354</v>
      </c>
      <c r="B169" s="132">
        <f>IF(B167="N",0,$B$140*10^6/(B$163*10^4)*(_td-B$164)/B162)</f>
        <v>0</v>
      </c>
      <c r="C169" s="117">
        <f>IF(C167="N",0,$B$142*10^6/(C$163*10^4)*(_td-C$164)/C162)</f>
        <v>1.0553637496642678</v>
      </c>
      <c r="D169" s="117">
        <f>IF(D167="N",0,$B$144*10^6/(D$163*10^4)*(_td-D$164)/D162)</f>
        <v>9.2213191083356905E-2</v>
      </c>
      <c r="E169" s="133">
        <f>IF(E167="N",0,$B$153*10^6/(E$163*10^4)*(_td-E$164)/E162)</f>
        <v>1.0533792862815441</v>
      </c>
      <c r="F169" s="120">
        <f>1.35*(B169+C169)+1.5*D169+1.35*E169</f>
        <v>2.9851228851518821</v>
      </c>
      <c r="G169">
        <v>2.88</v>
      </c>
    </row>
    <row r="170" spans="1:7" x14ac:dyDescent="0.25">
      <c r="A170" s="125" t="s">
        <v>355</v>
      </c>
      <c r="B170" s="132">
        <f>$B$140*10^6/(B$163*10^4)*(0-B$164)</f>
        <v>233.73367475903353</v>
      </c>
      <c r="C170" s="117">
        <f>$B$142*10^6/(C$163*10^4)*(0-C$164)</f>
        <v>5.9341924626898717</v>
      </c>
      <c r="D170" s="116">
        <f>$B$144*10^6/(D$163*10^4)*(0-D$164)</f>
        <v>-0.30887784995541961</v>
      </c>
      <c r="E170" s="134">
        <f>$B$153*10^6/(E$163*10^4)*(0-E$164)</f>
        <v>5.0555608376464338</v>
      </c>
      <c r="F170" s="120">
        <f t="shared" ref="F170:F171" si="22">1.35*(B170+C170)+1.5*D170+1.35*E170</f>
        <v>329.91331110521622</v>
      </c>
      <c r="G170">
        <v>329.4</v>
      </c>
    </row>
    <row r="171" spans="1:7" x14ac:dyDescent="0.25">
      <c r="A171" s="126" t="s">
        <v>356</v>
      </c>
      <c r="B171" s="135">
        <f>$B$140*10^6/(B$163*10^4)*(-_h-B$164)</f>
        <v>-160.19948494720276</v>
      </c>
      <c r="C171" s="129">
        <f>$B$142*10^6/(C$163*10^4)*(-_h-C$164)</f>
        <v>-60.493335104734065</v>
      </c>
      <c r="D171" s="128">
        <f>$B$144*10^6/(D$163*10^4)*(-_h-D$164)</f>
        <v>-2.6971086485797984</v>
      </c>
      <c r="E171" s="136">
        <f>$B$153*10^6/(E$163*10^4)*(-_h-E$164)</f>
        <v>-58.938880145219827</v>
      </c>
      <c r="F171" s="130">
        <f t="shared" si="22"/>
        <v>-381.54845823903122</v>
      </c>
      <c r="G171">
        <v>376</v>
      </c>
    </row>
    <row r="172" spans="1:7" x14ac:dyDescent="0.25">
      <c r="A172" s="125" t="s">
        <v>348</v>
      </c>
      <c r="B172" s="137">
        <f>B169/(0.85*_fck_dalle/1.5)</f>
        <v>0</v>
      </c>
      <c r="C172" s="8">
        <f>C169/(0.85*_fck_dalle/1.5)</f>
        <v>9.3120330852729513E-2</v>
      </c>
      <c r="D172" s="8">
        <f>D169/(0.85*_fck_dalle/1.5)</f>
        <v>8.136458036766785E-3</v>
      </c>
      <c r="E172" s="138">
        <f>E169/(0.85*_fck_dalle/1.5)</f>
        <v>9.2945231142489176E-2</v>
      </c>
      <c r="F172" s="121">
        <f>F169/(0.85*_fck_dalle/1.5)</f>
        <v>0.26339319574869546</v>
      </c>
    </row>
    <row r="173" spans="1:7" x14ac:dyDescent="0.25">
      <c r="A173" s="125" t="s">
        <v>349</v>
      </c>
      <c r="B173" s="139">
        <f>B170/(_fy)</f>
        <v>0.55650874942627027</v>
      </c>
      <c r="C173" s="117">
        <f>C170/(_fy)</f>
        <v>1.4129029673071123E-2</v>
      </c>
      <c r="D173" s="117">
        <f>D170/(_fy)</f>
        <v>-7.3542345227480856E-4</v>
      </c>
      <c r="E173" s="133">
        <f>E170/(_fy)</f>
        <v>1.203704961344389E-2</v>
      </c>
      <c r="F173" s="122">
        <f>F170/(_fy)</f>
        <v>0.78550788358384815</v>
      </c>
    </row>
    <row r="174" spans="1:7" x14ac:dyDescent="0.25">
      <c r="A174" s="126" t="s">
        <v>350</v>
      </c>
      <c r="B174" s="140">
        <f>ABS(B171/(_fy))</f>
        <v>0.38142734511238752</v>
      </c>
      <c r="C174" s="118">
        <f>ABS(C171/(_fy))</f>
        <v>0.14403175024936682</v>
      </c>
      <c r="D174" s="118">
        <f>ABS(D171/(_fy))</f>
        <v>6.4216872585233292E-3</v>
      </c>
      <c r="E174" s="141">
        <f>ABS(E171/(_fy))</f>
        <v>0.14033066701242816</v>
      </c>
      <c r="F174" s="123">
        <f>ABS(F171/(_fy))</f>
        <v>0.90844871009293149</v>
      </c>
    </row>
    <row r="175" spans="1:7" x14ac:dyDescent="0.25">
      <c r="A175" s="159" t="s">
        <v>370</v>
      </c>
      <c r="B175" s="157">
        <f>ABS(IF(B167="N",0,_beff_appuis*1000*(_td-_tj)/B162*(B166-((_td-_tj)/2+_tj))))</f>
        <v>0</v>
      </c>
      <c r="C175" s="157">
        <f>ABS(IF(C167="N",0,_beff_appuis*1000*(_td-_tj)/C162*(C166-((_td-_tj)/2+_tj))))</f>
        <v>568499.95572826616</v>
      </c>
      <c r="D175" s="157">
        <f>ABS(IF(D167="N",0,_beff_appuis*1000*(_td-_tj)/D162*(D166-((_td-_tj)/2+_tj))))</f>
        <v>856207.67223048443</v>
      </c>
      <c r="E175" s="157">
        <f>ABS(IF(E167="N",0,_beff_appuis*1000*(_td-_tj)/E162*(E166-((_td-_tj)/2+_tj))))</f>
        <v>601205.54820322257</v>
      </c>
      <c r="F175" s="29"/>
    </row>
    <row r="176" spans="1:7" x14ac:dyDescent="0.25">
      <c r="A176" s="160" t="s">
        <v>361</v>
      </c>
      <c r="B176" s="158">
        <f>B168*B175/(B165*10^4)*1000</f>
        <v>0</v>
      </c>
      <c r="C176" s="158">
        <f>C168*C175/(C165*10^4)*1000</f>
        <v>52.809792272631476</v>
      </c>
      <c r="D176" s="158">
        <f>D168*D175/(D165*10^4)*1000</f>
        <v>1.4159629742036572</v>
      </c>
      <c r="E176" s="158">
        <f t="shared" ref="E176" si="23">E168*1000*E175/E165/1000</f>
        <v>0</v>
      </c>
      <c r="F176" s="20">
        <f>1.35*B176+1.35*C176+1.5*D176+1.35*E176</f>
        <v>73.417164029357977</v>
      </c>
    </row>
    <row r="177" spans="1:6" x14ac:dyDescent="0.25">
      <c r="A177" s="159" t="s">
        <v>372</v>
      </c>
      <c r="B177" s="161">
        <f>ABS(_hw*_tw*(-_tfs-_hw/2-B166)+_bfi*_tfi*(-_h+_tfi/2-B166))</f>
        <v>126176.34949999998</v>
      </c>
      <c r="C177" s="161">
        <f>ABS(_hw*_tw*(-_tfs-_hw/2-C166)+_bfi*_tfi*(-_h+_tfi/2-C166))</f>
        <v>645179.28789348458</v>
      </c>
      <c r="D177" s="161">
        <f>ABS(_hw*_tw*(-_tfs-_hw/2-D166)+_bfi*_tfi*(-_h+_tfi/2-D166))</f>
        <v>881640.03304708935</v>
      </c>
      <c r="E177" s="161">
        <f>ABS(_hw*_tw*(-_tfs-_hw/2-E166)+_bfi*_tfi*(-_h+_tfi/2-E166))</f>
        <v>645481.69507933129</v>
      </c>
      <c r="F177" s="74"/>
    </row>
    <row r="178" spans="1:6" x14ac:dyDescent="0.25">
      <c r="A178" s="160" t="s">
        <v>371</v>
      </c>
      <c r="B178" s="158">
        <f>B168*B177/(B165*10^4)*1000</f>
        <v>66.273397384977841</v>
      </c>
      <c r="C178" s="158">
        <f t="shared" ref="C178:E178" si="24">C168*C177/(C165*10^4)*1000</f>
        <v>59.932782454859115</v>
      </c>
      <c r="D178" s="158">
        <f t="shared" si="24"/>
        <v>1.4580220241641513</v>
      </c>
      <c r="E178" s="158">
        <f t="shared" si="24"/>
        <v>0</v>
      </c>
      <c r="F178" s="20">
        <f>1.35*B178+1.35*C178+1.5*D178+1.35*E178</f>
        <v>172.56537582002613</v>
      </c>
    </row>
    <row r="179" spans="1:6" x14ac:dyDescent="0.25">
      <c r="A179" s="159" t="s">
        <v>377</v>
      </c>
      <c r="B179" s="161">
        <f>ABS(_bfi*_tfi*(-_h+_tfi/2-B166))</f>
        <v>187223.24999999997</v>
      </c>
      <c r="C179" s="161">
        <f>ABS(_bfi*_tfi*(-_h+_tfi/2-C166))</f>
        <v>417560.82493482315</v>
      </c>
      <c r="D179" s="161">
        <f>ABS(_bfi*_tfi*(-_h+_tfi/2-D166))</f>
        <v>522503.9583485864</v>
      </c>
      <c r="E179" s="161">
        <f>ABS(_bfi*_tfi*(-_h+_tfi/2-E166))</f>
        <v>417695.03561587719</v>
      </c>
      <c r="F179" s="74"/>
    </row>
    <row r="180" spans="1:6" x14ac:dyDescent="0.25">
      <c r="A180" s="160" t="s">
        <v>371</v>
      </c>
      <c r="B180" s="158">
        <f>B168*B179/(B165*10^4)*1000</f>
        <v>98.33792859062747</v>
      </c>
      <c r="C180" s="158">
        <f t="shared" ref="C180:E180" si="25">C168*C179/(C165*10^4)*1000</f>
        <v>38.788570172794898</v>
      </c>
      <c r="D180" s="158">
        <f t="shared" si="25"/>
        <v>0.86409674065299358</v>
      </c>
      <c r="E180" s="158">
        <f t="shared" si="25"/>
        <v>0</v>
      </c>
      <c r="F180" s="20">
        <f>1.35*B180+1.35*C180+1.5*D180+1.35*E180</f>
        <v>186.41691844159968</v>
      </c>
    </row>
    <row r="181" spans="1:6" x14ac:dyDescent="0.25">
      <c r="A181" s="7"/>
      <c r="B181" s="113"/>
    </row>
    <row r="182" spans="1:6" x14ac:dyDescent="0.25">
      <c r="A182" t="s">
        <v>245</v>
      </c>
      <c r="B182" s="23">
        <f>_Av*100*_fy/(1000*SQRT(3))</f>
        <v>487.74585382155738</v>
      </c>
    </row>
    <row r="183" spans="1:6" x14ac:dyDescent="0.25">
      <c r="A183" s="115" t="s">
        <v>123</v>
      </c>
      <c r="B183" s="23">
        <v>464.72471483007769</v>
      </c>
      <c r="C183">
        <f>B183*B184</f>
        <v>464.72471483007769</v>
      </c>
    </row>
    <row r="184" spans="1:6" x14ac:dyDescent="0.25">
      <c r="A184" s="115" t="s">
        <v>359</v>
      </c>
      <c r="B184" s="25">
        <v>1</v>
      </c>
    </row>
    <row r="185" spans="1:6" x14ac:dyDescent="0.25">
      <c r="A185" s="115" t="s">
        <v>363</v>
      </c>
      <c r="B185" s="3">
        <f>_PRd/(_sx/1000)</f>
        <v>341.22561783575122</v>
      </c>
    </row>
    <row r="186" spans="1:6" x14ac:dyDescent="0.25">
      <c r="A186" s="115" t="s">
        <v>373</v>
      </c>
      <c r="B186" s="3">
        <v>1</v>
      </c>
    </row>
    <row r="187" spans="1:6" x14ac:dyDescent="0.25">
      <c r="A187" s="115" t="s">
        <v>374</v>
      </c>
      <c r="B187" s="3">
        <v>520</v>
      </c>
    </row>
    <row r="188" spans="1:6" x14ac:dyDescent="0.25">
      <c r="B188" s="23"/>
    </row>
    <row r="189" spans="1:6" x14ac:dyDescent="0.25">
      <c r="A189" s="28" t="s">
        <v>141</v>
      </c>
      <c r="B189" s="69">
        <f>MAX(F172:F174)</f>
        <v>0.90844871009293149</v>
      </c>
    </row>
    <row r="190" spans="1:6" x14ac:dyDescent="0.25">
      <c r="A190" s="15" t="s">
        <v>142</v>
      </c>
      <c r="B190" s="17">
        <f>B154/B182</f>
        <v>0.14297324672017361</v>
      </c>
    </row>
    <row r="191" spans="1:6" x14ac:dyDescent="0.25">
      <c r="A191" s="15" t="s">
        <v>358</v>
      </c>
      <c r="B191" s="17">
        <f>B155/(B184*B183)</f>
        <v>0.52140015676004936</v>
      </c>
      <c r="C191" t="s">
        <v>360</v>
      </c>
    </row>
    <row r="192" spans="1:6" x14ac:dyDescent="0.25">
      <c r="A192" s="15" t="s">
        <v>369</v>
      </c>
      <c r="B192" s="17">
        <f>F176/B185</f>
        <v>0.21515724550522256</v>
      </c>
    </row>
    <row r="193" spans="1:2" x14ac:dyDescent="0.25">
      <c r="A193" s="15" t="s">
        <v>375</v>
      </c>
      <c r="B193" s="17">
        <f>SQRT(3)/2*F178*B186*1.25/B187</f>
        <v>0.35924519056190274</v>
      </c>
    </row>
    <row r="194" spans="1:2" x14ac:dyDescent="0.25">
      <c r="A194" s="16" t="s">
        <v>376</v>
      </c>
      <c r="B194" s="18">
        <f>SQRT(3)/2*F180*B186*1.25/B187</f>
        <v>0.38808121890778152</v>
      </c>
    </row>
    <row r="195" spans="1:2" ht="15.75" thickBot="1" x14ac:dyDescent="0.3"/>
    <row r="196" spans="1:2" ht="15.75" thickBot="1" x14ac:dyDescent="0.3">
      <c r="A196" s="149" t="s">
        <v>207</v>
      </c>
      <c r="B196" s="150"/>
    </row>
    <row r="197" spans="1:2" x14ac:dyDescent="0.25">
      <c r="A197" t="s">
        <v>209</v>
      </c>
      <c r="B197" s="3">
        <f>_nr*_PRd/(_sx/1000)</f>
        <v>341.22561783575122</v>
      </c>
    </row>
    <row r="198" spans="1:2" x14ac:dyDescent="0.25">
      <c r="A198" t="s">
        <v>208</v>
      </c>
      <c r="B198" s="3">
        <f>B197/(_td-_tj)</f>
        <v>3.1020510712341021</v>
      </c>
    </row>
    <row r="199" spans="1:2" x14ac:dyDescent="0.25">
      <c r="A199" t="s">
        <v>210</v>
      </c>
      <c r="B199" s="33">
        <v>27</v>
      </c>
    </row>
    <row r="200" spans="1:2" x14ac:dyDescent="0.25">
      <c r="A200" t="s">
        <v>212</v>
      </c>
      <c r="B200" s="3">
        <f>0.6*(1-_fck_dalle/250)</f>
        <v>0.55200000000000005</v>
      </c>
    </row>
    <row r="201" spans="1:2" x14ac:dyDescent="0.25">
      <c r="A201" t="s">
        <v>211</v>
      </c>
      <c r="B201" s="3">
        <f>B200*_fck_dalle/1.5*SIN(RADIANS(B199))*COS(RADIANS(B199))</f>
        <v>2.9771825392998066</v>
      </c>
    </row>
    <row r="202" spans="1:2" x14ac:dyDescent="0.25">
      <c r="A202" t="s">
        <v>213</v>
      </c>
      <c r="B202" s="3">
        <f>B198/B201</f>
        <v>1.0419418461199437</v>
      </c>
    </row>
    <row r="203" spans="1:2" x14ac:dyDescent="0.25">
      <c r="A203" t="s">
        <v>214</v>
      </c>
      <c r="B203" s="3">
        <f>B198*(_td-_tj)*TAN(RADIANS(B199))/(500/1.15)*10</f>
        <v>3.9988521350558321</v>
      </c>
    </row>
  </sheetData>
  <mergeCells count="18">
    <mergeCell ref="A196:B196"/>
    <mergeCell ref="A159:B159"/>
    <mergeCell ref="A1:B1"/>
    <mergeCell ref="D1:E1"/>
    <mergeCell ref="G1:H1"/>
    <mergeCell ref="A13:B13"/>
    <mergeCell ref="A33:B33"/>
    <mergeCell ref="D35:E35"/>
    <mergeCell ref="A63:B63"/>
    <mergeCell ref="G14:H14"/>
    <mergeCell ref="A79:B79"/>
    <mergeCell ref="A96:B96"/>
    <mergeCell ref="A116:B116"/>
    <mergeCell ref="J40:K40"/>
    <mergeCell ref="J45:K45"/>
    <mergeCell ref="J49:K49"/>
    <mergeCell ref="J52:K52"/>
    <mergeCell ref="A136:B1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221</vt:i4>
      </vt:variant>
    </vt:vector>
  </HeadingPairs>
  <TitlesOfParts>
    <vt:vector size="226" baseType="lpstr">
      <vt:lpstr>Cas 2</vt:lpstr>
      <vt:lpstr>Cas 3</vt:lpstr>
      <vt:lpstr>Cas 4</vt:lpstr>
      <vt:lpstr>Cas 5</vt:lpstr>
      <vt:lpstr>Cas 6</vt:lpstr>
      <vt:lpstr>'Cas 2'!_A</vt:lpstr>
      <vt:lpstr>'Cas 3'!_A</vt:lpstr>
      <vt:lpstr>'Cas 5'!_A</vt:lpstr>
      <vt:lpstr>'Cas 6'!_A</vt:lpstr>
      <vt:lpstr>'Cas 2'!_A0</vt:lpstr>
      <vt:lpstr>'Cas 5'!_Ac</vt:lpstr>
      <vt:lpstr>'Cas 6'!_Ac_brute</vt:lpstr>
      <vt:lpstr>'Cas 2'!_Ace</vt:lpstr>
      <vt:lpstr>'Cas 3'!_Ace</vt:lpstr>
      <vt:lpstr>'Cas 6'!_Ace</vt:lpstr>
      <vt:lpstr>'Cas 2'!_Acr</vt:lpstr>
      <vt:lpstr>'Cas 2'!_As_inf</vt:lpstr>
      <vt:lpstr>'Cas 3'!_As_inf</vt:lpstr>
      <vt:lpstr>'Cas 6'!_As_inf</vt:lpstr>
      <vt:lpstr>'Cas 2'!_Av</vt:lpstr>
      <vt:lpstr>'Cas 3'!_Av</vt:lpstr>
      <vt:lpstr>'Cas 5'!_Av</vt:lpstr>
      <vt:lpstr>'Cas 6'!_Av</vt:lpstr>
      <vt:lpstr>'Cas 2'!_b</vt:lpstr>
      <vt:lpstr>'Cas 3'!_b</vt:lpstr>
      <vt:lpstr>'Cas 5'!_b</vt:lpstr>
      <vt:lpstr>'Cas 5'!_b_Droite</vt:lpstr>
      <vt:lpstr>'Cas 6'!_b_Droite</vt:lpstr>
      <vt:lpstr>'Cas 5'!_b_Gauche</vt:lpstr>
      <vt:lpstr>'Cas 6'!_b_Gauche</vt:lpstr>
      <vt:lpstr>'Cas 2'!_B0</vt:lpstr>
      <vt:lpstr>'Cas 2'!_bb</vt:lpstr>
      <vt:lpstr>'Cas 2'!_bc</vt:lpstr>
      <vt:lpstr>'Cas 3'!_bc</vt:lpstr>
      <vt:lpstr>'Cas 6'!_bc</vt:lpstr>
      <vt:lpstr>'Cas 3'!_bdroite</vt:lpstr>
      <vt:lpstr>'Cas 3'!_be1</vt:lpstr>
      <vt:lpstr>'Cas 6'!_be1</vt:lpstr>
      <vt:lpstr>'Cas 3'!_be2</vt:lpstr>
      <vt:lpstr>'Cas 6'!_be2</vt:lpstr>
      <vt:lpstr>'Cas 6'!_beff</vt:lpstr>
      <vt:lpstr>'Cas 3'!_beff_appui</vt:lpstr>
      <vt:lpstr>'Cas 6'!_beff_appuis</vt:lpstr>
      <vt:lpstr>'Cas 3'!_beff_mi_travee</vt:lpstr>
      <vt:lpstr>'Cas 6'!_beff_mi_travee</vt:lpstr>
      <vt:lpstr>'Cas 3'!_beta1</vt:lpstr>
      <vt:lpstr>'Cas 6'!_beta1</vt:lpstr>
      <vt:lpstr>'Cas 3'!_beta2</vt:lpstr>
      <vt:lpstr>'Cas 6'!_beta2</vt:lpstr>
      <vt:lpstr>'Cas 6'!_bfi</vt:lpstr>
      <vt:lpstr>'Cas 6'!_bfs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6'!_cf_inf</vt:lpstr>
      <vt:lpstr>'Cas 6'!_cf_sup</vt:lpstr>
      <vt:lpstr>'Cas 2'!_cw</vt:lpstr>
      <vt:lpstr>'Cas 3'!_cw</vt:lpstr>
      <vt:lpstr>'Cas 5'!_cw</vt:lpstr>
      <vt:lpstr>'Cas 6'!_cw</vt:lpstr>
      <vt:lpstr>'Cas 2'!_d</vt:lpstr>
      <vt:lpstr>'Cas 3'!_dsc</vt:lpstr>
      <vt:lpstr>'Cas 6'!_dsc</vt:lpstr>
      <vt:lpstr>'Cas 2'!_dw</vt:lpstr>
      <vt:lpstr>'Cas 3'!_dw</vt:lpstr>
      <vt:lpstr>'Cas 2'!_Ecm_dalle</vt:lpstr>
      <vt:lpstr>'Cas 3'!_Ecm_dalle</vt:lpstr>
      <vt:lpstr>'Cas 6'!_Ecm_dalle</vt:lpstr>
      <vt:lpstr>'Cas 2'!_ep</vt:lpstr>
      <vt:lpstr>'Cas 3'!_ep</vt:lpstr>
      <vt:lpstr>'Cas 2'!_epsilon</vt:lpstr>
      <vt:lpstr>'Cas 3'!_epsilon</vt:lpstr>
      <vt:lpstr>'Cas 5'!_epsilon</vt:lpstr>
      <vt:lpstr>'Cas 6'!_epsilon</vt:lpstr>
      <vt:lpstr>'Cas 3'!_eta</vt:lpstr>
      <vt:lpstr>'Cas 2'!_fck_dalle</vt:lpstr>
      <vt:lpstr>'Cas 3'!_fck_dalle</vt:lpstr>
      <vt:lpstr>'Cas 6'!_fck_dalle</vt:lpstr>
      <vt:lpstr>'Cas 2'!_fck_enrobage</vt:lpstr>
      <vt:lpstr>'Cas 3'!_fck_enrobage</vt:lpstr>
      <vt:lpstr>'Cas 2'!_fcm_dalle</vt:lpstr>
      <vt:lpstr>'Cas 6'!_fcm_dalle</vt:lpstr>
      <vt:lpstr>'Cas 2'!_fcm_enrobage</vt:lpstr>
      <vt:lpstr>'Cas 3'!_fcm_enrobage</vt:lpstr>
      <vt:lpstr>'Cas 2'!_fctm_dalle</vt:lpstr>
      <vt:lpstr>'Cas 6'!_fctm_dalle</vt:lpstr>
      <vt:lpstr>'Cas 2'!_fctm_enrobage</vt:lpstr>
      <vt:lpstr>'Cas 2'!_fusc</vt:lpstr>
      <vt:lpstr>'Cas 3'!_fusc</vt:lpstr>
      <vt:lpstr>'Cas 6'!_fusc</vt:lpstr>
      <vt:lpstr>'Cas 2'!_fy</vt:lpstr>
      <vt:lpstr>'Cas 3'!_fy</vt:lpstr>
      <vt:lpstr>'Cas 5'!_fy</vt:lpstr>
      <vt:lpstr>'Cas 6'!_fy</vt:lpstr>
      <vt:lpstr>'Cas 2'!_fyd</vt:lpstr>
      <vt:lpstr>'Cas 3'!_fyd</vt:lpstr>
      <vt:lpstr>'Cas 2'!_fyp</vt:lpstr>
      <vt:lpstr>'Cas 2'!_h</vt:lpstr>
      <vt:lpstr>'Cas 3'!_h</vt:lpstr>
      <vt:lpstr>'Cas 5'!_h</vt:lpstr>
      <vt:lpstr>'Cas 6'!_h</vt:lpstr>
      <vt:lpstr>'Cas 6'!_h0_dalle</vt:lpstr>
      <vt:lpstr>'Cas 2'!_hp</vt:lpstr>
      <vt:lpstr>'Cas 3'!_hp</vt:lpstr>
      <vt:lpstr>'Cas 2'!_hpg</vt:lpstr>
      <vt:lpstr>'Cas 2'!_hsc</vt:lpstr>
      <vt:lpstr>'Cas 3'!_hsc</vt:lpstr>
      <vt:lpstr>'Cas 6'!_hsc</vt:lpstr>
      <vt:lpstr>'Cas 2'!_hw</vt:lpstr>
      <vt:lpstr>'Cas 3'!_hw</vt:lpstr>
      <vt:lpstr>'Cas 5'!_hw</vt:lpstr>
      <vt:lpstr>'Cas 6'!_hw</vt:lpstr>
      <vt:lpstr>'Cas 2'!_Iy</vt:lpstr>
      <vt:lpstr>'Cas 3'!_Iy</vt:lpstr>
      <vt:lpstr>'Cas 5'!_Iy</vt:lpstr>
      <vt:lpstr>'Cas 6'!_Iy</vt:lpstr>
      <vt:lpstr>'Cas 2'!_Iz</vt:lpstr>
      <vt:lpstr>'Cas 5'!_Iz</vt:lpstr>
      <vt:lpstr>'Cas 6'!_Iz</vt:lpstr>
      <vt:lpstr>'Cas 2'!_kr</vt:lpstr>
      <vt:lpstr>'Cas 3'!_kt</vt:lpstr>
      <vt:lpstr>'Cas 3'!_kt_max</vt:lpstr>
      <vt:lpstr>'Cas 2'!_L</vt:lpstr>
      <vt:lpstr>'Cas 3'!_L</vt:lpstr>
      <vt:lpstr>'Cas 5'!_L</vt:lpstr>
      <vt:lpstr>'Cas 6'!_L</vt:lpstr>
      <vt:lpstr>'Cas 5'!_L_ConsoleD</vt:lpstr>
      <vt:lpstr>'Cas 5'!_L_ConsoleG</vt:lpstr>
      <vt:lpstr>'Cas 5'!_L_tot</vt:lpstr>
      <vt:lpstr>'Cas 5'!_L_Travee</vt:lpstr>
      <vt:lpstr>'Cas 6'!_L_Travee</vt:lpstr>
      <vt:lpstr>'Cas 2'!_Mel_y_Rd</vt:lpstr>
      <vt:lpstr>'Cas 2'!_Mel_z_Rd</vt:lpstr>
      <vt:lpstr>'Cas 5'!_Mpl_Rd</vt:lpstr>
      <vt:lpstr>'Cas 2'!_Mpl_y_Rd</vt:lpstr>
      <vt:lpstr>'Cas 2'!_Mpl_z_Rd</vt:lpstr>
      <vt:lpstr>'Cas 2'!_n</vt:lpstr>
      <vt:lpstr>'Cas 3'!_n_dalle</vt:lpstr>
      <vt:lpstr>'Cas 6'!_n_dalle</vt:lpstr>
      <vt:lpstr>'Cas 3'!_Na</vt:lpstr>
      <vt:lpstr>'Cas 6'!_Na</vt:lpstr>
      <vt:lpstr>'Cas 3'!_Ncp</vt:lpstr>
      <vt:lpstr>'Cas 3'!_Nf</vt:lpstr>
      <vt:lpstr>'Cas 3'!_nr</vt:lpstr>
      <vt:lpstr>'Cas 6'!_nr</vt:lpstr>
      <vt:lpstr>'Cas 3'!_Ns_inf</vt:lpstr>
      <vt:lpstr>'Cas 2'!_NtRd</vt:lpstr>
      <vt:lpstr>'Cas 3'!_Nw</vt:lpstr>
      <vt:lpstr>'Cas 6'!_PRd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6'!_r</vt:lpstr>
      <vt:lpstr>'Cas 2'!_rho</vt:lpstr>
      <vt:lpstr>'Cas 3'!_rho</vt:lpstr>
      <vt:lpstr>'Cas 5'!_rhoA</vt:lpstr>
      <vt:lpstr>'Cas 6'!_rhoA</vt:lpstr>
      <vt:lpstr>'Cas 5'!_rhoC</vt:lpstr>
      <vt:lpstr>'Cas 6'!_rhoC</vt:lpstr>
      <vt:lpstr>'Cas 6'!_sx</vt:lpstr>
      <vt:lpstr>'Cas 2'!_tc</vt:lpstr>
      <vt:lpstr>'Cas 3'!_tc</vt:lpstr>
      <vt:lpstr>'Cas 2'!_td</vt:lpstr>
      <vt:lpstr>'Cas 3'!_td</vt:lpstr>
      <vt:lpstr>'Cas 5'!_td</vt:lpstr>
      <vt:lpstr>'Cas 6'!_td</vt:lpstr>
      <vt:lpstr>'Cas 2'!_tf</vt:lpstr>
      <vt:lpstr>'Cas 3'!_tf</vt:lpstr>
      <vt:lpstr>'Cas 5'!_tf</vt:lpstr>
      <vt:lpstr>'Cas 6'!_tf</vt:lpstr>
      <vt:lpstr>'Cas 6'!_tfi</vt:lpstr>
      <vt:lpstr>'Cas 6'!_tfs</vt:lpstr>
      <vt:lpstr>'Cas 5'!_th</vt:lpstr>
      <vt:lpstr>'Cas 5'!_theta</vt:lpstr>
      <vt:lpstr>'Cas 6'!_tj</vt:lpstr>
      <vt:lpstr>'Cas 2'!_tp</vt:lpstr>
      <vt:lpstr>'Cas 2'!_tw</vt:lpstr>
      <vt:lpstr>'Cas 3'!_tw</vt:lpstr>
      <vt:lpstr>'Cas 5'!_tw</vt:lpstr>
      <vt:lpstr>'Cas 6'!_tw</vt:lpstr>
      <vt:lpstr>'Cas 2'!_VplRd</vt:lpstr>
      <vt:lpstr>'Cas 3'!_VplRd</vt:lpstr>
      <vt:lpstr>'Cas 5'!_VplRd</vt:lpstr>
      <vt:lpstr>'Cas 2'!_Wel_y</vt:lpstr>
      <vt:lpstr>'Cas 3'!_Wel_y</vt:lpstr>
      <vt:lpstr>'Cas 5'!_Wel_y</vt:lpstr>
      <vt:lpstr>'Cas 6'!_Wel_y</vt:lpstr>
      <vt:lpstr>'Cas 2'!_Wel_z</vt:lpstr>
      <vt:lpstr>'Cas 3'!_Wel_z</vt:lpstr>
      <vt:lpstr>'Cas 5'!_Wel_z</vt:lpstr>
      <vt:lpstr>'Cas 6'!_Wel_z</vt:lpstr>
      <vt:lpstr>'Cas 2'!_Wpl_y</vt:lpstr>
      <vt:lpstr>'Cas 3'!_Wpl_y</vt:lpstr>
      <vt:lpstr>'Cas 5'!_Wpl_y</vt:lpstr>
      <vt:lpstr>'Cas 6'!_Wpl_y</vt:lpstr>
      <vt:lpstr>'Cas 2'!_Wpl_z</vt:lpstr>
      <vt:lpstr>'Cas 3'!_Wpl_z</vt:lpstr>
      <vt:lpstr>'Cas 5'!_Wpl_z</vt:lpstr>
      <vt:lpstr>'Cas 6'!_Wpl_z</vt:lpstr>
      <vt:lpstr>'Cas 2'!_za</vt:lpstr>
      <vt:lpstr>'Cas 3'!_za</vt:lpstr>
      <vt:lpstr>'Cas 2'!_zcr</vt:lpstr>
      <vt:lpstr>'Cas 2'!_zel</vt:lpstr>
      <vt:lpstr>'Cas 3'!_zel</vt:lpstr>
      <vt:lpstr>'Cas 6'!_zel</vt:lpstr>
      <vt:lpstr>'Cas 2'!_zpl</vt:lpstr>
      <vt:lpstr>'Cas 3'!_zpl_a</vt:lpstr>
      <vt:lpstr>'Cas 3'!_zpl_c</vt:lpstr>
      <vt:lpstr>'Cas 3'!_zs</vt:lpstr>
      <vt:lpstr>'Cas 6'!_zs</vt:lpstr>
      <vt:lpstr>'Cas 2'!_zs_inf</vt:lpstr>
      <vt:lpstr>'Cas 3'!_zs_inf</vt:lpstr>
      <vt:lpstr>'Cas 6'!_zs_inf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2024-07-12T13:26:53Z</dcterms:modified>
</cp:coreProperties>
</file>