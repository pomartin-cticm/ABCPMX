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4"/>
  </bookViews>
  <sheets>
    <sheet name="Cas 2" sheetId="1" r:id="rId1"/>
    <sheet name="Cas 3" sheetId="2" r:id="rId2"/>
    <sheet name="Cas 4" sheetId="4" r:id="rId3"/>
    <sheet name="Cas 5" sheetId="3" r:id="rId4"/>
    <sheet name="Cas 6" sheetId="6" r:id="rId5"/>
  </sheets>
  <definedNames>
    <definedName name="_A" localSheetId="0">'Cas 2'!$B$32</definedName>
    <definedName name="_A" localSheetId="1">'Cas 3'!$B$33</definedName>
    <definedName name="_A" localSheetId="3">'Cas 5'!$B$11</definedName>
    <definedName name="_A" localSheetId="4">'Cas 6'!$B$15</definedName>
    <definedName name="_A0" localSheetId="0">'Cas 2'!$B$75</definedName>
    <definedName name="_A0" localSheetId="1">'Cas 3'!#REF!</definedName>
    <definedName name="_Ac" localSheetId="3">'Cas 5'!$H$5</definedName>
    <definedName name="_Ac_brute" localSheetId="4">'Cas 6'!$H$5</definedName>
    <definedName name="_Ace" localSheetId="0">'Cas 2'!$E$4</definedName>
    <definedName name="_Ace" localSheetId="1">'Cas 3'!$E$4</definedName>
    <definedName name="_Ace" localSheetId="4">'Cas 6'!$E$4</definedName>
    <definedName name="_Acr" localSheetId="0">'Cas 2'!$B$71</definedName>
    <definedName name="_Acr" localSheetId="1">'Cas 3'!#REF!</definedName>
    <definedName name="_Ah" localSheetId="4">'Cas 6'!#REF!</definedName>
    <definedName name="_As_inf" localSheetId="0">'Cas 2'!$E$10</definedName>
    <definedName name="_As_inf" localSheetId="1">'Cas 3'!$E$10</definedName>
    <definedName name="_As_inf" localSheetId="4">'Cas 6'!$E$10</definedName>
    <definedName name="_Av" localSheetId="0">'Cas 2'!$B$33</definedName>
    <definedName name="_Av" localSheetId="1">'Cas 3'!$B$34</definedName>
    <definedName name="_Av" localSheetId="3">'Cas 5'!$B$12</definedName>
    <definedName name="_Av" localSheetId="4">'Cas 6'!$B$16</definedName>
    <definedName name="_b" localSheetId="0">'Cas 2'!$B$4</definedName>
    <definedName name="_b" localSheetId="1">'Cas 3'!$B$15</definedName>
    <definedName name="_b" localSheetId="3">'Cas 5'!$E$3</definedName>
    <definedName name="_b_Droite" localSheetId="3">'Cas 5'!$B$7</definedName>
    <definedName name="_b_Droite" localSheetId="4">'Cas 6'!$B$4</definedName>
    <definedName name="_b_Gauche" localSheetId="3">'Cas 5'!$B$6</definedName>
    <definedName name="_b_Gauche" localSheetId="4">'Cas 6'!$B$3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c" localSheetId="4">'Cas 6'!$E$3</definedName>
    <definedName name="_bdroite" localSheetId="1">'Cas 3'!$B$4</definedName>
    <definedName name="_be1" localSheetId="1">'Cas 3'!$B$6</definedName>
    <definedName name="_be1" localSheetId="4">'Cas 6'!$B$3</definedName>
    <definedName name="_be2" localSheetId="1">'Cas 3'!$B$7</definedName>
    <definedName name="_be2" localSheetId="4">'Cas 6'!$B$4</definedName>
    <definedName name="_beff" localSheetId="4">'Cas 6'!$B$81</definedName>
    <definedName name="_beff_appui" localSheetId="1">'Cas 3'!$B$11</definedName>
    <definedName name="_beff_mi_travee" localSheetId="1">'Cas 3'!$B$10</definedName>
    <definedName name="_beff_mi_travee" localSheetId="4">'Cas 6'!$B$10</definedName>
    <definedName name="_beta1" localSheetId="1">'Cas 3'!$B$8</definedName>
    <definedName name="_beta1" localSheetId="4">'Cas 6'!$B$8</definedName>
    <definedName name="_beta2" localSheetId="1">'Cas 3'!$B$9</definedName>
    <definedName name="_beta2" localSheetId="4">'Cas 6'!$B$9</definedName>
    <definedName name="_bfi" localSheetId="4">'Cas 6'!$E$5</definedName>
    <definedName name="_bfs" localSheetId="4">'Cas 6'!$E$3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3">'Cas 5'!$E$12</definedName>
    <definedName name="_cf_inf" localSheetId="4">'Cas 6'!$E$14</definedName>
    <definedName name="_cf_sup" localSheetId="4">'Cas 6'!$E$12</definedName>
    <definedName name="_cw" localSheetId="0">'Cas 2'!$B$12</definedName>
    <definedName name="_cw" localSheetId="1">'Cas 3'!$B$23</definedName>
    <definedName name="_cw" localSheetId="3">'Cas 5'!$E$13</definedName>
    <definedName name="_cw" localSheetId="4">'Cas 6'!$E$13</definedName>
    <definedName name="_d" localSheetId="0">'Cas 2'!$H$13</definedName>
    <definedName name="_dsc" localSheetId="1">'Cas 3'!$H$14</definedName>
    <definedName name="_dsc" localSheetId="4">'Cas 6'!$H$16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cm_dalle" localSheetId="4">'Cas 6'!$H$10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3">'Cas 5'!$E$16</definedName>
    <definedName name="_epsilon" localSheetId="4">'Cas 6'!$E$17</definedName>
    <definedName name="_eta" localSheetId="1">'Cas 3'!$H$28</definedName>
    <definedName name="_fck_dalle" localSheetId="0">'Cas 2'!$H$5</definedName>
    <definedName name="_fck_dalle" localSheetId="1">'Cas 3'!$H$5</definedName>
    <definedName name="_fck_dalle" localSheetId="4">'Cas 6'!$H$7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dalle" localSheetId="4">'Cas 6'!$H$8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dalle" localSheetId="4">'Cas 6'!$H$9</definedName>
    <definedName name="_fctm_enrobage" localSheetId="0">'Cas 2'!$E$8</definedName>
    <definedName name="_fusc" localSheetId="0">'Cas 2'!$H$14</definedName>
    <definedName name="_fusc" localSheetId="1">'Cas 3'!$H$15</definedName>
    <definedName name="_fusc" localSheetId="4">'Cas 6'!$H$17</definedName>
    <definedName name="_fy" localSheetId="0">'Cas 2'!$B$14</definedName>
    <definedName name="_fy" localSheetId="1">'Cas 3'!$B$25</definedName>
    <definedName name="_fy" localSheetId="3">'Cas 5'!$E$15</definedName>
    <definedName name="_fy" localSheetId="4">'Cas 6'!$E$16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3">'Cas 5'!$E$2</definedName>
    <definedName name="_h" localSheetId="4">'Cas 6'!$E$2</definedName>
    <definedName name="_h0_dalle" localSheetId="4">'Cas 6'!$H$2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sc" localSheetId="4">'Cas 6'!$H$15</definedName>
    <definedName name="_hw" localSheetId="0">'Cas 2'!$B$8</definedName>
    <definedName name="_hw" localSheetId="1">'Cas 3'!$B$19</definedName>
    <definedName name="_hw" localSheetId="3">'Cas 5'!$E$9</definedName>
    <definedName name="_hw" localSheetId="4">'Cas 6'!$E$8</definedName>
    <definedName name="_Iy" localSheetId="0">'Cas 2'!$B$34</definedName>
    <definedName name="_Iy" localSheetId="1">'Cas 3'!$B$35</definedName>
    <definedName name="_Iy" localSheetId="3">'Cas 5'!$B$13</definedName>
    <definedName name="_Iy" localSheetId="4">'Cas 6'!$B$17</definedName>
    <definedName name="_Iz" localSheetId="0">'Cas 2'!$B$35</definedName>
    <definedName name="_Iz" localSheetId="3">'Cas 5'!$B$14</definedName>
    <definedName name="_Iz" localSheetId="4">'Cas 6'!$B$18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" localSheetId="3">'Cas 5'!$B$2</definedName>
    <definedName name="_L" localSheetId="4">'Cas 6'!$B$2</definedName>
    <definedName name="_L_ConsoleD" localSheetId="3">'Cas 5'!$B$4</definedName>
    <definedName name="_L_ConsoleG" localSheetId="3">'Cas 5'!$B$2</definedName>
    <definedName name="_L_tot" localSheetId="3">'Cas 5'!$B$5</definedName>
    <definedName name="_L_Travee" localSheetId="3">'Cas 5'!$B$3</definedName>
    <definedName name="_L_Travee" localSheetId="4">'Cas 6'!$B$2</definedName>
    <definedName name="_Mel_y_Rd" localSheetId="0">'Cas 2'!$B$53</definedName>
    <definedName name="_Mel_z_Rd" localSheetId="0">'Cas 2'!$B$54</definedName>
    <definedName name="_Mpl_Rd" localSheetId="3">'Cas 5'!$B$70</definedName>
    <definedName name="_Mpl_Rd" localSheetId="4">'Cas 6'!$B$134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dalle" localSheetId="4">'Cas 6'!$B$80</definedName>
    <definedName name="_n_enrobage" localSheetId="1">'Cas 3'!#REF!</definedName>
    <definedName name="_Na" localSheetId="1">'Cas 3'!$H$23</definedName>
    <definedName name="_Na" localSheetId="4">'Cas 6'!$H$24</definedName>
    <definedName name="_Ncp" localSheetId="1">'Cas 3'!$B$104</definedName>
    <definedName name="_Nf" localSheetId="1">'Cas 3'!$B$102</definedName>
    <definedName name="_nr" localSheetId="1">'Cas 3'!$H$16</definedName>
    <definedName name="_nr" localSheetId="4">'Cas 6'!$H$18</definedName>
    <definedName name="_Ns_inf" localSheetId="1">'Cas 3'!$H$24</definedName>
    <definedName name="_NtRd" localSheetId="0">'Cas 2'!$B$51</definedName>
    <definedName name="_Nw" localSheetId="1">'Cas 3'!$B$103</definedName>
    <definedName name="_PRd" localSheetId="4">'Cas 6'!$H$23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3">'Cas 5'!$E$8</definedName>
    <definedName name="_r" localSheetId="4">'Cas 6'!$E$10</definedName>
    <definedName name="_rho" localSheetId="0">'Cas 2'!$B$17</definedName>
    <definedName name="_rho" localSheetId="1">'Cas 3'!$B$28</definedName>
    <definedName name="_rhoA" localSheetId="3">'Cas 5'!$E$18</definedName>
    <definedName name="_rhoA" localSheetId="4">'Cas 6'!$E$19</definedName>
    <definedName name="_rhoC" localSheetId="3">'Cas 5'!$H$6</definedName>
    <definedName name="_rhoC" localSheetId="4">'Cas 6'!$H$6</definedName>
    <definedName name="_sx" localSheetId="4">'Cas 6'!$H$19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3">'Cas 5'!$H$2</definedName>
    <definedName name="_td" localSheetId="4">'Cas 6'!$H$3</definedName>
    <definedName name="_tf" localSheetId="0">'Cas 2'!$B$5</definedName>
    <definedName name="_tf" localSheetId="1">'Cas 3'!$B$16</definedName>
    <definedName name="_tf" localSheetId="3">'Cas 5'!$E$4</definedName>
    <definedName name="_tf" localSheetId="4">'Cas 6'!$B$16</definedName>
    <definedName name="_tfi" localSheetId="4">'Cas 6'!$E$6</definedName>
    <definedName name="_tfs" localSheetId="4">'Cas 6'!$E$4</definedName>
    <definedName name="_th" localSheetId="3">'Cas 5'!$H$3</definedName>
    <definedName name="_theta" localSheetId="3">'Cas 5'!$H$4</definedName>
    <definedName name="_tj" localSheetId="4">'Cas 6'!$H$4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3">'Cas 5'!$E$5</definedName>
    <definedName name="_tw" localSheetId="4">'Cas 6'!$E$7</definedName>
    <definedName name="_VplRd" localSheetId="0">'Cas 2'!$B$52</definedName>
    <definedName name="_VplRd" localSheetId="1">'Cas 3'!$B$53</definedName>
    <definedName name="_VplRd" localSheetId="3">'Cas 5'!$B$53</definedName>
    <definedName name="_VplRd" localSheetId="4">'Cas 6'!#REF!</definedName>
    <definedName name="_Wel_y" localSheetId="0">'Cas 2'!$B$36</definedName>
    <definedName name="_Wel_y" localSheetId="1">'Cas 3'!$B$37</definedName>
    <definedName name="_Wel_y" localSheetId="3">'Cas 5'!$B$15</definedName>
    <definedName name="_Wel_y" localSheetId="4">'Cas 6'!$B$19</definedName>
    <definedName name="_Wel_z" localSheetId="0">'Cas 2'!$B$37</definedName>
    <definedName name="_Wel_z" localSheetId="1">'Cas 3'!$B$38</definedName>
    <definedName name="_Wel_z" localSheetId="3">'Cas 5'!$B$16</definedName>
    <definedName name="_Wel_z" localSheetId="4">'Cas 6'!$B$20</definedName>
    <definedName name="_Wpl_y" localSheetId="0">'Cas 2'!$B$38</definedName>
    <definedName name="_Wpl_y" localSheetId="1">'Cas 3'!$B$39</definedName>
    <definedName name="_Wpl_y" localSheetId="3">'Cas 5'!$B$17</definedName>
    <definedName name="_Wpl_y" localSheetId="4">'Cas 6'!$B$21</definedName>
    <definedName name="_Wpl_z" localSheetId="0">'Cas 2'!$B$39</definedName>
    <definedName name="_Wpl_z" localSheetId="1">'Cas 3'!$B$40</definedName>
    <definedName name="_Wpl_z" localSheetId="3">'Cas 5'!$B$18</definedName>
    <definedName name="_Wpl_z" localSheetId="4">'Cas 6'!$B$22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el" localSheetId="4">'Cas 6'!$B$70</definedName>
    <definedName name="_zp" localSheetId="4">'Cas 6'!#REF!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" localSheetId="4">'Cas 6'!$B$65</definedName>
    <definedName name="_zs_inf" localSheetId="0">'Cas 2'!$E$11</definedName>
    <definedName name="_zs_inf" localSheetId="1">'Cas 3'!$E$11</definedName>
    <definedName name="_zs_inf" localSheetId="4">'Cas 6'!$E$11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4" i="6" l="1"/>
  <c r="B137" i="6"/>
  <c r="B46" i="6"/>
  <c r="B121" i="6"/>
  <c r="B119" i="6"/>
  <c r="B120" i="6" s="1"/>
  <c r="B118" i="6"/>
  <c r="B116" i="6"/>
  <c r="B115" i="6"/>
  <c r="H5" i="6"/>
  <c r="B123" i="6" s="1"/>
  <c r="H106" i="6"/>
  <c r="H107" i="6" s="1"/>
  <c r="G103" i="6"/>
  <c r="G102" i="6"/>
  <c r="G101" i="6"/>
  <c r="N100" i="6"/>
  <c r="H101" i="6"/>
  <c r="I101" i="6"/>
  <c r="M101" i="6" s="1"/>
  <c r="E103" i="6"/>
  <c r="O103" i="6" s="1"/>
  <c r="D102" i="6"/>
  <c r="H102" i="6" s="1"/>
  <c r="E101" i="6"/>
  <c r="O101" i="6" s="1"/>
  <c r="D100" i="6"/>
  <c r="H100" i="6" s="1"/>
  <c r="F100" i="6"/>
  <c r="F103" i="6"/>
  <c r="F102" i="6"/>
  <c r="F101" i="6"/>
  <c r="G87" i="6"/>
  <c r="G89" i="6"/>
  <c r="E87" i="6"/>
  <c r="E89" i="6"/>
  <c r="D87" i="6"/>
  <c r="C86" i="6"/>
  <c r="D86" i="6" s="1"/>
  <c r="H2" i="6"/>
  <c r="B67" i="6" s="1"/>
  <c r="B126" i="6" l="1"/>
  <c r="B127" i="6" s="1"/>
  <c r="I100" i="6"/>
  <c r="M100" i="6" s="1"/>
  <c r="O100" i="6" s="1"/>
  <c r="N101" i="6"/>
  <c r="I102" i="6"/>
  <c r="M102" i="6" s="1"/>
  <c r="N103" i="6"/>
  <c r="J101" i="6"/>
  <c r="K101" i="6" s="1"/>
  <c r="L101" i="6" s="1"/>
  <c r="P101" i="6"/>
  <c r="Q101" i="6" s="1"/>
  <c r="P103" i="6"/>
  <c r="F87" i="6"/>
  <c r="E14" i="6"/>
  <c r="B43" i="6" s="1"/>
  <c r="J100" i="6" l="1"/>
  <c r="J102" i="6"/>
  <c r="C45" i="6"/>
  <c r="C46" i="6"/>
  <c r="B16" i="6" l="1"/>
  <c r="B88" i="2" l="1"/>
  <c r="B15" i="6"/>
  <c r="B14" i="6"/>
  <c r="E8" i="6"/>
  <c r="H29" i="6"/>
  <c r="H21" i="6"/>
  <c r="H20" i="6"/>
  <c r="H9" i="6"/>
  <c r="H8" i="6"/>
  <c r="H10" i="6" s="1"/>
  <c r="B64" i="6" s="1"/>
  <c r="B72" i="6"/>
  <c r="B66" i="6"/>
  <c r="D103" i="6" l="1"/>
  <c r="E102" i="6"/>
  <c r="N102" i="6" s="1"/>
  <c r="C88" i="6"/>
  <c r="G88" i="6" s="1"/>
  <c r="C102" i="6"/>
  <c r="B47" i="6"/>
  <c r="B48" i="6"/>
  <c r="B68" i="6"/>
  <c r="B69" i="6"/>
  <c r="B74" i="6"/>
  <c r="H22" i="6"/>
  <c r="B10" i="6"/>
  <c r="B9" i="6"/>
  <c r="B8" i="6"/>
  <c r="B5" i="6"/>
  <c r="B7" i="6" s="1"/>
  <c r="B39" i="6"/>
  <c r="B38" i="6"/>
  <c r="E17" i="6"/>
  <c r="B59" i="6" s="1"/>
  <c r="B37" i="6"/>
  <c r="B36" i="6"/>
  <c r="E12" i="6"/>
  <c r="B135" i="6"/>
  <c r="H11" i="6"/>
  <c r="E88" i="6" l="1"/>
  <c r="C93" i="6" s="1"/>
  <c r="D88" i="6"/>
  <c r="D89" i="6"/>
  <c r="F89" i="6" s="1"/>
  <c r="H103" i="6"/>
  <c r="I103" i="6"/>
  <c r="M103" i="6" s="1"/>
  <c r="Q103" i="6" s="1"/>
  <c r="K102" i="6"/>
  <c r="L102" i="6" s="1"/>
  <c r="O102" i="6"/>
  <c r="K103" i="6"/>
  <c r="P102" i="6"/>
  <c r="Q102" i="6" s="1"/>
  <c r="F88" i="6"/>
  <c r="K41" i="6"/>
  <c r="K47" i="6"/>
  <c r="K54" i="6"/>
  <c r="K50" i="6"/>
  <c r="K46" i="6"/>
  <c r="K42" i="6"/>
  <c r="H36" i="6"/>
  <c r="B81" i="6"/>
  <c r="B100" i="6" s="1"/>
  <c r="P100" i="6" s="1"/>
  <c r="H25" i="6"/>
  <c r="H23" i="6"/>
  <c r="H27" i="6" s="1"/>
  <c r="B24" i="6"/>
  <c r="B25" i="6" s="1"/>
  <c r="H24" i="6"/>
  <c r="B41" i="6"/>
  <c r="B75" i="6"/>
  <c r="B73" i="6"/>
  <c r="E9" i="6"/>
  <c r="B28" i="6"/>
  <c r="B27" i="6"/>
  <c r="B6" i="6"/>
  <c r="B11" i="6"/>
  <c r="B31" i="6"/>
  <c r="E13" i="6"/>
  <c r="B42" i="6" s="1"/>
  <c r="E37" i="6"/>
  <c r="H38" i="6"/>
  <c r="B60" i="6"/>
  <c r="E36" i="6"/>
  <c r="B53" i="6" s="1"/>
  <c r="B58" i="6"/>
  <c r="H37" i="6"/>
  <c r="K38" i="6"/>
  <c r="B30" i="6"/>
  <c r="E38" i="6"/>
  <c r="B34" i="6"/>
  <c r="E20" i="6"/>
  <c r="B35" i="6"/>
  <c r="K36" i="6"/>
  <c r="K37" i="6"/>
  <c r="L103" i="6" l="1"/>
  <c r="P104" i="6"/>
  <c r="Q100" i="6"/>
  <c r="Q104" i="6" s="1"/>
  <c r="J103" i="6"/>
  <c r="K100" i="6"/>
  <c r="B52" i="6"/>
  <c r="H26" i="6"/>
  <c r="H28" i="6" s="1"/>
  <c r="B50" i="6"/>
  <c r="B111" i="6"/>
  <c r="B76" i="6"/>
  <c r="B77" i="6" s="1"/>
  <c r="B51" i="6"/>
  <c r="C111" i="6" l="1"/>
  <c r="B114" i="6"/>
  <c r="B113" i="6"/>
  <c r="K104" i="6"/>
  <c r="E106" i="6" s="1"/>
  <c r="L100" i="6"/>
  <c r="L104" i="6" s="1"/>
  <c r="E107" i="6" s="1"/>
  <c r="B80" i="6"/>
  <c r="B129" i="6" l="1"/>
  <c r="B131" i="6"/>
  <c r="B128" i="6"/>
  <c r="B130" i="6"/>
  <c r="B86" i="6"/>
  <c r="G86" i="6" s="1"/>
  <c r="D79" i="3"/>
  <c r="C79" i="3"/>
  <c r="B79" i="3"/>
  <c r="H78" i="3"/>
  <c r="I78" i="3"/>
  <c r="G78" i="3"/>
  <c r="E86" i="6" l="1"/>
  <c r="E90" i="6" s="1"/>
  <c r="B10" i="3"/>
  <c r="B12" i="3"/>
  <c r="B71" i="3" s="1"/>
  <c r="B11" i="3"/>
  <c r="B20" i="3" s="1"/>
  <c r="B16" i="3"/>
  <c r="B15" i="3"/>
  <c r="B70" i="3"/>
  <c r="F86" i="6" l="1"/>
  <c r="F92" i="6" s="1"/>
  <c r="H87" i="6" s="1"/>
  <c r="B74" i="3"/>
  <c r="G74" i="3" s="1"/>
  <c r="H77" i="3"/>
  <c r="I77" i="3"/>
  <c r="G77" i="3"/>
  <c r="C74" i="3"/>
  <c r="B75" i="3"/>
  <c r="G75" i="3" s="1"/>
  <c r="C75" i="3"/>
  <c r="H75" i="3" s="1"/>
  <c r="D75" i="3"/>
  <c r="I75" i="3" s="1"/>
  <c r="D74" i="3"/>
  <c r="H5" i="3"/>
  <c r="H7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H86" i="6" l="1"/>
  <c r="H88" i="6"/>
  <c r="B48" i="3"/>
  <c r="H89" i="6"/>
  <c r="B76" i="3"/>
  <c r="B78" i="3" s="1"/>
  <c r="B80" i="3" s="1"/>
  <c r="B81" i="3" s="1"/>
  <c r="B82" i="3" s="1"/>
  <c r="G79" i="3"/>
  <c r="G80" i="3" s="1"/>
  <c r="H74" i="3"/>
  <c r="C76" i="3"/>
  <c r="I74" i="3"/>
  <c r="D76" i="3"/>
  <c r="E38" i="3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B83" i="3" l="1"/>
  <c r="D78" i="3"/>
  <c r="D80" i="3" s="1"/>
  <c r="D81" i="3" s="1"/>
  <c r="C78" i="3"/>
  <c r="C80" i="3" s="1"/>
  <c r="C81" i="3" s="1"/>
  <c r="G81" i="3"/>
  <c r="G82" i="3"/>
  <c r="I79" i="3"/>
  <c r="I80" i="3" s="1"/>
  <c r="I81" i="3" s="1"/>
  <c r="H79" i="3"/>
  <c r="H80" i="3" s="1"/>
  <c r="H81" i="3" s="1"/>
  <c r="B42" i="3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C83" i="3" l="1"/>
  <c r="C82" i="3"/>
  <c r="D82" i="3"/>
  <c r="D83" i="3"/>
  <c r="H82" i="3"/>
  <c r="I82" i="3"/>
  <c r="B103" i="2"/>
  <c r="B6" i="2"/>
  <c r="B94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1" i="3"/>
  <c r="F93" i="6"/>
  <c r="F94" i="6" s="1"/>
</calcChain>
</file>

<file path=xl/sharedStrings.xml><?xml version="1.0" encoding="utf-8"?>
<sst xmlns="http://schemas.openxmlformats.org/spreadsheetml/2006/main" count="712" uniqueCount="337">
  <si>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</si>
  <si>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</si>
  <si>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</si>
  <si>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</si>
  <si>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</si>
  <si>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</si>
  <si>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</si>
  <si>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</si>
  <si>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</si>
  <si>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</si>
  <si>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</si>
  <si>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</si>
  <si>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</si>
  <si>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</si>
  <si>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</si>
  <si>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</si>
  <si>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</si>
  <si>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</si>
  <si>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</si>
  <si>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</si>
  <si>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</si>
  <si>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</si>
  <si>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</si>
  <si>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</si>
  <si>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</si>
  <si>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</si>
  <si>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</si>
  <si>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</si>
  <si>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</si>
  <si>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</si>
  <si>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</si>
  <si>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</si>
  <si>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</si>
  <si>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</si>
  <si>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</si>
  <si>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</si>
  <si>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</si>
  <si>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</si>
  <si>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</si>
  <si>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</si>
  <si>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</si>
  <si>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</si>
  <si>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</si>
  <si>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</si>
  <si>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</si>
  <si>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</si>
  <si>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</si>
  <si>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</si>
  <si>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</si>
  <si>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</si>
  <si>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</si>
  <si>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</si>
  <si>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</si>
  <si>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</si>
  <si>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</si>
  <si>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</si>
  <si>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</si>
  <si>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</si>
  <si>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</si>
  <si>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</si>
  <si>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</si>
  <si>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</si>
  <si>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</si>
  <si>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</si>
  <si>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</si>
  <si>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</si>
  <si>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</si>
  <si>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</si>
  <si>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</si>
  <si>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</si>
  <si>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</si>
  <si>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</si>
  <si>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</si>
  <si>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</si>
  <si>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</si>
  <si>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</si>
  <si>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</si>
  <si>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</si>
  <si>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</si>
  <si>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</si>
  <si>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</si>
  <si>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</si>
  <si>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</si>
  <si>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</si>
  <si>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</si>
  <si>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</si>
  <si>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</si>
  <si>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</si>
  <si>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</si>
  <si>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</si>
  <si>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</si>
  <si>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</si>
  <si>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</si>
  <si>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</si>
  <si>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</si>
  <si>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</si>
  <si>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</si>
  <si>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</si>
  <si>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</si>
  <si>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</si>
  <si>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</si>
  <si>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</si>
  <si>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</si>
  <si>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</si>
  <si>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</si>
  <si>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</si>
  <si>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</si>
  <si>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</si>
  <si>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</si>
  <si>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</si>
  <si>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</si>
  <si>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</si>
  <si>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</si>
  <si>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</si>
  <si>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</si>
  <si>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</si>
  <si>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</si>
  <si>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</si>
  <si>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</si>
  <si>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</si>
  <si>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</si>
  <si>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</si>
  <si>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</si>
  <si>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</si>
  <si>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</si>
  <si>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</si>
  <si>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</si>
  <si>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</si>
  <si>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</si>
  <si>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</si>
  <si>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</si>
  <si>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</si>
  <si>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</si>
  <si>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</si>
  <si>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</si>
  <si>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</si>
  <si>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</si>
  <si>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</si>
  <si>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</si>
  <si>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</si>
  <si>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</si>
  <si>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</si>
  <si>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</si>
  <si>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</si>
  <si>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</si>
  <si>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</si>
  <si>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</si>
  <si>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</si>
  <si>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</si>
  <si>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</si>
  <si>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</si>
  <si>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</si>
  <si>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</si>
  <si>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</si>
  <si>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</si>
  <si>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</si>
  <si>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</si>
  <si>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</si>
  <si>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</si>
  <si>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</si>
  <si>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</si>
  <si>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</si>
  <si>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</si>
  <si>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</si>
  <si>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</si>
  <si>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</si>
  <si>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</si>
  <si>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</si>
  <si>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</si>
  <si>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</si>
  <si>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</si>
  <si>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</si>
  <si>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</si>
  <si>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</si>
  <si>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</si>
  <si>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</si>
  <si>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</si>
  <si>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</si>
  <si>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</si>
  <si>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</si>
  <si>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</si>
  <si>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</si>
  <si>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</si>
  <si>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</si>
  <si>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</si>
  <si>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</si>
  <si>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</si>
  <si>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</si>
  <si>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</si>
  <si>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</si>
  <si>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</si>
  <si>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</si>
  <si>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</si>
  <si>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</si>
  <si>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</si>
  <si>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</si>
  <si>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</si>
  <si>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</si>
  <si>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</si>
  <si>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</si>
  <si>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</si>
  <si>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</si>
  <si>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</si>
  <si>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</si>
  <si>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</si>
  <si>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</si>
  <si>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</si>
  <si>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</si>
  <si>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</si>
  <si>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</si>
  <si>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</si>
  <si>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</si>
  <si>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</si>
  <si>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</si>
  <si>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</si>
  <si>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</si>
  <si>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</si>
  <si>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</si>
  <si>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</si>
  <si>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</si>
  <si>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</si>
  <si>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</si>
  <si>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</si>
  <si>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</si>
  <si>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</si>
  <si>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</si>
  <si>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</si>
  <si>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</si>
  <si>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V(Q1#1) (kN)</t>
  </si>
  <si>
    <t>résultats obtenus sur RDM7</t>
  </si>
  <si>
    <t>V(Q1#2) (kN)</t>
  </si>
  <si>
    <t>M(Q1#2) (kN.m)</t>
  </si>
  <si>
    <t>V(Q1#3) (kN)</t>
  </si>
  <si>
    <t>M(Q1#3) (kN.m)</t>
  </si>
  <si>
    <t>V ELU 1 (kN)</t>
  </si>
  <si>
    <t>V ELU 2 (kN)</t>
  </si>
  <si>
    <t>V ELU 3 (kN)</t>
  </si>
  <si>
    <t>M(Q1#1)+ (kN.m)</t>
  </si>
  <si>
    <t>M(Q1#1)- (kN.m)</t>
  </si>
  <si>
    <t>M ELU 1 + (kN.m)</t>
  </si>
  <si>
    <t>M ELU 1 - (kN.m)</t>
  </si>
  <si>
    <t>M ELU 2 + (kN.m)</t>
  </si>
  <si>
    <t>M ELU 2 - (kN.m)</t>
  </si>
  <si>
    <t>M ELU 3 + (kN.m)</t>
  </si>
  <si>
    <t>M ELU 3 - (kN.m)</t>
  </si>
  <si>
    <t>Vpl,Rd (kN)</t>
  </si>
  <si>
    <t>ELU1</t>
  </si>
  <si>
    <t>ELU2</t>
  </si>
  <si>
    <t>ELU3</t>
  </si>
  <si>
    <t>lambda</t>
  </si>
  <si>
    <t>phi</t>
  </si>
  <si>
    <t>khi</t>
  </si>
  <si>
    <t>alpha ult</t>
  </si>
  <si>
    <t>alpha cr</t>
  </si>
  <si>
    <t>Mcr (kN.m)</t>
  </si>
  <si>
    <t>Sans objet, l'ensemble des résultats sont dans l'article RCM 2022 n°3</t>
  </si>
  <si>
    <t xml:space="preserve">PropSection section seule </t>
  </si>
  <si>
    <t>tj (mm)</t>
  </si>
  <si>
    <t>Ac, brute (mm2)</t>
  </si>
  <si>
    <t>sx (mm)</t>
  </si>
  <si>
    <t>bfs (mm)</t>
  </si>
  <si>
    <t>tfs (mm)</t>
  </si>
  <si>
    <t>bfi (mm)</t>
  </si>
  <si>
    <t>tfi (mm)</t>
  </si>
  <si>
    <t>cf ,sup</t>
  </si>
  <si>
    <t>Classe semelle sup</t>
  </si>
  <si>
    <t>beff (m)</t>
  </si>
  <si>
    <t>Classe section flexion pure</t>
  </si>
  <si>
    <t>Classe section compression pure</t>
  </si>
  <si>
    <t>zCDG par rapport arase inf (mm)</t>
  </si>
  <si>
    <t>zANP par rapport arase inf (mm)</t>
  </si>
  <si>
    <t>psi</t>
  </si>
  <si>
    <t>456 epsilon/(13alpha-1)</t>
  </si>
  <si>
    <t>396 epsilon/(13alpha-1)</t>
  </si>
  <si>
    <t>36 epsilon/alpha</t>
  </si>
  <si>
    <t>41,5 epsilon/alpha</t>
  </si>
  <si>
    <t>Classe ame plast. N+M (alpha&gt;0,5)</t>
  </si>
  <si>
    <t>Classe ame plast. N+M (alpha&lt;=0,5)</t>
  </si>
  <si>
    <t>Classe ame élast. N+M (psi&gt;-1)</t>
  </si>
  <si>
    <t>42 epsilon/(0,67+0,33psi)</t>
  </si>
  <si>
    <t>Classe ame élast. N+M (psi&lt;=-1)</t>
  </si>
  <si>
    <t>62 epsilon(1-psi)*racine(-psi)</t>
  </si>
  <si>
    <t>cf,sup/tf,sup</t>
  </si>
  <si>
    <t>cf,inf/tf,inf</t>
  </si>
  <si>
    <t>cf ,inf</t>
  </si>
  <si>
    <t>Classe semelle inf</t>
  </si>
  <si>
    <t>72 epsilon / eta</t>
  </si>
  <si>
    <t>Elements</t>
  </si>
  <si>
    <t>Dalle</t>
  </si>
  <si>
    <t>Semelle sup</t>
  </si>
  <si>
    <t>Ame</t>
  </si>
  <si>
    <t>Semelle inf</t>
  </si>
  <si>
    <t>t (mm)</t>
  </si>
  <si>
    <t xml:space="preserve">zel (mm) </t>
  </si>
  <si>
    <t>zG (mm)</t>
  </si>
  <si>
    <t>A (mm2)</t>
  </si>
  <si>
    <t>Total</t>
  </si>
  <si>
    <t>S (mm3)</t>
  </si>
  <si>
    <t>Iy (mm4)</t>
  </si>
  <si>
    <t>A(z-zg)²</t>
  </si>
  <si>
    <t>IY (mm4)</t>
  </si>
  <si>
    <t>IY (cm4)</t>
  </si>
  <si>
    <t>(Hypothèse)</t>
  </si>
  <si>
    <t xml:space="preserve">zpl (mm) </t>
  </si>
  <si>
    <t>Ni,Rd (kN) +</t>
  </si>
  <si>
    <t>Ni,Rd (kN) -</t>
  </si>
  <si>
    <t>h+ (mm)</t>
  </si>
  <si>
    <t>h- (mm)</t>
  </si>
  <si>
    <t>arase sup (mm)</t>
  </si>
  <si>
    <t>arase inf (mm)</t>
  </si>
  <si>
    <t>arase sup comp (mm)</t>
  </si>
  <si>
    <t>arase inf comp (mm)</t>
  </si>
  <si>
    <t>arase sup trac (mm)</t>
  </si>
  <si>
    <t>arase inf trac (mm)</t>
  </si>
  <si>
    <t>fd + (MPa)</t>
  </si>
  <si>
    <t>fd - (MPa)</t>
  </si>
  <si>
    <t>Mi,Rd (kN.m) +</t>
  </si>
  <si>
    <t>Mi,Rd (kN.m) -</t>
  </si>
  <si>
    <t>NRd (kN)</t>
  </si>
  <si>
    <t>MRd (kN.m)</t>
  </si>
  <si>
    <t>(z,sup - xpl)/h (%)</t>
  </si>
  <si>
    <t>beta</t>
  </si>
  <si>
    <t>qG2 (kPa)</t>
  </si>
  <si>
    <t>M(Qc) (kN.m)</t>
  </si>
  <si>
    <t>M(G1) + (kN.m)</t>
  </si>
  <si>
    <t>M(G1) - (kN.m)</t>
  </si>
  <si>
    <t>epsilon cs</t>
  </si>
  <si>
    <t>Ey (MPa)</t>
  </si>
  <si>
    <t>nLT</t>
  </si>
  <si>
    <t>Nr (kN)</t>
  </si>
  <si>
    <t>zLT (mm)</t>
  </si>
  <si>
    <t>Mr (kN.m)</t>
  </si>
  <si>
    <t>MEd (kN.m)</t>
  </si>
  <si>
    <t>VEd (kN)</t>
  </si>
  <si>
    <t>Ved, const (kN)</t>
  </si>
  <si>
    <t>MEd, const (kN.m)</t>
  </si>
  <si>
    <t>Répartition plastique (acier entierement tendu)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</si>
</sst>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  <numFmt numFmtId="169" formatCode="_-* #,##0.000_-;\-* #,##0.000_-;_-* &quot;-&quot;??_-;_-@_-"/>
    <numFmt numFmtId="170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2" borderId="10" xfId="0" applyFill="1" applyBorder="1"/>
    <xf numFmtId="0" fontId="0" fillId="2" borderId="4" xfId="0" applyFill="1" applyBorder="1"/>
    <xf numFmtId="0" fontId="0" fillId="2" borderId="6" xfId="0" applyFill="1" applyBorder="1"/>
    <xf numFmtId="164" fontId="0" fillId="2" borderId="10" xfId="0" applyNumberFormat="1" applyFill="1" applyBorder="1"/>
    <xf numFmtId="0" fontId="0" fillId="0" borderId="0" xfId="0" applyBorder="1"/>
    <xf numFmtId="2" fontId="0" fillId="0" borderId="0" xfId="0" applyNumberFormat="1" applyBorder="1"/>
    <xf numFmtId="2" fontId="0" fillId="2" borderId="0" xfId="0" applyNumberFormat="1" applyFill="1" applyBorder="1"/>
    <xf numFmtId="2" fontId="0" fillId="2" borderId="4" xfId="0" applyNumberFormat="1" applyFill="1" applyBorder="1"/>
    <xf numFmtId="2" fontId="0" fillId="0" borderId="14" xfId="0" applyNumberFormat="1" applyBorder="1"/>
    <xf numFmtId="2" fontId="0" fillId="0" borderId="3" xfId="0" applyNumberFormat="1" applyBorder="1"/>
    <xf numFmtId="2" fontId="0" fillId="2" borderId="3" xfId="0" applyNumberFormat="1" applyFill="1" applyBorder="1"/>
    <xf numFmtId="2" fontId="0" fillId="0" borderId="5" xfId="0" applyNumberFormat="1" applyBorder="1"/>
    <xf numFmtId="1" fontId="0" fillId="0" borderId="7" xfId="0" applyNumberFormat="1" applyBorder="1"/>
    <xf numFmtId="0" fontId="0" fillId="0" borderId="15" xfId="0" applyBorder="1"/>
    <xf numFmtId="169" fontId="0" fillId="0" borderId="0" xfId="1" applyNumberFormat="1" applyFont="1"/>
    <xf numFmtId="1" fontId="0" fillId="0" borderId="9" xfId="0" applyNumberFormat="1" applyBorder="1"/>
    <xf numFmtId="0" fontId="0" fillId="0" borderId="16" xfId="0" applyBorder="1"/>
    <xf numFmtId="2" fontId="0" fillId="0" borderId="9" xfId="0" applyNumberFormat="1" applyBorder="1"/>
    <xf numFmtId="2" fontId="0" fillId="0" borderId="16" xfId="0" applyNumberFormat="1" applyBorder="1"/>
    <xf numFmtId="2" fontId="0" fillId="0" borderId="10" xfId="0" applyNumberFormat="1" applyBorder="1"/>
    <xf numFmtId="0" fontId="0" fillId="0" borderId="0" xfId="0" applyFill="1" applyBorder="1"/>
    <xf numFmtId="164" fontId="0" fillId="0" borderId="0" xfId="0" applyNumberFormat="1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10" xfId="0" applyNumberFormat="1" applyBorder="1"/>
    <xf numFmtId="164" fontId="0" fillId="0" borderId="8" xfId="0" applyNumberFormat="1" applyBorder="1"/>
    <xf numFmtId="164" fontId="0" fillId="0" borderId="0" xfId="0" applyNumberFormat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4" xfId="0" applyBorder="1"/>
    <xf numFmtId="0" fontId="0" fillId="0" borderId="14" xfId="0" applyBorder="1"/>
    <xf numFmtId="0" fontId="0" fillId="0" borderId="11" xfId="0" applyBorder="1"/>
    <xf numFmtId="167" fontId="0" fillId="0" borderId="3" xfId="0" applyNumberFormat="1" applyBorder="1"/>
    <xf numFmtId="1" fontId="0" fillId="0" borderId="4" xfId="0" applyNumberFormat="1" applyBorder="1"/>
    <xf numFmtId="167" fontId="0" fillId="0" borderId="15" xfId="0" applyNumberFormat="1" applyBorder="1"/>
    <xf numFmtId="164" fontId="0" fillId="0" borderId="15" xfId="0" applyNumberFormat="1" applyBorder="1"/>
    <xf numFmtId="0" fontId="0" fillId="0" borderId="22" xfId="0" applyBorder="1"/>
    <xf numFmtId="0" fontId="0" fillId="0" borderId="23" xfId="0" applyBorder="1"/>
    <xf numFmtId="43" fontId="0" fillId="0" borderId="24" xfId="1" applyFont="1" applyBorder="1"/>
    <xf numFmtId="0" fontId="0" fillId="0" borderId="15" xfId="0" applyFill="1" applyBorder="1"/>
    <xf numFmtId="0" fontId="0" fillId="0" borderId="8" xfId="0" applyFill="1" applyBorder="1"/>
    <xf numFmtId="0" fontId="0" fillId="0" borderId="9" xfId="0" applyFill="1" applyBorder="1"/>
    <xf numFmtId="164" fontId="0" fillId="0" borderId="3" xfId="0" applyNumberFormat="1" applyBorder="1"/>
    <xf numFmtId="0" fontId="0" fillId="0" borderId="7" xfId="0" applyFill="1" applyBorder="1"/>
    <xf numFmtId="1" fontId="0" fillId="0" borderId="14" xfId="0" applyNumberFormat="1" applyBorder="1"/>
    <xf numFmtId="1" fontId="0" fillId="0" borderId="6" xfId="0" applyNumberFormat="1" applyBorder="1"/>
    <xf numFmtId="0" fontId="0" fillId="0" borderId="25" xfId="0" applyBorder="1"/>
    <xf numFmtId="1" fontId="0" fillId="0" borderId="18" xfId="0" applyNumberFormat="1" applyBorder="1"/>
    <xf numFmtId="0" fontId="0" fillId="0" borderId="26" xfId="0" applyBorder="1"/>
    <xf numFmtId="1" fontId="0" fillId="0" borderId="21" xfId="0" applyNumberFormat="1" applyBorder="1"/>
    <xf numFmtId="1" fontId="0" fillId="0" borderId="5" xfId="0" applyNumberFormat="1" applyBorder="1"/>
    <xf numFmtId="164" fontId="0" fillId="2" borderId="6" xfId="0" applyNumberFormat="1" applyFill="1" applyBorder="1"/>
    <xf numFmtId="164" fontId="0" fillId="0" borderId="10" xfId="0" applyNumberFormat="1" applyFill="1" applyBorder="1"/>
    <xf numFmtId="164" fontId="0" fillId="0" borderId="6" xfId="0" applyNumberFormat="1" applyFill="1" applyBorder="1"/>
    <xf numFmtId="164" fontId="0" fillId="2" borderId="4" xfId="0" applyNumberFormat="1" applyFill="1" applyBorder="1"/>
    <xf numFmtId="0" fontId="0" fillId="0" borderId="28" xfId="0" applyBorder="1"/>
    <xf numFmtId="167" fontId="0" fillId="2" borderId="27" xfId="0" applyNumberFormat="1" applyFill="1" applyBorder="1"/>
    <xf numFmtId="0" fontId="0" fillId="0" borderId="3" xfId="0" applyFill="1" applyBorder="1"/>
    <xf numFmtId="170" fontId="0" fillId="0" borderId="10" xfId="0" applyNumberFormat="1" applyFill="1" applyBorder="1"/>
    <xf numFmtId="164" fontId="0" fillId="0" borderId="4" xfId="0" applyNumberFormat="1" applyFill="1" applyBorder="1"/>
    <xf numFmtId="0" fontId="0" fillId="0" borderId="5" xfId="0" applyFill="1" applyBorder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106" workbookViewId="0">
      <selection activeCell="B4" sqref="B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77" t="s">
        <v>55</v>
      </c>
      <c r="B1" s="78"/>
      <c r="C1"/>
      <c r="D1" s="77" t="s">
        <v>56</v>
      </c>
      <c r="E1" s="78"/>
      <c r="F1" s="24"/>
      <c r="G1" s="77" t="s">
        <v>65</v>
      </c>
      <c r="H1" s="78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77" t="s">
        <v>66</v>
      </c>
      <c r="E15" s="78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77" t="s">
        <v>7</v>
      </c>
      <c r="B30" s="78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77" t="s">
        <v>16</v>
      </c>
      <c r="B50" s="78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79" t="s">
        <v>34</v>
      </c>
      <c r="F52" s="80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77" t="s">
        <v>79</v>
      </c>
      <c r="B68" s="78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77" t="s">
        <v>111</v>
      </c>
      <c r="B96" s="78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77" t="s">
        <v>133</v>
      </c>
      <c r="B109" s="78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77" t="s">
        <v>134</v>
      </c>
      <c r="B120" s="78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topLeftCell="A130" workbookViewId="0">
      <selection activeCell="D89" sqref="D89:E91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77" t="s">
        <v>152</v>
      </c>
      <c r="B1" s="78"/>
      <c r="C1"/>
      <c r="D1" s="77" t="s">
        <v>56</v>
      </c>
      <c r="E1" s="78"/>
      <c r="F1" s="24"/>
      <c r="G1" s="77" t="s">
        <v>65</v>
      </c>
      <c r="H1" s="78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77" t="s">
        <v>162</v>
      </c>
      <c r="H12" s="78"/>
    </row>
    <row r="13" spans="1:8" ht="15.75" thickBot="1" x14ac:dyDescent="0.3">
      <c r="A13" s="77" t="s">
        <v>55</v>
      </c>
      <c r="B13" s="78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77" t="s">
        <v>66</v>
      </c>
      <c r="E15" s="78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77" t="s">
        <v>7</v>
      </c>
      <c r="B31" s="78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77" t="s">
        <v>16</v>
      </c>
      <c r="B51" s="78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79" t="s">
        <v>34</v>
      </c>
      <c r="F53" s="80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77" t="s">
        <v>79</v>
      </c>
      <c r="B69" s="78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81" t="s">
        <v>188</v>
      </c>
      <c r="B85" s="82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77" t="s">
        <v>111</v>
      </c>
      <c r="B101" s="78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77" t="s">
        <v>133</v>
      </c>
      <c r="B118" s="78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77" t="s">
        <v>134</v>
      </c>
      <c r="B133" s="78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77" t="s">
        <v>207</v>
      </c>
      <c r="B147" s="78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1:B1"/>
    <mergeCell ref="A13:B13"/>
    <mergeCell ref="D1:E1"/>
    <mergeCell ref="G1:H1"/>
    <mergeCell ref="D15:E15"/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s="24" t="s">
        <v>255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3"/>
  <sheetViews>
    <sheetView topLeftCell="A58" workbookViewId="0">
      <selection activeCell="G52" sqref="G52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77" t="s">
        <v>152</v>
      </c>
      <c r="B1" s="78"/>
      <c r="D1" s="77" t="s">
        <v>221</v>
      </c>
      <c r="E1" s="78"/>
      <c r="G1" s="77" t="s">
        <v>65</v>
      </c>
      <c r="H1" s="78"/>
    </row>
    <row r="2" spans="1:8" x14ac:dyDescent="0.25">
      <c r="A2" s="7" t="s">
        <v>218</v>
      </c>
      <c r="B2" s="10">
        <v>3</v>
      </c>
      <c r="D2" t="s">
        <v>0</v>
      </c>
      <c r="E2" s="1">
        <v>450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190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14.6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9.4</v>
      </c>
      <c r="G5" t="s">
        <v>226</v>
      </c>
      <c r="H5" s="23">
        <f>(_b_Gauche+_b_Droite)*1000/2*_td+_th*_b+_th^2*TAN(RADIANS(_theta))</f>
        <v>248523.76043070341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6.0950452245630009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77" t="s">
        <v>7</v>
      </c>
      <c r="B9" s="78"/>
      <c r="D9" t="s">
        <v>32</v>
      </c>
      <c r="E9" s="6">
        <f>_h-2*_tf</f>
        <v>420.8</v>
      </c>
    </row>
    <row r="10" spans="1:8" x14ac:dyDescent="0.25">
      <c r="A10" s="7" t="s">
        <v>24</v>
      </c>
      <c r="B10" s="8">
        <f>(2*(_h-2*_r)+2*_b+2*(_b-2*_r-_tw)+2*PI()*_r)/10</f>
        <v>160.51468914507714</v>
      </c>
      <c r="D10" t="s">
        <v>113</v>
      </c>
      <c r="E10" s="6">
        <f>_hw-2*_r</f>
        <v>378.8</v>
      </c>
    </row>
    <row r="11" spans="1:8" x14ac:dyDescent="0.25">
      <c r="A11" t="s">
        <v>5</v>
      </c>
      <c r="B11" s="9">
        <f>(2*_b*_tf+(_h-2*_tf)*_tw+4*(1-PI()/4)*_r^2)/100</f>
        <v>98.820776397669022</v>
      </c>
      <c r="E11" s="6"/>
    </row>
    <row r="12" spans="1:8" x14ac:dyDescent="0.25">
      <c r="A12" t="s">
        <v>6</v>
      </c>
      <c r="B12" s="64">
        <f>((_h-2*_tf)*_tw+4*(1-PI()/4)*_r^2+_tf*(_tw+2*_r))/100</f>
        <v>50.845176397669007</v>
      </c>
      <c r="D12" t="s">
        <v>37</v>
      </c>
      <c r="E12" s="6">
        <f>(_b-2*_r-_tw)/2</f>
        <v>69.3</v>
      </c>
    </row>
    <row r="13" spans="1:8" x14ac:dyDescent="0.25">
      <c r="A13" t="s">
        <v>9</v>
      </c>
      <c r="B13" s="4">
        <v>33740</v>
      </c>
      <c r="D13" t="s">
        <v>38</v>
      </c>
      <c r="E13" s="6">
        <f>_hw-2*_r</f>
        <v>378.8</v>
      </c>
    </row>
    <row r="14" spans="1:8" x14ac:dyDescent="0.25">
      <c r="A14" t="s">
        <v>10</v>
      </c>
      <c r="B14" s="4">
        <v>1675</v>
      </c>
    </row>
    <row r="15" spans="1:8" x14ac:dyDescent="0.25">
      <c r="A15" t="s">
        <v>12</v>
      </c>
      <c r="B15" s="5">
        <f>_Iy/(_h/10/2)</f>
        <v>1499.5555555555557</v>
      </c>
      <c r="D15" t="s">
        <v>8</v>
      </c>
      <c r="E15" s="1">
        <v>355</v>
      </c>
    </row>
    <row r="16" spans="1:8" x14ac:dyDescent="0.25">
      <c r="A16" t="s">
        <v>13</v>
      </c>
      <c r="B16" s="5">
        <f>_Iz/(_b/10/2)</f>
        <v>176.31578947368422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1701</v>
      </c>
      <c r="E17" s="6"/>
    </row>
    <row r="18" spans="1:5" x14ac:dyDescent="0.25">
      <c r="A18" t="s">
        <v>15</v>
      </c>
      <c r="B18" s="4">
        <v>276.3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0.76100397592198954</v>
      </c>
    </row>
    <row r="20" spans="1:5" x14ac:dyDescent="0.25">
      <c r="A20" t="s">
        <v>27</v>
      </c>
      <c r="B20" s="9">
        <f>_rhoA*_A/10000</f>
        <v>77.574309472170185</v>
      </c>
    </row>
    <row r="21" spans="1:5" x14ac:dyDescent="0.25">
      <c r="A21" t="s">
        <v>29</v>
      </c>
      <c r="B21" s="9">
        <f>B20*_L_tot</f>
        <v>1241.188951554723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256823.50263212342</v>
      </c>
    </row>
    <row r="24" spans="1:5" x14ac:dyDescent="0.25">
      <c r="A24" t="s">
        <v>31</v>
      </c>
      <c r="B24" s="11">
        <f>(B10-_b/10)*_L_tot*100</f>
        <v>226423.50263212342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162.43010326000976</v>
      </c>
    </row>
    <row r="27" spans="1:5" x14ac:dyDescent="0.25">
      <c r="A27" t="s">
        <v>26</v>
      </c>
      <c r="B27" s="9">
        <f>(B10-_b/10)/_A*100</f>
        <v>143.20337716797698</v>
      </c>
    </row>
    <row r="28" spans="1:5" ht="15.75" thickBot="1" x14ac:dyDescent="0.3"/>
    <row r="29" spans="1:5" ht="15.75" thickBot="1" x14ac:dyDescent="0.3">
      <c r="A29" s="77" t="s">
        <v>16</v>
      </c>
      <c r="B29" s="78"/>
    </row>
    <row r="30" spans="1:5" x14ac:dyDescent="0.25">
      <c r="A30" t="s">
        <v>17</v>
      </c>
      <c r="B30" s="23">
        <f>_A*100*_fy/1000</f>
        <v>3508.1375621172501</v>
      </c>
    </row>
    <row r="31" spans="1:5" x14ac:dyDescent="0.25">
      <c r="A31" t="s">
        <v>22</v>
      </c>
      <c r="B31" s="23">
        <f>_Av*100*_fy/(1000*SQRT(3))</f>
        <v>1042.1194079466816</v>
      </c>
      <c r="D31" s="79" t="s">
        <v>34</v>
      </c>
      <c r="E31" s="80"/>
    </row>
    <row r="32" spans="1:5" x14ac:dyDescent="0.25">
      <c r="A32" t="s">
        <v>18</v>
      </c>
      <c r="B32" s="23">
        <f>_Wel_y*1000*_fy*10^(-6)</f>
        <v>532.34222222222229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62.592105263157897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603.85500000000002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98.086500000000001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4.7465753424657535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40.297872340425535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44.765957446808507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77" t="s">
        <v>133</v>
      </c>
      <c r="B47" s="78"/>
    </row>
    <row r="48" spans="1:5" x14ac:dyDescent="0.25">
      <c r="A48" s="114" t="s">
        <v>130</v>
      </c>
      <c r="B48" s="115">
        <f>E19+H7</f>
        <v>6.8560492004849909</v>
      </c>
    </row>
    <row r="49" spans="1:4" x14ac:dyDescent="0.25">
      <c r="A49" s="28" t="s">
        <v>132</v>
      </c>
      <c r="B49" s="53">
        <v>34.200000000000003</v>
      </c>
      <c r="D49" s="24" t="s">
        <v>229</v>
      </c>
    </row>
    <row r="50" spans="1:4" x14ac:dyDescent="0.25">
      <c r="A50" s="15" t="s">
        <v>324</v>
      </c>
      <c r="B50" s="113">
        <v>55.1</v>
      </c>
    </row>
    <row r="51" spans="1:4" x14ac:dyDescent="0.25">
      <c r="A51" s="16" t="s">
        <v>325</v>
      </c>
      <c r="B51" s="110">
        <v>55.1</v>
      </c>
    </row>
    <row r="52" spans="1:4" x14ac:dyDescent="0.25">
      <c r="A52" s="28" t="s">
        <v>228</v>
      </c>
      <c r="B52" s="50">
        <v>13.47</v>
      </c>
    </row>
    <row r="53" spans="1:4" x14ac:dyDescent="0.25">
      <c r="A53" s="15" t="s">
        <v>237</v>
      </c>
      <c r="B53" s="51">
        <v>14.74</v>
      </c>
    </row>
    <row r="54" spans="1:4" x14ac:dyDescent="0.25">
      <c r="A54" s="15" t="s">
        <v>238</v>
      </c>
      <c r="B54" s="51">
        <v>-19.5</v>
      </c>
    </row>
    <row r="55" spans="1:4" x14ac:dyDescent="0.25">
      <c r="A55" s="15" t="s">
        <v>230</v>
      </c>
      <c r="B55" s="51">
        <v>11.67</v>
      </c>
    </row>
    <row r="56" spans="1:4" x14ac:dyDescent="0.25">
      <c r="A56" s="15" t="s">
        <v>231</v>
      </c>
      <c r="B56" s="51">
        <v>25.17</v>
      </c>
    </row>
    <row r="57" spans="1:4" x14ac:dyDescent="0.25">
      <c r="A57" s="15" t="s">
        <v>232</v>
      </c>
      <c r="B57" s="51">
        <v>12</v>
      </c>
    </row>
    <row r="58" spans="1:4" x14ac:dyDescent="0.25">
      <c r="A58" s="16" t="s">
        <v>233</v>
      </c>
      <c r="B58" s="52">
        <v>-19.5</v>
      </c>
    </row>
    <row r="59" spans="1:4" x14ac:dyDescent="0.25">
      <c r="A59" s="28" t="s">
        <v>234</v>
      </c>
      <c r="B59" s="50">
        <v>66.650000000000006</v>
      </c>
    </row>
    <row r="60" spans="1:4" x14ac:dyDescent="0.25">
      <c r="A60" s="15" t="s">
        <v>239</v>
      </c>
      <c r="B60" s="51">
        <v>96.16</v>
      </c>
    </row>
    <row r="61" spans="1:4" x14ac:dyDescent="0.25">
      <c r="A61" s="15" t="s">
        <v>240</v>
      </c>
      <c r="B61" s="51">
        <v>-71.05</v>
      </c>
    </row>
    <row r="62" spans="1:4" x14ac:dyDescent="0.25">
      <c r="A62" s="15" t="s">
        <v>235</v>
      </c>
      <c r="B62" s="51">
        <v>63.95</v>
      </c>
    </row>
    <row r="63" spans="1:4" x14ac:dyDescent="0.25">
      <c r="A63" s="15" t="s">
        <v>241</v>
      </c>
      <c r="B63" s="51">
        <v>111.9</v>
      </c>
    </row>
    <row r="64" spans="1:4" x14ac:dyDescent="0.25">
      <c r="A64" s="15" t="s">
        <v>242</v>
      </c>
      <c r="B64" s="51">
        <v>-41.81</v>
      </c>
    </row>
    <row r="65" spans="1:9" x14ac:dyDescent="0.25">
      <c r="A65" s="15" t="s">
        <v>236</v>
      </c>
      <c r="B65" s="51">
        <v>49.15</v>
      </c>
    </row>
    <row r="66" spans="1:9" x14ac:dyDescent="0.25">
      <c r="A66" s="54" t="s">
        <v>243</v>
      </c>
      <c r="B66" s="51">
        <v>58.96</v>
      </c>
    </row>
    <row r="67" spans="1:9" x14ac:dyDescent="0.25">
      <c r="A67" s="16" t="s">
        <v>244</v>
      </c>
      <c r="B67" s="52">
        <v>-71.06</v>
      </c>
    </row>
    <row r="68" spans="1:9" ht="15.75" thickBot="1" x14ac:dyDescent="0.3"/>
    <row r="69" spans="1:9" ht="15.75" thickBot="1" x14ac:dyDescent="0.3">
      <c r="A69" s="77" t="s">
        <v>134</v>
      </c>
      <c r="B69" s="78"/>
    </row>
    <row r="70" spans="1:9" x14ac:dyDescent="0.25">
      <c r="A70" t="s">
        <v>123</v>
      </c>
      <c r="B70" s="23">
        <f>_Wpl_y*1000*_fy*10^(-6)</f>
        <v>603.85500000000002</v>
      </c>
    </row>
    <row r="71" spans="1:9" x14ac:dyDescent="0.25">
      <c r="A71" t="s">
        <v>245</v>
      </c>
      <c r="B71" s="23">
        <f>_Av*100*_fy/(1000*SQRT(3))</f>
        <v>1042.1194079466816</v>
      </c>
    </row>
    <row r="72" spans="1:9" x14ac:dyDescent="0.25">
      <c r="B72" s="23"/>
    </row>
    <row r="73" spans="1:9" x14ac:dyDescent="0.25">
      <c r="A73" s="21"/>
      <c r="B73" s="62" t="s">
        <v>246</v>
      </c>
      <c r="C73" s="63" t="s">
        <v>247</v>
      </c>
      <c r="D73" s="22" t="s">
        <v>248</v>
      </c>
      <c r="F73" s="21"/>
      <c r="G73" s="65" t="s">
        <v>246</v>
      </c>
      <c r="H73" s="66" t="s">
        <v>247</v>
      </c>
      <c r="I73" s="29" t="s">
        <v>248</v>
      </c>
    </row>
    <row r="74" spans="1:9" x14ac:dyDescent="0.25">
      <c r="A74" s="15" t="s">
        <v>141</v>
      </c>
      <c r="B74" s="59">
        <f>MAX(B60,ABS(B61))/_Mpl_Rd</f>
        <v>0.15924352700565533</v>
      </c>
      <c r="C74" s="55">
        <f>MAX(B63,ABS(B64))/_Mpl_Rd</f>
        <v>0.18530938718732146</v>
      </c>
      <c r="D74" s="17">
        <f>MAX(B66,ABS(B67))/_Mpl_Rd</f>
        <v>0.11767725695738215</v>
      </c>
      <c r="F74" s="15" t="s">
        <v>141</v>
      </c>
      <c r="G74" s="67">
        <f>B74</f>
        <v>0.15924352700565533</v>
      </c>
      <c r="H74" s="68">
        <f t="shared" ref="H74:I74" si="0">C74</f>
        <v>0.18530938718732146</v>
      </c>
      <c r="I74" s="69">
        <f t="shared" si="0"/>
        <v>0.11767725695738215</v>
      </c>
    </row>
    <row r="75" spans="1:9" x14ac:dyDescent="0.25">
      <c r="A75" s="15" t="s">
        <v>142</v>
      </c>
      <c r="B75" s="59">
        <f>B59/B71</f>
        <v>6.3956202611486199E-2</v>
      </c>
      <c r="C75" s="55">
        <f>B62/B71</f>
        <v>6.1365328687239942E-2</v>
      </c>
      <c r="D75" s="17">
        <f>B65/B71</f>
        <v>4.7163501250630853E-2</v>
      </c>
      <c r="F75" s="15" t="s">
        <v>142</v>
      </c>
      <c r="G75" s="59">
        <f>B75</f>
        <v>6.3956202611486199E-2</v>
      </c>
      <c r="H75" s="55">
        <f t="shared" ref="H75" si="1">C75</f>
        <v>6.1365328687239942E-2</v>
      </c>
      <c r="I75" s="17">
        <f t="shared" ref="I75" si="2">D75</f>
        <v>4.7163501250630853E-2</v>
      </c>
    </row>
    <row r="76" spans="1:9" x14ac:dyDescent="0.25">
      <c r="A76" s="15" t="s">
        <v>252</v>
      </c>
      <c r="B76" s="60">
        <f>1/B74</f>
        <v>6.2796900998336103</v>
      </c>
      <c r="C76" s="56">
        <f t="shared" ref="C76:D76" si="3">1/C74</f>
        <v>5.3963806970509385</v>
      </c>
      <c r="D76" s="57">
        <f t="shared" si="3"/>
        <v>8.4978187447227693</v>
      </c>
      <c r="F76" s="15" t="s">
        <v>254</v>
      </c>
      <c r="G76" s="60">
        <v>521.97</v>
      </c>
      <c r="H76" s="56">
        <v>546.22</v>
      </c>
      <c r="I76" s="57">
        <v>496.55</v>
      </c>
    </row>
    <row r="77" spans="1:9" x14ac:dyDescent="0.25">
      <c r="A77" s="15" t="s">
        <v>253</v>
      </c>
      <c r="B77" s="60">
        <v>5.4870000000000001</v>
      </c>
      <c r="C77" s="56">
        <v>4.9240000000000004</v>
      </c>
      <c r="D77" s="57">
        <v>6.9660000000000002</v>
      </c>
      <c r="F77" s="15" t="s">
        <v>249</v>
      </c>
      <c r="G77" s="59">
        <f>SQRT(_Mpl_Rd/G76)</f>
        <v>1.0755820898480224</v>
      </c>
      <c r="H77" s="55">
        <f>SQRT(_Mpl_Rd/H76)</f>
        <v>1.0514352535543854</v>
      </c>
      <c r="I77" s="17">
        <f>SQRT(_Mpl_Rd/I76)</f>
        <v>1.1027697391446936</v>
      </c>
    </row>
    <row r="78" spans="1:9" x14ac:dyDescent="0.25">
      <c r="A78" s="15" t="s">
        <v>249</v>
      </c>
      <c r="B78" s="59">
        <f>SQRT(B76/B77)</f>
        <v>1.0697976163788039</v>
      </c>
      <c r="C78" s="55">
        <f t="shared" ref="C78:D78" si="4">SQRT(C76/C77)</f>
        <v>1.0468688272173641</v>
      </c>
      <c r="D78" s="17">
        <f t="shared" si="4"/>
        <v>1.1044905303869459</v>
      </c>
      <c r="F78" s="15" t="s">
        <v>167</v>
      </c>
      <c r="G78" s="60">
        <f>IF(_h/_b&lt;=2,0.21,0.34)</f>
        <v>0.34</v>
      </c>
      <c r="H78" s="56">
        <f>IF(_h/_b&lt;=2,0.21,0.34)</f>
        <v>0.34</v>
      </c>
      <c r="I78" s="57">
        <f>IF(_h/_b&lt;=2,0.21,0.34)</f>
        <v>0.34</v>
      </c>
    </row>
    <row r="79" spans="1:9" x14ac:dyDescent="0.25">
      <c r="A79" s="15" t="s">
        <v>167</v>
      </c>
      <c r="B79" s="60">
        <f>IF(_h/_b&lt;=2,0.21,0.34)</f>
        <v>0.34</v>
      </c>
      <c r="C79" s="56">
        <f>IF(_h/_b&lt;=2,0.21,0.34)</f>
        <v>0.34</v>
      </c>
      <c r="D79" s="57">
        <f>IF(_h/_b&lt;=2,0.21,0.34)</f>
        <v>0.34</v>
      </c>
      <c r="F79" s="15" t="s">
        <v>250</v>
      </c>
      <c r="G79" s="59">
        <f>0.5*(1+G78*(G77-0.2)+G77^2)</f>
        <v>1.2272873712750836</v>
      </c>
      <c r="H79" s="55">
        <f t="shared" ref="H79:I79" si="5">0.5*(1+H78*(H77-0.2)+H77^2)</f>
        <v>1.1975020393127329</v>
      </c>
      <c r="I79" s="17">
        <f t="shared" si="5"/>
        <v>1.2615214044412257</v>
      </c>
    </row>
    <row r="80" spans="1:9" x14ac:dyDescent="0.25">
      <c r="A80" s="15" t="s">
        <v>250</v>
      </c>
      <c r="B80" s="59">
        <f>0.5*(1+B79*(B78-0.2)+B78^2)</f>
        <v>1.2200990647892818</v>
      </c>
      <c r="C80" s="55">
        <f t="shared" ref="C80:D80" si="6">0.5*(1+C79*(C78-0.2)+C78^2)</f>
        <v>1.1919348713266817</v>
      </c>
      <c r="D80" s="17">
        <f t="shared" si="6"/>
        <v>1.2637130560229994</v>
      </c>
      <c r="F80" s="15" t="s">
        <v>251</v>
      </c>
      <c r="G80" s="59">
        <f>1/(G79+SQRT(G79^2-G77^2))</f>
        <v>0.54994850835187725</v>
      </c>
      <c r="H80" s="55">
        <f t="shared" ref="H80:I80" si="7">1/(H79+SQRT(H79^2-H77^2))</f>
        <v>0.56476533795169126</v>
      </c>
      <c r="I80" s="17">
        <f t="shared" si="7"/>
        <v>0.53357025759830123</v>
      </c>
    </row>
    <row r="81" spans="1:9" x14ac:dyDescent="0.25">
      <c r="A81" s="15" t="s">
        <v>251</v>
      </c>
      <c r="B81" s="59">
        <f>1/(B80+SQRT(B80^2-B78^2))</f>
        <v>0.55347596700576529</v>
      </c>
      <c r="C81" s="55">
        <f t="shared" ref="C81:D81" si="8">1/(C80+SQRT(C80^2-C78^2))</f>
        <v>0.56759336517890635</v>
      </c>
      <c r="D81" s="17">
        <f t="shared" si="8"/>
        <v>0.5325453315503752</v>
      </c>
      <c r="F81" s="15" t="s">
        <v>149</v>
      </c>
      <c r="G81" s="60">
        <f>G80*_Mpl_Rd</f>
        <v>332.08915651082287</v>
      </c>
      <c r="H81" s="56">
        <f>H80*_Mpl_Rd</f>
        <v>341.03637314881854</v>
      </c>
      <c r="I81" s="57">
        <f>I80*_Mpl_Rd</f>
        <v>322.19906790202219</v>
      </c>
    </row>
    <row r="82" spans="1:9" x14ac:dyDescent="0.25">
      <c r="A82" s="15" t="s">
        <v>149</v>
      </c>
      <c r="B82" s="60">
        <f>B81*_Mpl_Rd</f>
        <v>334.21923005626638</v>
      </c>
      <c r="C82" s="56">
        <f>C81*_Mpl_Rd</f>
        <v>342.74409153010851</v>
      </c>
      <c r="D82" s="57">
        <f>D81*_Mpl_Rd</f>
        <v>321.58016118335183</v>
      </c>
      <c r="F82" s="16" t="s">
        <v>150</v>
      </c>
      <c r="G82" s="61">
        <f>G74/G80</f>
        <v>0.28956079448762767</v>
      </c>
      <c r="H82" s="58">
        <f>H74/H80</f>
        <v>0.32811749364684345</v>
      </c>
      <c r="I82" s="18">
        <f>I74/I80</f>
        <v>0.2205468825924993</v>
      </c>
    </row>
    <row r="83" spans="1:9" x14ac:dyDescent="0.25">
      <c r="A83" s="16" t="s">
        <v>150</v>
      </c>
      <c r="B83" s="61">
        <f>B74/B81</f>
        <v>0.28771534176477903</v>
      </c>
      <c r="C83" s="58">
        <f t="shared" ref="C83:D83" si="9">C74/C81</f>
        <v>0.3264826521164701</v>
      </c>
      <c r="D83" s="18">
        <f t="shared" si="9"/>
        <v>0.22097134269263738</v>
      </c>
    </row>
  </sheetData>
  <mergeCells count="8">
    <mergeCell ref="G1:H1"/>
    <mergeCell ref="A29:B29"/>
    <mergeCell ref="A69:B69"/>
    <mergeCell ref="D31:E31"/>
    <mergeCell ref="A47:B47"/>
    <mergeCell ref="A1:B1"/>
    <mergeCell ref="A9:B9"/>
    <mergeCell ref="D1:E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7"/>
  <sheetViews>
    <sheetView tabSelected="1" topLeftCell="A112" zoomScaleNormal="100" workbookViewId="0">
      <selection activeCell="B135" sqref="B135"/>
    </sheetView>
  </sheetViews>
  <sheetFormatPr baseColWidth="10" defaultRowHeight="15" x14ac:dyDescent="0.25"/>
  <cols>
    <col min="1" max="1" width="32.42578125" bestFit="1" customWidth="1"/>
    <col min="2" max="3" width="16.28515625" bestFit="1" customWidth="1"/>
    <col min="4" max="4" width="15.5703125" bestFit="1" customWidth="1"/>
    <col min="5" max="5" width="13.85546875" bestFit="1" customWidth="1"/>
    <col min="7" max="7" width="21.7109375" bestFit="1" customWidth="1"/>
    <col min="8" max="9" width="20" bestFit="1" customWidth="1"/>
    <col min="10" max="10" width="10.7109375" customWidth="1"/>
    <col min="11" max="11" width="17.7109375" bestFit="1" customWidth="1"/>
    <col min="12" max="12" width="18.42578125" bestFit="1" customWidth="1"/>
    <col min="13" max="13" width="17.7109375" bestFit="1" customWidth="1"/>
    <col min="17" max="17" width="13.85546875" bestFit="1" customWidth="1"/>
  </cols>
  <sheetData>
    <row r="1" spans="1:8" ht="15.75" thickBot="1" x14ac:dyDescent="0.3">
      <c r="A1" s="77" t="s">
        <v>152</v>
      </c>
      <c r="B1" s="78"/>
      <c r="D1" s="77" t="s">
        <v>221</v>
      </c>
      <c r="E1" s="78"/>
      <c r="G1" s="77" t="s">
        <v>65</v>
      </c>
      <c r="H1" s="78"/>
    </row>
    <row r="2" spans="1:8" x14ac:dyDescent="0.25">
      <c r="A2" t="s">
        <v>219</v>
      </c>
      <c r="B2" s="1">
        <v>10</v>
      </c>
      <c r="D2" t="s">
        <v>0</v>
      </c>
      <c r="E2" s="1">
        <v>300</v>
      </c>
      <c r="G2" t="s">
        <v>60</v>
      </c>
      <c r="H2" s="26">
        <f>1/(1/_td-_bfs/(2*(_b_Gauche+_b_Droite)*1000*_td))</f>
        <v>123.71134020618557</v>
      </c>
    </row>
    <row r="3" spans="1:8" x14ac:dyDescent="0.25">
      <c r="A3" t="s">
        <v>223</v>
      </c>
      <c r="B3" s="1">
        <v>1</v>
      </c>
      <c r="D3" t="s">
        <v>260</v>
      </c>
      <c r="E3" s="1">
        <v>120</v>
      </c>
      <c r="G3" t="s">
        <v>77</v>
      </c>
      <c r="H3">
        <v>120</v>
      </c>
    </row>
    <row r="4" spans="1:8" x14ac:dyDescent="0.25">
      <c r="A4" t="s">
        <v>224</v>
      </c>
      <c r="B4" s="1">
        <v>1</v>
      </c>
      <c r="D4" t="s">
        <v>261</v>
      </c>
      <c r="E4" s="1">
        <v>6</v>
      </c>
      <c r="G4" t="s">
        <v>257</v>
      </c>
      <c r="H4">
        <v>10</v>
      </c>
    </row>
    <row r="5" spans="1:8" x14ac:dyDescent="0.25">
      <c r="A5" t="s">
        <v>155</v>
      </c>
      <c r="B5">
        <f>_L/8</f>
        <v>1.25</v>
      </c>
      <c r="D5" t="s">
        <v>262</v>
      </c>
      <c r="E5" s="1">
        <v>150</v>
      </c>
      <c r="G5" t="s">
        <v>258</v>
      </c>
      <c r="H5" s="23">
        <f>(_b_Gauche+_b_Droite)*1000*_td</f>
        <v>240000</v>
      </c>
    </row>
    <row r="6" spans="1:8" x14ac:dyDescent="0.25">
      <c r="A6" t="s">
        <v>156</v>
      </c>
      <c r="B6">
        <f>MIN(_b_Gauche,B5)</f>
        <v>1</v>
      </c>
      <c r="D6" t="s">
        <v>263</v>
      </c>
      <c r="E6" s="1">
        <v>10.7</v>
      </c>
      <c r="G6" t="s">
        <v>227</v>
      </c>
      <c r="H6">
        <v>2500</v>
      </c>
    </row>
    <row r="7" spans="1:8" x14ac:dyDescent="0.25">
      <c r="A7" t="s">
        <v>157</v>
      </c>
      <c r="B7">
        <f>MIN(_b_Droite,B5)</f>
        <v>1</v>
      </c>
      <c r="D7" t="s">
        <v>3</v>
      </c>
      <c r="E7" s="1">
        <v>7.1</v>
      </c>
      <c r="G7" t="s">
        <v>62</v>
      </c>
      <c r="H7" s="1">
        <v>20</v>
      </c>
    </row>
    <row r="8" spans="1:8" x14ac:dyDescent="0.25">
      <c r="A8" t="s">
        <v>158</v>
      </c>
      <c r="B8">
        <f>MIN(1,0.55+0.025*_L/_be1)</f>
        <v>0.8</v>
      </c>
      <c r="D8" t="s">
        <v>32</v>
      </c>
      <c r="E8" s="6">
        <f>_h-_tfs-_tfi</f>
        <v>283.3</v>
      </c>
      <c r="G8" t="s">
        <v>61</v>
      </c>
      <c r="H8">
        <f>_fck_dalle+8</f>
        <v>28</v>
      </c>
    </row>
    <row r="9" spans="1:8" x14ac:dyDescent="0.25">
      <c r="A9" t="s">
        <v>159</v>
      </c>
      <c r="B9">
        <f>MIN(1,0.55+0.025*_L/_be2)</f>
        <v>0.8</v>
      </c>
      <c r="D9" t="s">
        <v>113</v>
      </c>
      <c r="E9" s="6">
        <f>_hw-2*_r</f>
        <v>283.3</v>
      </c>
      <c r="G9" t="s">
        <v>63</v>
      </c>
      <c r="H9" s="26">
        <f>0.3*_fck_dalle^(2/3)</f>
        <v>2.2104188991842313</v>
      </c>
    </row>
    <row r="10" spans="1:8" x14ac:dyDescent="0.25">
      <c r="A10" t="s">
        <v>160</v>
      </c>
      <c r="B10" s="26">
        <f>_be1+_be2</f>
        <v>2</v>
      </c>
      <c r="D10" t="s">
        <v>4</v>
      </c>
      <c r="E10" s="1">
        <v>0</v>
      </c>
      <c r="G10" t="s">
        <v>64</v>
      </c>
      <c r="H10" s="13">
        <f>22*(_fcm_dalle/10)^0.3*1000</f>
        <v>29961.951054640311</v>
      </c>
    </row>
    <row r="11" spans="1:8" x14ac:dyDescent="0.25">
      <c r="A11" t="s">
        <v>161</v>
      </c>
      <c r="B11" s="26">
        <f>_be1*_beta1+_be2*_beta2</f>
        <v>1.6</v>
      </c>
      <c r="E11" s="6"/>
      <c r="G11" t="s">
        <v>129</v>
      </c>
      <c r="H11" s="25">
        <f>_rhoC*_Ac_brute*10^(-6)*9.81/1000</f>
        <v>5.8860000000000001</v>
      </c>
    </row>
    <row r="12" spans="1:8" ht="15.75" thickBot="1" x14ac:dyDescent="0.3">
      <c r="D12" t="s">
        <v>264</v>
      </c>
      <c r="E12" s="6">
        <f>(_bfs-2*_r-_tw)/2</f>
        <v>56.45</v>
      </c>
    </row>
    <row r="13" spans="1:8" ht="15.75" thickBot="1" x14ac:dyDescent="0.3">
      <c r="A13" s="77" t="s">
        <v>256</v>
      </c>
      <c r="B13" s="78"/>
      <c r="D13" t="s">
        <v>38</v>
      </c>
      <c r="E13" s="6">
        <f>_hw-2*_r</f>
        <v>283.3</v>
      </c>
    </row>
    <row r="14" spans="1:8" ht="15.75" thickBot="1" x14ac:dyDescent="0.3">
      <c r="A14" s="7" t="s">
        <v>24</v>
      </c>
      <c r="B14" s="71">
        <f>(2*(_h-2*_r)+_bfs+_bfi+(_bfs-2*_r-_tw)+(_bfi-2*_r-_tw)+2*PI()*_r)/10</f>
        <v>112.58</v>
      </c>
      <c r="D14" t="s">
        <v>284</v>
      </c>
      <c r="E14" s="6">
        <f>(_bfi-2*_r-_tw)/2</f>
        <v>71.45</v>
      </c>
      <c r="G14" s="77" t="s">
        <v>162</v>
      </c>
      <c r="H14" s="78"/>
    </row>
    <row r="15" spans="1:8" x14ac:dyDescent="0.25">
      <c r="A15" t="s">
        <v>5</v>
      </c>
      <c r="B15" s="9">
        <f>(_bfs*_tfs+_bfi*_tfi+(_h-_tfs-_tfi)*_tw+4*(1-PI()/4)*_r^2)/100</f>
        <v>43.3643</v>
      </c>
      <c r="G15" t="s">
        <v>163</v>
      </c>
      <c r="H15" s="10">
        <v>100</v>
      </c>
    </row>
    <row r="16" spans="1:8" x14ac:dyDescent="0.25">
      <c r="A16" t="s">
        <v>6</v>
      </c>
      <c r="B16" s="64">
        <f>((_h-_tfs-_tfi)*_tw)/100</f>
        <v>20.1143</v>
      </c>
      <c r="D16" t="s">
        <v>8</v>
      </c>
      <c r="E16" s="1">
        <v>420</v>
      </c>
      <c r="G16" t="s">
        <v>164</v>
      </c>
      <c r="H16" s="10">
        <v>19</v>
      </c>
    </row>
    <row r="17" spans="1:8" x14ac:dyDescent="0.25">
      <c r="A17" t="s">
        <v>9</v>
      </c>
      <c r="B17" s="4">
        <v>5921.277</v>
      </c>
      <c r="D17" t="s">
        <v>33</v>
      </c>
      <c r="E17" s="14">
        <f>SQRT(235/_fy)</f>
        <v>0.74801324154309567</v>
      </c>
      <c r="G17" t="s">
        <v>166</v>
      </c>
      <c r="H17" s="10">
        <v>450</v>
      </c>
    </row>
    <row r="18" spans="1:8" x14ac:dyDescent="0.25">
      <c r="A18" t="s">
        <v>10</v>
      </c>
      <c r="B18" s="4">
        <v>388.18299999999999</v>
      </c>
      <c r="E18" s="6"/>
      <c r="G18" t="s">
        <v>171</v>
      </c>
      <c r="H18" s="10">
        <v>1</v>
      </c>
    </row>
    <row r="19" spans="1:8" x14ac:dyDescent="0.25">
      <c r="A19" t="s">
        <v>12</v>
      </c>
      <c r="B19" s="4">
        <v>332.58</v>
      </c>
      <c r="D19" t="s">
        <v>23</v>
      </c>
      <c r="E19" s="1">
        <v>7850</v>
      </c>
      <c r="G19" t="s">
        <v>259</v>
      </c>
      <c r="H19" s="10">
        <v>190</v>
      </c>
    </row>
    <row r="20" spans="1:8" x14ac:dyDescent="0.25">
      <c r="A20" t="s">
        <v>13</v>
      </c>
      <c r="B20" s="4">
        <v>51.758000000000003</v>
      </c>
      <c r="D20" t="s">
        <v>124</v>
      </c>
      <c r="E20" s="31">
        <f>_rhoA*_A*10^(-4)*9.81/1000</f>
        <v>0.33394196965500006</v>
      </c>
      <c r="G20" t="s">
        <v>165</v>
      </c>
      <c r="H20" s="3">
        <f>0.8*_fusc*PI()*_dsc^2/4/(1000*1.25)</f>
        <v>81.656276252105897</v>
      </c>
    </row>
    <row r="21" spans="1:8" x14ac:dyDescent="0.25">
      <c r="A21" t="s">
        <v>14</v>
      </c>
      <c r="B21" s="4">
        <v>454.96199999999999</v>
      </c>
      <c r="G21" t="s">
        <v>167</v>
      </c>
      <c r="H21" s="3">
        <f>IF(_hsc/_dsc&gt;=4,1,FALSE)</f>
        <v>1</v>
      </c>
    </row>
    <row r="22" spans="1:8" x14ac:dyDescent="0.25">
      <c r="A22" t="s">
        <v>15</v>
      </c>
      <c r="B22" s="4">
        <v>85.24</v>
      </c>
      <c r="G22" t="s">
        <v>168</v>
      </c>
      <c r="H22" s="3">
        <f>0.29*H21*_dsc^2*SQRT(_fck_dalle*_Ecm_dalle)/(1000*1.25)</f>
        <v>64.832867388792735</v>
      </c>
    </row>
    <row r="23" spans="1:8" x14ac:dyDescent="0.25">
      <c r="G23" t="s">
        <v>172</v>
      </c>
      <c r="H23" s="26">
        <f>MIN(H20,H22)</f>
        <v>64.832867388792735</v>
      </c>
    </row>
    <row r="24" spans="1:8" x14ac:dyDescent="0.25">
      <c r="A24" t="s">
        <v>27</v>
      </c>
      <c r="B24" s="9">
        <f>_rhoA*_A/10000</f>
        <v>34.040975500000002</v>
      </c>
      <c r="G24" t="s">
        <v>173</v>
      </c>
      <c r="H24" s="23">
        <f>_A*100*_fy/1000</f>
        <v>1821.3006</v>
      </c>
    </row>
    <row r="25" spans="1:8" x14ac:dyDescent="0.25">
      <c r="A25" t="s">
        <v>29</v>
      </c>
      <c r="B25" s="9">
        <f>B24*_L</f>
        <v>340.40975500000002</v>
      </c>
      <c r="G25" t="s">
        <v>174</v>
      </c>
      <c r="H25" s="23">
        <f>0.85*_beff_mi_travee*1000*(_td-_tj)*_fck_dalle/1.5/1000</f>
        <v>2493.3333333333335</v>
      </c>
    </row>
    <row r="26" spans="1:8" x14ac:dyDescent="0.25">
      <c r="B26" s="9"/>
      <c r="G26" t="s">
        <v>179</v>
      </c>
      <c r="H26" s="23">
        <f>MIN(H25,H24)</f>
        <v>1821.3006</v>
      </c>
    </row>
    <row r="27" spans="1:8" x14ac:dyDescent="0.25">
      <c r="A27" t="s">
        <v>30</v>
      </c>
      <c r="B27" s="11">
        <f>B14*_L*100</f>
        <v>112580</v>
      </c>
      <c r="G27" t="s">
        <v>180</v>
      </c>
      <c r="H27" s="3">
        <f>_nr*(_L*1000/2)/_sx*_PRd</f>
        <v>1706.128089178756</v>
      </c>
    </row>
    <row r="28" spans="1:8" x14ac:dyDescent="0.25">
      <c r="A28" t="s">
        <v>31</v>
      </c>
      <c r="B28" s="11">
        <f>(B14-_bfs/10)*_L*100</f>
        <v>100580</v>
      </c>
      <c r="G28" t="s">
        <v>181</v>
      </c>
      <c r="H28" s="26">
        <f>MIN(H27/H26,1)</f>
        <v>0.93676359035886547</v>
      </c>
    </row>
    <row r="29" spans="1:8" x14ac:dyDescent="0.25">
      <c r="B29" s="9"/>
      <c r="G29" t="s">
        <v>182</v>
      </c>
      <c r="H29">
        <f>MAX(1-(355/_fy)*(0.75-0.03*_L),0.4)</f>
        <v>0.61964285714285716</v>
      </c>
    </row>
    <row r="30" spans="1:8" x14ac:dyDescent="0.25">
      <c r="A30" t="s">
        <v>25</v>
      </c>
      <c r="B30" s="9">
        <f>B14/_A*100</f>
        <v>259.61447550173762</v>
      </c>
    </row>
    <row r="31" spans="1:8" x14ac:dyDescent="0.25">
      <c r="A31" t="s">
        <v>26</v>
      </c>
      <c r="B31" s="9">
        <f>(B14-_bfs/10)/_A*100</f>
        <v>231.9419430268677</v>
      </c>
    </row>
    <row r="32" spans="1:8" ht="15.75" thickBot="1" x14ac:dyDescent="0.3"/>
    <row r="33" spans="1:11" ht="15.75" thickBot="1" x14ac:dyDescent="0.3">
      <c r="A33" s="77" t="s">
        <v>16</v>
      </c>
      <c r="B33" s="78"/>
    </row>
    <row r="34" spans="1:11" x14ac:dyDescent="0.25">
      <c r="A34" t="s">
        <v>17</v>
      </c>
      <c r="B34" s="23">
        <f>_A*100*_fy/1000</f>
        <v>1821.3006</v>
      </c>
    </row>
    <row r="35" spans="1:11" x14ac:dyDescent="0.25">
      <c r="A35" t="s">
        <v>22</v>
      </c>
      <c r="B35" s="23">
        <f>_Av*100*_fy/(1000*SQRT(3))</f>
        <v>487.74585382155738</v>
      </c>
      <c r="D35" s="79" t="s">
        <v>34</v>
      </c>
      <c r="E35" s="80"/>
      <c r="G35" s="21" t="s">
        <v>44</v>
      </c>
      <c r="H35" s="22"/>
      <c r="J35" s="21" t="s">
        <v>48</v>
      </c>
      <c r="K35" s="22"/>
    </row>
    <row r="36" spans="1:11" x14ac:dyDescent="0.25">
      <c r="A36" t="s">
        <v>18</v>
      </c>
      <c r="B36" s="23">
        <f>_Wel_y*1000*_fy*10^(-6)</f>
        <v>139.68359999999998</v>
      </c>
      <c r="D36" s="15" t="s">
        <v>41</v>
      </c>
      <c r="E36" s="17">
        <f>9*_epsilon</f>
        <v>6.7321191738878614</v>
      </c>
      <c r="G36" s="15" t="s">
        <v>45</v>
      </c>
      <c r="H36" s="19">
        <f>33*_epsilon</f>
        <v>24.684436970922157</v>
      </c>
      <c r="J36" s="15" t="s">
        <v>49</v>
      </c>
      <c r="K36" s="19">
        <f>72*_epsilon</f>
        <v>53.856953391102891</v>
      </c>
    </row>
    <row r="37" spans="1:11" x14ac:dyDescent="0.25">
      <c r="A37" t="s">
        <v>19</v>
      </c>
      <c r="B37" s="23">
        <f>_Wel_z*1000*_fy*10^(-6)</f>
        <v>21.73836</v>
      </c>
      <c r="D37" s="15" t="s">
        <v>42</v>
      </c>
      <c r="E37" s="17">
        <f>10*_epsilon</f>
        <v>7.4801324154309565</v>
      </c>
      <c r="G37" s="15" t="s">
        <v>46</v>
      </c>
      <c r="H37" s="19">
        <f>38*_epsilon</f>
        <v>28.424503178637636</v>
      </c>
      <c r="J37" s="15" t="s">
        <v>50</v>
      </c>
      <c r="K37" s="19">
        <f>83*_epsilon</f>
        <v>62.085099048076941</v>
      </c>
    </row>
    <row r="38" spans="1:11" x14ac:dyDescent="0.25">
      <c r="A38" t="s">
        <v>20</v>
      </c>
      <c r="B38" s="23">
        <f>_Wpl_y*1000*_fy*10^(-6)</f>
        <v>191.08403999999999</v>
      </c>
      <c r="D38" s="16" t="s">
        <v>43</v>
      </c>
      <c r="E38" s="18">
        <f>14*_epsilon</f>
        <v>10.472185381603339</v>
      </c>
      <c r="G38" s="16" t="s">
        <v>47</v>
      </c>
      <c r="H38" s="20">
        <f>42*_epsilon</f>
        <v>31.41655614481002</v>
      </c>
      <c r="J38" s="16" t="s">
        <v>51</v>
      </c>
      <c r="K38" s="20">
        <f>124*_epsilon</f>
        <v>92.753641951343866</v>
      </c>
    </row>
    <row r="39" spans="1:11" x14ac:dyDescent="0.25">
      <c r="A39" t="s">
        <v>21</v>
      </c>
      <c r="B39" s="23">
        <f>_Wpl_z*1000*_fy*10^(-6)</f>
        <v>35.800799999999995</v>
      </c>
    </row>
    <row r="40" spans="1:11" x14ac:dyDescent="0.25">
      <c r="J40" s="79" t="s">
        <v>276</v>
      </c>
      <c r="K40" s="80"/>
    </row>
    <row r="41" spans="1:11" x14ac:dyDescent="0.25">
      <c r="A41" t="s">
        <v>282</v>
      </c>
      <c r="B41" s="3">
        <f>_cf_sup/_tfs</f>
        <v>9.4083333333333332</v>
      </c>
      <c r="J41" s="28" t="s">
        <v>273</v>
      </c>
      <c r="K41" s="74">
        <f>396*_epsilon/(13*B47-1)</f>
        <v>35.433373133731216</v>
      </c>
    </row>
    <row r="42" spans="1:11" x14ac:dyDescent="0.25">
      <c r="A42" t="s">
        <v>40</v>
      </c>
      <c r="B42" s="3">
        <f>_cw/_tw</f>
        <v>39.901408450704231</v>
      </c>
      <c r="J42" s="16" t="s">
        <v>272</v>
      </c>
      <c r="K42" s="20">
        <f>456*_epsilon/(13*B47-1)</f>
        <v>40.802066032781397</v>
      </c>
    </row>
    <row r="43" spans="1:11" x14ac:dyDescent="0.25">
      <c r="A43" t="s">
        <v>283</v>
      </c>
      <c r="B43" s="26">
        <f>_cf_inf/_tfi</f>
        <v>6.6775700934579447</v>
      </c>
      <c r="J43" s="54"/>
      <c r="K43" s="76"/>
    </row>
    <row r="44" spans="1:11" x14ac:dyDescent="0.25">
      <c r="B44" s="3"/>
    </row>
    <row r="45" spans="1:11" x14ac:dyDescent="0.25">
      <c r="A45" t="s">
        <v>269</v>
      </c>
      <c r="B45" s="33">
        <v>121.96</v>
      </c>
      <c r="C45" s="3">
        <f>B45-300</f>
        <v>-178.04000000000002</v>
      </c>
      <c r="J45" s="79" t="s">
        <v>277</v>
      </c>
      <c r="K45" s="80"/>
    </row>
    <row r="46" spans="1:11" x14ac:dyDescent="0.25">
      <c r="A46" t="s">
        <v>270</v>
      </c>
      <c r="B46" s="33">
        <f>B45-31.93</f>
        <v>90.03</v>
      </c>
      <c r="C46" s="3">
        <f>-300+B46</f>
        <v>-209.97</v>
      </c>
      <c r="J46" s="28" t="s">
        <v>274</v>
      </c>
      <c r="K46" s="74">
        <f>36*_epsilon/B47</f>
        <v>37.401762258419005</v>
      </c>
    </row>
    <row r="47" spans="1:11" x14ac:dyDescent="0.25">
      <c r="A47" t="s">
        <v>167</v>
      </c>
      <c r="B47" s="26">
        <f>(_h-B46-_tfs)/_hw</f>
        <v>0.71997882103776911</v>
      </c>
      <c r="J47" s="16" t="s">
        <v>275</v>
      </c>
      <c r="K47" s="20">
        <f>41.5*_epsilon/B47</f>
        <v>43.115920381233018</v>
      </c>
    </row>
    <row r="48" spans="1:11" x14ac:dyDescent="0.25">
      <c r="A48" t="s">
        <v>271</v>
      </c>
      <c r="B48" s="26">
        <f>-(B45-_tfi)/(_hw-B45+_tfi)</f>
        <v>-0.64671006742617987</v>
      </c>
    </row>
    <row r="49" spans="1:11" x14ac:dyDescent="0.25">
      <c r="J49" s="79" t="s">
        <v>278</v>
      </c>
      <c r="K49" s="80"/>
    </row>
    <row r="50" spans="1:11" x14ac:dyDescent="0.25">
      <c r="A50" t="s">
        <v>265</v>
      </c>
      <c r="B50">
        <f>IF(B41&lt;=E36,1,IF(B41&lt;=E37,2,IF(B41&lt;=E38,3,4)))</f>
        <v>3</v>
      </c>
      <c r="J50" s="21" t="s">
        <v>279</v>
      </c>
      <c r="K50" s="75">
        <f>42*_epsilon/(0.67+0.33*B48)</f>
        <v>68.807581305815532</v>
      </c>
    </row>
    <row r="51" spans="1:11" x14ac:dyDescent="0.25">
      <c r="A51" t="s">
        <v>35</v>
      </c>
      <c r="B51">
        <f>IF(B42&lt;=H36,1,IF(B42&lt;=H37,2,IF(B42&lt;=H38,3,4)))</f>
        <v>4</v>
      </c>
    </row>
    <row r="52" spans="1:11" x14ac:dyDescent="0.25">
      <c r="A52" t="s">
        <v>36</v>
      </c>
      <c r="B52">
        <f>IF(B47&gt;0.5,IF(B42&lt;=K41,1,IF(B42&lt;=K42,2,IF(B48&gt;-1,IF(B42&lt;=K50,3,4),IF(B42&lt;=K54,3,4)))),IF(B42&lt;=K46,1,IF(B42&lt;=K47,2,IF(B48&gt;-1,IF(B42&lt;=K50,3,4),IF(B42&lt;=K54,3,4)))))</f>
        <v>2</v>
      </c>
      <c r="J52" s="79" t="s">
        <v>280</v>
      </c>
      <c r="K52" s="80"/>
    </row>
    <row r="53" spans="1:11" x14ac:dyDescent="0.25">
      <c r="A53" t="s">
        <v>285</v>
      </c>
      <c r="B53">
        <f>IF(B43&lt;=E36,1,IF(B43&lt;=E37,2,IF(B43&lt;=E38,3,4)))</f>
        <v>1</v>
      </c>
      <c r="J53" s="72"/>
      <c r="K53" s="73"/>
    </row>
    <row r="54" spans="1:11" x14ac:dyDescent="0.25">
      <c r="J54" s="21" t="s">
        <v>281</v>
      </c>
      <c r="K54" s="75">
        <f>62*_epsilon*(1-B48)*SQRT(-B48)</f>
        <v>61.414783744295001</v>
      </c>
    </row>
    <row r="55" spans="1:11" x14ac:dyDescent="0.25">
      <c r="A55" t="s">
        <v>267</v>
      </c>
    </row>
    <row r="56" spans="1:11" x14ac:dyDescent="0.25">
      <c r="A56" t="s">
        <v>268</v>
      </c>
    </row>
    <row r="58" spans="1:11" x14ac:dyDescent="0.25">
      <c r="A58" t="s">
        <v>52</v>
      </c>
      <c r="B58" s="3">
        <f>_hw/_tw</f>
        <v>39.901408450704231</v>
      </c>
    </row>
    <row r="59" spans="1:11" x14ac:dyDescent="0.25">
      <c r="A59" t="s">
        <v>286</v>
      </c>
      <c r="B59" s="3">
        <f>72*_epsilon/1</f>
        <v>53.856953391102891</v>
      </c>
    </row>
    <row r="60" spans="1:11" x14ac:dyDescent="0.25">
      <c r="A60" t="s">
        <v>51</v>
      </c>
      <c r="B60" s="3">
        <f>124*_epsilon</f>
        <v>92.753641951343866</v>
      </c>
    </row>
    <row r="62" spans="1:11" ht="15.75" thickBot="1" x14ac:dyDescent="0.3">
      <c r="A62" s="54"/>
      <c r="B62" s="70"/>
    </row>
    <row r="63" spans="1:11" ht="15.75" thickBot="1" x14ac:dyDescent="0.3">
      <c r="A63" s="83" t="s">
        <v>188</v>
      </c>
      <c r="B63" s="84"/>
    </row>
    <row r="64" spans="1:11" x14ac:dyDescent="0.25">
      <c r="A64" t="s">
        <v>95</v>
      </c>
      <c r="B64" s="26">
        <f>210000/_Ecm_dalle</f>
        <v>7.008889361611736</v>
      </c>
    </row>
    <row r="65" spans="1:5" x14ac:dyDescent="0.25">
      <c r="A65" t="s">
        <v>96</v>
      </c>
      <c r="B65" s="1">
        <v>0.55000000000000004</v>
      </c>
      <c r="D65" s="21" t="s">
        <v>97</v>
      </c>
      <c r="E65" s="22"/>
    </row>
    <row r="66" spans="1:5" x14ac:dyDescent="0.25">
      <c r="A66" t="s">
        <v>100</v>
      </c>
      <c r="B66" s="1">
        <f>50/100</f>
        <v>0.5</v>
      </c>
      <c r="D66" s="28" t="s">
        <v>98</v>
      </c>
      <c r="E66" s="29">
        <v>1.1000000000000001</v>
      </c>
    </row>
    <row r="67" spans="1:5" x14ac:dyDescent="0.25">
      <c r="A67" t="s">
        <v>60</v>
      </c>
      <c r="B67" s="32">
        <f>_h0_dalle</f>
        <v>123.71134020618557</v>
      </c>
      <c r="D67" s="16" t="s">
        <v>99</v>
      </c>
      <c r="E67" s="30">
        <v>0.55000000000000004</v>
      </c>
    </row>
    <row r="68" spans="1:5" x14ac:dyDescent="0.25">
      <c r="A68" t="s">
        <v>101</v>
      </c>
      <c r="B68" s="25">
        <f>IF(_fck_dalle&lt;=35,1+(1-B66)/(0.1*B67^(1/3)),FALSE)</f>
        <v>2.0034602351846282</v>
      </c>
    </row>
    <row r="69" spans="1:5" x14ac:dyDescent="0.25">
      <c r="A69" t="s">
        <v>102</v>
      </c>
      <c r="B69" s="34">
        <f>16.8/SQRT(_fcm_dalle)</f>
        <v>3.1749015732775088</v>
      </c>
    </row>
    <row r="70" spans="1:5" x14ac:dyDescent="0.25">
      <c r="A70" t="s">
        <v>103</v>
      </c>
      <c r="B70" s="1">
        <v>1</v>
      </c>
    </row>
    <row r="71" spans="1:5" x14ac:dyDescent="0.25">
      <c r="A71" t="s">
        <v>104</v>
      </c>
      <c r="B71">
        <v>18250</v>
      </c>
    </row>
    <row r="72" spans="1:5" x14ac:dyDescent="0.25">
      <c r="A72" t="s">
        <v>105</v>
      </c>
      <c r="B72" s="25">
        <f>1/(0.1+B70^0.2)</f>
        <v>0.90909090909090906</v>
      </c>
    </row>
    <row r="73" spans="1:5" x14ac:dyDescent="0.25">
      <c r="A73" t="s">
        <v>106</v>
      </c>
      <c r="B73" s="26">
        <f>B68*B69*B72</f>
        <v>5.782535502442367</v>
      </c>
    </row>
    <row r="74" spans="1:5" x14ac:dyDescent="0.25">
      <c r="A74" t="s">
        <v>107</v>
      </c>
      <c r="B74" s="3">
        <f>IF(_fcm_dalle&lt;=35,MIN(B67*1.5*(1+(0.012*B66)^18)+250,1500),FALSE)</f>
        <v>435.56701030927832</v>
      </c>
    </row>
    <row r="75" spans="1:5" x14ac:dyDescent="0.25">
      <c r="A75" t="s">
        <v>108</v>
      </c>
      <c r="B75" s="26">
        <f>((B71-B70)/(B74+B71-B70))^0.3</f>
        <v>0.99294869626582294</v>
      </c>
    </row>
    <row r="76" spans="1:5" x14ac:dyDescent="0.25">
      <c r="A76" t="s">
        <v>109</v>
      </c>
      <c r="B76" s="25">
        <f>B73*B75</f>
        <v>5.7417610882609837</v>
      </c>
    </row>
    <row r="77" spans="1:5" x14ac:dyDescent="0.25">
      <c r="A77" t="s">
        <v>110</v>
      </c>
      <c r="B77" s="26">
        <f>B64*(1+B65*B76)</f>
        <v>29.142741876247484</v>
      </c>
    </row>
    <row r="78" spans="1:5" ht="15.75" thickBot="1" x14ac:dyDescent="0.3">
      <c r="A78" s="54"/>
      <c r="B78" s="70"/>
    </row>
    <row r="79" spans="1:5" ht="15.75" thickBot="1" x14ac:dyDescent="0.3">
      <c r="A79" s="77" t="s">
        <v>79</v>
      </c>
      <c r="B79" s="78"/>
    </row>
    <row r="80" spans="1:5" x14ac:dyDescent="0.25">
      <c r="A80" t="s">
        <v>183</v>
      </c>
      <c r="B80" s="32">
        <f>B77</f>
        <v>29.142741876247484</v>
      </c>
      <c r="C80" s="24"/>
    </row>
    <row r="81" spans="1:8" x14ac:dyDescent="0.25">
      <c r="A81" t="s">
        <v>266</v>
      </c>
      <c r="B81" s="32">
        <f>_beff_mi_travee</f>
        <v>2</v>
      </c>
      <c r="C81" s="24"/>
    </row>
    <row r="82" spans="1:8" x14ac:dyDescent="0.25">
      <c r="B82" s="14"/>
      <c r="C82" s="24"/>
    </row>
    <row r="83" spans="1:8" x14ac:dyDescent="0.25">
      <c r="A83" t="s">
        <v>293</v>
      </c>
      <c r="B83" s="32">
        <v>-22</v>
      </c>
      <c r="C83" s="24" t="s">
        <v>302</v>
      </c>
    </row>
    <row r="85" spans="1:8" x14ac:dyDescent="0.25">
      <c r="A85" s="90" t="s">
        <v>287</v>
      </c>
      <c r="B85" s="21" t="s">
        <v>1</v>
      </c>
      <c r="C85" s="63" t="s">
        <v>292</v>
      </c>
      <c r="D85" s="63" t="s">
        <v>294</v>
      </c>
      <c r="E85" s="63" t="s">
        <v>295</v>
      </c>
      <c r="F85" s="22" t="s">
        <v>297</v>
      </c>
      <c r="G85" s="63" t="s">
        <v>298</v>
      </c>
      <c r="H85" s="22" t="s">
        <v>299</v>
      </c>
    </row>
    <row r="86" spans="1:8" x14ac:dyDescent="0.25">
      <c r="A86" s="35" t="s">
        <v>288</v>
      </c>
      <c r="B86" s="91">
        <f>_beff*1000/_n_dalle</f>
        <v>68.627722418599234</v>
      </c>
      <c r="C86" s="54">
        <f>MIN(MAX(_td-B83,0),_td)</f>
        <v>120</v>
      </c>
      <c r="D86" s="54">
        <f>_td-C86/2</f>
        <v>60</v>
      </c>
      <c r="E86" s="76">
        <f>B86*C86</f>
        <v>8235.3266902319083</v>
      </c>
      <c r="F86" s="92">
        <f>E86*D86</f>
        <v>494119.60141391447</v>
      </c>
      <c r="G86" s="54">
        <f>B86*C86^3/12</f>
        <v>9882392.0282782894</v>
      </c>
      <c r="H86" s="88">
        <f>E86*(D86-$F$92)^2</f>
        <v>55520822.984722495</v>
      </c>
    </row>
    <row r="87" spans="1:8" x14ac:dyDescent="0.25">
      <c r="A87" s="35" t="s">
        <v>289</v>
      </c>
      <c r="B87" s="15">
        <v>120</v>
      </c>
      <c r="C87" s="54">
        <v>6</v>
      </c>
      <c r="D87" s="54">
        <f>-C87/2</f>
        <v>-3</v>
      </c>
      <c r="E87" s="76">
        <f t="shared" ref="E87:E89" si="0">B87*C87</f>
        <v>720</v>
      </c>
      <c r="F87" s="92">
        <f t="shared" ref="F87:F89" si="1">E87*D87</f>
        <v>-2160</v>
      </c>
      <c r="G87" s="54">
        <f t="shared" ref="G87:G89" si="2">B87*C87^3/12</f>
        <v>2160</v>
      </c>
      <c r="H87" s="88">
        <f>E87*(D87-$F$92)^2</f>
        <v>262893.98340079188</v>
      </c>
    </row>
    <row r="88" spans="1:8" x14ac:dyDescent="0.25">
      <c r="A88" s="35" t="s">
        <v>290</v>
      </c>
      <c r="B88" s="15">
        <v>7.1</v>
      </c>
      <c r="C88" s="54">
        <f>_hw</f>
        <v>283.3</v>
      </c>
      <c r="D88" s="54">
        <f>-C87-C88/2</f>
        <v>-147.65</v>
      </c>
      <c r="E88" s="76">
        <f t="shared" si="0"/>
        <v>2011.43</v>
      </c>
      <c r="F88" s="92">
        <f t="shared" si="1"/>
        <v>-296987.63950000005</v>
      </c>
      <c r="G88" s="54">
        <f t="shared" si="2"/>
        <v>13452928.259391665</v>
      </c>
      <c r="H88" s="88">
        <f>E88*(D88-$F$92)^2</f>
        <v>31701536.910552371</v>
      </c>
    </row>
    <row r="89" spans="1:8" x14ac:dyDescent="0.25">
      <c r="A89" s="35" t="s">
        <v>291</v>
      </c>
      <c r="B89" s="15">
        <v>150</v>
      </c>
      <c r="C89" s="54">
        <v>10.7</v>
      </c>
      <c r="D89" s="54">
        <f>-C87-C88-C89/2</f>
        <v>-294.65000000000003</v>
      </c>
      <c r="E89" s="76">
        <f t="shared" si="0"/>
        <v>1605</v>
      </c>
      <c r="F89" s="92">
        <f t="shared" si="1"/>
        <v>-472913.25000000006</v>
      </c>
      <c r="G89" s="54">
        <f t="shared" si="2"/>
        <v>15313.037499999997</v>
      </c>
      <c r="H89" s="88">
        <f>E89*(D89-$F$92)^2</f>
        <v>119217682.1577512</v>
      </c>
    </row>
    <row r="90" spans="1:8" x14ac:dyDescent="0.25">
      <c r="A90" s="90" t="s">
        <v>296</v>
      </c>
      <c r="B90" s="21"/>
      <c r="C90" s="93"/>
      <c r="D90" s="63"/>
      <c r="E90" s="94">
        <f>SUM(E86:E89)</f>
        <v>12571.756690231909</v>
      </c>
      <c r="F90" s="22"/>
      <c r="G90" s="63"/>
      <c r="H90" s="22"/>
    </row>
    <row r="91" spans="1:8" ht="15.75" thickBot="1" x14ac:dyDescent="0.3"/>
    <row r="92" spans="1:8" x14ac:dyDescent="0.25">
      <c r="E92" s="85" t="s">
        <v>90</v>
      </c>
      <c r="F92" s="95">
        <f>SUM(F86:F89)/E90</f>
        <v>-22.108389060857533</v>
      </c>
    </row>
    <row r="93" spans="1:8" x14ac:dyDescent="0.25">
      <c r="C93">
        <f>SUM(E87:E89)*_fy/1000</f>
        <v>1821.3006</v>
      </c>
      <c r="E93" s="86" t="s">
        <v>300</v>
      </c>
      <c r="F93" s="96">
        <f>SUM(G86:H89)</f>
        <v>230055729.36159682</v>
      </c>
    </row>
    <row r="94" spans="1:8" ht="15.75" thickBot="1" x14ac:dyDescent="0.3">
      <c r="E94" s="87" t="s">
        <v>301</v>
      </c>
      <c r="F94" s="97">
        <f>F93*10^(-4)</f>
        <v>23005.572936159682</v>
      </c>
    </row>
    <row r="95" spans="1:8" ht="15.75" thickBot="1" x14ac:dyDescent="0.3"/>
    <row r="96" spans="1:8" ht="15.75" thickBot="1" x14ac:dyDescent="0.3">
      <c r="A96" s="77" t="s">
        <v>111</v>
      </c>
      <c r="B96" s="78"/>
    </row>
    <row r="97" spans="1:17" x14ac:dyDescent="0.25">
      <c r="A97" t="s">
        <v>303</v>
      </c>
      <c r="B97" s="32">
        <v>39.700000000000003</v>
      </c>
      <c r="C97" s="24" t="s">
        <v>302</v>
      </c>
    </row>
    <row r="99" spans="1:17" x14ac:dyDescent="0.25">
      <c r="A99" s="90" t="s">
        <v>287</v>
      </c>
      <c r="B99" s="21" t="s">
        <v>1</v>
      </c>
      <c r="C99" s="63" t="s">
        <v>292</v>
      </c>
      <c r="D99" s="98" t="s">
        <v>308</v>
      </c>
      <c r="E99" s="98" t="s">
        <v>309</v>
      </c>
      <c r="F99" s="102" t="s">
        <v>314</v>
      </c>
      <c r="G99" s="99" t="s">
        <v>315</v>
      </c>
      <c r="H99" s="102" t="s">
        <v>310</v>
      </c>
      <c r="I99" s="98" t="s">
        <v>311</v>
      </c>
      <c r="J99" s="98" t="s">
        <v>306</v>
      </c>
      <c r="K99" s="98" t="s">
        <v>304</v>
      </c>
      <c r="L99" s="99" t="s">
        <v>316</v>
      </c>
      <c r="M99" s="102" t="s">
        <v>312</v>
      </c>
      <c r="N99" s="98" t="s">
        <v>313</v>
      </c>
      <c r="O99" s="98" t="s">
        <v>307</v>
      </c>
      <c r="P99" s="98" t="s">
        <v>305</v>
      </c>
      <c r="Q99" s="99" t="s">
        <v>317</v>
      </c>
    </row>
    <row r="100" spans="1:17" x14ac:dyDescent="0.25">
      <c r="A100" s="35" t="s">
        <v>288</v>
      </c>
      <c r="B100" s="91">
        <f>_beff*1000</f>
        <v>2000</v>
      </c>
      <c r="C100" s="54">
        <v>120</v>
      </c>
      <c r="D100" s="54">
        <f>_td</f>
        <v>120</v>
      </c>
      <c r="E100" s="54">
        <v>0</v>
      </c>
      <c r="F100" s="101">
        <f>0.85*_fck_dalle/1.5</f>
        <v>11.333333333333334</v>
      </c>
      <c r="G100" s="88">
        <v>0</v>
      </c>
      <c r="H100" s="59">
        <f>D100</f>
        <v>120</v>
      </c>
      <c r="I100" s="55">
        <f>IF($B$97&gt;=D100,D100,IF($B$97&lt;=E100,E100,$B$97))</f>
        <v>39.700000000000003</v>
      </c>
      <c r="J100" s="55">
        <f>H100-I100</f>
        <v>80.3</v>
      </c>
      <c r="K100" s="54">
        <f>J100*B100*F100/1000</f>
        <v>1820.1333333333334</v>
      </c>
      <c r="L100" s="88">
        <f>K100*((H100+I100)/2-$B$97)/1000</f>
        <v>73.078353333333311</v>
      </c>
      <c r="M100" s="59">
        <f>I100</f>
        <v>39.700000000000003</v>
      </c>
      <c r="N100" s="54">
        <f>E100</f>
        <v>0</v>
      </c>
      <c r="O100" s="55">
        <f>M100-N100</f>
        <v>39.700000000000003</v>
      </c>
      <c r="P100" s="54">
        <f>O100*B100*G100/1000</f>
        <v>0</v>
      </c>
      <c r="Q100" s="88">
        <f>P100*((M100+N100)/2-$B$97)/1000</f>
        <v>0</v>
      </c>
    </row>
    <row r="101" spans="1:17" x14ac:dyDescent="0.25">
      <c r="A101" s="35" t="s">
        <v>289</v>
      </c>
      <c r="B101" s="15">
        <v>120</v>
      </c>
      <c r="C101" s="54">
        <v>6</v>
      </c>
      <c r="D101" s="54">
        <v>0</v>
      </c>
      <c r="E101" s="54">
        <f>-_tfs</f>
        <v>-6</v>
      </c>
      <c r="F101" s="15">
        <f>_fy</f>
        <v>420</v>
      </c>
      <c r="G101" s="88">
        <f>_fy</f>
        <v>420</v>
      </c>
      <c r="H101" s="59">
        <f t="shared" ref="H101:H103" si="3">D101</f>
        <v>0</v>
      </c>
      <c r="I101" s="55">
        <f t="shared" ref="I101:I103" si="4">IF($B$97&gt;=D101,D101,IF($B$97&lt;=E101,E101,$B$97))</f>
        <v>0</v>
      </c>
      <c r="J101" s="55">
        <f t="shared" ref="J101:J103" si="5">H101-I101</f>
        <v>0</v>
      </c>
      <c r="K101" s="54">
        <f>J101*B101*F101/1000</f>
        <v>0</v>
      </c>
      <c r="L101" s="88">
        <f t="shared" ref="L101:L103" si="6">K101*((H101+I101)/2-$B$97)/1000</f>
        <v>0</v>
      </c>
      <c r="M101" s="59">
        <f>I101</f>
        <v>0</v>
      </c>
      <c r="N101" s="54">
        <f>E101</f>
        <v>-6</v>
      </c>
      <c r="O101" s="55">
        <f>MIN(MAX(($B$97-E101),0),C101)</f>
        <v>6</v>
      </c>
      <c r="P101" s="54">
        <f>-O101*B101*F101/1000</f>
        <v>-302.39999999999998</v>
      </c>
      <c r="Q101" s="88">
        <f t="shared" ref="Q101:Q103" si="7">P101*((M101+N101)/2-$B$97)/1000</f>
        <v>12.91248</v>
      </c>
    </row>
    <row r="102" spans="1:17" x14ac:dyDescent="0.25">
      <c r="A102" s="35" t="s">
        <v>290</v>
      </c>
      <c r="B102" s="15">
        <v>7.1</v>
      </c>
      <c r="C102" s="54">
        <f>_hw</f>
        <v>283.3</v>
      </c>
      <c r="D102" s="54">
        <f>-_tfs</f>
        <v>-6</v>
      </c>
      <c r="E102" s="54">
        <f>-_tfs-_hw</f>
        <v>-289.3</v>
      </c>
      <c r="F102" s="15">
        <f>_fy</f>
        <v>420</v>
      </c>
      <c r="G102" s="88">
        <f>_fy</f>
        <v>420</v>
      </c>
      <c r="H102" s="59">
        <f t="shared" si="3"/>
        <v>-6</v>
      </c>
      <c r="I102" s="55">
        <f t="shared" si="4"/>
        <v>-6</v>
      </c>
      <c r="J102" s="55">
        <f t="shared" si="5"/>
        <v>0</v>
      </c>
      <c r="K102" s="54">
        <f>MIN(MAX((D102-$B$97),0),C102)*B102*F102/1000</f>
        <v>0</v>
      </c>
      <c r="L102" s="88">
        <f t="shared" si="6"/>
        <v>0</v>
      </c>
      <c r="M102" s="59">
        <f>I102</f>
        <v>-6</v>
      </c>
      <c r="N102" s="54">
        <f>E102</f>
        <v>-289.3</v>
      </c>
      <c r="O102" s="55">
        <f>MIN(MAX(($B$97-E102),0),C102)</f>
        <v>283.3</v>
      </c>
      <c r="P102" s="54">
        <f>-MIN(MAX(($B$97-E102),0),C102)*B102*F102/1000</f>
        <v>-844.80060000000003</v>
      </c>
      <c r="Q102" s="88">
        <f t="shared" si="7"/>
        <v>158.27339241000004</v>
      </c>
    </row>
    <row r="103" spans="1:17" x14ac:dyDescent="0.25">
      <c r="A103" s="35" t="s">
        <v>291</v>
      </c>
      <c r="B103" s="15">
        <v>150</v>
      </c>
      <c r="C103" s="54">
        <v>10.7</v>
      </c>
      <c r="D103" s="54">
        <f>-_tfs-_hw</f>
        <v>-289.3</v>
      </c>
      <c r="E103" s="54">
        <f>-_h</f>
        <v>-300</v>
      </c>
      <c r="F103" s="15">
        <f>_fy</f>
        <v>420</v>
      </c>
      <c r="G103" s="88">
        <f>_fy</f>
        <v>420</v>
      </c>
      <c r="H103" s="61">
        <f t="shared" si="3"/>
        <v>-289.3</v>
      </c>
      <c r="I103" s="58">
        <f t="shared" si="4"/>
        <v>-289.3</v>
      </c>
      <c r="J103" s="58">
        <f t="shared" si="5"/>
        <v>0</v>
      </c>
      <c r="K103" s="89">
        <f>MIN(MAX((D103-$B$97),0),C103)*B103*F103/1000</f>
        <v>0</v>
      </c>
      <c r="L103" s="30">
        <f t="shared" si="6"/>
        <v>0</v>
      </c>
      <c r="M103" s="61">
        <f>I103</f>
        <v>-289.3</v>
      </c>
      <c r="N103" s="89">
        <f>E103</f>
        <v>-300</v>
      </c>
      <c r="O103" s="58">
        <f>MIN(MAX(($B$97-E103),0),C103)</f>
        <v>10.7</v>
      </c>
      <c r="P103" s="89">
        <f>-MIN(MAX(($B$97-E103),0),C103)*B103*F103/1000</f>
        <v>-674.1</v>
      </c>
      <c r="Q103" s="30">
        <f t="shared" si="7"/>
        <v>225.385335</v>
      </c>
    </row>
    <row r="104" spans="1:17" x14ac:dyDescent="0.25">
      <c r="A104" s="90" t="s">
        <v>296</v>
      </c>
      <c r="B104" s="21"/>
      <c r="C104" s="93"/>
      <c r="D104" s="63"/>
      <c r="E104" s="63"/>
      <c r="F104" s="21"/>
      <c r="G104" s="22"/>
      <c r="H104" s="16"/>
      <c r="I104" s="89"/>
      <c r="J104" s="89"/>
      <c r="K104" s="103">
        <f>SUM(K100:K103)</f>
        <v>1820.1333333333334</v>
      </c>
      <c r="L104" s="104">
        <f>SUM(L100:L103)</f>
        <v>73.078353333333311</v>
      </c>
      <c r="M104" s="109"/>
      <c r="N104" s="103"/>
      <c r="O104" s="103"/>
      <c r="P104" s="103">
        <f>SUM(P100:P103)</f>
        <v>-1821.3006</v>
      </c>
      <c r="Q104" s="104">
        <f>SUM(Q100:Q103)</f>
        <v>396.57120741000006</v>
      </c>
    </row>
    <row r="105" spans="1:17" ht="15.75" thickBot="1" x14ac:dyDescent="0.3">
      <c r="P105" s="54"/>
    </row>
    <row r="106" spans="1:17" x14ac:dyDescent="0.25">
      <c r="D106" s="105" t="s">
        <v>318</v>
      </c>
      <c r="E106" s="106">
        <f>K104+P104</f>
        <v>-1.1672666666665918</v>
      </c>
      <c r="G106" t="s">
        <v>320</v>
      </c>
      <c r="H106" s="23">
        <f>(_td-B97)/(_h+_td)*100</f>
        <v>19.11904761904762</v>
      </c>
    </row>
    <row r="107" spans="1:17" ht="15.75" thickBot="1" x14ac:dyDescent="0.3">
      <c r="D107" s="107" t="s">
        <v>319</v>
      </c>
      <c r="E107" s="108">
        <f>L104+Q104</f>
        <v>469.64956074333338</v>
      </c>
      <c r="G107" t="s">
        <v>321</v>
      </c>
      <c r="H107" s="25">
        <f>IF(H106&lt;=15,1,IF(H106&gt;=40,0.85,1+(H106-15)/(40-15)*(0.85-1)))</f>
        <v>0.97528571428571431</v>
      </c>
    </row>
    <row r="109" spans="1:17" ht="15.75" thickBot="1" x14ac:dyDescent="0.3"/>
    <row r="110" spans="1:17" ht="15.75" thickBot="1" x14ac:dyDescent="0.3">
      <c r="A110" s="77" t="s">
        <v>133</v>
      </c>
      <c r="B110" s="78"/>
    </row>
    <row r="111" spans="1:17" x14ac:dyDescent="0.25">
      <c r="A111" t="s">
        <v>130</v>
      </c>
      <c r="B111" s="27">
        <f>H11+E20</f>
        <v>6.2199419696550002</v>
      </c>
      <c r="C111" s="26">
        <f>B111*1.35</f>
        <v>8.3969216590342501</v>
      </c>
    </row>
    <row r="112" spans="1:17" x14ac:dyDescent="0.25">
      <c r="A112" t="s">
        <v>322</v>
      </c>
      <c r="B112" s="27">
        <v>2</v>
      </c>
      <c r="C112" s="26"/>
    </row>
    <row r="113" spans="1:4" x14ac:dyDescent="0.25">
      <c r="A113" s="28" t="s">
        <v>132</v>
      </c>
      <c r="B113" s="111">
        <f>B111*_L/2</f>
        <v>31.099709848275001</v>
      </c>
    </row>
    <row r="114" spans="1:4" x14ac:dyDescent="0.25">
      <c r="A114" s="16" t="s">
        <v>131</v>
      </c>
      <c r="B114" s="112">
        <f>B111*_L^2/8</f>
        <v>77.749274620687501</v>
      </c>
      <c r="D114" s="24"/>
    </row>
    <row r="115" spans="1:4" x14ac:dyDescent="0.25">
      <c r="A115" s="28" t="s">
        <v>203</v>
      </c>
      <c r="B115" s="111">
        <f>B112*(_b_Gauche+_b_Droite)*_L/2</f>
        <v>20</v>
      </c>
      <c r="D115" s="24"/>
    </row>
    <row r="116" spans="1:4" x14ac:dyDescent="0.25">
      <c r="A116" s="16" t="s">
        <v>204</v>
      </c>
      <c r="B116" s="112">
        <f>B112*(_b_Gauche+_b_Droite)*_L^2/8</f>
        <v>50</v>
      </c>
      <c r="D116" s="24"/>
    </row>
    <row r="117" spans="1:4" x14ac:dyDescent="0.25">
      <c r="A117" s="28" t="s">
        <v>205</v>
      </c>
      <c r="B117" s="53">
        <v>0.5</v>
      </c>
      <c r="D117" s="24"/>
    </row>
    <row r="118" spans="1:4" x14ac:dyDescent="0.25">
      <c r="A118" s="16" t="s">
        <v>206</v>
      </c>
      <c r="B118" s="110">
        <f>B117*_L/2</f>
        <v>2.5</v>
      </c>
      <c r="D118" s="24"/>
    </row>
    <row r="119" spans="1:4" x14ac:dyDescent="0.25">
      <c r="A119" s="28" t="s">
        <v>135</v>
      </c>
      <c r="B119" s="53">
        <f>4*(_L-4)/_L</f>
        <v>2.4</v>
      </c>
      <c r="D119" s="24"/>
    </row>
    <row r="120" spans="1:4" x14ac:dyDescent="0.25">
      <c r="A120" s="16" t="s">
        <v>323</v>
      </c>
      <c r="B120" s="110">
        <f>B119*_L/2</f>
        <v>12</v>
      </c>
      <c r="D120" s="24"/>
    </row>
    <row r="121" spans="1:4" x14ac:dyDescent="0.25">
      <c r="A121" s="100" t="s">
        <v>326</v>
      </c>
      <c r="B121" s="117">
        <f>325*10^(-6)</f>
        <v>3.2499999999999999E-4</v>
      </c>
      <c r="D121" s="24"/>
    </row>
    <row r="122" spans="1:4" x14ac:dyDescent="0.25">
      <c r="A122" s="116" t="s">
        <v>327</v>
      </c>
      <c r="B122" s="118">
        <v>210000</v>
      </c>
      <c r="D122" s="24"/>
    </row>
    <row r="123" spans="1:4" x14ac:dyDescent="0.25">
      <c r="A123" s="116" t="s">
        <v>226</v>
      </c>
      <c r="B123" s="88">
        <f>_Ac_brute</f>
        <v>240000</v>
      </c>
    </row>
    <row r="124" spans="1:4" x14ac:dyDescent="0.25">
      <c r="A124" s="116" t="s">
        <v>328</v>
      </c>
      <c r="B124" s="57">
        <v>29.142741876247484</v>
      </c>
    </row>
    <row r="125" spans="1:4" x14ac:dyDescent="0.25">
      <c r="A125" s="116" t="s">
        <v>330</v>
      </c>
      <c r="B125" s="57">
        <v>-22.108000000000001</v>
      </c>
    </row>
    <row r="126" spans="1:4" x14ac:dyDescent="0.25">
      <c r="A126" s="116" t="s">
        <v>329</v>
      </c>
      <c r="B126" s="19">
        <f>B121*B122*B123/(1000*B124)</f>
        <v>562.06104660832773</v>
      </c>
    </row>
    <row r="127" spans="1:4" x14ac:dyDescent="0.25">
      <c r="A127" s="119" t="s">
        <v>331</v>
      </c>
      <c r="B127" s="20">
        <f>B126*((_td-_tj)/2+_tj-B125)/1000</f>
        <v>48.960013647958213</v>
      </c>
    </row>
    <row r="128" spans="1:4" x14ac:dyDescent="0.25">
      <c r="A128" s="100" t="s">
        <v>333</v>
      </c>
      <c r="B128" s="74">
        <f>1.35*B113+1.35*B115+1.5*B117</f>
        <v>69.734608295171256</v>
      </c>
      <c r="C128" s="24" t="s">
        <v>336</v>
      </c>
    </row>
    <row r="129" spans="1:3" x14ac:dyDescent="0.25">
      <c r="A129" s="119" t="s">
        <v>332</v>
      </c>
      <c r="B129" s="20">
        <f>1.35*B114+1.35*B116+1.5*B118</f>
        <v>176.21152073792814</v>
      </c>
      <c r="C129" s="24"/>
    </row>
    <row r="130" spans="1:3" x14ac:dyDescent="0.25">
      <c r="A130" s="100" t="s">
        <v>334</v>
      </c>
      <c r="B130" s="74">
        <f>1.35*B113+1.5*B119</f>
        <v>45.584608295171257</v>
      </c>
      <c r="C130" s="24" t="s">
        <v>336</v>
      </c>
    </row>
    <row r="131" spans="1:3" x14ac:dyDescent="0.25">
      <c r="A131" s="119" t="s">
        <v>335</v>
      </c>
      <c r="B131" s="20">
        <f>1.35*B114+1.5*B120</f>
        <v>122.96152073792814</v>
      </c>
    </row>
    <row r="132" spans="1:3" ht="15.75" thickBot="1" x14ac:dyDescent="0.3"/>
    <row r="133" spans="1:3" ht="15.75" thickBot="1" x14ac:dyDescent="0.3">
      <c r="A133" s="77" t="s">
        <v>134</v>
      </c>
      <c r="B133" s="78"/>
    </row>
    <row r="134" spans="1:3" x14ac:dyDescent="0.25">
      <c r="A134" t="s">
        <v>123</v>
      </c>
      <c r="B134" s="23">
        <f>H107*E107</f>
        <v>458.04250731353386</v>
      </c>
    </row>
    <row r="135" spans="1:3" x14ac:dyDescent="0.25">
      <c r="A135" t="s">
        <v>245</v>
      </c>
      <c r="B135" s="23">
        <f>_Av*100*_fy/(1000*SQRT(3))</f>
        <v>487.74585382155738</v>
      </c>
    </row>
    <row r="136" spans="1:3" x14ac:dyDescent="0.25">
      <c r="B136" s="23"/>
    </row>
    <row r="137" spans="1:3" x14ac:dyDescent="0.25">
      <c r="A137" t="s">
        <v>141</v>
      </c>
      <c r="B137">
        <f>B129/_Mpl_Rd</f>
        <v>0.38470560684733546</v>
      </c>
    </row>
  </sheetData>
  <mergeCells count="16">
    <mergeCell ref="J40:K40"/>
    <mergeCell ref="J45:K45"/>
    <mergeCell ref="J49:K49"/>
    <mergeCell ref="J52:K52"/>
    <mergeCell ref="A110:B110"/>
    <mergeCell ref="A133:B133"/>
    <mergeCell ref="A1:B1"/>
    <mergeCell ref="D1:E1"/>
    <mergeCell ref="G1:H1"/>
    <mergeCell ref="A13:B13"/>
    <mergeCell ref="A33:B33"/>
    <mergeCell ref="D35:E35"/>
    <mergeCell ref="A63:B63"/>
    <mergeCell ref="G14:H14"/>
    <mergeCell ref="A79:B79"/>
    <mergeCell ref="A96:B9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221</vt:i4>
      </vt:variant>
    </vt:vector>
  </HeadingPairs>
  <TitlesOfParts>
    <vt:vector size="226" baseType="lpstr">
      <vt:lpstr>Cas 2</vt:lpstr>
      <vt:lpstr>Cas 3</vt:lpstr>
      <vt:lpstr>Cas 4</vt:lpstr>
      <vt:lpstr>Cas 5</vt:lpstr>
      <vt:lpstr>Cas 6</vt:lpstr>
      <vt:lpstr>'Cas 2'!_A</vt:lpstr>
      <vt:lpstr>'Cas 3'!_A</vt:lpstr>
      <vt:lpstr>'Cas 5'!_A</vt:lpstr>
      <vt:lpstr>'Cas 6'!_A</vt:lpstr>
      <vt:lpstr>'Cas 2'!_A0</vt:lpstr>
      <vt:lpstr>'Cas 5'!_Ac</vt:lpstr>
      <vt:lpstr>'Cas 6'!_Ac_brute</vt:lpstr>
      <vt:lpstr>'Cas 2'!_Ace</vt:lpstr>
      <vt:lpstr>'Cas 3'!_Ace</vt:lpstr>
      <vt:lpstr>'Cas 6'!_Ace</vt:lpstr>
      <vt:lpstr>'Cas 2'!_Acr</vt:lpstr>
      <vt:lpstr>'Cas 2'!_As_inf</vt:lpstr>
      <vt:lpstr>'Cas 3'!_As_inf</vt:lpstr>
      <vt:lpstr>'Cas 6'!_As_inf</vt:lpstr>
      <vt:lpstr>'Cas 2'!_Av</vt:lpstr>
      <vt:lpstr>'Cas 3'!_Av</vt:lpstr>
      <vt:lpstr>'Cas 5'!_Av</vt:lpstr>
      <vt:lpstr>'Cas 6'!_Av</vt:lpstr>
      <vt:lpstr>'Cas 2'!_b</vt:lpstr>
      <vt:lpstr>'Cas 3'!_b</vt:lpstr>
      <vt:lpstr>'Cas 5'!_b</vt:lpstr>
      <vt:lpstr>'Cas 5'!_b_Droite</vt:lpstr>
      <vt:lpstr>'Cas 6'!_b_Droite</vt:lpstr>
      <vt:lpstr>'Cas 5'!_b_Gauche</vt:lpstr>
      <vt:lpstr>'Cas 6'!_b_Gauche</vt:lpstr>
      <vt:lpstr>'Cas 2'!_B0</vt:lpstr>
      <vt:lpstr>'Cas 2'!_bb</vt:lpstr>
      <vt:lpstr>'Cas 2'!_bc</vt:lpstr>
      <vt:lpstr>'Cas 3'!_bc</vt:lpstr>
      <vt:lpstr>'Cas 6'!_bc</vt:lpstr>
      <vt:lpstr>'Cas 3'!_bdroite</vt:lpstr>
      <vt:lpstr>'Cas 3'!_be1</vt:lpstr>
      <vt:lpstr>'Cas 6'!_be1</vt:lpstr>
      <vt:lpstr>'Cas 3'!_be2</vt:lpstr>
      <vt:lpstr>'Cas 6'!_be2</vt:lpstr>
      <vt:lpstr>'Cas 6'!_beff</vt:lpstr>
      <vt:lpstr>'Cas 3'!_beff_appui</vt:lpstr>
      <vt:lpstr>'Cas 3'!_beff_mi_travee</vt:lpstr>
      <vt:lpstr>'Cas 6'!_beff_mi_travee</vt:lpstr>
      <vt:lpstr>'Cas 3'!_beta1</vt:lpstr>
      <vt:lpstr>'Cas 6'!_beta1</vt:lpstr>
      <vt:lpstr>'Cas 3'!_beta2</vt:lpstr>
      <vt:lpstr>'Cas 6'!_beta2</vt:lpstr>
      <vt:lpstr>'Cas 6'!_bfi</vt:lpstr>
      <vt:lpstr>'Cas 6'!_bfs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6'!_cf_inf</vt:lpstr>
      <vt:lpstr>'Cas 6'!_cf_sup</vt:lpstr>
      <vt:lpstr>'Cas 2'!_cw</vt:lpstr>
      <vt:lpstr>'Cas 3'!_cw</vt:lpstr>
      <vt:lpstr>'Cas 5'!_cw</vt:lpstr>
      <vt:lpstr>'Cas 6'!_cw</vt:lpstr>
      <vt:lpstr>'Cas 2'!_d</vt:lpstr>
      <vt:lpstr>'Cas 3'!_dsc</vt:lpstr>
      <vt:lpstr>'Cas 6'!_dsc</vt:lpstr>
      <vt:lpstr>'Cas 2'!_dw</vt:lpstr>
      <vt:lpstr>'Cas 3'!_dw</vt:lpstr>
      <vt:lpstr>'Cas 2'!_Ecm_dalle</vt:lpstr>
      <vt:lpstr>'Cas 3'!_Ecm_dalle</vt:lpstr>
      <vt:lpstr>'Cas 6'!_Ecm_dalle</vt:lpstr>
      <vt:lpstr>'Cas 2'!_ep</vt:lpstr>
      <vt:lpstr>'Cas 3'!_ep</vt:lpstr>
      <vt:lpstr>'Cas 2'!_epsilon</vt:lpstr>
      <vt:lpstr>'Cas 3'!_epsilon</vt:lpstr>
      <vt:lpstr>'Cas 5'!_epsilon</vt:lpstr>
      <vt:lpstr>'Cas 6'!_epsilon</vt:lpstr>
      <vt:lpstr>'Cas 3'!_eta</vt:lpstr>
      <vt:lpstr>'Cas 2'!_fck_dalle</vt:lpstr>
      <vt:lpstr>'Cas 3'!_fck_dalle</vt:lpstr>
      <vt:lpstr>'Cas 6'!_fck_dalle</vt:lpstr>
      <vt:lpstr>'Cas 2'!_fck_enrobage</vt:lpstr>
      <vt:lpstr>'Cas 3'!_fck_enrobage</vt:lpstr>
      <vt:lpstr>'Cas 2'!_fcm_dalle</vt:lpstr>
      <vt:lpstr>'Cas 6'!_fcm_dalle</vt:lpstr>
      <vt:lpstr>'Cas 2'!_fcm_enrobage</vt:lpstr>
      <vt:lpstr>'Cas 3'!_fcm_enrobage</vt:lpstr>
      <vt:lpstr>'Cas 2'!_fctm_dalle</vt:lpstr>
      <vt:lpstr>'Cas 6'!_fctm_dalle</vt:lpstr>
      <vt:lpstr>'Cas 2'!_fctm_enrobage</vt:lpstr>
      <vt:lpstr>'Cas 2'!_fusc</vt:lpstr>
      <vt:lpstr>'Cas 3'!_fusc</vt:lpstr>
      <vt:lpstr>'Cas 6'!_fusc</vt:lpstr>
      <vt:lpstr>'Cas 2'!_fy</vt:lpstr>
      <vt:lpstr>'Cas 3'!_fy</vt:lpstr>
      <vt:lpstr>'Cas 5'!_fy</vt:lpstr>
      <vt:lpstr>'Cas 6'!_fy</vt:lpstr>
      <vt:lpstr>'Cas 2'!_fyd</vt:lpstr>
      <vt:lpstr>'Cas 3'!_fyd</vt:lpstr>
      <vt:lpstr>'Cas 2'!_fyp</vt:lpstr>
      <vt:lpstr>'Cas 2'!_h</vt:lpstr>
      <vt:lpstr>'Cas 3'!_h</vt:lpstr>
      <vt:lpstr>'Cas 5'!_h</vt:lpstr>
      <vt:lpstr>'Cas 6'!_h</vt:lpstr>
      <vt:lpstr>'Cas 6'!_h0_dalle</vt:lpstr>
      <vt:lpstr>'Cas 2'!_hp</vt:lpstr>
      <vt:lpstr>'Cas 3'!_hp</vt:lpstr>
      <vt:lpstr>'Cas 2'!_hpg</vt:lpstr>
      <vt:lpstr>'Cas 2'!_hsc</vt:lpstr>
      <vt:lpstr>'Cas 3'!_hsc</vt:lpstr>
      <vt:lpstr>'Cas 6'!_hsc</vt:lpstr>
      <vt:lpstr>'Cas 2'!_hw</vt:lpstr>
      <vt:lpstr>'Cas 3'!_hw</vt:lpstr>
      <vt:lpstr>'Cas 5'!_hw</vt:lpstr>
      <vt:lpstr>'Cas 6'!_hw</vt:lpstr>
      <vt:lpstr>'Cas 2'!_Iy</vt:lpstr>
      <vt:lpstr>'Cas 3'!_Iy</vt:lpstr>
      <vt:lpstr>'Cas 5'!_Iy</vt:lpstr>
      <vt:lpstr>'Cas 6'!_Iy</vt:lpstr>
      <vt:lpstr>'Cas 2'!_Iz</vt:lpstr>
      <vt:lpstr>'Cas 5'!_Iz</vt:lpstr>
      <vt:lpstr>'Cas 6'!_Iz</vt:lpstr>
      <vt:lpstr>'Cas 2'!_kr</vt:lpstr>
      <vt:lpstr>'Cas 3'!_kt</vt:lpstr>
      <vt:lpstr>'Cas 3'!_kt_max</vt:lpstr>
      <vt:lpstr>'Cas 2'!_L</vt:lpstr>
      <vt:lpstr>'Cas 3'!_L</vt:lpstr>
      <vt:lpstr>'Cas 5'!_L</vt:lpstr>
      <vt:lpstr>'Cas 6'!_L</vt:lpstr>
      <vt:lpstr>'Cas 5'!_L_ConsoleD</vt:lpstr>
      <vt:lpstr>'Cas 5'!_L_ConsoleG</vt:lpstr>
      <vt:lpstr>'Cas 5'!_L_tot</vt:lpstr>
      <vt:lpstr>'Cas 5'!_L_Travee</vt:lpstr>
      <vt:lpstr>'Cas 6'!_L_Travee</vt:lpstr>
      <vt:lpstr>'Cas 2'!_Mel_y_Rd</vt:lpstr>
      <vt:lpstr>'Cas 2'!_Mel_z_Rd</vt:lpstr>
      <vt:lpstr>'Cas 5'!_Mpl_Rd</vt:lpstr>
      <vt:lpstr>'Cas 6'!_Mpl_Rd</vt:lpstr>
      <vt:lpstr>'Cas 2'!_Mpl_y_Rd</vt:lpstr>
      <vt:lpstr>'Cas 2'!_Mpl_z_Rd</vt:lpstr>
      <vt:lpstr>'Cas 2'!_n</vt:lpstr>
      <vt:lpstr>'Cas 3'!_n_dalle</vt:lpstr>
      <vt:lpstr>'Cas 6'!_n_dalle</vt:lpstr>
      <vt:lpstr>'Cas 3'!_Na</vt:lpstr>
      <vt:lpstr>'Cas 6'!_Na</vt:lpstr>
      <vt:lpstr>'Cas 3'!_Ncp</vt:lpstr>
      <vt:lpstr>'Cas 3'!_Nf</vt:lpstr>
      <vt:lpstr>'Cas 3'!_nr</vt:lpstr>
      <vt:lpstr>'Cas 6'!_nr</vt:lpstr>
      <vt:lpstr>'Cas 3'!_Ns_inf</vt:lpstr>
      <vt:lpstr>'Cas 2'!_NtRd</vt:lpstr>
      <vt:lpstr>'Cas 3'!_Nw</vt:lpstr>
      <vt:lpstr>'Cas 6'!_PRd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6'!_r</vt:lpstr>
      <vt:lpstr>'Cas 2'!_rho</vt:lpstr>
      <vt:lpstr>'Cas 3'!_rho</vt:lpstr>
      <vt:lpstr>'Cas 5'!_rhoA</vt:lpstr>
      <vt:lpstr>'Cas 6'!_rhoA</vt:lpstr>
      <vt:lpstr>'Cas 5'!_rhoC</vt:lpstr>
      <vt:lpstr>'Cas 6'!_rhoC</vt:lpstr>
      <vt:lpstr>'Cas 6'!_sx</vt:lpstr>
      <vt:lpstr>'Cas 2'!_tc</vt:lpstr>
      <vt:lpstr>'Cas 3'!_tc</vt:lpstr>
      <vt:lpstr>'Cas 2'!_td</vt:lpstr>
      <vt:lpstr>'Cas 3'!_td</vt:lpstr>
      <vt:lpstr>'Cas 5'!_td</vt:lpstr>
      <vt:lpstr>'Cas 6'!_td</vt:lpstr>
      <vt:lpstr>'Cas 2'!_tf</vt:lpstr>
      <vt:lpstr>'Cas 3'!_tf</vt:lpstr>
      <vt:lpstr>'Cas 5'!_tf</vt:lpstr>
      <vt:lpstr>'Cas 6'!_tf</vt:lpstr>
      <vt:lpstr>'Cas 6'!_tfi</vt:lpstr>
      <vt:lpstr>'Cas 6'!_tfs</vt:lpstr>
      <vt:lpstr>'Cas 5'!_th</vt:lpstr>
      <vt:lpstr>'Cas 5'!_theta</vt:lpstr>
      <vt:lpstr>'Cas 6'!_tj</vt:lpstr>
      <vt:lpstr>'Cas 2'!_tp</vt:lpstr>
      <vt:lpstr>'Cas 2'!_tw</vt:lpstr>
      <vt:lpstr>'Cas 3'!_tw</vt:lpstr>
      <vt:lpstr>'Cas 5'!_tw</vt:lpstr>
      <vt:lpstr>'Cas 6'!_tw</vt:lpstr>
      <vt:lpstr>'Cas 2'!_VplRd</vt:lpstr>
      <vt:lpstr>'Cas 3'!_VplRd</vt:lpstr>
      <vt:lpstr>'Cas 5'!_VplRd</vt:lpstr>
      <vt:lpstr>'Cas 2'!_Wel_y</vt:lpstr>
      <vt:lpstr>'Cas 3'!_Wel_y</vt:lpstr>
      <vt:lpstr>'Cas 5'!_Wel_y</vt:lpstr>
      <vt:lpstr>'Cas 6'!_Wel_y</vt:lpstr>
      <vt:lpstr>'Cas 2'!_Wel_z</vt:lpstr>
      <vt:lpstr>'Cas 3'!_Wel_z</vt:lpstr>
      <vt:lpstr>'Cas 5'!_Wel_z</vt:lpstr>
      <vt:lpstr>'Cas 6'!_Wel_z</vt:lpstr>
      <vt:lpstr>'Cas 2'!_Wpl_y</vt:lpstr>
      <vt:lpstr>'Cas 3'!_Wpl_y</vt:lpstr>
      <vt:lpstr>'Cas 5'!_Wpl_y</vt:lpstr>
      <vt:lpstr>'Cas 6'!_Wpl_y</vt:lpstr>
      <vt:lpstr>'Cas 2'!_Wpl_z</vt:lpstr>
      <vt:lpstr>'Cas 3'!_Wpl_z</vt:lpstr>
      <vt:lpstr>'Cas 5'!_Wpl_z</vt:lpstr>
      <vt:lpstr>'Cas 6'!_Wpl_z</vt:lpstr>
      <vt:lpstr>'Cas 2'!_za</vt:lpstr>
      <vt:lpstr>'Cas 3'!_za</vt:lpstr>
      <vt:lpstr>'Cas 2'!_zcr</vt:lpstr>
      <vt:lpstr>'Cas 2'!_zel</vt:lpstr>
      <vt:lpstr>'Cas 3'!_zel</vt:lpstr>
      <vt:lpstr>'Cas 6'!_zel</vt:lpstr>
      <vt:lpstr>'Cas 2'!_zpl</vt:lpstr>
      <vt:lpstr>'Cas 3'!_zpl_a</vt:lpstr>
      <vt:lpstr>'Cas 3'!_zpl_c</vt:lpstr>
      <vt:lpstr>'Cas 3'!_zs</vt:lpstr>
      <vt:lpstr>'Cas 6'!_zs</vt:lpstr>
      <vt:lpstr>'Cas 2'!_zs_inf</vt:lpstr>
      <vt:lpstr>'Cas 3'!_zs_inf</vt:lpstr>
      <vt:lpstr>'Cas 6'!_zs_inf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2024-06-10T15:48:55Z</dcterms:modified>
</cp:coreProperties>
</file>