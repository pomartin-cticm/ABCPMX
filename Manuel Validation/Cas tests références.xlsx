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1"/>
  </bookViews>
  <sheets>
    <sheet name="Cas 2" sheetId="1" r:id="rId1"/>
    <sheet name="Cas 3" sheetId="2" r:id="rId2"/>
  </sheets>
  <definedNames>
    <definedName name="_A" localSheetId="0">'Cas 2'!$B$32</definedName>
    <definedName name="_A" localSheetId="1">'Cas 3'!$B$33</definedName>
    <definedName name="_A0" localSheetId="0">'Cas 2'!$B$75</definedName>
    <definedName name="_A0" localSheetId="1">'Cas 3'!#REF!</definedName>
    <definedName name="_Ace" localSheetId="0">'Cas 2'!$E$4</definedName>
    <definedName name="_Ace" localSheetId="1">'Cas 3'!$E$4</definedName>
    <definedName name="_Acr" localSheetId="0">'Cas 2'!$B$71</definedName>
    <definedName name="_Acr" localSheetId="1">'Cas 3'!#REF!</definedName>
    <definedName name="_As_inf" localSheetId="0">'Cas 2'!$E$10</definedName>
    <definedName name="_As_inf" localSheetId="1">'Cas 3'!$E$10</definedName>
    <definedName name="_Av" localSheetId="0">'Cas 2'!$B$33</definedName>
    <definedName name="_Av" localSheetId="1">'Cas 3'!$B$34</definedName>
    <definedName name="_b" localSheetId="0">'Cas 2'!$B$4</definedName>
    <definedName name="_b" localSheetId="1">'Cas 3'!$B$15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droite" localSheetId="1">'Cas 3'!$B$4</definedName>
    <definedName name="_be1" localSheetId="1">'Cas 3'!$B$6</definedName>
    <definedName name="_be2" localSheetId="1">'Cas 3'!$B$7</definedName>
    <definedName name="_beff_appui" localSheetId="1">'Cas 3'!$B$11</definedName>
    <definedName name="_beff_mi_travee" localSheetId="1">'Cas 3'!$B$10</definedName>
    <definedName name="_beta1" localSheetId="1">'Cas 3'!$B$8</definedName>
    <definedName name="_beta2" localSheetId="1">'Cas 3'!$B$9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w" localSheetId="0">'Cas 2'!$B$12</definedName>
    <definedName name="_cw" localSheetId="1">'Cas 3'!$B$23</definedName>
    <definedName name="_d" localSheetId="0">'Cas 2'!$H$13</definedName>
    <definedName name="_dsc" localSheetId="1">'Cas 3'!$H$14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ta" localSheetId="1">'Cas 3'!$H$28</definedName>
    <definedName name="_fck_dalle" localSheetId="0">'Cas 2'!$H$5</definedName>
    <definedName name="_fck_dalle" localSheetId="1">'Cas 3'!$H$5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enrobage" localSheetId="0">'Cas 2'!$E$8</definedName>
    <definedName name="_fusc" localSheetId="0">'Cas 2'!$H$14</definedName>
    <definedName name="_fusc" localSheetId="1">'Cas 3'!$H$15</definedName>
    <definedName name="_fy" localSheetId="0">'Cas 2'!$B$14</definedName>
    <definedName name="_fy" localSheetId="1">'Cas 3'!$B$25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w" localSheetId="0">'Cas 2'!$B$8</definedName>
    <definedName name="_hw" localSheetId="1">'Cas 3'!$B$19</definedName>
    <definedName name="_Iy" localSheetId="0">'Cas 2'!$B$34</definedName>
    <definedName name="_Iy" localSheetId="1">'Cas 3'!$B$35</definedName>
    <definedName name="_Iz" localSheetId="0">'Cas 2'!$B$35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Mel_y_Rd" localSheetId="0">'Cas 2'!$B$53</definedName>
    <definedName name="_Mel_z_Rd" localSheetId="0">'Cas 2'!$B$54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enrobage" localSheetId="1">'Cas 3'!#REF!</definedName>
    <definedName name="_Nf" localSheetId="1">'Cas 3'!$B$93</definedName>
    <definedName name="_nr" localSheetId="1">'Cas 3'!$H$16</definedName>
    <definedName name="_NtRd" localSheetId="0">'Cas 2'!$B$51</definedName>
    <definedName name="_Nw" localSheetId="1">'Cas 3'!$B$94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ho" localSheetId="0">'Cas 2'!$B$17</definedName>
    <definedName name="_rho" localSheetId="1">'Cas 3'!$B$28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f" localSheetId="0">'Cas 2'!$B$5</definedName>
    <definedName name="_tf" localSheetId="1">'Cas 3'!$B$16</definedName>
    <definedName name="_tp" localSheetId="0">'Cas 2'!$E$23</definedName>
    <definedName name="_tw" localSheetId="0">'Cas 2'!$B$6</definedName>
    <definedName name="_tw" localSheetId="1">'Cas 3'!$B$17</definedName>
    <definedName name="_VplRd" localSheetId="0">'Cas 2'!$B$52</definedName>
    <definedName name="_VplRd" localSheetId="1">'Cas 3'!$B$53</definedName>
    <definedName name="_Wel_y" localSheetId="0">'Cas 2'!$B$36</definedName>
    <definedName name="_Wel_y" localSheetId="1">'Cas 3'!$B$37</definedName>
    <definedName name="_Wel_z" localSheetId="0">'Cas 2'!$B$37</definedName>
    <definedName name="_Wel_z" localSheetId="1">'Cas 3'!$B$38</definedName>
    <definedName name="_Wpl_y" localSheetId="0">'Cas 2'!$B$38</definedName>
    <definedName name="_Wpl_y" localSheetId="1">'Cas 3'!$B$39</definedName>
    <definedName name="_Wpl_z" localSheetId="0">'Cas 2'!$B$39</definedName>
    <definedName name="_Wpl_z" localSheetId="1">'Cas 3'!$B$40</definedName>
    <definedName name="_za" localSheetId="0">'Cas 2'!$B$74</definedName>
    <definedName name="_za" localSheetId="1">'Cas 3'!$B$71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3'!$B$73</definedName>
    <definedName name="_zpl" localSheetId="0">'Cas 2'!$B$102</definedName>
    <definedName name="_zpl" localSheetId="1">'Cas 3'!$B$96</definedName>
    <definedName name="_zs" localSheetId="1">'Cas 3'!$B$72</definedName>
    <definedName name="_zs_inf" localSheetId="0">'Cas 2'!$E$11</definedName>
    <definedName name="_zs_inf" localSheetId="1">'Cas 3'!$E$11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6" i="2" l="1"/>
  <c r="B93" i="2"/>
  <c r="B94" i="2" s="1"/>
  <c r="B72" i="2"/>
  <c r="B71" i="2"/>
  <c r="B75" i="2"/>
  <c r="H29" i="2"/>
  <c r="H23" i="2"/>
  <c r="H18" i="2"/>
  <c r="H17" i="2"/>
  <c r="B5" i="2"/>
  <c r="B7" i="2" s="1"/>
  <c r="B9" i="2" s="1"/>
  <c r="B6" i="2" l="1"/>
  <c r="B98" i="2"/>
  <c r="B97" i="2"/>
  <c r="B85" i="2"/>
  <c r="B80" i="2"/>
  <c r="C77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B82" i="2" s="1"/>
  <c r="H6" i="2"/>
  <c r="H4" i="2"/>
  <c r="E3" i="2"/>
  <c r="H24" i="2" l="1"/>
  <c r="H10" i="2"/>
  <c r="B74" i="2"/>
  <c r="B8" i="2"/>
  <c r="B11" i="2" s="1"/>
  <c r="B10" i="2"/>
  <c r="H2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H27" i="2" s="1"/>
  <c r="E4" i="2"/>
  <c r="B45" i="2"/>
  <c r="D45" i="2" s="1"/>
  <c r="B20" i="2"/>
  <c r="F54" i="2"/>
  <c r="B62" i="2" s="1"/>
  <c r="F64" i="2"/>
  <c r="F65" i="2"/>
  <c r="B87" i="2"/>
  <c r="B88" i="2" s="1"/>
  <c r="D37" i="2"/>
  <c r="B48" i="2"/>
  <c r="D48" i="2" s="1"/>
  <c r="F56" i="2"/>
  <c r="B124" i="1"/>
  <c r="B18" i="1"/>
  <c r="E26" i="1"/>
  <c r="B104" i="1"/>
  <c r="B103" i="1"/>
  <c r="B98" i="1"/>
  <c r="E12" i="1"/>
  <c r="B91" i="1"/>
  <c r="B92" i="1" s="1"/>
  <c r="B89" i="1"/>
  <c r="B84" i="1"/>
  <c r="H25" i="2" l="1"/>
  <c r="H26" i="2" s="1"/>
  <c r="H28" i="2" s="1"/>
  <c r="B95" i="2" s="1"/>
  <c r="B73" i="2"/>
  <c r="B77" i="2" s="1"/>
  <c r="B78" i="2"/>
  <c r="B64" i="2"/>
  <c r="B63" i="2"/>
  <c r="E13" i="2"/>
  <c r="B104" i="2" s="1"/>
  <c r="E5" i="2"/>
  <c r="B81" i="2" s="1"/>
  <c r="B86" i="2" s="1"/>
  <c r="B89" i="2" s="1"/>
  <c r="B90" i="2" s="1"/>
  <c r="E72" i="1"/>
  <c r="E74" i="1"/>
  <c r="E73" i="1"/>
  <c r="C81" i="1"/>
  <c r="B79" i="1"/>
  <c r="B78" i="1"/>
  <c r="B74" i="1"/>
  <c r="B72" i="1"/>
  <c r="B73" i="1" s="1"/>
  <c r="B71" i="1"/>
  <c r="E10" i="1"/>
  <c r="E22" i="1"/>
  <c r="B123" i="2" l="1"/>
  <c r="B119" i="2"/>
  <c r="B106" i="2"/>
  <c r="B105" i="2"/>
  <c r="B76" i="2"/>
  <c r="D77" i="2"/>
  <c r="H7" i="1"/>
  <c r="H6" i="1"/>
  <c r="H4" i="1"/>
  <c r="H10" i="1" s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B110" i="2" l="1"/>
  <c r="B112" i="2"/>
  <c r="B100" i="2"/>
  <c r="B101" i="2" s="1"/>
  <c r="B99" i="2"/>
  <c r="B111" i="2"/>
  <c r="B116" i="2" s="1"/>
  <c r="B109" i="2"/>
  <c r="B122" i="2"/>
  <c r="B121" i="2"/>
  <c r="B76" i="1"/>
  <c r="D76" i="1" s="1"/>
  <c r="B100" i="1"/>
  <c r="B12" i="1"/>
  <c r="B59" i="1" s="1"/>
  <c r="B9" i="1"/>
  <c r="B75" i="1"/>
  <c r="D75" i="1" s="1"/>
  <c r="E9" i="1"/>
  <c r="B86" i="1"/>
  <c r="H2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8" i="2" l="1"/>
  <c r="B115" i="2"/>
  <c r="B129" i="1"/>
  <c r="B125" i="1"/>
  <c r="B112" i="1"/>
  <c r="B111" i="1"/>
  <c r="E5" i="1"/>
  <c r="B85" i="1" s="1"/>
  <c r="B90" i="1" s="1"/>
  <c r="B93" i="1" s="1"/>
  <c r="B94" i="1" s="1"/>
  <c r="B97" i="1"/>
  <c r="B99" i="1"/>
  <c r="B77" i="1"/>
  <c r="B81" i="1" s="1"/>
  <c r="D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B115" i="1" l="1"/>
  <c r="B117" i="1"/>
  <c r="B122" i="1" s="1"/>
  <c r="B128" i="1"/>
  <c r="B127" i="1"/>
  <c r="B118" i="1"/>
  <c r="B116" i="1"/>
  <c r="B101" i="1"/>
  <c r="B102" i="1" s="1"/>
  <c r="B80" i="1"/>
  <c r="B62" i="1"/>
  <c r="B106" i="1" l="1"/>
  <c r="B107" i="1" s="1"/>
  <c r="B121" i="1" s="1"/>
  <c r="B105" i="1"/>
</calcChain>
</file>

<file path=xl/sharedStrings.xml><?xml version="1.0" encoding="utf-8"?>
<sst xmlns="http://schemas.openxmlformats.org/spreadsheetml/2006/main" count="344" uniqueCount="187">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</sst>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72" workbookViewId="0">
      <selection activeCell="F22" sqref="F22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34" t="s">
        <v>55</v>
      </c>
      <c r="B1" s="35"/>
      <c r="C1"/>
      <c r="D1" s="34" t="s">
        <v>56</v>
      </c>
      <c r="E1" s="35"/>
      <c r="F1" s="24"/>
      <c r="G1" s="34" t="s">
        <v>65</v>
      </c>
      <c r="H1" s="35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2*_tc*(1+_hp*_bm/(_ep*_tc))</f>
        <v>209.67149758454107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34" t="s">
        <v>66</v>
      </c>
      <c r="E15" s="35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34" t="s">
        <v>7</v>
      </c>
      <c r="B30" s="35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34" t="s">
        <v>16</v>
      </c>
      <c r="B50" s="35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36" t="s">
        <v>34</v>
      </c>
      <c r="F52" s="37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34" t="s">
        <v>79</v>
      </c>
      <c r="B68" s="35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IF(_fck_enrobage&lt;=25,MIN(1.5*(1+(0.012*B84*100)^18+250),1500),FALSE)</f>
        <v>376.50015233993503</v>
      </c>
    </row>
    <row r="92" spans="1:6" x14ac:dyDescent="0.25">
      <c r="A92" t="s">
        <v>108</v>
      </c>
      <c r="B92" s="26">
        <f>((B88-B87)/(B91+B88-B87))^0.3</f>
        <v>0.9938741085684526</v>
      </c>
    </row>
    <row r="93" spans="1:6" x14ac:dyDescent="0.25">
      <c r="A93" t="s">
        <v>109</v>
      </c>
      <c r="B93" s="25">
        <f>B90*B92</f>
        <v>2.3241655972350728</v>
      </c>
    </row>
    <row r="94" spans="1:6" x14ac:dyDescent="0.25">
      <c r="A94" t="s">
        <v>110</v>
      </c>
      <c r="B94" s="26">
        <f>B82*(1+B83*B93)</f>
        <v>23.728772758918403</v>
      </c>
    </row>
    <row r="95" spans="1:6" ht="15.75" thickBot="1" x14ac:dyDescent="0.3"/>
    <row r="96" spans="1:6" ht="15.75" thickBot="1" x14ac:dyDescent="0.3">
      <c r="A96" s="34" t="s">
        <v>111</v>
      </c>
      <c r="B96" s="35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34" t="s">
        <v>133</v>
      </c>
      <c r="B109" s="35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34" t="s">
        <v>134</v>
      </c>
      <c r="B120" s="35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3"/>
  <sheetViews>
    <sheetView tabSelected="1" topLeftCell="A79" workbookViewId="0">
      <selection activeCell="H94" sqref="H9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34" t="s">
        <v>152</v>
      </c>
      <c r="B1" s="35"/>
      <c r="C1"/>
      <c r="D1" s="34" t="s">
        <v>56</v>
      </c>
      <c r="E1" s="35"/>
      <c r="F1" s="24"/>
      <c r="G1" s="34" t="s">
        <v>65</v>
      </c>
      <c r="H1" s="35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2*_tc*(1+_hp*_bm/(_ep*_tc))</f>
        <v>209.67149758454107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34" t="s">
        <v>162</v>
      </c>
      <c r="H12" s="35"/>
    </row>
    <row r="13" spans="1:8" ht="15.75" thickBot="1" x14ac:dyDescent="0.3">
      <c r="A13" s="34" t="s">
        <v>55</v>
      </c>
      <c r="B13" s="35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34" t="s">
        <v>66</v>
      </c>
      <c r="E15" s="35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34" t="s">
        <v>7</v>
      </c>
      <c r="B31" s="35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34" t="s">
        <v>16</v>
      </c>
      <c r="B51" s="35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36" t="s">
        <v>34</v>
      </c>
      <c r="F53" s="37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34" t="s">
        <v>79</v>
      </c>
      <c r="B69" s="35"/>
    </row>
    <row r="70" spans="1:6" x14ac:dyDescent="0.25">
      <c r="A70" t="s">
        <v>183</v>
      </c>
      <c r="B70">
        <v>6.77</v>
      </c>
    </row>
    <row r="71" spans="1:6" x14ac:dyDescent="0.25">
      <c r="A71" t="s">
        <v>87</v>
      </c>
      <c r="B71">
        <f>_td+_h/2</f>
        <v>388.5</v>
      </c>
    </row>
    <row r="72" spans="1:6" x14ac:dyDescent="0.25">
      <c r="A72" t="s">
        <v>184</v>
      </c>
      <c r="B72">
        <f>_td+_zs_inf</f>
        <v>562.5</v>
      </c>
    </row>
    <row r="73" spans="1:6" x14ac:dyDescent="0.25">
      <c r="A73" t="s">
        <v>90</v>
      </c>
      <c r="B73" s="3">
        <f>(_beff_mi_travee*1000*_tc^2/(2*_n_dalle)+_A*100*_za+_As_inf*100*_zs)/(_beff_mi_travee*1000*_tc/_n_dalle+_A*100+_As_inf*100)</f>
        <v>131.594015157716</v>
      </c>
    </row>
    <row r="74" spans="1:6" x14ac:dyDescent="0.25">
      <c r="A74" t="s">
        <v>91</v>
      </c>
      <c r="B74">
        <f>_tc</f>
        <v>82</v>
      </c>
    </row>
    <row r="75" spans="1:6" x14ac:dyDescent="0.25">
      <c r="A75" t="s">
        <v>92</v>
      </c>
      <c r="B75">
        <f>_td+_tf</f>
        <v>154.5</v>
      </c>
    </row>
    <row r="76" spans="1:6" x14ac:dyDescent="0.25">
      <c r="A76" t="s">
        <v>93</v>
      </c>
      <c r="B76" t="b">
        <f>IF(B74&lt;=_zel,IF(_zel&lt;=B75,TRUE,FALSE),FALSE)</f>
        <v>1</v>
      </c>
    </row>
    <row r="77" spans="1:6" x14ac:dyDescent="0.25">
      <c r="A77" t="s">
        <v>94</v>
      </c>
      <c r="B77" s="5">
        <f>(_Iy*10^4+_A*100*(_za-_zel)^2+_As_inf*100*(_zs-_zel)^2+_beff_mi_travee*1000*_tc/_n_dalle*(_tc^2/12+(_tc/2-_zel)^2))*10^(-4)</f>
        <v>142488.53513587199</v>
      </c>
      <c r="C77" s="24">
        <f>52814</f>
        <v>52814</v>
      </c>
      <c r="D77">
        <f>(B77/C77-1)*100</f>
        <v>169.79311382563714</v>
      </c>
    </row>
    <row r="78" spans="1:6" x14ac:dyDescent="0.25">
      <c r="A78" t="s">
        <v>95</v>
      </c>
      <c r="B78" s="26">
        <f>210000/_Ecm_dalle</f>
        <v>6.6717909812633494</v>
      </c>
    </row>
    <row r="79" spans="1:6" x14ac:dyDescent="0.25">
      <c r="A79" t="s">
        <v>96</v>
      </c>
      <c r="B79" s="1">
        <v>1.1000000000000001</v>
      </c>
      <c r="E79" s="21" t="s">
        <v>97</v>
      </c>
      <c r="F79" s="22"/>
    </row>
    <row r="80" spans="1:6" x14ac:dyDescent="0.25">
      <c r="A80" t="s">
        <v>100</v>
      </c>
      <c r="B80" s="1">
        <f>50/100</f>
        <v>0.5</v>
      </c>
      <c r="E80" s="28" t="s">
        <v>98</v>
      </c>
      <c r="F80" s="29">
        <v>1.1000000000000001</v>
      </c>
    </row>
    <row r="81" spans="1:6" x14ac:dyDescent="0.25">
      <c r="A81" t="s">
        <v>101</v>
      </c>
      <c r="B81" s="25">
        <f>IF(E6&lt;=35,1+(1-B80)/(0.1*E5^(1/3)),FALSE)</f>
        <v>1.8685939040970632</v>
      </c>
      <c r="E81" s="16" t="s">
        <v>99</v>
      </c>
      <c r="F81" s="30">
        <v>0.55000000000000004</v>
      </c>
    </row>
    <row r="82" spans="1:6" x14ac:dyDescent="0.25">
      <c r="A82" t="s">
        <v>102</v>
      </c>
      <c r="B82" s="25">
        <f>16.8/SQRT(_fcm_enrobage)</f>
        <v>2.9245046200557239</v>
      </c>
    </row>
    <row r="83" spans="1:6" x14ac:dyDescent="0.25">
      <c r="A83" t="s">
        <v>103</v>
      </c>
      <c r="B83">
        <v>56</v>
      </c>
    </row>
    <row r="84" spans="1:6" x14ac:dyDescent="0.25">
      <c r="A84" t="s">
        <v>104</v>
      </c>
      <c r="B84">
        <v>18250</v>
      </c>
    </row>
    <row r="85" spans="1:6" x14ac:dyDescent="0.25">
      <c r="A85" t="s">
        <v>105</v>
      </c>
      <c r="B85" s="25">
        <f>1/(0.1+B83^0.2)</f>
        <v>0.42792578098028256</v>
      </c>
    </row>
    <row r="86" spans="1:6" x14ac:dyDescent="0.25">
      <c r="A86" t="s">
        <v>106</v>
      </c>
      <c r="B86" s="26">
        <f>B81*B82*B85</f>
        <v>2.3384909388400645</v>
      </c>
    </row>
    <row r="87" spans="1:6" x14ac:dyDescent="0.25">
      <c r="A87" t="s">
        <v>107</v>
      </c>
      <c r="B87" s="3">
        <f>IF(_fck_enrobage&lt;=25,MIN(1.5*(1+(0.012*B80*100)^18+250),1500),FALSE)</f>
        <v>376.50015233993503</v>
      </c>
    </row>
    <row r="88" spans="1:6" x14ac:dyDescent="0.25">
      <c r="A88" t="s">
        <v>108</v>
      </c>
      <c r="B88" s="26">
        <f>((B84-B83)/(B87+B84-B83))^0.3</f>
        <v>0.9938741085684526</v>
      </c>
    </row>
    <row r="89" spans="1:6" x14ac:dyDescent="0.25">
      <c r="A89" t="s">
        <v>109</v>
      </c>
      <c r="B89" s="25">
        <f>B86*B88</f>
        <v>2.3241655972350728</v>
      </c>
    </row>
    <row r="90" spans="1:6" x14ac:dyDescent="0.25">
      <c r="A90" t="s">
        <v>110</v>
      </c>
      <c r="B90" s="26">
        <f>B78*(1+B79*B89)</f>
        <v>23.728772758918403</v>
      </c>
    </row>
    <row r="91" spans="1:6" ht="15.75" thickBot="1" x14ac:dyDescent="0.3"/>
    <row r="92" spans="1:6" ht="15.75" thickBot="1" x14ac:dyDescent="0.3">
      <c r="A92" s="34" t="s">
        <v>111</v>
      </c>
      <c r="B92" s="35"/>
    </row>
    <row r="93" spans="1:6" x14ac:dyDescent="0.25">
      <c r="A93" s="7" t="s">
        <v>185</v>
      </c>
      <c r="B93" s="38">
        <f>_tf*_b*_fy/1000</f>
        <v>1029.5</v>
      </c>
    </row>
    <row r="94" spans="1:6" x14ac:dyDescent="0.25">
      <c r="A94" t="s">
        <v>112</v>
      </c>
      <c r="B94">
        <f>_A*100*_fy/1000-2*B93</f>
        <v>1537.15</v>
      </c>
    </row>
    <row r="95" spans="1:6" x14ac:dyDescent="0.25">
      <c r="A95" t="s">
        <v>186</v>
      </c>
      <c r="B95">
        <f>_eta*0.85*_beff_mi_travee*1000*_tc*_fck_dalle/(1000*1.5)</f>
        <v>2259.5775141604267</v>
      </c>
    </row>
    <row r="96" spans="1:6" x14ac:dyDescent="0.25">
      <c r="A96" t="s">
        <v>119</v>
      </c>
      <c r="B96" s="23">
        <f>B95/(0.85*_beff_mi_travee*1000*_fck_dalle/1000/1.5)</f>
        <v>63.799835693941468</v>
      </c>
    </row>
    <row r="97" spans="1:4" x14ac:dyDescent="0.25">
      <c r="A97" t="s">
        <v>120</v>
      </c>
      <c r="B97">
        <f>_tf+_r</f>
        <v>35.5</v>
      </c>
    </row>
    <row r="98" spans="1:4" x14ac:dyDescent="0.25">
      <c r="A98" t="s">
        <v>121</v>
      </c>
      <c r="B98">
        <f>_zs_inf</f>
        <v>422.5</v>
      </c>
      <c r="D98" s="3"/>
    </row>
    <row r="99" spans="1:4" x14ac:dyDescent="0.25">
      <c r="A99" t="s">
        <v>93</v>
      </c>
      <c r="B99" t="b">
        <f>IF(B97&lt;=_zpl,IF(_zpl&lt;=B98,TRUE,FALSE),FALSE)</f>
        <v>1</v>
      </c>
    </row>
    <row r="100" spans="1:4" x14ac:dyDescent="0.25">
      <c r="A100" t="s">
        <v>122</v>
      </c>
      <c r="B100" s="23">
        <f>_zpl-_tf-_r</f>
        <v>28.299835693941468</v>
      </c>
    </row>
    <row r="101" spans="1:4" x14ac:dyDescent="0.25">
      <c r="A101" t="s">
        <v>123</v>
      </c>
      <c r="B101" s="3" t="e">
        <f>((_Wpl_y*10^3-(_h/2-_zpl)^2*_tw)*_fy+#REF!*1000*(_zs_inf-_h/2)+0.85*B100*_bp*_fck_enrobage/1.5*(_h/2-_tf-_r-B100/2)+#REF!*1000*(_h/2-_tf-_r/2))*10^(-6)</f>
        <v>#REF!</v>
      </c>
    </row>
    <row r="102" spans="1:4" ht="15.75" thickBot="1" x14ac:dyDescent="0.3"/>
    <row r="103" spans="1:4" ht="15.75" thickBot="1" x14ac:dyDescent="0.3">
      <c r="A103" s="34" t="s">
        <v>133</v>
      </c>
      <c r="B103" s="35"/>
    </row>
    <row r="104" spans="1:4" x14ac:dyDescent="0.25">
      <c r="A104" t="s">
        <v>130</v>
      </c>
      <c r="B104" s="26">
        <f>_qProfile+_qEnrobage+_qBac+_qDalle</f>
        <v>9.6760339528260868</v>
      </c>
    </row>
    <row r="105" spans="1:4" x14ac:dyDescent="0.25">
      <c r="A105" t="s">
        <v>132</v>
      </c>
      <c r="B105" s="3">
        <f>B104*_L/2</f>
        <v>60.475212205163039</v>
      </c>
    </row>
    <row r="106" spans="1:4" x14ac:dyDescent="0.25">
      <c r="A106" t="s">
        <v>131</v>
      </c>
      <c r="B106" s="3">
        <f>B104*_L^2/8</f>
        <v>188.98503814113451</v>
      </c>
    </row>
    <row r="107" spans="1:4" x14ac:dyDescent="0.25">
      <c r="A107" t="s">
        <v>135</v>
      </c>
      <c r="B107" s="3">
        <v>13.3</v>
      </c>
    </row>
    <row r="108" spans="1:4" x14ac:dyDescent="0.25">
      <c r="A108" t="s">
        <v>136</v>
      </c>
      <c r="B108" s="3">
        <v>45.3</v>
      </c>
    </row>
    <row r="109" spans="1:4" x14ac:dyDescent="0.25">
      <c r="A109" t="s">
        <v>137</v>
      </c>
      <c r="B109" s="3">
        <f>B105+B107</f>
        <v>73.775212205163044</v>
      </c>
    </row>
    <row r="110" spans="1:4" x14ac:dyDescent="0.25">
      <c r="A110" t="s">
        <v>138</v>
      </c>
      <c r="B110" s="3">
        <f t="shared" ref="B110" si="1">B106+B108</f>
        <v>234.28503814113452</v>
      </c>
    </row>
    <row r="111" spans="1:4" x14ac:dyDescent="0.25">
      <c r="A111" t="s">
        <v>139</v>
      </c>
      <c r="B111" s="3">
        <f>1.35*B105+1.5*B107</f>
        <v>101.59153647697011</v>
      </c>
    </row>
    <row r="112" spans="1:4" x14ac:dyDescent="0.25">
      <c r="A112" t="s">
        <v>140</v>
      </c>
      <c r="B112" s="3">
        <f>1.35*B106+1.5*B108</f>
        <v>323.07980149053162</v>
      </c>
    </row>
    <row r="113" spans="1:3" ht="15.75" thickBot="1" x14ac:dyDescent="0.3"/>
    <row r="114" spans="1:3" ht="15.75" thickBot="1" x14ac:dyDescent="0.3">
      <c r="A114" s="34" t="s">
        <v>134</v>
      </c>
      <c r="B114" s="35"/>
    </row>
    <row r="115" spans="1:3" x14ac:dyDescent="0.25">
      <c r="A115" t="s">
        <v>141</v>
      </c>
      <c r="B115" s="26" t="e">
        <f>B112/B101</f>
        <v>#REF!</v>
      </c>
    </row>
    <row r="116" spans="1:3" x14ac:dyDescent="0.25">
      <c r="A116" t="s">
        <v>142</v>
      </c>
      <c r="B116" s="26">
        <f>B111/_VplRd</f>
        <v>9.794237441561271E-2</v>
      </c>
    </row>
    <row r="117" spans="1:3" x14ac:dyDescent="0.25">
      <c r="A117" t="s">
        <v>149</v>
      </c>
      <c r="B117" s="32">
        <v>492.5</v>
      </c>
      <c r="C117" s="24" t="s">
        <v>151</v>
      </c>
    </row>
    <row r="118" spans="1:3" x14ac:dyDescent="0.25">
      <c r="A118" t="s">
        <v>150</v>
      </c>
      <c r="B118" s="26">
        <f>B112/B117</f>
        <v>0.65599959693508958</v>
      </c>
    </row>
    <row r="119" spans="1:3" x14ac:dyDescent="0.25">
      <c r="A119" t="s">
        <v>143</v>
      </c>
      <c r="B119" s="3">
        <f>5*B104*(_L*1000)^4/(384*210000*47199*10^(4))</f>
        <v>31.033025872841279</v>
      </c>
    </row>
    <row r="120" spans="1:3" x14ac:dyDescent="0.25">
      <c r="A120" t="s">
        <v>144</v>
      </c>
      <c r="B120" s="33">
        <v>6.476</v>
      </c>
      <c r="C120" s="24" t="s">
        <v>145</v>
      </c>
    </row>
    <row r="121" spans="1:3" x14ac:dyDescent="0.25">
      <c r="A121" t="s">
        <v>146</v>
      </c>
      <c r="B121" s="3">
        <f>B119+B120</f>
        <v>37.509025872841278</v>
      </c>
    </row>
    <row r="122" spans="1:3" x14ac:dyDescent="0.25">
      <c r="A122" t="s">
        <v>147</v>
      </c>
      <c r="B122">
        <f>B119+0.2*B120</f>
        <v>32.32822587284128</v>
      </c>
    </row>
    <row r="123" spans="1:3" x14ac:dyDescent="0.25">
      <c r="A123" t="s">
        <v>148</v>
      </c>
      <c r="B123">
        <f>PI()/2*SQRT(210*52998*10/(B104*1000/9.81*_L*_L^4))</f>
        <v>0.95514662218841706</v>
      </c>
    </row>
  </sheetData>
  <mergeCells count="13">
    <mergeCell ref="E53:F53"/>
    <mergeCell ref="A69:B69"/>
    <mergeCell ref="A92:B92"/>
    <mergeCell ref="A103:B103"/>
    <mergeCell ref="A114:B114"/>
    <mergeCell ref="A1:B1"/>
    <mergeCell ref="A13:B13"/>
    <mergeCell ref="D1:E1"/>
    <mergeCell ref="G1:H1"/>
    <mergeCell ref="D15:E15"/>
    <mergeCell ref="A31:B31"/>
    <mergeCell ref="A51:B51"/>
    <mergeCell ref="G12:H12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127</vt:i4>
      </vt:variant>
    </vt:vector>
  </HeadingPairs>
  <TitlesOfParts>
    <vt:vector size="129" baseType="lpstr">
      <vt:lpstr>Cas 2</vt:lpstr>
      <vt:lpstr>Cas 3</vt:lpstr>
      <vt:lpstr>'Cas 2'!_A</vt:lpstr>
      <vt:lpstr>'Cas 3'!_A</vt:lpstr>
      <vt:lpstr>'Cas 2'!_A0</vt:lpstr>
      <vt:lpstr>'Cas 2'!_Ace</vt:lpstr>
      <vt:lpstr>'Cas 3'!_Ace</vt:lpstr>
      <vt:lpstr>'Cas 2'!_Acr</vt:lpstr>
      <vt:lpstr>'Cas 2'!_As_inf</vt:lpstr>
      <vt:lpstr>'Cas 3'!_As_inf</vt:lpstr>
      <vt:lpstr>'Cas 2'!_Av</vt:lpstr>
      <vt:lpstr>'Cas 3'!_Av</vt:lpstr>
      <vt:lpstr>'Cas 2'!_b</vt:lpstr>
      <vt:lpstr>'Cas 3'!_b</vt:lpstr>
      <vt:lpstr>'Cas 2'!_B0</vt:lpstr>
      <vt:lpstr>'Cas 2'!_bb</vt:lpstr>
      <vt:lpstr>'Cas 2'!_bc</vt:lpstr>
      <vt:lpstr>'Cas 3'!_bc</vt:lpstr>
      <vt:lpstr>'Cas 3'!_bdroite</vt:lpstr>
      <vt:lpstr>'Cas 3'!_be1</vt:lpstr>
      <vt:lpstr>'Cas 3'!_be2</vt:lpstr>
      <vt:lpstr>'Cas 3'!_beff_appui</vt:lpstr>
      <vt:lpstr>'Cas 3'!_beff_mi_travee</vt:lpstr>
      <vt:lpstr>'Cas 3'!_beta1</vt:lpstr>
      <vt:lpstr>'Cas 3'!_beta2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2'!_cw</vt:lpstr>
      <vt:lpstr>'Cas 3'!_cw</vt:lpstr>
      <vt:lpstr>'Cas 2'!_d</vt:lpstr>
      <vt:lpstr>'Cas 3'!_dsc</vt:lpstr>
      <vt:lpstr>'Cas 2'!_dw</vt:lpstr>
      <vt:lpstr>'Cas 3'!_dw</vt:lpstr>
      <vt:lpstr>'Cas 2'!_Ecm_dalle</vt:lpstr>
      <vt:lpstr>'Cas 3'!_Ecm_dalle</vt:lpstr>
      <vt:lpstr>'Cas 2'!_ep</vt:lpstr>
      <vt:lpstr>'Cas 3'!_ep</vt:lpstr>
      <vt:lpstr>'Cas 2'!_epsilon</vt:lpstr>
      <vt:lpstr>'Cas 3'!_epsilon</vt:lpstr>
      <vt:lpstr>'Cas 3'!_eta</vt:lpstr>
      <vt:lpstr>'Cas 2'!_fck_dalle</vt:lpstr>
      <vt:lpstr>'Cas 3'!_fck_dalle</vt:lpstr>
      <vt:lpstr>'Cas 2'!_fck_enrobage</vt:lpstr>
      <vt:lpstr>'Cas 3'!_fck_enrobage</vt:lpstr>
      <vt:lpstr>'Cas 2'!_fcm_dalle</vt:lpstr>
      <vt:lpstr>'Cas 2'!_fcm_enrobage</vt:lpstr>
      <vt:lpstr>'Cas 3'!_fcm_enrobage</vt:lpstr>
      <vt:lpstr>'Cas 2'!_fctm_dalle</vt:lpstr>
      <vt:lpstr>'Cas 2'!_fctm_enrobage</vt:lpstr>
      <vt:lpstr>'Cas 2'!_fusc</vt:lpstr>
      <vt:lpstr>'Cas 3'!_fusc</vt:lpstr>
      <vt:lpstr>'Cas 2'!_fy</vt:lpstr>
      <vt:lpstr>'Cas 3'!_fy</vt:lpstr>
      <vt:lpstr>'Cas 2'!_fyd</vt:lpstr>
      <vt:lpstr>'Cas 3'!_fyd</vt:lpstr>
      <vt:lpstr>'Cas 2'!_fyp</vt:lpstr>
      <vt:lpstr>'Cas 2'!_h</vt:lpstr>
      <vt:lpstr>'Cas 3'!_h</vt:lpstr>
      <vt:lpstr>'Cas 2'!_hp</vt:lpstr>
      <vt:lpstr>'Cas 3'!_hp</vt:lpstr>
      <vt:lpstr>'Cas 2'!_hpg</vt:lpstr>
      <vt:lpstr>'Cas 2'!_hsc</vt:lpstr>
      <vt:lpstr>'Cas 3'!_hsc</vt:lpstr>
      <vt:lpstr>'Cas 2'!_hw</vt:lpstr>
      <vt:lpstr>'Cas 3'!_hw</vt:lpstr>
      <vt:lpstr>'Cas 2'!_Iy</vt:lpstr>
      <vt:lpstr>'Cas 3'!_Iy</vt:lpstr>
      <vt:lpstr>'Cas 2'!_Iz</vt:lpstr>
      <vt:lpstr>'Cas 2'!_kr</vt:lpstr>
      <vt:lpstr>'Cas 3'!_kt</vt:lpstr>
      <vt:lpstr>'Cas 3'!_kt_max</vt:lpstr>
      <vt:lpstr>'Cas 2'!_L</vt:lpstr>
      <vt:lpstr>'Cas 3'!_L</vt:lpstr>
      <vt:lpstr>'Cas 2'!_Mel_y_Rd</vt:lpstr>
      <vt:lpstr>'Cas 2'!_Mel_z_Rd</vt:lpstr>
      <vt:lpstr>'Cas 2'!_Mpl_y_Rd</vt:lpstr>
      <vt:lpstr>'Cas 2'!_Mpl_z_Rd</vt:lpstr>
      <vt:lpstr>'Cas 2'!_n</vt:lpstr>
      <vt:lpstr>'Cas 3'!_n_dalle</vt:lpstr>
      <vt:lpstr>'Cas 3'!_Nf</vt:lpstr>
      <vt:lpstr>'Cas 3'!_nr</vt:lpstr>
      <vt:lpstr>'Cas 2'!_NtRd</vt:lpstr>
      <vt:lpstr>'Cas 3'!_Nw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2'!_rho</vt:lpstr>
      <vt:lpstr>'Cas 3'!_rho</vt:lpstr>
      <vt:lpstr>'Cas 2'!_tc</vt:lpstr>
      <vt:lpstr>'Cas 3'!_tc</vt:lpstr>
      <vt:lpstr>'Cas 2'!_td</vt:lpstr>
      <vt:lpstr>'Cas 3'!_td</vt:lpstr>
      <vt:lpstr>'Cas 2'!_tf</vt:lpstr>
      <vt:lpstr>'Cas 3'!_tf</vt:lpstr>
      <vt:lpstr>'Cas 2'!_tp</vt:lpstr>
      <vt:lpstr>'Cas 2'!_tw</vt:lpstr>
      <vt:lpstr>'Cas 3'!_tw</vt:lpstr>
      <vt:lpstr>'Cas 2'!_VplRd</vt:lpstr>
      <vt:lpstr>'Cas 3'!_VplRd</vt:lpstr>
      <vt:lpstr>'Cas 2'!_Wel_y</vt:lpstr>
      <vt:lpstr>'Cas 3'!_Wel_y</vt:lpstr>
      <vt:lpstr>'Cas 2'!_Wel_z</vt:lpstr>
      <vt:lpstr>'Cas 3'!_Wel_z</vt:lpstr>
      <vt:lpstr>'Cas 2'!_Wpl_y</vt:lpstr>
      <vt:lpstr>'Cas 3'!_Wpl_y</vt:lpstr>
      <vt:lpstr>'Cas 2'!_Wpl_z</vt:lpstr>
      <vt:lpstr>'Cas 3'!_Wpl_z</vt:lpstr>
      <vt:lpstr>'Cas 2'!_za</vt:lpstr>
      <vt:lpstr>'Cas 3'!_za</vt:lpstr>
      <vt:lpstr>'Cas 2'!_zcr</vt:lpstr>
      <vt:lpstr>'Cas 2'!_zel</vt:lpstr>
      <vt:lpstr>'Cas 3'!_zel</vt:lpstr>
      <vt:lpstr>'Cas 2'!_zpl</vt:lpstr>
      <vt:lpstr>'Cas 3'!_zpl</vt:lpstr>
      <vt:lpstr>'Cas 3'!_zs</vt:lpstr>
      <vt:lpstr>'Cas 2'!_zs_inf</vt:lpstr>
      <vt:lpstr>'Cas 3'!_zs_inf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2024-05-22T15:54:33Z</dcterms:modified>
</cp:coreProperties>
</file>