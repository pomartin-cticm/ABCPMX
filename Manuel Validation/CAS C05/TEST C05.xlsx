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LOGICIELS\CTICM AM - POUTRE MIXTE\DEV23\Manuel Validation\CAS C05\"/>
    </mc:Choice>
  </mc:AlternateContent>
  <bookViews>
    <workbookView xWindow="0" yWindow="0" windowWidth="28800" windowHeight="12300" activeTab="1"/>
  </bookViews>
  <sheets>
    <sheet name="Feuil1" sheetId="1" r:id="rId1"/>
    <sheet name="Connexion" sheetId="2" r:id="rId2"/>
  </sheets>
  <definedNames>
    <definedName name="AireA">Feuil1!$E$16</definedName>
    <definedName name="As">Feuil1!$O$26</definedName>
    <definedName name="Av">Feuil1!$E$20</definedName>
    <definedName name="Avmin">Feuil1!$J$36</definedName>
    <definedName name="b">Feuil1!$E$12</definedName>
    <definedName name="bb">Feuil1!$E$26</definedName>
    <definedName name="beff_1">Feuil1!$O$4</definedName>
    <definedName name="beff_a">Feuil1!$O$5</definedName>
    <definedName name="bm">Feuil1!$E$31</definedName>
    <definedName name="bt">Feuil1!$E$27</definedName>
    <definedName name="c_z">Feuil1!$E$40</definedName>
    <definedName name="d">Feuil1!$E$6</definedName>
    <definedName name="dsc">Connexion!$D$4</definedName>
    <definedName name="dw">Feuil1!$E$19</definedName>
    <definedName name="e_s">Feuil1!$E$39</definedName>
    <definedName name="ebac">Feuil1!$E$25</definedName>
    <definedName name="Ecm">Feuil1!$J$9</definedName>
    <definedName name="Eta">Feuil1!$J$35</definedName>
    <definedName name="Ey">Feuil1!$J$6</definedName>
    <definedName name="Fck">Feuil1!$J$7</definedName>
    <definedName name="Fcm">Feuil1!$J$10</definedName>
    <definedName name="Fsk">Feuil1!$J$8</definedName>
    <definedName name="Fusc">Connexion!$D$6</definedName>
    <definedName name="Fy">Feuil1!$J$4</definedName>
    <definedName name="fybac">Feuil1!$E$29</definedName>
    <definedName name="g">Feuil1!$J$28</definedName>
    <definedName name="GammaC">Feuil1!$J$16</definedName>
    <definedName name="GammaG">Feuil1!$J$20</definedName>
    <definedName name="GammaM0">Feuil1!$J$14</definedName>
    <definedName name="GammaM1">Feuil1!$J$15</definedName>
    <definedName name="GammaQ">Feuil1!$J$21</definedName>
    <definedName name="GammaS">Feuil1!$J$17</definedName>
    <definedName name="GammaV">Feuil1!$J$18</definedName>
    <definedName name="hbac">Feuil1!$E$24</definedName>
    <definedName name="hsc">Connexion!$D$5</definedName>
    <definedName name="Ht">Feuil1!$E$11</definedName>
    <definedName name="hw">Feuil1!$E$18</definedName>
    <definedName name="kC">Feuil1!$O$53</definedName>
    <definedName name="La">Feuil1!$E$5</definedName>
    <definedName name="Le_1">Feuil1!$O$7</definedName>
    <definedName name="Le_a">Feuil1!$O$8</definedName>
    <definedName name="LL">Feuil1!$E$4</definedName>
    <definedName name="MplRd_1">Feuil1!$O$19</definedName>
    <definedName name="MplRd_app">Feuil1!$O$37</definedName>
    <definedName name="mubac">Feuil1!$E$30</definedName>
    <definedName name="Na">Feuil1!$O$15</definedName>
    <definedName name="Nc">Feuil1!$O$14</definedName>
    <definedName name="Nf">Feuil1!$O$29</definedName>
    <definedName name="non">Feuil1!$T$3</definedName>
    <definedName name="Nr">Feuil1!$O$30</definedName>
    <definedName name="Ns">Feuil1!$O$25</definedName>
    <definedName name="Nu">Feuil1!$J$5</definedName>
    <definedName name="Nw">Feuil1!$O$31</definedName>
    <definedName name="oui">Feuil1!$T$2</definedName>
    <definedName name="p_1">Feuil1!$O$40</definedName>
    <definedName name="p_w">Feuil1!$R$40</definedName>
    <definedName name="PhiS">Feuil1!$E$38</definedName>
    <definedName name="PRd_dp">Connexion!$D$12</definedName>
    <definedName name="PRda">Connexion!$D$10</definedName>
    <definedName name="PRdc">Connexion!$D$11</definedName>
    <definedName name="qG_1">Feuil1!$E$56</definedName>
    <definedName name="qG_2">Feuil1!$E$57</definedName>
    <definedName name="qQ">Feuil1!$E$58</definedName>
    <definedName name="RhoA">Feuil1!$J$26</definedName>
    <definedName name="RhoC">Feuil1!$J$27</definedName>
    <definedName name="rr">Feuil1!$E$15</definedName>
    <definedName name="tbac">Feuil1!$E$28</definedName>
    <definedName name="tc">Feuil1!$E$36</definedName>
    <definedName name="td">Feuil1!$E$35</definedName>
    <definedName name="tf">Feuil1!$E$13</definedName>
    <definedName name="tw">Feuil1!$E$14</definedName>
    <definedName name="VplRd">Feuil1!$J$37</definedName>
    <definedName name="zn">Feuil1!$O$17</definedName>
    <definedName name="zR">Feuil1!$O$52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2" i="2" l="1"/>
  <c r="Q8" i="1"/>
  <c r="D58" i="2"/>
  <c r="D57" i="2"/>
  <c r="F52" i="2"/>
  <c r="E52" i="2"/>
  <c r="D52" i="2"/>
  <c r="W75" i="1"/>
  <c r="D37" i="2"/>
  <c r="D28" i="2"/>
  <c r="D29" i="2" s="1"/>
  <c r="J9" i="1"/>
  <c r="D11" i="2" s="1"/>
  <c r="J10" i="1"/>
  <c r="D10" i="2"/>
  <c r="Y35" i="1" a="1"/>
  <c r="X35" i="1" a="1"/>
  <c r="W35" i="1" a="1"/>
  <c r="Y34" i="1" a="1"/>
  <c r="X34" i="1" a="1"/>
  <c r="W34" i="1" a="1"/>
  <c r="E20" i="1"/>
  <c r="D76" i="1"/>
  <c r="W76" i="1" s="1"/>
  <c r="E74" i="1"/>
  <c r="D73" i="1"/>
  <c r="E73" i="1" s="1"/>
  <c r="D64" i="1"/>
  <c r="E64" i="1" s="1"/>
  <c r="E58" i="1"/>
  <c r="M76" i="1" s="1"/>
  <c r="E57" i="1"/>
  <c r="H76" i="1" s="1"/>
  <c r="E31" i="1"/>
  <c r="D17" i="2" s="1"/>
  <c r="F17" i="2" s="1"/>
  <c r="E54" i="1"/>
  <c r="O53" i="1"/>
  <c r="O52" i="1" s="1"/>
  <c r="E18" i="1"/>
  <c r="E19" i="1" s="1"/>
  <c r="O31" i="1" s="1"/>
  <c r="O29" i="1"/>
  <c r="E16" i="1"/>
  <c r="O15" i="1" s="1"/>
  <c r="O8" i="1"/>
  <c r="O5" i="1" s="1"/>
  <c r="O27" i="1" s="1"/>
  <c r="O26" i="1" s="1"/>
  <c r="O25" i="1" s="1"/>
  <c r="R40" i="1" s="1"/>
  <c r="O7" i="1"/>
  <c r="O4" i="1" s="1"/>
  <c r="E36" i="1"/>
  <c r="E55" i="1" s="1"/>
  <c r="D16" i="2" l="1"/>
  <c r="F16" i="2" s="1"/>
  <c r="D22" i="2" s="1"/>
  <c r="D12" i="2"/>
  <c r="D23" i="2" s="1"/>
  <c r="J36" i="1"/>
  <c r="J37" i="1" s="1"/>
  <c r="K94" i="1"/>
  <c r="D72" i="1"/>
  <c r="D71" i="1" s="1"/>
  <c r="H71" i="1" s="1"/>
  <c r="K90" i="1"/>
  <c r="K74" i="1"/>
  <c r="O74" i="1" s="1"/>
  <c r="J75" i="1"/>
  <c r="K86" i="1"/>
  <c r="J76" i="1"/>
  <c r="K82" i="1"/>
  <c r="K78" i="1"/>
  <c r="J64" i="1"/>
  <c r="N64" i="1" s="1"/>
  <c r="E72" i="1"/>
  <c r="H64" i="1"/>
  <c r="I64" i="1"/>
  <c r="K73" i="1"/>
  <c r="O73" i="1" s="1"/>
  <c r="L76" i="1"/>
  <c r="I75" i="1"/>
  <c r="K93" i="1"/>
  <c r="K85" i="1"/>
  <c r="K77" i="1"/>
  <c r="H74" i="1"/>
  <c r="I74" i="1"/>
  <c r="K92" i="1"/>
  <c r="K84" i="1"/>
  <c r="K76" i="1"/>
  <c r="O76" i="1" s="1"/>
  <c r="H73" i="1"/>
  <c r="I73" i="1"/>
  <c r="K91" i="1"/>
  <c r="K83" i="1"/>
  <c r="M75" i="1"/>
  <c r="H75" i="1"/>
  <c r="D77" i="1"/>
  <c r="J74" i="1"/>
  <c r="N74" i="1" s="1"/>
  <c r="L75" i="1"/>
  <c r="I76" i="1"/>
  <c r="K89" i="1"/>
  <c r="K81" i="1"/>
  <c r="I72" i="1"/>
  <c r="J73" i="1"/>
  <c r="N73" i="1" s="1"/>
  <c r="K75" i="1"/>
  <c r="K88" i="1"/>
  <c r="K80" i="1"/>
  <c r="H72" i="1"/>
  <c r="J72" i="1"/>
  <c r="N72" i="1" s="1"/>
  <c r="K64" i="1"/>
  <c r="O64" i="1" s="1"/>
  <c r="K95" i="1"/>
  <c r="K87" i="1"/>
  <c r="K79" i="1"/>
  <c r="E53" i="1"/>
  <c r="E56" i="1" s="1"/>
  <c r="O30" i="1"/>
  <c r="R48" i="1" s="1"/>
  <c r="R50" i="1"/>
  <c r="R44" i="1"/>
  <c r="R45" i="1"/>
  <c r="O36" i="1"/>
  <c r="O40" i="1"/>
  <c r="O33" i="1"/>
  <c r="O34" i="1"/>
  <c r="O35" i="1"/>
  <c r="O14" i="1"/>
  <c r="O17" i="1" s="1"/>
  <c r="O19" i="1" s="1"/>
  <c r="O24" i="1"/>
  <c r="E17" i="1"/>
  <c r="I32" i="2" l="1"/>
  <c r="H32" i="2"/>
  <c r="F36" i="2"/>
  <c r="G36" i="2" s="1"/>
  <c r="J36" i="2" s="1"/>
  <c r="D33" i="2"/>
  <c r="H77" i="1"/>
  <c r="W77" i="1"/>
  <c r="D32" i="2"/>
  <c r="F37" i="2"/>
  <c r="G37" i="2" s="1"/>
  <c r="J37" i="2" s="1"/>
  <c r="K72" i="1"/>
  <c r="O72" i="1" s="1"/>
  <c r="N75" i="1"/>
  <c r="O75" i="1"/>
  <c r="M77" i="1"/>
  <c r="O77" i="1" s="1"/>
  <c r="J77" i="1"/>
  <c r="I71" i="1"/>
  <c r="K71" i="1"/>
  <c r="O71" i="1" s="1"/>
  <c r="N76" i="1"/>
  <c r="D78" i="1"/>
  <c r="L77" i="1"/>
  <c r="D70" i="1"/>
  <c r="G70" i="1" s="1"/>
  <c r="E71" i="1"/>
  <c r="J71" i="1"/>
  <c r="N71" i="1" s="1"/>
  <c r="G77" i="1"/>
  <c r="G74" i="1"/>
  <c r="F74" i="1"/>
  <c r="G64" i="1"/>
  <c r="F64" i="1"/>
  <c r="F76" i="1"/>
  <c r="F77" i="1"/>
  <c r="G75" i="1"/>
  <c r="G71" i="1"/>
  <c r="F71" i="1"/>
  <c r="G72" i="1"/>
  <c r="F75" i="1"/>
  <c r="F72" i="1"/>
  <c r="G76" i="1"/>
  <c r="G73" i="1"/>
  <c r="F73" i="1"/>
  <c r="I77" i="1"/>
  <c r="R46" i="1"/>
  <c r="R49" i="1"/>
  <c r="R47" i="1"/>
  <c r="O44" i="1"/>
  <c r="O45" i="1"/>
  <c r="O50" i="1"/>
  <c r="O49" i="1"/>
  <c r="O48" i="1"/>
  <c r="O47" i="1"/>
  <c r="O46" i="1"/>
  <c r="D43" i="2" l="1"/>
  <c r="E54" i="2"/>
  <c r="D54" i="2"/>
  <c r="F54" i="2"/>
  <c r="D44" i="2"/>
  <c r="E44" i="2" s="1"/>
  <c r="E43" i="2"/>
  <c r="G78" i="1"/>
  <c r="W78" i="1"/>
  <c r="F78" i="1"/>
  <c r="N77" i="1"/>
  <c r="U77" i="1" s="1"/>
  <c r="S73" i="1"/>
  <c r="Q73" i="1"/>
  <c r="U73" i="1"/>
  <c r="S72" i="1"/>
  <c r="U72" i="1"/>
  <c r="Q72" i="1"/>
  <c r="S77" i="1"/>
  <c r="Q77" i="1"/>
  <c r="V64" i="1"/>
  <c r="T64" i="1"/>
  <c r="R64" i="1"/>
  <c r="S71" i="1"/>
  <c r="U71" i="1"/>
  <c r="Q71" i="1"/>
  <c r="S75" i="1"/>
  <c r="U75" i="1"/>
  <c r="Q75" i="1"/>
  <c r="R74" i="1"/>
  <c r="T74" i="1"/>
  <c r="V74" i="1"/>
  <c r="R42" i="1"/>
  <c r="P36" i="1" s="1"/>
  <c r="T71" i="1"/>
  <c r="V71" i="1"/>
  <c r="R71" i="1"/>
  <c r="D79" i="1"/>
  <c r="W79" i="1" s="1"/>
  <c r="J78" i="1"/>
  <c r="L78" i="1"/>
  <c r="H78" i="1"/>
  <c r="I78" i="1"/>
  <c r="M78" i="1"/>
  <c r="O78" i="1" s="1"/>
  <c r="T73" i="1"/>
  <c r="R73" i="1"/>
  <c r="V73" i="1"/>
  <c r="T72" i="1"/>
  <c r="V72" i="1"/>
  <c r="R72" i="1"/>
  <c r="U64" i="1"/>
  <c r="S64" i="1"/>
  <c r="Q64" i="1"/>
  <c r="D69" i="1"/>
  <c r="E70" i="1"/>
  <c r="K70" i="1"/>
  <c r="O70" i="1" s="1"/>
  <c r="J70" i="1"/>
  <c r="N70" i="1" s="1"/>
  <c r="I70" i="1"/>
  <c r="R70" i="1" s="1"/>
  <c r="H70" i="1"/>
  <c r="T75" i="1"/>
  <c r="V75" i="1"/>
  <c r="R75" i="1"/>
  <c r="S76" i="1"/>
  <c r="U76" i="1"/>
  <c r="Q76" i="1"/>
  <c r="T76" i="1"/>
  <c r="V76" i="1"/>
  <c r="R76" i="1"/>
  <c r="F70" i="1"/>
  <c r="Q74" i="1"/>
  <c r="S74" i="1"/>
  <c r="U74" i="1"/>
  <c r="T77" i="1"/>
  <c r="R77" i="1"/>
  <c r="V77" i="1"/>
  <c r="O42" i="1"/>
  <c r="P34" i="1" s="1"/>
  <c r="O37" i="1" s="1" a="1"/>
  <c r="O37" i="1" s="1"/>
  <c r="D53" i="2" l="1"/>
  <c r="D55" i="2" s="1"/>
  <c r="D59" i="2" s="1"/>
  <c r="E53" i="2"/>
  <c r="E55" i="2" s="1"/>
  <c r="E59" i="2" s="1"/>
  <c r="F53" i="2"/>
  <c r="F55" i="2" s="1"/>
  <c r="F59" i="2" s="1"/>
  <c r="S78" i="1"/>
  <c r="V78" i="1"/>
  <c r="Q78" i="1"/>
  <c r="T78" i="1"/>
  <c r="R78" i="1"/>
  <c r="D80" i="1"/>
  <c r="W80" i="1" s="1"/>
  <c r="H79" i="1"/>
  <c r="L79" i="1"/>
  <c r="M79" i="1"/>
  <c r="O79" i="1" s="1"/>
  <c r="J79" i="1"/>
  <c r="I79" i="1"/>
  <c r="F79" i="1"/>
  <c r="G79" i="1"/>
  <c r="V70" i="1"/>
  <c r="D68" i="1"/>
  <c r="E69" i="1"/>
  <c r="J69" i="1"/>
  <c r="N69" i="1" s="1"/>
  <c r="I69" i="1"/>
  <c r="H69" i="1"/>
  <c r="K69" i="1"/>
  <c r="O69" i="1" s="1"/>
  <c r="F69" i="1"/>
  <c r="G69" i="1"/>
  <c r="T70" i="1"/>
  <c r="Q70" i="1"/>
  <c r="S70" i="1"/>
  <c r="U70" i="1"/>
  <c r="N78" i="1"/>
  <c r="U78" i="1" s="1"/>
  <c r="N79" i="1" l="1"/>
  <c r="U79" i="1" s="1"/>
  <c r="T79" i="1"/>
  <c r="V79" i="1"/>
  <c r="R79" i="1"/>
  <c r="S79" i="1"/>
  <c r="Q79" i="1"/>
  <c r="S69" i="1"/>
  <c r="Q69" i="1"/>
  <c r="U69" i="1"/>
  <c r="D67" i="1"/>
  <c r="H68" i="1"/>
  <c r="E68" i="1"/>
  <c r="I68" i="1"/>
  <c r="J68" i="1"/>
  <c r="N68" i="1" s="1"/>
  <c r="K68" i="1"/>
  <c r="O68" i="1" s="1"/>
  <c r="G68" i="1"/>
  <c r="F68" i="1"/>
  <c r="T69" i="1"/>
  <c r="R69" i="1"/>
  <c r="V69" i="1"/>
  <c r="D81" i="1"/>
  <c r="W81" i="1" s="1"/>
  <c r="J80" i="1"/>
  <c r="I80" i="1"/>
  <c r="L80" i="1"/>
  <c r="H80" i="1"/>
  <c r="M80" i="1"/>
  <c r="O80" i="1" s="1"/>
  <c r="G80" i="1"/>
  <c r="F80" i="1"/>
  <c r="T68" i="1" l="1"/>
  <c r="V68" i="1"/>
  <c r="R68" i="1"/>
  <c r="N80" i="1"/>
  <c r="U80" i="1" s="1"/>
  <c r="D82" i="1"/>
  <c r="W82" i="1" s="1"/>
  <c r="L81" i="1"/>
  <c r="I81" i="1"/>
  <c r="M81" i="1"/>
  <c r="O81" i="1" s="1"/>
  <c r="J81" i="1"/>
  <c r="H81" i="1"/>
  <c r="F81" i="1"/>
  <c r="G81" i="1"/>
  <c r="S80" i="1"/>
  <c r="Q80" i="1"/>
  <c r="T80" i="1"/>
  <c r="V80" i="1"/>
  <c r="R80" i="1"/>
  <c r="D66" i="1"/>
  <c r="J67" i="1"/>
  <c r="N67" i="1" s="1"/>
  <c r="E67" i="1"/>
  <c r="H67" i="1"/>
  <c r="K67" i="1"/>
  <c r="O67" i="1" s="1"/>
  <c r="I67" i="1"/>
  <c r="F67" i="1"/>
  <c r="G67" i="1"/>
  <c r="S68" i="1"/>
  <c r="U68" i="1"/>
  <c r="Q68" i="1"/>
  <c r="D83" i="1" l="1"/>
  <c r="W83" i="1" s="1"/>
  <c r="M82" i="1"/>
  <c r="O82" i="1" s="1"/>
  <c r="I82" i="1"/>
  <c r="H82" i="1"/>
  <c r="L82" i="1"/>
  <c r="J82" i="1"/>
  <c r="N82" i="1" s="1"/>
  <c r="G82" i="1"/>
  <c r="F82" i="1"/>
  <c r="T81" i="1"/>
  <c r="R81" i="1"/>
  <c r="V81" i="1"/>
  <c r="D65" i="1"/>
  <c r="E66" i="1"/>
  <c r="K66" i="1"/>
  <c r="O66" i="1" s="1"/>
  <c r="H66" i="1"/>
  <c r="J66" i="1"/>
  <c r="N66" i="1" s="1"/>
  <c r="I66" i="1"/>
  <c r="G66" i="1"/>
  <c r="F66" i="1"/>
  <c r="S81" i="1"/>
  <c r="Q81" i="1"/>
  <c r="U81" i="1"/>
  <c r="T67" i="1"/>
  <c r="V67" i="1"/>
  <c r="R67" i="1"/>
  <c r="S67" i="1"/>
  <c r="U67" i="1"/>
  <c r="Q67" i="1"/>
  <c r="N81" i="1"/>
  <c r="Q82" i="1" l="1"/>
  <c r="S82" i="1"/>
  <c r="U82" i="1"/>
  <c r="R82" i="1"/>
  <c r="T82" i="1"/>
  <c r="V82" i="1"/>
  <c r="R66" i="1"/>
  <c r="T66" i="1"/>
  <c r="V66" i="1"/>
  <c r="E65" i="1"/>
  <c r="I65" i="1"/>
  <c r="K65" i="1"/>
  <c r="O65" i="1" s="1"/>
  <c r="H65" i="1"/>
  <c r="J65" i="1"/>
  <c r="N65" i="1" s="1"/>
  <c r="F65" i="1"/>
  <c r="G65" i="1"/>
  <c r="Q66" i="1"/>
  <c r="S66" i="1"/>
  <c r="U66" i="1"/>
  <c r="D84" i="1"/>
  <c r="W84" i="1" s="1"/>
  <c r="M83" i="1"/>
  <c r="O83" i="1" s="1"/>
  <c r="J83" i="1"/>
  <c r="L83" i="1"/>
  <c r="I83" i="1"/>
  <c r="H83" i="1"/>
  <c r="G83" i="1"/>
  <c r="F83" i="1"/>
  <c r="N83" i="1" l="1"/>
  <c r="S65" i="1"/>
  <c r="Z19" i="1" s="1"/>
  <c r="Q65" i="1"/>
  <c r="X19" i="1" s="1"/>
  <c r="U65" i="1"/>
  <c r="AB19" i="1" s="1"/>
  <c r="D85" i="1"/>
  <c r="W85" i="1" s="1"/>
  <c r="J84" i="1"/>
  <c r="N84" i="1" s="1"/>
  <c r="H84" i="1"/>
  <c r="I84" i="1"/>
  <c r="M84" i="1"/>
  <c r="O84" i="1" s="1"/>
  <c r="L84" i="1"/>
  <c r="G84" i="1"/>
  <c r="F84" i="1"/>
  <c r="S83" i="1"/>
  <c r="U83" i="1"/>
  <c r="Q83" i="1"/>
  <c r="T83" i="1"/>
  <c r="V83" i="1"/>
  <c r="R83" i="1"/>
  <c r="T65" i="1"/>
  <c r="X34" i="1" s="1"/>
  <c r="X38" i="1" s="1"/>
  <c r="R65" i="1"/>
  <c r="W34" i="1" s="1"/>
  <c r="W38" i="1" s="1"/>
  <c r="V65" i="1"/>
  <c r="Y34" i="1" s="1"/>
  <c r="Y38" i="1" s="1"/>
  <c r="W42" i="1" l="1"/>
  <c r="X23" i="1"/>
  <c r="T84" i="1"/>
  <c r="V84" i="1"/>
  <c r="R84" i="1"/>
  <c r="S84" i="1"/>
  <c r="U84" i="1"/>
  <c r="Q84" i="1"/>
  <c r="D86" i="1"/>
  <c r="W86" i="1" s="1"/>
  <c r="L85" i="1"/>
  <c r="I85" i="1"/>
  <c r="M85" i="1"/>
  <c r="O85" i="1" s="1"/>
  <c r="J85" i="1"/>
  <c r="H85" i="1"/>
  <c r="G85" i="1"/>
  <c r="F85" i="1"/>
  <c r="S85" i="1" l="1"/>
  <c r="Q85" i="1"/>
  <c r="D87" i="1"/>
  <c r="W87" i="1" s="1"/>
  <c r="H86" i="1"/>
  <c r="L86" i="1"/>
  <c r="I86" i="1"/>
  <c r="M86" i="1"/>
  <c r="O86" i="1" s="1"/>
  <c r="J86" i="1"/>
  <c r="G86" i="1"/>
  <c r="F86" i="1"/>
  <c r="T85" i="1"/>
  <c r="R85" i="1"/>
  <c r="V85" i="1"/>
  <c r="N85" i="1"/>
  <c r="U85" i="1" s="1"/>
  <c r="D88" i="1" l="1"/>
  <c r="W88" i="1" s="1"/>
  <c r="M87" i="1"/>
  <c r="O87" i="1" s="1"/>
  <c r="H87" i="1"/>
  <c r="L87" i="1"/>
  <c r="J87" i="1"/>
  <c r="N87" i="1" s="1"/>
  <c r="I87" i="1"/>
  <c r="F87" i="1"/>
  <c r="G87" i="1"/>
  <c r="Q86" i="1"/>
  <c r="S86" i="1"/>
  <c r="R86" i="1"/>
  <c r="T86" i="1"/>
  <c r="V86" i="1"/>
  <c r="N86" i="1"/>
  <c r="U86" i="1" s="1"/>
  <c r="T87" i="1" l="1"/>
  <c r="V87" i="1"/>
  <c r="R87" i="1"/>
  <c r="S87" i="1"/>
  <c r="U87" i="1"/>
  <c r="Q87" i="1"/>
  <c r="D89" i="1"/>
  <c r="W89" i="1" s="1"/>
  <c r="J88" i="1"/>
  <c r="N88" i="1" s="1"/>
  <c r="I88" i="1"/>
  <c r="L88" i="1"/>
  <c r="H88" i="1"/>
  <c r="M88" i="1"/>
  <c r="O88" i="1" s="1"/>
  <c r="F88" i="1"/>
  <c r="G88" i="1"/>
  <c r="R88" i="1" l="1"/>
  <c r="T88" i="1"/>
  <c r="V88" i="1"/>
  <c r="S88" i="1"/>
  <c r="U88" i="1"/>
  <c r="Q88" i="1"/>
  <c r="D90" i="1"/>
  <c r="W90" i="1" s="1"/>
  <c r="L89" i="1"/>
  <c r="I89" i="1"/>
  <c r="M89" i="1"/>
  <c r="O89" i="1" s="1"/>
  <c r="J89" i="1"/>
  <c r="H89" i="1"/>
  <c r="G89" i="1"/>
  <c r="F89" i="1"/>
  <c r="D91" i="1" l="1"/>
  <c r="W91" i="1" s="1"/>
  <c r="I90" i="1"/>
  <c r="H90" i="1"/>
  <c r="L90" i="1"/>
  <c r="J90" i="1"/>
  <c r="N90" i="1" s="1"/>
  <c r="M90" i="1"/>
  <c r="O90" i="1" s="1"/>
  <c r="G90" i="1"/>
  <c r="F90" i="1"/>
  <c r="S89" i="1"/>
  <c r="Q89" i="1"/>
  <c r="T89" i="1"/>
  <c r="R89" i="1"/>
  <c r="V89" i="1"/>
  <c r="N89" i="1"/>
  <c r="U89" i="1" s="1"/>
  <c r="Q90" i="1" l="1"/>
  <c r="S90" i="1"/>
  <c r="U90" i="1"/>
  <c r="R90" i="1"/>
  <c r="T90" i="1"/>
  <c r="V90" i="1"/>
  <c r="D92" i="1"/>
  <c r="W92" i="1" s="1"/>
  <c r="M91" i="1"/>
  <c r="O91" i="1" s="1"/>
  <c r="L91" i="1"/>
  <c r="I91" i="1"/>
  <c r="H91" i="1"/>
  <c r="J91" i="1"/>
  <c r="N91" i="1" s="1"/>
  <c r="F91" i="1"/>
  <c r="G91" i="1"/>
  <c r="T91" i="1" l="1"/>
  <c r="V91" i="1"/>
  <c r="R91" i="1"/>
  <c r="S91" i="1"/>
  <c r="U91" i="1"/>
  <c r="Q91" i="1"/>
  <c r="D93" i="1"/>
  <c r="W93" i="1" s="1"/>
  <c r="J92" i="1"/>
  <c r="N92" i="1" s="1"/>
  <c r="H92" i="1"/>
  <c r="I92" i="1"/>
  <c r="M92" i="1"/>
  <c r="O92" i="1" s="1"/>
  <c r="L92" i="1"/>
  <c r="F92" i="1"/>
  <c r="G92" i="1"/>
  <c r="T92" i="1" l="1"/>
  <c r="V92" i="1"/>
  <c r="R92" i="1"/>
  <c r="D94" i="1"/>
  <c r="W94" i="1" s="1"/>
  <c r="L93" i="1"/>
  <c r="I93" i="1"/>
  <c r="M93" i="1"/>
  <c r="O93" i="1" s="1"/>
  <c r="J93" i="1"/>
  <c r="N93" i="1" s="1"/>
  <c r="H93" i="1"/>
  <c r="G93" i="1"/>
  <c r="F93" i="1"/>
  <c r="S92" i="1"/>
  <c r="U92" i="1"/>
  <c r="Q92" i="1"/>
  <c r="D95" i="1" l="1"/>
  <c r="W95" i="1" s="1"/>
  <c r="J94" i="1"/>
  <c r="I94" i="1"/>
  <c r="M94" i="1"/>
  <c r="O94" i="1" s="1"/>
  <c r="L94" i="1"/>
  <c r="H94" i="1"/>
  <c r="F94" i="1"/>
  <c r="G94" i="1"/>
  <c r="S93" i="1"/>
  <c r="Q93" i="1"/>
  <c r="U93" i="1"/>
  <c r="T93" i="1"/>
  <c r="R93" i="1"/>
  <c r="V93" i="1"/>
  <c r="Q94" i="1" l="1"/>
  <c r="S94" i="1"/>
  <c r="R94" i="1"/>
  <c r="T94" i="1"/>
  <c r="V94" i="1"/>
  <c r="N94" i="1"/>
  <c r="U94" i="1" s="1"/>
  <c r="M95" i="1"/>
  <c r="O95" i="1" s="1"/>
  <c r="H95" i="1"/>
  <c r="L95" i="1"/>
  <c r="J95" i="1"/>
  <c r="I95" i="1"/>
  <c r="F95" i="1"/>
  <c r="G95" i="1"/>
  <c r="N95" i="1" l="1"/>
  <c r="T95" i="1"/>
  <c r="X35" i="1" s="1"/>
  <c r="X39" i="1" s="1"/>
  <c r="V95" i="1"/>
  <c r="Y35" i="1" s="1"/>
  <c r="Y39" i="1" s="1"/>
  <c r="R95" i="1"/>
  <c r="W35" i="1" s="1"/>
  <c r="W39" i="1" s="1"/>
  <c r="S95" i="1"/>
  <c r="E51" i="2" s="1"/>
  <c r="U95" i="1"/>
  <c r="F51" i="2" s="1"/>
  <c r="Q95" i="1"/>
  <c r="D51" i="2" s="1"/>
  <c r="W43" i="1" l="1"/>
  <c r="W20" i="1"/>
  <c r="X20" i="1"/>
  <c r="AB20" i="1"/>
  <c r="AA20" i="1"/>
  <c r="Y20" i="1"/>
  <c r="Z20" i="1"/>
  <c r="W24" i="1" l="1"/>
  <c r="X24" i="1"/>
</calcChain>
</file>

<file path=xl/sharedStrings.xml><?xml version="1.0" encoding="utf-8"?>
<sst xmlns="http://schemas.openxmlformats.org/spreadsheetml/2006/main" count="302" uniqueCount="174">
  <si>
    <t>Portee principale</t>
  </si>
  <si>
    <t>Portee console</t>
  </si>
  <si>
    <t>mm</t>
  </si>
  <si>
    <t>m</t>
  </si>
  <si>
    <t>Poutre</t>
  </si>
  <si>
    <t>Profilé</t>
  </si>
  <si>
    <t>Ht</t>
  </si>
  <si>
    <t>b</t>
  </si>
  <si>
    <t>tf</t>
  </si>
  <si>
    <t>tw</t>
  </si>
  <si>
    <t>rc</t>
  </si>
  <si>
    <t>Dalle</t>
  </si>
  <si>
    <t>Bac</t>
  </si>
  <si>
    <t>Matériaux</t>
  </si>
  <si>
    <t>Fy</t>
  </si>
  <si>
    <t>Fck</t>
  </si>
  <si>
    <t>Nu</t>
  </si>
  <si>
    <t>MPa</t>
  </si>
  <si>
    <t>Ey</t>
  </si>
  <si>
    <t>Coef. partiels</t>
  </si>
  <si>
    <t>GammaM0</t>
  </si>
  <si>
    <t>GammaM1</t>
  </si>
  <si>
    <t>GammaC</t>
  </si>
  <si>
    <t>GammaS</t>
  </si>
  <si>
    <t>GammaV</t>
  </si>
  <si>
    <t>Entraxe</t>
  </si>
  <si>
    <t>Entraxe solives</t>
  </si>
  <si>
    <t>GammaG</t>
  </si>
  <si>
    <t>GammaQ</t>
  </si>
  <si>
    <t>hp</t>
  </si>
  <si>
    <t>e</t>
  </si>
  <si>
    <t>bb</t>
  </si>
  <si>
    <t>bt</t>
  </si>
  <si>
    <t>t</t>
  </si>
  <si>
    <t>f</t>
  </si>
  <si>
    <t>td</t>
  </si>
  <si>
    <t>tc</t>
  </si>
  <si>
    <t>Largeurs participantes</t>
  </si>
  <si>
    <t>Mi portée</t>
  </si>
  <si>
    <t>Appui</t>
  </si>
  <si>
    <t>Le mi portée</t>
  </si>
  <si>
    <t>Le appui</t>
  </si>
  <si>
    <t>Propriétés plastiques mi travée</t>
  </si>
  <si>
    <t>Nc</t>
  </si>
  <si>
    <t>Aa</t>
  </si>
  <si>
    <t>mm2</t>
  </si>
  <si>
    <t>cm2</t>
  </si>
  <si>
    <t>Na</t>
  </si>
  <si>
    <t>kN</t>
  </si>
  <si>
    <t>IPE360</t>
  </si>
  <si>
    <t>zn</t>
  </si>
  <si>
    <t>MplRd</t>
  </si>
  <si>
    <t>(vrai pour Nc&gt;Na)</t>
  </si>
  <si>
    <t>kNm</t>
  </si>
  <si>
    <t>Propriétés plastiques sur appui</t>
  </si>
  <si>
    <t>Ns</t>
  </si>
  <si>
    <t>Diamètre</t>
  </si>
  <si>
    <t>Enrobage</t>
  </si>
  <si>
    <t>Armatures</t>
  </si>
  <si>
    <t>Fsk</t>
  </si>
  <si>
    <t>As</t>
  </si>
  <si>
    <t>Nombre armatures</t>
  </si>
  <si>
    <t>Nf</t>
  </si>
  <si>
    <t>ANP dans la dalle ?</t>
  </si>
  <si>
    <t>ANP dans le congé ?</t>
  </si>
  <si>
    <t>ANP dans l'âme droite ?</t>
  </si>
  <si>
    <t>oui</t>
  </si>
  <si>
    <t>non</t>
  </si>
  <si>
    <t>ANP dans la semelle ?</t>
  </si>
  <si>
    <t>Nr</t>
  </si>
  <si>
    <t>Nw</t>
  </si>
  <si>
    <t>hw</t>
  </si>
  <si>
    <t>dw</t>
  </si>
  <si>
    <t>Cas ANP dans l'âme</t>
  </si>
  <si>
    <t>p</t>
  </si>
  <si>
    <t>Cas ANP dans la semelle</t>
  </si>
  <si>
    <t>Semelle sup tendue</t>
  </si>
  <si>
    <t>Semelle sup comprimée</t>
  </si>
  <si>
    <t>Rayon sup</t>
  </si>
  <si>
    <t>Âme</t>
  </si>
  <si>
    <t>Rayon inf</t>
  </si>
  <si>
    <t>Semelle inf</t>
  </si>
  <si>
    <t>zr</t>
  </si>
  <si>
    <t>kC</t>
  </si>
  <si>
    <t>MPlRd</t>
  </si>
  <si>
    <t>S sup</t>
  </si>
  <si>
    <t>Congés sup</t>
  </si>
  <si>
    <t>Âme tendue</t>
  </si>
  <si>
    <t>Âme comp</t>
  </si>
  <si>
    <t>Chargement</t>
  </si>
  <si>
    <t>G1</t>
  </si>
  <si>
    <t>G2</t>
  </si>
  <si>
    <t>Q</t>
  </si>
  <si>
    <t>profilé</t>
  </si>
  <si>
    <t>bac</t>
  </si>
  <si>
    <t>dalle</t>
  </si>
  <si>
    <t>mu</t>
  </si>
  <si>
    <t>kg/m2</t>
  </si>
  <si>
    <t>qG1</t>
  </si>
  <si>
    <t>kN/m</t>
  </si>
  <si>
    <t>Divers</t>
  </si>
  <si>
    <t>RhoA</t>
  </si>
  <si>
    <t>RhoC</t>
  </si>
  <si>
    <t>kg/m3</t>
  </si>
  <si>
    <t>g</t>
  </si>
  <si>
    <t>m/s2</t>
  </si>
  <si>
    <t>bm</t>
  </si>
  <si>
    <t>kN/m2</t>
  </si>
  <si>
    <t>Console</t>
  </si>
  <si>
    <t>M</t>
  </si>
  <si>
    <t>V</t>
  </si>
  <si>
    <t>Q#1</t>
  </si>
  <si>
    <t>Q#2</t>
  </si>
  <si>
    <t>Q#3</t>
  </si>
  <si>
    <t>Travée</t>
  </si>
  <si>
    <t>Les 2</t>
  </si>
  <si>
    <t>ELU#1</t>
  </si>
  <si>
    <t>ELU#2</t>
  </si>
  <si>
    <t>ELU#3</t>
  </si>
  <si>
    <t>Vérifications</t>
  </si>
  <si>
    <t>Flexion</t>
  </si>
  <si>
    <t>Travée 2</t>
  </si>
  <si>
    <t>M&gt;0</t>
  </si>
  <si>
    <t>M&lt;0</t>
  </si>
  <si>
    <t>Travée console</t>
  </si>
  <si>
    <t>ELU 1</t>
  </si>
  <si>
    <t>ELU 2</t>
  </si>
  <si>
    <t>ELU 3</t>
  </si>
  <si>
    <t>Enveloppe</t>
  </si>
  <si>
    <t>Sans prise en compte du degré de connexion</t>
  </si>
  <si>
    <t>Av</t>
  </si>
  <si>
    <t>Résistance au cisaillement</t>
  </si>
  <si>
    <t>VplRd</t>
  </si>
  <si>
    <t>Eta</t>
  </si>
  <si>
    <t>Avmin</t>
  </si>
  <si>
    <t>Eff tranchant</t>
  </si>
  <si>
    <t>ELU 01</t>
  </si>
  <si>
    <t>ELU 02</t>
  </si>
  <si>
    <t>ELU 03</t>
  </si>
  <si>
    <t>Critère</t>
  </si>
  <si>
    <t>diametre</t>
  </si>
  <si>
    <t>hauteur</t>
  </si>
  <si>
    <t>fu</t>
  </si>
  <si>
    <t>PRd dalle pleine</t>
  </si>
  <si>
    <t>PRda</t>
  </si>
  <si>
    <t>PRdc</t>
  </si>
  <si>
    <t>Ecm</t>
  </si>
  <si>
    <t>GPa</t>
  </si>
  <si>
    <t>Fcm</t>
  </si>
  <si>
    <t>PRd</t>
  </si>
  <si>
    <t>Coef de réduction</t>
  </si>
  <si>
    <t>nr</t>
  </si>
  <si>
    <t>kt</t>
  </si>
  <si>
    <t>ktmax</t>
  </si>
  <si>
    <t>PRd dalle mixte</t>
  </si>
  <si>
    <t>Nombre de nervures en consoles</t>
  </si>
  <si>
    <t>Degré de connexion console</t>
  </si>
  <si>
    <t>d</t>
  </si>
  <si>
    <t>Zone 1</t>
  </si>
  <si>
    <t>Zone 2</t>
  </si>
  <si>
    <t>Longueur</t>
  </si>
  <si>
    <t>Prd/u</t>
  </si>
  <si>
    <t>Longueur de chaque zone requise pour le moment négatif : L1</t>
  </si>
  <si>
    <t>Longueur restante : L2</t>
  </si>
  <si>
    <t>L1</t>
  </si>
  <si>
    <t>L2</t>
  </si>
  <si>
    <t>Position du point de moment maxi</t>
  </si>
  <si>
    <t>ELU</t>
  </si>
  <si>
    <t>MEd</t>
  </si>
  <si>
    <t>x</t>
  </si>
  <si>
    <t>RConnex G</t>
  </si>
  <si>
    <t>RConnex D</t>
  </si>
  <si>
    <t>RConnex</t>
  </si>
  <si>
    <t>Degré mini connexion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</si>
</sst>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000"/>
    <numFmt numFmtId="166" formatCode="0.000"/>
    <numFmt numFmtId="167" formatCode="0.00000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0" xfId="0" applyFont="1" applyFill="1"/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" fillId="5" borderId="0" xfId="0" applyFont="1" applyFill="1"/>
    <xf numFmtId="0" fontId="1" fillId="6" borderId="0" xfId="0" applyFont="1" applyFill="1"/>
    <xf numFmtId="2" fontId="0" fillId="4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Fill="1" applyBorder="1" applyAlignment="1">
      <alignment horizontal="right" vertical="center"/>
    </xf>
    <xf numFmtId="0" fontId="0" fillId="0" borderId="1" xfId="0" applyBorder="1" applyAlignment="1">
      <alignment horizontal="center"/>
    </xf>
    <xf numFmtId="166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" fillId="8" borderId="1" xfId="0" applyNumberFormat="1" applyFont="1" applyFill="1" applyBorder="1" applyAlignment="1">
      <alignment horizontal="center" vertical="center"/>
    </xf>
    <xf numFmtId="0" fontId="1" fillId="9" borderId="0" xfId="0" applyFont="1" applyFill="1"/>
    <xf numFmtId="2" fontId="0" fillId="0" borderId="0" xfId="0" applyNumberFormat="1" applyBorder="1" applyAlignment="1">
      <alignment horizontal="center" vertical="center"/>
    </xf>
    <xf numFmtId="0" fontId="1" fillId="10" borderId="5" xfId="0" applyFont="1" applyFill="1" applyBorder="1"/>
    <xf numFmtId="0" fontId="1" fillId="10" borderId="6" xfId="0" applyFont="1" applyFill="1" applyBorder="1"/>
    <xf numFmtId="0" fontId="1" fillId="10" borderId="7" xfId="0" applyFont="1" applyFill="1" applyBorder="1" applyAlignment="1">
      <alignment horizontal="center"/>
    </xf>
    <xf numFmtId="0" fontId="1" fillId="10" borderId="8" xfId="0" applyFont="1" applyFill="1" applyBorder="1" applyAlignment="1">
      <alignment horizontal="center"/>
    </xf>
    <xf numFmtId="0" fontId="1" fillId="3" borderId="5" xfId="0" applyFont="1" applyFill="1" applyBorder="1"/>
    <xf numFmtId="0" fontId="1" fillId="3" borderId="6" xfId="0" applyFont="1" applyFill="1" applyBorder="1"/>
    <xf numFmtId="0" fontId="1" fillId="3" borderId="7" xfId="0" applyFon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0" fontId="1" fillId="5" borderId="5" xfId="0" applyFont="1" applyFill="1" applyBorder="1"/>
    <xf numFmtId="0" fontId="1" fillId="5" borderId="6" xfId="0" applyFont="1" applyFill="1" applyBorder="1"/>
    <xf numFmtId="0" fontId="1" fillId="5" borderId="7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11" borderId="4" xfId="0" applyFill="1" applyBorder="1"/>
    <xf numFmtId="0" fontId="0" fillId="11" borderId="3" xfId="0" applyFill="1" applyBorder="1"/>
    <xf numFmtId="0" fontId="3" fillId="11" borderId="2" xfId="0" applyFont="1" applyFill="1" applyBorder="1" applyAlignment="1">
      <alignment horizontal="center" vertical="center"/>
    </xf>
    <xf numFmtId="0" fontId="1" fillId="12" borderId="5" xfId="0" applyFont="1" applyFill="1" applyBorder="1"/>
    <xf numFmtId="0" fontId="1" fillId="12" borderId="6" xfId="0" applyFont="1" applyFill="1" applyBorder="1"/>
    <xf numFmtId="0" fontId="1" fillId="12" borderId="7" xfId="0" applyFont="1" applyFill="1" applyBorder="1" applyAlignment="1">
      <alignment horizontal="center"/>
    </xf>
    <xf numFmtId="0" fontId="1" fillId="12" borderId="8" xfId="0" applyFont="1" applyFill="1" applyBorder="1" applyAlignment="1">
      <alignment horizontal="center"/>
    </xf>
    <xf numFmtId="0" fontId="0" fillId="12" borderId="0" xfId="0" applyFill="1"/>
    <xf numFmtId="0" fontId="1" fillId="12" borderId="0" xfId="0" applyFont="1" applyFill="1"/>
    <xf numFmtId="0" fontId="2" fillId="0" borderId="5" xfId="0" applyFont="1" applyBorder="1"/>
    <xf numFmtId="166" fontId="2" fillId="0" borderId="6" xfId="0" applyNumberFormat="1" applyFont="1" applyBorder="1" applyAlignment="1">
      <alignment horizontal="center" vertical="center"/>
    </xf>
    <xf numFmtId="166" fontId="2" fillId="0" borderId="7" xfId="0" applyNumberFormat="1" applyFont="1" applyBorder="1" applyAlignment="1">
      <alignment horizontal="center" vertical="center"/>
    </xf>
    <xf numFmtId="166" fontId="2" fillId="0" borderId="8" xfId="0" applyNumberFormat="1" applyFont="1" applyBorder="1" applyAlignment="1">
      <alignment horizontal="center" vertical="center"/>
    </xf>
    <xf numFmtId="166" fontId="1" fillId="12" borderId="0" xfId="0" applyNumberFormat="1" applyFont="1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/>
    </xf>
    <xf numFmtId="0" fontId="1" fillId="11" borderId="0" xfId="0" applyFont="1" applyFill="1" applyBorder="1" applyAlignment="1">
      <alignment horizontal="center"/>
    </xf>
    <xf numFmtId="0" fontId="0" fillId="0" borderId="0" xfId="0" applyAlignment="1">
      <alignment horizontal="left" vertical="top"/>
    </xf>
    <xf numFmtId="165" fontId="1" fillId="1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B95"/>
  <sheetViews>
    <sheetView topLeftCell="A10" workbookViewId="0">
      <selection activeCell="Q8" sqref="Q8"/>
    </sheetView>
  </sheetViews>
  <sheetFormatPr baseColWidth="10" defaultRowHeight="15" x14ac:dyDescent="0.25"/>
  <sheetData>
    <row r="2" spans="3:24" x14ac:dyDescent="0.25">
      <c r="C2" s="5"/>
      <c r="D2" s="5" t="s">
        <v>4</v>
      </c>
      <c r="E2" s="5"/>
      <c r="F2" s="5"/>
      <c r="H2" s="5"/>
      <c r="I2" s="5" t="s">
        <v>13</v>
      </c>
      <c r="J2" s="5"/>
      <c r="K2" s="5"/>
      <c r="M2" s="8"/>
      <c r="N2" s="8" t="s">
        <v>37</v>
      </c>
      <c r="O2" s="8"/>
      <c r="P2" s="8"/>
      <c r="T2" s="19" t="s">
        <v>66</v>
      </c>
    </row>
    <row r="3" spans="3:24" x14ac:dyDescent="0.25">
      <c r="T3" s="20" t="s">
        <v>67</v>
      </c>
    </row>
    <row r="4" spans="3:24" x14ac:dyDescent="0.25">
      <c r="D4" s="2" t="s">
        <v>0</v>
      </c>
      <c r="E4" s="4">
        <v>10</v>
      </c>
      <c r="F4" t="s">
        <v>3</v>
      </c>
      <c r="I4" s="2" t="s">
        <v>14</v>
      </c>
      <c r="J4" s="4">
        <v>355</v>
      </c>
      <c r="K4" t="s">
        <v>17</v>
      </c>
      <c r="N4" s="2" t="s">
        <v>38</v>
      </c>
      <c r="O4" s="7">
        <f>MIN(d,Le_1/8*2)</f>
        <v>2.125</v>
      </c>
      <c r="P4" t="s">
        <v>3</v>
      </c>
    </row>
    <row r="5" spans="3:24" x14ac:dyDescent="0.25">
      <c r="D5" s="2" t="s">
        <v>1</v>
      </c>
      <c r="E5" s="4">
        <v>3</v>
      </c>
      <c r="F5" t="s">
        <v>3</v>
      </c>
      <c r="I5" s="2" t="s">
        <v>16</v>
      </c>
      <c r="J5" s="4">
        <v>0.3</v>
      </c>
      <c r="N5" s="2" t="s">
        <v>39</v>
      </c>
      <c r="O5" s="7">
        <f>MIN(2*Le_a/8,d)</f>
        <v>1.5</v>
      </c>
      <c r="P5" t="s">
        <v>3</v>
      </c>
    </row>
    <row r="6" spans="3:24" x14ac:dyDescent="0.25">
      <c r="D6" s="2" t="s">
        <v>26</v>
      </c>
      <c r="E6" s="4">
        <v>2.5</v>
      </c>
      <c r="F6" t="s">
        <v>3</v>
      </c>
      <c r="I6" s="2" t="s">
        <v>18</v>
      </c>
      <c r="J6" s="4">
        <v>210000</v>
      </c>
      <c r="K6" t="s">
        <v>17</v>
      </c>
    </row>
    <row r="7" spans="3:24" x14ac:dyDescent="0.25">
      <c r="I7" s="2" t="s">
        <v>15</v>
      </c>
      <c r="J7" s="4">
        <v>35</v>
      </c>
      <c r="K7" t="s">
        <v>17</v>
      </c>
      <c r="N7" s="2" t="s">
        <v>40</v>
      </c>
      <c r="O7" s="7">
        <f>0.85*LL</f>
        <v>8.5</v>
      </c>
      <c r="P7" t="s">
        <v>3</v>
      </c>
    </row>
    <row r="8" spans="3:24" x14ac:dyDescent="0.25">
      <c r="C8" s="5"/>
      <c r="D8" s="5" t="s">
        <v>5</v>
      </c>
      <c r="E8" s="5"/>
      <c r="F8" s="5"/>
      <c r="I8" s="15" t="s">
        <v>59</v>
      </c>
      <c r="J8" s="4">
        <v>500</v>
      </c>
      <c r="K8" t="s">
        <v>17</v>
      </c>
      <c r="N8" s="2" t="s">
        <v>41</v>
      </c>
      <c r="O8" s="7">
        <f>2*La</f>
        <v>6</v>
      </c>
      <c r="P8" t="s">
        <v>3</v>
      </c>
      <c r="Q8">
        <f>Le_a/8</f>
        <v>0.75</v>
      </c>
    </row>
    <row r="9" spans="3:24" x14ac:dyDescent="0.25">
      <c r="I9" s="15" t="s">
        <v>146</v>
      </c>
      <c r="J9" s="10">
        <f>22*(Fcm/10)^0.3</f>
        <v>34.077146199189329</v>
      </c>
      <c r="K9" t="s">
        <v>147</v>
      </c>
    </row>
    <row r="10" spans="3:24" x14ac:dyDescent="0.25">
      <c r="E10" s="4" t="s">
        <v>49</v>
      </c>
      <c r="I10" s="15" t="s">
        <v>148</v>
      </c>
      <c r="J10" s="7">
        <f>Fck+8</f>
        <v>43</v>
      </c>
      <c r="K10" t="s">
        <v>17</v>
      </c>
    </row>
    <row r="11" spans="3:24" x14ac:dyDescent="0.25">
      <c r="D11" s="2" t="s">
        <v>6</v>
      </c>
      <c r="E11" s="4">
        <v>360</v>
      </c>
      <c r="F11" t="s">
        <v>2</v>
      </c>
    </row>
    <row r="12" spans="3:24" x14ac:dyDescent="0.25">
      <c r="D12" s="2" t="s">
        <v>7</v>
      </c>
      <c r="E12" s="4">
        <v>170</v>
      </c>
      <c r="F12" t="s">
        <v>2</v>
      </c>
      <c r="H12" s="5"/>
      <c r="I12" s="5" t="s">
        <v>19</v>
      </c>
      <c r="J12" s="5"/>
      <c r="K12" s="5"/>
      <c r="M12" s="9"/>
      <c r="N12" s="9" t="s">
        <v>42</v>
      </c>
      <c r="O12" s="9"/>
      <c r="P12" s="9"/>
      <c r="U12" s="52" t="s">
        <v>119</v>
      </c>
      <c r="V12" s="51"/>
      <c r="W12" s="51"/>
      <c r="X12" s="51"/>
    </row>
    <row r="13" spans="3:24" x14ac:dyDescent="0.25">
      <c r="D13" s="2" t="s">
        <v>8</v>
      </c>
      <c r="E13" s="4">
        <v>12.7</v>
      </c>
      <c r="F13" t="s">
        <v>2</v>
      </c>
    </row>
    <row r="14" spans="3:24" x14ac:dyDescent="0.25">
      <c r="D14" s="2" t="s">
        <v>9</v>
      </c>
      <c r="E14" s="4">
        <v>8</v>
      </c>
      <c r="F14" t="s">
        <v>2</v>
      </c>
      <c r="I14" s="2" t="s">
        <v>20</v>
      </c>
      <c r="J14" s="4">
        <v>1</v>
      </c>
      <c r="N14" s="2" t="s">
        <v>43</v>
      </c>
      <c r="O14" s="7">
        <f>0.85*beff_1*tc*Fck/GammaC</f>
        <v>3034.4999999999995</v>
      </c>
      <c r="P14" t="s">
        <v>48</v>
      </c>
      <c r="U14" s="52" t="s">
        <v>120</v>
      </c>
      <c r="V14" t="s">
        <v>129</v>
      </c>
    </row>
    <row r="15" spans="3:24" x14ac:dyDescent="0.25">
      <c r="D15" s="2" t="s">
        <v>10</v>
      </c>
      <c r="E15" s="4">
        <v>18</v>
      </c>
      <c r="F15" t="s">
        <v>2</v>
      </c>
      <c r="I15" s="2" t="s">
        <v>21</v>
      </c>
      <c r="J15" s="4">
        <v>1.1000000000000001</v>
      </c>
      <c r="N15" s="2" t="s">
        <v>47</v>
      </c>
      <c r="O15" s="11">
        <f>(AireA*Fy/1000)/GammaM0</f>
        <v>2581.8880129841023</v>
      </c>
      <c r="P15" t="s">
        <v>48</v>
      </c>
    </row>
    <row r="16" spans="3:24" x14ac:dyDescent="0.25">
      <c r="D16" s="2" t="s">
        <v>44</v>
      </c>
      <c r="E16" s="12">
        <f>b*tf*2+(Ht-2*tf)*tw+(4-PI())*rr^2</f>
        <v>7272.9239802369075</v>
      </c>
      <c r="F16" t="s">
        <v>45</v>
      </c>
      <c r="I16" s="2" t="s">
        <v>22</v>
      </c>
      <c r="J16" s="4">
        <v>1.5</v>
      </c>
      <c r="N16" s="2"/>
    </row>
    <row r="17" spans="3:28" x14ac:dyDescent="0.25">
      <c r="E17" s="11">
        <f>AireA/100</f>
        <v>72.729239802369079</v>
      </c>
      <c r="F17" t="s">
        <v>46</v>
      </c>
      <c r="I17" s="2" t="s">
        <v>23</v>
      </c>
      <c r="J17" s="4">
        <v>1.1499999999999999</v>
      </c>
      <c r="N17" s="2" t="s">
        <v>50</v>
      </c>
      <c r="O17" s="11">
        <f>tc*Na/Nc</f>
        <v>61.260812962549146</v>
      </c>
      <c r="P17" t="s">
        <v>2</v>
      </c>
      <c r="W17" t="s">
        <v>125</v>
      </c>
      <c r="Y17" t="s">
        <v>126</v>
      </c>
      <c r="AA17" t="s">
        <v>127</v>
      </c>
    </row>
    <row r="18" spans="3:28" x14ac:dyDescent="0.25">
      <c r="D18" s="2" t="s">
        <v>71</v>
      </c>
      <c r="E18" s="7">
        <f>Ht-2*tf</f>
        <v>334.6</v>
      </c>
      <c r="F18" t="s">
        <v>2</v>
      </c>
      <c r="I18" s="2" t="s">
        <v>24</v>
      </c>
      <c r="J18" s="4">
        <v>1.25</v>
      </c>
      <c r="N18" s="2"/>
      <c r="V18" s="2" t="s">
        <v>120</v>
      </c>
      <c r="W18" s="3" t="s">
        <v>122</v>
      </c>
      <c r="X18" s="3" t="s">
        <v>123</v>
      </c>
      <c r="Y18" s="3" t="s">
        <v>122</v>
      </c>
      <c r="Z18" s="3" t="s">
        <v>123</v>
      </c>
      <c r="AA18" s="3" t="s">
        <v>122</v>
      </c>
      <c r="AB18" s="3" t="s">
        <v>123</v>
      </c>
    </row>
    <row r="19" spans="3:28" x14ac:dyDescent="0.25">
      <c r="D19" s="15" t="s">
        <v>72</v>
      </c>
      <c r="E19" s="7">
        <f>hw-2*rr</f>
        <v>298.60000000000002</v>
      </c>
      <c r="F19" t="s">
        <v>2</v>
      </c>
      <c r="I19" s="2"/>
      <c r="N19" s="2" t="s">
        <v>51</v>
      </c>
      <c r="O19" s="12">
        <f>Na*(Ht/2-zn/2+td)/1000</f>
        <v>721.30100469823833</v>
      </c>
      <c r="P19" t="s">
        <v>53</v>
      </c>
      <c r="Q19" t="s">
        <v>52</v>
      </c>
      <c r="V19" s="2" t="s">
        <v>124</v>
      </c>
      <c r="W19" s="3"/>
      <c r="X19" s="17">
        <f>ABS(MIN(Q64:Q74))/MplRd_app</f>
        <v>0.36935863136015534</v>
      </c>
      <c r="Y19" s="3"/>
      <c r="Z19" s="17">
        <f>ABS(MIN(S64:S74))/MplRd_app</f>
        <v>0.13029674327898993</v>
      </c>
      <c r="AA19" s="3"/>
      <c r="AB19" s="17">
        <f>ABS(MIN(U64:U74))/MplRd_app</f>
        <v>0.36935863136015534</v>
      </c>
    </row>
    <row r="20" spans="3:28" x14ac:dyDescent="0.25">
      <c r="D20" s="15" t="s">
        <v>130</v>
      </c>
      <c r="E20" s="12">
        <f>(2*rr+tw)*tf+(Ht-2*tf)*tw+(4-PI())*rr^2</f>
        <v>3513.7239802369072</v>
      </c>
      <c r="F20" t="s">
        <v>45</v>
      </c>
      <c r="I20" s="2" t="s">
        <v>27</v>
      </c>
      <c r="J20" s="4">
        <v>1.35</v>
      </c>
      <c r="N20" s="2"/>
      <c r="V20" s="2" t="s">
        <v>121</v>
      </c>
      <c r="W20" s="17">
        <f>MAX(Q75:Q95)/MplRd_1</f>
        <v>0.11748547618378141</v>
      </c>
      <c r="X20" s="17">
        <f>ABS(MIN(Q75:Q95))/MplRd_app</f>
        <v>0.3693586313601554</v>
      </c>
      <c r="Y20" s="17">
        <f>MAX(S75:S95)/MplRd_1</f>
        <v>0.56418659309650965</v>
      </c>
      <c r="Z20" s="17">
        <f>ABS(MIN(S75:S95))/MplRd_app</f>
        <v>0.13029674327898993</v>
      </c>
      <c r="AA20" s="17">
        <f>MAX(U75:U95)/MplRd_1</f>
        <v>0.49882043629895506</v>
      </c>
      <c r="AB20" s="17">
        <f>ABS(MIN(U75:U95))/MplRd_app</f>
        <v>0.3693586313601554</v>
      </c>
    </row>
    <row r="21" spans="3:28" x14ac:dyDescent="0.25">
      <c r="I21" s="2" t="s">
        <v>28</v>
      </c>
      <c r="J21" s="4">
        <v>1.5</v>
      </c>
      <c r="N21" s="2"/>
    </row>
    <row r="22" spans="3:28" x14ac:dyDescent="0.25">
      <c r="C22" s="5"/>
      <c r="D22" s="5" t="s">
        <v>12</v>
      </c>
      <c r="E22" s="5"/>
      <c r="F22" s="5"/>
      <c r="I22" s="2"/>
      <c r="M22" s="9"/>
      <c r="N22" s="9" t="s">
        <v>54</v>
      </c>
      <c r="O22" s="9"/>
      <c r="P22" s="9"/>
      <c r="V22" s="2" t="s">
        <v>128</v>
      </c>
      <c r="W22" s="6" t="s">
        <v>122</v>
      </c>
      <c r="X22" s="6" t="s">
        <v>123</v>
      </c>
    </row>
    <row r="23" spans="3:28" x14ac:dyDescent="0.25">
      <c r="I23" s="2"/>
      <c r="V23" s="2" t="s">
        <v>124</v>
      </c>
      <c r="W23" s="53"/>
      <c r="X23" s="54">
        <f>MAX(X19,Z19,AB19)</f>
        <v>0.36935863136015534</v>
      </c>
    </row>
    <row r="24" spans="3:28" x14ac:dyDescent="0.25">
      <c r="D24" s="2" t="s">
        <v>29</v>
      </c>
      <c r="E24" s="4">
        <v>58</v>
      </c>
      <c r="F24" t="s">
        <v>2</v>
      </c>
      <c r="H24" s="5"/>
      <c r="I24" s="5" t="s">
        <v>100</v>
      </c>
      <c r="J24" s="5"/>
      <c r="K24" s="5"/>
      <c r="N24" s="2" t="s">
        <v>47</v>
      </c>
      <c r="O24" s="11">
        <f>(AireA*Fy/1000)/GammaM0</f>
        <v>2581.8880129841023</v>
      </c>
      <c r="P24" t="s">
        <v>48</v>
      </c>
      <c r="V24" s="2" t="s">
        <v>121</v>
      </c>
      <c r="W24" s="55">
        <f>MAX(W20,Y20,AA20)</f>
        <v>0.56418659309650965</v>
      </c>
      <c r="X24" s="56">
        <f>MAX(X20,Z20,AB20)</f>
        <v>0.3693586313601554</v>
      </c>
    </row>
    <row r="25" spans="3:28" x14ac:dyDescent="0.25">
      <c r="D25" s="2" t="s">
        <v>30</v>
      </c>
      <c r="E25" s="4">
        <v>207</v>
      </c>
      <c r="F25" t="s">
        <v>2</v>
      </c>
      <c r="I25" s="2"/>
      <c r="N25" s="2" t="s">
        <v>55</v>
      </c>
      <c r="O25" s="11">
        <f>(As*Fsk/1000)/GammaS</f>
        <v>728.485253006329</v>
      </c>
      <c r="P25" t="s">
        <v>48</v>
      </c>
    </row>
    <row r="26" spans="3:28" x14ac:dyDescent="0.25">
      <c r="D26" s="2" t="s">
        <v>31</v>
      </c>
      <c r="E26" s="4">
        <v>62</v>
      </c>
      <c r="F26" t="s">
        <v>2</v>
      </c>
      <c r="I26" s="2" t="s">
        <v>101</v>
      </c>
      <c r="J26" s="4">
        <v>7850</v>
      </c>
      <c r="K26" t="s">
        <v>103</v>
      </c>
      <c r="N26" s="15" t="s">
        <v>60</v>
      </c>
      <c r="O26" s="10">
        <f>O27*PI()*PhiS^2/4</f>
        <v>1675.5160819145565</v>
      </c>
      <c r="P26" t="s">
        <v>45</v>
      </c>
    </row>
    <row r="27" spans="3:28" x14ac:dyDescent="0.25">
      <c r="D27" s="2" t="s">
        <v>32</v>
      </c>
      <c r="E27" s="4">
        <v>101</v>
      </c>
      <c r="F27" t="s">
        <v>2</v>
      </c>
      <c r="I27" s="2" t="s">
        <v>102</v>
      </c>
      <c r="J27" s="4">
        <v>2500</v>
      </c>
      <c r="K27" t="s">
        <v>103</v>
      </c>
      <c r="N27" s="15" t="s">
        <v>61</v>
      </c>
      <c r="O27" s="25">
        <f>beff_a/e_s*1000</f>
        <v>8.3333333333333339</v>
      </c>
    </row>
    <row r="28" spans="3:28" x14ac:dyDescent="0.25">
      <c r="D28" s="2" t="s">
        <v>33</v>
      </c>
      <c r="E28" s="4">
        <v>0.75</v>
      </c>
      <c r="F28" t="s">
        <v>2</v>
      </c>
      <c r="I28" s="2" t="s">
        <v>104</v>
      </c>
      <c r="J28" s="4">
        <v>9.81</v>
      </c>
      <c r="K28" t="s">
        <v>105</v>
      </c>
    </row>
    <row r="29" spans="3:28" x14ac:dyDescent="0.25">
      <c r="D29" s="2" t="s">
        <v>34</v>
      </c>
      <c r="E29" s="4">
        <v>355</v>
      </c>
      <c r="F29" t="s">
        <v>17</v>
      </c>
      <c r="I29" s="2"/>
      <c r="N29" s="15" t="s">
        <v>62</v>
      </c>
      <c r="O29" s="11">
        <f>b*tf*Fy/GammaM0/1000</f>
        <v>766.44500000000005</v>
      </c>
      <c r="P29" t="s">
        <v>48</v>
      </c>
    </row>
    <row r="30" spans="3:28" x14ac:dyDescent="0.25">
      <c r="D30" s="2" t="s">
        <v>96</v>
      </c>
      <c r="E30" s="4">
        <v>8.5299999999999994</v>
      </c>
      <c r="F30" t="s">
        <v>97</v>
      </c>
      <c r="I30" s="2"/>
      <c r="N30" s="15" t="s">
        <v>69</v>
      </c>
      <c r="O30" s="10">
        <f>(Na-2*Nf-Nw)/2</f>
        <v>100.48700649205102</v>
      </c>
      <c r="P30" t="s">
        <v>48</v>
      </c>
    </row>
    <row r="31" spans="3:28" x14ac:dyDescent="0.25">
      <c r="D31" s="2" t="s">
        <v>106</v>
      </c>
      <c r="E31" s="4">
        <f>(bb+bt)/2</f>
        <v>81.5</v>
      </c>
      <c r="F31" t="s">
        <v>2</v>
      </c>
      <c r="I31" s="2"/>
      <c r="N31" s="15" t="s">
        <v>70</v>
      </c>
      <c r="O31" s="21">
        <f>dw*tw*Fy/1000/GammaM0</f>
        <v>848.02400000000011</v>
      </c>
      <c r="P31" t="s">
        <v>48</v>
      </c>
    </row>
    <row r="32" spans="3:28" x14ac:dyDescent="0.25">
      <c r="I32" s="2"/>
      <c r="U32" s="52" t="s">
        <v>135</v>
      </c>
      <c r="V32" s="51"/>
    </row>
    <row r="33" spans="3:25" x14ac:dyDescent="0.25">
      <c r="C33" s="5"/>
      <c r="D33" s="5" t="s">
        <v>11</v>
      </c>
      <c r="E33" s="5"/>
      <c r="F33" s="5"/>
      <c r="H33" s="9"/>
      <c r="I33" s="9" t="s">
        <v>131</v>
      </c>
      <c r="J33" s="9"/>
      <c r="K33" s="9"/>
      <c r="N33" s="15" t="s">
        <v>63</v>
      </c>
      <c r="O33" s="7" t="str">
        <f>IF(Na&lt;=Ns,uoi,non)</f>
        <v>non</v>
      </c>
      <c r="W33" s="3" t="s">
        <v>136</v>
      </c>
      <c r="X33" s="3" t="s">
        <v>137</v>
      </c>
      <c r="Y33" s="3" t="s">
        <v>138</v>
      </c>
    </row>
    <row r="34" spans="3:25" x14ac:dyDescent="0.25">
      <c r="N34" s="2" t="s">
        <v>68</v>
      </c>
      <c r="O34" s="7" t="str">
        <f>IF(AND(Ns&lt;Na,Ns+Nf&gt;Na-Nf),oui,non)</f>
        <v>non</v>
      </c>
      <c r="P34" s="25">
        <f>O42</f>
        <v>524.81542186087904</v>
      </c>
      <c r="V34" t="s">
        <v>108</v>
      </c>
      <c r="W34" s="13">
        <f t="array" ref="W34">MAX(ABS(R64:R74))</f>
        <v>104.28976285984055</v>
      </c>
      <c r="X34" s="13">
        <f t="array" ref="X34">MAX(ABS(T64:T74))</f>
        <v>36.789762859840557</v>
      </c>
      <c r="Y34" s="13">
        <f t="array" ref="Y34">MAX(ABS(V64:V74))</f>
        <v>104.28976285984055</v>
      </c>
    </row>
    <row r="35" spans="3:25" x14ac:dyDescent="0.25">
      <c r="D35" s="2" t="s">
        <v>35</v>
      </c>
      <c r="E35" s="4">
        <v>130</v>
      </c>
      <c r="F35" t="s">
        <v>2</v>
      </c>
      <c r="I35" s="2" t="s">
        <v>133</v>
      </c>
      <c r="J35" s="4">
        <v>1.2</v>
      </c>
      <c r="N35" s="2" t="s">
        <v>64</v>
      </c>
      <c r="O35" s="7" t="str">
        <f>IF(AND(Ns&gt;=Nw,Ns+Nf&lt;Na-Nf),oui,non)</f>
        <v>non</v>
      </c>
      <c r="V35" t="s">
        <v>114</v>
      </c>
      <c r="W35" s="18">
        <f t="array" ref="W35">MAX(ABS(R75:R95))</f>
        <v>76.959735862043672</v>
      </c>
      <c r="X35" s="18">
        <f t="array" ref="X35">MAX(ABS(T75:T95))</f>
        <v>179.33473586204366</v>
      </c>
      <c r="Y35" s="18">
        <f t="array" ref="Y35">MAX(ABS(V75:V95))</f>
        <v>189.45973586204366</v>
      </c>
    </row>
    <row r="36" spans="3:25" x14ac:dyDescent="0.25">
      <c r="D36" s="2" t="s">
        <v>36</v>
      </c>
      <c r="E36" s="7">
        <f>td-hbac</f>
        <v>72</v>
      </c>
      <c r="F36" t="s">
        <v>2</v>
      </c>
      <c r="I36" s="2" t="s">
        <v>134</v>
      </c>
      <c r="J36" s="6">
        <f>hw*tw*Eta</f>
        <v>3212.1600000000003</v>
      </c>
      <c r="K36" t="s">
        <v>45</v>
      </c>
      <c r="N36" s="15" t="s">
        <v>65</v>
      </c>
      <c r="O36" s="7" t="str">
        <f>IF(Ns&lt;Nw,oui,non)</f>
        <v>oui</v>
      </c>
      <c r="P36" s="25">
        <f>R42</f>
        <v>423.53049585898009</v>
      </c>
    </row>
    <row r="37" spans="3:25" x14ac:dyDescent="0.25">
      <c r="D37" s="2" t="s">
        <v>58</v>
      </c>
      <c r="I37" s="2" t="s">
        <v>132</v>
      </c>
      <c r="J37" s="11">
        <f>MAX(Avmin,Av)*Fy/SQRT(3)/GammaM0/1000</f>
        <v>720.17056747597678</v>
      </c>
      <c r="K37" t="s">
        <v>48</v>
      </c>
      <c r="N37" s="15" t="s">
        <v>84</v>
      </c>
      <c r="O37" s="26">
        <f t="array" ref="O37">SUM(IF(O33:O36=oui,P33:P36,0))</f>
        <v>423.53049585898009</v>
      </c>
      <c r="P37" t="s">
        <v>53</v>
      </c>
      <c r="V37" t="s">
        <v>139</v>
      </c>
      <c r="W37" s="3" t="s">
        <v>136</v>
      </c>
      <c r="X37" s="3" t="s">
        <v>137</v>
      </c>
      <c r="Y37" s="3" t="s">
        <v>138</v>
      </c>
    </row>
    <row r="38" spans="3:25" x14ac:dyDescent="0.25">
      <c r="D38" s="2" t="s">
        <v>56</v>
      </c>
      <c r="E38" s="4">
        <v>16</v>
      </c>
      <c r="F38" t="s">
        <v>2</v>
      </c>
      <c r="V38" t="s">
        <v>108</v>
      </c>
      <c r="W38" s="17">
        <f>W34/VplRd</f>
        <v>0.14481258686445753</v>
      </c>
      <c r="X38" s="17">
        <f>X34/VplRd</f>
        <v>5.1084790911102844E-2</v>
      </c>
      <c r="Y38" s="17">
        <f>Y34/VplRd</f>
        <v>0.14481258686445753</v>
      </c>
    </row>
    <row r="39" spans="3:25" x14ac:dyDescent="0.25">
      <c r="D39" s="15" t="s">
        <v>25</v>
      </c>
      <c r="E39" s="4">
        <v>180</v>
      </c>
      <c r="F39" t="s">
        <v>2</v>
      </c>
      <c r="N39" s="15" t="s">
        <v>75</v>
      </c>
      <c r="R39" t="s">
        <v>73</v>
      </c>
      <c r="V39" t="s">
        <v>114</v>
      </c>
      <c r="W39" s="17">
        <f>W35/VplRd</f>
        <v>0.10686320621484002</v>
      </c>
      <c r="X39" s="17">
        <f>X35/VplRd</f>
        <v>0.24901703007742795</v>
      </c>
      <c r="Y39" s="17">
        <f>Y35/VplRd</f>
        <v>0.26307619947043115</v>
      </c>
    </row>
    <row r="40" spans="3:25" x14ac:dyDescent="0.25">
      <c r="D40" s="15" t="s">
        <v>57</v>
      </c>
      <c r="E40" s="4">
        <v>20</v>
      </c>
      <c r="F40" t="s">
        <v>2</v>
      </c>
      <c r="N40" s="15" t="s">
        <v>74</v>
      </c>
      <c r="O40" s="22">
        <f>(Na-Ns)/2/Nf</f>
        <v>1.2090905152866631</v>
      </c>
      <c r="Q40" s="15" t="s">
        <v>74</v>
      </c>
      <c r="R40" s="22">
        <f>0.5-0.5*Ns/Nw</f>
        <v>7.0480757026729846E-2</v>
      </c>
    </row>
    <row r="41" spans="3:25" x14ac:dyDescent="0.25">
      <c r="V41" t="s">
        <v>128</v>
      </c>
    </row>
    <row r="42" spans="3:25" x14ac:dyDescent="0.25">
      <c r="N42" s="2" t="s">
        <v>51</v>
      </c>
      <c r="O42" s="10">
        <f>SUM(O44:O50)</f>
        <v>524.81542186087904</v>
      </c>
      <c r="P42" t="s">
        <v>53</v>
      </c>
      <c r="R42" s="10">
        <f>SUM(R44:R50)</f>
        <v>423.53049585898009</v>
      </c>
      <c r="S42" t="s">
        <v>53</v>
      </c>
      <c r="V42" t="s">
        <v>108</v>
      </c>
      <c r="W42" s="57">
        <f>MAX(W38:Y38)</f>
        <v>0.14481258686445753</v>
      </c>
    </row>
    <row r="43" spans="3:25" x14ac:dyDescent="0.25">
      <c r="V43" t="s">
        <v>114</v>
      </c>
      <c r="W43" s="57">
        <f>MAX(W39:Y39)</f>
        <v>0.26307619947043115</v>
      </c>
    </row>
    <row r="44" spans="3:25" x14ac:dyDescent="0.25">
      <c r="N44" s="15" t="s">
        <v>58</v>
      </c>
      <c r="O44" s="14">
        <f>Ns*(p_1*tf+td-c_z-PhiS/2)/1000</f>
        <v>85.491714352834748</v>
      </c>
      <c r="P44" t="s">
        <v>53</v>
      </c>
      <c r="R44" s="14">
        <f>Ns*(p_w*dw+rr+tf+td-c_z-PhiS/2)/1000</f>
        <v>112.00136883938775</v>
      </c>
      <c r="S44" t="s">
        <v>53</v>
      </c>
    </row>
    <row r="45" spans="3:25" x14ac:dyDescent="0.25">
      <c r="N45" s="1" t="s">
        <v>76</v>
      </c>
      <c r="O45" s="25">
        <f>p_1*tf*Nf*p_1/2000</f>
        <v>7.1149581414524166</v>
      </c>
      <c r="P45" t="s">
        <v>53</v>
      </c>
      <c r="Q45" s="2" t="s">
        <v>85</v>
      </c>
      <c r="R45" s="25">
        <f>Nf*(tf/2+rr+p_w*dw)/1000</f>
        <v>34.793195422458496</v>
      </c>
      <c r="S45" t="s">
        <v>53</v>
      </c>
    </row>
    <row r="46" spans="3:25" x14ac:dyDescent="0.25">
      <c r="N46" s="15" t="s">
        <v>77</v>
      </c>
      <c r="O46" s="25">
        <f>(1-p_1)^2*tf*Nf/2000</f>
        <v>0.21277636559355748</v>
      </c>
      <c r="P46" t="s">
        <v>53</v>
      </c>
      <c r="Q46" s="2" t="s">
        <v>86</v>
      </c>
      <c r="R46" s="25">
        <f>Nr*(rr-zR+p_w*dw)/1000</f>
        <v>3.2650047262684287</v>
      </c>
      <c r="S46" t="s">
        <v>53</v>
      </c>
    </row>
    <row r="47" spans="3:25" x14ac:dyDescent="0.25">
      <c r="N47" s="1" t="s">
        <v>78</v>
      </c>
      <c r="O47" s="23">
        <f>Nr*((1-p_1)*tf+zR)/1000</f>
        <v>0.39172794127554561</v>
      </c>
      <c r="P47" t="s">
        <v>53</v>
      </c>
      <c r="Q47" s="2" t="s">
        <v>87</v>
      </c>
      <c r="R47" s="23">
        <f>p_w^2*dw*Nr/2000</f>
        <v>7.4526519035552519E-2</v>
      </c>
      <c r="S47" t="s">
        <v>53</v>
      </c>
    </row>
    <row r="48" spans="3:25" x14ac:dyDescent="0.25">
      <c r="N48" s="15" t="s">
        <v>79</v>
      </c>
      <c r="O48" s="25">
        <f>Nw*(Ht/2-p_1*tf)/1000</f>
        <v>139.62253025577971</v>
      </c>
      <c r="P48" t="s">
        <v>53</v>
      </c>
      <c r="Q48" s="2" t="s">
        <v>88</v>
      </c>
      <c r="R48" s="25">
        <f>(1-p_w)^2/2000*Nr*dw</f>
        <v>12.962431862030344</v>
      </c>
      <c r="S48" t="s">
        <v>53</v>
      </c>
    </row>
    <row r="49" spans="2:23" x14ac:dyDescent="0.25">
      <c r="N49" s="1" t="s">
        <v>80</v>
      </c>
      <c r="O49" s="25">
        <f>Nr*(Ht-p_1*tf-tf-zR)/1000</f>
        <v>32.697548079801976</v>
      </c>
      <c r="P49" t="s">
        <v>53</v>
      </c>
      <c r="Q49" s="2"/>
      <c r="R49" s="25">
        <f>Nr*((1-p_w)*dw+rr-zR)/1000</f>
        <v>29.040815412258006</v>
      </c>
      <c r="S49" t="s">
        <v>53</v>
      </c>
    </row>
    <row r="50" spans="2:23" x14ac:dyDescent="0.25">
      <c r="N50" s="15" t="s">
        <v>81</v>
      </c>
      <c r="O50" s="14">
        <f>Nf*(Ht-tf/2-p_1*tf)/1000</f>
        <v>259.28416672414113</v>
      </c>
      <c r="P50" t="s">
        <v>53</v>
      </c>
      <c r="Q50" s="2"/>
      <c r="R50" s="14">
        <f>Nf*((1-p_w)*dw+rr+tf/2)/1000</f>
        <v>231.39315307754157</v>
      </c>
      <c r="S50" t="s">
        <v>53</v>
      </c>
    </row>
    <row r="51" spans="2:23" x14ac:dyDescent="0.25">
      <c r="C51" s="27"/>
      <c r="D51" s="27" t="s">
        <v>89</v>
      </c>
      <c r="E51" s="27"/>
      <c r="F51" s="27"/>
    </row>
    <row r="52" spans="2:23" x14ac:dyDescent="0.25">
      <c r="N52" s="2" t="s">
        <v>82</v>
      </c>
      <c r="O52" s="25">
        <f>(tw+(4-PI())*kC*rr)/(2*tw/rr+(4-PI()))</f>
        <v>6.5537440097692006</v>
      </c>
      <c r="P52" t="s">
        <v>2</v>
      </c>
    </row>
    <row r="53" spans="2:23" x14ac:dyDescent="0.25">
      <c r="C53" s="2" t="s">
        <v>90</v>
      </c>
      <c r="D53" s="2" t="s">
        <v>93</v>
      </c>
      <c r="E53" s="10">
        <f>AireA/1000^2*RhoA*g/1000</f>
        <v>0.56007696633207404</v>
      </c>
      <c r="F53" t="s">
        <v>99</v>
      </c>
      <c r="N53" s="15" t="s">
        <v>83</v>
      </c>
      <c r="O53" s="22">
        <f>(10-3*PI())/(12-3*PI())</f>
        <v>0.22336793894575216</v>
      </c>
    </row>
    <row r="54" spans="2:23" x14ac:dyDescent="0.25">
      <c r="D54" s="2" t="s">
        <v>94</v>
      </c>
      <c r="E54" s="10">
        <f>mubac*d*g/1000</f>
        <v>0.20919825</v>
      </c>
      <c r="F54" t="s">
        <v>99</v>
      </c>
    </row>
    <row r="55" spans="2:23" x14ac:dyDescent="0.25">
      <c r="D55" s="2" t="s">
        <v>95</v>
      </c>
      <c r="E55" s="11">
        <f>g*RhoC*d/1000*(tc+bm*hbac/ebac)/1000</f>
        <v>5.8146168478260867</v>
      </c>
      <c r="F55" t="s">
        <v>99</v>
      </c>
    </row>
    <row r="56" spans="2:23" x14ac:dyDescent="0.25">
      <c r="D56" s="2" t="s">
        <v>98</v>
      </c>
      <c r="E56" s="25">
        <f>SUM(E53:E55)</f>
        <v>6.5838920641581611</v>
      </c>
      <c r="F56" t="s">
        <v>99</v>
      </c>
    </row>
    <row r="57" spans="2:23" x14ac:dyDescent="0.25">
      <c r="D57" s="2" t="s">
        <v>91</v>
      </c>
      <c r="E57" s="4">
        <f>H57*d</f>
        <v>2.5</v>
      </c>
      <c r="F57" t="s">
        <v>99</v>
      </c>
      <c r="H57" s="4">
        <v>1</v>
      </c>
      <c r="I57" t="s">
        <v>107</v>
      </c>
    </row>
    <row r="58" spans="2:23" x14ac:dyDescent="0.25">
      <c r="D58" s="2" t="s">
        <v>92</v>
      </c>
      <c r="E58" s="4">
        <f>H58*d</f>
        <v>15</v>
      </c>
      <c r="F58" t="s">
        <v>99</v>
      </c>
      <c r="H58" s="4">
        <v>6</v>
      </c>
      <c r="I58" t="s">
        <v>107</v>
      </c>
    </row>
    <row r="61" spans="2:23" x14ac:dyDescent="0.25">
      <c r="J61" t="s">
        <v>108</v>
      </c>
      <c r="L61" t="s">
        <v>114</v>
      </c>
      <c r="N61" t="s">
        <v>115</v>
      </c>
    </row>
    <row r="62" spans="2:23" x14ac:dyDescent="0.25">
      <c r="F62" s="29" t="s">
        <v>90</v>
      </c>
      <c r="G62" s="30"/>
      <c r="H62" s="33" t="s">
        <v>91</v>
      </c>
      <c r="I62" s="34"/>
      <c r="J62" s="37" t="s">
        <v>111</v>
      </c>
      <c r="K62" s="38"/>
      <c r="L62" s="37" t="s">
        <v>112</v>
      </c>
      <c r="M62" s="38"/>
      <c r="N62" s="37" t="s">
        <v>113</v>
      </c>
      <c r="O62" s="38"/>
      <c r="Q62" s="47" t="s">
        <v>116</v>
      </c>
      <c r="R62" s="48"/>
      <c r="S62" s="47" t="s">
        <v>117</v>
      </c>
      <c r="T62" s="48"/>
      <c r="U62" s="47" t="s">
        <v>118</v>
      </c>
      <c r="V62" s="48"/>
    </row>
    <row r="63" spans="2:23" x14ac:dyDescent="0.25">
      <c r="F63" s="31" t="s">
        <v>109</v>
      </c>
      <c r="G63" s="32" t="s">
        <v>110</v>
      </c>
      <c r="H63" s="35" t="s">
        <v>109</v>
      </c>
      <c r="I63" s="36" t="s">
        <v>110</v>
      </c>
      <c r="J63" s="39" t="s">
        <v>109</v>
      </c>
      <c r="K63" s="40" t="s">
        <v>110</v>
      </c>
      <c r="L63" s="39" t="s">
        <v>109</v>
      </c>
      <c r="M63" s="40" t="s">
        <v>110</v>
      </c>
      <c r="N63" s="39" t="s">
        <v>109</v>
      </c>
      <c r="O63" s="40" t="s">
        <v>110</v>
      </c>
      <c r="Q63" s="49" t="s">
        <v>109</v>
      </c>
      <c r="R63" s="50" t="s">
        <v>110</v>
      </c>
      <c r="S63" s="49" t="s">
        <v>109</v>
      </c>
      <c r="T63" s="50" t="s">
        <v>110</v>
      </c>
      <c r="U63" s="49" t="s">
        <v>109</v>
      </c>
      <c r="V63" s="50" t="s">
        <v>110</v>
      </c>
      <c r="W63" s="60" t="s">
        <v>169</v>
      </c>
    </row>
    <row r="64" spans="2:23" x14ac:dyDescent="0.25">
      <c r="B64" s="41" t="s">
        <v>108</v>
      </c>
      <c r="C64" s="3">
        <v>1</v>
      </c>
      <c r="D64" s="28">
        <f>La</f>
        <v>3</v>
      </c>
      <c r="E64" s="18">
        <f>La-D64</f>
        <v>0</v>
      </c>
      <c r="F64" s="18">
        <f>-qG_1/2*(La-D64)^2</f>
        <v>0</v>
      </c>
      <c r="G64" s="18">
        <f>-qG_1*La*(1-D64/La)</f>
        <v>0</v>
      </c>
      <c r="H64" s="17">
        <f>-qG_2/2*(La-D64)^2</f>
        <v>0</v>
      </c>
      <c r="I64" s="17">
        <f>-qG_2*La*(1-D64/La)</f>
        <v>0</v>
      </c>
      <c r="J64" s="17">
        <f>-qQ/2*(La-D64)^2</f>
        <v>0</v>
      </c>
      <c r="K64" s="17">
        <f>-qQ*La*(1-D64/La)</f>
        <v>0</v>
      </c>
      <c r="L64" s="3">
        <v>0</v>
      </c>
      <c r="M64" s="3">
        <v>0</v>
      </c>
      <c r="N64" s="17">
        <f>J64+L64</f>
        <v>0</v>
      </c>
      <c r="O64" s="17">
        <f>K64+M64</f>
        <v>0</v>
      </c>
      <c r="Q64" s="18">
        <f>GammaG*(F64+H64)+GammaQ*J64</f>
        <v>0</v>
      </c>
      <c r="R64" s="18">
        <f>GammaG*(G64+I64)+GammaQ*K64</f>
        <v>0</v>
      </c>
      <c r="S64" s="18">
        <f>GammaG*(F64+H64)+GammaQ*L64</f>
        <v>0</v>
      </c>
      <c r="T64" s="18">
        <f>GammaG*(G64+I64)+GammaQ*M64</f>
        <v>0</v>
      </c>
      <c r="U64" s="18">
        <f>GammaG*(F64+H64)+GammaQ*N64</f>
        <v>0</v>
      </c>
      <c r="V64" s="18">
        <f>GammaG*(G64+I64)+GammaQ*O64</f>
        <v>0</v>
      </c>
    </row>
    <row r="65" spans="2:23" x14ac:dyDescent="0.25">
      <c r="B65" s="42"/>
      <c r="C65" s="3">
        <v>2</v>
      </c>
      <c r="D65" s="28">
        <f>D66+La/10</f>
        <v>2.6999999999999997</v>
      </c>
      <c r="E65" s="18">
        <f>La-D65</f>
        <v>0.30000000000000027</v>
      </c>
      <c r="F65" s="18">
        <f>-qG_1/2*(La-D65)^2</f>
        <v>-0.29627514288711776</v>
      </c>
      <c r="G65" s="18">
        <f>-qG_1*La*(1-D65/La)</f>
        <v>-1.9751676192474501</v>
      </c>
      <c r="H65" s="17">
        <f>-qG_2/2*(La-D65)^2</f>
        <v>-0.11250000000000021</v>
      </c>
      <c r="I65" s="17">
        <f>-qG_2*La*(1-D65/La)</f>
        <v>-0.75000000000000067</v>
      </c>
      <c r="J65" s="17">
        <f>-qQ/2*(La-D65)^2</f>
        <v>-0.67500000000000127</v>
      </c>
      <c r="K65" s="17">
        <f>-qQ*La*(1-D65/La)</f>
        <v>-4.5000000000000036</v>
      </c>
      <c r="L65" s="3">
        <v>0</v>
      </c>
      <c r="M65" s="3">
        <v>0</v>
      </c>
      <c r="N65" s="17">
        <f t="shared" ref="N65:N74" si="0">J65+L65</f>
        <v>-0.67500000000000127</v>
      </c>
      <c r="O65" s="17">
        <f t="shared" ref="O65:O74" si="1">K65+M65</f>
        <v>-4.5000000000000036</v>
      </c>
      <c r="Q65" s="18">
        <f>GammaG*(F65+H65)+GammaQ*J65</f>
        <v>-1.5643464428976113</v>
      </c>
      <c r="R65" s="18">
        <f>GammaG*(G65+I65)+GammaQ*K65</f>
        <v>-10.428976285984064</v>
      </c>
      <c r="S65" s="18">
        <f>GammaG*(F65+H65)+GammaQ*L65</f>
        <v>-0.55184644289760931</v>
      </c>
      <c r="T65" s="18">
        <f>GammaG*(G65+I65)+GammaQ*M65</f>
        <v>-3.6789762859840587</v>
      </c>
      <c r="U65" s="18">
        <f>GammaG*(F65+H65)+GammaQ*N65</f>
        <v>-1.5643464428976113</v>
      </c>
      <c r="V65" s="18">
        <f>GammaG*(G65+I65)+GammaQ*O65</f>
        <v>-10.428976285984064</v>
      </c>
    </row>
    <row r="66" spans="2:23" x14ac:dyDescent="0.25">
      <c r="B66" s="42"/>
      <c r="C66" s="3">
        <v>3</v>
      </c>
      <c r="D66" s="28">
        <f>D67+La/10</f>
        <v>2.4</v>
      </c>
      <c r="E66" s="18">
        <f>La-D66</f>
        <v>0.60000000000000009</v>
      </c>
      <c r="F66" s="18">
        <f>-qG_1/2*(La-D66)^2</f>
        <v>-1.1851005715484693</v>
      </c>
      <c r="G66" s="18">
        <f>-qG_1*La*(1-D66/La)</f>
        <v>-3.950335238494898</v>
      </c>
      <c r="H66" s="17">
        <f>-qG_2/2*(La-D66)^2</f>
        <v>-0.45000000000000012</v>
      </c>
      <c r="I66" s="17">
        <f>-qG_2*La*(1-D66/La)</f>
        <v>-1.5000000000000004</v>
      </c>
      <c r="J66" s="17">
        <f>-qQ/2*(La-D66)^2</f>
        <v>-2.7000000000000006</v>
      </c>
      <c r="K66" s="17">
        <f>-qQ*La*(1-D66/La)</f>
        <v>-9.0000000000000036</v>
      </c>
      <c r="L66" s="3">
        <v>0</v>
      </c>
      <c r="M66" s="3">
        <v>0</v>
      </c>
      <c r="N66" s="17">
        <f t="shared" si="0"/>
        <v>-2.7000000000000006</v>
      </c>
      <c r="O66" s="17">
        <f t="shared" si="1"/>
        <v>-9.0000000000000036</v>
      </c>
      <c r="Q66" s="18">
        <f>GammaG*(F66+H66)+GammaQ*J66</f>
        <v>-6.2573857715904344</v>
      </c>
      <c r="R66" s="18">
        <f>GammaG*(G66+I66)+GammaQ*K66</f>
        <v>-20.85795257196812</v>
      </c>
      <c r="S66" s="18">
        <f>GammaG*(F66+H66)+GammaQ*L66</f>
        <v>-2.2073857715904337</v>
      </c>
      <c r="T66" s="18">
        <f>GammaG*(G66+I66)+GammaQ*M66</f>
        <v>-7.3579525719681129</v>
      </c>
      <c r="U66" s="18">
        <f>GammaG*(F66+H66)+GammaQ*N66</f>
        <v>-6.2573857715904344</v>
      </c>
      <c r="V66" s="18">
        <f>GammaG*(G66+I66)+GammaQ*O66</f>
        <v>-20.85795257196812</v>
      </c>
    </row>
    <row r="67" spans="2:23" x14ac:dyDescent="0.25">
      <c r="B67" s="42"/>
      <c r="C67" s="3">
        <v>4</v>
      </c>
      <c r="D67" s="28">
        <f>D68+La/10</f>
        <v>2.1</v>
      </c>
      <c r="E67" s="18">
        <f>La-D67</f>
        <v>0.89999999999999991</v>
      </c>
      <c r="F67" s="18">
        <f>-qG_1/2*(La-D67)^2</f>
        <v>-2.6664762859840545</v>
      </c>
      <c r="G67" s="18">
        <f>-qG_1*La*(1-D67/La)</f>
        <v>-5.9255028577423436</v>
      </c>
      <c r="H67" s="17">
        <f>-qG_2/2*(La-D67)^2</f>
        <v>-1.0124999999999997</v>
      </c>
      <c r="I67" s="17">
        <f>-qG_2*La*(1-D67/La)</f>
        <v>-2.2499999999999996</v>
      </c>
      <c r="J67" s="17">
        <f>-qQ/2*(La-D67)^2</f>
        <v>-6.0749999999999984</v>
      </c>
      <c r="K67" s="17">
        <f>-qQ*La*(1-D67/La)</f>
        <v>-13.499999999999996</v>
      </c>
      <c r="L67" s="3">
        <v>0</v>
      </c>
      <c r="M67" s="3">
        <v>0</v>
      </c>
      <c r="N67" s="17">
        <f t="shared" si="0"/>
        <v>-6.0749999999999984</v>
      </c>
      <c r="O67" s="17">
        <f t="shared" si="1"/>
        <v>-13.499999999999996</v>
      </c>
      <c r="Q67" s="18">
        <f>GammaG*(F67+H67)+GammaQ*J67</f>
        <v>-14.079117986078471</v>
      </c>
      <c r="R67" s="18">
        <f>GammaG*(G67+I67)+GammaQ*K67</f>
        <v>-31.286928857952155</v>
      </c>
      <c r="S67" s="18">
        <f>GammaG*(F67+H67)+GammaQ*L67</f>
        <v>-4.9666179860784734</v>
      </c>
      <c r="T67" s="18">
        <f>GammaG*(G67+I67)+GammaQ*M67</f>
        <v>-11.036928857952164</v>
      </c>
      <c r="U67" s="18">
        <f>GammaG*(F67+H67)+GammaQ*N67</f>
        <v>-14.079117986078471</v>
      </c>
      <c r="V67" s="18">
        <f>GammaG*(G67+I67)+GammaQ*O67</f>
        <v>-31.286928857952155</v>
      </c>
    </row>
    <row r="68" spans="2:23" x14ac:dyDescent="0.25">
      <c r="B68" s="42"/>
      <c r="C68" s="3">
        <v>5</v>
      </c>
      <c r="D68" s="28">
        <f>D69+La/10</f>
        <v>1.8</v>
      </c>
      <c r="E68" s="18">
        <f>La-D68</f>
        <v>1.2</v>
      </c>
      <c r="F68" s="18">
        <f>-qG_1/2*(La-D68)^2</f>
        <v>-4.7404022861938762</v>
      </c>
      <c r="G68" s="18">
        <f>-qG_1*La*(1-D68/La)</f>
        <v>-7.9006704769897942</v>
      </c>
      <c r="H68" s="17">
        <f>-qG_2/2*(La-D68)^2</f>
        <v>-1.7999999999999998</v>
      </c>
      <c r="I68" s="17">
        <f>-qG_2*La*(1-D68/La)</f>
        <v>-3</v>
      </c>
      <c r="J68" s="17">
        <f>-qQ/2*(La-D68)^2</f>
        <v>-10.799999999999999</v>
      </c>
      <c r="K68" s="17">
        <f>-qQ*La*(1-D68/La)</f>
        <v>-18</v>
      </c>
      <c r="L68" s="3">
        <v>0</v>
      </c>
      <c r="M68" s="3">
        <v>0</v>
      </c>
      <c r="N68" s="17">
        <f t="shared" si="0"/>
        <v>-10.799999999999999</v>
      </c>
      <c r="O68" s="17">
        <f t="shared" si="1"/>
        <v>-18</v>
      </c>
      <c r="Q68" s="18">
        <f>GammaG*(F68+H68)+GammaQ*J68</f>
        <v>-25.029543086361734</v>
      </c>
      <c r="R68" s="18">
        <f>GammaG*(G68+I68)+GammaQ*K68</f>
        <v>-41.715905143936226</v>
      </c>
      <c r="S68" s="18">
        <f>GammaG*(F68+H68)+GammaQ*L68</f>
        <v>-8.829543086361733</v>
      </c>
      <c r="T68" s="18">
        <f>GammaG*(G68+I68)+GammaQ*M68</f>
        <v>-14.715905143936224</v>
      </c>
      <c r="U68" s="18">
        <f>GammaG*(F68+H68)+GammaQ*N68</f>
        <v>-25.029543086361734</v>
      </c>
      <c r="V68" s="18">
        <f>GammaG*(G68+I68)+GammaQ*O68</f>
        <v>-41.715905143936226</v>
      </c>
    </row>
    <row r="69" spans="2:23" x14ac:dyDescent="0.25">
      <c r="B69" s="42"/>
      <c r="C69" s="3">
        <v>6</v>
      </c>
      <c r="D69" s="28">
        <f>D70+La/10</f>
        <v>1.5</v>
      </c>
      <c r="E69" s="18">
        <f>La-D69</f>
        <v>1.5</v>
      </c>
      <c r="F69" s="18">
        <f>-qG_1/2*(La-D69)^2</f>
        <v>-7.4068785721779316</v>
      </c>
      <c r="G69" s="18">
        <f>-qG_1*La*(1-D69/La)</f>
        <v>-9.8758380962372421</v>
      </c>
      <c r="H69" s="17">
        <f>-qG_2/2*(La-D69)^2</f>
        <v>-2.8125</v>
      </c>
      <c r="I69" s="17">
        <f>-qG_2*La*(1-D69/La)</f>
        <v>-3.75</v>
      </c>
      <c r="J69" s="17">
        <f>-qQ/2*(La-D69)^2</f>
        <v>-16.875</v>
      </c>
      <c r="K69" s="17">
        <f>-qQ*La*(1-D69/La)</f>
        <v>-22.5</v>
      </c>
      <c r="L69" s="3">
        <v>0</v>
      </c>
      <c r="M69" s="3">
        <v>0</v>
      </c>
      <c r="N69" s="17">
        <f t="shared" si="0"/>
        <v>-16.875</v>
      </c>
      <c r="O69" s="17">
        <f t="shared" si="1"/>
        <v>-22.5</v>
      </c>
      <c r="Q69" s="18">
        <f>GammaG*(F69+H69)+GammaQ*J69</f>
        <v>-39.108661072440206</v>
      </c>
      <c r="R69" s="18">
        <f>GammaG*(G69+I69)+GammaQ*K69</f>
        <v>-52.144881429920275</v>
      </c>
      <c r="S69" s="18">
        <f>GammaG*(F69+H69)+GammaQ*L69</f>
        <v>-13.796161072440208</v>
      </c>
      <c r="T69" s="18">
        <f>GammaG*(G69+I69)+GammaQ*M69</f>
        <v>-18.394881429920279</v>
      </c>
      <c r="U69" s="18">
        <f>GammaG*(F69+H69)+GammaQ*N69</f>
        <v>-39.108661072440206</v>
      </c>
      <c r="V69" s="18">
        <f>GammaG*(G69+I69)+GammaQ*O69</f>
        <v>-52.144881429920275</v>
      </c>
    </row>
    <row r="70" spans="2:23" x14ac:dyDescent="0.25">
      <c r="B70" s="42"/>
      <c r="C70" s="3">
        <v>7</v>
      </c>
      <c r="D70" s="28">
        <f>D71+La/10</f>
        <v>1.2</v>
      </c>
      <c r="E70" s="18">
        <f>La-D70</f>
        <v>1.8</v>
      </c>
      <c r="F70" s="18">
        <f>-qG_1/2*(La-D70)^2</f>
        <v>-10.665905143936222</v>
      </c>
      <c r="G70" s="18">
        <f>-qG_1*La*(1-D70/La)</f>
        <v>-11.851005715484693</v>
      </c>
      <c r="H70" s="17">
        <f>-qG_2/2*(La-D70)^2</f>
        <v>-4.0500000000000007</v>
      </c>
      <c r="I70" s="17">
        <f>-qG_2*La*(1-D70/La)</f>
        <v>-4.5000000000000009</v>
      </c>
      <c r="J70" s="17">
        <f>-qQ/2*(La-D70)^2</f>
        <v>-24.3</v>
      </c>
      <c r="K70" s="17">
        <f>-qQ*La*(1-D70/La)</f>
        <v>-27.000000000000004</v>
      </c>
      <c r="L70" s="3">
        <v>0</v>
      </c>
      <c r="M70" s="3">
        <v>0</v>
      </c>
      <c r="N70" s="17">
        <f t="shared" si="0"/>
        <v>-24.3</v>
      </c>
      <c r="O70" s="17">
        <f t="shared" si="1"/>
        <v>-27.000000000000004</v>
      </c>
      <c r="Q70" s="18">
        <f>GammaG*(F70+H70)+GammaQ*J70</f>
        <v>-56.316471944313903</v>
      </c>
      <c r="R70" s="18">
        <f>GammaG*(G70+I70)+GammaQ*K70</f>
        <v>-62.573857715904339</v>
      </c>
      <c r="S70" s="18">
        <f>GammaG*(F70+H70)+GammaQ*L70</f>
        <v>-19.866471944313901</v>
      </c>
      <c r="T70" s="18">
        <f>GammaG*(G70+I70)+GammaQ*M70</f>
        <v>-22.073857715904335</v>
      </c>
      <c r="U70" s="18">
        <f>GammaG*(F70+H70)+GammaQ*N70</f>
        <v>-56.316471944313903</v>
      </c>
      <c r="V70" s="18">
        <f>GammaG*(G70+I70)+GammaQ*O70</f>
        <v>-62.573857715904339</v>
      </c>
    </row>
    <row r="71" spans="2:23" x14ac:dyDescent="0.25">
      <c r="B71" s="42"/>
      <c r="C71" s="3">
        <v>8</v>
      </c>
      <c r="D71" s="28">
        <f>D72+La/10</f>
        <v>0.89999999999999991</v>
      </c>
      <c r="E71" s="18">
        <f>La-D71</f>
        <v>2.1</v>
      </c>
      <c r="F71" s="18">
        <f>-qG_1/2*(La-D71)^2</f>
        <v>-14.517482001468746</v>
      </c>
      <c r="G71" s="18">
        <f>-qG_1*La*(1-D71/La)</f>
        <v>-13.826173334732138</v>
      </c>
      <c r="H71" s="17">
        <f>-qG_2/2*(La-D71)^2</f>
        <v>-5.5125000000000002</v>
      </c>
      <c r="I71" s="17">
        <f>-qG_2*La*(1-D71/La)</f>
        <v>-5.25</v>
      </c>
      <c r="J71" s="17">
        <f>-qQ/2*(La-D71)^2</f>
        <v>-33.075000000000003</v>
      </c>
      <c r="K71" s="17">
        <f>-qQ*La*(1-D71/La)</f>
        <v>-31.499999999999996</v>
      </c>
      <c r="L71" s="3">
        <v>0</v>
      </c>
      <c r="M71" s="3">
        <v>0</v>
      </c>
      <c r="N71" s="17">
        <f t="shared" si="0"/>
        <v>-33.075000000000003</v>
      </c>
      <c r="O71" s="17">
        <f t="shared" si="1"/>
        <v>-31.499999999999996</v>
      </c>
      <c r="Q71" s="18">
        <f>GammaG*(F71+H71)+GammaQ*J71</f>
        <v>-76.652975701982811</v>
      </c>
      <c r="R71" s="18">
        <f>GammaG*(G71+I71)+GammaQ*K71</f>
        <v>-73.002834001888388</v>
      </c>
      <c r="S71" s="18">
        <f>GammaG*(F71+H71)+GammaQ*L71</f>
        <v>-27.040475701982807</v>
      </c>
      <c r="T71" s="18">
        <f>GammaG*(G71+I71)+GammaQ*M71</f>
        <v>-25.752834001888392</v>
      </c>
      <c r="U71" s="18">
        <f>GammaG*(F71+H71)+GammaQ*N71</f>
        <v>-76.652975701982811</v>
      </c>
      <c r="V71" s="18">
        <f>GammaG*(G71+I71)+GammaQ*O71</f>
        <v>-73.002834001888388</v>
      </c>
    </row>
    <row r="72" spans="2:23" x14ac:dyDescent="0.25">
      <c r="B72" s="42"/>
      <c r="C72" s="3">
        <v>9</v>
      </c>
      <c r="D72" s="28">
        <f>D73+La/10</f>
        <v>0.6</v>
      </c>
      <c r="E72" s="18">
        <f>La-D72</f>
        <v>2.4</v>
      </c>
      <c r="F72" s="18">
        <f>-qG_1/2*(La-D72)^2</f>
        <v>-18.961609144775505</v>
      </c>
      <c r="G72" s="18">
        <f>-qG_1*La*(1-D72/La)</f>
        <v>-15.801340953979588</v>
      </c>
      <c r="H72" s="17">
        <f>-qG_2/2*(La-D72)^2</f>
        <v>-7.1999999999999993</v>
      </c>
      <c r="I72" s="17">
        <f>-qG_2*La*(1-D72/La)</f>
        <v>-6</v>
      </c>
      <c r="J72" s="17">
        <f>-qQ/2*(La-D72)^2</f>
        <v>-43.199999999999996</v>
      </c>
      <c r="K72" s="17">
        <f>-qQ*La*(1-D72/La)</f>
        <v>-36</v>
      </c>
      <c r="L72" s="3">
        <v>0</v>
      </c>
      <c r="M72" s="3">
        <v>0</v>
      </c>
      <c r="N72" s="17">
        <f t="shared" si="0"/>
        <v>-43.199999999999996</v>
      </c>
      <c r="O72" s="17">
        <f t="shared" si="1"/>
        <v>-36</v>
      </c>
      <c r="Q72" s="18">
        <f>GammaG*(F72+H72)+GammaQ*J72</f>
        <v>-100.11817234544694</v>
      </c>
      <c r="R72" s="18">
        <f>GammaG*(G72+I72)+GammaQ*K72</f>
        <v>-83.431810287872452</v>
      </c>
      <c r="S72" s="18">
        <f>GammaG*(F72+H72)+GammaQ*L72</f>
        <v>-35.318172345446932</v>
      </c>
      <c r="T72" s="18">
        <f>GammaG*(G72+I72)+GammaQ*M72</f>
        <v>-29.431810287872448</v>
      </c>
      <c r="U72" s="18">
        <f>GammaG*(F72+H72)+GammaQ*N72</f>
        <v>-100.11817234544694</v>
      </c>
      <c r="V72" s="18">
        <f>GammaG*(G72+I72)+GammaQ*O72</f>
        <v>-83.431810287872452</v>
      </c>
    </row>
    <row r="73" spans="2:23" x14ac:dyDescent="0.25">
      <c r="B73" s="42"/>
      <c r="C73" s="3">
        <v>10</v>
      </c>
      <c r="D73" s="28">
        <f>D74+La/10</f>
        <v>0.3</v>
      </c>
      <c r="E73" s="18">
        <f>La-D73</f>
        <v>2.7</v>
      </c>
      <c r="F73" s="18">
        <f>-qG_1/2*(La-D73)^2</f>
        <v>-23.9982865738565</v>
      </c>
      <c r="G73" s="18">
        <f>-qG_1*La*(1-D73/La)</f>
        <v>-17.776508573227037</v>
      </c>
      <c r="H73" s="17">
        <f>-qG_2/2*(La-D73)^2</f>
        <v>-9.1125000000000007</v>
      </c>
      <c r="I73" s="17">
        <f>-qG_2*La*(1-D73/La)</f>
        <v>-6.75</v>
      </c>
      <c r="J73" s="17">
        <f>-qQ/2*(La-D73)^2</f>
        <v>-54.675000000000004</v>
      </c>
      <c r="K73" s="17">
        <f>-qQ*La*(1-D73/La)</f>
        <v>-40.5</v>
      </c>
      <c r="L73" s="3">
        <v>0</v>
      </c>
      <c r="M73" s="3">
        <v>0</v>
      </c>
      <c r="N73" s="17">
        <f t="shared" si="0"/>
        <v>-54.675000000000004</v>
      </c>
      <c r="O73" s="17">
        <f t="shared" si="1"/>
        <v>-40.5</v>
      </c>
      <c r="Q73" s="18">
        <f>GammaG*(F73+H73)+GammaQ*J73</f>
        <v>-126.71206187470628</v>
      </c>
      <c r="R73" s="18">
        <f>GammaG*(G73+I73)+GammaQ*K73</f>
        <v>-93.860786573856501</v>
      </c>
      <c r="S73" s="18">
        <f>GammaG*(F73+H73)+GammaQ*L73</f>
        <v>-44.699561874706276</v>
      </c>
      <c r="T73" s="18">
        <f>GammaG*(G73+I73)+GammaQ*M73</f>
        <v>-33.110786573856501</v>
      </c>
      <c r="U73" s="18">
        <f>GammaG*(F73+H73)+GammaQ*N73</f>
        <v>-126.71206187470628</v>
      </c>
      <c r="V73" s="18">
        <f>GammaG*(G73+I73)+GammaQ*O73</f>
        <v>-93.860786573856501</v>
      </c>
    </row>
    <row r="74" spans="2:23" x14ac:dyDescent="0.25">
      <c r="B74" s="43"/>
      <c r="C74" s="3">
        <v>11</v>
      </c>
      <c r="D74" s="28">
        <v>0</v>
      </c>
      <c r="E74" s="18">
        <f>La-D74</f>
        <v>3</v>
      </c>
      <c r="F74" s="18">
        <f>-qG_1/2*(La-D74)^2</f>
        <v>-29.627514288711726</v>
      </c>
      <c r="G74" s="18">
        <f>-qG_1*La*(1-D74/La)</f>
        <v>-19.751676192474484</v>
      </c>
      <c r="H74" s="17">
        <f>-qG_2/2*(La-D74)^2</f>
        <v>-11.25</v>
      </c>
      <c r="I74" s="17">
        <f>-qG_2*La*(1-D74/La)</f>
        <v>-7.5</v>
      </c>
      <c r="J74" s="17">
        <f>-qQ/2*(La-D74)^2</f>
        <v>-67.5</v>
      </c>
      <c r="K74" s="17">
        <f>-qQ*La*(1-D74/La)</f>
        <v>-45</v>
      </c>
      <c r="L74" s="3">
        <v>0</v>
      </c>
      <c r="M74" s="3">
        <v>0</v>
      </c>
      <c r="N74" s="17">
        <f t="shared" si="0"/>
        <v>-67.5</v>
      </c>
      <c r="O74" s="17">
        <f t="shared" si="1"/>
        <v>-45</v>
      </c>
      <c r="Q74" s="18">
        <f>GammaG*(F74+H74)+GammaQ*J74</f>
        <v>-156.43464428976083</v>
      </c>
      <c r="R74" s="18">
        <f>GammaG*(G74+I74)+GammaQ*K74</f>
        <v>-104.28976285984055</v>
      </c>
      <c r="S74" s="18">
        <f>GammaG*(F74+H74)+GammaQ*L74</f>
        <v>-55.184644289760833</v>
      </c>
      <c r="T74" s="18">
        <f>GammaG*(G74+I74)+GammaQ*M74</f>
        <v>-36.789762859840557</v>
      </c>
      <c r="U74" s="18">
        <f>GammaG*(F74+H74)+GammaQ*N74</f>
        <v>-156.43464428976083</v>
      </c>
      <c r="V74" s="18">
        <f>GammaG*(G74+I74)+GammaQ*O74</f>
        <v>-104.28976285984055</v>
      </c>
    </row>
    <row r="75" spans="2:23" x14ac:dyDescent="0.25">
      <c r="B75" s="46" t="s">
        <v>114</v>
      </c>
      <c r="C75" s="3">
        <v>1</v>
      </c>
      <c r="D75" s="18">
        <v>0</v>
      </c>
      <c r="F75" s="18">
        <f>-qG_1*La^2/2*(LL-D75)/LL+qG_1*(D75*(LL-D75))/2</f>
        <v>-29.62751428871173</v>
      </c>
      <c r="G75" s="18">
        <f>+qG_1*La^2/2/LL+qG_1/2*(LL-2*D75)</f>
        <v>35.882211749661977</v>
      </c>
      <c r="H75" s="17">
        <f>-qG_2*La^2/2*(LL-D75)/LL+qG_2*(D75*(LL-D75))/2</f>
        <v>-11.25</v>
      </c>
      <c r="I75" s="17">
        <f>+qG_2*La^2/2/LL+qG_2/2*(LL-2*D75)</f>
        <v>13.625</v>
      </c>
      <c r="J75" s="17">
        <f>-qQ*La^2/2*(LL-D75)/LL</f>
        <v>-67.5</v>
      </c>
      <c r="K75" s="17">
        <f>+qQ*La^2/2/LL</f>
        <v>6.75</v>
      </c>
      <c r="L75" s="17">
        <f>qQ*(D75*(LL-D75))/2</f>
        <v>0</v>
      </c>
      <c r="M75" s="17">
        <f>qQ/2*(LL-2*D75)</f>
        <v>75</v>
      </c>
      <c r="N75" s="17">
        <f t="shared" ref="N75:N95" si="2">J75+L75</f>
        <v>-67.5</v>
      </c>
      <c r="O75" s="17">
        <f t="shared" ref="O75:O95" si="3">K75+M75</f>
        <v>81.75</v>
      </c>
      <c r="Q75" s="18">
        <f>GammaG*(F75+H75)+GammaQ*J75</f>
        <v>-156.43464428976085</v>
      </c>
      <c r="R75" s="18">
        <f>GammaG*(G75+I75)+GammaQ*K75</f>
        <v>76.959735862043672</v>
      </c>
      <c r="S75" s="18">
        <f>GammaG*(F75+H75)+GammaQ*L75</f>
        <v>-55.18464428976084</v>
      </c>
      <c r="T75" s="18">
        <f>GammaG*(G75+I75)+GammaQ*M75</f>
        <v>179.33473586204366</v>
      </c>
      <c r="U75" s="18">
        <f>GammaG*(F75+H75)+GammaQ*N75</f>
        <v>-156.43464428976085</v>
      </c>
      <c r="V75" s="18">
        <f>GammaG*(G75+I75)+GammaQ*O75</f>
        <v>189.45973586204366</v>
      </c>
      <c r="W75" s="18">
        <f>D75</f>
        <v>0</v>
      </c>
    </row>
    <row r="76" spans="2:23" x14ac:dyDescent="0.25">
      <c r="B76" s="44"/>
      <c r="C76" s="3">
        <v>2</v>
      </c>
      <c r="D76" s="18">
        <f>D75+LL/20</f>
        <v>0.5</v>
      </c>
      <c r="F76" s="18">
        <f>-qG_1*La^2/2*(LL-D76)/LL+qG_1*(D76*(LL-D76))/2</f>
        <v>-12.509394921900512</v>
      </c>
      <c r="G76" s="18">
        <f>+qG_1*La^2/2/LL+qG_1/2*(LL-2*D76)</f>
        <v>32.590265717582902</v>
      </c>
      <c r="H76" s="17">
        <f>-qG_2*La^2/2*(LL-D76)/LL+qG_2*(D76*(LL-D76))/2</f>
        <v>-4.75</v>
      </c>
      <c r="I76" s="17">
        <f>+qG_2*La^2/2/LL+qG_2/2*(LL-2*D76)</f>
        <v>12.375</v>
      </c>
      <c r="J76" s="17">
        <f>-qQ*La^2/2*(LL-D76)/LL</f>
        <v>-64.125</v>
      </c>
      <c r="K76" s="17">
        <f>+qQ*La^2/2/LL</f>
        <v>6.75</v>
      </c>
      <c r="L76" s="17">
        <f>qQ*(D76*(LL-D76))/2</f>
        <v>35.625</v>
      </c>
      <c r="M76" s="17">
        <f>qQ/2*(LL-2*D76)</f>
        <v>67.5</v>
      </c>
      <c r="N76" s="17">
        <f t="shared" si="2"/>
        <v>-28.5</v>
      </c>
      <c r="O76" s="17">
        <f t="shared" si="3"/>
        <v>74.25</v>
      </c>
      <c r="Q76" s="18">
        <f>GammaG*(F76+H76)+GammaQ*J76</f>
        <v>-119.48768314456569</v>
      </c>
      <c r="R76" s="18">
        <f>GammaG*(G76+I76)+GammaQ*K76</f>
        <v>70.828108718736928</v>
      </c>
      <c r="S76" s="18">
        <f>GammaG*(F76+H76)+GammaQ*L76</f>
        <v>30.137316855434307</v>
      </c>
      <c r="T76" s="18">
        <f>GammaG*(G76+I76)+GammaQ*M76</f>
        <v>161.95310871873693</v>
      </c>
      <c r="U76" s="18">
        <f>GammaG*(F76+H76)+GammaQ*N76</f>
        <v>-66.050183144565693</v>
      </c>
      <c r="V76" s="18">
        <f>GammaG*(G76+I76)+GammaQ*O76</f>
        <v>172.07810871873693</v>
      </c>
      <c r="W76" s="18">
        <f>D76</f>
        <v>0.5</v>
      </c>
    </row>
    <row r="77" spans="2:23" x14ac:dyDescent="0.25">
      <c r="B77" s="44"/>
      <c r="C77" s="3">
        <v>3</v>
      </c>
      <c r="D77" s="18">
        <f>D76+LL/20</f>
        <v>1</v>
      </c>
      <c r="F77" s="18">
        <f>-qG_1*La^2/2*(LL-D77)/LL+qG_1*(D77*(LL-D77))/2</f>
        <v>2.9627514288711687</v>
      </c>
      <c r="G77" s="18">
        <f>+qG_1*La^2/2/LL+qG_1/2*(LL-2*D77)</f>
        <v>29.298319685503817</v>
      </c>
      <c r="H77" s="17">
        <f>-qG_2*La^2/2*(LL-D77)/LL+qG_2*(D77*(LL-D77))/2</f>
        <v>1.125</v>
      </c>
      <c r="I77" s="17">
        <f>+qG_2*La^2/2/LL+qG_2/2*(LL-2*D77)</f>
        <v>11.125</v>
      </c>
      <c r="J77" s="17">
        <f>-qQ*La^2/2*(LL-D77)/LL</f>
        <v>-60.75</v>
      </c>
      <c r="K77" s="17">
        <f>+qQ*La^2/2/LL</f>
        <v>6.75</v>
      </c>
      <c r="L77" s="17">
        <f>qQ*(D77*(LL-D77))/2</f>
        <v>67.5</v>
      </c>
      <c r="M77" s="17">
        <f>qQ/2*(LL-2*D77)</f>
        <v>60</v>
      </c>
      <c r="N77" s="17">
        <f t="shared" si="2"/>
        <v>6.75</v>
      </c>
      <c r="O77" s="17">
        <f t="shared" si="3"/>
        <v>66.75</v>
      </c>
      <c r="Q77" s="18">
        <f>GammaG*(F77+H77)+GammaQ*J77</f>
        <v>-85.606535571023926</v>
      </c>
      <c r="R77" s="18">
        <f>GammaG*(G77+I77)+GammaQ*K77</f>
        <v>64.696481575430141</v>
      </c>
      <c r="S77" s="18">
        <f>GammaG*(F77+H77)+GammaQ*L77</f>
        <v>106.76846442897607</v>
      </c>
      <c r="T77" s="18">
        <f>GammaG*(G77+I77)+GammaQ*M77</f>
        <v>144.57148157543014</v>
      </c>
      <c r="U77" s="18">
        <f>GammaG*(F77+H77)+GammaQ*N77</f>
        <v>15.643464428976078</v>
      </c>
      <c r="V77" s="18">
        <f>GammaG*(G77+I77)+GammaQ*O77</f>
        <v>154.69648157543014</v>
      </c>
      <c r="W77" s="18">
        <f>D77</f>
        <v>1</v>
      </c>
    </row>
    <row r="78" spans="2:23" x14ac:dyDescent="0.25">
      <c r="B78" s="44"/>
      <c r="C78" s="3">
        <v>4</v>
      </c>
      <c r="D78" s="18">
        <f>D77+LL/20</f>
        <v>1.5</v>
      </c>
      <c r="F78" s="18">
        <f>-qG_1*La^2/2*(LL-D78)/LL+qG_1*(D78*(LL-D78))/2</f>
        <v>16.788924763603308</v>
      </c>
      <c r="G78" s="18">
        <f>+qG_1*La^2/2/LL+qG_1/2*(LL-2*D78)</f>
        <v>26.006373653424735</v>
      </c>
      <c r="H78" s="17">
        <f>-qG_2*La^2/2*(LL-D78)/LL+qG_2*(D78*(LL-D78))/2</f>
        <v>6.375</v>
      </c>
      <c r="I78" s="17">
        <f>+qG_2*La^2/2/LL+qG_2/2*(LL-2*D78)</f>
        <v>9.875</v>
      </c>
      <c r="J78" s="17">
        <f>-qQ*La^2/2*(LL-D78)/LL</f>
        <v>-57.375</v>
      </c>
      <c r="K78" s="17">
        <f>+qQ*La^2/2/LL</f>
        <v>6.75</v>
      </c>
      <c r="L78" s="17">
        <f>qQ*(D78*(LL-D78))/2</f>
        <v>95.625</v>
      </c>
      <c r="M78" s="17">
        <f>qQ/2*(LL-2*D78)</f>
        <v>52.5</v>
      </c>
      <c r="N78" s="17">
        <f t="shared" si="2"/>
        <v>38.25</v>
      </c>
      <c r="O78" s="17">
        <f t="shared" si="3"/>
        <v>59.25</v>
      </c>
      <c r="Q78" s="18">
        <f>GammaG*(F78+H78)+GammaQ*J78</f>
        <v>-54.791201569135531</v>
      </c>
      <c r="R78" s="18">
        <f>GammaG*(G78+I78)+GammaQ*K78</f>
        <v>58.56485443212339</v>
      </c>
      <c r="S78" s="18">
        <f>GammaG*(F78+H78)+GammaQ*L78</f>
        <v>174.70879843086448</v>
      </c>
      <c r="T78" s="18">
        <f>GammaG*(G78+I78)+GammaQ*M78</f>
        <v>127.18985443212338</v>
      </c>
      <c r="U78" s="18">
        <f>GammaG*(F78+H78)+GammaQ*N78</f>
        <v>88.646298430864476</v>
      </c>
      <c r="V78" s="18">
        <f>GammaG*(G78+I78)+GammaQ*O78</f>
        <v>137.31485443212338</v>
      </c>
      <c r="W78" s="18">
        <f>D78</f>
        <v>1.5</v>
      </c>
    </row>
    <row r="79" spans="2:23" x14ac:dyDescent="0.25">
      <c r="B79" s="44"/>
      <c r="C79" s="3">
        <v>5</v>
      </c>
      <c r="D79" s="18">
        <f>D78+LL/20</f>
        <v>2</v>
      </c>
      <c r="F79" s="18">
        <f>-qG_1*La^2/2*(LL-D79)/LL+qG_1*(D79*(LL-D79))/2</f>
        <v>28.969125082295907</v>
      </c>
      <c r="G79" s="18">
        <f>+qG_1*La^2/2/LL+qG_1/2*(LL-2*D79)</f>
        <v>22.714427621345656</v>
      </c>
      <c r="H79" s="17">
        <f>-qG_2*La^2/2*(LL-D79)/LL+qG_2*(D79*(LL-D79))/2</f>
        <v>11</v>
      </c>
      <c r="I79" s="17">
        <f>+qG_2*La^2/2/LL+qG_2/2*(LL-2*D79)</f>
        <v>8.625</v>
      </c>
      <c r="J79" s="17">
        <f>-qQ*La^2/2*(LL-D79)/LL</f>
        <v>-54</v>
      </c>
      <c r="K79" s="17">
        <f>+qQ*La^2/2/LL</f>
        <v>6.75</v>
      </c>
      <c r="L79" s="17">
        <f>qQ*(D79*(LL-D79))/2</f>
        <v>120</v>
      </c>
      <c r="M79" s="17">
        <f>qQ/2*(LL-2*D79)</f>
        <v>45</v>
      </c>
      <c r="N79" s="17">
        <f t="shared" si="2"/>
        <v>66</v>
      </c>
      <c r="O79" s="17">
        <f t="shared" si="3"/>
        <v>51.75</v>
      </c>
      <c r="Q79" s="18">
        <f>GammaG*(F79+H79)+GammaQ*J79</f>
        <v>-27.041681138900529</v>
      </c>
      <c r="R79" s="18">
        <f>GammaG*(G79+I79)+GammaQ*K79</f>
        <v>52.433227288816639</v>
      </c>
      <c r="S79" s="18">
        <f>GammaG*(F79+H79)+GammaQ*L79</f>
        <v>233.95831886109949</v>
      </c>
      <c r="T79" s="18">
        <f>GammaG*(G79+I79)+GammaQ*M79</f>
        <v>109.80822728881664</v>
      </c>
      <c r="U79" s="18">
        <f>GammaG*(F79+H79)+GammaQ*N79</f>
        <v>152.95831886109949</v>
      </c>
      <c r="V79" s="18">
        <f>GammaG*(G79+I79)+GammaQ*O79</f>
        <v>119.93322728881664</v>
      </c>
      <c r="W79" s="18">
        <f>D79</f>
        <v>2</v>
      </c>
    </row>
    <row r="80" spans="2:23" x14ac:dyDescent="0.25">
      <c r="B80" s="44"/>
      <c r="C80" s="3">
        <v>6</v>
      </c>
      <c r="D80" s="18">
        <f>D79+LL/20</f>
        <v>2.5</v>
      </c>
      <c r="F80" s="18">
        <f>-qG_1*La^2/2*(LL-D80)/LL+qG_1*(D80*(LL-D80))/2</f>
        <v>39.503352384948968</v>
      </c>
      <c r="G80" s="18">
        <f>+qG_1*La^2/2/LL+qG_1/2*(LL-2*D80)</f>
        <v>19.422481589266575</v>
      </c>
      <c r="H80" s="17">
        <f>-qG_2*La^2/2*(LL-D80)/LL+qG_2*(D80*(LL-D80))/2</f>
        <v>15</v>
      </c>
      <c r="I80" s="17">
        <f>+qG_2*La^2/2/LL+qG_2/2*(LL-2*D80)</f>
        <v>7.375</v>
      </c>
      <c r="J80" s="17">
        <f>-qQ*La^2/2*(LL-D80)/LL</f>
        <v>-50.625</v>
      </c>
      <c r="K80" s="17">
        <f>+qQ*La^2/2/LL</f>
        <v>6.75</v>
      </c>
      <c r="L80" s="17">
        <f>qQ*(D80*(LL-D80))/2</f>
        <v>140.625</v>
      </c>
      <c r="M80" s="17">
        <f>qQ/2*(LL-2*D80)</f>
        <v>37.5</v>
      </c>
      <c r="N80" s="17">
        <f t="shared" si="2"/>
        <v>90</v>
      </c>
      <c r="O80" s="17">
        <f t="shared" si="3"/>
        <v>44.25</v>
      </c>
      <c r="Q80" s="18">
        <f>GammaG*(F80+H80)+GammaQ*J80</f>
        <v>-2.357974280318885</v>
      </c>
      <c r="R80" s="18">
        <f>GammaG*(G80+I80)+GammaQ*K80</f>
        <v>46.30160014550988</v>
      </c>
      <c r="S80" s="18">
        <f>GammaG*(F80+H80)+GammaQ*L80</f>
        <v>284.5170257196811</v>
      </c>
      <c r="T80" s="18">
        <f>GammaG*(G80+I80)+GammaQ*M80</f>
        <v>92.42660014550988</v>
      </c>
      <c r="U80" s="18">
        <f>GammaG*(F80+H80)+GammaQ*N80</f>
        <v>208.5795257196811</v>
      </c>
      <c r="V80" s="18">
        <f>GammaG*(G80+I80)+GammaQ*O80</f>
        <v>102.55160014550988</v>
      </c>
      <c r="W80" s="18">
        <f>D80</f>
        <v>2.5</v>
      </c>
    </row>
    <row r="81" spans="2:23" x14ac:dyDescent="0.25">
      <c r="B81" s="44"/>
      <c r="C81" s="3">
        <v>7</v>
      </c>
      <c r="D81" s="18">
        <f>D80+LL/20</f>
        <v>3</v>
      </c>
      <c r="F81" s="18">
        <f>-qG_1*La^2/2*(LL-D81)/LL+qG_1*(D81*(LL-D81))/2</f>
        <v>48.391606671562485</v>
      </c>
      <c r="G81" s="18">
        <f>+qG_1*La^2/2/LL+qG_1/2*(LL-2*D81)</f>
        <v>16.130535557187496</v>
      </c>
      <c r="H81" s="17">
        <f>-qG_2*La^2/2*(LL-D81)/LL+qG_2*(D81*(LL-D81))/2</f>
        <v>18.375</v>
      </c>
      <c r="I81" s="17">
        <f>+qG_2*La^2/2/LL+qG_2/2*(LL-2*D81)</f>
        <v>6.125</v>
      </c>
      <c r="J81" s="17">
        <f>-qQ*La^2/2*(LL-D81)/LL</f>
        <v>-47.25</v>
      </c>
      <c r="K81" s="17">
        <f>+qQ*La^2/2/LL</f>
        <v>6.75</v>
      </c>
      <c r="L81" s="17">
        <f>qQ*(D81*(LL-D81))/2</f>
        <v>157.5</v>
      </c>
      <c r="M81" s="17">
        <f>qQ/2*(LL-2*D81)</f>
        <v>30</v>
      </c>
      <c r="N81" s="17">
        <f t="shared" si="2"/>
        <v>110.25</v>
      </c>
      <c r="O81" s="17">
        <f t="shared" si="3"/>
        <v>36.75</v>
      </c>
      <c r="Q81" s="18">
        <f>GammaG*(F81+H81)+GammaQ*J81</f>
        <v>19.259919006609366</v>
      </c>
      <c r="R81" s="18">
        <f>GammaG*(G81+I81)+GammaQ*K81</f>
        <v>40.169973002203122</v>
      </c>
      <c r="S81" s="18">
        <f>GammaG*(F81+H81)+GammaQ*L81</f>
        <v>326.38491900660938</v>
      </c>
      <c r="T81" s="18">
        <f>GammaG*(G81+I81)+GammaQ*M81</f>
        <v>75.044973002203122</v>
      </c>
      <c r="U81" s="18">
        <f>GammaG*(F81+H81)+GammaQ*N81</f>
        <v>255.50991900660938</v>
      </c>
      <c r="V81" s="18">
        <f>GammaG*(G81+I81)+GammaQ*O81</f>
        <v>85.169973002203122</v>
      </c>
      <c r="W81" s="18">
        <f>D81</f>
        <v>3</v>
      </c>
    </row>
    <row r="82" spans="2:23" x14ac:dyDescent="0.25">
      <c r="B82" s="44"/>
      <c r="C82" s="3">
        <v>8</v>
      </c>
      <c r="D82" s="18">
        <f>D81+LL/20</f>
        <v>3.5</v>
      </c>
      <c r="F82" s="18">
        <f>-qG_1*La^2/2*(LL-D82)/LL+qG_1*(D82*(LL-D82))/2</f>
        <v>55.633887942136468</v>
      </c>
      <c r="G82" s="18">
        <f>+qG_1*La^2/2/LL+qG_1/2*(LL-2*D82)</f>
        <v>12.838589525108414</v>
      </c>
      <c r="H82" s="17">
        <f>-qG_2*La^2/2*(LL-D82)/LL+qG_2*(D82*(LL-D82))/2</f>
        <v>21.125</v>
      </c>
      <c r="I82" s="17">
        <f>+qG_2*La^2/2/LL+qG_2/2*(LL-2*D82)</f>
        <v>4.875</v>
      </c>
      <c r="J82" s="17">
        <f>-qQ*La^2/2*(LL-D82)/LL</f>
        <v>-43.875</v>
      </c>
      <c r="K82" s="17">
        <f>+qQ*La^2/2/LL</f>
        <v>6.75</v>
      </c>
      <c r="L82" s="17">
        <f>qQ*(D82*(LL-D82))/2</f>
        <v>170.625</v>
      </c>
      <c r="M82" s="17">
        <f>qQ/2*(LL-2*D82)</f>
        <v>22.5</v>
      </c>
      <c r="N82" s="17">
        <f t="shared" si="2"/>
        <v>126.75</v>
      </c>
      <c r="O82" s="17">
        <f t="shared" si="3"/>
        <v>29.25</v>
      </c>
      <c r="Q82" s="18">
        <f>GammaG*(F82+H82)+GammaQ*J82</f>
        <v>37.811998721884237</v>
      </c>
      <c r="R82" s="18">
        <f>GammaG*(G82+I82)+GammaQ*K82</f>
        <v>34.038345858896363</v>
      </c>
      <c r="S82" s="18">
        <f>GammaG*(F82+H82)+GammaQ*L82</f>
        <v>359.56199872188427</v>
      </c>
      <c r="T82" s="18">
        <f>GammaG*(G82+I82)+GammaQ*M82</f>
        <v>57.663345858896363</v>
      </c>
      <c r="U82" s="18">
        <f>GammaG*(F82+H82)+GammaQ*N82</f>
        <v>293.74949872188427</v>
      </c>
      <c r="V82" s="18">
        <f>GammaG*(G82+I82)+GammaQ*O82</f>
        <v>67.788345858896363</v>
      </c>
      <c r="W82" s="18">
        <f>D82</f>
        <v>3.5</v>
      </c>
    </row>
    <row r="83" spans="2:23" x14ac:dyDescent="0.25">
      <c r="B83" s="44"/>
      <c r="C83" s="3">
        <v>9</v>
      </c>
      <c r="D83" s="18">
        <f>D82+LL/20</f>
        <v>4</v>
      </c>
      <c r="F83" s="18">
        <f>-qG_1*La^2/2*(LL-D83)/LL+qG_1*(D83*(LL-D83))/2</f>
        <v>61.230196196670903</v>
      </c>
      <c r="G83" s="18">
        <f>+qG_1*La^2/2/LL+qG_1/2*(LL-2*D83)</f>
        <v>9.5466434930293342</v>
      </c>
      <c r="H83" s="17">
        <f>-qG_2*La^2/2*(LL-D83)/LL+qG_2*(D83*(LL-D83))/2</f>
        <v>23.25</v>
      </c>
      <c r="I83" s="17">
        <f>+qG_2*La^2/2/LL+qG_2/2*(LL-2*D83)</f>
        <v>3.625</v>
      </c>
      <c r="J83" s="17">
        <f>-qQ*La^2/2*(LL-D83)/LL</f>
        <v>-40.5</v>
      </c>
      <c r="K83" s="17">
        <f>+qQ*La^2/2/LL</f>
        <v>6.75</v>
      </c>
      <c r="L83" s="17">
        <f>qQ*(D83*(LL-D83))/2</f>
        <v>180</v>
      </c>
      <c r="M83" s="17">
        <f>qQ/2*(LL-2*D83)</f>
        <v>15</v>
      </c>
      <c r="N83" s="17">
        <f t="shared" si="2"/>
        <v>139.5</v>
      </c>
      <c r="O83" s="17">
        <f t="shared" si="3"/>
        <v>21.75</v>
      </c>
      <c r="Q83" s="18">
        <f>GammaG*(F83+H83)+GammaQ*J83</f>
        <v>53.298264865505729</v>
      </c>
      <c r="R83" s="18">
        <f>GammaG*(G83+I83)+GammaQ*K83</f>
        <v>27.906718715589601</v>
      </c>
      <c r="S83" s="18">
        <f>GammaG*(F83+H83)+GammaQ*L83</f>
        <v>384.04826486550576</v>
      </c>
      <c r="T83" s="18">
        <f>GammaG*(G83+I83)+GammaQ*M83</f>
        <v>40.281718715589605</v>
      </c>
      <c r="U83" s="18">
        <f>GammaG*(F83+H83)+GammaQ*N83</f>
        <v>323.29826486550576</v>
      </c>
      <c r="V83" s="18">
        <f>GammaG*(G83+I83)+GammaQ*O83</f>
        <v>50.406718715589605</v>
      </c>
      <c r="W83" s="18">
        <f>D83</f>
        <v>4</v>
      </c>
    </row>
    <row r="84" spans="2:23" x14ac:dyDescent="0.25">
      <c r="B84" s="44"/>
      <c r="C84" s="3">
        <v>10</v>
      </c>
      <c r="D84" s="18">
        <f>D83+LL/20</f>
        <v>4.5</v>
      </c>
      <c r="F84" s="18">
        <f>-qG_1*La^2/2*(LL-D84)/LL+qG_1*(D84*(LL-D84))/2</f>
        <v>65.18053143516579</v>
      </c>
      <c r="G84" s="18">
        <f>+qG_1*La^2/2/LL+qG_1/2*(LL-2*D84)</f>
        <v>6.2546974609502533</v>
      </c>
      <c r="H84" s="17">
        <f>-qG_2*La^2/2*(LL-D84)/LL+qG_2*(D84*(LL-D84))/2</f>
        <v>24.75</v>
      </c>
      <c r="I84" s="17">
        <f>+qG_2*La^2/2/LL+qG_2/2*(LL-2*D84)</f>
        <v>2.375</v>
      </c>
      <c r="J84" s="17">
        <f>-qQ*La^2/2*(LL-D84)/LL</f>
        <v>-37.125</v>
      </c>
      <c r="K84" s="17">
        <f>+qQ*La^2/2/LL</f>
        <v>6.75</v>
      </c>
      <c r="L84" s="17">
        <f>qQ*(D84*(LL-D84))/2</f>
        <v>185.625</v>
      </c>
      <c r="M84" s="17">
        <f>qQ/2*(LL-2*D84)</f>
        <v>7.5</v>
      </c>
      <c r="N84" s="17">
        <f t="shared" si="2"/>
        <v>148.5</v>
      </c>
      <c r="O84" s="17">
        <f t="shared" si="3"/>
        <v>14.25</v>
      </c>
      <c r="Q84" s="18">
        <f>GammaG*(F84+H84)+GammaQ*J84</f>
        <v>65.718717437473828</v>
      </c>
      <c r="R84" s="18">
        <f>GammaG*(G84+I84)+GammaQ*K84</f>
        <v>21.775091572282843</v>
      </c>
      <c r="S84" s="18">
        <f>GammaG*(F84+H84)+GammaQ*L84</f>
        <v>399.84371743747386</v>
      </c>
      <c r="T84" s="18">
        <f>GammaG*(G84+I84)+GammaQ*M84</f>
        <v>22.900091572282843</v>
      </c>
      <c r="U84" s="18">
        <f>GammaG*(F84+H84)+GammaQ*N84</f>
        <v>344.15621743747386</v>
      </c>
      <c r="V84" s="18">
        <f>GammaG*(G84+I84)+GammaQ*O84</f>
        <v>33.025091572282847</v>
      </c>
      <c r="W84" s="18">
        <f>D84</f>
        <v>4.5</v>
      </c>
    </row>
    <row r="85" spans="2:23" x14ac:dyDescent="0.25">
      <c r="B85" s="44"/>
      <c r="C85" s="3">
        <v>11</v>
      </c>
      <c r="D85" s="18">
        <f>D84+LL/20</f>
        <v>5</v>
      </c>
      <c r="F85" s="18">
        <f>-qG_1*La^2/2*(LL-D85)/LL+qG_1*(D85*(LL-D85))/2</f>
        <v>67.484893657621157</v>
      </c>
      <c r="G85" s="18">
        <f>+qG_1*La^2/2/LL+qG_1/2*(LL-2*D85)</f>
        <v>2.9627514288711727</v>
      </c>
      <c r="H85" s="17">
        <f>-qG_2*La^2/2*(LL-D85)/LL+qG_2*(D85*(LL-D85))/2</f>
        <v>25.625</v>
      </c>
      <c r="I85" s="17">
        <f>+qG_2*La^2/2/LL+qG_2/2*(LL-2*D85)</f>
        <v>1.125</v>
      </c>
      <c r="J85" s="17">
        <f>-qQ*La^2/2*(LL-D85)/LL</f>
        <v>-33.75</v>
      </c>
      <c r="K85" s="17">
        <f>+qQ*La^2/2/LL</f>
        <v>6.75</v>
      </c>
      <c r="L85" s="17">
        <f>qQ*(D85*(LL-D85))/2</f>
        <v>187.5</v>
      </c>
      <c r="M85" s="17">
        <f>qQ/2*(LL-2*D85)</f>
        <v>0</v>
      </c>
      <c r="N85" s="17">
        <f t="shared" si="2"/>
        <v>153.75</v>
      </c>
      <c r="O85" s="17">
        <f t="shared" si="3"/>
        <v>6.75</v>
      </c>
      <c r="Q85" s="18">
        <f>GammaG*(F85+H85)+GammaQ*J85</f>
        <v>75.073356437788576</v>
      </c>
      <c r="R85" s="18">
        <f>GammaG*(G85+I85)+GammaQ*K85</f>
        <v>15.643464428976083</v>
      </c>
      <c r="S85" s="18">
        <f>GammaG*(F85+H85)+GammaQ*L85</f>
        <v>406.94835643778856</v>
      </c>
      <c r="T85" s="18">
        <f>GammaG*(G85+I85)+GammaQ*M85</f>
        <v>5.5184644289760829</v>
      </c>
      <c r="U85" s="18">
        <f>GammaG*(F85+H85)+GammaQ*N85</f>
        <v>356.32335643778856</v>
      </c>
      <c r="V85" s="18">
        <f>GammaG*(G85+I85)+GammaQ*O85</f>
        <v>15.643464428976083</v>
      </c>
      <c r="W85" s="18">
        <f>D85</f>
        <v>5</v>
      </c>
    </row>
    <row r="86" spans="2:23" x14ac:dyDescent="0.25">
      <c r="B86" s="44"/>
      <c r="C86" s="3">
        <v>12</v>
      </c>
      <c r="D86" s="18">
        <f>D85+LL/20</f>
        <v>5.5</v>
      </c>
      <c r="F86" s="18">
        <f>-qG_1*La^2/2*(LL-D86)/LL+qG_1*(D86*(LL-D86))/2</f>
        <v>68.143282864036962</v>
      </c>
      <c r="G86" s="18">
        <f>+qG_1*La^2/2/LL+qG_1/2*(LL-2*D86)</f>
        <v>-0.32919460320790783</v>
      </c>
      <c r="H86" s="17">
        <f>-qG_2*La^2/2*(LL-D86)/LL+qG_2*(D86*(LL-D86))/2</f>
        <v>25.875</v>
      </c>
      <c r="I86" s="17">
        <f>+qG_2*La^2/2/LL+qG_2/2*(LL-2*D86)</f>
        <v>-0.125</v>
      </c>
      <c r="J86" s="17">
        <f>-qQ*La^2/2*(LL-D86)/LL</f>
        <v>-30.375</v>
      </c>
      <c r="K86" s="17">
        <f>+qQ*La^2/2/LL</f>
        <v>6.75</v>
      </c>
      <c r="L86" s="17">
        <f>qQ*(D86*(LL-D86))/2</f>
        <v>185.625</v>
      </c>
      <c r="M86" s="17">
        <f>qQ/2*(LL-2*D86)</f>
        <v>-7.5</v>
      </c>
      <c r="N86" s="17">
        <f t="shared" si="2"/>
        <v>155.25</v>
      </c>
      <c r="O86" s="17">
        <f t="shared" si="3"/>
        <v>-0.75</v>
      </c>
      <c r="Q86" s="18">
        <f>GammaG*(F86+H86)+GammaQ*J86</f>
        <v>81.362181866449902</v>
      </c>
      <c r="R86" s="18">
        <f>GammaG*(G86+I86)+GammaQ*K86</f>
        <v>9.5118372856693245</v>
      </c>
      <c r="S86" s="18">
        <f>GammaG*(F86+H86)+GammaQ*L86</f>
        <v>405.36218186644987</v>
      </c>
      <c r="T86" s="18">
        <f>GammaG*(G86+I86)+GammaQ*M86</f>
        <v>-11.863162714330675</v>
      </c>
      <c r="U86" s="18">
        <f>GammaG*(F86+H86)+GammaQ*N86</f>
        <v>359.79968186644987</v>
      </c>
      <c r="V86" s="18">
        <f>GammaG*(G86+I86)+GammaQ*O86</f>
        <v>-1.7381627143306755</v>
      </c>
      <c r="W86" s="18">
        <f>D86</f>
        <v>5.5</v>
      </c>
    </row>
    <row r="87" spans="2:23" x14ac:dyDescent="0.25">
      <c r="B87" s="44"/>
      <c r="C87" s="3">
        <v>13</v>
      </c>
      <c r="D87" s="18">
        <f>D86+LL/20</f>
        <v>6</v>
      </c>
      <c r="F87" s="18">
        <f>-qG_1*La^2/2*(LL-D87)/LL+qG_1*(D87*(LL-D87))/2</f>
        <v>67.155699054413247</v>
      </c>
      <c r="G87" s="18">
        <f>+qG_1*La^2/2/LL+qG_1/2*(LL-2*D87)</f>
        <v>-3.6211406352869884</v>
      </c>
      <c r="H87" s="17">
        <f>-qG_2*La^2/2*(LL-D87)/LL+qG_2*(D87*(LL-D87))/2</f>
        <v>25.5</v>
      </c>
      <c r="I87" s="17">
        <f>+qG_2*La^2/2/LL+qG_2/2*(LL-2*D87)</f>
        <v>-1.375</v>
      </c>
      <c r="J87" s="17">
        <f>-qQ*La^2/2*(LL-D87)/LL</f>
        <v>-27</v>
      </c>
      <c r="K87" s="17">
        <f>+qQ*La^2/2/LL</f>
        <v>6.75</v>
      </c>
      <c r="L87" s="17">
        <f>qQ*(D87*(LL-D87))/2</f>
        <v>180</v>
      </c>
      <c r="M87" s="17">
        <f>qQ/2*(LL-2*D87)</f>
        <v>-15</v>
      </c>
      <c r="N87" s="17">
        <f t="shared" si="2"/>
        <v>153</v>
      </c>
      <c r="O87" s="17">
        <f t="shared" si="3"/>
        <v>-8.25</v>
      </c>
      <c r="Q87" s="18">
        <f>GammaG*(F87+H87)+GammaQ*J87</f>
        <v>84.585193723457891</v>
      </c>
      <c r="R87" s="18">
        <f>GammaG*(G87+I87)+GammaQ*K87</f>
        <v>3.3802101423625661</v>
      </c>
      <c r="S87" s="18">
        <f>GammaG*(F87+H87)+GammaQ*L87</f>
        <v>395.08519372345791</v>
      </c>
      <c r="T87" s="18">
        <f>GammaG*(G87+I87)+GammaQ*M87</f>
        <v>-29.244789857637436</v>
      </c>
      <c r="U87" s="18">
        <f>GammaG*(F87+H87)+GammaQ*N87</f>
        <v>354.58519372345791</v>
      </c>
      <c r="V87" s="18">
        <f>GammaG*(G87+I87)+GammaQ*O87</f>
        <v>-19.119789857637436</v>
      </c>
      <c r="W87" s="18">
        <f>D87</f>
        <v>6</v>
      </c>
    </row>
    <row r="88" spans="2:23" x14ac:dyDescent="0.25">
      <c r="B88" s="44"/>
      <c r="C88" s="3">
        <v>14</v>
      </c>
      <c r="D88" s="18">
        <f>D87+LL/20</f>
        <v>6.5</v>
      </c>
      <c r="F88" s="18">
        <f>-qG_1*La^2/2*(LL-D88)/LL+qG_1*(D88*(LL-D88))/2</f>
        <v>64.522142228749985</v>
      </c>
      <c r="G88" s="18">
        <f>+qG_1*La^2/2/LL+qG_1/2*(LL-2*D88)</f>
        <v>-6.9130866673660698</v>
      </c>
      <c r="H88" s="17">
        <f>-qG_2*La^2/2*(LL-D88)/LL+qG_2*(D88*(LL-D88))/2</f>
        <v>24.5</v>
      </c>
      <c r="I88" s="17">
        <f>+qG_2*La^2/2/LL+qG_2/2*(LL-2*D88)</f>
        <v>-2.625</v>
      </c>
      <c r="J88" s="17">
        <f>-qQ*La^2/2*(LL-D88)/LL</f>
        <v>-23.625</v>
      </c>
      <c r="K88" s="17">
        <f>+qQ*La^2/2/LL</f>
        <v>6.75</v>
      </c>
      <c r="L88" s="17">
        <f>qQ*(D88*(LL-D88))/2</f>
        <v>170.625</v>
      </c>
      <c r="M88" s="17">
        <f>qQ/2*(LL-2*D88)</f>
        <v>-22.5</v>
      </c>
      <c r="N88" s="17">
        <f t="shared" si="2"/>
        <v>147</v>
      </c>
      <c r="O88" s="17">
        <f t="shared" si="3"/>
        <v>-15.75</v>
      </c>
      <c r="Q88" s="18">
        <f>GammaG*(F88+H88)+GammaQ*J88</f>
        <v>84.742392008812487</v>
      </c>
      <c r="R88" s="18">
        <f>GammaG*(G88+I88)+GammaQ*K88</f>
        <v>-2.7514170009441958</v>
      </c>
      <c r="S88" s="18">
        <f>GammaG*(F88+H88)+GammaQ*L88</f>
        <v>376.11739200881249</v>
      </c>
      <c r="T88" s="18">
        <f>GammaG*(G88+I88)+GammaQ*M88</f>
        <v>-46.626417000944194</v>
      </c>
      <c r="U88" s="18">
        <f>GammaG*(F88+H88)+GammaQ*N88</f>
        <v>340.67989200881249</v>
      </c>
      <c r="V88" s="18">
        <f>GammaG*(G88+I88)+GammaQ*O88</f>
        <v>-36.501417000944194</v>
      </c>
      <c r="W88" s="18">
        <f>D88</f>
        <v>6.5</v>
      </c>
    </row>
    <row r="89" spans="2:23" x14ac:dyDescent="0.25">
      <c r="B89" s="44"/>
      <c r="C89" s="3">
        <v>15</v>
      </c>
      <c r="D89" s="18">
        <f>D88+LL/20</f>
        <v>7</v>
      </c>
      <c r="F89" s="18">
        <f>-qG_1*La^2/2*(LL-D89)/LL+qG_1*(D89*(LL-D89))/2</f>
        <v>60.242612387047174</v>
      </c>
      <c r="G89" s="18">
        <f>+qG_1*La^2/2/LL+qG_1/2*(LL-2*D89)</f>
        <v>-10.20503269944515</v>
      </c>
      <c r="H89" s="17">
        <f>-qG_2*La^2/2*(LL-D89)/LL+qG_2*(D89*(LL-D89))/2</f>
        <v>22.875</v>
      </c>
      <c r="I89" s="17">
        <f>+qG_2*La^2/2/LL+qG_2/2*(LL-2*D89)</f>
        <v>-3.875</v>
      </c>
      <c r="J89" s="17">
        <f>-qQ*La^2/2*(LL-D89)/LL</f>
        <v>-20.25</v>
      </c>
      <c r="K89" s="17">
        <f>+qQ*La^2/2/LL</f>
        <v>6.75</v>
      </c>
      <c r="L89" s="17">
        <f>qQ*(D89*(LL-D89))/2</f>
        <v>157.5</v>
      </c>
      <c r="M89" s="17">
        <f>qQ/2*(LL-2*D89)</f>
        <v>-30</v>
      </c>
      <c r="N89" s="17">
        <f t="shared" si="2"/>
        <v>137.25</v>
      </c>
      <c r="O89" s="17">
        <f t="shared" si="3"/>
        <v>-23.25</v>
      </c>
      <c r="Q89" s="18">
        <f>GammaG*(F89+H89)+GammaQ*J89</f>
        <v>81.83377672251369</v>
      </c>
      <c r="R89" s="18">
        <f>GammaG*(G89+I89)+GammaQ*K89</f>
        <v>-8.8830441442509525</v>
      </c>
      <c r="S89" s="18">
        <f>GammaG*(F89+H89)+GammaQ*L89</f>
        <v>348.45877672251368</v>
      </c>
      <c r="T89" s="18">
        <f>GammaG*(G89+I89)+GammaQ*M89</f>
        <v>-64.00804414425096</v>
      </c>
      <c r="U89" s="18">
        <f>GammaG*(F89+H89)+GammaQ*N89</f>
        <v>318.08377672251368</v>
      </c>
      <c r="V89" s="18">
        <f>GammaG*(G89+I89)+GammaQ*O89</f>
        <v>-53.883044144250952</v>
      </c>
      <c r="W89" s="18">
        <f>D89</f>
        <v>7</v>
      </c>
    </row>
    <row r="90" spans="2:23" x14ac:dyDescent="0.25">
      <c r="B90" s="44"/>
      <c r="C90" s="3">
        <v>16</v>
      </c>
      <c r="D90" s="18">
        <f>D89+LL/20</f>
        <v>7.5</v>
      </c>
      <c r="F90" s="18">
        <f>-qG_1*La^2/2*(LL-D90)/LL+qG_1*(D90*(LL-D90))/2</f>
        <v>54.31710952930483</v>
      </c>
      <c r="G90" s="18">
        <f>+qG_1*La^2/2/LL+qG_1/2*(LL-2*D90)</f>
        <v>-13.49697873152423</v>
      </c>
      <c r="H90" s="17">
        <f>-qG_2*La^2/2*(LL-D90)/LL+qG_2*(D90*(LL-D90))/2</f>
        <v>20.625</v>
      </c>
      <c r="I90" s="17">
        <f>+qG_2*La^2/2/LL+qG_2/2*(LL-2*D90)</f>
        <v>-5.125</v>
      </c>
      <c r="J90" s="17">
        <f>-qQ*La^2/2*(LL-D90)/LL</f>
        <v>-16.875</v>
      </c>
      <c r="K90" s="17">
        <f>+qQ*La^2/2/LL</f>
        <v>6.75</v>
      </c>
      <c r="L90" s="17">
        <f>qQ*(D90*(LL-D90))/2</f>
        <v>140.625</v>
      </c>
      <c r="M90" s="17">
        <f>qQ/2*(LL-2*D90)</f>
        <v>-37.5</v>
      </c>
      <c r="N90" s="17">
        <f t="shared" si="2"/>
        <v>123.75</v>
      </c>
      <c r="O90" s="17">
        <f t="shared" si="3"/>
        <v>-30.75</v>
      </c>
      <c r="Q90" s="18">
        <f>GammaG*(F90+H90)+GammaQ*J90</f>
        <v>75.859347864561528</v>
      </c>
      <c r="R90" s="18">
        <f>GammaG*(G90+I90)+GammaQ*K90</f>
        <v>-15.014671287557711</v>
      </c>
      <c r="S90" s="18">
        <f>GammaG*(F90+H90)+GammaQ*L90</f>
        <v>312.10934786456153</v>
      </c>
      <c r="T90" s="18">
        <f>GammaG*(G90+I90)+GammaQ*M90</f>
        <v>-81.389671287557718</v>
      </c>
      <c r="U90" s="18">
        <f>GammaG*(F90+H90)+GammaQ*N90</f>
        <v>286.79684786456153</v>
      </c>
      <c r="V90" s="18">
        <f>GammaG*(G90+I90)+GammaQ*O90</f>
        <v>-71.264671287557718</v>
      </c>
      <c r="W90" s="18">
        <f>D90</f>
        <v>7.5</v>
      </c>
    </row>
    <row r="91" spans="2:23" x14ac:dyDescent="0.25">
      <c r="B91" s="44"/>
      <c r="C91" s="3">
        <v>17</v>
      </c>
      <c r="D91" s="18">
        <f>D90+LL/20</f>
        <v>8</v>
      </c>
      <c r="F91" s="18">
        <f>-qG_1*La^2/2*(LL-D91)/LL+qG_1*(D91*(LL-D91))/2</f>
        <v>46.745633655522944</v>
      </c>
      <c r="G91" s="18">
        <f>+qG_1*La^2/2/LL+qG_1/2*(LL-2*D91)</f>
        <v>-16.788924763603312</v>
      </c>
      <c r="H91" s="17">
        <f>-qG_2*La^2/2*(LL-D91)/LL+qG_2*(D91*(LL-D91))/2</f>
        <v>17.75</v>
      </c>
      <c r="I91" s="17">
        <f>+qG_2*La^2/2/LL+qG_2/2*(LL-2*D91)</f>
        <v>-6.375</v>
      </c>
      <c r="J91" s="17">
        <f>-qQ*La^2/2*(LL-D91)/LL</f>
        <v>-13.5</v>
      </c>
      <c r="K91" s="17">
        <f>+qQ*La^2/2/LL</f>
        <v>6.75</v>
      </c>
      <c r="L91" s="17">
        <f>qQ*(D91*(LL-D91))/2</f>
        <v>120</v>
      </c>
      <c r="M91" s="17">
        <f>qQ/2*(LL-2*D91)</f>
        <v>-45</v>
      </c>
      <c r="N91" s="17">
        <f t="shared" si="2"/>
        <v>106.5</v>
      </c>
      <c r="O91" s="17">
        <f t="shared" si="3"/>
        <v>-38.25</v>
      </c>
      <c r="Q91" s="18">
        <f>GammaG*(F91+H91)+GammaQ*J91</f>
        <v>66.819105434955972</v>
      </c>
      <c r="R91" s="18">
        <f>GammaG*(G91+I91)+GammaQ*K91</f>
        <v>-21.146298430864473</v>
      </c>
      <c r="S91" s="18">
        <f>GammaG*(F91+H91)+GammaQ*L91</f>
        <v>267.06910543495599</v>
      </c>
      <c r="T91" s="18">
        <f>GammaG*(G91+I91)+GammaQ*M91</f>
        <v>-98.771298430864476</v>
      </c>
      <c r="U91" s="18">
        <f>GammaG*(F91+H91)+GammaQ*N91</f>
        <v>246.81910543495599</v>
      </c>
      <c r="V91" s="18">
        <f>GammaG*(G91+I91)+GammaQ*O91</f>
        <v>-88.646298430864476</v>
      </c>
      <c r="W91" s="18">
        <f>D91</f>
        <v>8</v>
      </c>
    </row>
    <row r="92" spans="2:23" x14ac:dyDescent="0.25">
      <c r="B92" s="44"/>
      <c r="C92" s="3">
        <v>18</v>
      </c>
      <c r="D92" s="18">
        <f>D91+LL/20</f>
        <v>8.5</v>
      </c>
      <c r="F92" s="18">
        <f>-qG_1*La^2/2*(LL-D92)/LL+qG_1*(D92*(LL-D92))/2</f>
        <v>37.528184765701518</v>
      </c>
      <c r="G92" s="18">
        <f>+qG_1*La^2/2/LL+qG_1/2*(LL-2*D92)</f>
        <v>-20.08087079568239</v>
      </c>
      <c r="H92" s="17">
        <f>-qG_2*La^2/2*(LL-D92)/LL+qG_2*(D92*(LL-D92))/2</f>
        <v>14.25</v>
      </c>
      <c r="I92" s="17">
        <f>+qG_2*La^2/2/LL+qG_2/2*(LL-2*D92)</f>
        <v>-7.625</v>
      </c>
      <c r="J92" s="17">
        <f>-qQ*La^2/2*(LL-D92)/LL</f>
        <v>-10.125</v>
      </c>
      <c r="K92" s="17">
        <f>+qQ*La^2/2/LL</f>
        <v>6.75</v>
      </c>
      <c r="L92" s="17">
        <f>qQ*(D92*(LL-D92))/2</f>
        <v>95.625</v>
      </c>
      <c r="M92" s="17">
        <f>qQ/2*(LL-2*D92)</f>
        <v>-52.5</v>
      </c>
      <c r="N92" s="17">
        <f t="shared" si="2"/>
        <v>85.5</v>
      </c>
      <c r="O92" s="17">
        <f t="shared" si="3"/>
        <v>-45.75</v>
      </c>
      <c r="Q92" s="18">
        <f>GammaG*(F92+H92)+GammaQ*J92</f>
        <v>54.713049433697051</v>
      </c>
      <c r="R92" s="18">
        <f>GammaG*(G92+I92)+GammaQ*K92</f>
        <v>-27.277925574171228</v>
      </c>
      <c r="S92" s="18">
        <f>GammaG*(F92+H92)+GammaQ*L92</f>
        <v>213.33804943369705</v>
      </c>
      <c r="T92" s="18">
        <f>GammaG*(G92+I92)+GammaQ*M92</f>
        <v>-116.15292557417123</v>
      </c>
      <c r="U92" s="18">
        <f>GammaG*(F92+H92)+GammaQ*N92</f>
        <v>198.15054943369705</v>
      </c>
      <c r="V92" s="18">
        <f>GammaG*(G92+I92)+GammaQ*O92</f>
        <v>-106.02792557417123</v>
      </c>
      <c r="W92" s="18">
        <f>D92</f>
        <v>8.5</v>
      </c>
    </row>
    <row r="93" spans="2:23" x14ac:dyDescent="0.25">
      <c r="B93" s="44"/>
      <c r="C93" s="3">
        <v>19</v>
      </c>
      <c r="D93" s="18">
        <f>D92+LL/20</f>
        <v>9</v>
      </c>
      <c r="F93" s="18">
        <f>-qG_1*La^2/2*(LL-D93)/LL+qG_1*(D93*(LL-D93))/2</f>
        <v>26.664762859840554</v>
      </c>
      <c r="G93" s="18">
        <f>+qG_1*La^2/2/LL+qG_1/2*(LL-2*D93)</f>
        <v>-23.372816827761472</v>
      </c>
      <c r="H93" s="17">
        <f>-qG_2*La^2/2*(LL-D93)/LL+qG_2*(D93*(LL-D93))/2</f>
        <v>10.125</v>
      </c>
      <c r="I93" s="17">
        <f>+qG_2*La^2/2/LL+qG_2/2*(LL-2*D93)</f>
        <v>-8.875</v>
      </c>
      <c r="J93" s="17">
        <f>-qQ*La^2/2*(LL-D93)/LL</f>
        <v>-6.75</v>
      </c>
      <c r="K93" s="17">
        <f>+qQ*La^2/2/LL</f>
        <v>6.75</v>
      </c>
      <c r="L93" s="17">
        <f>qQ*(D93*(LL-D93))/2</f>
        <v>67.5</v>
      </c>
      <c r="M93" s="17">
        <f>qQ/2*(LL-2*D93)</f>
        <v>-60</v>
      </c>
      <c r="N93" s="17">
        <f t="shared" si="2"/>
        <v>60.75</v>
      </c>
      <c r="O93" s="17">
        <f t="shared" si="3"/>
        <v>-53.25</v>
      </c>
      <c r="Q93" s="18">
        <f>GammaG*(F93+H93)+GammaQ*J93</f>
        <v>39.541179860784744</v>
      </c>
      <c r="R93" s="18">
        <f>GammaG*(G93+I93)+GammaQ*K93</f>
        <v>-33.409552717477986</v>
      </c>
      <c r="S93" s="18">
        <f>GammaG*(F93+H93)+GammaQ*L93</f>
        <v>150.91617986078475</v>
      </c>
      <c r="T93" s="18">
        <f>GammaG*(G93+I93)+GammaQ*M93</f>
        <v>-133.53455271747799</v>
      </c>
      <c r="U93" s="18">
        <f>GammaG*(F93+H93)+GammaQ*N93</f>
        <v>140.79117986078475</v>
      </c>
      <c r="V93" s="18">
        <f>GammaG*(G93+I93)+GammaQ*O93</f>
        <v>-123.40955271747799</v>
      </c>
      <c r="W93" s="18">
        <f>D93</f>
        <v>9</v>
      </c>
    </row>
    <row r="94" spans="2:23" x14ac:dyDescent="0.25">
      <c r="B94" s="44"/>
      <c r="C94" s="3">
        <v>20</v>
      </c>
      <c r="D94" s="18">
        <f>D93+LL/20</f>
        <v>9.5</v>
      </c>
      <c r="F94" s="18">
        <f>-qG_1*La^2/2*(LL-D94)/LL+qG_1*(D94*(LL-D94))/2</f>
        <v>14.155367937940046</v>
      </c>
      <c r="G94" s="18">
        <f>+qG_1*La^2/2/LL+qG_1/2*(LL-2*D94)</f>
        <v>-26.664762859840554</v>
      </c>
      <c r="H94" s="17">
        <f>-qG_2*La^2/2*(LL-D94)/LL+qG_2*(D94*(LL-D94))/2</f>
        <v>5.375</v>
      </c>
      <c r="I94" s="17">
        <f>+qG_2*La^2/2/LL+qG_2/2*(LL-2*D94)</f>
        <v>-10.125</v>
      </c>
      <c r="J94" s="17">
        <f>-qQ*La^2/2*(LL-D94)/LL</f>
        <v>-3.375</v>
      </c>
      <c r="K94" s="17">
        <f>+qQ*La^2/2/LL</f>
        <v>6.75</v>
      </c>
      <c r="L94" s="17">
        <f>qQ*(D94*(LL-D94))/2</f>
        <v>35.625</v>
      </c>
      <c r="M94" s="17">
        <f>qQ/2*(LL-2*D94)</f>
        <v>-67.5</v>
      </c>
      <c r="N94" s="17">
        <f t="shared" si="2"/>
        <v>32.25</v>
      </c>
      <c r="O94" s="17">
        <f t="shared" si="3"/>
        <v>-60.75</v>
      </c>
      <c r="Q94" s="18">
        <f>GammaG*(F94+H94)+GammaQ*J94</f>
        <v>21.303496716219062</v>
      </c>
      <c r="R94" s="18">
        <f>GammaG*(G94+I94)+GammaQ*K94</f>
        <v>-39.541179860784744</v>
      </c>
      <c r="S94" s="18">
        <f>GammaG*(F94+H94)+GammaQ*L94</f>
        <v>79.803496716219058</v>
      </c>
      <c r="T94" s="18">
        <f>GammaG*(G94+I94)+GammaQ*M94</f>
        <v>-150.91617986078475</v>
      </c>
      <c r="U94" s="18">
        <f>GammaG*(F94+H94)+GammaQ*N94</f>
        <v>74.740996716219058</v>
      </c>
      <c r="V94" s="18">
        <f>GammaG*(G94+I94)+GammaQ*O94</f>
        <v>-140.79117986078475</v>
      </c>
      <c r="W94" s="18">
        <f>D94</f>
        <v>9.5</v>
      </c>
    </row>
    <row r="95" spans="2:23" x14ac:dyDescent="0.25">
      <c r="B95" s="45"/>
      <c r="C95" s="3">
        <v>21</v>
      </c>
      <c r="D95" s="18">
        <f>D94+LL/20</f>
        <v>10</v>
      </c>
      <c r="F95" s="18">
        <f>-qG_1*La^2/2*(LL-D95)/LL+qG_1*(D95*(LL-D95))/2</f>
        <v>0</v>
      </c>
      <c r="G95" s="18">
        <f>+qG_1*La^2/2/LL+qG_1/2*(LL-2*D95)</f>
        <v>-29.956708891919632</v>
      </c>
      <c r="H95" s="17">
        <f>-qG_2*La^2/2*(LL-D95)/LL+qG_2*(D95*(LL-D95))/2</f>
        <v>0</v>
      </c>
      <c r="I95" s="17">
        <f>+qG_2*La^2/2/LL+qG_2/2*(LL-2*D95)</f>
        <v>-11.375</v>
      </c>
      <c r="J95" s="17">
        <f>-qQ*La^2/2*(LL-D95)/LL</f>
        <v>0</v>
      </c>
      <c r="K95" s="17">
        <f>+qQ*La^2/2/LL</f>
        <v>6.75</v>
      </c>
      <c r="L95" s="17">
        <f>qQ*(D95*(LL-D95))/2</f>
        <v>0</v>
      </c>
      <c r="M95" s="17">
        <f>qQ/2*(LL-2*D95)</f>
        <v>-75</v>
      </c>
      <c r="N95" s="17">
        <f t="shared" si="2"/>
        <v>0</v>
      </c>
      <c r="O95" s="17">
        <f t="shared" si="3"/>
        <v>-68.25</v>
      </c>
      <c r="Q95" s="18">
        <f>GammaG*(F95+H95)+GammaQ*J95</f>
        <v>0</v>
      </c>
      <c r="R95" s="18">
        <f>GammaG*(G95+I95)+GammaQ*K95</f>
        <v>-45.67280700409151</v>
      </c>
      <c r="S95" s="18">
        <f>GammaG*(F95+H95)+GammaQ*L95</f>
        <v>0</v>
      </c>
      <c r="T95" s="18">
        <f>GammaG*(G95+I95)+GammaQ*M95</f>
        <v>-168.29780700409151</v>
      </c>
      <c r="U95" s="18">
        <f>GammaG*(F95+H95)+GammaQ*N95</f>
        <v>0</v>
      </c>
      <c r="V95" s="18">
        <f>GammaG*(G95+I95)+GammaQ*O95</f>
        <v>-158.17280700409151</v>
      </c>
      <c r="W95" s="18">
        <f>D95</f>
        <v>10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J61"/>
  <sheetViews>
    <sheetView tabSelected="1" topLeftCell="A19" workbookViewId="0">
      <selection activeCell="I36" sqref="I36"/>
    </sheetView>
  </sheetViews>
  <sheetFormatPr baseColWidth="10" defaultRowHeight="15" x14ac:dyDescent="0.25"/>
  <sheetData>
    <row r="4" spans="3:6" x14ac:dyDescent="0.25">
      <c r="C4" s="2" t="s">
        <v>140</v>
      </c>
      <c r="D4" s="4">
        <v>19</v>
      </c>
      <c r="E4" t="s">
        <v>2</v>
      </c>
    </row>
    <row r="5" spans="3:6" x14ac:dyDescent="0.25">
      <c r="C5" s="2" t="s">
        <v>141</v>
      </c>
      <c r="D5" s="4">
        <v>100</v>
      </c>
      <c r="E5" t="s">
        <v>2</v>
      </c>
    </row>
    <row r="6" spans="3:6" x14ac:dyDescent="0.25">
      <c r="C6" s="2" t="s">
        <v>142</v>
      </c>
      <c r="D6" s="4">
        <v>450</v>
      </c>
      <c r="E6" t="s">
        <v>17</v>
      </c>
    </row>
    <row r="9" spans="3:6" x14ac:dyDescent="0.25">
      <c r="C9" s="15" t="s">
        <v>143</v>
      </c>
    </row>
    <row r="10" spans="3:6" x14ac:dyDescent="0.25">
      <c r="C10" s="15" t="s">
        <v>144</v>
      </c>
      <c r="D10" s="11">
        <f>0.8*Fusc*PI()*dsc^2/4000/GammaV</f>
        <v>81.656276252105897</v>
      </c>
      <c r="E10" t="s">
        <v>48</v>
      </c>
    </row>
    <row r="11" spans="3:6" x14ac:dyDescent="0.25">
      <c r="C11" s="15" t="s">
        <v>145</v>
      </c>
      <c r="D11" s="10">
        <f>0.29*dsc^2*SQRT(Fck*Ecm*1000)/GammaV/1000</f>
        <v>91.466238161992251</v>
      </c>
      <c r="E11" t="s">
        <v>48</v>
      </c>
    </row>
    <row r="12" spans="3:6" x14ac:dyDescent="0.25">
      <c r="C12" s="15" t="s">
        <v>149</v>
      </c>
      <c r="D12" s="10">
        <f>MIN(PRda,PRdc)</f>
        <v>81.656276252105897</v>
      </c>
      <c r="E12" t="s">
        <v>48</v>
      </c>
    </row>
    <row r="14" spans="3:6" x14ac:dyDescent="0.25">
      <c r="C14" s="15" t="s">
        <v>150</v>
      </c>
    </row>
    <row r="15" spans="3:6" x14ac:dyDescent="0.25">
      <c r="C15" s="58" t="s">
        <v>151</v>
      </c>
      <c r="D15" s="6" t="s">
        <v>152</v>
      </c>
      <c r="E15" s="6" t="s">
        <v>153</v>
      </c>
      <c r="F15" s="6" t="s">
        <v>152</v>
      </c>
    </row>
    <row r="16" spans="3:6" x14ac:dyDescent="0.25">
      <c r="C16" s="16">
        <v>1</v>
      </c>
      <c r="D16" s="23">
        <f>0.7/SQRT(C16)*bm/hbac*(hsc/hbac-1)</f>
        <v>0.71227705112960749</v>
      </c>
      <c r="E16" s="59">
        <v>0.75</v>
      </c>
      <c r="F16" s="23">
        <f>MIN(D16:E16)</f>
        <v>0.71227705112960749</v>
      </c>
    </row>
    <row r="17" spans="3:9" x14ac:dyDescent="0.25">
      <c r="C17" s="16">
        <v>2</v>
      </c>
      <c r="D17" s="23">
        <f>0.7/SQRT(C17)*bm/hbac*(hsc/hbac-1)</f>
        <v>0.5036559329373026</v>
      </c>
      <c r="E17" s="59">
        <v>0.6</v>
      </c>
      <c r="F17" s="23">
        <f>MIN(D17:E17)</f>
        <v>0.5036559329373026</v>
      </c>
    </row>
    <row r="20" spans="3:9" x14ac:dyDescent="0.25">
      <c r="C20" s="15" t="s">
        <v>154</v>
      </c>
    </row>
    <row r="21" spans="3:9" x14ac:dyDescent="0.25">
      <c r="C21" s="58" t="s">
        <v>151</v>
      </c>
      <c r="D21" s="6" t="s">
        <v>149</v>
      </c>
    </row>
    <row r="22" spans="3:9" x14ac:dyDescent="0.25">
      <c r="C22" s="16">
        <v>1</v>
      </c>
      <c r="D22" s="25">
        <f>F16*PRd_dp</f>
        <v>58.161891655074584</v>
      </c>
      <c r="E22" t="s">
        <v>48</v>
      </c>
    </row>
    <row r="23" spans="3:9" x14ac:dyDescent="0.25">
      <c r="C23" s="16">
        <v>2</v>
      </c>
      <c r="D23" s="25">
        <f>F17*PRd_dp</f>
        <v>41.126667995940501</v>
      </c>
      <c r="E23" t="s">
        <v>48</v>
      </c>
    </row>
    <row r="27" spans="3:9" x14ac:dyDescent="0.25">
      <c r="C27" t="s">
        <v>155</v>
      </c>
    </row>
    <row r="28" spans="3:9" x14ac:dyDescent="0.25">
      <c r="D28" s="17">
        <f>(La/ebac)*1000</f>
        <v>14.492753623188406</v>
      </c>
    </row>
    <row r="29" spans="3:9" x14ac:dyDescent="0.25">
      <c r="D29" s="6">
        <f>INT(D28)</f>
        <v>14</v>
      </c>
    </row>
    <row r="30" spans="3:9" x14ac:dyDescent="0.25">
      <c r="C30" s="1" t="s">
        <v>156</v>
      </c>
    </row>
    <row r="31" spans="3:9" x14ac:dyDescent="0.25">
      <c r="C31" s="58" t="s">
        <v>151</v>
      </c>
      <c r="D31" s="6" t="s">
        <v>157</v>
      </c>
    </row>
    <row r="32" spans="3:9" x14ac:dyDescent="0.25">
      <c r="C32" s="16">
        <v>1</v>
      </c>
      <c r="D32" s="25">
        <f>D29*D22/Ns</f>
        <v>1.1177528711950055</v>
      </c>
      <c r="F32" s="14">
        <f>Ns</f>
        <v>728.485253006329</v>
      </c>
      <c r="G32" t="s">
        <v>48</v>
      </c>
      <c r="H32" s="18">
        <f>D29*D22</f>
        <v>814.26648317104423</v>
      </c>
      <c r="I32" s="18">
        <f>D28*D22</f>
        <v>842.92596601557375</v>
      </c>
    </row>
    <row r="33" spans="3:10" x14ac:dyDescent="0.25">
      <c r="C33" s="16">
        <v>2</v>
      </c>
      <c r="D33" s="25">
        <f>D29*D23*C23/Ns</f>
        <v>1.5807412698254435</v>
      </c>
    </row>
    <row r="35" spans="3:10" x14ac:dyDescent="0.25">
      <c r="D35" s="6" t="s">
        <v>160</v>
      </c>
      <c r="E35" s="6" t="s">
        <v>151</v>
      </c>
      <c r="F35" s="16" t="s">
        <v>149</v>
      </c>
      <c r="G35" s="6" t="s">
        <v>161</v>
      </c>
    </row>
    <row r="36" spans="3:10" x14ac:dyDescent="0.25">
      <c r="C36" s="2" t="s">
        <v>158</v>
      </c>
      <c r="D36" s="6">
        <v>0</v>
      </c>
      <c r="E36" s="6">
        <v>2</v>
      </c>
      <c r="F36" s="24">
        <f>IF(E36=2,$D$23,$D$22)</f>
        <v>41.126667995940501</v>
      </c>
      <c r="G36" s="23">
        <f>F36*E36/(ebac/1000)</f>
        <v>397.35911107188895</v>
      </c>
      <c r="J36" s="13">
        <f>G36*D36</f>
        <v>0</v>
      </c>
    </row>
    <row r="37" spans="3:10" x14ac:dyDescent="0.25">
      <c r="C37" s="2" t="s">
        <v>159</v>
      </c>
      <c r="D37" s="6">
        <f>LL-D36</f>
        <v>10</v>
      </c>
      <c r="E37" s="6">
        <v>2</v>
      </c>
      <c r="F37" s="24">
        <f>IF(E37=2,$D$23,$D$22)</f>
        <v>41.126667995940501</v>
      </c>
      <c r="G37" s="23">
        <f>F37*E37/(ebac/1000)</f>
        <v>397.35911107188895</v>
      </c>
      <c r="J37" s="13">
        <f>G37*D37</f>
        <v>3973.5911107188895</v>
      </c>
    </row>
    <row r="40" spans="3:10" x14ac:dyDescent="0.25">
      <c r="C40" t="s">
        <v>162</v>
      </c>
    </row>
    <row r="41" spans="3:10" x14ac:dyDescent="0.25">
      <c r="C41" t="s">
        <v>163</v>
      </c>
    </row>
    <row r="42" spans="3:10" x14ac:dyDescent="0.25">
      <c r="D42" s="3" t="s">
        <v>164</v>
      </c>
      <c r="E42" s="3" t="s">
        <v>165</v>
      </c>
    </row>
    <row r="43" spans="3:10" x14ac:dyDescent="0.25">
      <c r="C43" s="2" t="s">
        <v>158</v>
      </c>
      <c r="D43" s="17">
        <f>MIN(Ns/G36,D36)</f>
        <v>0</v>
      </c>
      <c r="E43" s="17">
        <f>D36-D43</f>
        <v>0</v>
      </c>
    </row>
    <row r="44" spans="3:10" x14ac:dyDescent="0.25">
      <c r="C44" s="2" t="s">
        <v>159</v>
      </c>
      <c r="D44" s="17">
        <f>IF(Ns/G36&gt;D36,(Ns-G36*D36)/G37,0)</f>
        <v>1.8333170995908881</v>
      </c>
      <c r="E44" s="17">
        <f>D37-D44</f>
        <v>8.1666829004091124</v>
      </c>
    </row>
    <row r="48" spans="3:10" x14ac:dyDescent="0.25">
      <c r="C48" t="s">
        <v>166</v>
      </c>
    </row>
    <row r="50" spans="3:6" x14ac:dyDescent="0.25">
      <c r="C50" s="2" t="s">
        <v>167</v>
      </c>
      <c r="D50" s="3">
        <v>1</v>
      </c>
      <c r="E50" s="3">
        <v>2</v>
      </c>
      <c r="F50" s="3">
        <v>3</v>
      </c>
    </row>
    <row r="51" spans="3:6" x14ac:dyDescent="0.25">
      <c r="C51" s="2" t="s">
        <v>168</v>
      </c>
      <c r="D51" s="18">
        <f>MAX(Feuil1!Q75:Q95)</f>
        <v>84.742392008812487</v>
      </c>
      <c r="E51" s="18">
        <f>MAX(Feuil1!S75:S95)</f>
        <v>406.94835643778856</v>
      </c>
      <c r="F51" s="18">
        <f>MAX(Feuil1!U75:U95)</f>
        <v>359.79968186644987</v>
      </c>
    </row>
    <row r="52" spans="3:6" x14ac:dyDescent="0.25">
      <c r="C52" s="2" t="s">
        <v>169</v>
      </c>
      <c r="D52" s="3">
        <f>VLOOKUP(Connexion!D51,Feuil1!Q75:W95,7,FALSE)</f>
        <v>6.5</v>
      </c>
      <c r="E52" s="3">
        <f>VLOOKUP(Connexion!E51,Feuil1!S75:W95,5,FALSE)</f>
        <v>5</v>
      </c>
      <c r="F52" s="3">
        <f>VLOOKUP(Connexion!F51,Feuil1!U75:W95,3,FALSE)</f>
        <v>5.5</v>
      </c>
    </row>
    <row r="53" spans="3:6" x14ac:dyDescent="0.25">
      <c r="C53" s="2" t="s">
        <v>170</v>
      </c>
      <c r="D53" s="18">
        <f>($D$36-$D$43)*$G$36+(D52-$D$36-$D$44)*$G$37</f>
        <v>1854.3489689609494</v>
      </c>
      <c r="E53" s="18">
        <f t="shared" ref="E53:F53" si="0">($D$36-$D$43)*$G$36+(E52-$D$36-$D$44)*$G$37</f>
        <v>1258.3103023531157</v>
      </c>
      <c r="F53" s="18">
        <f t="shared" si="0"/>
        <v>1456.9898578890602</v>
      </c>
    </row>
    <row r="54" spans="3:6" x14ac:dyDescent="0.25">
      <c r="C54" s="2" t="s">
        <v>171</v>
      </c>
      <c r="D54" s="18">
        <f>(LL-D52)*$G$37</f>
        <v>1390.7568887516113</v>
      </c>
      <c r="E54" s="18">
        <f>(LL-E52)*$G$37</f>
        <v>1986.7955553594447</v>
      </c>
      <c r="F54" s="18">
        <f>(LL-F52)*$G$37</f>
        <v>1788.1159998235003</v>
      </c>
    </row>
    <row r="55" spans="3:6" x14ac:dyDescent="0.25">
      <c r="C55" s="2" t="s">
        <v>172</v>
      </c>
      <c r="D55" s="18">
        <f>MIN(D53:D54)</f>
        <v>1390.7568887516113</v>
      </c>
      <c r="E55" s="18">
        <f t="shared" ref="E55:F55" si="1">MIN(E53:E54)</f>
        <v>1258.3103023531157</v>
      </c>
      <c r="F55" s="18">
        <f t="shared" si="1"/>
        <v>1456.9898578890602</v>
      </c>
    </row>
    <row r="56" spans="3:6" x14ac:dyDescent="0.25">
      <c r="C56" s="2"/>
      <c r="D56" s="3"/>
      <c r="E56" s="3"/>
      <c r="F56" s="3"/>
    </row>
    <row r="57" spans="3:6" x14ac:dyDescent="0.25">
      <c r="C57" s="2" t="s">
        <v>47</v>
      </c>
      <c r="D57" s="13">
        <f>Feuil1!O24</f>
        <v>2581.8880129841023</v>
      </c>
      <c r="E57" s="61" t="s">
        <v>48</v>
      </c>
      <c r="F57" s="3"/>
    </row>
    <row r="58" spans="3:6" x14ac:dyDescent="0.25">
      <c r="C58" s="2" t="s">
        <v>43</v>
      </c>
      <c r="D58" s="3">
        <f>Nc</f>
        <v>3034.4999999999995</v>
      </c>
      <c r="E58" s="61" t="s">
        <v>48</v>
      </c>
      <c r="F58" s="3"/>
    </row>
    <row r="59" spans="3:6" x14ac:dyDescent="0.25">
      <c r="C59" s="2" t="s">
        <v>133</v>
      </c>
      <c r="D59" s="62">
        <f>D55/MIN($D$57:$D$58)</f>
        <v>0.53865887356756348</v>
      </c>
      <c r="E59" s="62">
        <f t="shared" ref="E59:F59" si="2">E55/MIN($D$57:$D$58)</f>
        <v>0.48736052688001058</v>
      </c>
      <c r="F59" s="62">
        <f t="shared" si="2"/>
        <v>0.56431179453251967</v>
      </c>
    </row>
    <row r="60" spans="3:6" x14ac:dyDescent="0.25">
      <c r="C60" s="2"/>
      <c r="D60" s="3"/>
      <c r="E60" s="3"/>
      <c r="F60" s="3"/>
    </row>
    <row r="61" spans="3:6" x14ac:dyDescent="0.25">
      <c r="C61" s="15" t="s">
        <v>173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74</vt:i4>
      </vt:variant>
    </vt:vector>
  </HeadingPairs>
  <TitlesOfParts>
    <vt:vector size="76" baseType="lpstr">
      <vt:lpstr>Feuil1</vt:lpstr>
      <vt:lpstr>Connexion</vt:lpstr>
      <vt:lpstr>AireA</vt:lpstr>
      <vt:lpstr>As</vt:lpstr>
      <vt:lpstr>Av</vt:lpstr>
      <vt:lpstr>Avmin</vt:lpstr>
      <vt:lpstr>b</vt:lpstr>
      <vt:lpstr>bb</vt:lpstr>
      <vt:lpstr>beff_1</vt:lpstr>
      <vt:lpstr>beff_a</vt:lpstr>
      <vt:lpstr>bm</vt:lpstr>
      <vt:lpstr>bt</vt:lpstr>
      <vt:lpstr>c_z</vt:lpstr>
      <vt:lpstr>d</vt:lpstr>
      <vt:lpstr>dsc</vt:lpstr>
      <vt:lpstr>dw</vt:lpstr>
      <vt:lpstr>e_s</vt:lpstr>
      <vt:lpstr>ebac</vt:lpstr>
      <vt:lpstr>Ecm</vt:lpstr>
      <vt:lpstr>Eta</vt:lpstr>
      <vt:lpstr>Ey</vt:lpstr>
      <vt:lpstr>Fck</vt:lpstr>
      <vt:lpstr>Fcm</vt:lpstr>
      <vt:lpstr>Fsk</vt:lpstr>
      <vt:lpstr>Fusc</vt:lpstr>
      <vt:lpstr>Fy</vt:lpstr>
      <vt:lpstr>fybac</vt:lpstr>
      <vt:lpstr>g</vt:lpstr>
      <vt:lpstr>GammaC</vt:lpstr>
      <vt:lpstr>GammaG</vt:lpstr>
      <vt:lpstr>GammaM0</vt:lpstr>
      <vt:lpstr>GammaM1</vt:lpstr>
      <vt:lpstr>GammaQ</vt:lpstr>
      <vt:lpstr>GammaS</vt:lpstr>
      <vt:lpstr>GammaV</vt:lpstr>
      <vt:lpstr>hbac</vt:lpstr>
      <vt:lpstr>hsc</vt:lpstr>
      <vt:lpstr>Ht</vt:lpstr>
      <vt:lpstr>hw</vt:lpstr>
      <vt:lpstr>kC</vt:lpstr>
      <vt:lpstr>La</vt:lpstr>
      <vt:lpstr>Le_1</vt:lpstr>
      <vt:lpstr>Le_a</vt:lpstr>
      <vt:lpstr>LL</vt:lpstr>
      <vt:lpstr>MplRd_1</vt:lpstr>
      <vt:lpstr>MplRd_app</vt:lpstr>
      <vt:lpstr>mubac</vt:lpstr>
      <vt:lpstr>Na</vt:lpstr>
      <vt:lpstr>Nc</vt:lpstr>
      <vt:lpstr>Nf</vt:lpstr>
      <vt:lpstr>non</vt:lpstr>
      <vt:lpstr>Nr</vt:lpstr>
      <vt:lpstr>Ns</vt:lpstr>
      <vt:lpstr>Nu</vt:lpstr>
      <vt:lpstr>Nw</vt:lpstr>
      <vt:lpstr>oui</vt:lpstr>
      <vt:lpstr>p_1</vt:lpstr>
      <vt:lpstr>p_w</vt:lpstr>
      <vt:lpstr>PhiS</vt:lpstr>
      <vt:lpstr>PRd_dp</vt:lpstr>
      <vt:lpstr>PRda</vt:lpstr>
      <vt:lpstr>PRdc</vt:lpstr>
      <vt:lpstr>qG_1</vt:lpstr>
      <vt:lpstr>qG_2</vt:lpstr>
      <vt:lpstr>qQ</vt:lpstr>
      <vt:lpstr>RhoA</vt:lpstr>
      <vt:lpstr>RhoC</vt:lpstr>
      <vt:lpstr>rr</vt:lpstr>
      <vt:lpstr>tbac</vt:lpstr>
      <vt:lpstr>tc</vt:lpstr>
      <vt:lpstr>td</vt:lpstr>
      <vt:lpstr>tf</vt:lpstr>
      <vt:lpstr>tw</vt:lpstr>
      <vt:lpstr>VplRd</vt:lpstr>
      <vt:lpstr>zn</vt:lpstr>
      <vt:lpstr>zR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Olivier MARTIN</dc:creator>
  <cp:lastModifiedBy>Pierre Olivier MARTIN</cp:lastModifiedBy>
  <dcterms:created xsi:type="dcterms:W3CDTF">2024-08-19T12:52:23Z</dcterms:created>
  <dcterms:modified xsi:type="dcterms:W3CDTF">2024-08-22T07:25:06Z</dcterms:modified>
</cp:coreProperties>
</file>