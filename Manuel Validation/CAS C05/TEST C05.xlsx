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Manuel Validation\CAS C05\"/>
    </mc:Choice>
  </mc:AlternateContent>
  <bookViews>
    <workbookView xWindow="0" yWindow="0" windowWidth="28800" windowHeight="12300" activeTab="1"/>
  </bookViews>
  <sheets>
    <sheet name="Feuil1" sheetId="1" r:id="rId1"/>
    <sheet name="Connexion" sheetId="2" r:id="rId2"/>
  </sheets>
  <definedNames>
    <definedName name="AireA">Feuil1!$E$16</definedName>
    <definedName name="As">Feuil1!$O$26</definedName>
    <definedName name="Av">Feuil1!$E$20</definedName>
    <definedName name="Avmin">Feuil1!$J$36</definedName>
    <definedName name="b">Feuil1!$E$12</definedName>
    <definedName name="bb">Feuil1!$E$27</definedName>
    <definedName name="beff_1">Feuil1!$O$4</definedName>
    <definedName name="beff_a">Feuil1!$O$5</definedName>
    <definedName name="bm">Feuil1!$E$32</definedName>
    <definedName name="bt">Feuil1!$E$28</definedName>
    <definedName name="c_z">Feuil1!$E$41</definedName>
    <definedName name="d">Feuil1!$E$6</definedName>
    <definedName name="dsc">Connexion!$D$4</definedName>
    <definedName name="dw">Feuil1!$E$19</definedName>
    <definedName name="e_s">Feuil1!$E$40</definedName>
    <definedName name="ebac">Feuil1!$E$26</definedName>
    <definedName name="Ecm">Feuil1!$J$9</definedName>
    <definedName name="Eta">Feuil1!$J$35</definedName>
    <definedName name="Ey">Feuil1!$J$6</definedName>
    <definedName name="Fck">Feuil1!$J$7</definedName>
    <definedName name="Fcm">Feuil1!$J$10</definedName>
    <definedName name="Fsk">Feuil1!$J$8</definedName>
    <definedName name="Fusc">Connexion!$D$6</definedName>
    <definedName name="Fy">Feuil1!$J$4</definedName>
    <definedName name="fybac">Feuil1!$E$30</definedName>
    <definedName name="g">Feuil1!$J$28</definedName>
    <definedName name="GammaC">Feuil1!$J$16</definedName>
    <definedName name="GammaG">Feuil1!$J$20</definedName>
    <definedName name="GammaM0">Feuil1!$J$14</definedName>
    <definedName name="GammaM1">Feuil1!$J$15</definedName>
    <definedName name="GammaQ">Feuil1!$J$21</definedName>
    <definedName name="GammaS">Feuil1!$J$17</definedName>
    <definedName name="GammaV">Feuil1!$J$18</definedName>
    <definedName name="hbac">Feuil1!$E$25</definedName>
    <definedName name="hsc">Connexion!$D$5</definedName>
    <definedName name="Ht">Feuil1!$E$11</definedName>
    <definedName name="hw">Feuil1!$E$18</definedName>
    <definedName name="kC">Feuil1!$O$53</definedName>
    <definedName name="La">Feuil1!$E$5</definedName>
    <definedName name="Le">Connexion!$H$60</definedName>
    <definedName name="Le_1">Feuil1!$O$7</definedName>
    <definedName name="Le_a">Feuil1!$O$8</definedName>
    <definedName name="LL">Feuil1!$E$4</definedName>
    <definedName name="MplaRd">Connexion!$M$78</definedName>
    <definedName name="MplRd_1">Feuil1!$O$19</definedName>
    <definedName name="MplRd_app">Feuil1!$O$37</definedName>
    <definedName name="mubac">Feuil1!$E$31</definedName>
    <definedName name="Na">Feuil1!$O$15</definedName>
    <definedName name="Nc">Feuil1!$O$14</definedName>
    <definedName name="Nf">Feuil1!$O$29</definedName>
    <definedName name="non">Feuil1!$T$3</definedName>
    <definedName name="Nr">Feuil1!$O$30</definedName>
    <definedName name="Ns">Feuil1!$O$25</definedName>
    <definedName name="Nu">Feuil1!$J$5</definedName>
    <definedName name="Nw">Feuil1!$O$31</definedName>
    <definedName name="oui">Feuil1!$T$2</definedName>
    <definedName name="p_1">Feuil1!$O$40</definedName>
    <definedName name="p_w">Feuil1!$R$40</definedName>
    <definedName name="PhiS">Feuil1!$E$39</definedName>
    <definedName name="PRd_dp">Connexion!$D$12</definedName>
    <definedName name="PRda">Connexion!$D$10</definedName>
    <definedName name="PRdc">Connexion!$D$11</definedName>
    <definedName name="qG_1">Feuil1!$E$56</definedName>
    <definedName name="qG_2">Feuil1!$E$57</definedName>
    <definedName name="qQ">Feuil1!$E$58</definedName>
    <definedName name="RhoA">Feuil1!$J$26</definedName>
    <definedName name="RhoC">Feuil1!$J$27</definedName>
    <definedName name="rr">Feuil1!$E$15</definedName>
    <definedName name="tbac">Feuil1!$E$29</definedName>
    <definedName name="tc">Feuil1!$E$37</definedName>
    <definedName name="td">Feuil1!$E$36</definedName>
    <definedName name="tf">Feuil1!$E$13</definedName>
    <definedName name="tw">Feuil1!$E$14</definedName>
    <definedName name="VplRd">Feuil1!$J$37</definedName>
    <definedName name="Wpl">Feuil1!$E$21</definedName>
    <definedName name="zn">Feuil1!$O$17</definedName>
    <definedName name="zR">Feuil1!$O$52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4" i="2" l="1"/>
  <c r="J134" i="2"/>
  <c r="H134" i="2"/>
  <c r="E131" i="2"/>
  <c r="F131" i="2"/>
  <c r="G131" i="2"/>
  <c r="H131" i="2"/>
  <c r="I131" i="2"/>
  <c r="J131" i="2"/>
  <c r="K131" i="2"/>
  <c r="L131" i="2"/>
  <c r="E130" i="2"/>
  <c r="F130" i="2"/>
  <c r="G130" i="2"/>
  <c r="H130" i="2"/>
  <c r="I130" i="2"/>
  <c r="J130" i="2" s="1"/>
  <c r="K130" i="2"/>
  <c r="L130" i="2"/>
  <c r="E125" i="2"/>
  <c r="F125" i="2"/>
  <c r="G125" i="2"/>
  <c r="H125" i="2"/>
  <c r="I125" i="2"/>
  <c r="J125" i="2"/>
  <c r="K125" i="2"/>
  <c r="L125" i="2"/>
  <c r="E126" i="2"/>
  <c r="F126" i="2"/>
  <c r="G126" i="2"/>
  <c r="H126" i="2"/>
  <c r="I126" i="2"/>
  <c r="J126" i="2"/>
  <c r="K126" i="2"/>
  <c r="L126" i="2"/>
  <c r="E127" i="2"/>
  <c r="F127" i="2"/>
  <c r="G127" i="2"/>
  <c r="H127" i="2"/>
  <c r="I127" i="2"/>
  <c r="J127" i="2"/>
  <c r="K127" i="2"/>
  <c r="L127" i="2"/>
  <c r="E128" i="2"/>
  <c r="F128" i="2"/>
  <c r="G128" i="2"/>
  <c r="H128" i="2"/>
  <c r="I128" i="2"/>
  <c r="J128" i="2"/>
  <c r="K128" i="2"/>
  <c r="L128" i="2"/>
  <c r="E129" i="2"/>
  <c r="F129" i="2"/>
  <c r="G129" i="2"/>
  <c r="H129" i="2"/>
  <c r="I129" i="2"/>
  <c r="J129" i="2"/>
  <c r="K129" i="2"/>
  <c r="L129" i="2"/>
  <c r="E112" i="2"/>
  <c r="F112" i="2"/>
  <c r="G112" i="2"/>
  <c r="H112" i="2"/>
  <c r="I112" i="2"/>
  <c r="J112" i="2" s="1"/>
  <c r="K112" i="2"/>
  <c r="L112" i="2"/>
  <c r="E113" i="2"/>
  <c r="F113" i="2"/>
  <c r="G113" i="2"/>
  <c r="H113" i="2"/>
  <c r="I113" i="2"/>
  <c r="J113" i="2" s="1"/>
  <c r="K113" i="2"/>
  <c r="L113" i="2"/>
  <c r="E114" i="2"/>
  <c r="F114" i="2"/>
  <c r="G114" i="2"/>
  <c r="H114" i="2"/>
  <c r="I114" i="2"/>
  <c r="J114" i="2" s="1"/>
  <c r="K114" i="2"/>
  <c r="L114" i="2"/>
  <c r="E115" i="2"/>
  <c r="F115" i="2"/>
  <c r="G115" i="2"/>
  <c r="H115" i="2"/>
  <c r="I115" i="2"/>
  <c r="J115" i="2" s="1"/>
  <c r="K115" i="2"/>
  <c r="L115" i="2"/>
  <c r="E116" i="2"/>
  <c r="F116" i="2"/>
  <c r="G116" i="2"/>
  <c r="H116" i="2"/>
  <c r="I116" i="2"/>
  <c r="J116" i="2" s="1"/>
  <c r="K116" i="2"/>
  <c r="L116" i="2"/>
  <c r="E117" i="2"/>
  <c r="F117" i="2"/>
  <c r="G117" i="2"/>
  <c r="H117" i="2"/>
  <c r="I117" i="2"/>
  <c r="J117" i="2" s="1"/>
  <c r="K117" i="2"/>
  <c r="L117" i="2"/>
  <c r="E118" i="2"/>
  <c r="F118" i="2"/>
  <c r="G118" i="2"/>
  <c r="H118" i="2"/>
  <c r="I118" i="2"/>
  <c r="J118" i="2" s="1"/>
  <c r="K118" i="2"/>
  <c r="L118" i="2"/>
  <c r="E119" i="2"/>
  <c r="F119" i="2"/>
  <c r="G119" i="2"/>
  <c r="H119" i="2"/>
  <c r="I119" i="2"/>
  <c r="J119" i="2" s="1"/>
  <c r="K119" i="2"/>
  <c r="L119" i="2"/>
  <c r="E120" i="2"/>
  <c r="F120" i="2"/>
  <c r="G120" i="2"/>
  <c r="H120" i="2"/>
  <c r="I120" i="2"/>
  <c r="J120" i="2" s="1"/>
  <c r="K120" i="2"/>
  <c r="L120" i="2"/>
  <c r="E121" i="2"/>
  <c r="F121" i="2"/>
  <c r="G121" i="2"/>
  <c r="H121" i="2"/>
  <c r="I121" i="2"/>
  <c r="J121" i="2" s="1"/>
  <c r="K121" i="2"/>
  <c r="L121" i="2"/>
  <c r="E122" i="2"/>
  <c r="F122" i="2"/>
  <c r="G122" i="2"/>
  <c r="H122" i="2"/>
  <c r="I122" i="2"/>
  <c r="J122" i="2" s="1"/>
  <c r="K122" i="2"/>
  <c r="L122" i="2"/>
  <c r="E123" i="2"/>
  <c r="F123" i="2"/>
  <c r="G123" i="2"/>
  <c r="H123" i="2"/>
  <c r="I123" i="2"/>
  <c r="J123" i="2" s="1"/>
  <c r="K123" i="2"/>
  <c r="L123" i="2"/>
  <c r="E124" i="2"/>
  <c r="F124" i="2"/>
  <c r="G124" i="2"/>
  <c r="H124" i="2"/>
  <c r="I124" i="2"/>
  <c r="J124" i="2" s="1"/>
  <c r="K124" i="2"/>
  <c r="L124" i="2"/>
  <c r="F111" i="2"/>
  <c r="E111" i="2"/>
  <c r="L111" i="2"/>
  <c r="J111" i="2"/>
  <c r="H111" i="2"/>
  <c r="K111" i="2"/>
  <c r="I111" i="2"/>
  <c r="G111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84" i="2"/>
  <c r="S85" i="2"/>
  <c r="S86" i="2"/>
  <c r="S87" i="2"/>
  <c r="S88" i="2"/>
  <c r="S89" i="2"/>
  <c r="T89" i="2" s="1"/>
  <c r="S90" i="2"/>
  <c r="T90" i="2" s="1"/>
  <c r="S91" i="2"/>
  <c r="S92" i="2"/>
  <c r="T92" i="2" s="1"/>
  <c r="S93" i="2"/>
  <c r="S94" i="2"/>
  <c r="S95" i="2"/>
  <c r="S96" i="2"/>
  <c r="S97" i="2"/>
  <c r="T97" i="2" s="1"/>
  <c r="S98" i="2"/>
  <c r="T98" i="2" s="1"/>
  <c r="S99" i="2"/>
  <c r="S100" i="2"/>
  <c r="T100" i="2" s="1"/>
  <c r="S101" i="2"/>
  <c r="S102" i="2"/>
  <c r="S103" i="2"/>
  <c r="S104" i="2"/>
  <c r="S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84" i="2"/>
  <c r="T85" i="2"/>
  <c r="T86" i="2"/>
  <c r="T87" i="2"/>
  <c r="T88" i="2"/>
  <c r="T91" i="2"/>
  <c r="T93" i="2"/>
  <c r="T94" i="2"/>
  <c r="T95" i="2"/>
  <c r="T96" i="2"/>
  <c r="T99" i="2"/>
  <c r="T101" i="2"/>
  <c r="T102" i="2"/>
  <c r="T103" i="2"/>
  <c r="T104" i="2"/>
  <c r="T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84" i="2"/>
  <c r="M78" i="2"/>
  <c r="B10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84" i="2"/>
  <c r="C84" i="2"/>
  <c r="D84" i="2" s="1"/>
  <c r="H60" i="2"/>
  <c r="D60" i="2"/>
  <c r="E57" i="1" l="1"/>
  <c r="E58" i="1"/>
  <c r="W75" i="1" l="1"/>
  <c r="D37" i="2"/>
  <c r="D28" i="2"/>
  <c r="D29" i="2" s="1"/>
  <c r="J9" i="1"/>
  <c r="D11" i="2" s="1"/>
  <c r="J10" i="1"/>
  <c r="D10" i="2"/>
  <c r="Y35" i="1" a="1"/>
  <c r="X35" i="1" a="1"/>
  <c r="W35" i="1" a="1"/>
  <c r="Y34" i="1" a="1"/>
  <c r="X34" i="1" a="1"/>
  <c r="W34" i="1" a="1"/>
  <c r="E20" i="1"/>
  <c r="D76" i="1"/>
  <c r="E74" i="1"/>
  <c r="D73" i="1"/>
  <c r="E73" i="1" s="1"/>
  <c r="D64" i="1"/>
  <c r="E64" i="1" s="1"/>
  <c r="M76" i="1"/>
  <c r="H76" i="1"/>
  <c r="E32" i="1"/>
  <c r="D17" i="2" s="1"/>
  <c r="F17" i="2" s="1"/>
  <c r="E54" i="1"/>
  <c r="O53" i="1"/>
  <c r="O52" i="1" s="1"/>
  <c r="E18" i="1"/>
  <c r="E19" i="1" s="1"/>
  <c r="O31" i="1" s="1"/>
  <c r="O29" i="1"/>
  <c r="D66" i="2" s="1"/>
  <c r="E16" i="1"/>
  <c r="O15" i="1" s="1"/>
  <c r="O8" i="1"/>
  <c r="O5" i="1" s="1"/>
  <c r="O27" i="1" s="1"/>
  <c r="O26" i="1" s="1"/>
  <c r="O25" i="1" s="1"/>
  <c r="R40" i="1" s="1"/>
  <c r="O7" i="1"/>
  <c r="O4" i="1" s="1"/>
  <c r="E37" i="1"/>
  <c r="E55" i="1" s="1"/>
  <c r="D65" i="2" l="1"/>
  <c r="I66" i="2"/>
  <c r="W76" i="1"/>
  <c r="C85" i="2"/>
  <c r="D85" i="2" s="1"/>
  <c r="Q8" i="1"/>
  <c r="F32" i="2"/>
  <c r="D16" i="2"/>
  <c r="F16" i="2" s="1"/>
  <c r="D22" i="2" s="1"/>
  <c r="D12" i="2"/>
  <c r="D23" i="2" s="1"/>
  <c r="J36" i="1"/>
  <c r="J37" i="1" s="1"/>
  <c r="K94" i="1"/>
  <c r="D72" i="1"/>
  <c r="D71" i="1" s="1"/>
  <c r="H71" i="1" s="1"/>
  <c r="K90" i="1"/>
  <c r="K74" i="1"/>
  <c r="O74" i="1" s="1"/>
  <c r="J75" i="1"/>
  <c r="K86" i="1"/>
  <c r="J76" i="1"/>
  <c r="K82" i="1"/>
  <c r="K78" i="1"/>
  <c r="J64" i="1"/>
  <c r="E72" i="1"/>
  <c r="H64" i="1"/>
  <c r="I64" i="1"/>
  <c r="K73" i="1"/>
  <c r="O73" i="1" s="1"/>
  <c r="L76" i="1"/>
  <c r="I75" i="1"/>
  <c r="K93" i="1"/>
  <c r="K85" i="1"/>
  <c r="K77" i="1"/>
  <c r="H74" i="1"/>
  <c r="I74" i="1"/>
  <c r="K92" i="1"/>
  <c r="K84" i="1"/>
  <c r="K76" i="1"/>
  <c r="O76" i="1" s="1"/>
  <c r="H73" i="1"/>
  <c r="I73" i="1"/>
  <c r="K91" i="1"/>
  <c r="K83" i="1"/>
  <c r="M75" i="1"/>
  <c r="H75" i="1"/>
  <c r="D77" i="1"/>
  <c r="C86" i="2" s="1"/>
  <c r="D86" i="2" s="1"/>
  <c r="J74" i="1"/>
  <c r="N74" i="1" s="1"/>
  <c r="L75" i="1"/>
  <c r="I76" i="1"/>
  <c r="K89" i="1"/>
  <c r="K81" i="1"/>
  <c r="I72" i="1"/>
  <c r="J73" i="1"/>
  <c r="N73" i="1" s="1"/>
  <c r="K75" i="1"/>
  <c r="K88" i="1"/>
  <c r="K80" i="1"/>
  <c r="H72" i="1"/>
  <c r="J72" i="1"/>
  <c r="N72" i="1" s="1"/>
  <c r="K64" i="1"/>
  <c r="K95" i="1"/>
  <c r="K87" i="1"/>
  <c r="K79" i="1"/>
  <c r="E53" i="1"/>
  <c r="E56" i="1" s="1"/>
  <c r="O30" i="1"/>
  <c r="R48" i="1" s="1"/>
  <c r="R50" i="1"/>
  <c r="R44" i="1"/>
  <c r="R45" i="1"/>
  <c r="O36" i="1"/>
  <c r="O40" i="1"/>
  <c r="O33" i="1"/>
  <c r="O34" i="1"/>
  <c r="O35" i="1"/>
  <c r="O14" i="1"/>
  <c r="O24" i="1"/>
  <c r="D57" i="2" s="1"/>
  <c r="E17" i="1"/>
  <c r="O64" i="1" l="1"/>
  <c r="O17" i="1"/>
  <c r="O19" i="1" s="1"/>
  <c r="D64" i="2"/>
  <c r="D58" i="2"/>
  <c r="N64" i="1"/>
  <c r="I32" i="2"/>
  <c r="H32" i="2"/>
  <c r="F36" i="2"/>
  <c r="G36" i="2" s="1"/>
  <c r="J36" i="2" s="1"/>
  <c r="D33" i="2"/>
  <c r="H77" i="1"/>
  <c r="W77" i="1"/>
  <c r="D32" i="2"/>
  <c r="F37" i="2"/>
  <c r="G37" i="2" s="1"/>
  <c r="J37" i="2" s="1"/>
  <c r="K72" i="1"/>
  <c r="O72" i="1" s="1"/>
  <c r="N75" i="1"/>
  <c r="O75" i="1"/>
  <c r="M77" i="1"/>
  <c r="O77" i="1" s="1"/>
  <c r="J77" i="1"/>
  <c r="I71" i="1"/>
  <c r="K71" i="1"/>
  <c r="O71" i="1" s="1"/>
  <c r="N76" i="1"/>
  <c r="D78" i="1"/>
  <c r="C87" i="2" s="1"/>
  <c r="D87" i="2" s="1"/>
  <c r="L77" i="1"/>
  <c r="D70" i="1"/>
  <c r="G70" i="1" s="1"/>
  <c r="E71" i="1"/>
  <c r="J71" i="1"/>
  <c r="N71" i="1" s="1"/>
  <c r="G77" i="1"/>
  <c r="G74" i="1"/>
  <c r="F74" i="1"/>
  <c r="G64" i="1"/>
  <c r="F64" i="1"/>
  <c r="F76" i="1"/>
  <c r="F77" i="1"/>
  <c r="G75" i="1"/>
  <c r="G71" i="1"/>
  <c r="F71" i="1"/>
  <c r="G72" i="1"/>
  <c r="F75" i="1"/>
  <c r="F72" i="1"/>
  <c r="G76" i="1"/>
  <c r="G73" i="1"/>
  <c r="F73" i="1"/>
  <c r="I77" i="1"/>
  <c r="R46" i="1"/>
  <c r="R49" i="1"/>
  <c r="R47" i="1"/>
  <c r="O44" i="1"/>
  <c r="O45" i="1"/>
  <c r="O50" i="1"/>
  <c r="O49" i="1"/>
  <c r="O48" i="1"/>
  <c r="O47" i="1"/>
  <c r="O46" i="1"/>
  <c r="D43" i="2" l="1"/>
  <c r="D44" i="2"/>
  <c r="E43" i="2"/>
  <c r="G78" i="1"/>
  <c r="W78" i="1"/>
  <c r="F78" i="1"/>
  <c r="N77" i="1"/>
  <c r="U77" i="1" s="1"/>
  <c r="S73" i="1"/>
  <c r="Q73" i="1"/>
  <c r="U73" i="1"/>
  <c r="S72" i="1"/>
  <c r="U72" i="1"/>
  <c r="Q72" i="1"/>
  <c r="S77" i="1"/>
  <c r="Q77" i="1"/>
  <c r="V64" i="1"/>
  <c r="T64" i="1"/>
  <c r="R64" i="1"/>
  <c r="S71" i="1"/>
  <c r="U71" i="1"/>
  <c r="Q71" i="1"/>
  <c r="S75" i="1"/>
  <c r="U75" i="1"/>
  <c r="Q75" i="1"/>
  <c r="R74" i="1"/>
  <c r="T74" i="1"/>
  <c r="V74" i="1"/>
  <c r="R42" i="1"/>
  <c r="P36" i="1" s="1"/>
  <c r="T71" i="1"/>
  <c r="V71" i="1"/>
  <c r="R71" i="1"/>
  <c r="D79" i="1"/>
  <c r="J78" i="1"/>
  <c r="L78" i="1"/>
  <c r="H78" i="1"/>
  <c r="I78" i="1"/>
  <c r="M78" i="1"/>
  <c r="O78" i="1" s="1"/>
  <c r="T73" i="1"/>
  <c r="R73" i="1"/>
  <c r="V73" i="1"/>
  <c r="T72" i="1"/>
  <c r="V72" i="1"/>
  <c r="R72" i="1"/>
  <c r="U64" i="1"/>
  <c r="S64" i="1"/>
  <c r="Q64" i="1"/>
  <c r="D69" i="1"/>
  <c r="E70" i="1"/>
  <c r="K70" i="1"/>
  <c r="O70" i="1" s="1"/>
  <c r="J70" i="1"/>
  <c r="N70" i="1" s="1"/>
  <c r="I70" i="1"/>
  <c r="H70" i="1"/>
  <c r="T75" i="1"/>
  <c r="V75" i="1"/>
  <c r="R75" i="1"/>
  <c r="S76" i="1"/>
  <c r="U76" i="1"/>
  <c r="Q76" i="1"/>
  <c r="T76" i="1"/>
  <c r="V76" i="1"/>
  <c r="R76" i="1"/>
  <c r="F70" i="1"/>
  <c r="Q74" i="1"/>
  <c r="S74" i="1"/>
  <c r="U74" i="1"/>
  <c r="T77" i="1"/>
  <c r="R77" i="1"/>
  <c r="V77" i="1"/>
  <c r="O42" i="1"/>
  <c r="P34" i="1" s="1"/>
  <c r="O37" i="1" s="1" a="1"/>
  <c r="O37" i="1" s="1"/>
  <c r="W79" i="1" l="1"/>
  <c r="C88" i="2"/>
  <c r="D88" i="2" s="1"/>
  <c r="E85" i="2"/>
  <c r="E86" i="2"/>
  <c r="E84" i="2"/>
  <c r="I84" i="2" s="1"/>
  <c r="E87" i="2"/>
  <c r="E88" i="2"/>
  <c r="E44" i="2"/>
  <c r="R70" i="1"/>
  <c r="S78" i="1"/>
  <c r="V78" i="1"/>
  <c r="Q78" i="1"/>
  <c r="T78" i="1"/>
  <c r="R78" i="1"/>
  <c r="D80" i="1"/>
  <c r="H79" i="1"/>
  <c r="L79" i="1"/>
  <c r="M79" i="1"/>
  <c r="O79" i="1" s="1"/>
  <c r="J79" i="1"/>
  <c r="I79" i="1"/>
  <c r="F79" i="1"/>
  <c r="G79" i="1"/>
  <c r="V70" i="1"/>
  <c r="D68" i="1"/>
  <c r="E69" i="1"/>
  <c r="J69" i="1"/>
  <c r="N69" i="1" s="1"/>
  <c r="I69" i="1"/>
  <c r="H69" i="1"/>
  <c r="K69" i="1"/>
  <c r="O69" i="1" s="1"/>
  <c r="F69" i="1"/>
  <c r="G69" i="1"/>
  <c r="T70" i="1"/>
  <c r="Q70" i="1"/>
  <c r="S70" i="1"/>
  <c r="U70" i="1"/>
  <c r="N78" i="1"/>
  <c r="U78" i="1" s="1"/>
  <c r="I85" i="2" l="1"/>
  <c r="F85" i="2"/>
  <c r="L85" i="2" s="1"/>
  <c r="J85" i="2"/>
  <c r="K85" i="2" s="1"/>
  <c r="M85" i="2"/>
  <c r="Q85" i="2"/>
  <c r="I86" i="2"/>
  <c r="F86" i="2"/>
  <c r="L86" i="2" s="1"/>
  <c r="J86" i="2"/>
  <c r="K86" i="2" s="1"/>
  <c r="Q86" i="2"/>
  <c r="M86" i="2"/>
  <c r="I87" i="2"/>
  <c r="L87" i="2"/>
  <c r="F87" i="2"/>
  <c r="M87" i="2"/>
  <c r="J87" i="2"/>
  <c r="K87" i="2" s="1"/>
  <c r="Q87" i="2"/>
  <c r="F84" i="2"/>
  <c r="L84" i="2" s="1"/>
  <c r="M84" i="2"/>
  <c r="J84" i="2"/>
  <c r="K84" i="2" s="1"/>
  <c r="Q84" i="2"/>
  <c r="W80" i="1"/>
  <c r="C89" i="2"/>
  <c r="D89" i="2" s="1"/>
  <c r="E89" i="2" s="1"/>
  <c r="I88" i="2"/>
  <c r="F88" i="2"/>
  <c r="L88" i="2" s="1"/>
  <c r="M88" i="2"/>
  <c r="J88" i="2"/>
  <c r="K88" i="2" s="1"/>
  <c r="Q88" i="2"/>
  <c r="N79" i="1"/>
  <c r="U79" i="1" s="1"/>
  <c r="T79" i="1"/>
  <c r="V79" i="1"/>
  <c r="R79" i="1"/>
  <c r="S79" i="1"/>
  <c r="Q79" i="1"/>
  <c r="S69" i="1"/>
  <c r="Q69" i="1"/>
  <c r="U69" i="1"/>
  <c r="D67" i="1"/>
  <c r="H68" i="1"/>
  <c r="E68" i="1"/>
  <c r="I68" i="1"/>
  <c r="J68" i="1"/>
  <c r="N68" i="1" s="1"/>
  <c r="K68" i="1"/>
  <c r="O68" i="1" s="1"/>
  <c r="G68" i="1"/>
  <c r="F68" i="1"/>
  <c r="T69" i="1"/>
  <c r="R69" i="1"/>
  <c r="V69" i="1"/>
  <c r="D81" i="1"/>
  <c r="J80" i="1"/>
  <c r="I80" i="1"/>
  <c r="L80" i="1"/>
  <c r="H80" i="1"/>
  <c r="M80" i="1"/>
  <c r="O80" i="1" s="1"/>
  <c r="G80" i="1"/>
  <c r="F80" i="1"/>
  <c r="I89" i="2" l="1"/>
  <c r="F89" i="2"/>
  <c r="L89" i="2" s="1"/>
  <c r="M89" i="2"/>
  <c r="Q89" i="2"/>
  <c r="J89" i="2"/>
  <c r="K89" i="2" s="1"/>
  <c r="W81" i="1"/>
  <c r="C90" i="2"/>
  <c r="D90" i="2" s="1"/>
  <c r="E90" i="2" s="1"/>
  <c r="T68" i="1"/>
  <c r="V68" i="1"/>
  <c r="R68" i="1"/>
  <c r="N80" i="1"/>
  <c r="U80" i="1" s="1"/>
  <c r="D82" i="1"/>
  <c r="L81" i="1"/>
  <c r="I81" i="1"/>
  <c r="M81" i="1"/>
  <c r="J81" i="1"/>
  <c r="H81" i="1"/>
  <c r="F81" i="1"/>
  <c r="G81" i="1"/>
  <c r="S80" i="1"/>
  <c r="Q80" i="1"/>
  <c r="T80" i="1"/>
  <c r="V80" i="1"/>
  <c r="R80" i="1"/>
  <c r="D66" i="1"/>
  <c r="J67" i="1"/>
  <c r="N67" i="1" s="1"/>
  <c r="E67" i="1"/>
  <c r="H67" i="1"/>
  <c r="K67" i="1"/>
  <c r="O67" i="1" s="1"/>
  <c r="I67" i="1"/>
  <c r="F67" i="1"/>
  <c r="G67" i="1"/>
  <c r="S68" i="1"/>
  <c r="U68" i="1"/>
  <c r="Q68" i="1"/>
  <c r="W82" i="1" l="1"/>
  <c r="C91" i="2"/>
  <c r="D91" i="2" s="1"/>
  <c r="E91" i="2" s="1"/>
  <c r="I90" i="2"/>
  <c r="F90" i="2"/>
  <c r="Q90" i="2"/>
  <c r="M90" i="2"/>
  <c r="J90" i="2"/>
  <c r="K90" i="2" s="1"/>
  <c r="L90" i="2" s="1"/>
  <c r="O81" i="1"/>
  <c r="D83" i="1"/>
  <c r="M82" i="1"/>
  <c r="O82" i="1" s="1"/>
  <c r="I82" i="1"/>
  <c r="H82" i="1"/>
  <c r="L82" i="1"/>
  <c r="J82" i="1"/>
  <c r="N82" i="1" s="1"/>
  <c r="G82" i="1"/>
  <c r="F82" i="1"/>
  <c r="T81" i="1"/>
  <c r="R81" i="1"/>
  <c r="V81" i="1"/>
  <c r="D65" i="1"/>
  <c r="E66" i="1"/>
  <c r="K66" i="1"/>
  <c r="O66" i="1" s="1"/>
  <c r="H66" i="1"/>
  <c r="J66" i="1"/>
  <c r="N66" i="1" s="1"/>
  <c r="I66" i="1"/>
  <c r="G66" i="1"/>
  <c r="F66" i="1"/>
  <c r="S81" i="1"/>
  <c r="Q81" i="1"/>
  <c r="U81" i="1"/>
  <c r="T67" i="1"/>
  <c r="V67" i="1"/>
  <c r="R67" i="1"/>
  <c r="S67" i="1"/>
  <c r="U67" i="1"/>
  <c r="Q67" i="1"/>
  <c r="N81" i="1"/>
  <c r="I91" i="2" l="1"/>
  <c r="F91" i="2"/>
  <c r="Q91" i="2"/>
  <c r="M91" i="2"/>
  <c r="J91" i="2"/>
  <c r="K91" i="2" s="1"/>
  <c r="L91" i="2" s="1"/>
  <c r="W83" i="1"/>
  <c r="C92" i="2"/>
  <c r="D92" i="2" s="1"/>
  <c r="E92" i="2" s="1"/>
  <c r="Q82" i="1"/>
  <c r="S82" i="1"/>
  <c r="U82" i="1"/>
  <c r="R82" i="1"/>
  <c r="T82" i="1"/>
  <c r="V82" i="1"/>
  <c r="R66" i="1"/>
  <c r="T66" i="1"/>
  <c r="V66" i="1"/>
  <c r="E65" i="1"/>
  <c r="I65" i="1"/>
  <c r="K65" i="1"/>
  <c r="H65" i="1"/>
  <c r="J65" i="1"/>
  <c r="F65" i="1"/>
  <c r="G65" i="1"/>
  <c r="Q66" i="1"/>
  <c r="S66" i="1"/>
  <c r="U66" i="1"/>
  <c r="D84" i="1"/>
  <c r="M83" i="1"/>
  <c r="O83" i="1" s="1"/>
  <c r="J83" i="1"/>
  <c r="L83" i="1"/>
  <c r="I83" i="1"/>
  <c r="H83" i="1"/>
  <c r="G83" i="1"/>
  <c r="F83" i="1"/>
  <c r="I92" i="2" l="1"/>
  <c r="F92" i="2"/>
  <c r="M92" i="2"/>
  <c r="Q92" i="2"/>
  <c r="J92" i="2"/>
  <c r="K92" i="2" s="1"/>
  <c r="L92" i="2" s="1"/>
  <c r="W84" i="1"/>
  <c r="C93" i="2"/>
  <c r="D93" i="2" s="1"/>
  <c r="E93" i="2" s="1"/>
  <c r="O65" i="1"/>
  <c r="K101" i="1"/>
  <c r="K100" i="1"/>
  <c r="N65" i="1"/>
  <c r="N83" i="1"/>
  <c r="U83" i="1" s="1"/>
  <c r="S65" i="1"/>
  <c r="Q65" i="1"/>
  <c r="D85" i="1"/>
  <c r="J84" i="1"/>
  <c r="H84" i="1"/>
  <c r="I84" i="1"/>
  <c r="M84" i="1"/>
  <c r="O84" i="1" s="1"/>
  <c r="L84" i="1"/>
  <c r="G84" i="1"/>
  <c r="F84" i="1"/>
  <c r="S83" i="1"/>
  <c r="Q83" i="1"/>
  <c r="T83" i="1"/>
  <c r="V83" i="1"/>
  <c r="R83" i="1"/>
  <c r="T65" i="1"/>
  <c r="R65" i="1"/>
  <c r="Z19" i="1" l="1"/>
  <c r="I93" i="2"/>
  <c r="F93" i="2"/>
  <c r="L93" i="2" s="1"/>
  <c r="Q93" i="2"/>
  <c r="J93" i="2"/>
  <c r="K93" i="2" s="1"/>
  <c r="M93" i="2"/>
  <c r="W85" i="1"/>
  <c r="C94" i="2"/>
  <c r="D94" i="2" s="1"/>
  <c r="E94" i="2" s="1"/>
  <c r="X34" i="1"/>
  <c r="X38" i="1" s="1"/>
  <c r="V65" i="1"/>
  <c r="U65" i="1"/>
  <c r="W34" i="1"/>
  <c r="W38" i="1" s="1"/>
  <c r="X19" i="1"/>
  <c r="N84" i="1"/>
  <c r="T84" i="1"/>
  <c r="V84" i="1"/>
  <c r="R84" i="1"/>
  <c r="S84" i="1"/>
  <c r="U84" i="1"/>
  <c r="Q84" i="1"/>
  <c r="D86" i="1"/>
  <c r="L85" i="1"/>
  <c r="I85" i="1"/>
  <c r="M85" i="1"/>
  <c r="O85" i="1" s="1"/>
  <c r="J85" i="1"/>
  <c r="H85" i="1"/>
  <c r="G85" i="1"/>
  <c r="F85" i="1"/>
  <c r="Y34" i="1" l="1"/>
  <c r="Y38" i="1" s="1"/>
  <c r="W42" i="1" s="1"/>
  <c r="W86" i="1"/>
  <c r="C95" i="2"/>
  <c r="D95" i="2" s="1"/>
  <c r="E95" i="2" s="1"/>
  <c r="AB19" i="1"/>
  <c r="X23" i="1" s="1"/>
  <c r="I94" i="2"/>
  <c r="L94" i="2"/>
  <c r="F94" i="2"/>
  <c r="M94" i="2"/>
  <c r="J94" i="2"/>
  <c r="K94" i="2" s="1"/>
  <c r="Q94" i="2"/>
  <c r="S85" i="1"/>
  <c r="Q85" i="1"/>
  <c r="D87" i="1"/>
  <c r="H86" i="1"/>
  <c r="L86" i="1"/>
  <c r="I86" i="1"/>
  <c r="M86" i="1"/>
  <c r="O86" i="1" s="1"/>
  <c r="J86" i="1"/>
  <c r="G86" i="1"/>
  <c r="F86" i="1"/>
  <c r="T85" i="1"/>
  <c r="R85" i="1"/>
  <c r="V85" i="1"/>
  <c r="N85" i="1"/>
  <c r="U85" i="1" l="1"/>
  <c r="I95" i="2"/>
  <c r="F95" i="2"/>
  <c r="L95" i="2" s="1"/>
  <c r="M95" i="2"/>
  <c r="J95" i="2"/>
  <c r="K95" i="2" s="1"/>
  <c r="Q95" i="2"/>
  <c r="W87" i="1"/>
  <c r="C96" i="2"/>
  <c r="D96" i="2" s="1"/>
  <c r="E96" i="2" s="1"/>
  <c r="D88" i="1"/>
  <c r="M87" i="1"/>
  <c r="O87" i="1" s="1"/>
  <c r="H87" i="1"/>
  <c r="L87" i="1"/>
  <c r="J87" i="1"/>
  <c r="I87" i="1"/>
  <c r="F87" i="1"/>
  <c r="G87" i="1"/>
  <c r="Q86" i="1"/>
  <c r="S86" i="1"/>
  <c r="R86" i="1"/>
  <c r="T86" i="1"/>
  <c r="V86" i="1"/>
  <c r="N86" i="1"/>
  <c r="U86" i="1" s="1"/>
  <c r="I96" i="2" l="1"/>
  <c r="F96" i="2"/>
  <c r="L96" i="2" s="1"/>
  <c r="M96" i="2"/>
  <c r="J96" i="2"/>
  <c r="K96" i="2" s="1"/>
  <c r="Q96" i="2"/>
  <c r="W88" i="1"/>
  <c r="C97" i="2"/>
  <c r="D97" i="2" s="1"/>
  <c r="E97" i="2" s="1"/>
  <c r="N87" i="1"/>
  <c r="U87" i="1" s="1"/>
  <c r="T87" i="1"/>
  <c r="V87" i="1"/>
  <c r="R87" i="1"/>
  <c r="S87" i="1"/>
  <c r="Q87" i="1"/>
  <c r="D89" i="1"/>
  <c r="J88" i="1"/>
  <c r="I88" i="1"/>
  <c r="L88" i="1"/>
  <c r="H88" i="1"/>
  <c r="M88" i="1"/>
  <c r="O88" i="1" s="1"/>
  <c r="F88" i="1"/>
  <c r="G88" i="1"/>
  <c r="I97" i="2" l="1"/>
  <c r="F97" i="2"/>
  <c r="M97" i="2"/>
  <c r="J97" i="2"/>
  <c r="K97" i="2" s="1"/>
  <c r="L97" i="2" s="1"/>
  <c r="Q97" i="2"/>
  <c r="N88" i="1"/>
  <c r="W89" i="1"/>
  <c r="C98" i="2"/>
  <c r="D98" i="2" s="1"/>
  <c r="E98" i="2" s="1"/>
  <c r="R88" i="1"/>
  <c r="T88" i="1"/>
  <c r="V88" i="1"/>
  <c r="S88" i="1"/>
  <c r="U88" i="1"/>
  <c r="Q88" i="1"/>
  <c r="D90" i="1"/>
  <c r="L89" i="1"/>
  <c r="I89" i="1"/>
  <c r="M89" i="1"/>
  <c r="O89" i="1" s="1"/>
  <c r="J89" i="1"/>
  <c r="H89" i="1"/>
  <c r="G89" i="1"/>
  <c r="F89" i="1"/>
  <c r="I98" i="2" l="1"/>
  <c r="F98" i="2"/>
  <c r="L98" i="2" s="1"/>
  <c r="Q98" i="2"/>
  <c r="M98" i="2"/>
  <c r="J98" i="2"/>
  <c r="K98" i="2" s="1"/>
  <c r="W90" i="1"/>
  <c r="C99" i="2"/>
  <c r="D99" i="2" s="1"/>
  <c r="E99" i="2" s="1"/>
  <c r="D91" i="1"/>
  <c r="I90" i="1"/>
  <c r="H90" i="1"/>
  <c r="L90" i="1"/>
  <c r="J90" i="1"/>
  <c r="N90" i="1" s="1"/>
  <c r="M90" i="1"/>
  <c r="O90" i="1" s="1"/>
  <c r="G90" i="1"/>
  <c r="F90" i="1"/>
  <c r="S89" i="1"/>
  <c r="Q89" i="1"/>
  <c r="T89" i="1"/>
  <c r="R89" i="1"/>
  <c r="V89" i="1"/>
  <c r="N89" i="1"/>
  <c r="U89" i="1" s="1"/>
  <c r="W91" i="1" l="1"/>
  <c r="C100" i="2"/>
  <c r="D100" i="2" s="1"/>
  <c r="E100" i="2" s="1"/>
  <c r="I99" i="2"/>
  <c r="F99" i="2"/>
  <c r="L99" i="2"/>
  <c r="Q99" i="2"/>
  <c r="M99" i="2"/>
  <c r="J99" i="2"/>
  <c r="K99" i="2" s="1"/>
  <c r="Q90" i="1"/>
  <c r="S90" i="1"/>
  <c r="U90" i="1"/>
  <c r="R90" i="1"/>
  <c r="T90" i="1"/>
  <c r="V90" i="1"/>
  <c r="D92" i="1"/>
  <c r="M91" i="1"/>
  <c r="O91" i="1" s="1"/>
  <c r="L91" i="1"/>
  <c r="I91" i="1"/>
  <c r="H91" i="1"/>
  <c r="J91" i="1"/>
  <c r="F91" i="1"/>
  <c r="G91" i="1"/>
  <c r="I100" i="2" l="1"/>
  <c r="F100" i="2"/>
  <c r="L100" i="2" s="1"/>
  <c r="J100" i="2"/>
  <c r="K100" i="2" s="1"/>
  <c r="M100" i="2"/>
  <c r="Q100" i="2"/>
  <c r="W92" i="1"/>
  <c r="C101" i="2"/>
  <c r="D101" i="2" s="1"/>
  <c r="E101" i="2" s="1"/>
  <c r="N91" i="1"/>
  <c r="U91" i="1" s="1"/>
  <c r="T91" i="1"/>
  <c r="V91" i="1"/>
  <c r="R91" i="1"/>
  <c r="S91" i="1"/>
  <c r="Q91" i="1"/>
  <c r="D93" i="1"/>
  <c r="J92" i="1"/>
  <c r="H92" i="1"/>
  <c r="I92" i="1"/>
  <c r="M92" i="1"/>
  <c r="O92" i="1" s="1"/>
  <c r="L92" i="1"/>
  <c r="F92" i="1"/>
  <c r="G92" i="1"/>
  <c r="I101" i="2" l="1"/>
  <c r="F101" i="2"/>
  <c r="L101" i="2" s="1"/>
  <c r="M101" i="2"/>
  <c r="Q101" i="2"/>
  <c r="J101" i="2"/>
  <c r="K101" i="2" s="1"/>
  <c r="W93" i="1"/>
  <c r="C102" i="2"/>
  <c r="D102" i="2" s="1"/>
  <c r="E102" i="2" s="1"/>
  <c r="N92" i="1"/>
  <c r="U92" i="1" s="1"/>
  <c r="T92" i="1"/>
  <c r="V92" i="1"/>
  <c r="R92" i="1"/>
  <c r="D94" i="1"/>
  <c r="L93" i="1"/>
  <c r="I93" i="1"/>
  <c r="M93" i="1"/>
  <c r="O93" i="1" s="1"/>
  <c r="J93" i="1"/>
  <c r="H93" i="1"/>
  <c r="G93" i="1"/>
  <c r="F93" i="1"/>
  <c r="S92" i="1"/>
  <c r="Q92" i="1"/>
  <c r="W94" i="1" l="1"/>
  <c r="C103" i="2"/>
  <c r="D103" i="2" s="1"/>
  <c r="E103" i="2" s="1"/>
  <c r="I102" i="2"/>
  <c r="F102" i="2"/>
  <c r="L102" i="2" s="1"/>
  <c r="M102" i="2"/>
  <c r="J102" i="2"/>
  <c r="K102" i="2" s="1"/>
  <c r="Q102" i="2"/>
  <c r="N93" i="1"/>
  <c r="U93" i="1" s="1"/>
  <c r="D95" i="1"/>
  <c r="J94" i="1"/>
  <c r="I94" i="1"/>
  <c r="M94" i="1"/>
  <c r="O94" i="1" s="1"/>
  <c r="L94" i="1"/>
  <c r="H94" i="1"/>
  <c r="F94" i="1"/>
  <c r="G94" i="1"/>
  <c r="S93" i="1"/>
  <c r="Q93" i="1"/>
  <c r="T93" i="1"/>
  <c r="R93" i="1"/>
  <c r="V93" i="1"/>
  <c r="W95" i="1" l="1"/>
  <c r="C104" i="2"/>
  <c r="D104" i="2" s="1"/>
  <c r="E104" i="2" s="1"/>
  <c r="I103" i="2"/>
  <c r="F103" i="2"/>
  <c r="J103" i="2"/>
  <c r="K103" i="2" s="1"/>
  <c r="L103" i="2" s="1"/>
  <c r="M103" i="2"/>
  <c r="Q103" i="2"/>
  <c r="Q94" i="1"/>
  <c r="S94" i="1"/>
  <c r="R94" i="1"/>
  <c r="T94" i="1"/>
  <c r="V94" i="1"/>
  <c r="N94" i="1"/>
  <c r="U94" i="1" s="1"/>
  <c r="M95" i="1"/>
  <c r="H95" i="1"/>
  <c r="L95" i="1"/>
  <c r="J95" i="1"/>
  <c r="I95" i="1"/>
  <c r="F95" i="1"/>
  <c r="G95" i="1"/>
  <c r="H99" i="1" l="1"/>
  <c r="H98" i="1"/>
  <c r="O95" i="1"/>
  <c r="M100" i="1"/>
  <c r="M101" i="1"/>
  <c r="F98" i="1"/>
  <c r="F99" i="1"/>
  <c r="I104" i="2"/>
  <c r="F104" i="2"/>
  <c r="L104" i="2" s="1"/>
  <c r="Q104" i="2"/>
  <c r="M104" i="2"/>
  <c r="J104" i="2"/>
  <c r="K104" i="2" s="1"/>
  <c r="G100" i="1"/>
  <c r="G101" i="1"/>
  <c r="I101" i="1"/>
  <c r="I100" i="1"/>
  <c r="J99" i="1"/>
  <c r="J98" i="1"/>
  <c r="L98" i="1"/>
  <c r="L99" i="1"/>
  <c r="N95" i="1"/>
  <c r="T95" i="1"/>
  <c r="V95" i="1"/>
  <c r="R95" i="1"/>
  <c r="S95" i="1"/>
  <c r="Q95" i="1"/>
  <c r="X35" i="1" l="1"/>
  <c r="X39" i="1" s="1"/>
  <c r="T101" i="1"/>
  <c r="T100" i="1"/>
  <c r="O101" i="1"/>
  <c r="O100" i="1"/>
  <c r="Y35" i="1"/>
  <c r="Y39" i="1" s="1"/>
  <c r="V101" i="1"/>
  <c r="V100" i="1"/>
  <c r="N98" i="1"/>
  <c r="N99" i="1"/>
  <c r="U95" i="1"/>
  <c r="E51" i="2"/>
  <c r="X28" i="1"/>
  <c r="S98" i="1"/>
  <c r="S99" i="1"/>
  <c r="D51" i="2"/>
  <c r="W28" i="1"/>
  <c r="Q99" i="1"/>
  <c r="Q98" i="1"/>
  <c r="W35" i="1"/>
  <c r="W39" i="1" s="1"/>
  <c r="W43" i="1" s="1"/>
  <c r="R101" i="1"/>
  <c r="R100" i="1"/>
  <c r="F54" i="2"/>
  <c r="F53" i="2"/>
  <c r="E54" i="2"/>
  <c r="E53" i="2"/>
  <c r="D54" i="2"/>
  <c r="D53" i="2"/>
  <c r="W20" i="1"/>
  <c r="X20" i="1"/>
  <c r="AB20" i="1"/>
  <c r="AA20" i="1"/>
  <c r="Y20" i="1"/>
  <c r="Z20" i="1"/>
  <c r="Q107" i="1" l="1"/>
  <c r="F51" i="2"/>
  <c r="Y28" i="1"/>
  <c r="U99" i="1"/>
  <c r="U98" i="1"/>
  <c r="Q104" i="1" s="1"/>
  <c r="Q105" i="1"/>
  <c r="Q106" i="1"/>
  <c r="E55" i="2"/>
  <c r="E59" i="2" s="1"/>
  <c r="E67" i="2" s="1"/>
  <c r="D55" i="2"/>
  <c r="D59" i="2" s="1"/>
  <c r="D67" i="2" s="1"/>
  <c r="F55" i="2"/>
  <c r="F59" i="2" s="1"/>
  <c r="F67" i="2" s="1"/>
  <c r="W24" i="1"/>
  <c r="X24" i="1"/>
  <c r="F69" i="2" l="1"/>
  <c r="F71" i="2"/>
  <c r="F72" i="2" s="1"/>
  <c r="F74" i="2" s="1"/>
  <c r="Y27" i="1" s="1"/>
  <c r="Y29" i="1" s="1"/>
  <c r="D69" i="2"/>
  <c r="D71" i="2"/>
  <c r="D72" i="2" s="1"/>
  <c r="D74" i="2" s="1"/>
  <c r="W27" i="1" s="1"/>
  <c r="W29" i="1" s="1"/>
  <c r="E71" i="2"/>
  <c r="E72" i="2" s="1"/>
  <c r="E74" i="2" s="1"/>
  <c r="X27" i="1" s="1"/>
  <c r="X29" i="1" s="1"/>
  <c r="E69" i="2"/>
</calcChain>
</file>

<file path=xl/sharedStrings.xml><?xml version="1.0" encoding="utf-8"?>
<sst xmlns="http://schemas.openxmlformats.org/spreadsheetml/2006/main" count="358" uniqueCount="205">
  <si>
    <t>Portee principale</t>
  </si>
  <si>
    <t>Portee console</t>
  </si>
  <si>
    <t>mm</t>
  </si>
  <si>
    <t>m</t>
  </si>
  <si>
    <t>Poutre</t>
  </si>
  <si>
    <t>Profilé</t>
  </si>
  <si>
    <t>Ht</t>
  </si>
  <si>
    <t>b</t>
  </si>
  <si>
    <t>tf</t>
  </si>
  <si>
    <t>tw</t>
  </si>
  <si>
    <t>rc</t>
  </si>
  <si>
    <t>Dalle</t>
  </si>
  <si>
    <t>Bac</t>
  </si>
  <si>
    <t>Matériaux</t>
  </si>
  <si>
    <t>Fy</t>
  </si>
  <si>
    <t>Fck</t>
  </si>
  <si>
    <t>Nu</t>
  </si>
  <si>
    <t>MPa</t>
  </si>
  <si>
    <t>Ey</t>
  </si>
  <si>
    <t>Coef. partiels</t>
  </si>
  <si>
    <t>GammaM0</t>
  </si>
  <si>
    <t>GammaM1</t>
  </si>
  <si>
    <t>GammaC</t>
  </si>
  <si>
    <t>GammaS</t>
  </si>
  <si>
    <t>GammaV</t>
  </si>
  <si>
    <t>Entraxe</t>
  </si>
  <si>
    <t>Entraxe solives</t>
  </si>
  <si>
    <t>GammaG</t>
  </si>
  <si>
    <t>GammaQ</t>
  </si>
  <si>
    <t>hp</t>
  </si>
  <si>
    <t>e</t>
  </si>
  <si>
    <t>bb</t>
  </si>
  <si>
    <t>bt</t>
  </si>
  <si>
    <t>t</t>
  </si>
  <si>
    <t>f</t>
  </si>
  <si>
    <t>td</t>
  </si>
  <si>
    <t>tc</t>
  </si>
  <si>
    <t>Largeurs participantes</t>
  </si>
  <si>
    <t>Mi portée</t>
  </si>
  <si>
    <t>Appui</t>
  </si>
  <si>
    <t>Le mi portée</t>
  </si>
  <si>
    <t>Le appui</t>
  </si>
  <si>
    <t>Propriétés plastiques mi travée</t>
  </si>
  <si>
    <t>Nc</t>
  </si>
  <si>
    <t>Aa</t>
  </si>
  <si>
    <t>mm2</t>
  </si>
  <si>
    <t>cm2</t>
  </si>
  <si>
    <t>Na</t>
  </si>
  <si>
    <t>kN</t>
  </si>
  <si>
    <t>IPE360</t>
  </si>
  <si>
    <t>zn</t>
  </si>
  <si>
    <t>MplRd</t>
  </si>
  <si>
    <t>(vrai pour Nc&gt;Na)</t>
  </si>
  <si>
    <t>kNm</t>
  </si>
  <si>
    <t>Propriétés plastiques sur appui</t>
  </si>
  <si>
    <t>Ns</t>
  </si>
  <si>
    <t>Diamètre</t>
  </si>
  <si>
    <t>Enrobage</t>
  </si>
  <si>
    <t>Armatures</t>
  </si>
  <si>
    <t>Fsk</t>
  </si>
  <si>
    <t>As</t>
  </si>
  <si>
    <t>Nombre armatures</t>
  </si>
  <si>
    <t>Nf</t>
  </si>
  <si>
    <t>ANP dans la dalle ?</t>
  </si>
  <si>
    <t>ANP dans le congé ?</t>
  </si>
  <si>
    <t>ANP dans l'âme droite ?</t>
  </si>
  <si>
    <t>oui</t>
  </si>
  <si>
    <t>non</t>
  </si>
  <si>
    <t>ANP dans la semelle ?</t>
  </si>
  <si>
    <t>Nr</t>
  </si>
  <si>
    <t>Nw</t>
  </si>
  <si>
    <t>hw</t>
  </si>
  <si>
    <t>dw</t>
  </si>
  <si>
    <t>Cas ANP dans l'âme</t>
  </si>
  <si>
    <t>p</t>
  </si>
  <si>
    <t>Cas ANP dans la semelle</t>
  </si>
  <si>
    <t>Semelle sup tendue</t>
  </si>
  <si>
    <t>Semelle sup comprimée</t>
  </si>
  <si>
    <t>Rayon sup</t>
  </si>
  <si>
    <t>Âme</t>
  </si>
  <si>
    <t>Rayon inf</t>
  </si>
  <si>
    <t>Semelle inf</t>
  </si>
  <si>
    <t>zr</t>
  </si>
  <si>
    <t>kC</t>
  </si>
  <si>
    <t>MPlRd</t>
  </si>
  <si>
    <t>S sup</t>
  </si>
  <si>
    <t>Congés sup</t>
  </si>
  <si>
    <t>Âme tendue</t>
  </si>
  <si>
    <t>Âme comp</t>
  </si>
  <si>
    <t>Chargement</t>
  </si>
  <si>
    <t>G1</t>
  </si>
  <si>
    <t>G2</t>
  </si>
  <si>
    <t>Q</t>
  </si>
  <si>
    <t>profilé</t>
  </si>
  <si>
    <t>bac</t>
  </si>
  <si>
    <t>dalle</t>
  </si>
  <si>
    <t>mu</t>
  </si>
  <si>
    <t>kg/m2</t>
  </si>
  <si>
    <t>qG1</t>
  </si>
  <si>
    <t>kN/m</t>
  </si>
  <si>
    <t>Divers</t>
  </si>
  <si>
    <t>RhoA</t>
  </si>
  <si>
    <t>RhoC</t>
  </si>
  <si>
    <t>kg/m3</t>
  </si>
  <si>
    <t>g</t>
  </si>
  <si>
    <t>m/s2</t>
  </si>
  <si>
    <t>bm</t>
  </si>
  <si>
    <t>kN/m2</t>
  </si>
  <si>
    <t>Console</t>
  </si>
  <si>
    <t>M</t>
  </si>
  <si>
    <t>V</t>
  </si>
  <si>
    <t>Q#1</t>
  </si>
  <si>
    <t>Q#2</t>
  </si>
  <si>
    <t>Q#3</t>
  </si>
  <si>
    <t>Travée</t>
  </si>
  <si>
    <t>Les 2</t>
  </si>
  <si>
    <t>ELU#1</t>
  </si>
  <si>
    <t>ELU#2</t>
  </si>
  <si>
    <t>ELU#3</t>
  </si>
  <si>
    <t>Vérifications</t>
  </si>
  <si>
    <t>Flexion</t>
  </si>
  <si>
    <t>Travée 2</t>
  </si>
  <si>
    <t>M&gt;0</t>
  </si>
  <si>
    <t>M&lt;0</t>
  </si>
  <si>
    <t>Travée console</t>
  </si>
  <si>
    <t>ELU 1</t>
  </si>
  <si>
    <t>ELU 2</t>
  </si>
  <si>
    <t>ELU 3</t>
  </si>
  <si>
    <t>Enveloppe</t>
  </si>
  <si>
    <t>Sans prise en compte du degré de connexion</t>
  </si>
  <si>
    <t>Av</t>
  </si>
  <si>
    <t>Résistance au cisaillement</t>
  </si>
  <si>
    <t>VplRd</t>
  </si>
  <si>
    <t>Eta</t>
  </si>
  <si>
    <t>Avmin</t>
  </si>
  <si>
    <t>Eff tranchant</t>
  </si>
  <si>
    <t>ELU 01</t>
  </si>
  <si>
    <t>ELU 02</t>
  </si>
  <si>
    <t>ELU 03</t>
  </si>
  <si>
    <t>Critère</t>
  </si>
  <si>
    <t>diametre</t>
  </si>
  <si>
    <t>hauteur</t>
  </si>
  <si>
    <t>fu</t>
  </si>
  <si>
    <t>PRd dalle pleine</t>
  </si>
  <si>
    <t>PRda</t>
  </si>
  <si>
    <t>PRdc</t>
  </si>
  <si>
    <t>Ecm</t>
  </si>
  <si>
    <t>GPa</t>
  </si>
  <si>
    <t>Fcm</t>
  </si>
  <si>
    <t>PRd</t>
  </si>
  <si>
    <t>Coef de réduction</t>
  </si>
  <si>
    <t>nr</t>
  </si>
  <si>
    <t>kt</t>
  </si>
  <si>
    <t>ktmax</t>
  </si>
  <si>
    <t>PRd dalle mixte</t>
  </si>
  <si>
    <t>Nombre de nervures en consoles</t>
  </si>
  <si>
    <t>Degré de connexion console</t>
  </si>
  <si>
    <t>d</t>
  </si>
  <si>
    <t>Zone 1</t>
  </si>
  <si>
    <t>Zone 2</t>
  </si>
  <si>
    <t>Longueur</t>
  </si>
  <si>
    <t>Prd/u</t>
  </si>
  <si>
    <t>Longueur de chaque zone requise pour le moment négatif : L1</t>
  </si>
  <si>
    <t>Longueur restante : L2</t>
  </si>
  <si>
    <t>L1</t>
  </si>
  <si>
    <t>L2</t>
  </si>
  <si>
    <t>Position du point de moment maxi</t>
  </si>
  <si>
    <t>ELU</t>
  </si>
  <si>
    <t>MEd</t>
  </si>
  <si>
    <t>x</t>
  </si>
  <si>
    <t>RConnex G</t>
  </si>
  <si>
    <t>RConnex D</t>
  </si>
  <si>
    <t>RConnex</t>
  </si>
  <si>
    <t>Degré mini connexion</t>
  </si>
  <si>
    <t>Eta Nc</t>
  </si>
  <si>
    <t>ANP dans la semelle sup ?</t>
  </si>
  <si>
    <t>MplRd(Eta)</t>
  </si>
  <si>
    <t>Avec prise en compte degre connexion</t>
  </si>
  <si>
    <t>Mmax</t>
  </si>
  <si>
    <t>Mmin</t>
  </si>
  <si>
    <t>Vmax</t>
  </si>
  <si>
    <t>Vmin</t>
  </si>
  <si>
    <t>MedMax</t>
  </si>
  <si>
    <t>MedMin</t>
  </si>
  <si>
    <t>VedMax</t>
  </si>
  <si>
    <t>VEdMin</t>
  </si>
  <si>
    <t>EtaMin</t>
  </si>
  <si>
    <t>Le</t>
  </si>
  <si>
    <t>Résistance en flexion dans la travée principale</t>
  </si>
  <si>
    <t>Moment positif</t>
  </si>
  <si>
    <t>Prise en compte du degré de connexion effectif</t>
  </si>
  <si>
    <t>zone</t>
  </si>
  <si>
    <t>nPRd</t>
  </si>
  <si>
    <t>ANP</t>
  </si>
  <si>
    <t>Sem sup ?</t>
  </si>
  <si>
    <t>congés ?</t>
  </si>
  <si>
    <t>âme</t>
  </si>
  <si>
    <t>Wpl</t>
  </si>
  <si>
    <t>cm3</t>
  </si>
  <si>
    <t>MplaRd</t>
  </si>
  <si>
    <t>knM</t>
  </si>
  <si>
    <t>Vérification</t>
  </si>
  <si>
    <t>ELU01</t>
  </si>
  <si>
    <t>ELU02</t>
  </si>
  <si>
    <t>ELU03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</si>
</sst>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0" xfId="0" applyFont="1" applyFill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0" xfId="0" applyFont="1" applyFill="1"/>
    <xf numFmtId="0" fontId="1" fillId="6" borderId="0" xfId="0" applyFont="1" applyFill="1"/>
    <xf numFmtId="2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1" fillId="9" borderId="0" xfId="0" applyFont="1" applyFill="1"/>
    <xf numFmtId="2" fontId="0" fillId="0" borderId="0" xfId="0" applyNumberFormat="1" applyBorder="1" applyAlignment="1">
      <alignment horizontal="center" vertical="center"/>
    </xf>
    <xf numFmtId="0" fontId="1" fillId="10" borderId="5" xfId="0" applyFont="1" applyFill="1" applyBorder="1"/>
    <xf numFmtId="0" fontId="1" fillId="10" borderId="6" xfId="0" applyFont="1" applyFill="1" applyBorder="1"/>
    <xf numFmtId="0" fontId="1" fillId="10" borderId="7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5" borderId="5" xfId="0" applyFont="1" applyFill="1" applyBorder="1"/>
    <xf numFmtId="0" fontId="1" fillId="5" borderId="6" xfId="0" applyFont="1" applyFill="1" applyBorder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11" borderId="4" xfId="0" applyFill="1" applyBorder="1"/>
    <xf numFmtId="0" fontId="0" fillId="11" borderId="3" xfId="0" applyFill="1" applyBorder="1"/>
    <xf numFmtId="0" fontId="3" fillId="11" borderId="2" xfId="0" applyFont="1" applyFill="1" applyBorder="1" applyAlignment="1">
      <alignment horizontal="center" vertical="center"/>
    </xf>
    <xf numFmtId="0" fontId="1" fillId="12" borderId="5" xfId="0" applyFont="1" applyFill="1" applyBorder="1"/>
    <xf numFmtId="0" fontId="1" fillId="12" borderId="6" xfId="0" applyFont="1" applyFill="1" applyBorder="1"/>
    <xf numFmtId="0" fontId="1" fillId="12" borderId="7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0" fillId="12" borderId="0" xfId="0" applyFill="1"/>
    <xf numFmtId="0" fontId="1" fillId="12" borderId="0" xfId="0" applyFont="1" applyFill="1"/>
    <xf numFmtId="0" fontId="2" fillId="0" borderId="5" xfId="0" applyFont="1" applyBorder="1"/>
    <xf numFmtId="166" fontId="2" fillId="0" borderId="6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6" fontId="1" fillId="12" borderId="0" xfId="0" applyNumberFormat="1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165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9" xfId="0" applyFill="1" applyBorder="1"/>
    <xf numFmtId="0" fontId="0" fillId="13" borderId="6" xfId="0" applyFill="1" applyBorder="1"/>
    <xf numFmtId="0" fontId="0" fillId="13" borderId="7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9" xfId="0" applyFill="1" applyBorder="1"/>
    <xf numFmtId="0" fontId="0" fillId="14" borderId="6" xfId="0" applyFill="1" applyBorder="1"/>
    <xf numFmtId="0" fontId="0" fillId="14" borderId="7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9" xfId="0" applyFill="1" applyBorder="1"/>
    <xf numFmtId="0" fontId="0" fillId="15" borderId="6" xfId="0" applyFill="1" applyBorder="1"/>
    <xf numFmtId="0" fontId="0" fillId="15" borderId="7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Connexion!$F$111:$F$131</c:f>
              <c:numCache>
                <c:formatCode>0.0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Connexion!$H$111:$H$131</c:f>
              <c:numCache>
                <c:formatCode>0.000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1.0924322715763612E-2</c:v>
                </c:pt>
                <c:pt idx="10">
                  <c:v>4.2139778043996684E-2</c:v>
                </c:pt>
                <c:pt idx="11">
                  <c:v>6.5037999143746292E-2</c:v>
                </c:pt>
                <c:pt idx="12">
                  <c:v>8.1348128469880418E-2</c:v>
                </c:pt>
                <c:pt idx="13">
                  <c:v>9.5708419354080018E-2</c:v>
                </c:pt>
                <c:pt idx="14">
                  <c:v>0.10468774189632066</c:v>
                </c:pt>
                <c:pt idx="15">
                  <c:v>0.10810484895720011</c:v>
                </c:pt>
                <c:pt idx="16">
                  <c:v>0.11801875693717821</c:v>
                </c:pt>
                <c:pt idx="17">
                  <c:v>0.10424054280510127</c:v>
                </c:pt>
                <c:pt idx="18">
                  <c:v>8.2430316448273755E-2</c:v>
                </c:pt>
                <c:pt idx="19">
                  <c:v>4.9581000014427924E-2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BF6-4FD4-A32B-5377AA8F4B77}"/>
            </c:ext>
          </c:extLst>
        </c:ser>
        <c:ser>
          <c:idx val="2"/>
          <c:order val="1"/>
          <c:marker>
            <c:symbol val="none"/>
          </c:marker>
          <c:xVal>
            <c:numRef>
              <c:f>Connexion!$F$111:$F$131</c:f>
              <c:numCache>
                <c:formatCode>0.0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Connexion!$J$111:$J$131</c:f>
              <c:numCache>
                <c:formatCode>0.000</c:formatCode>
                <c:ptCount val="21"/>
                <c:pt idx="0">
                  <c:v>0</c:v>
                </c:pt>
                <c:pt idx="1">
                  <c:v>0.31178680245873286</c:v>
                </c:pt>
                <c:pt idx="2">
                  <c:v>0.76583564231427137</c:v>
                </c:pt>
                <c:pt idx="3">
                  <c:v>1.1676112964404883</c:v>
                </c:pt>
                <c:pt idx="4">
                  <c:v>1.4539371349002377</c:v>
                </c:pt>
                <c:pt idx="5">
                  <c:v>1.5682385622298081</c:v>
                </c:pt>
                <c:pt idx="6">
                  <c:v>1.6539071204016087</c:v>
                </c:pt>
                <c:pt idx="7">
                  <c:v>1.7217044403359252</c:v>
                </c:pt>
                <c:pt idx="8">
                  <c:v>1.5648287898116933</c:v>
                </c:pt>
                <c:pt idx="9">
                  <c:v>1.5513590131514212</c:v>
                </c:pt>
                <c:pt idx="10">
                  <c:v>1.5166592555208547</c:v>
                </c:pt>
                <c:pt idx="11">
                  <c:v>1.4574685207869096</c:v>
                </c:pt>
                <c:pt idx="12">
                  <c:v>1.3889776577757806</c:v>
                </c:pt>
                <c:pt idx="13">
                  <c:v>1.3613977823260401</c:v>
                </c:pt>
                <c:pt idx="14">
                  <c:v>1.3034790521486443</c:v>
                </c:pt>
                <c:pt idx="15">
                  <c:v>1.2152395791273385</c:v>
                </c:pt>
                <c:pt idx="16">
                  <c:v>1.2230554418386614</c:v>
                </c:pt>
                <c:pt idx="17">
                  <c:v>1.010809579186094</c:v>
                </c:pt>
                <c:pt idx="18">
                  <c:v>0.75621182858928992</c:v>
                </c:pt>
                <c:pt idx="19">
                  <c:v>0.43396332626910178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BF6-4FD4-A32B-5377AA8F4B77}"/>
            </c:ext>
          </c:extLst>
        </c:ser>
        <c:ser>
          <c:idx val="0"/>
          <c:order val="2"/>
          <c:marker>
            <c:symbol val="none"/>
          </c:marker>
          <c:xVal>
            <c:numRef>
              <c:f>Connexion!$F$111:$F$131</c:f>
              <c:numCache>
                <c:formatCode>0.0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Connexion!$L$111:$L$131</c:f>
              <c:numCache>
                <c:formatCode>0.000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9.4091734312778549E-2</c:v>
                </c:pt>
                <c:pt idx="3">
                  <c:v>0.53318649443907851</c:v>
                </c:pt>
                <c:pt idx="4">
                  <c:v>0.8816964994263139</c:v>
                </c:pt>
                <c:pt idx="5">
                  <c:v>1.0843835832795394</c:v>
                </c:pt>
                <c:pt idx="6">
                  <c:v>1.2342921779589113</c:v>
                </c:pt>
                <c:pt idx="7">
                  <c:v>1.3507946835153533</c:v>
                </c:pt>
                <c:pt idx="8">
                  <c:v>1.2719101536274235</c:v>
                </c:pt>
                <c:pt idx="9">
                  <c:v>1.2946198980788115</c:v>
                </c:pt>
                <c:pt idx="10">
                  <c:v>1.2917325555667576</c:v>
                </c:pt>
                <c:pt idx="11">
                  <c:v>1.2616579786808397</c:v>
                </c:pt>
                <c:pt idx="12">
                  <c:v>1.2184172843880545</c:v>
                </c:pt>
                <c:pt idx="13">
                  <c:v>1.2074625895321531</c:v>
                </c:pt>
                <c:pt idx="14">
                  <c:v>1.1669078902211643</c:v>
                </c:pt>
                <c:pt idx="15">
                  <c:v>1.0966180008948236</c:v>
                </c:pt>
                <c:pt idx="16">
                  <c:v>1.1113101590958148</c:v>
                </c:pt>
                <c:pt idx="17">
                  <c:v>0.92401041612833945</c:v>
                </c:pt>
                <c:pt idx="18">
                  <c:v>0.69495896384919753</c:v>
                </c:pt>
                <c:pt idx="19">
                  <c:v>0.40069947111244736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BF6-4FD4-A32B-5377AA8F4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533439"/>
        <c:axId val="929533855"/>
      </c:scatterChart>
      <c:valAx>
        <c:axId val="92953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533855"/>
        <c:crosses val="autoZero"/>
        <c:crossBetween val="midCat"/>
      </c:valAx>
      <c:valAx>
        <c:axId val="92953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53343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Connexion!$C$84:$C$104</c:f>
              <c:numCache>
                <c:formatCode>0.00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Connexion!$G$84:$G$104</c:f>
              <c:numCache>
                <c:formatCode>0.00</c:formatCode>
                <c:ptCount val="21"/>
                <c:pt idx="0">
                  <c:v>361.745</c:v>
                </c:pt>
                <c:pt idx="1">
                  <c:v>361.745</c:v>
                </c:pt>
                <c:pt idx="2">
                  <c:v>361.745</c:v>
                </c:pt>
                <c:pt idx="3">
                  <c:v>361.745</c:v>
                </c:pt>
                <c:pt idx="4">
                  <c:v>377.46358194417815</c:v>
                </c:pt>
                <c:pt idx="5">
                  <c:v>418.51382916287656</c:v>
                </c:pt>
                <c:pt idx="6">
                  <c:v>450.41294025369427</c:v>
                </c:pt>
                <c:pt idx="7">
                  <c:v>473.16091521663122</c:v>
                </c:pt>
                <c:pt idx="8">
                  <c:v>553.05460284230173</c:v>
                </c:pt>
                <c:pt idx="9">
                  <c:v>578.40816331396184</c:v>
                </c:pt>
                <c:pt idx="10">
                  <c:v>600.19553048860269</c:v>
                </c:pt>
                <c:pt idx="11">
                  <c:v>620.49774589860397</c:v>
                </c:pt>
                <c:pt idx="12">
                  <c:v>633.20686895126073</c:v>
                </c:pt>
                <c:pt idx="13">
                  <c:v>613.89470649854354</c:v>
                </c:pt>
                <c:pt idx="14">
                  <c:v>593.09739228118656</c:v>
                </c:pt>
                <c:pt idx="15">
                  <c:v>569.03643507162406</c:v>
                </c:pt>
                <c:pt idx="16">
                  <c:v>483.24187540217946</c:v>
                </c:pt>
                <c:pt idx="17">
                  <c:v>466.59436074345575</c:v>
                </c:pt>
                <c:pt idx="18">
                  <c:v>440.79570995685128</c:v>
                </c:pt>
                <c:pt idx="19">
                  <c:v>405.84592304236605</c:v>
                </c:pt>
                <c:pt idx="20">
                  <c:v>361.745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C7-419E-931F-E0C071ED7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533439"/>
        <c:axId val="929533855"/>
      </c:scatterChart>
      <c:valAx>
        <c:axId val="92953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533855"/>
        <c:crosses val="autoZero"/>
        <c:crossBetween val="midCat"/>
      </c:valAx>
      <c:valAx>
        <c:axId val="92953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53343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685800</xdr:colOff>
      <xdr:row>103</xdr:row>
      <xdr:rowOff>157162</xdr:rowOff>
    </xdr:from>
    <xdr:to>
      <xdr:col>15</xdr:col>
      <xdr:colOff>685800</xdr:colOff>
      <xdr:row>118</xdr:row>
      <xdr:rowOff>42862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371475</xdr:colOff>
      <xdr:row>104</xdr:row>
      <xdr:rowOff>19050</xdr:rowOff>
    </xdr:from>
    <xdr:to>
      <xdr:col>6</xdr:col>
      <xdr:colOff>371475</xdr:colOff>
      <xdr:row>118</xdr:row>
      <xdr:rowOff>95250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107"/>
  <sheetViews>
    <sheetView topLeftCell="I63" workbookViewId="0">
      <selection activeCell="E19" sqref="E19"/>
    </sheetView>
  </sheetViews>
  <sheetFormatPr baseColWidth="10" defaultRowHeight="15" x14ac:dyDescent="0.25"/>
  <sheetData>
    <row r="2" spans="3:24" x14ac:dyDescent="0.25">
      <c r="C2" s="5"/>
      <c r="D2" s="5" t="s">
        <v>4</v>
      </c>
      <c r="E2" s="5"/>
      <c r="F2" s="5"/>
      <c r="H2" s="5"/>
      <c r="I2" s="5" t="s">
        <v>13</v>
      </c>
      <c r="J2" s="5"/>
      <c r="K2" s="5"/>
      <c r="M2" s="8"/>
      <c r="N2" s="8" t="s">
        <v>37</v>
      </c>
      <c r="O2" s="8"/>
      <c r="P2" s="8"/>
      <c r="T2" s="19" t="s">
        <v>66</v>
      </c>
    </row>
    <row r="3" spans="3:24" x14ac:dyDescent="0.25">
      <c r="T3" s="20" t="s">
        <v>67</v>
      </c>
    </row>
    <row r="4" spans="3:24" x14ac:dyDescent="0.25">
      <c r="D4" s="2" t="s">
        <v>0</v>
      </c>
      <c r="E4" s="4">
        <v>10</v>
      </c>
      <c r="F4" t="s">
        <v>3</v>
      </c>
      <c r="I4" s="2" t="s">
        <v>14</v>
      </c>
      <c r="J4" s="4">
        <v>355</v>
      </c>
      <c r="K4" t="s">
        <v>17</v>
      </c>
      <c r="N4" s="2" t="s">
        <v>38</v>
      </c>
      <c r="O4" s="7">
        <f>MIN(d,Le_1/8*2)</f>
        <v>2.125</v>
      </c>
      <c r="P4" t="s">
        <v>3</v>
      </c>
    </row>
    <row r="5" spans="3:24" x14ac:dyDescent="0.25">
      <c r="D5" s="2" t="s">
        <v>1</v>
      </c>
      <c r="E5" s="4">
        <v>3</v>
      </c>
      <c r="F5" t="s">
        <v>3</v>
      </c>
      <c r="I5" s="2" t="s">
        <v>16</v>
      </c>
      <c r="J5" s="4">
        <v>0.3</v>
      </c>
      <c r="N5" s="2" t="s">
        <v>39</v>
      </c>
      <c r="O5" s="7">
        <f>MIN(2*Le_a/8,d)</f>
        <v>1.5</v>
      </c>
      <c r="P5" t="s">
        <v>3</v>
      </c>
    </row>
    <row r="6" spans="3:24" x14ac:dyDescent="0.25">
      <c r="D6" s="2" t="s">
        <v>26</v>
      </c>
      <c r="E6" s="4">
        <v>2.5</v>
      </c>
      <c r="F6" t="s">
        <v>3</v>
      </c>
      <c r="I6" s="2" t="s">
        <v>18</v>
      </c>
      <c r="J6" s="4">
        <v>210000</v>
      </c>
      <c r="K6" t="s">
        <v>17</v>
      </c>
    </row>
    <row r="7" spans="3:24" x14ac:dyDescent="0.25">
      <c r="I7" s="2" t="s">
        <v>15</v>
      </c>
      <c r="J7" s="4">
        <v>35</v>
      </c>
      <c r="K7" t="s">
        <v>17</v>
      </c>
      <c r="N7" s="2" t="s">
        <v>40</v>
      </c>
      <c r="O7" s="7">
        <f>0.85*LL</f>
        <v>8.5</v>
      </c>
      <c r="P7" t="s">
        <v>3</v>
      </c>
    </row>
    <row r="8" spans="3:24" x14ac:dyDescent="0.25">
      <c r="C8" s="5"/>
      <c r="D8" s="5" t="s">
        <v>5</v>
      </c>
      <c r="E8" s="5"/>
      <c r="F8" s="5"/>
      <c r="I8" s="15" t="s">
        <v>59</v>
      </c>
      <c r="J8" s="4">
        <v>500</v>
      </c>
      <c r="K8" t="s">
        <v>17</v>
      </c>
      <c r="N8" s="2" t="s">
        <v>41</v>
      </c>
      <c r="O8" s="7">
        <f>2*La</f>
        <v>6</v>
      </c>
      <c r="P8" t="s">
        <v>3</v>
      </c>
      <c r="Q8">
        <f>Le_a/8</f>
        <v>0.75</v>
      </c>
    </row>
    <row r="9" spans="3:24" x14ac:dyDescent="0.25">
      <c r="I9" s="15" t="s">
        <v>146</v>
      </c>
      <c r="J9" s="10">
        <f>22*(Fcm/10)^0.3</f>
        <v>34.077146199189329</v>
      </c>
      <c r="K9" t="s">
        <v>147</v>
      </c>
    </row>
    <row r="10" spans="3:24" x14ac:dyDescent="0.25">
      <c r="E10" s="4" t="s">
        <v>49</v>
      </c>
      <c r="I10" s="15" t="s">
        <v>148</v>
      </c>
      <c r="J10" s="7">
        <f>Fck+8</f>
        <v>43</v>
      </c>
      <c r="K10" t="s">
        <v>17</v>
      </c>
    </row>
    <row r="11" spans="3:24" x14ac:dyDescent="0.25">
      <c r="D11" s="2" t="s">
        <v>6</v>
      </c>
      <c r="E11" s="4">
        <v>360</v>
      </c>
      <c r="F11" t="s">
        <v>2</v>
      </c>
    </row>
    <row r="12" spans="3:24" x14ac:dyDescent="0.25">
      <c r="D12" s="2" t="s">
        <v>7</v>
      </c>
      <c r="E12" s="4">
        <v>170</v>
      </c>
      <c r="F12" t="s">
        <v>2</v>
      </c>
      <c r="H12" s="5"/>
      <c r="I12" s="5" t="s">
        <v>19</v>
      </c>
      <c r="J12" s="5"/>
      <c r="K12" s="5"/>
      <c r="M12" s="9"/>
      <c r="N12" s="9" t="s">
        <v>42</v>
      </c>
      <c r="O12" s="9"/>
      <c r="P12" s="9"/>
      <c r="U12" s="52" t="s">
        <v>119</v>
      </c>
      <c r="V12" s="51"/>
      <c r="W12" s="51"/>
      <c r="X12" s="51"/>
    </row>
    <row r="13" spans="3:24" x14ac:dyDescent="0.25">
      <c r="D13" s="2" t="s">
        <v>8</v>
      </c>
      <c r="E13" s="4">
        <v>12.7</v>
      </c>
      <c r="F13" t="s">
        <v>2</v>
      </c>
    </row>
    <row r="14" spans="3:24" x14ac:dyDescent="0.25">
      <c r="D14" s="2" t="s">
        <v>9</v>
      </c>
      <c r="E14" s="4">
        <v>8</v>
      </c>
      <c r="F14" t="s">
        <v>2</v>
      </c>
      <c r="I14" s="2" t="s">
        <v>20</v>
      </c>
      <c r="J14" s="4">
        <v>1</v>
      </c>
      <c r="N14" s="2" t="s">
        <v>43</v>
      </c>
      <c r="O14" s="7">
        <f>0.85*beff_1*tc*Fck/GammaC</f>
        <v>3034.4999999999995</v>
      </c>
      <c r="P14" t="s">
        <v>48</v>
      </c>
      <c r="U14" s="52" t="s">
        <v>120</v>
      </c>
      <c r="V14" t="s">
        <v>129</v>
      </c>
    </row>
    <row r="15" spans="3:24" x14ac:dyDescent="0.25">
      <c r="D15" s="2" t="s">
        <v>10</v>
      </c>
      <c r="E15" s="4">
        <v>18</v>
      </c>
      <c r="F15" t="s">
        <v>2</v>
      </c>
      <c r="I15" s="2" t="s">
        <v>21</v>
      </c>
      <c r="J15" s="4">
        <v>1.1000000000000001</v>
      </c>
      <c r="N15" s="2" t="s">
        <v>47</v>
      </c>
      <c r="O15" s="11">
        <f>(AireA*Fy/1000)/GammaM0</f>
        <v>2581.8880129841023</v>
      </c>
      <c r="P15" t="s">
        <v>48</v>
      </c>
    </row>
    <row r="16" spans="3:24" x14ac:dyDescent="0.25">
      <c r="D16" s="2" t="s">
        <v>44</v>
      </c>
      <c r="E16" s="12">
        <f>b*tf*2+(Ht-2*tf)*tw+(4-PI())*rr^2</f>
        <v>7272.9239802369075</v>
      </c>
      <c r="F16" t="s">
        <v>45</v>
      </c>
      <c r="I16" s="2" t="s">
        <v>22</v>
      </c>
      <c r="J16" s="4">
        <v>1.5</v>
      </c>
      <c r="N16" s="2"/>
    </row>
    <row r="17" spans="3:28" x14ac:dyDescent="0.25">
      <c r="E17" s="11">
        <f>AireA/100</f>
        <v>72.729239802369079</v>
      </c>
      <c r="F17" t="s">
        <v>46</v>
      </c>
      <c r="I17" s="2" t="s">
        <v>23</v>
      </c>
      <c r="J17" s="4">
        <v>1.1499999999999999</v>
      </c>
      <c r="N17" s="2" t="s">
        <v>50</v>
      </c>
      <c r="O17" s="11">
        <f>tc*Na/Nc</f>
        <v>61.260812962549146</v>
      </c>
      <c r="P17" t="s">
        <v>2</v>
      </c>
      <c r="W17" t="s">
        <v>125</v>
      </c>
      <c r="Y17" t="s">
        <v>126</v>
      </c>
      <c r="AA17" t="s">
        <v>127</v>
      </c>
    </row>
    <row r="18" spans="3:28" x14ac:dyDescent="0.25">
      <c r="D18" s="2" t="s">
        <v>71</v>
      </c>
      <c r="E18" s="7">
        <f>Ht-2*tf</f>
        <v>334.6</v>
      </c>
      <c r="F18" t="s">
        <v>2</v>
      </c>
      <c r="I18" s="2" t="s">
        <v>24</v>
      </c>
      <c r="J18" s="4">
        <v>1.25</v>
      </c>
      <c r="N18" s="2"/>
      <c r="V18" s="2" t="s">
        <v>120</v>
      </c>
      <c r="W18" s="3" t="s">
        <v>122</v>
      </c>
      <c r="X18" s="3" t="s">
        <v>123</v>
      </c>
      <c r="Y18" s="3" t="s">
        <v>122</v>
      </c>
      <c r="Z18" s="3" t="s">
        <v>123</v>
      </c>
      <c r="AA18" s="3" t="s">
        <v>122</v>
      </c>
      <c r="AB18" s="3" t="s">
        <v>123</v>
      </c>
    </row>
    <row r="19" spans="3:28" x14ac:dyDescent="0.25">
      <c r="D19" s="15" t="s">
        <v>72</v>
      </c>
      <c r="E19" s="7">
        <f>hw-2*rr</f>
        <v>298.60000000000002</v>
      </c>
      <c r="F19" t="s">
        <v>2</v>
      </c>
      <c r="I19" s="2"/>
      <c r="N19" s="2" t="s">
        <v>51</v>
      </c>
      <c r="O19" s="12">
        <f>Na*(Ht/2-zn/2+td)/1000</f>
        <v>721.30100469823833</v>
      </c>
      <c r="P19" t="s">
        <v>53</v>
      </c>
      <c r="Q19" t="s">
        <v>52</v>
      </c>
      <c r="V19" s="2" t="s">
        <v>124</v>
      </c>
      <c r="W19" s="3"/>
      <c r="X19" s="17">
        <f>ABS(MIN(Q64:Q74))/MplRd_app</f>
        <v>0.80365439470760591</v>
      </c>
      <c r="Y19" s="3"/>
      <c r="Z19" s="17">
        <f>ABS(MIN(S64:S74))/MplRd_app</f>
        <v>0.16615602649116473</v>
      </c>
      <c r="AA19" s="3"/>
      <c r="AB19" s="17">
        <f>ABS(MIN(U64:U74))/MplRd_app</f>
        <v>0.80365439470760591</v>
      </c>
    </row>
    <row r="20" spans="3:28" x14ac:dyDescent="0.25">
      <c r="D20" s="15" t="s">
        <v>130</v>
      </c>
      <c r="E20" s="12">
        <f>(2*rr+tw)*tf+(Ht-2*tf)*tw+(4-PI())*rr^2</f>
        <v>3513.7239802369072</v>
      </c>
      <c r="F20" t="s">
        <v>45</v>
      </c>
      <c r="I20" s="2" t="s">
        <v>27</v>
      </c>
      <c r="J20" s="4">
        <v>1.35</v>
      </c>
      <c r="N20" s="2"/>
      <c r="V20" s="2" t="s">
        <v>121</v>
      </c>
      <c r="W20" s="17">
        <f>MAX(Q75:Q95)/MplRd_1</f>
        <v>8.6080604793403168E-2</v>
      </c>
      <c r="X20" s="17">
        <f>ABS(MIN(Q75:Q95))/MplRd_app</f>
        <v>0.80365439470760591</v>
      </c>
      <c r="Y20" s="17">
        <f>MAX(S75:S95)/MplRd_1</f>
        <v>1.2620141945020804</v>
      </c>
      <c r="Z20" s="17">
        <f>ABS(MIN(S75:S95))/MplRd_app</f>
        <v>0.16615602649116476</v>
      </c>
      <c r="AA20" s="17">
        <f>MAX(U75:U95)/MplRd_1</f>
        <v>1.0853387514605828</v>
      </c>
      <c r="AB20" s="17">
        <f>ABS(MIN(U75:U95))/MplRd_app</f>
        <v>0.80365439470760591</v>
      </c>
    </row>
    <row r="21" spans="3:28" x14ac:dyDescent="0.25">
      <c r="D21" s="15" t="s">
        <v>197</v>
      </c>
      <c r="E21" s="4">
        <v>1019</v>
      </c>
      <c r="F21" t="s">
        <v>198</v>
      </c>
      <c r="I21" s="2" t="s">
        <v>28</v>
      </c>
      <c r="J21" s="4">
        <v>1.5</v>
      </c>
      <c r="N21" s="2"/>
    </row>
    <row r="22" spans="3:28" x14ac:dyDescent="0.25">
      <c r="I22" s="2"/>
      <c r="M22" s="9"/>
      <c r="N22" s="9" t="s">
        <v>54</v>
      </c>
      <c r="O22" s="9"/>
      <c r="P22" s="9"/>
      <c r="V22" s="2" t="s">
        <v>128</v>
      </c>
      <c r="W22" s="6" t="s">
        <v>122</v>
      </c>
      <c r="X22" s="6" t="s">
        <v>123</v>
      </c>
    </row>
    <row r="23" spans="3:28" x14ac:dyDescent="0.25">
      <c r="C23" s="5"/>
      <c r="D23" s="5" t="s">
        <v>12</v>
      </c>
      <c r="E23" s="5"/>
      <c r="F23" s="5"/>
      <c r="I23" s="2"/>
      <c r="V23" s="2" t="s">
        <v>124</v>
      </c>
      <c r="W23" s="53"/>
      <c r="X23" s="54">
        <f>MAX(X19,Z19,AB19)</f>
        <v>0.80365439470760591</v>
      </c>
    </row>
    <row r="24" spans="3:28" x14ac:dyDescent="0.25">
      <c r="H24" s="5"/>
      <c r="I24" s="5" t="s">
        <v>100</v>
      </c>
      <c r="J24" s="5"/>
      <c r="K24" s="5"/>
      <c r="N24" s="2" t="s">
        <v>47</v>
      </c>
      <c r="O24" s="11">
        <f>(AireA*Fy/1000)/GammaM0</f>
        <v>2581.8880129841023</v>
      </c>
      <c r="P24" t="s">
        <v>48</v>
      </c>
      <c r="V24" s="2" t="s">
        <v>121</v>
      </c>
      <c r="W24" s="55">
        <f>MAX(W20,Y20,AA20)</f>
        <v>1.2620141945020804</v>
      </c>
      <c r="X24" s="56">
        <f>MAX(X20,Z20,AB20)</f>
        <v>0.80365439470760591</v>
      </c>
    </row>
    <row r="25" spans="3:28" x14ac:dyDescent="0.25">
      <c r="D25" s="2" t="s">
        <v>29</v>
      </c>
      <c r="E25" s="4">
        <v>58</v>
      </c>
      <c r="F25" t="s">
        <v>2</v>
      </c>
      <c r="I25" s="2"/>
      <c r="N25" s="2" t="s">
        <v>55</v>
      </c>
      <c r="O25" s="11">
        <f>(As*Fsk/1000)/GammaS</f>
        <v>728.485253006329</v>
      </c>
      <c r="P25" t="s">
        <v>48</v>
      </c>
    </row>
    <row r="26" spans="3:28" x14ac:dyDescent="0.25">
      <c r="D26" s="2" t="s">
        <v>30</v>
      </c>
      <c r="E26" s="4">
        <v>207</v>
      </c>
      <c r="F26" t="s">
        <v>2</v>
      </c>
      <c r="I26" s="2" t="s">
        <v>101</v>
      </c>
      <c r="J26" s="4">
        <v>7850</v>
      </c>
      <c r="K26" t="s">
        <v>103</v>
      </c>
      <c r="N26" s="15" t="s">
        <v>60</v>
      </c>
      <c r="O26" s="10">
        <f>O27*PI()*PhiS^2/4</f>
        <v>1675.5160819145565</v>
      </c>
      <c r="P26" t="s">
        <v>45</v>
      </c>
      <c r="V26" s="15" t="s">
        <v>177</v>
      </c>
    </row>
    <row r="27" spans="3:28" x14ac:dyDescent="0.25">
      <c r="D27" s="2" t="s">
        <v>31</v>
      </c>
      <c r="E27" s="4">
        <v>62</v>
      </c>
      <c r="F27" t="s">
        <v>2</v>
      </c>
      <c r="I27" s="2" t="s">
        <v>102</v>
      </c>
      <c r="J27" s="4">
        <v>2500</v>
      </c>
      <c r="K27" t="s">
        <v>103</v>
      </c>
      <c r="N27" s="15" t="s">
        <v>61</v>
      </c>
      <c r="O27" s="25">
        <f>beff_a/e_s*1000</f>
        <v>8.3333333333333339</v>
      </c>
      <c r="V27" s="15" t="s">
        <v>51</v>
      </c>
      <c r="W27" s="64">
        <f>Connexion!D74</f>
        <v>612.80229895647165</v>
      </c>
      <c r="X27" s="64">
        <f>Connexion!E74</f>
        <v>626.00933229871885</v>
      </c>
      <c r="Y27" s="64">
        <f>Connexion!F74</f>
        <v>640.27285237589899</v>
      </c>
    </row>
    <row r="28" spans="3:28" x14ac:dyDescent="0.25">
      <c r="D28" s="2" t="s">
        <v>32</v>
      </c>
      <c r="E28" s="4">
        <v>101</v>
      </c>
      <c r="F28" t="s">
        <v>2</v>
      </c>
      <c r="I28" s="2" t="s">
        <v>104</v>
      </c>
      <c r="J28" s="4">
        <v>9.81</v>
      </c>
      <c r="K28" t="s">
        <v>105</v>
      </c>
      <c r="V28" s="15" t="s">
        <v>168</v>
      </c>
      <c r="W28" s="18">
        <f>MAX(Q75:Q95)</f>
        <v>62.090026722513699</v>
      </c>
      <c r="X28" s="18">
        <f>MAX(S75:S95)</f>
        <v>910.29210643778856</v>
      </c>
      <c r="Y28" s="18">
        <f>MAX(U75:U95)</f>
        <v>782.85593186644996</v>
      </c>
    </row>
    <row r="29" spans="3:28" x14ac:dyDescent="0.25">
      <c r="D29" s="2" t="s">
        <v>33</v>
      </c>
      <c r="E29" s="4">
        <v>0.75</v>
      </c>
      <c r="F29" t="s">
        <v>2</v>
      </c>
      <c r="I29" s="2"/>
      <c r="N29" s="15" t="s">
        <v>62</v>
      </c>
      <c r="O29" s="11">
        <f>b*tf*Fy/GammaM0/1000</f>
        <v>766.44500000000005</v>
      </c>
      <c r="P29" t="s">
        <v>48</v>
      </c>
      <c r="W29" s="66">
        <f>W28/W27</f>
        <v>0.10132146506017604</v>
      </c>
      <c r="X29" s="66">
        <f t="shared" ref="X29:Y29" si="0">X28/X27</f>
        <v>1.4541190673550786</v>
      </c>
      <c r="Y29" s="66">
        <f t="shared" si="0"/>
        <v>1.2226911213890443</v>
      </c>
    </row>
    <row r="30" spans="3:28" x14ac:dyDescent="0.25">
      <c r="D30" s="2" t="s">
        <v>34</v>
      </c>
      <c r="E30" s="4">
        <v>355</v>
      </c>
      <c r="F30" t="s">
        <v>17</v>
      </c>
      <c r="I30" s="2"/>
      <c r="N30" s="15" t="s">
        <v>69</v>
      </c>
      <c r="O30" s="10">
        <f>(Na-2*Nf-Nw)/2</f>
        <v>100.48700649205102</v>
      </c>
      <c r="P30" t="s">
        <v>48</v>
      </c>
    </row>
    <row r="31" spans="3:28" x14ac:dyDescent="0.25">
      <c r="D31" s="2" t="s">
        <v>96</v>
      </c>
      <c r="E31" s="4">
        <v>8.5299999999999994</v>
      </c>
      <c r="F31" t="s">
        <v>97</v>
      </c>
      <c r="I31" s="2"/>
      <c r="N31" s="15" t="s">
        <v>70</v>
      </c>
      <c r="O31" s="21">
        <f>dw*tw*Fy/1000/GammaM0</f>
        <v>848.02400000000011</v>
      </c>
      <c r="P31" t="s">
        <v>48</v>
      </c>
    </row>
    <row r="32" spans="3:28" x14ac:dyDescent="0.25">
      <c r="D32" s="2" t="s">
        <v>106</v>
      </c>
      <c r="E32" s="4">
        <f>(bb+bt)/2</f>
        <v>81.5</v>
      </c>
      <c r="F32" t="s">
        <v>2</v>
      </c>
      <c r="I32" s="2"/>
      <c r="U32" s="52" t="s">
        <v>135</v>
      </c>
      <c r="V32" s="51"/>
    </row>
    <row r="33" spans="3:25" x14ac:dyDescent="0.25">
      <c r="H33" s="9"/>
      <c r="I33" s="9" t="s">
        <v>131</v>
      </c>
      <c r="J33" s="9"/>
      <c r="K33" s="9"/>
      <c r="N33" s="15" t="s">
        <v>63</v>
      </c>
      <c r="O33" s="7" t="str">
        <f>IF(Na&lt;=Ns,uoi,non)</f>
        <v>non</v>
      </c>
      <c r="W33" s="3" t="s">
        <v>136</v>
      </c>
      <c r="X33" s="3" t="s">
        <v>137</v>
      </c>
      <c r="Y33" s="3" t="s">
        <v>138</v>
      </c>
    </row>
    <row r="34" spans="3:25" x14ac:dyDescent="0.25">
      <c r="C34" s="5"/>
      <c r="D34" s="5" t="s">
        <v>11</v>
      </c>
      <c r="E34" s="5"/>
      <c r="F34" s="5"/>
      <c r="N34" s="2" t="s">
        <v>68</v>
      </c>
      <c r="O34" s="7" t="str">
        <f>IF(AND(Ns&lt;Na,Ns+Nf&gt;Na-Nf),oui,non)</f>
        <v>non</v>
      </c>
      <c r="P34" s="25">
        <f>O42</f>
        <v>524.81542186087904</v>
      </c>
      <c r="V34" t="s">
        <v>108</v>
      </c>
      <c r="W34" s="13">
        <f t="array" ref="W34">MAX(ABS(R64:R74))</f>
        <v>226.91476285984055</v>
      </c>
      <c r="X34" s="13">
        <f t="array" ref="X34">MAX(ABS(T64:T74))</f>
        <v>46.914762859840557</v>
      </c>
      <c r="Y34" s="13">
        <f t="array" ref="Y34">MAX(ABS(V64:V74))</f>
        <v>226.91476285984055</v>
      </c>
    </row>
    <row r="35" spans="3:25" x14ac:dyDescent="0.25">
      <c r="I35" s="2" t="s">
        <v>133</v>
      </c>
      <c r="J35" s="4">
        <v>1.2</v>
      </c>
      <c r="N35" s="2" t="s">
        <v>64</v>
      </c>
      <c r="O35" s="7" t="str">
        <f>IF(AND(Ns&gt;=Nw,Ns+Nf&lt;Na-Nf),oui,non)</f>
        <v>non</v>
      </c>
      <c r="V35" t="s">
        <v>114</v>
      </c>
      <c r="W35" s="18">
        <f t="array" ref="W35">MAX(ABS(R75:R95))</f>
        <v>112.22848586204367</v>
      </c>
      <c r="X35" s="18">
        <f t="array" ref="X35">MAX(ABS(T75:T95))</f>
        <v>385.22848586204367</v>
      </c>
      <c r="Y35" s="18">
        <f t="array" ref="Y35">MAX(ABS(V75:V95))</f>
        <v>412.22848586204367</v>
      </c>
    </row>
    <row r="36" spans="3:25" x14ac:dyDescent="0.25">
      <c r="D36" s="2" t="s">
        <v>35</v>
      </c>
      <c r="E36" s="4">
        <v>130</v>
      </c>
      <c r="F36" t="s">
        <v>2</v>
      </c>
      <c r="I36" s="2" t="s">
        <v>134</v>
      </c>
      <c r="J36" s="6">
        <f>hw*tw*Eta</f>
        <v>3212.1600000000003</v>
      </c>
      <c r="K36" t="s">
        <v>45</v>
      </c>
      <c r="N36" s="15" t="s">
        <v>65</v>
      </c>
      <c r="O36" s="7" t="str">
        <f>IF(Ns&lt;Nw,oui,non)</f>
        <v>oui</v>
      </c>
      <c r="P36" s="25">
        <f>R42</f>
        <v>423.53049585898009</v>
      </c>
    </row>
    <row r="37" spans="3:25" x14ac:dyDescent="0.25">
      <c r="D37" s="2" t="s">
        <v>36</v>
      </c>
      <c r="E37" s="7">
        <f>td-hbac</f>
        <v>72</v>
      </c>
      <c r="F37" t="s">
        <v>2</v>
      </c>
      <c r="I37" s="2" t="s">
        <v>132</v>
      </c>
      <c r="J37" s="11">
        <f>MAX(Avmin,Av)*Fy/SQRT(3)/GammaM0/1000</f>
        <v>720.17056747597678</v>
      </c>
      <c r="K37" t="s">
        <v>48</v>
      </c>
      <c r="N37" s="15" t="s">
        <v>84</v>
      </c>
      <c r="O37" s="26">
        <f t="array" ref="O37">SUM(IF(O33:O36=oui,P33:P36,0))</f>
        <v>423.53049585898009</v>
      </c>
      <c r="P37" t="s">
        <v>53</v>
      </c>
      <c r="V37" t="s">
        <v>139</v>
      </c>
      <c r="W37" s="3" t="s">
        <v>136</v>
      </c>
      <c r="X37" s="3" t="s">
        <v>137</v>
      </c>
      <c r="Y37" s="3" t="s">
        <v>138</v>
      </c>
    </row>
    <row r="38" spans="3:25" x14ac:dyDescent="0.25">
      <c r="D38" s="2" t="s">
        <v>58</v>
      </c>
      <c r="V38" t="s">
        <v>108</v>
      </c>
      <c r="W38" s="17">
        <f t="shared" ref="W38:Y39" si="1">W34/VplRd</f>
        <v>0.31508474951305188</v>
      </c>
      <c r="X38" s="17">
        <f t="shared" si="1"/>
        <v>6.5143960304106047E-2</v>
      </c>
      <c r="Y38" s="17">
        <f t="shared" si="1"/>
        <v>0.31508474951305188</v>
      </c>
    </row>
    <row r="39" spans="3:25" x14ac:dyDescent="0.25">
      <c r="D39" s="2" t="s">
        <v>56</v>
      </c>
      <c r="E39" s="4">
        <v>16</v>
      </c>
      <c r="F39" t="s">
        <v>2</v>
      </c>
      <c r="N39" s="15" t="s">
        <v>75</v>
      </c>
      <c r="R39" t="s">
        <v>73</v>
      </c>
      <c r="V39" t="s">
        <v>114</v>
      </c>
      <c r="W39" s="17">
        <f t="shared" si="1"/>
        <v>0.15583597960046786</v>
      </c>
      <c r="X39" s="17">
        <f t="shared" si="1"/>
        <v>0.53491284323403565</v>
      </c>
      <c r="Y39" s="17">
        <f t="shared" si="1"/>
        <v>0.57240396161537754</v>
      </c>
    </row>
    <row r="40" spans="3:25" x14ac:dyDescent="0.25">
      <c r="D40" s="15" t="s">
        <v>25</v>
      </c>
      <c r="E40" s="4">
        <v>180</v>
      </c>
      <c r="F40" t="s">
        <v>2</v>
      </c>
      <c r="N40" s="15" t="s">
        <v>74</v>
      </c>
      <c r="O40" s="22">
        <f>(Na-Ns)/2/Nf</f>
        <v>1.2090905152866631</v>
      </c>
      <c r="Q40" s="15" t="s">
        <v>74</v>
      </c>
      <c r="R40" s="22">
        <f>0.5-0.5*Ns/Nw</f>
        <v>7.0480757026729846E-2</v>
      </c>
    </row>
    <row r="41" spans="3:25" x14ac:dyDescent="0.25">
      <c r="D41" s="15" t="s">
        <v>57</v>
      </c>
      <c r="E41" s="4">
        <v>20</v>
      </c>
      <c r="F41" t="s">
        <v>2</v>
      </c>
      <c r="V41" t="s">
        <v>128</v>
      </c>
    </row>
    <row r="42" spans="3:25" x14ac:dyDescent="0.25">
      <c r="N42" s="2" t="s">
        <v>51</v>
      </c>
      <c r="O42" s="10">
        <f>SUM(O44:O50)</f>
        <v>524.81542186087904</v>
      </c>
      <c r="P42" t="s">
        <v>53</v>
      </c>
      <c r="R42" s="10">
        <f>SUM(R44:R50)</f>
        <v>423.53049585898009</v>
      </c>
      <c r="S42" t="s">
        <v>53</v>
      </c>
      <c r="V42" t="s">
        <v>108</v>
      </c>
      <c r="W42" s="57">
        <f>MAX(W38:Y38)</f>
        <v>0.31508474951305188</v>
      </c>
    </row>
    <row r="43" spans="3:25" x14ac:dyDescent="0.25">
      <c r="V43" t="s">
        <v>114</v>
      </c>
      <c r="W43" s="57">
        <f>MAX(W39:Y39)</f>
        <v>0.57240396161537754</v>
      </c>
    </row>
    <row r="44" spans="3:25" x14ac:dyDescent="0.25">
      <c r="N44" s="15" t="s">
        <v>58</v>
      </c>
      <c r="O44" s="14">
        <f>Ns*(p_1*tf+td-c_z-PhiS/2)/1000</f>
        <v>85.491714352834748</v>
      </c>
      <c r="P44" t="s">
        <v>53</v>
      </c>
      <c r="R44" s="14">
        <f>Ns*(p_w*dw+rr+tf+td-c_z-PhiS/2)/1000</f>
        <v>112.00136883938775</v>
      </c>
      <c r="S44" t="s">
        <v>53</v>
      </c>
    </row>
    <row r="45" spans="3:25" x14ac:dyDescent="0.25">
      <c r="N45" s="1" t="s">
        <v>76</v>
      </c>
      <c r="O45" s="25">
        <f>p_1*tf*Nf*p_1/2000</f>
        <v>7.1149581414524166</v>
      </c>
      <c r="P45" t="s">
        <v>53</v>
      </c>
      <c r="Q45" s="2" t="s">
        <v>85</v>
      </c>
      <c r="R45" s="25">
        <f>Nf*(tf/2+rr+p_w*dw)/1000</f>
        <v>34.793195422458496</v>
      </c>
      <c r="S45" t="s">
        <v>53</v>
      </c>
    </row>
    <row r="46" spans="3:25" x14ac:dyDescent="0.25">
      <c r="N46" s="15" t="s">
        <v>77</v>
      </c>
      <c r="O46" s="25">
        <f>(1-p_1)^2*tf*Nf/2000</f>
        <v>0.21277636559355748</v>
      </c>
      <c r="P46" t="s">
        <v>53</v>
      </c>
      <c r="Q46" s="2" t="s">
        <v>86</v>
      </c>
      <c r="R46" s="25">
        <f>Nr*(rr-zR+p_w*dw)/1000</f>
        <v>3.2650047262684287</v>
      </c>
      <c r="S46" t="s">
        <v>53</v>
      </c>
    </row>
    <row r="47" spans="3:25" x14ac:dyDescent="0.25">
      <c r="N47" s="1" t="s">
        <v>78</v>
      </c>
      <c r="O47" s="23">
        <f>Nr*((1-p_1)*tf+zR)/1000</f>
        <v>0.39172794127554561</v>
      </c>
      <c r="P47" t="s">
        <v>53</v>
      </c>
      <c r="Q47" s="2" t="s">
        <v>87</v>
      </c>
      <c r="R47" s="23">
        <f>p_w^2*dw*Nr/2000</f>
        <v>7.4526519035552519E-2</v>
      </c>
      <c r="S47" t="s">
        <v>53</v>
      </c>
    </row>
    <row r="48" spans="3:25" x14ac:dyDescent="0.25">
      <c r="N48" s="15" t="s">
        <v>79</v>
      </c>
      <c r="O48" s="25">
        <f>Nw*(Ht/2-p_1*tf)/1000</f>
        <v>139.62253025577971</v>
      </c>
      <c r="P48" t="s">
        <v>53</v>
      </c>
      <c r="Q48" s="2" t="s">
        <v>88</v>
      </c>
      <c r="R48" s="25">
        <f>(1-p_w)^2/2000*Nr*dw</f>
        <v>12.962431862030344</v>
      </c>
      <c r="S48" t="s">
        <v>53</v>
      </c>
    </row>
    <row r="49" spans="2:23" x14ac:dyDescent="0.25">
      <c r="N49" s="1" t="s">
        <v>80</v>
      </c>
      <c r="O49" s="25">
        <f>Nr*(Ht-p_1*tf-tf-zR)/1000</f>
        <v>32.697548079801976</v>
      </c>
      <c r="P49" t="s">
        <v>53</v>
      </c>
      <c r="Q49" s="2"/>
      <c r="R49" s="25">
        <f>Nr*((1-p_w)*dw+rr-zR)/1000</f>
        <v>29.040815412258006</v>
      </c>
      <c r="S49" t="s">
        <v>53</v>
      </c>
    </row>
    <row r="50" spans="2:23" x14ac:dyDescent="0.25">
      <c r="N50" s="15" t="s">
        <v>81</v>
      </c>
      <c r="O50" s="14">
        <f>Nf*(Ht-tf/2-p_1*tf)/1000</f>
        <v>259.28416672414113</v>
      </c>
      <c r="P50" t="s">
        <v>53</v>
      </c>
      <c r="Q50" s="2"/>
      <c r="R50" s="14">
        <f>Nf*((1-p_w)*dw+rr+tf/2)/1000</f>
        <v>231.39315307754157</v>
      </c>
      <c r="S50" t="s">
        <v>53</v>
      </c>
    </row>
    <row r="51" spans="2:23" x14ac:dyDescent="0.25">
      <c r="C51" s="27"/>
      <c r="D51" s="27" t="s">
        <v>89</v>
      </c>
      <c r="E51" s="27"/>
      <c r="F51" s="27"/>
    </row>
    <row r="52" spans="2:23" x14ac:dyDescent="0.25">
      <c r="N52" s="2" t="s">
        <v>82</v>
      </c>
      <c r="O52" s="25">
        <f>(tw+(4-PI())*kC*rr)/(2*tw/rr+(4-PI()))</f>
        <v>6.5537440097692006</v>
      </c>
      <c r="P52" t="s">
        <v>2</v>
      </c>
    </row>
    <row r="53" spans="2:23" x14ac:dyDescent="0.25">
      <c r="C53" s="2" t="s">
        <v>90</v>
      </c>
      <c r="D53" s="2" t="s">
        <v>93</v>
      </c>
      <c r="E53" s="10">
        <f>AireA/1000^2*RhoA*g/1000</f>
        <v>0.56007696633207404</v>
      </c>
      <c r="F53" t="s">
        <v>99</v>
      </c>
      <c r="N53" s="15" t="s">
        <v>83</v>
      </c>
      <c r="O53" s="22">
        <f>(10-3*PI())/(12-3*PI())</f>
        <v>0.22336793894575216</v>
      </c>
    </row>
    <row r="54" spans="2:23" x14ac:dyDescent="0.25">
      <c r="D54" s="2" t="s">
        <v>94</v>
      </c>
      <c r="E54" s="10">
        <f>mubac*d*g/1000</f>
        <v>0.20919825</v>
      </c>
      <c r="F54" t="s">
        <v>99</v>
      </c>
    </row>
    <row r="55" spans="2:23" x14ac:dyDescent="0.25">
      <c r="D55" s="2" t="s">
        <v>95</v>
      </c>
      <c r="E55" s="11">
        <f>g*RhoC*d/1000*(tc+bm*hbac/ebac)/1000</f>
        <v>5.8146168478260867</v>
      </c>
      <c r="F55" t="s">
        <v>99</v>
      </c>
    </row>
    <row r="56" spans="2:23" x14ac:dyDescent="0.25">
      <c r="D56" s="2" t="s">
        <v>98</v>
      </c>
      <c r="E56" s="25">
        <f>SUM(E53:E55)</f>
        <v>6.5838920641581611</v>
      </c>
      <c r="F56" t="s">
        <v>99</v>
      </c>
    </row>
    <row r="57" spans="2:23" x14ac:dyDescent="0.25">
      <c r="D57" s="2" t="s">
        <v>91</v>
      </c>
      <c r="E57" s="4">
        <f>H57*d</f>
        <v>5</v>
      </c>
      <c r="F57" t="s">
        <v>99</v>
      </c>
      <c r="H57" s="4">
        <v>2</v>
      </c>
      <c r="I57" t="s">
        <v>107</v>
      </c>
    </row>
    <row r="58" spans="2:23" x14ac:dyDescent="0.25">
      <c r="D58" s="2" t="s">
        <v>92</v>
      </c>
      <c r="E58" s="4">
        <f>H58*d</f>
        <v>40</v>
      </c>
      <c r="F58" t="s">
        <v>99</v>
      </c>
      <c r="H58" s="4">
        <v>16</v>
      </c>
      <c r="I58" t="s">
        <v>107</v>
      </c>
    </row>
    <row r="61" spans="2:23" x14ac:dyDescent="0.25">
      <c r="J61" t="s">
        <v>108</v>
      </c>
      <c r="L61" t="s">
        <v>114</v>
      </c>
      <c r="N61" t="s">
        <v>115</v>
      </c>
    </row>
    <row r="62" spans="2:23" x14ac:dyDescent="0.25">
      <c r="F62" s="29" t="s">
        <v>90</v>
      </c>
      <c r="G62" s="30"/>
      <c r="H62" s="33" t="s">
        <v>91</v>
      </c>
      <c r="I62" s="34"/>
      <c r="J62" s="37" t="s">
        <v>111</v>
      </c>
      <c r="K62" s="38"/>
      <c r="L62" s="37" t="s">
        <v>112</v>
      </c>
      <c r="M62" s="38"/>
      <c r="N62" s="37" t="s">
        <v>113</v>
      </c>
      <c r="O62" s="38"/>
      <c r="Q62" s="47" t="s">
        <v>116</v>
      </c>
      <c r="R62" s="48"/>
      <c r="S62" s="47" t="s">
        <v>117</v>
      </c>
      <c r="T62" s="48"/>
      <c r="U62" s="47" t="s">
        <v>118</v>
      </c>
      <c r="V62" s="48"/>
    </row>
    <row r="63" spans="2:23" x14ac:dyDescent="0.25">
      <c r="F63" s="31" t="s">
        <v>109</v>
      </c>
      <c r="G63" s="32" t="s">
        <v>110</v>
      </c>
      <c r="H63" s="35" t="s">
        <v>109</v>
      </c>
      <c r="I63" s="36" t="s">
        <v>110</v>
      </c>
      <c r="J63" s="39" t="s">
        <v>109</v>
      </c>
      <c r="K63" s="40" t="s">
        <v>110</v>
      </c>
      <c r="L63" s="39" t="s">
        <v>109</v>
      </c>
      <c r="M63" s="40" t="s">
        <v>110</v>
      </c>
      <c r="N63" s="39" t="s">
        <v>109</v>
      </c>
      <c r="O63" s="40" t="s">
        <v>110</v>
      </c>
      <c r="Q63" s="49" t="s">
        <v>109</v>
      </c>
      <c r="R63" s="50" t="s">
        <v>110</v>
      </c>
      <c r="S63" s="49" t="s">
        <v>109</v>
      </c>
      <c r="T63" s="50" t="s">
        <v>110</v>
      </c>
      <c r="U63" s="49" t="s">
        <v>109</v>
      </c>
      <c r="V63" s="50" t="s">
        <v>110</v>
      </c>
      <c r="W63" s="60" t="s">
        <v>169</v>
      </c>
    </row>
    <row r="64" spans="2:23" x14ac:dyDescent="0.25">
      <c r="B64" s="41" t="s">
        <v>108</v>
      </c>
      <c r="C64" s="3">
        <v>1</v>
      </c>
      <c r="D64" s="28">
        <f>La</f>
        <v>3</v>
      </c>
      <c r="E64" s="18">
        <f t="shared" ref="E64:E74" si="2">La-D64</f>
        <v>0</v>
      </c>
      <c r="F64" s="18">
        <f t="shared" ref="F64:F74" si="3">-qG_1/2*(La-D64)^2</f>
        <v>0</v>
      </c>
      <c r="G64" s="18">
        <f t="shared" ref="G64:G74" si="4">-qG_1*La*(1-D64/La)</f>
        <v>0</v>
      </c>
      <c r="H64" s="17">
        <f t="shared" ref="H64:H74" si="5">-qG_2/2*(La-D64)^2</f>
        <v>0</v>
      </c>
      <c r="I64" s="17">
        <f t="shared" ref="I64:I74" si="6">-qG_2*La*(1-D64/La)</f>
        <v>0</v>
      </c>
      <c r="J64" s="17">
        <f t="shared" ref="J64:J74" si="7">-qQ/2*(La-D64)^2</f>
        <v>0</v>
      </c>
      <c r="K64" s="17">
        <f t="shared" ref="K64:K74" si="8">-qQ*La*(1-D64/La)</f>
        <v>0</v>
      </c>
      <c r="L64" s="3">
        <v>0</v>
      </c>
      <c r="M64" s="3">
        <v>0</v>
      </c>
      <c r="N64" s="17">
        <f>J64+L64</f>
        <v>0</v>
      </c>
      <c r="O64" s="17">
        <f>K64+M64</f>
        <v>0</v>
      </c>
      <c r="Q64" s="18">
        <f t="shared" ref="Q64:Q95" si="9">GammaG*(F64+H64)+GammaQ*J64</f>
        <v>0</v>
      </c>
      <c r="R64" s="18">
        <f t="shared" ref="R64:R95" si="10">GammaG*(G64+I64)+GammaQ*K64</f>
        <v>0</v>
      </c>
      <c r="S64" s="18">
        <f t="shared" ref="S64:S95" si="11">GammaG*(F64+H64)+GammaQ*L64</f>
        <v>0</v>
      </c>
      <c r="T64" s="18">
        <f t="shared" ref="T64:T95" si="12">GammaG*(G64+I64)+GammaQ*M64</f>
        <v>0</v>
      </c>
      <c r="U64" s="18">
        <f t="shared" ref="U64:U95" si="13">GammaG*(F64+H64)+GammaQ*N64</f>
        <v>0</v>
      </c>
      <c r="V64" s="18">
        <f t="shared" ref="V64:V95" si="14">GammaG*(G64+I64)+GammaQ*O64</f>
        <v>0</v>
      </c>
    </row>
    <row r="65" spans="2:23" x14ac:dyDescent="0.25">
      <c r="B65" s="42"/>
      <c r="C65" s="3">
        <v>2</v>
      </c>
      <c r="D65" s="28">
        <f t="shared" ref="D65:D73" si="15">D66+La/10</f>
        <v>2.6999999999999997</v>
      </c>
      <c r="E65" s="18">
        <f t="shared" si="2"/>
        <v>0.30000000000000027</v>
      </c>
      <c r="F65" s="18">
        <f t="shared" si="3"/>
        <v>-0.29627514288711776</v>
      </c>
      <c r="G65" s="18">
        <f t="shared" si="4"/>
        <v>-1.9751676192474501</v>
      </c>
      <c r="H65" s="17">
        <f t="shared" si="5"/>
        <v>-0.22500000000000042</v>
      </c>
      <c r="I65" s="17">
        <f t="shared" si="6"/>
        <v>-1.5000000000000013</v>
      </c>
      <c r="J65" s="17">
        <f t="shared" si="7"/>
        <v>-1.8000000000000034</v>
      </c>
      <c r="K65" s="17">
        <f t="shared" si="8"/>
        <v>-12.000000000000011</v>
      </c>
      <c r="L65" s="3">
        <v>0</v>
      </c>
      <c r="M65" s="3">
        <v>0</v>
      </c>
      <c r="N65" s="17">
        <f t="shared" ref="N65:N74" si="16">J65+L65</f>
        <v>-1.8000000000000034</v>
      </c>
      <c r="O65" s="17">
        <f t="shared" ref="O65:O74" si="17">K65+M65</f>
        <v>-12.000000000000011</v>
      </c>
      <c r="Q65" s="18">
        <f t="shared" si="9"/>
        <v>-3.4037214428976146</v>
      </c>
      <c r="R65" s="18">
        <f t="shared" si="10"/>
        <v>-22.691476285984074</v>
      </c>
      <c r="S65" s="18">
        <f t="shared" si="11"/>
        <v>-0.70372144289760963</v>
      </c>
      <c r="T65" s="18">
        <f t="shared" si="12"/>
        <v>-4.6914762859840593</v>
      </c>
      <c r="U65" s="18">
        <f t="shared" si="13"/>
        <v>-3.4037214428976146</v>
      </c>
      <c r="V65" s="18">
        <f t="shared" si="14"/>
        <v>-22.691476285984074</v>
      </c>
    </row>
    <row r="66" spans="2:23" x14ac:dyDescent="0.25">
      <c r="B66" s="42"/>
      <c r="C66" s="3">
        <v>3</v>
      </c>
      <c r="D66" s="28">
        <f t="shared" si="15"/>
        <v>2.4</v>
      </c>
      <c r="E66" s="18">
        <f t="shared" si="2"/>
        <v>0.60000000000000009</v>
      </c>
      <c r="F66" s="18">
        <f t="shared" si="3"/>
        <v>-1.1851005715484693</v>
      </c>
      <c r="G66" s="18">
        <f t="shared" si="4"/>
        <v>-3.950335238494898</v>
      </c>
      <c r="H66" s="17">
        <f t="shared" si="5"/>
        <v>-0.90000000000000024</v>
      </c>
      <c r="I66" s="17">
        <f t="shared" si="6"/>
        <v>-3.0000000000000009</v>
      </c>
      <c r="J66" s="17">
        <f t="shared" si="7"/>
        <v>-7.200000000000002</v>
      </c>
      <c r="K66" s="17">
        <f t="shared" si="8"/>
        <v>-24.000000000000007</v>
      </c>
      <c r="L66" s="3">
        <v>0</v>
      </c>
      <c r="M66" s="3">
        <v>0</v>
      </c>
      <c r="N66" s="17">
        <f t="shared" si="16"/>
        <v>-7.200000000000002</v>
      </c>
      <c r="O66" s="17">
        <f t="shared" si="17"/>
        <v>-24.000000000000007</v>
      </c>
      <c r="Q66" s="18">
        <f t="shared" si="9"/>
        <v>-13.614885771590437</v>
      </c>
      <c r="R66" s="18">
        <f t="shared" si="10"/>
        <v>-45.382952571968133</v>
      </c>
      <c r="S66" s="18">
        <f t="shared" si="11"/>
        <v>-2.8148857715904341</v>
      </c>
      <c r="T66" s="18">
        <f t="shared" si="12"/>
        <v>-9.3829525719681151</v>
      </c>
      <c r="U66" s="18">
        <f t="shared" si="13"/>
        <v>-13.614885771590437</v>
      </c>
      <c r="V66" s="18">
        <f t="shared" si="14"/>
        <v>-45.382952571968133</v>
      </c>
    </row>
    <row r="67" spans="2:23" x14ac:dyDescent="0.25">
      <c r="B67" s="42"/>
      <c r="C67" s="3">
        <v>4</v>
      </c>
      <c r="D67" s="28">
        <f t="shared" si="15"/>
        <v>2.1</v>
      </c>
      <c r="E67" s="18">
        <f t="shared" si="2"/>
        <v>0.89999999999999991</v>
      </c>
      <c r="F67" s="18">
        <f t="shared" si="3"/>
        <v>-2.6664762859840545</v>
      </c>
      <c r="G67" s="18">
        <f t="shared" si="4"/>
        <v>-5.9255028577423436</v>
      </c>
      <c r="H67" s="17">
        <f t="shared" si="5"/>
        <v>-2.0249999999999995</v>
      </c>
      <c r="I67" s="17">
        <f t="shared" si="6"/>
        <v>-4.4999999999999991</v>
      </c>
      <c r="J67" s="17">
        <f t="shared" si="7"/>
        <v>-16.199999999999996</v>
      </c>
      <c r="K67" s="17">
        <f t="shared" si="8"/>
        <v>-35.999999999999993</v>
      </c>
      <c r="L67" s="3">
        <v>0</v>
      </c>
      <c r="M67" s="3">
        <v>0</v>
      </c>
      <c r="N67" s="17">
        <f t="shared" si="16"/>
        <v>-16.199999999999996</v>
      </c>
      <c r="O67" s="17">
        <f t="shared" si="17"/>
        <v>-35.999999999999993</v>
      </c>
      <c r="Q67" s="18">
        <f t="shared" si="9"/>
        <v>-30.633492986078465</v>
      </c>
      <c r="R67" s="18">
        <f t="shared" si="10"/>
        <v>-68.074428857952142</v>
      </c>
      <c r="S67" s="18">
        <f t="shared" si="11"/>
        <v>-6.3334929860784737</v>
      </c>
      <c r="T67" s="18">
        <f t="shared" si="12"/>
        <v>-14.074428857952164</v>
      </c>
      <c r="U67" s="18">
        <f t="shared" si="13"/>
        <v>-30.633492986078465</v>
      </c>
      <c r="V67" s="18">
        <f t="shared" si="14"/>
        <v>-68.074428857952142</v>
      </c>
    </row>
    <row r="68" spans="2:23" x14ac:dyDescent="0.25">
      <c r="B68" s="42"/>
      <c r="C68" s="3">
        <v>5</v>
      </c>
      <c r="D68" s="28">
        <f t="shared" si="15"/>
        <v>1.8</v>
      </c>
      <c r="E68" s="18">
        <f t="shared" si="2"/>
        <v>1.2</v>
      </c>
      <c r="F68" s="18">
        <f t="shared" si="3"/>
        <v>-4.7404022861938762</v>
      </c>
      <c r="G68" s="18">
        <f t="shared" si="4"/>
        <v>-7.9006704769897942</v>
      </c>
      <c r="H68" s="17">
        <f t="shared" si="5"/>
        <v>-3.5999999999999996</v>
      </c>
      <c r="I68" s="17">
        <f t="shared" si="6"/>
        <v>-6</v>
      </c>
      <c r="J68" s="17">
        <f t="shared" si="7"/>
        <v>-28.799999999999997</v>
      </c>
      <c r="K68" s="17">
        <f t="shared" si="8"/>
        <v>-48</v>
      </c>
      <c r="L68" s="3">
        <v>0</v>
      </c>
      <c r="M68" s="3">
        <v>0</v>
      </c>
      <c r="N68" s="17">
        <f t="shared" si="16"/>
        <v>-28.799999999999997</v>
      </c>
      <c r="O68" s="17">
        <f t="shared" si="17"/>
        <v>-48</v>
      </c>
      <c r="Q68" s="18">
        <f t="shared" si="9"/>
        <v>-54.459543086361727</v>
      </c>
      <c r="R68" s="18">
        <f t="shared" si="10"/>
        <v>-90.765905143936223</v>
      </c>
      <c r="S68" s="18">
        <f t="shared" si="11"/>
        <v>-11.259543086361733</v>
      </c>
      <c r="T68" s="18">
        <f t="shared" si="12"/>
        <v>-18.765905143936223</v>
      </c>
      <c r="U68" s="18">
        <f t="shared" si="13"/>
        <v>-54.459543086361727</v>
      </c>
      <c r="V68" s="18">
        <f t="shared" si="14"/>
        <v>-90.765905143936223</v>
      </c>
    </row>
    <row r="69" spans="2:23" x14ac:dyDescent="0.25">
      <c r="B69" s="42"/>
      <c r="C69" s="3">
        <v>6</v>
      </c>
      <c r="D69" s="28">
        <f t="shared" si="15"/>
        <v>1.5</v>
      </c>
      <c r="E69" s="18">
        <f t="shared" si="2"/>
        <v>1.5</v>
      </c>
      <c r="F69" s="18">
        <f t="shared" si="3"/>
        <v>-7.4068785721779316</v>
      </c>
      <c r="G69" s="18">
        <f t="shared" si="4"/>
        <v>-9.8758380962372421</v>
      </c>
      <c r="H69" s="17">
        <f t="shared" si="5"/>
        <v>-5.625</v>
      </c>
      <c r="I69" s="17">
        <f t="shared" si="6"/>
        <v>-7.5</v>
      </c>
      <c r="J69" s="17">
        <f t="shared" si="7"/>
        <v>-45</v>
      </c>
      <c r="K69" s="17">
        <f t="shared" si="8"/>
        <v>-60</v>
      </c>
      <c r="L69" s="3">
        <v>0</v>
      </c>
      <c r="M69" s="3">
        <v>0</v>
      </c>
      <c r="N69" s="17">
        <f t="shared" si="16"/>
        <v>-45</v>
      </c>
      <c r="O69" s="17">
        <f t="shared" si="17"/>
        <v>-60</v>
      </c>
      <c r="Q69" s="18">
        <f t="shared" si="9"/>
        <v>-85.093036072440214</v>
      </c>
      <c r="R69" s="18">
        <f t="shared" si="10"/>
        <v>-113.45738142992028</v>
      </c>
      <c r="S69" s="18">
        <f t="shared" si="11"/>
        <v>-17.593036072440206</v>
      </c>
      <c r="T69" s="18">
        <f t="shared" si="12"/>
        <v>-23.457381429920279</v>
      </c>
      <c r="U69" s="18">
        <f t="shared" si="13"/>
        <v>-85.093036072440214</v>
      </c>
      <c r="V69" s="18">
        <f t="shared" si="14"/>
        <v>-113.45738142992028</v>
      </c>
    </row>
    <row r="70" spans="2:23" x14ac:dyDescent="0.25">
      <c r="B70" s="42"/>
      <c r="C70" s="3">
        <v>7</v>
      </c>
      <c r="D70" s="28">
        <f t="shared" si="15"/>
        <v>1.2</v>
      </c>
      <c r="E70" s="18">
        <f t="shared" si="2"/>
        <v>1.8</v>
      </c>
      <c r="F70" s="18">
        <f t="shared" si="3"/>
        <v>-10.665905143936222</v>
      </c>
      <c r="G70" s="18">
        <f t="shared" si="4"/>
        <v>-11.851005715484693</v>
      </c>
      <c r="H70" s="17">
        <f t="shared" si="5"/>
        <v>-8.1000000000000014</v>
      </c>
      <c r="I70" s="17">
        <f t="shared" si="6"/>
        <v>-9.0000000000000018</v>
      </c>
      <c r="J70" s="17">
        <f t="shared" si="7"/>
        <v>-64.800000000000011</v>
      </c>
      <c r="K70" s="17">
        <f t="shared" si="8"/>
        <v>-72.000000000000014</v>
      </c>
      <c r="L70" s="3">
        <v>0</v>
      </c>
      <c r="M70" s="3">
        <v>0</v>
      </c>
      <c r="N70" s="17">
        <f t="shared" si="16"/>
        <v>-64.800000000000011</v>
      </c>
      <c r="O70" s="17">
        <f t="shared" si="17"/>
        <v>-72.000000000000014</v>
      </c>
      <c r="Q70" s="18">
        <f t="shared" si="9"/>
        <v>-122.53397194431392</v>
      </c>
      <c r="R70" s="18">
        <f t="shared" si="10"/>
        <v>-136.14885771590437</v>
      </c>
      <c r="S70" s="18">
        <f t="shared" si="11"/>
        <v>-25.333971944313902</v>
      </c>
      <c r="T70" s="18">
        <f t="shared" si="12"/>
        <v>-28.148857715904342</v>
      </c>
      <c r="U70" s="18">
        <f t="shared" si="13"/>
        <v>-122.53397194431392</v>
      </c>
      <c r="V70" s="18">
        <f t="shared" si="14"/>
        <v>-136.14885771590437</v>
      </c>
    </row>
    <row r="71" spans="2:23" x14ac:dyDescent="0.25">
      <c r="B71" s="42"/>
      <c r="C71" s="3">
        <v>8</v>
      </c>
      <c r="D71" s="28">
        <f t="shared" si="15"/>
        <v>0.89999999999999991</v>
      </c>
      <c r="E71" s="18">
        <f t="shared" si="2"/>
        <v>2.1</v>
      </c>
      <c r="F71" s="18">
        <f t="shared" si="3"/>
        <v>-14.517482001468746</v>
      </c>
      <c r="G71" s="18">
        <f t="shared" si="4"/>
        <v>-13.826173334732138</v>
      </c>
      <c r="H71" s="17">
        <f t="shared" si="5"/>
        <v>-11.025</v>
      </c>
      <c r="I71" s="17">
        <f t="shared" si="6"/>
        <v>-10.5</v>
      </c>
      <c r="J71" s="17">
        <f t="shared" si="7"/>
        <v>-88.2</v>
      </c>
      <c r="K71" s="17">
        <f t="shared" si="8"/>
        <v>-84</v>
      </c>
      <c r="L71" s="3">
        <v>0</v>
      </c>
      <c r="M71" s="3">
        <v>0</v>
      </c>
      <c r="N71" s="17">
        <f t="shared" si="16"/>
        <v>-88.2</v>
      </c>
      <c r="O71" s="17">
        <f t="shared" si="17"/>
        <v>-84</v>
      </c>
      <c r="Q71" s="18">
        <f t="shared" si="9"/>
        <v>-166.78235070198281</v>
      </c>
      <c r="R71" s="18">
        <f t="shared" si="10"/>
        <v>-158.84033400188838</v>
      </c>
      <c r="S71" s="18">
        <f t="shared" si="11"/>
        <v>-34.48235070198281</v>
      </c>
      <c r="T71" s="18">
        <f t="shared" si="12"/>
        <v>-32.840334001888394</v>
      </c>
      <c r="U71" s="18">
        <f t="shared" si="13"/>
        <v>-166.78235070198281</v>
      </c>
      <c r="V71" s="18">
        <f t="shared" si="14"/>
        <v>-158.84033400188838</v>
      </c>
    </row>
    <row r="72" spans="2:23" x14ac:dyDescent="0.25">
      <c r="B72" s="42"/>
      <c r="C72" s="3">
        <v>9</v>
      </c>
      <c r="D72" s="28">
        <f t="shared" si="15"/>
        <v>0.6</v>
      </c>
      <c r="E72" s="18">
        <f t="shared" si="2"/>
        <v>2.4</v>
      </c>
      <c r="F72" s="18">
        <f t="shared" si="3"/>
        <v>-18.961609144775505</v>
      </c>
      <c r="G72" s="18">
        <f t="shared" si="4"/>
        <v>-15.801340953979588</v>
      </c>
      <c r="H72" s="17">
        <f t="shared" si="5"/>
        <v>-14.399999999999999</v>
      </c>
      <c r="I72" s="17">
        <f t="shared" si="6"/>
        <v>-12</v>
      </c>
      <c r="J72" s="17">
        <f t="shared" si="7"/>
        <v>-115.19999999999999</v>
      </c>
      <c r="K72" s="17">
        <f t="shared" si="8"/>
        <v>-96</v>
      </c>
      <c r="L72" s="3">
        <v>0</v>
      </c>
      <c r="M72" s="3">
        <v>0</v>
      </c>
      <c r="N72" s="17">
        <f t="shared" si="16"/>
        <v>-115.19999999999999</v>
      </c>
      <c r="O72" s="17">
        <f t="shared" si="17"/>
        <v>-96</v>
      </c>
      <c r="Q72" s="18">
        <f t="shared" si="9"/>
        <v>-217.83817234544691</v>
      </c>
      <c r="R72" s="18">
        <f t="shared" si="10"/>
        <v>-181.53181028787245</v>
      </c>
      <c r="S72" s="18">
        <f t="shared" si="11"/>
        <v>-45.038172345446931</v>
      </c>
      <c r="T72" s="18">
        <f t="shared" si="12"/>
        <v>-37.531810287872446</v>
      </c>
      <c r="U72" s="18">
        <f t="shared" si="13"/>
        <v>-217.83817234544691</v>
      </c>
      <c r="V72" s="18">
        <f t="shared" si="14"/>
        <v>-181.53181028787245</v>
      </c>
    </row>
    <row r="73" spans="2:23" x14ac:dyDescent="0.25">
      <c r="B73" s="42"/>
      <c r="C73" s="3">
        <v>10</v>
      </c>
      <c r="D73" s="28">
        <f t="shared" si="15"/>
        <v>0.3</v>
      </c>
      <c r="E73" s="18">
        <f t="shared" si="2"/>
        <v>2.7</v>
      </c>
      <c r="F73" s="18">
        <f t="shared" si="3"/>
        <v>-23.9982865738565</v>
      </c>
      <c r="G73" s="18">
        <f t="shared" si="4"/>
        <v>-17.776508573227037</v>
      </c>
      <c r="H73" s="17">
        <f t="shared" si="5"/>
        <v>-18.225000000000001</v>
      </c>
      <c r="I73" s="17">
        <f t="shared" si="6"/>
        <v>-13.5</v>
      </c>
      <c r="J73" s="17">
        <f t="shared" si="7"/>
        <v>-145.80000000000001</v>
      </c>
      <c r="K73" s="17">
        <f t="shared" si="8"/>
        <v>-108</v>
      </c>
      <c r="L73" s="3">
        <v>0</v>
      </c>
      <c r="M73" s="3">
        <v>0</v>
      </c>
      <c r="N73" s="17">
        <f t="shared" si="16"/>
        <v>-145.80000000000001</v>
      </c>
      <c r="O73" s="17">
        <f t="shared" si="17"/>
        <v>-108</v>
      </c>
      <c r="Q73" s="18">
        <f t="shared" si="9"/>
        <v>-275.7014368747063</v>
      </c>
      <c r="R73" s="18">
        <f t="shared" si="10"/>
        <v>-204.22328657385651</v>
      </c>
      <c r="S73" s="18">
        <f t="shared" si="11"/>
        <v>-57.001436874706279</v>
      </c>
      <c r="T73" s="18">
        <f t="shared" si="12"/>
        <v>-42.223286573856505</v>
      </c>
      <c r="U73" s="18">
        <f t="shared" si="13"/>
        <v>-275.7014368747063</v>
      </c>
      <c r="V73" s="18">
        <f t="shared" si="14"/>
        <v>-204.22328657385651</v>
      </c>
    </row>
    <row r="74" spans="2:23" x14ac:dyDescent="0.25">
      <c r="B74" s="43"/>
      <c r="C74" s="3">
        <v>11</v>
      </c>
      <c r="D74" s="28">
        <v>0</v>
      </c>
      <c r="E74" s="18">
        <f t="shared" si="2"/>
        <v>3</v>
      </c>
      <c r="F74" s="18">
        <f t="shared" si="3"/>
        <v>-29.627514288711726</v>
      </c>
      <c r="G74" s="18">
        <f t="shared" si="4"/>
        <v>-19.751676192474484</v>
      </c>
      <c r="H74" s="17">
        <f t="shared" si="5"/>
        <v>-22.5</v>
      </c>
      <c r="I74" s="17">
        <f t="shared" si="6"/>
        <v>-15</v>
      </c>
      <c r="J74" s="17">
        <f t="shared" si="7"/>
        <v>-180</v>
      </c>
      <c r="K74" s="17">
        <f t="shared" si="8"/>
        <v>-120</v>
      </c>
      <c r="L74" s="3">
        <v>0</v>
      </c>
      <c r="M74" s="3">
        <v>0</v>
      </c>
      <c r="N74" s="17">
        <f t="shared" si="16"/>
        <v>-180</v>
      </c>
      <c r="O74" s="17">
        <f t="shared" si="17"/>
        <v>-120</v>
      </c>
      <c r="Q74" s="18">
        <f t="shared" si="9"/>
        <v>-340.37214428976085</v>
      </c>
      <c r="R74" s="18">
        <f t="shared" si="10"/>
        <v>-226.91476285984055</v>
      </c>
      <c r="S74" s="18">
        <f t="shared" si="11"/>
        <v>-70.372144289760826</v>
      </c>
      <c r="T74" s="18">
        <f t="shared" si="12"/>
        <v>-46.914762859840557</v>
      </c>
      <c r="U74" s="18">
        <f t="shared" si="13"/>
        <v>-340.37214428976085</v>
      </c>
      <c r="V74" s="18">
        <f t="shared" si="14"/>
        <v>-226.91476285984055</v>
      </c>
    </row>
    <row r="75" spans="2:23" x14ac:dyDescent="0.25">
      <c r="B75" s="46" t="s">
        <v>114</v>
      </c>
      <c r="C75" s="3">
        <v>1</v>
      </c>
      <c r="D75" s="18">
        <v>0</v>
      </c>
      <c r="F75" s="18">
        <f t="shared" ref="F75:F95" si="18">-qG_1*La^2/2*(LL-D75)/LL+qG_1*(D75*(LL-D75))/2</f>
        <v>-29.62751428871173</v>
      </c>
      <c r="G75" s="18">
        <f t="shared" ref="G75:G95" si="19">+qG_1*La^2/2/LL+qG_1/2*(LL-2*D75)</f>
        <v>35.882211749661977</v>
      </c>
      <c r="H75" s="17">
        <f t="shared" ref="H75:H95" si="20">-qG_2*La^2/2*(LL-D75)/LL+qG_2*(D75*(LL-D75))/2</f>
        <v>-22.5</v>
      </c>
      <c r="I75" s="17">
        <f t="shared" ref="I75:I95" si="21">+qG_2*La^2/2/LL+qG_2/2*(LL-2*D75)</f>
        <v>27.25</v>
      </c>
      <c r="J75" s="17">
        <f t="shared" ref="J75:J95" si="22">-qQ*La^2/2*(LL-D75)/LL</f>
        <v>-180</v>
      </c>
      <c r="K75" s="17">
        <f t="shared" ref="K75:K95" si="23">+qQ*La^2/2/LL</f>
        <v>18</v>
      </c>
      <c r="L75" s="17">
        <f t="shared" ref="L75:L95" si="24">qQ*(D75*(LL-D75))/2</f>
        <v>0</v>
      </c>
      <c r="M75" s="17">
        <f t="shared" ref="M75:M95" si="25">qQ/2*(LL-2*D75)</f>
        <v>200</v>
      </c>
      <c r="N75" s="17">
        <f t="shared" ref="N75:N95" si="26">J75+L75</f>
        <v>-180</v>
      </c>
      <c r="O75" s="17">
        <f t="shared" ref="O75:O95" si="27">K75+M75</f>
        <v>218</v>
      </c>
      <c r="Q75" s="18">
        <f t="shared" si="9"/>
        <v>-340.37214428976085</v>
      </c>
      <c r="R75" s="18">
        <f t="shared" si="10"/>
        <v>112.22848586204367</v>
      </c>
      <c r="S75" s="18">
        <f t="shared" si="11"/>
        <v>-70.37214428976084</v>
      </c>
      <c r="T75" s="18">
        <f t="shared" si="12"/>
        <v>385.22848586204367</v>
      </c>
      <c r="U75" s="18">
        <f t="shared" si="13"/>
        <v>-340.37214428976085</v>
      </c>
      <c r="V75" s="18">
        <f t="shared" si="14"/>
        <v>412.22848586204367</v>
      </c>
      <c r="W75" s="18">
        <f t="shared" ref="W75:W95" si="28">D75</f>
        <v>0</v>
      </c>
    </row>
    <row r="76" spans="2:23" x14ac:dyDescent="0.25">
      <c r="B76" s="44"/>
      <c r="C76" s="3">
        <v>2</v>
      </c>
      <c r="D76" s="18">
        <f t="shared" ref="D76:D95" si="29">D75+LL/20</f>
        <v>0.5</v>
      </c>
      <c r="F76" s="18">
        <f t="shared" si="18"/>
        <v>-12.509394921900512</v>
      </c>
      <c r="G76" s="18">
        <f t="shared" si="19"/>
        <v>32.590265717582902</v>
      </c>
      <c r="H76" s="17">
        <f t="shared" si="20"/>
        <v>-9.5</v>
      </c>
      <c r="I76" s="17">
        <f t="shared" si="21"/>
        <v>24.75</v>
      </c>
      <c r="J76" s="17">
        <f t="shared" si="22"/>
        <v>-171</v>
      </c>
      <c r="K76" s="17">
        <f t="shared" si="23"/>
        <v>18</v>
      </c>
      <c r="L76" s="17">
        <f t="shared" si="24"/>
        <v>95</v>
      </c>
      <c r="M76" s="17">
        <f t="shared" si="25"/>
        <v>180</v>
      </c>
      <c r="N76" s="17">
        <f t="shared" si="26"/>
        <v>-76</v>
      </c>
      <c r="O76" s="17">
        <f t="shared" si="27"/>
        <v>198</v>
      </c>
      <c r="Q76" s="18">
        <f t="shared" si="9"/>
        <v>-286.21268314456569</v>
      </c>
      <c r="R76" s="18">
        <f t="shared" si="10"/>
        <v>104.40935871873693</v>
      </c>
      <c r="S76" s="18">
        <f t="shared" si="11"/>
        <v>112.78731685543431</v>
      </c>
      <c r="T76" s="18">
        <f t="shared" si="12"/>
        <v>347.40935871873694</v>
      </c>
      <c r="U76" s="18">
        <f t="shared" si="13"/>
        <v>-143.71268314456569</v>
      </c>
      <c r="V76" s="18">
        <f t="shared" si="14"/>
        <v>374.40935871873694</v>
      </c>
      <c r="W76" s="18">
        <f t="shared" si="28"/>
        <v>0.5</v>
      </c>
    </row>
    <row r="77" spans="2:23" x14ac:dyDescent="0.25">
      <c r="B77" s="44"/>
      <c r="C77" s="3">
        <v>3</v>
      </c>
      <c r="D77" s="18">
        <f t="shared" si="29"/>
        <v>1</v>
      </c>
      <c r="F77" s="18">
        <f t="shared" si="18"/>
        <v>2.9627514288711687</v>
      </c>
      <c r="G77" s="18">
        <f t="shared" si="19"/>
        <v>29.298319685503817</v>
      </c>
      <c r="H77" s="17">
        <f t="shared" si="20"/>
        <v>2.25</v>
      </c>
      <c r="I77" s="17">
        <f t="shared" si="21"/>
        <v>22.25</v>
      </c>
      <c r="J77" s="17">
        <f t="shared" si="22"/>
        <v>-162</v>
      </c>
      <c r="K77" s="17">
        <f t="shared" si="23"/>
        <v>18</v>
      </c>
      <c r="L77" s="17">
        <f t="shared" si="24"/>
        <v>180</v>
      </c>
      <c r="M77" s="17">
        <f t="shared" si="25"/>
        <v>160</v>
      </c>
      <c r="N77" s="17">
        <f t="shared" si="26"/>
        <v>18</v>
      </c>
      <c r="O77" s="17">
        <f t="shared" si="27"/>
        <v>178</v>
      </c>
      <c r="Q77" s="18">
        <f t="shared" si="9"/>
        <v>-235.96278557102391</v>
      </c>
      <c r="R77" s="18">
        <f t="shared" si="10"/>
        <v>96.590231575430153</v>
      </c>
      <c r="S77" s="18">
        <f t="shared" si="11"/>
        <v>277.03721442897609</v>
      </c>
      <c r="T77" s="18">
        <f t="shared" si="12"/>
        <v>309.59023157543015</v>
      </c>
      <c r="U77" s="18">
        <f t="shared" si="13"/>
        <v>34.037214428976078</v>
      </c>
      <c r="V77" s="18">
        <f t="shared" si="14"/>
        <v>336.59023157543015</v>
      </c>
      <c r="W77" s="18">
        <f t="shared" si="28"/>
        <v>1</v>
      </c>
    </row>
    <row r="78" spans="2:23" x14ac:dyDescent="0.25">
      <c r="B78" s="44"/>
      <c r="C78" s="3">
        <v>4</v>
      </c>
      <c r="D78" s="18">
        <f t="shared" si="29"/>
        <v>1.5</v>
      </c>
      <c r="F78" s="18">
        <f t="shared" si="18"/>
        <v>16.788924763603308</v>
      </c>
      <c r="G78" s="18">
        <f t="shared" si="19"/>
        <v>26.006373653424735</v>
      </c>
      <c r="H78" s="17">
        <f t="shared" si="20"/>
        <v>12.75</v>
      </c>
      <c r="I78" s="17">
        <f t="shared" si="21"/>
        <v>19.75</v>
      </c>
      <c r="J78" s="17">
        <f t="shared" si="22"/>
        <v>-153</v>
      </c>
      <c r="K78" s="17">
        <f t="shared" si="23"/>
        <v>18</v>
      </c>
      <c r="L78" s="17">
        <f t="shared" si="24"/>
        <v>255</v>
      </c>
      <c r="M78" s="17">
        <f t="shared" si="25"/>
        <v>140</v>
      </c>
      <c r="N78" s="17">
        <f t="shared" si="26"/>
        <v>102</v>
      </c>
      <c r="O78" s="17">
        <f t="shared" si="27"/>
        <v>158</v>
      </c>
      <c r="Q78" s="18">
        <f t="shared" si="9"/>
        <v>-189.62245156913554</v>
      </c>
      <c r="R78" s="18">
        <f t="shared" si="10"/>
        <v>88.771104432123394</v>
      </c>
      <c r="S78" s="18">
        <f t="shared" si="11"/>
        <v>422.37754843086446</v>
      </c>
      <c r="T78" s="18">
        <f t="shared" si="12"/>
        <v>271.77110443212337</v>
      </c>
      <c r="U78" s="18">
        <f t="shared" si="13"/>
        <v>192.87754843086446</v>
      </c>
      <c r="V78" s="18">
        <f t="shared" si="14"/>
        <v>298.77110443212337</v>
      </c>
      <c r="W78" s="18">
        <f t="shared" si="28"/>
        <v>1.5</v>
      </c>
    </row>
    <row r="79" spans="2:23" x14ac:dyDescent="0.25">
      <c r="B79" s="44"/>
      <c r="C79" s="3">
        <v>5</v>
      </c>
      <c r="D79" s="18">
        <f t="shared" si="29"/>
        <v>2</v>
      </c>
      <c r="F79" s="18">
        <f t="shared" si="18"/>
        <v>28.969125082295907</v>
      </c>
      <c r="G79" s="18">
        <f t="shared" si="19"/>
        <v>22.714427621345656</v>
      </c>
      <c r="H79" s="17">
        <f t="shared" si="20"/>
        <v>22</v>
      </c>
      <c r="I79" s="17">
        <f t="shared" si="21"/>
        <v>17.25</v>
      </c>
      <c r="J79" s="17">
        <f t="shared" si="22"/>
        <v>-144</v>
      </c>
      <c r="K79" s="17">
        <f t="shared" si="23"/>
        <v>18</v>
      </c>
      <c r="L79" s="17">
        <f t="shared" si="24"/>
        <v>320</v>
      </c>
      <c r="M79" s="17">
        <f t="shared" si="25"/>
        <v>120</v>
      </c>
      <c r="N79" s="17">
        <f t="shared" si="26"/>
        <v>176</v>
      </c>
      <c r="O79" s="17">
        <f t="shared" si="27"/>
        <v>138</v>
      </c>
      <c r="Q79" s="18">
        <f t="shared" si="9"/>
        <v>-147.19168113890052</v>
      </c>
      <c r="R79" s="18">
        <f t="shared" si="10"/>
        <v>80.951977288816636</v>
      </c>
      <c r="S79" s="18">
        <f t="shared" si="11"/>
        <v>548.80831886109945</v>
      </c>
      <c r="T79" s="18">
        <f t="shared" si="12"/>
        <v>233.95197728881664</v>
      </c>
      <c r="U79" s="18">
        <f t="shared" si="13"/>
        <v>332.80831886109945</v>
      </c>
      <c r="V79" s="18">
        <f t="shared" si="14"/>
        <v>260.95197728881664</v>
      </c>
      <c r="W79" s="18">
        <f t="shared" si="28"/>
        <v>2</v>
      </c>
    </row>
    <row r="80" spans="2:23" x14ac:dyDescent="0.25">
      <c r="B80" s="44"/>
      <c r="C80" s="3">
        <v>6</v>
      </c>
      <c r="D80" s="18">
        <f t="shared" si="29"/>
        <v>2.5</v>
      </c>
      <c r="F80" s="18">
        <f t="shared" si="18"/>
        <v>39.503352384948968</v>
      </c>
      <c r="G80" s="18">
        <f t="shared" si="19"/>
        <v>19.422481589266575</v>
      </c>
      <c r="H80" s="17">
        <f t="shared" si="20"/>
        <v>30</v>
      </c>
      <c r="I80" s="17">
        <f t="shared" si="21"/>
        <v>14.75</v>
      </c>
      <c r="J80" s="17">
        <f t="shared" si="22"/>
        <v>-135</v>
      </c>
      <c r="K80" s="17">
        <f t="shared" si="23"/>
        <v>18</v>
      </c>
      <c r="L80" s="17">
        <f t="shared" si="24"/>
        <v>375</v>
      </c>
      <c r="M80" s="17">
        <f t="shared" si="25"/>
        <v>100</v>
      </c>
      <c r="N80" s="17">
        <f t="shared" si="26"/>
        <v>240</v>
      </c>
      <c r="O80" s="17">
        <f t="shared" si="27"/>
        <v>118</v>
      </c>
      <c r="Q80" s="18">
        <f t="shared" si="9"/>
        <v>-108.67047428031889</v>
      </c>
      <c r="R80" s="18">
        <f t="shared" si="10"/>
        <v>73.132850145509877</v>
      </c>
      <c r="S80" s="18">
        <f t="shared" si="11"/>
        <v>656.3295257196811</v>
      </c>
      <c r="T80" s="18">
        <f t="shared" si="12"/>
        <v>196.13285014550988</v>
      </c>
      <c r="U80" s="18">
        <f t="shared" si="13"/>
        <v>453.8295257196811</v>
      </c>
      <c r="V80" s="18">
        <f t="shared" si="14"/>
        <v>223.13285014550988</v>
      </c>
      <c r="W80" s="18">
        <f t="shared" si="28"/>
        <v>2.5</v>
      </c>
    </row>
    <row r="81" spans="2:23" x14ac:dyDescent="0.25">
      <c r="B81" s="44"/>
      <c r="C81" s="3">
        <v>7</v>
      </c>
      <c r="D81" s="18">
        <f t="shared" si="29"/>
        <v>3</v>
      </c>
      <c r="F81" s="18">
        <f t="shared" si="18"/>
        <v>48.391606671562485</v>
      </c>
      <c r="G81" s="18">
        <f t="shared" si="19"/>
        <v>16.130535557187496</v>
      </c>
      <c r="H81" s="17">
        <f t="shared" si="20"/>
        <v>36.75</v>
      </c>
      <c r="I81" s="17">
        <f t="shared" si="21"/>
        <v>12.25</v>
      </c>
      <c r="J81" s="17">
        <f t="shared" si="22"/>
        <v>-126</v>
      </c>
      <c r="K81" s="17">
        <f t="shared" si="23"/>
        <v>18</v>
      </c>
      <c r="L81" s="17">
        <f t="shared" si="24"/>
        <v>420</v>
      </c>
      <c r="M81" s="17">
        <f t="shared" si="25"/>
        <v>80</v>
      </c>
      <c r="N81" s="17">
        <f t="shared" si="26"/>
        <v>294</v>
      </c>
      <c r="O81" s="17">
        <f t="shared" si="27"/>
        <v>98</v>
      </c>
      <c r="Q81" s="18">
        <f t="shared" si="9"/>
        <v>-74.058830993390643</v>
      </c>
      <c r="R81" s="18">
        <f t="shared" si="10"/>
        <v>65.313723002203119</v>
      </c>
      <c r="S81" s="18">
        <f t="shared" si="11"/>
        <v>744.94116900660936</v>
      </c>
      <c r="T81" s="18">
        <f t="shared" si="12"/>
        <v>158.31372300220312</v>
      </c>
      <c r="U81" s="18">
        <f t="shared" si="13"/>
        <v>555.94116900660936</v>
      </c>
      <c r="V81" s="18">
        <f t="shared" si="14"/>
        <v>185.31372300220312</v>
      </c>
      <c r="W81" s="18">
        <f t="shared" si="28"/>
        <v>3</v>
      </c>
    </row>
    <row r="82" spans="2:23" x14ac:dyDescent="0.25">
      <c r="B82" s="44"/>
      <c r="C82" s="3">
        <v>8</v>
      </c>
      <c r="D82" s="18">
        <f t="shared" si="29"/>
        <v>3.5</v>
      </c>
      <c r="F82" s="18">
        <f t="shared" si="18"/>
        <v>55.633887942136468</v>
      </c>
      <c r="G82" s="18">
        <f t="shared" si="19"/>
        <v>12.838589525108414</v>
      </c>
      <c r="H82" s="17">
        <f t="shared" si="20"/>
        <v>42.25</v>
      </c>
      <c r="I82" s="17">
        <f t="shared" si="21"/>
        <v>9.75</v>
      </c>
      <c r="J82" s="17">
        <f t="shared" si="22"/>
        <v>-117</v>
      </c>
      <c r="K82" s="17">
        <f t="shared" si="23"/>
        <v>18</v>
      </c>
      <c r="L82" s="17">
        <f t="shared" si="24"/>
        <v>455</v>
      </c>
      <c r="M82" s="17">
        <f t="shared" si="25"/>
        <v>60</v>
      </c>
      <c r="N82" s="17">
        <f t="shared" si="26"/>
        <v>338</v>
      </c>
      <c r="O82" s="17">
        <f t="shared" si="27"/>
        <v>78</v>
      </c>
      <c r="Q82" s="18">
        <f t="shared" si="9"/>
        <v>-43.356751278115752</v>
      </c>
      <c r="R82" s="18">
        <f t="shared" si="10"/>
        <v>57.494595858896361</v>
      </c>
      <c r="S82" s="18">
        <f t="shared" si="11"/>
        <v>814.64324872188422</v>
      </c>
      <c r="T82" s="18">
        <f t="shared" si="12"/>
        <v>120.49459585889636</v>
      </c>
      <c r="U82" s="18">
        <f t="shared" si="13"/>
        <v>639.14324872188422</v>
      </c>
      <c r="V82" s="18">
        <f t="shared" si="14"/>
        <v>147.49459585889636</v>
      </c>
      <c r="W82" s="18">
        <f t="shared" si="28"/>
        <v>3.5</v>
      </c>
    </row>
    <row r="83" spans="2:23" x14ac:dyDescent="0.25">
      <c r="B83" s="44"/>
      <c r="C83" s="3">
        <v>9</v>
      </c>
      <c r="D83" s="18">
        <f t="shared" si="29"/>
        <v>4</v>
      </c>
      <c r="F83" s="18">
        <f t="shared" si="18"/>
        <v>61.230196196670903</v>
      </c>
      <c r="G83" s="18">
        <f t="shared" si="19"/>
        <v>9.5466434930293342</v>
      </c>
      <c r="H83" s="17">
        <f t="shared" si="20"/>
        <v>46.5</v>
      </c>
      <c r="I83" s="17">
        <f t="shared" si="21"/>
        <v>7.25</v>
      </c>
      <c r="J83" s="17">
        <f t="shared" si="22"/>
        <v>-108</v>
      </c>
      <c r="K83" s="17">
        <f t="shared" si="23"/>
        <v>18</v>
      </c>
      <c r="L83" s="17">
        <f t="shared" si="24"/>
        <v>480</v>
      </c>
      <c r="M83" s="17">
        <f t="shared" si="25"/>
        <v>40</v>
      </c>
      <c r="N83" s="17">
        <f t="shared" si="26"/>
        <v>372</v>
      </c>
      <c r="O83" s="17">
        <f t="shared" si="27"/>
        <v>58</v>
      </c>
      <c r="Q83" s="18">
        <f t="shared" si="9"/>
        <v>-16.564235134494282</v>
      </c>
      <c r="R83" s="18">
        <f t="shared" si="10"/>
        <v>49.675468715589602</v>
      </c>
      <c r="S83" s="18">
        <f t="shared" si="11"/>
        <v>865.43576486550569</v>
      </c>
      <c r="T83" s="18">
        <f t="shared" si="12"/>
        <v>82.675468715589602</v>
      </c>
      <c r="U83" s="18">
        <f t="shared" si="13"/>
        <v>703.43576486550569</v>
      </c>
      <c r="V83" s="18">
        <f t="shared" si="14"/>
        <v>109.6754687155896</v>
      </c>
      <c r="W83" s="18">
        <f t="shared" si="28"/>
        <v>4</v>
      </c>
    </row>
    <row r="84" spans="2:23" x14ac:dyDescent="0.25">
      <c r="B84" s="44"/>
      <c r="C84" s="3">
        <v>10</v>
      </c>
      <c r="D84" s="18">
        <f t="shared" si="29"/>
        <v>4.5</v>
      </c>
      <c r="F84" s="18">
        <f t="shared" si="18"/>
        <v>65.18053143516579</v>
      </c>
      <c r="G84" s="18">
        <f t="shared" si="19"/>
        <v>6.2546974609502533</v>
      </c>
      <c r="H84" s="17">
        <f t="shared" si="20"/>
        <v>49.5</v>
      </c>
      <c r="I84" s="17">
        <f t="shared" si="21"/>
        <v>4.75</v>
      </c>
      <c r="J84" s="17">
        <f t="shared" si="22"/>
        <v>-99</v>
      </c>
      <c r="K84" s="17">
        <f t="shared" si="23"/>
        <v>18</v>
      </c>
      <c r="L84" s="17">
        <f t="shared" si="24"/>
        <v>495</v>
      </c>
      <c r="M84" s="17">
        <f t="shared" si="25"/>
        <v>20</v>
      </c>
      <c r="N84" s="17">
        <f t="shared" si="26"/>
        <v>396</v>
      </c>
      <c r="O84" s="17">
        <f t="shared" si="27"/>
        <v>38</v>
      </c>
      <c r="Q84" s="18">
        <f t="shared" si="9"/>
        <v>6.318717437473822</v>
      </c>
      <c r="R84" s="18">
        <f t="shared" si="10"/>
        <v>41.856341572282844</v>
      </c>
      <c r="S84" s="18">
        <f t="shared" si="11"/>
        <v>897.31871743747388</v>
      </c>
      <c r="T84" s="18">
        <f t="shared" si="12"/>
        <v>44.856341572282844</v>
      </c>
      <c r="U84" s="18">
        <f t="shared" si="13"/>
        <v>748.81871743747388</v>
      </c>
      <c r="V84" s="18">
        <f t="shared" si="14"/>
        <v>71.856341572282844</v>
      </c>
      <c r="W84" s="18">
        <f t="shared" si="28"/>
        <v>4.5</v>
      </c>
    </row>
    <row r="85" spans="2:23" x14ac:dyDescent="0.25">
      <c r="B85" s="44"/>
      <c r="C85" s="3">
        <v>11</v>
      </c>
      <c r="D85" s="18">
        <f t="shared" si="29"/>
        <v>5</v>
      </c>
      <c r="F85" s="18">
        <f t="shared" si="18"/>
        <v>67.484893657621157</v>
      </c>
      <c r="G85" s="18">
        <f t="shared" si="19"/>
        <v>2.9627514288711727</v>
      </c>
      <c r="H85" s="17">
        <f t="shared" si="20"/>
        <v>51.25</v>
      </c>
      <c r="I85" s="17">
        <f t="shared" si="21"/>
        <v>2.25</v>
      </c>
      <c r="J85" s="17">
        <f t="shared" si="22"/>
        <v>-90</v>
      </c>
      <c r="K85" s="17">
        <f t="shared" si="23"/>
        <v>18</v>
      </c>
      <c r="L85" s="17">
        <f t="shared" si="24"/>
        <v>500</v>
      </c>
      <c r="M85" s="17">
        <f t="shared" si="25"/>
        <v>0</v>
      </c>
      <c r="N85" s="17">
        <f t="shared" si="26"/>
        <v>410</v>
      </c>
      <c r="O85" s="17">
        <f t="shared" si="27"/>
        <v>18</v>
      </c>
      <c r="Q85" s="18">
        <f t="shared" si="9"/>
        <v>25.292106437788561</v>
      </c>
      <c r="R85" s="18">
        <f t="shared" si="10"/>
        <v>34.037214428976085</v>
      </c>
      <c r="S85" s="18">
        <f t="shared" si="11"/>
        <v>910.29210643778856</v>
      </c>
      <c r="T85" s="18">
        <f t="shared" si="12"/>
        <v>7.0372144289760827</v>
      </c>
      <c r="U85" s="18">
        <f t="shared" si="13"/>
        <v>775.29210643778856</v>
      </c>
      <c r="V85" s="18">
        <f t="shared" si="14"/>
        <v>34.037214428976085</v>
      </c>
      <c r="W85" s="18">
        <f t="shared" si="28"/>
        <v>5</v>
      </c>
    </row>
    <row r="86" spans="2:23" x14ac:dyDescent="0.25">
      <c r="B86" s="44"/>
      <c r="C86" s="3">
        <v>12</v>
      </c>
      <c r="D86" s="18">
        <f t="shared" si="29"/>
        <v>5.5</v>
      </c>
      <c r="F86" s="18">
        <f t="shared" si="18"/>
        <v>68.143282864036962</v>
      </c>
      <c r="G86" s="18">
        <f t="shared" si="19"/>
        <v>-0.32919460320790783</v>
      </c>
      <c r="H86" s="17">
        <f t="shared" si="20"/>
        <v>51.75</v>
      </c>
      <c r="I86" s="17">
        <f t="shared" si="21"/>
        <v>-0.25</v>
      </c>
      <c r="J86" s="17">
        <f t="shared" si="22"/>
        <v>-81</v>
      </c>
      <c r="K86" s="17">
        <f t="shared" si="23"/>
        <v>18</v>
      </c>
      <c r="L86" s="17">
        <f t="shared" si="24"/>
        <v>495</v>
      </c>
      <c r="M86" s="17">
        <f t="shared" si="25"/>
        <v>-20</v>
      </c>
      <c r="N86" s="17">
        <f t="shared" si="26"/>
        <v>414</v>
      </c>
      <c r="O86" s="17">
        <f t="shared" si="27"/>
        <v>-2</v>
      </c>
      <c r="Q86" s="18">
        <f t="shared" si="9"/>
        <v>40.355931866449907</v>
      </c>
      <c r="R86" s="18">
        <f t="shared" si="10"/>
        <v>26.218087285669323</v>
      </c>
      <c r="S86" s="18">
        <f t="shared" si="11"/>
        <v>904.35593186644996</v>
      </c>
      <c r="T86" s="18">
        <f t="shared" si="12"/>
        <v>-30.781912714330677</v>
      </c>
      <c r="U86" s="18">
        <f t="shared" si="13"/>
        <v>782.85593186644996</v>
      </c>
      <c r="V86" s="18">
        <f t="shared" si="14"/>
        <v>-3.7819127143306757</v>
      </c>
      <c r="W86" s="18">
        <f t="shared" si="28"/>
        <v>5.5</v>
      </c>
    </row>
    <row r="87" spans="2:23" x14ac:dyDescent="0.25">
      <c r="B87" s="44"/>
      <c r="C87" s="3">
        <v>13</v>
      </c>
      <c r="D87" s="18">
        <f t="shared" si="29"/>
        <v>6</v>
      </c>
      <c r="F87" s="18">
        <f t="shared" si="18"/>
        <v>67.155699054413247</v>
      </c>
      <c r="G87" s="18">
        <f t="shared" si="19"/>
        <v>-3.6211406352869884</v>
      </c>
      <c r="H87" s="17">
        <f t="shared" si="20"/>
        <v>51</v>
      </c>
      <c r="I87" s="17">
        <f t="shared" si="21"/>
        <v>-2.75</v>
      </c>
      <c r="J87" s="17">
        <f t="shared" si="22"/>
        <v>-72</v>
      </c>
      <c r="K87" s="17">
        <f t="shared" si="23"/>
        <v>18</v>
      </c>
      <c r="L87" s="17">
        <f t="shared" si="24"/>
        <v>480</v>
      </c>
      <c r="M87" s="17">
        <f t="shared" si="25"/>
        <v>-40</v>
      </c>
      <c r="N87" s="17">
        <f t="shared" si="26"/>
        <v>408</v>
      </c>
      <c r="O87" s="17">
        <f t="shared" si="27"/>
        <v>-22</v>
      </c>
      <c r="Q87" s="18">
        <f t="shared" si="9"/>
        <v>51.510193723457888</v>
      </c>
      <c r="R87" s="18">
        <f t="shared" si="10"/>
        <v>18.398960142362565</v>
      </c>
      <c r="S87" s="18">
        <f t="shared" si="11"/>
        <v>879.51019372345786</v>
      </c>
      <c r="T87" s="18">
        <f t="shared" si="12"/>
        <v>-68.601039857637431</v>
      </c>
      <c r="U87" s="18">
        <f t="shared" si="13"/>
        <v>771.51019372345786</v>
      </c>
      <c r="V87" s="18">
        <f t="shared" si="14"/>
        <v>-41.601039857637431</v>
      </c>
      <c r="W87" s="18">
        <f t="shared" si="28"/>
        <v>6</v>
      </c>
    </row>
    <row r="88" spans="2:23" x14ac:dyDescent="0.25">
      <c r="B88" s="44"/>
      <c r="C88" s="3">
        <v>14</v>
      </c>
      <c r="D88" s="18">
        <f t="shared" si="29"/>
        <v>6.5</v>
      </c>
      <c r="F88" s="18">
        <f t="shared" si="18"/>
        <v>64.522142228749985</v>
      </c>
      <c r="G88" s="18">
        <f t="shared" si="19"/>
        <v>-6.9130866673660698</v>
      </c>
      <c r="H88" s="17">
        <f t="shared" si="20"/>
        <v>49</v>
      </c>
      <c r="I88" s="17">
        <f t="shared" si="21"/>
        <v>-5.25</v>
      </c>
      <c r="J88" s="17">
        <f t="shared" si="22"/>
        <v>-63</v>
      </c>
      <c r="K88" s="17">
        <f t="shared" si="23"/>
        <v>18</v>
      </c>
      <c r="L88" s="17">
        <f t="shared" si="24"/>
        <v>455</v>
      </c>
      <c r="M88" s="17">
        <f t="shared" si="25"/>
        <v>-60</v>
      </c>
      <c r="N88" s="17">
        <f t="shared" si="26"/>
        <v>392</v>
      </c>
      <c r="O88" s="17">
        <f t="shared" si="27"/>
        <v>-42</v>
      </c>
      <c r="Q88" s="18">
        <f t="shared" si="9"/>
        <v>58.754892008812476</v>
      </c>
      <c r="R88" s="18">
        <f t="shared" si="10"/>
        <v>10.579832999055803</v>
      </c>
      <c r="S88" s="18">
        <f t="shared" si="11"/>
        <v>835.75489200881248</v>
      </c>
      <c r="T88" s="18">
        <f t="shared" si="12"/>
        <v>-106.42016700094419</v>
      </c>
      <c r="U88" s="18">
        <f t="shared" si="13"/>
        <v>741.25489200881248</v>
      </c>
      <c r="V88" s="18">
        <f t="shared" si="14"/>
        <v>-79.42016700094419</v>
      </c>
      <c r="W88" s="18">
        <f t="shared" si="28"/>
        <v>6.5</v>
      </c>
    </row>
    <row r="89" spans="2:23" x14ac:dyDescent="0.25">
      <c r="B89" s="44"/>
      <c r="C89" s="3">
        <v>15</v>
      </c>
      <c r="D89" s="18">
        <f t="shared" si="29"/>
        <v>7</v>
      </c>
      <c r="F89" s="18">
        <f t="shared" si="18"/>
        <v>60.242612387047174</v>
      </c>
      <c r="G89" s="18">
        <f t="shared" si="19"/>
        <v>-10.20503269944515</v>
      </c>
      <c r="H89" s="17">
        <f t="shared" si="20"/>
        <v>45.75</v>
      </c>
      <c r="I89" s="17">
        <f t="shared" si="21"/>
        <v>-7.75</v>
      </c>
      <c r="J89" s="17">
        <f t="shared" si="22"/>
        <v>-54</v>
      </c>
      <c r="K89" s="17">
        <f t="shared" si="23"/>
        <v>18</v>
      </c>
      <c r="L89" s="17">
        <f t="shared" si="24"/>
        <v>420</v>
      </c>
      <c r="M89" s="17">
        <f t="shared" si="25"/>
        <v>-80</v>
      </c>
      <c r="N89" s="17">
        <f t="shared" si="26"/>
        <v>366</v>
      </c>
      <c r="O89" s="17">
        <f t="shared" si="27"/>
        <v>-62</v>
      </c>
      <c r="Q89" s="18">
        <f t="shared" si="9"/>
        <v>62.090026722513699</v>
      </c>
      <c r="R89" s="18">
        <f t="shared" si="10"/>
        <v>2.7607058557490483</v>
      </c>
      <c r="S89" s="18">
        <f t="shared" si="11"/>
        <v>773.0900267225137</v>
      </c>
      <c r="T89" s="18">
        <f t="shared" si="12"/>
        <v>-144.23929414425095</v>
      </c>
      <c r="U89" s="18">
        <f t="shared" si="13"/>
        <v>692.0900267225137</v>
      </c>
      <c r="V89" s="18">
        <f t="shared" si="14"/>
        <v>-117.23929414425095</v>
      </c>
      <c r="W89" s="18">
        <f t="shared" si="28"/>
        <v>7</v>
      </c>
    </row>
    <row r="90" spans="2:23" x14ac:dyDescent="0.25">
      <c r="B90" s="44"/>
      <c r="C90" s="3">
        <v>16</v>
      </c>
      <c r="D90" s="18">
        <f t="shared" si="29"/>
        <v>7.5</v>
      </c>
      <c r="F90" s="18">
        <f t="shared" si="18"/>
        <v>54.31710952930483</v>
      </c>
      <c r="G90" s="18">
        <f t="shared" si="19"/>
        <v>-13.49697873152423</v>
      </c>
      <c r="H90" s="17">
        <f t="shared" si="20"/>
        <v>41.25</v>
      </c>
      <c r="I90" s="17">
        <f t="shared" si="21"/>
        <v>-10.25</v>
      </c>
      <c r="J90" s="17">
        <f t="shared" si="22"/>
        <v>-45</v>
      </c>
      <c r="K90" s="17">
        <f t="shared" si="23"/>
        <v>18</v>
      </c>
      <c r="L90" s="17">
        <f t="shared" si="24"/>
        <v>375</v>
      </c>
      <c r="M90" s="17">
        <f t="shared" si="25"/>
        <v>-100</v>
      </c>
      <c r="N90" s="17">
        <f t="shared" si="26"/>
        <v>330</v>
      </c>
      <c r="O90" s="17">
        <f t="shared" si="27"/>
        <v>-82</v>
      </c>
      <c r="Q90" s="18">
        <f t="shared" si="9"/>
        <v>61.515597864561528</v>
      </c>
      <c r="R90" s="18">
        <f t="shared" si="10"/>
        <v>-5.0584212875577137</v>
      </c>
      <c r="S90" s="18">
        <f t="shared" si="11"/>
        <v>691.51559786456153</v>
      </c>
      <c r="T90" s="18">
        <f t="shared" si="12"/>
        <v>-182.05842128755771</v>
      </c>
      <c r="U90" s="18">
        <f t="shared" si="13"/>
        <v>624.01559786456153</v>
      </c>
      <c r="V90" s="18">
        <f t="shared" si="14"/>
        <v>-155.05842128755771</v>
      </c>
      <c r="W90" s="18">
        <f t="shared" si="28"/>
        <v>7.5</v>
      </c>
    </row>
    <row r="91" spans="2:23" x14ac:dyDescent="0.25">
      <c r="B91" s="44"/>
      <c r="C91" s="3">
        <v>17</v>
      </c>
      <c r="D91" s="18">
        <f t="shared" si="29"/>
        <v>8</v>
      </c>
      <c r="F91" s="18">
        <f t="shared" si="18"/>
        <v>46.745633655522944</v>
      </c>
      <c r="G91" s="18">
        <f t="shared" si="19"/>
        <v>-16.788924763603312</v>
      </c>
      <c r="H91" s="17">
        <f t="shared" si="20"/>
        <v>35.5</v>
      </c>
      <c r="I91" s="17">
        <f t="shared" si="21"/>
        <v>-12.75</v>
      </c>
      <c r="J91" s="17">
        <f t="shared" si="22"/>
        <v>-36</v>
      </c>
      <c r="K91" s="17">
        <f t="shared" si="23"/>
        <v>18</v>
      </c>
      <c r="L91" s="17">
        <f t="shared" si="24"/>
        <v>320</v>
      </c>
      <c r="M91" s="17">
        <f t="shared" si="25"/>
        <v>-120</v>
      </c>
      <c r="N91" s="17">
        <f t="shared" si="26"/>
        <v>284</v>
      </c>
      <c r="O91" s="17">
        <f t="shared" si="27"/>
        <v>-102</v>
      </c>
      <c r="Q91" s="18">
        <f t="shared" si="9"/>
        <v>57.031605434955978</v>
      </c>
      <c r="R91" s="18">
        <f t="shared" si="10"/>
        <v>-12.877548430864472</v>
      </c>
      <c r="S91" s="18">
        <f t="shared" si="11"/>
        <v>591.03160543495596</v>
      </c>
      <c r="T91" s="18">
        <f t="shared" si="12"/>
        <v>-219.87754843086446</v>
      </c>
      <c r="U91" s="18">
        <f t="shared" si="13"/>
        <v>537.03160543495596</v>
      </c>
      <c r="V91" s="18">
        <f t="shared" si="14"/>
        <v>-192.87754843086446</v>
      </c>
      <c r="W91" s="18">
        <f t="shared" si="28"/>
        <v>8</v>
      </c>
    </row>
    <row r="92" spans="2:23" x14ac:dyDescent="0.25">
      <c r="B92" s="44"/>
      <c r="C92" s="3">
        <v>18</v>
      </c>
      <c r="D92" s="18">
        <f t="shared" si="29"/>
        <v>8.5</v>
      </c>
      <c r="F92" s="18">
        <f t="shared" si="18"/>
        <v>37.528184765701518</v>
      </c>
      <c r="G92" s="18">
        <f t="shared" si="19"/>
        <v>-20.08087079568239</v>
      </c>
      <c r="H92" s="17">
        <f t="shared" si="20"/>
        <v>28.5</v>
      </c>
      <c r="I92" s="17">
        <f t="shared" si="21"/>
        <v>-15.25</v>
      </c>
      <c r="J92" s="17">
        <f t="shared" si="22"/>
        <v>-27</v>
      </c>
      <c r="K92" s="17">
        <f t="shared" si="23"/>
        <v>18</v>
      </c>
      <c r="L92" s="17">
        <f t="shared" si="24"/>
        <v>255</v>
      </c>
      <c r="M92" s="17">
        <f t="shared" si="25"/>
        <v>-140</v>
      </c>
      <c r="N92" s="17">
        <f t="shared" si="26"/>
        <v>228</v>
      </c>
      <c r="O92" s="17">
        <f t="shared" si="27"/>
        <v>-122</v>
      </c>
      <c r="Q92" s="18">
        <f t="shared" si="9"/>
        <v>48.638049433697063</v>
      </c>
      <c r="R92" s="18">
        <f t="shared" si="10"/>
        <v>-20.696675574171223</v>
      </c>
      <c r="S92" s="18">
        <f t="shared" si="11"/>
        <v>471.63804943369706</v>
      </c>
      <c r="T92" s="18">
        <f t="shared" si="12"/>
        <v>-257.69667557417119</v>
      </c>
      <c r="U92" s="18">
        <f t="shared" si="13"/>
        <v>431.13804943369706</v>
      </c>
      <c r="V92" s="18">
        <f t="shared" si="14"/>
        <v>-230.69667557417122</v>
      </c>
      <c r="W92" s="18">
        <f t="shared" si="28"/>
        <v>8.5</v>
      </c>
    </row>
    <row r="93" spans="2:23" x14ac:dyDescent="0.25">
      <c r="B93" s="44"/>
      <c r="C93" s="3">
        <v>19</v>
      </c>
      <c r="D93" s="18">
        <f t="shared" si="29"/>
        <v>9</v>
      </c>
      <c r="F93" s="18">
        <f t="shared" si="18"/>
        <v>26.664762859840554</v>
      </c>
      <c r="G93" s="18">
        <f t="shared" si="19"/>
        <v>-23.372816827761472</v>
      </c>
      <c r="H93" s="17">
        <f t="shared" si="20"/>
        <v>20.25</v>
      </c>
      <c r="I93" s="17">
        <f t="shared" si="21"/>
        <v>-17.75</v>
      </c>
      <c r="J93" s="17">
        <f t="shared" si="22"/>
        <v>-18</v>
      </c>
      <c r="K93" s="17">
        <f t="shared" si="23"/>
        <v>18</v>
      </c>
      <c r="L93" s="17">
        <f t="shared" si="24"/>
        <v>180</v>
      </c>
      <c r="M93" s="17">
        <f t="shared" si="25"/>
        <v>-160</v>
      </c>
      <c r="N93" s="17">
        <f t="shared" si="26"/>
        <v>162</v>
      </c>
      <c r="O93" s="17">
        <f t="shared" si="27"/>
        <v>-142</v>
      </c>
      <c r="Q93" s="18">
        <f t="shared" si="9"/>
        <v>36.334929860784747</v>
      </c>
      <c r="R93" s="18">
        <f t="shared" si="10"/>
        <v>-28.515802717477989</v>
      </c>
      <c r="S93" s="18">
        <f t="shared" si="11"/>
        <v>333.33492986078477</v>
      </c>
      <c r="T93" s="18">
        <f t="shared" si="12"/>
        <v>-295.51580271747798</v>
      </c>
      <c r="U93" s="18">
        <f t="shared" si="13"/>
        <v>306.33492986078477</v>
      </c>
      <c r="V93" s="18">
        <f t="shared" si="14"/>
        <v>-268.51580271747798</v>
      </c>
      <c r="W93" s="18">
        <f t="shared" si="28"/>
        <v>9</v>
      </c>
    </row>
    <row r="94" spans="2:23" x14ac:dyDescent="0.25">
      <c r="B94" s="44"/>
      <c r="C94" s="3">
        <v>20</v>
      </c>
      <c r="D94" s="18">
        <f t="shared" si="29"/>
        <v>9.5</v>
      </c>
      <c r="F94" s="18">
        <f t="shared" si="18"/>
        <v>14.155367937940046</v>
      </c>
      <c r="G94" s="18">
        <f t="shared" si="19"/>
        <v>-26.664762859840554</v>
      </c>
      <c r="H94" s="17">
        <f t="shared" si="20"/>
        <v>10.75</v>
      </c>
      <c r="I94" s="17">
        <f t="shared" si="21"/>
        <v>-20.25</v>
      </c>
      <c r="J94" s="17">
        <f t="shared" si="22"/>
        <v>-9</v>
      </c>
      <c r="K94" s="17">
        <f t="shared" si="23"/>
        <v>18</v>
      </c>
      <c r="L94" s="17">
        <f t="shared" si="24"/>
        <v>95</v>
      </c>
      <c r="M94" s="17">
        <f t="shared" si="25"/>
        <v>-180</v>
      </c>
      <c r="N94" s="17">
        <f t="shared" si="26"/>
        <v>86</v>
      </c>
      <c r="O94" s="17">
        <f t="shared" si="27"/>
        <v>-162</v>
      </c>
      <c r="Q94" s="18">
        <f t="shared" si="9"/>
        <v>20.122246716219067</v>
      </c>
      <c r="R94" s="18">
        <f t="shared" si="10"/>
        <v>-36.334929860784747</v>
      </c>
      <c r="S94" s="18">
        <f t="shared" si="11"/>
        <v>176.12224671621908</v>
      </c>
      <c r="T94" s="18">
        <f t="shared" si="12"/>
        <v>-333.33492986078477</v>
      </c>
      <c r="U94" s="18">
        <f t="shared" si="13"/>
        <v>162.62224671621908</v>
      </c>
      <c r="V94" s="18">
        <f t="shared" si="14"/>
        <v>-306.33492986078477</v>
      </c>
      <c r="W94" s="18">
        <f t="shared" si="28"/>
        <v>9.5</v>
      </c>
    </row>
    <row r="95" spans="2:23" x14ac:dyDescent="0.25">
      <c r="B95" s="45"/>
      <c r="C95" s="3">
        <v>21</v>
      </c>
      <c r="D95" s="18">
        <f t="shared" si="29"/>
        <v>10</v>
      </c>
      <c r="F95" s="18">
        <f t="shared" si="18"/>
        <v>0</v>
      </c>
      <c r="G95" s="18">
        <f t="shared" si="19"/>
        <v>-29.956708891919632</v>
      </c>
      <c r="H95" s="17">
        <f t="shared" si="20"/>
        <v>0</v>
      </c>
      <c r="I95" s="17">
        <f t="shared" si="21"/>
        <v>-22.75</v>
      </c>
      <c r="J95" s="17">
        <f t="shared" si="22"/>
        <v>0</v>
      </c>
      <c r="K95" s="17">
        <f t="shared" si="23"/>
        <v>18</v>
      </c>
      <c r="L95" s="17">
        <f t="shared" si="24"/>
        <v>0</v>
      </c>
      <c r="M95" s="17">
        <f t="shared" si="25"/>
        <v>-200</v>
      </c>
      <c r="N95" s="17">
        <f t="shared" si="26"/>
        <v>0</v>
      </c>
      <c r="O95" s="17">
        <f t="shared" si="27"/>
        <v>-182</v>
      </c>
      <c r="Q95" s="18">
        <f t="shared" si="9"/>
        <v>0</v>
      </c>
      <c r="R95" s="18">
        <f t="shared" si="10"/>
        <v>-44.154057004091513</v>
      </c>
      <c r="S95" s="18">
        <f t="shared" si="11"/>
        <v>0</v>
      </c>
      <c r="T95" s="18">
        <f t="shared" si="12"/>
        <v>-371.1540570040915</v>
      </c>
      <c r="U95" s="18">
        <f t="shared" si="13"/>
        <v>0</v>
      </c>
      <c r="V95" s="18">
        <f t="shared" si="14"/>
        <v>-344.1540570040915</v>
      </c>
      <c r="W95" s="18">
        <f t="shared" si="28"/>
        <v>10</v>
      </c>
    </row>
    <row r="98" spans="5:22" x14ac:dyDescent="0.25">
      <c r="E98" s="2" t="s">
        <v>178</v>
      </c>
      <c r="F98" s="25">
        <f>MAX(F$64:F$95)</f>
        <v>68.143282864036962</v>
      </c>
      <c r="H98" s="25">
        <f>MAX(H$64:H$95)</f>
        <v>51.75</v>
      </c>
      <c r="J98" s="25">
        <f>MAX(J$64:J$95)</f>
        <v>0</v>
      </c>
      <c r="L98" s="25">
        <f>MAX(L$64:L$95)</f>
        <v>500</v>
      </c>
      <c r="N98" s="25">
        <f>MAX(N$64:N$95)</f>
        <v>414</v>
      </c>
      <c r="Q98" s="25">
        <f>MAX(Q$64:Q$95)</f>
        <v>62.090026722513699</v>
      </c>
      <c r="S98" s="25">
        <f>MAX(S$64:S$95)</f>
        <v>910.29210643778856</v>
      </c>
      <c r="U98" s="25">
        <f>MAX(U$64:U$95)</f>
        <v>782.85593186644996</v>
      </c>
    </row>
    <row r="99" spans="5:22" x14ac:dyDescent="0.25">
      <c r="E99" s="2" t="s">
        <v>179</v>
      </c>
      <c r="F99" s="25">
        <f>MIN(F$64:F$95)</f>
        <v>-29.62751428871173</v>
      </c>
      <c r="H99" s="25">
        <f>MIN(H$64:H$95)</f>
        <v>-22.5</v>
      </c>
      <c r="J99" s="25">
        <f>MIN(J$64:J$95)</f>
        <v>-180</v>
      </c>
      <c r="L99" s="25">
        <f>MIN(L$64:L$95)</f>
        <v>0</v>
      </c>
      <c r="N99" s="25">
        <f>MIN(N$64:N$95)</f>
        <v>-180</v>
      </c>
      <c r="Q99" s="25">
        <f>MIN(Q$64:Q$95)</f>
        <v>-340.37214428976085</v>
      </c>
      <c r="S99" s="25">
        <f>MIN(S$64:S$95)</f>
        <v>-70.37214428976084</v>
      </c>
      <c r="U99" s="25">
        <f>MIN(U$64:U$95)</f>
        <v>-340.37214428976085</v>
      </c>
    </row>
    <row r="100" spans="5:22" x14ac:dyDescent="0.25">
      <c r="E100" s="2" t="s">
        <v>180</v>
      </c>
      <c r="F100" s="3"/>
      <c r="G100" s="25">
        <f>MAX(G$64:G$95)</f>
        <v>35.882211749661977</v>
      </c>
      <c r="H100" s="3"/>
      <c r="I100" s="25">
        <f>MAX(I$64:I$95)</f>
        <v>27.25</v>
      </c>
      <c r="J100" s="3"/>
      <c r="K100" s="25">
        <f>MAX(K$64:K$95)</f>
        <v>18</v>
      </c>
      <c r="L100" s="3"/>
      <c r="M100" s="25">
        <f>MAX(M$64:M$95)</f>
        <v>200</v>
      </c>
      <c r="N100" s="3"/>
      <c r="O100" s="25">
        <f>MAX(O$64:O$95)</f>
        <v>218</v>
      </c>
      <c r="Q100" s="3"/>
      <c r="R100" s="25">
        <f>MAX(R$64:R$95)</f>
        <v>112.22848586204367</v>
      </c>
      <c r="S100" s="3"/>
      <c r="T100" s="25">
        <f>MAX(T$64:T$95)</f>
        <v>385.22848586204367</v>
      </c>
      <c r="U100" s="3"/>
      <c r="V100" s="25">
        <f>MAX(V$64:V$95)</f>
        <v>412.22848586204367</v>
      </c>
    </row>
    <row r="101" spans="5:22" x14ac:dyDescent="0.25">
      <c r="E101" s="2" t="s">
        <v>181</v>
      </c>
      <c r="F101" s="3"/>
      <c r="G101" s="25">
        <f>MIN(G$64:G$95)</f>
        <v>-29.956708891919632</v>
      </c>
      <c r="H101" s="3"/>
      <c r="I101" s="25">
        <f>MIN(I$64:I$95)</f>
        <v>-22.75</v>
      </c>
      <c r="J101" s="3"/>
      <c r="K101" s="25">
        <f>MIN(K$64:K$95)</f>
        <v>-120</v>
      </c>
      <c r="L101" s="3"/>
      <c r="M101" s="25">
        <f>MIN(M$64:M$95)</f>
        <v>-200</v>
      </c>
      <c r="N101" s="3"/>
      <c r="O101" s="25">
        <f>MIN(O$64:O$95)</f>
        <v>-182</v>
      </c>
      <c r="Q101" s="3"/>
      <c r="R101" s="25">
        <f>MIN(R$64:R$95)</f>
        <v>-226.91476285984055</v>
      </c>
      <c r="S101" s="3"/>
      <c r="T101" s="25">
        <f>MIN(T$64:T$95)</f>
        <v>-371.1540570040915</v>
      </c>
      <c r="U101" s="3"/>
      <c r="V101" s="25">
        <f>MIN(V$64:V$95)</f>
        <v>-344.1540570040915</v>
      </c>
    </row>
    <row r="104" spans="5:22" x14ac:dyDescent="0.25">
      <c r="P104" s="2" t="s">
        <v>182</v>
      </c>
      <c r="Q104" s="25">
        <f>MAX(Q98:U98)</f>
        <v>910.29210643778856</v>
      </c>
    </row>
    <row r="105" spans="5:22" x14ac:dyDescent="0.25">
      <c r="P105" s="2" t="s">
        <v>183</v>
      </c>
      <c r="Q105" s="25">
        <f>MIN(Q99:U99)</f>
        <v>-340.37214428976085</v>
      </c>
    </row>
    <row r="106" spans="5:22" x14ac:dyDescent="0.25">
      <c r="P106" s="2" t="s">
        <v>184</v>
      </c>
      <c r="Q106" s="25">
        <f>MAX(R100:V100)</f>
        <v>412.22848586204367</v>
      </c>
    </row>
    <row r="107" spans="5:22" x14ac:dyDescent="0.25">
      <c r="P107" s="2" t="s">
        <v>185</v>
      </c>
      <c r="Q107" s="25">
        <f>MIN(R101:V101)</f>
        <v>-371.1540570040915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T134"/>
  <sheetViews>
    <sheetView tabSelected="1" topLeftCell="A121" workbookViewId="0">
      <selection activeCell="D127" sqref="D127"/>
    </sheetView>
  </sheetViews>
  <sheetFormatPr baseColWidth="10" defaultRowHeight="15" x14ac:dyDescent="0.25"/>
  <sheetData>
    <row r="4" spans="3:6" x14ac:dyDescent="0.25">
      <c r="C4" s="2" t="s">
        <v>140</v>
      </c>
      <c r="D4" s="4">
        <v>19</v>
      </c>
      <c r="E4" t="s">
        <v>2</v>
      </c>
    </row>
    <row r="5" spans="3:6" x14ac:dyDescent="0.25">
      <c r="C5" s="2" t="s">
        <v>141</v>
      </c>
      <c r="D5" s="4">
        <v>100</v>
      </c>
      <c r="E5" t="s">
        <v>2</v>
      </c>
    </row>
    <row r="6" spans="3:6" x14ac:dyDescent="0.25">
      <c r="C6" s="2" t="s">
        <v>142</v>
      </c>
      <c r="D6" s="4">
        <v>450</v>
      </c>
      <c r="E6" t="s">
        <v>17</v>
      </c>
    </row>
    <row r="9" spans="3:6" x14ac:dyDescent="0.25">
      <c r="C9" s="15" t="s">
        <v>143</v>
      </c>
    </row>
    <row r="10" spans="3:6" x14ac:dyDescent="0.25">
      <c r="C10" s="15" t="s">
        <v>144</v>
      </c>
      <c r="D10" s="11">
        <f>0.8*Fusc*PI()*dsc^2/4000/GammaV</f>
        <v>81.656276252105897</v>
      </c>
      <c r="E10" t="s">
        <v>48</v>
      </c>
    </row>
    <row r="11" spans="3:6" x14ac:dyDescent="0.25">
      <c r="C11" s="15" t="s">
        <v>145</v>
      </c>
      <c r="D11" s="10">
        <f>0.29*dsc^2*SQRT(Fck*Ecm*1000)/GammaV/1000</f>
        <v>91.466238161992251</v>
      </c>
      <c r="E11" t="s">
        <v>48</v>
      </c>
    </row>
    <row r="12" spans="3:6" x14ac:dyDescent="0.25">
      <c r="C12" s="15" t="s">
        <v>149</v>
      </c>
      <c r="D12" s="10">
        <f>MIN(PRda,PRdc)</f>
        <v>81.656276252105897</v>
      </c>
      <c r="E12" t="s">
        <v>48</v>
      </c>
    </row>
    <row r="14" spans="3:6" x14ac:dyDescent="0.25">
      <c r="C14" s="15" t="s">
        <v>150</v>
      </c>
    </row>
    <row r="15" spans="3:6" x14ac:dyDescent="0.25">
      <c r="C15" s="58" t="s">
        <v>151</v>
      </c>
      <c r="D15" s="6" t="s">
        <v>152</v>
      </c>
      <c r="E15" s="6" t="s">
        <v>153</v>
      </c>
      <c r="F15" s="6" t="s">
        <v>152</v>
      </c>
    </row>
    <row r="16" spans="3:6" x14ac:dyDescent="0.25">
      <c r="C16" s="16">
        <v>1</v>
      </c>
      <c r="D16" s="23">
        <f>0.7/SQRT(C16)*bm/hbac*(hsc/hbac-1)</f>
        <v>0.71227705112960749</v>
      </c>
      <c r="E16" s="59">
        <v>0.75</v>
      </c>
      <c r="F16" s="23">
        <f>MIN(D16:E16)</f>
        <v>0.71227705112960749</v>
      </c>
    </row>
    <row r="17" spans="3:9" x14ac:dyDescent="0.25">
      <c r="C17" s="16">
        <v>2</v>
      </c>
      <c r="D17" s="23">
        <f>0.7/SQRT(C17)*bm/hbac*(hsc/hbac-1)</f>
        <v>0.5036559329373026</v>
      </c>
      <c r="E17" s="59">
        <v>0.6</v>
      </c>
      <c r="F17" s="23">
        <f>MIN(D17:E17)</f>
        <v>0.5036559329373026</v>
      </c>
    </row>
    <row r="20" spans="3:9" x14ac:dyDescent="0.25">
      <c r="C20" s="15" t="s">
        <v>154</v>
      </c>
    </row>
    <row r="21" spans="3:9" x14ac:dyDescent="0.25">
      <c r="C21" s="58" t="s">
        <v>151</v>
      </c>
      <c r="D21" s="6" t="s">
        <v>149</v>
      </c>
    </row>
    <row r="22" spans="3:9" x14ac:dyDescent="0.25">
      <c r="C22" s="16">
        <v>1</v>
      </c>
      <c r="D22" s="25">
        <f>F16*PRd_dp</f>
        <v>58.161891655074584</v>
      </c>
      <c r="E22" t="s">
        <v>48</v>
      </c>
    </row>
    <row r="23" spans="3:9" x14ac:dyDescent="0.25">
      <c r="C23" s="16">
        <v>2</v>
      </c>
      <c r="D23" s="25">
        <f>F17*PRd_dp</f>
        <v>41.126667995940501</v>
      </c>
      <c r="E23" t="s">
        <v>48</v>
      </c>
    </row>
    <row r="27" spans="3:9" x14ac:dyDescent="0.25">
      <c r="C27" t="s">
        <v>155</v>
      </c>
    </row>
    <row r="28" spans="3:9" x14ac:dyDescent="0.25">
      <c r="D28" s="17">
        <f>(La/ebac)*1000</f>
        <v>14.492753623188406</v>
      </c>
    </row>
    <row r="29" spans="3:9" x14ac:dyDescent="0.25">
      <c r="D29" s="6">
        <f>INT(D28)</f>
        <v>14</v>
      </c>
    </row>
    <row r="30" spans="3:9" x14ac:dyDescent="0.25">
      <c r="C30" s="1" t="s">
        <v>156</v>
      </c>
    </row>
    <row r="31" spans="3:9" x14ac:dyDescent="0.25">
      <c r="C31" s="58" t="s">
        <v>151</v>
      </c>
      <c r="D31" s="6" t="s">
        <v>157</v>
      </c>
    </row>
    <row r="32" spans="3:9" x14ac:dyDescent="0.25">
      <c r="C32" s="16">
        <v>1</v>
      </c>
      <c r="D32" s="25">
        <f>D29*D22/Ns</f>
        <v>1.1177528711950055</v>
      </c>
      <c r="F32" s="14">
        <f>Ns</f>
        <v>728.485253006329</v>
      </c>
      <c r="G32" t="s">
        <v>48</v>
      </c>
      <c r="H32" s="18">
        <f>D29*D22</f>
        <v>814.26648317104423</v>
      </c>
      <c r="I32" s="18">
        <f>D28*D22</f>
        <v>842.92596601557375</v>
      </c>
    </row>
    <row r="33" spans="3:10" x14ac:dyDescent="0.25">
      <c r="C33" s="16">
        <v>2</v>
      </c>
      <c r="D33" s="25">
        <f>D29*D23*C23/Ns</f>
        <v>1.5807412698254435</v>
      </c>
    </row>
    <row r="35" spans="3:10" x14ac:dyDescent="0.25">
      <c r="D35" s="6" t="s">
        <v>160</v>
      </c>
      <c r="E35" s="6" t="s">
        <v>151</v>
      </c>
      <c r="F35" s="16" t="s">
        <v>149</v>
      </c>
      <c r="G35" s="6" t="s">
        <v>161</v>
      </c>
    </row>
    <row r="36" spans="3:10" x14ac:dyDescent="0.25">
      <c r="C36" s="2" t="s">
        <v>158</v>
      </c>
      <c r="D36" s="6">
        <v>0</v>
      </c>
      <c r="E36" s="6">
        <v>2</v>
      </c>
      <c r="F36" s="24">
        <f>IF(E36=2,$D$23,$D$22)</f>
        <v>41.126667995940501</v>
      </c>
      <c r="G36" s="23">
        <f>F36*E36/(ebac/1000)</f>
        <v>397.35911107188895</v>
      </c>
      <c r="J36" s="13">
        <f>G36*D36</f>
        <v>0</v>
      </c>
    </row>
    <row r="37" spans="3:10" x14ac:dyDescent="0.25">
      <c r="C37" s="2" t="s">
        <v>159</v>
      </c>
      <c r="D37" s="6">
        <f>LL-D36</f>
        <v>10</v>
      </c>
      <c r="E37" s="6">
        <v>2</v>
      </c>
      <c r="F37" s="24">
        <f>IF(E37=2,$D$23,$D$22)</f>
        <v>41.126667995940501</v>
      </c>
      <c r="G37" s="23">
        <f>F37*E37/(ebac/1000)</f>
        <v>397.35911107188895</v>
      </c>
      <c r="J37" s="13">
        <f>G37*D37</f>
        <v>3973.5911107188895</v>
      </c>
    </row>
    <row r="40" spans="3:10" x14ac:dyDescent="0.25">
      <c r="C40" t="s">
        <v>162</v>
      </c>
    </row>
    <row r="41" spans="3:10" x14ac:dyDescent="0.25">
      <c r="C41" t="s">
        <v>163</v>
      </c>
    </row>
    <row r="42" spans="3:10" x14ac:dyDescent="0.25">
      <c r="D42" s="3" t="s">
        <v>164</v>
      </c>
      <c r="E42" s="3" t="s">
        <v>165</v>
      </c>
    </row>
    <row r="43" spans="3:10" x14ac:dyDescent="0.25">
      <c r="C43" s="2" t="s">
        <v>158</v>
      </c>
      <c r="D43" s="17">
        <f>MIN(Ns/G36,D36)</f>
        <v>0</v>
      </c>
      <c r="E43" s="17">
        <f>D36-D43</f>
        <v>0</v>
      </c>
    </row>
    <row r="44" spans="3:10" x14ac:dyDescent="0.25">
      <c r="C44" s="2" t="s">
        <v>159</v>
      </c>
      <c r="D44" s="17">
        <f>IF(Ns/G36&gt;D36,(Ns-G36*D36)/G37,0)</f>
        <v>1.8333170995908881</v>
      </c>
      <c r="E44" s="17">
        <f>D37-D44</f>
        <v>8.1666829004091124</v>
      </c>
    </row>
    <row r="48" spans="3:10" x14ac:dyDescent="0.25">
      <c r="C48" t="s">
        <v>166</v>
      </c>
    </row>
    <row r="50" spans="3:10" x14ac:dyDescent="0.25">
      <c r="C50" s="2" t="s">
        <v>167</v>
      </c>
      <c r="D50" s="3">
        <v>1</v>
      </c>
      <c r="E50" s="3">
        <v>2</v>
      </c>
      <c r="F50" s="3">
        <v>3</v>
      </c>
    </row>
    <row r="51" spans="3:10" x14ac:dyDescent="0.25">
      <c r="C51" s="2" t="s">
        <v>168</v>
      </c>
      <c r="D51" s="18">
        <f>MAX(Feuil1!Q75:Q95)</f>
        <v>62.090026722513699</v>
      </c>
      <c r="E51" s="18">
        <f>MAX(Feuil1!S75:S95)</f>
        <v>910.29210643778856</v>
      </c>
      <c r="F51" s="18">
        <f>MAX(Feuil1!U75:U95)</f>
        <v>782.85593186644996</v>
      </c>
    </row>
    <row r="52" spans="3:10" x14ac:dyDescent="0.25">
      <c r="C52" s="2" t="s">
        <v>169</v>
      </c>
      <c r="D52" s="3">
        <v>7.1</v>
      </c>
      <c r="E52" s="3">
        <v>5</v>
      </c>
      <c r="F52" s="3">
        <v>5.3</v>
      </c>
      <c r="H52" s="63">
        <v>7</v>
      </c>
      <c r="I52" s="63"/>
      <c r="J52" s="63"/>
    </row>
    <row r="53" spans="3:10" x14ac:dyDescent="0.25">
      <c r="C53" s="2" t="s">
        <v>170</v>
      </c>
      <c r="D53" s="18">
        <f>($D$36-$D$43)*$G$36+(D52-$D$36-$D$44)*$G$37</f>
        <v>2092.7644356040828</v>
      </c>
      <c r="E53" s="18">
        <f t="shared" ref="E53:F53" si="0">($D$36-$D$43)*$G$36+(E52-$D$36-$D$44)*$G$37</f>
        <v>1258.3103023531157</v>
      </c>
      <c r="F53" s="18">
        <f t="shared" si="0"/>
        <v>1377.5180356746823</v>
      </c>
    </row>
    <row r="54" spans="3:10" x14ac:dyDescent="0.25">
      <c r="C54" s="2" t="s">
        <v>171</v>
      </c>
      <c r="D54" s="18">
        <f>(LL-D52)*$G$37</f>
        <v>1152.3414221084781</v>
      </c>
      <c r="E54" s="18">
        <f>(LL-E52)*$G$37</f>
        <v>1986.7955553594447</v>
      </c>
      <c r="F54" s="18">
        <f>(LL-F52)*$G$37</f>
        <v>1867.5878220378781</v>
      </c>
    </row>
    <row r="55" spans="3:10" x14ac:dyDescent="0.25">
      <c r="C55" s="2" t="s">
        <v>172</v>
      </c>
      <c r="D55" s="18">
        <f>MIN(D53:D54)</f>
        <v>1152.3414221084781</v>
      </c>
      <c r="E55" s="18">
        <f t="shared" ref="E55:F55" si="1">MIN(E53:E54)</f>
        <v>1258.3103023531157</v>
      </c>
      <c r="F55" s="18">
        <f t="shared" si="1"/>
        <v>1377.5180356746823</v>
      </c>
    </row>
    <row r="56" spans="3:10" x14ac:dyDescent="0.25">
      <c r="C56" s="2"/>
      <c r="D56" s="3"/>
      <c r="E56" s="3"/>
      <c r="F56" s="3"/>
    </row>
    <row r="57" spans="3:10" x14ac:dyDescent="0.25">
      <c r="C57" s="2" t="s">
        <v>47</v>
      </c>
      <c r="D57" s="13">
        <f>Feuil1!O24</f>
        <v>2581.8880129841023</v>
      </c>
      <c r="E57" s="61" t="s">
        <v>48</v>
      </c>
      <c r="F57" s="3"/>
    </row>
    <row r="58" spans="3:10" x14ac:dyDescent="0.25">
      <c r="C58" s="2" t="s">
        <v>43</v>
      </c>
      <c r="D58" s="3">
        <f>Nc</f>
        <v>3034.4999999999995</v>
      </c>
      <c r="E58" s="61" t="s">
        <v>48</v>
      </c>
      <c r="F58" s="3"/>
    </row>
    <row r="59" spans="3:10" x14ac:dyDescent="0.25">
      <c r="C59" s="2" t="s">
        <v>133</v>
      </c>
      <c r="D59" s="62">
        <f>D55/MIN($D$57:$D$58)</f>
        <v>0.44631735238455267</v>
      </c>
      <c r="E59" s="62">
        <f t="shared" ref="E59:F59" si="2">E55/MIN($D$57:$D$58)</f>
        <v>0.48736052688001058</v>
      </c>
      <c r="F59" s="62">
        <f t="shared" si="2"/>
        <v>0.53353128747151601</v>
      </c>
    </row>
    <row r="60" spans="3:10" x14ac:dyDescent="0.25">
      <c r="C60" s="2" t="s">
        <v>186</v>
      </c>
      <c r="D60" s="69">
        <f>MAX(0.4,1-(355/Fy)*(0.75-0.03*Le))</f>
        <v>0.505</v>
      </c>
      <c r="E60" s="3"/>
      <c r="F60" s="3"/>
      <c r="G60" s="2" t="s">
        <v>187</v>
      </c>
      <c r="H60" s="68">
        <f>0.85*LL</f>
        <v>8.5</v>
      </c>
      <c r="I60" t="s">
        <v>3</v>
      </c>
    </row>
    <row r="61" spans="3:10" x14ac:dyDescent="0.25">
      <c r="C61" s="15" t="s">
        <v>173</v>
      </c>
    </row>
    <row r="64" spans="3:10" x14ac:dyDescent="0.25">
      <c r="C64" s="2" t="s">
        <v>43</v>
      </c>
      <c r="D64" s="7">
        <f>Nc</f>
        <v>3034.4999999999995</v>
      </c>
      <c r="E64" t="s">
        <v>48</v>
      </c>
    </row>
    <row r="65" spans="3:14" x14ac:dyDescent="0.25">
      <c r="C65" s="2" t="s">
        <v>47</v>
      </c>
      <c r="D65" s="11">
        <f>Na</f>
        <v>2581.8880129841023</v>
      </c>
      <c r="E65" t="s">
        <v>48</v>
      </c>
    </row>
    <row r="66" spans="3:14" x14ac:dyDescent="0.25">
      <c r="C66" s="15" t="s">
        <v>62</v>
      </c>
      <c r="D66" s="7">
        <f>Nf</f>
        <v>766.44500000000005</v>
      </c>
      <c r="E66" t="s">
        <v>48</v>
      </c>
      <c r="I66">
        <f>Nw</f>
        <v>848.02400000000011</v>
      </c>
    </row>
    <row r="67" spans="3:14" x14ac:dyDescent="0.25">
      <c r="C67" s="1" t="s">
        <v>174</v>
      </c>
      <c r="D67" s="14">
        <f>Nc*D59</f>
        <v>1354.3500058109248</v>
      </c>
      <c r="E67" s="14">
        <f>Nc*E59</f>
        <v>1478.8955188173918</v>
      </c>
      <c r="F67" s="14">
        <f>Nc*F59</f>
        <v>1619.0006918323152</v>
      </c>
    </row>
    <row r="69" spans="3:14" x14ac:dyDescent="0.25">
      <c r="C69" s="15" t="s">
        <v>175</v>
      </c>
      <c r="D69" s="6" t="str">
        <f>IF(Na-2*Nf&lt;=D67,oui,non)</f>
        <v>oui</v>
      </c>
      <c r="E69" s="6" t="str">
        <f>IF(Na-2*Nf&lt;=E67,oui,non)</f>
        <v>oui</v>
      </c>
      <c r="F69" s="6" t="str">
        <f>IF(Na-2*Nf&lt;=F67,oui,non)</f>
        <v>oui</v>
      </c>
    </row>
    <row r="71" spans="3:14" x14ac:dyDescent="0.25">
      <c r="C71" s="2" t="s">
        <v>74</v>
      </c>
      <c r="D71" s="24">
        <f>(Na-D67)/2/Nf</f>
        <v>0.80079980114240246</v>
      </c>
      <c r="E71" s="24">
        <f>(Na-E67)/2/Nf</f>
        <v>0.71955097506455801</v>
      </c>
      <c r="F71" s="24">
        <f>(Na-F67)/2/Nf</f>
        <v>0.62815160980356521</v>
      </c>
    </row>
    <row r="72" spans="3:14" x14ac:dyDescent="0.25">
      <c r="C72" s="2" t="s">
        <v>50</v>
      </c>
      <c r="D72" s="14">
        <f>D71*tf</f>
        <v>10.17015747450851</v>
      </c>
      <c r="E72" s="14">
        <f>E71*tf</f>
        <v>9.1382973833198857</v>
      </c>
      <c r="F72" s="14">
        <f>F71*tf</f>
        <v>7.9775254445052779</v>
      </c>
    </row>
    <row r="73" spans="3:14" x14ac:dyDescent="0.25">
      <c r="C73" s="2"/>
      <c r="D73" s="3"/>
      <c r="E73" s="3"/>
      <c r="F73" s="3"/>
    </row>
    <row r="74" spans="3:14" x14ac:dyDescent="0.25">
      <c r="C74" s="2" t="s">
        <v>176</v>
      </c>
      <c r="D74" s="65">
        <f>(D67*(td-tc/2*D59)+Na*Ht/2-(Na-D59*Nc)*D72/2)/1000</f>
        <v>612.80229895647165</v>
      </c>
      <c r="E74" s="65">
        <f>(E67*(td-tc/2*E59)+Na*Ht/2-(Na-E59*Nc)*E72/2)/1000</f>
        <v>626.00933229871885</v>
      </c>
      <c r="F74" s="65">
        <f>(F67*(td-tc/2*F59)+Na*Ht/2-(Na-F59*Nc)*F72/2)/1000</f>
        <v>640.27285237589899</v>
      </c>
    </row>
    <row r="75" spans="3:14" x14ac:dyDescent="0.25">
      <c r="C75" s="2"/>
      <c r="D75" s="3"/>
      <c r="E75" s="3"/>
      <c r="F75" s="3"/>
    </row>
    <row r="76" spans="3:14" x14ac:dyDescent="0.25">
      <c r="C76" s="2"/>
    </row>
    <row r="78" spans="3:14" x14ac:dyDescent="0.25">
      <c r="L78" s="1" t="s">
        <v>199</v>
      </c>
      <c r="M78" s="68">
        <f>Wpl*Fy/GammaM0/1000</f>
        <v>361.745</v>
      </c>
      <c r="N78" t="s">
        <v>200</v>
      </c>
    </row>
    <row r="79" spans="3:14" x14ac:dyDescent="0.25">
      <c r="C79" t="s">
        <v>188</v>
      </c>
    </row>
    <row r="80" spans="3:14" x14ac:dyDescent="0.25">
      <c r="C80" t="s">
        <v>189</v>
      </c>
    </row>
    <row r="81" spans="2:20" x14ac:dyDescent="0.25">
      <c r="C81" t="s">
        <v>190</v>
      </c>
    </row>
    <row r="82" spans="2:20" x14ac:dyDescent="0.25">
      <c r="I82" s="70" t="s">
        <v>193</v>
      </c>
      <c r="J82" s="71"/>
      <c r="K82" s="71"/>
      <c r="L82" s="72"/>
      <c r="M82" s="76" t="s">
        <v>193</v>
      </c>
      <c r="N82" s="77"/>
      <c r="O82" s="77"/>
      <c r="P82" s="78"/>
      <c r="Q82" s="82" t="s">
        <v>193</v>
      </c>
      <c r="R82" s="83"/>
      <c r="S82" s="83"/>
      <c r="T82" s="84"/>
    </row>
    <row r="83" spans="2:20" x14ac:dyDescent="0.25">
      <c r="C83" s="3" t="s">
        <v>169</v>
      </c>
      <c r="D83" s="3" t="s">
        <v>191</v>
      </c>
      <c r="E83" s="3" t="s">
        <v>192</v>
      </c>
      <c r="F83" s="3" t="s">
        <v>133</v>
      </c>
      <c r="G83" s="3" t="s">
        <v>51</v>
      </c>
      <c r="I83" s="73" t="s">
        <v>194</v>
      </c>
      <c r="J83" s="74" t="s">
        <v>74</v>
      </c>
      <c r="K83" s="74" t="s">
        <v>50</v>
      </c>
      <c r="L83" s="75" t="s">
        <v>51</v>
      </c>
      <c r="M83" s="79" t="s">
        <v>195</v>
      </c>
      <c r="N83" s="80" t="s">
        <v>74</v>
      </c>
      <c r="O83" s="80" t="s">
        <v>50</v>
      </c>
      <c r="P83" s="81" t="s">
        <v>51</v>
      </c>
      <c r="Q83" s="85" t="s">
        <v>196</v>
      </c>
      <c r="R83" s="86" t="s">
        <v>74</v>
      </c>
      <c r="S83" s="86" t="s">
        <v>50</v>
      </c>
      <c r="T83" s="87" t="s">
        <v>51</v>
      </c>
    </row>
    <row r="84" spans="2:20" x14ac:dyDescent="0.25">
      <c r="B84" s="3">
        <f>Feuil1!C75</f>
        <v>1</v>
      </c>
      <c r="C84" s="18">
        <f>Feuil1!D75</f>
        <v>0</v>
      </c>
      <c r="D84" s="3">
        <f>IF(C84&lt;$D$36,1,2)</f>
        <v>2</v>
      </c>
      <c r="E84" s="13">
        <f>IF(D84=1,IF(C84&lt;=$D$43,0,C84*$G$36),IF(C84-$D$36&lt;$D$44,0,MIN((C84-$D$36-$D$44)*$G$37,(LL-C84)*$G$37)))</f>
        <v>0</v>
      </c>
      <c r="F84" s="17">
        <f>E84/MIN($D$57:$D$58)</f>
        <v>0</v>
      </c>
      <c r="G84" s="18">
        <f>IF(I84=oui,L84,IF(M84=oui,P84,T84))</f>
        <v>361.745</v>
      </c>
      <c r="I84" s="3" t="str">
        <f>IF(Na-2*Nf&lt;=E84,oui,non)</f>
        <v>non</v>
      </c>
      <c r="J84" s="17">
        <f>(Na-E84)/(2*Nf)</f>
        <v>1.6843269986653329</v>
      </c>
      <c r="K84" s="17">
        <f>J84*tf</f>
        <v>21.390952883049724</v>
      </c>
      <c r="L84" s="17">
        <f>(E84*(td-tc/2*F84)+Na*Ht/2-(Na-F84*Nc)*K84/2)/1000</f>
        <v>437.12531991961151</v>
      </c>
      <c r="M84" s="3" t="str">
        <f>IF(AND(Na-2*Nf&gt;E84,E84&gt;=Nw),oui,non)</f>
        <v>non</v>
      </c>
      <c r="N84" s="17">
        <f>(E84-Nw)/(2*Nr)</f>
        <v>-4.2195704181270575</v>
      </c>
      <c r="O84" s="18">
        <f>dw/2+N84*rr</f>
        <v>73.347732473712981</v>
      </c>
      <c r="P84" s="13">
        <f>MplaRd+E84*(td-F84*tc/2+Ht/2)/1000-Nw*dw/4000+(Nw-E84)*O84/1000</f>
        <v>360.64064588328802</v>
      </c>
      <c r="Q84" s="67" t="str">
        <f>IF(Nw&gt;E84,oui,non)</f>
        <v>oui</v>
      </c>
      <c r="R84" s="17">
        <f>E84/2/Nw</f>
        <v>0</v>
      </c>
      <c r="S84" s="13">
        <f>R84*dw</f>
        <v>0</v>
      </c>
      <c r="T84" s="13">
        <f>MplaRd+E84*(Ht/2+td/2-F84*tc-S84/2)/1000</f>
        <v>361.745</v>
      </c>
    </row>
    <row r="85" spans="2:20" x14ac:dyDescent="0.25">
      <c r="B85" s="3">
        <f>Feuil1!C76</f>
        <v>2</v>
      </c>
      <c r="C85" s="18">
        <f>Feuil1!D76</f>
        <v>0.5</v>
      </c>
      <c r="D85" s="3">
        <f t="shared" ref="D85:D104" si="3">IF(C85&lt;$D$36,1,2)</f>
        <v>2</v>
      </c>
      <c r="E85" s="13">
        <f>IF(D85=1,IF(C85&lt;=$D$43,0,C85*$G$36),IF(C85-$D$36&lt;$D$44,0,MIN((C85-$D$36-$D$44)*$G$37,(LL-C85)*$G$37)))</f>
        <v>0</v>
      </c>
      <c r="F85" s="17">
        <f t="shared" ref="F85:F104" si="4">E85/MIN($D$57:$D$58)</f>
        <v>0</v>
      </c>
      <c r="G85" s="18">
        <f>IF(I85=oui,L85,IF(M85=oui,P85,T85))</f>
        <v>361.745</v>
      </c>
      <c r="I85" s="3" t="str">
        <f>IF(Na-2*Nf&lt;=E85,oui,non)</f>
        <v>non</v>
      </c>
      <c r="J85" s="17">
        <f>(Na-E85)/(2*Nf)</f>
        <v>1.6843269986653329</v>
      </c>
      <c r="K85" s="17">
        <f>J85*tf</f>
        <v>21.390952883049724</v>
      </c>
      <c r="L85" s="17">
        <f>(E85*(td-tc/2*F85)+Na*Ht/2-(Na-F85*Nc)*K85/2)/1000</f>
        <v>437.12531991961151</v>
      </c>
      <c r="M85" s="3" t="str">
        <f>IF(AND(Na-2*Nf&gt;E85,E85&gt;=Nw),oui,non)</f>
        <v>non</v>
      </c>
      <c r="N85" s="17">
        <f>(E85-Nw)/(2*Nr)</f>
        <v>-4.2195704181270575</v>
      </c>
      <c r="O85" s="18">
        <f>dw/2+N85*rr</f>
        <v>73.347732473712981</v>
      </c>
      <c r="P85" s="13">
        <f>MplaRd+E85*(td-F85*tc/2+Ht/2)/1000-Nw*dw/4000+(Nw-E85)*O85/1000</f>
        <v>360.64064588328802</v>
      </c>
      <c r="Q85" s="67" t="str">
        <f>IF(Nw&gt;E85,oui,non)</f>
        <v>oui</v>
      </c>
      <c r="R85" s="17">
        <f>E85/2/Nw</f>
        <v>0</v>
      </c>
      <c r="S85" s="13">
        <f>R85*dw</f>
        <v>0</v>
      </c>
      <c r="T85" s="13">
        <f>MplaRd+E85*(Ht/2+td/2-F85*tc-S85/2)/1000</f>
        <v>361.745</v>
      </c>
    </row>
    <row r="86" spans="2:20" x14ac:dyDescent="0.25">
      <c r="B86" s="3">
        <f>Feuil1!C77</f>
        <v>3</v>
      </c>
      <c r="C86" s="18">
        <f>Feuil1!D77</f>
        <v>1</v>
      </c>
      <c r="D86" s="3">
        <f t="shared" si="3"/>
        <v>2</v>
      </c>
      <c r="E86" s="13">
        <f>IF(D86=1,IF(C86&lt;=$D$43,0,C86*$G$36),IF(C86-$D$36&lt;$D$44,0,MIN((C86-$D$36-$D$44)*$G$37,(LL-C86)*$G$37)))</f>
        <v>0</v>
      </c>
      <c r="F86" s="17">
        <f t="shared" si="4"/>
        <v>0</v>
      </c>
      <c r="G86" s="18">
        <f>IF(I86=oui,L86,IF(M86=oui,P86,T86))</f>
        <v>361.745</v>
      </c>
      <c r="I86" s="3" t="str">
        <f>IF(Na-2*Nf&lt;=E86,oui,non)</f>
        <v>non</v>
      </c>
      <c r="J86" s="17">
        <f>(Na-E86)/(2*Nf)</f>
        <v>1.6843269986653329</v>
      </c>
      <c r="K86" s="17">
        <f>J86*tf</f>
        <v>21.390952883049724</v>
      </c>
      <c r="L86" s="17">
        <f>(E86*(td-tc/2*F86)+Na*Ht/2-(Na-F86*Nc)*K86/2)/1000</f>
        <v>437.12531991961151</v>
      </c>
      <c r="M86" s="3" t="str">
        <f>IF(AND(Na-2*Nf&gt;E86,E86&gt;=Nw),oui,non)</f>
        <v>non</v>
      </c>
      <c r="N86" s="17">
        <f>(E86-Nw)/(2*Nr)</f>
        <v>-4.2195704181270575</v>
      </c>
      <c r="O86" s="18">
        <f>dw/2+N86*rr</f>
        <v>73.347732473712981</v>
      </c>
      <c r="P86" s="13">
        <f>MplaRd+E86*(td-F86*tc/2+Ht/2)/1000-Nw*dw/4000+(Nw-E86)*O86/1000</f>
        <v>360.64064588328802</v>
      </c>
      <c r="Q86" s="67" t="str">
        <f>IF(Nw&gt;E86,oui,non)</f>
        <v>oui</v>
      </c>
      <c r="R86" s="17">
        <f>E86/2/Nw</f>
        <v>0</v>
      </c>
      <c r="S86" s="13">
        <f>R86*dw</f>
        <v>0</v>
      </c>
      <c r="T86" s="13">
        <f>MplaRd+E86*(Ht/2+td/2-F86*tc-S86/2)/1000</f>
        <v>361.745</v>
      </c>
    </row>
    <row r="87" spans="2:20" x14ac:dyDescent="0.25">
      <c r="B87" s="3">
        <f>Feuil1!C78</f>
        <v>4</v>
      </c>
      <c r="C87" s="18">
        <f>Feuil1!D78</f>
        <v>1.5</v>
      </c>
      <c r="D87" s="3">
        <f t="shared" si="3"/>
        <v>2</v>
      </c>
      <c r="E87" s="13">
        <f>IF(D87=1,IF(C87&lt;=$D$43,0,C87*$G$36),IF(C87-$D$36&lt;$D$44,0,MIN((C87-$D$36-$D$44)*$G$37,(LL-C87)*$G$37)))</f>
        <v>0</v>
      </c>
      <c r="F87" s="17">
        <f t="shared" si="4"/>
        <v>0</v>
      </c>
      <c r="G87" s="18">
        <f>IF(I87=oui,L87,IF(M87=oui,P87,T87))</f>
        <v>361.745</v>
      </c>
      <c r="I87" s="3" t="str">
        <f>IF(Na-2*Nf&lt;=E87,oui,non)</f>
        <v>non</v>
      </c>
      <c r="J87" s="17">
        <f>(Na-E87)/(2*Nf)</f>
        <v>1.6843269986653329</v>
      </c>
      <c r="K87" s="17">
        <f>J87*tf</f>
        <v>21.390952883049724</v>
      </c>
      <c r="L87" s="17">
        <f>(E87*(td-tc/2*F87)+Na*Ht/2-(Na-F87*Nc)*K87/2)/1000</f>
        <v>437.12531991961151</v>
      </c>
      <c r="M87" s="3" t="str">
        <f>IF(AND(Na-2*Nf&gt;E87,E87&gt;=Nw),oui,non)</f>
        <v>non</v>
      </c>
      <c r="N87" s="17">
        <f>(E87-Nw)/(2*Nr)</f>
        <v>-4.2195704181270575</v>
      </c>
      <c r="O87" s="18">
        <f>dw/2+N87*rr</f>
        <v>73.347732473712981</v>
      </c>
      <c r="P87" s="13">
        <f>MplaRd+E87*(td-F87*tc/2+Ht/2)/1000-Nw*dw/4000+(Nw-E87)*O87/1000</f>
        <v>360.64064588328802</v>
      </c>
      <c r="Q87" s="67" t="str">
        <f>IF(Nw&gt;E87,oui,non)</f>
        <v>oui</v>
      </c>
      <c r="R87" s="17">
        <f>E87/2/Nw</f>
        <v>0</v>
      </c>
      <c r="S87" s="13">
        <f>R87*dw</f>
        <v>0</v>
      </c>
      <c r="T87" s="13">
        <f>MplaRd+E87*(Ht/2+td/2-F87*tc-S87/2)/1000</f>
        <v>361.745</v>
      </c>
    </row>
    <row r="88" spans="2:20" x14ac:dyDescent="0.25">
      <c r="B88" s="3">
        <f>Feuil1!C79</f>
        <v>5</v>
      </c>
      <c r="C88" s="18">
        <f>Feuil1!D79</f>
        <v>2</v>
      </c>
      <c r="D88" s="3">
        <f t="shared" si="3"/>
        <v>2</v>
      </c>
      <c r="E88" s="13">
        <f>IF(D88=1,IF(C88&lt;=$D$43,0,C88*$G$36),IF(C88-$D$36&lt;$D$44,0,MIN((C88-$D$36-$D$44)*$G$37,(LL-C88)*$G$37)))</f>
        <v>66.232969137448919</v>
      </c>
      <c r="F88" s="17">
        <f t="shared" si="4"/>
        <v>2.5652920964956177E-2</v>
      </c>
      <c r="G88" s="18">
        <f>IF(I88=oui,L88,IF(M88=oui,P88,T88))</f>
        <v>377.46358194417815</v>
      </c>
      <c r="I88" s="3" t="str">
        <f>IF(Na-2*Nf&lt;=E88,oui,non)</f>
        <v>non</v>
      </c>
      <c r="J88" s="17">
        <f>(Na-E88)/(2*Nf)</f>
        <v>1.6411190912894293</v>
      </c>
      <c r="K88" s="17">
        <f>J88*tf</f>
        <v>20.842212459375752</v>
      </c>
      <c r="L88" s="17">
        <f>(E88*(td-tc/2*F88)+Na*Ht/2-(Na-F88*Nc)*K88/2)/1000</f>
        <v>447.19405097116191</v>
      </c>
      <c r="M88" s="3" t="str">
        <f>IF(AND(Na-2*Nf&gt;E88,E88&gt;=Nw),oui,non)</f>
        <v>non</v>
      </c>
      <c r="N88" s="17">
        <f>(E88-Nw)/(2*Nr)</f>
        <v>-3.8900105503908828</v>
      </c>
      <c r="O88" s="18">
        <f>dw/2+N88*rr</f>
        <v>79.279810092964127</v>
      </c>
      <c r="P88" s="13">
        <f>MplaRd+E88*(td-F88*tc/2+Ht/2)/1000-Nw*dw/4000+(Nw-E88)*O88/1000</f>
        <v>380.8913068033628</v>
      </c>
      <c r="Q88" s="67" t="str">
        <f>IF(Nw&gt;E88,oui,non)</f>
        <v>oui</v>
      </c>
      <c r="R88" s="17">
        <f>E88/2/Nw</f>
        <v>3.9051352990863999E-2</v>
      </c>
      <c r="S88" s="13">
        <f>R88*dw</f>
        <v>11.66073400307199</v>
      </c>
      <c r="T88" s="13">
        <f>MplaRd+E88*(Ht/2+td/2-F88*tc-S88/2)/1000</f>
        <v>377.46358194417815</v>
      </c>
    </row>
    <row r="89" spans="2:20" x14ac:dyDescent="0.25">
      <c r="B89" s="3">
        <f>Feuil1!C80</f>
        <v>6</v>
      </c>
      <c r="C89" s="18">
        <f>Feuil1!D80</f>
        <v>2.5</v>
      </c>
      <c r="D89" s="3">
        <f t="shared" si="3"/>
        <v>2</v>
      </c>
      <c r="E89" s="13">
        <f>IF(D89=1,IF(C89&lt;=$D$43,0,C89*$G$36),IF(C89-$D$36&lt;$D$44,0,MIN((C89-$D$36-$D$44)*$G$37,(LL-C89)*$G$37)))</f>
        <v>264.91252467339336</v>
      </c>
      <c r="F89" s="17">
        <f t="shared" si="4"/>
        <v>0.10260418861746523</v>
      </c>
      <c r="G89" s="18">
        <f>IF(I89=oui,L89,IF(M89=oui,P89,T89))</f>
        <v>418.51382916287656</v>
      </c>
      <c r="I89" s="3" t="str">
        <f>IF(Na-2*Nf&lt;=E89,oui,non)</f>
        <v>non</v>
      </c>
      <c r="J89" s="17">
        <f>(Na-E89)/(2*Nf)</f>
        <v>1.511507993600786</v>
      </c>
      <c r="K89" s="17">
        <f>J89*tf</f>
        <v>19.19615151872998</v>
      </c>
      <c r="L89" s="17">
        <f>(E89*(td-tc/2*F89)+Na*Ht/2-(Na-F89*Nc)*K89/2)/1000</f>
        <v>476.40717696900123</v>
      </c>
      <c r="M89" s="3" t="str">
        <f>IF(AND(Na-2*Nf&gt;E89,E89&gt;=Nw),oui,non)</f>
        <v>non</v>
      </c>
      <c r="N89" s="17">
        <f>(E89-Nw)/(2*Nr)</f>
        <v>-2.9014272376236696</v>
      </c>
      <c r="O89" s="18">
        <f>dw/2+N89*rr</f>
        <v>97.074309722773961</v>
      </c>
      <c r="P89" s="13">
        <f>MplaRd+E89*(td-F89*tc/2+Ht/2)/1000-Nw*dw/4000+(Nw-E89)*O89/1000</f>
        <v>436.18951416015676</v>
      </c>
      <c r="Q89" s="67" t="str">
        <f>IF(Nw&gt;E89,oui,non)</f>
        <v>oui</v>
      </c>
      <c r="R89" s="17">
        <f>E89/2/Nw</f>
        <v>0.15619400198189753</v>
      </c>
      <c r="S89" s="13">
        <f>R89*dw</f>
        <v>46.639528991794606</v>
      </c>
      <c r="T89" s="13">
        <f>MplaRd+E89*(Ht/2+td/2-F89*tc-S89/2)/1000</f>
        <v>418.51382916287656</v>
      </c>
    </row>
    <row r="90" spans="2:20" x14ac:dyDescent="0.25">
      <c r="B90" s="3">
        <f>Feuil1!C81</f>
        <v>7</v>
      </c>
      <c r="C90" s="18">
        <f>Feuil1!D81</f>
        <v>3</v>
      </c>
      <c r="D90" s="3">
        <f t="shared" si="3"/>
        <v>2</v>
      </c>
      <c r="E90" s="13">
        <f>IF(D90=1,IF(C90&lt;=$D$43,0,C90*$G$36),IF(C90-$D$36&lt;$D$44,0,MIN((C90-$D$36-$D$44)*$G$37,(LL-C90)*$G$37)))</f>
        <v>463.59208020933784</v>
      </c>
      <c r="F90" s="17">
        <f t="shared" si="4"/>
        <v>0.17955545626997432</v>
      </c>
      <c r="G90" s="18">
        <f>IF(I90=oui,L90,IF(M90=oui,P90,T90))</f>
        <v>450.41294025369427</v>
      </c>
      <c r="I90" s="3" t="str">
        <f>IF(Na-2*Nf&lt;=E90,oui,non)</f>
        <v>non</v>
      </c>
      <c r="J90" s="17">
        <f>(Na-E90)/(2*Nf)</f>
        <v>1.3818968959121427</v>
      </c>
      <c r="K90" s="17">
        <f>J90*tf</f>
        <v>17.550090578084212</v>
      </c>
      <c r="L90" s="17">
        <f>(E90*(td-tc/2*F90)+Na*Ht/2-(Na-F90*Nc)*K90/2)/1000</f>
        <v>504.13515120220092</v>
      </c>
      <c r="M90" s="3" t="str">
        <f>IF(AND(Na-2*Nf&gt;E90,E90&gt;=Nw),oui,non)</f>
        <v>non</v>
      </c>
      <c r="N90" s="17">
        <f>(E90-Nw)/(2*Nr)</f>
        <v>-1.9128439248564568</v>
      </c>
      <c r="O90" s="18">
        <f>dw/2+N90*rr</f>
        <v>114.86880935258378</v>
      </c>
      <c r="P90" s="13">
        <f>MplaRd+E90*(td-F90*tc/2+Ht/2)/1000-Nw*dw/4000+(Nw-E90)*O90/1000</f>
        <v>483.31613261891124</v>
      </c>
      <c r="Q90" s="67" t="str">
        <f>IF(Nw&gt;E90,oui,non)</f>
        <v>oui</v>
      </c>
      <c r="R90" s="17">
        <f>E90/2/Nw</f>
        <v>0.27333665097293108</v>
      </c>
      <c r="S90" s="13">
        <f>R90*dw</f>
        <v>81.618323980517232</v>
      </c>
      <c r="T90" s="13">
        <f>MplaRd+E90*(Ht/2+td/2-F90*tc-S90/2)/1000</f>
        <v>450.41294025369427</v>
      </c>
    </row>
    <row r="91" spans="2:20" x14ac:dyDescent="0.25">
      <c r="B91" s="3">
        <f>Feuil1!C82</f>
        <v>8</v>
      </c>
      <c r="C91" s="18">
        <f>Feuil1!D82</f>
        <v>3.5</v>
      </c>
      <c r="D91" s="3">
        <f t="shared" si="3"/>
        <v>2</v>
      </c>
      <c r="E91" s="13">
        <f>IF(D91=1,IF(C91&lt;=$D$43,0,C91*$G$36),IF(C91-$D$36&lt;$D$44,0,MIN((C91-$D$36-$D$44)*$G$37,(LL-C91)*$G$37)))</f>
        <v>662.27163574528231</v>
      </c>
      <c r="F91" s="17">
        <f t="shared" si="4"/>
        <v>0.25650672392248336</v>
      </c>
      <c r="G91" s="18">
        <f>IF(I91=oui,L91,IF(M91=oui,P91,T91))</f>
        <v>473.16091521663122</v>
      </c>
      <c r="I91" s="3" t="str">
        <f>IF(Na-2*Nf&lt;=E91,oui,non)</f>
        <v>non</v>
      </c>
      <c r="J91" s="17">
        <f>(Na-E91)/(2*Nf)</f>
        <v>1.2522857982234994</v>
      </c>
      <c r="K91" s="17">
        <f>J91*tf</f>
        <v>15.904029637438441</v>
      </c>
      <c r="L91" s="17">
        <f>(E91*(td-tc/2*F91)+Na*Ht/2-(Na-F91*Nc)*K91/2)/1000</f>
        <v>530.37797367076087</v>
      </c>
      <c r="M91" s="3" t="str">
        <f>IF(AND(Na-2*Nf&gt;E91,E91&gt;=Nw),oui,non)</f>
        <v>non</v>
      </c>
      <c r="N91" s="17">
        <f>(E91-Nw)/(2*Nr)</f>
        <v>-0.92426061208924393</v>
      </c>
      <c r="O91" s="18">
        <f>dw/2+N91*rr</f>
        <v>132.66330898239363</v>
      </c>
      <c r="P91" s="13">
        <f>MplaRd+E91*(td-F91*tc/2+Ht/2)/1000-Nw*dw/4000+(Nw-E91)*O91/1000</f>
        <v>522.27116217962623</v>
      </c>
      <c r="Q91" s="67" t="str">
        <f>IF(Nw&gt;E91,oui,non)</f>
        <v>oui</v>
      </c>
      <c r="R91" s="17">
        <f>E91/2/Nw</f>
        <v>0.39047929996396458</v>
      </c>
      <c r="S91" s="13">
        <f>R91*dw</f>
        <v>116.59711896923983</v>
      </c>
      <c r="T91" s="13">
        <f>MplaRd+E91*(Ht/2+td/2-F91*tc-S91/2)/1000</f>
        <v>473.16091521663122</v>
      </c>
    </row>
    <row r="92" spans="2:20" x14ac:dyDescent="0.25">
      <c r="B92" s="3">
        <f>Feuil1!C83</f>
        <v>9</v>
      </c>
      <c r="C92" s="18">
        <f>Feuil1!D83</f>
        <v>4</v>
      </c>
      <c r="D92" s="3">
        <f t="shared" si="3"/>
        <v>2</v>
      </c>
      <c r="E92" s="13">
        <f>IF(D92=1,IF(C92&lt;=$D$43,0,C92*$G$36),IF(C92-$D$36&lt;$D$44,0,MIN((C92-$D$36-$D$44)*$G$37,(LL-C92)*$G$37)))</f>
        <v>860.95119128122678</v>
      </c>
      <c r="F92" s="17">
        <f t="shared" si="4"/>
        <v>0.33345799157499245</v>
      </c>
      <c r="G92" s="18">
        <f>IF(I92=oui,L92,IF(M92=oui,P92,T92))</f>
        <v>553.05460284230173</v>
      </c>
      <c r="I92" s="3" t="str">
        <f>IF(Na-2*Nf&lt;=E92,oui,non)</f>
        <v>non</v>
      </c>
      <c r="J92" s="17">
        <f>(Na-E92)/(2*Nf)</f>
        <v>1.1226747005348561</v>
      </c>
      <c r="K92" s="17">
        <f>J92*tf</f>
        <v>14.257968696792672</v>
      </c>
      <c r="L92" s="17">
        <f>(E92*(td-tc/2*F92)+Na*Ht/2-(Na-F92*Nc)*K92/2)/1000</f>
        <v>555.13564437468119</v>
      </c>
      <c r="M92" s="3" t="str">
        <f>IF(AND(Na-2*Nf&gt;E92,E92&gt;=Nw),oui,non)</f>
        <v>oui</v>
      </c>
      <c r="N92" s="17">
        <f>(E92-Nw)/(2*Nr)</f>
        <v>6.4322700677969094E-2</v>
      </c>
      <c r="O92" s="18">
        <f>dw/2+N92*rr</f>
        <v>150.45780861220345</v>
      </c>
      <c r="P92" s="13">
        <f>MplaRd+E92*(td-F92*tc/2+Ht/2)/1000-Nw*dw/4000+(Nw-E92)*O92/1000</f>
        <v>553.05460284230173</v>
      </c>
      <c r="Q92" s="67" t="str">
        <f>IF(Nw&gt;E92,oui,non)</f>
        <v>non</v>
      </c>
      <c r="R92" s="17">
        <f>E92/2/Nw</f>
        <v>0.50762194895499813</v>
      </c>
      <c r="S92" s="13">
        <f>R92*dw</f>
        <v>151.57591395796246</v>
      </c>
      <c r="T92" s="13">
        <f>MplaRd+E92*(Ht/2+td/2-F92*tc-S92/2)/1000</f>
        <v>486.75775405168736</v>
      </c>
    </row>
    <row r="93" spans="2:20" x14ac:dyDescent="0.25">
      <c r="B93" s="3">
        <f>Feuil1!C84</f>
        <v>10</v>
      </c>
      <c r="C93" s="18">
        <f>Feuil1!D84</f>
        <v>4.5</v>
      </c>
      <c r="D93" s="3">
        <f t="shared" si="3"/>
        <v>2</v>
      </c>
      <c r="E93" s="13">
        <f>IF(D93=1,IF(C93&lt;=$D$43,0,C93*$G$36),IF(C93-$D$36&lt;$D$44,0,MIN((C93-$D$36-$D$44)*$G$37,(LL-C93)*$G$37)))</f>
        <v>1059.6307468171713</v>
      </c>
      <c r="F93" s="17">
        <f t="shared" si="4"/>
        <v>0.41040925922750154</v>
      </c>
      <c r="G93" s="18">
        <f>IF(I93=oui,L93,IF(M93=oui,P93,T93))</f>
        <v>578.40816331396184</v>
      </c>
      <c r="I93" s="3" t="str">
        <f>IF(Na-2*Nf&lt;=E93,oui,non)</f>
        <v>oui</v>
      </c>
      <c r="J93" s="17">
        <f>(Na-E93)/(2*Nf)</f>
        <v>0.99306360284621265</v>
      </c>
      <c r="K93" s="17">
        <f>J93*tf</f>
        <v>12.6119077561469</v>
      </c>
      <c r="L93" s="17">
        <f>(E93*(td-tc/2*F93)+Na*Ht/2-(Na-F93*Nc)*K93/2)/1000</f>
        <v>578.40816331396184</v>
      </c>
      <c r="M93" s="3" t="str">
        <f>IF(AND(Na-2*Nf&gt;E93,E93&gt;=Nw),oui,non)</f>
        <v>non</v>
      </c>
      <c r="N93" s="17">
        <f>(E93-Nw)/(2*Nr)</f>
        <v>1.052906013445182</v>
      </c>
      <c r="O93" s="18">
        <f>dw/2+N93*rr</f>
        <v>168.25230824201327</v>
      </c>
      <c r="P93" s="13">
        <f>MplaRd+E93*(td-F93*tc/2+Ht/2)/1000-Nw*dw/4000+(Nw-E93)*O93/1000</f>
        <v>575.66645460693769</v>
      </c>
      <c r="Q93" s="67" t="str">
        <f>IF(Nw&gt;E93,oui,non)</f>
        <v>non</v>
      </c>
      <c r="R93" s="17">
        <f>E93/2/Nw</f>
        <v>0.62476459794603167</v>
      </c>
      <c r="S93" s="13">
        <f>R93*dw</f>
        <v>186.55470894668508</v>
      </c>
      <c r="T93" s="13">
        <f>MplaRd+E93*(Ht/2+td/2-F93*tc-S93/2)/1000</f>
        <v>491.20345675886279</v>
      </c>
    </row>
    <row r="94" spans="2:20" x14ac:dyDescent="0.25">
      <c r="B94" s="3">
        <f>Feuil1!C85</f>
        <v>11</v>
      </c>
      <c r="C94" s="18">
        <f>Feuil1!D85</f>
        <v>5</v>
      </c>
      <c r="D94" s="3">
        <f t="shared" si="3"/>
        <v>2</v>
      </c>
      <c r="E94" s="13">
        <f>IF(D94=1,IF(C94&lt;=$D$43,0,C94*$G$36),IF(C94-$D$36&lt;$D$44,0,MIN((C94-$D$36-$D$44)*$G$37,(LL-C94)*$G$37)))</f>
        <v>1258.3103023531157</v>
      </c>
      <c r="F94" s="17">
        <f t="shared" si="4"/>
        <v>0.48736052688001058</v>
      </c>
      <c r="G94" s="18">
        <f>IF(I94=oui,L94,IF(M94=oui,P94,T94))</f>
        <v>600.19553048860269</v>
      </c>
      <c r="I94" s="3" t="str">
        <f>IF(Na-2*Nf&lt;=E94,oui,non)</f>
        <v>oui</v>
      </c>
      <c r="J94" s="17">
        <f>(Na-E94)/(2*Nf)</f>
        <v>0.86345250515756933</v>
      </c>
      <c r="K94" s="17">
        <f>J94*tf</f>
        <v>10.965846815501131</v>
      </c>
      <c r="L94" s="17">
        <f>(E94*(td-tc/2*F94)+Na*Ht/2-(Na-F94*Nc)*K94/2)/1000</f>
        <v>600.19553048860269</v>
      </c>
      <c r="M94" s="3" t="str">
        <f>IF(AND(Na-2*Nf&gt;E94,E94&gt;=Nw),oui,non)</f>
        <v>non</v>
      </c>
      <c r="N94" s="17">
        <f>(E94-Nw)/(2*Nr)</f>
        <v>2.0414893262123952</v>
      </c>
      <c r="O94" s="18">
        <f>dw/2+N94*rr</f>
        <v>186.04680787182312</v>
      </c>
      <c r="P94" s="13">
        <f>MplaRd+E94*(td-F94*tc/2+Ht/2)/1000-Nw*dw/4000+(Nw-E94)*O94/1000</f>
        <v>590.1067174735341</v>
      </c>
      <c r="Q94" s="67" t="str">
        <f>IF(Nw&gt;E94,oui,non)</f>
        <v>non</v>
      </c>
      <c r="R94" s="17">
        <f>E94/2/Nw</f>
        <v>0.74190724693706522</v>
      </c>
      <c r="S94" s="13">
        <f>R94*dw</f>
        <v>221.53350393540768</v>
      </c>
      <c r="T94" s="13">
        <f>MplaRd+E94*(Ht/2+td/2-F94*tc-S94/2)/1000</f>
        <v>486.49802333815745</v>
      </c>
    </row>
    <row r="95" spans="2:20" x14ac:dyDescent="0.25">
      <c r="B95" s="3">
        <f>Feuil1!C86</f>
        <v>12</v>
      </c>
      <c r="C95" s="18">
        <f>Feuil1!D86</f>
        <v>5.5</v>
      </c>
      <c r="D95" s="3">
        <f t="shared" si="3"/>
        <v>2</v>
      </c>
      <c r="E95" s="13">
        <f>IF(D95=1,IF(C95&lt;=$D$43,0,C95*$G$36),IF(C95-$D$36&lt;$D$44,0,MIN((C95-$D$36-$D$44)*$G$37,(LL-C95)*$G$37)))</f>
        <v>1456.9898578890602</v>
      </c>
      <c r="F95" s="17">
        <f t="shared" si="4"/>
        <v>0.56431179453251967</v>
      </c>
      <c r="G95" s="18">
        <f>IF(I95=oui,L95,IF(M95=oui,P95,T95))</f>
        <v>620.49774589860397</v>
      </c>
      <c r="I95" s="3" t="str">
        <f>IF(Na-2*Nf&lt;=E95,oui,non)</f>
        <v>oui</v>
      </c>
      <c r="J95" s="17">
        <f>(Na-E95)/(2*Nf)</f>
        <v>0.73384140746892601</v>
      </c>
      <c r="K95" s="17">
        <f>J95*tf</f>
        <v>9.3197858748553593</v>
      </c>
      <c r="L95" s="17">
        <f>(E95*(td-tc/2*F95)+Na*Ht/2-(Na-F95*Nc)*K95/2)/1000</f>
        <v>620.49774589860397</v>
      </c>
      <c r="M95" s="3" t="str">
        <f>IF(AND(Na-2*Nf&gt;E95,E95&gt;=Nw),oui,non)</f>
        <v>non</v>
      </c>
      <c r="N95" s="17">
        <f>(E95-Nw)/(2*Nr)</f>
        <v>3.030072638979608</v>
      </c>
      <c r="O95" s="18">
        <f>dw/2+N95*rr</f>
        <v>203.84130750163297</v>
      </c>
      <c r="P95" s="13">
        <f>MplaRd+E95*(td-F95*tc/2+Ht/2)/1000-Nw*dw/4000+(Nw-E95)*O95/1000</f>
        <v>596.37539144209109</v>
      </c>
      <c r="Q95" s="67" t="str">
        <f>IF(Nw&gt;E95,oui,non)</f>
        <v>non</v>
      </c>
      <c r="R95" s="17">
        <f>E95/2/Nw</f>
        <v>0.85904989592809877</v>
      </c>
      <c r="S95" s="13">
        <f>R95*dw</f>
        <v>256.51229892413033</v>
      </c>
      <c r="T95" s="13">
        <f>MplaRd+E95*(Ht/2+td/2-F95*tc-S95/2)/1000</f>
        <v>472.6414537895713</v>
      </c>
    </row>
    <row r="96" spans="2:20" x14ac:dyDescent="0.25">
      <c r="B96" s="3">
        <f>Feuil1!C87</f>
        <v>13</v>
      </c>
      <c r="C96" s="18">
        <f>Feuil1!D87</f>
        <v>6</v>
      </c>
      <c r="D96" s="3">
        <f t="shared" si="3"/>
        <v>2</v>
      </c>
      <c r="E96" s="13">
        <f>IF(D96=1,IF(C96&lt;=$D$43,0,C96*$G$36),IF(C96-$D$36&lt;$D$44,0,MIN((C96-$D$36-$D$44)*$G$37,(LL-C96)*$G$37)))</f>
        <v>1589.4364442875558</v>
      </c>
      <c r="F96" s="17">
        <f t="shared" si="4"/>
        <v>0.61561014122007263</v>
      </c>
      <c r="G96" s="18">
        <f>IF(I96=oui,L96,IF(M96=oui,P96,T96))</f>
        <v>633.20686895126073</v>
      </c>
      <c r="I96" s="3" t="str">
        <f>IF(Na-2*Nf&lt;=E96,oui,non)</f>
        <v>oui</v>
      </c>
      <c r="J96" s="17">
        <f>(Na-E96)/(2*Nf)</f>
        <v>0.64743821715618632</v>
      </c>
      <c r="K96" s="17">
        <f>J96*tf</f>
        <v>8.222465357883566</v>
      </c>
      <c r="L96" s="17">
        <f>(E96*(td-tc/2*F96)+Na*Ht/2-(Na-F96*Nc)*K96/2)/1000</f>
        <v>633.20686895126073</v>
      </c>
      <c r="M96" s="3" t="str">
        <f>IF(AND(Na-2*Nf&gt;E96,E96&gt;=Nw),oui,non)</f>
        <v>non</v>
      </c>
      <c r="N96" s="17">
        <f>(E96-Nw)/(2*Nr)</f>
        <v>3.6890960840106466</v>
      </c>
      <c r="O96" s="18">
        <f>dw/2+N96*rr</f>
        <v>215.70372951219164</v>
      </c>
      <c r="P96" s="13">
        <f>MplaRd+E96*(td-F96*tc/2+Ht/2)/1000-Nw*dw/4000+(Nw-E96)*O96/1000</f>
        <v>596.01484180815157</v>
      </c>
      <c r="Q96" s="67" t="str">
        <f>IF(Nw&gt;E96,oui,non)</f>
        <v>non</v>
      </c>
      <c r="R96" s="17">
        <f>E96/2/Nw</f>
        <v>0.93714119192826828</v>
      </c>
      <c r="S96" s="13">
        <f>R96*dw</f>
        <v>279.83035990978095</v>
      </c>
      <c r="T96" s="13">
        <f>MplaRd+E96*(Ht/2+td/2-F96*tc-S96/2)/1000</f>
        <v>458.32057275826674</v>
      </c>
    </row>
    <row r="97" spans="2:20" x14ac:dyDescent="0.25">
      <c r="B97" s="3">
        <f>Feuil1!C88</f>
        <v>14</v>
      </c>
      <c r="C97" s="18">
        <f>Feuil1!D88</f>
        <v>6.5</v>
      </c>
      <c r="D97" s="3">
        <f t="shared" si="3"/>
        <v>2</v>
      </c>
      <c r="E97" s="13">
        <f>IF(D97=1,IF(C97&lt;=$D$43,0,C97*$G$36),IF(C97-$D$36&lt;$D$44,0,MIN((C97-$D$36-$D$44)*$G$37,(LL-C97)*$G$37)))</f>
        <v>1390.7568887516113</v>
      </c>
      <c r="F97" s="17">
        <f t="shared" si="4"/>
        <v>0.53865887356756348</v>
      </c>
      <c r="G97" s="18">
        <f>IF(I97=oui,L97,IF(M97=oui,P97,T97))</f>
        <v>613.89470649854354</v>
      </c>
      <c r="I97" s="3" t="str">
        <f>IF(Na-2*Nf&lt;=E97,oui,non)</f>
        <v>oui</v>
      </c>
      <c r="J97" s="17">
        <f>(Na-E97)/(2*Nf)</f>
        <v>0.77704931484482964</v>
      </c>
      <c r="K97" s="17">
        <f>J97*tf</f>
        <v>9.8685262985293356</v>
      </c>
      <c r="L97" s="17">
        <f>(E97*(td-tc/2*F97)+Na*Ht/2-(Na-F97*Nc)*K97/2)/1000</f>
        <v>613.89470649854354</v>
      </c>
      <c r="M97" s="3" t="str">
        <f>IF(AND(Na-2*Nf&gt;E97,E97&gt;=Nw),oui,non)</f>
        <v>non</v>
      </c>
      <c r="N97" s="17">
        <f>(E97-Nw)/(2*Nr)</f>
        <v>2.7005127712434334</v>
      </c>
      <c r="O97" s="18">
        <f>dw/2+N97*rr</f>
        <v>197.90922988238179</v>
      </c>
      <c r="P97" s="13">
        <f>MplaRd+E97*(td-F97*tc/2+Ht/2)/1000-Nw*dw/4000+(Nw-E97)*O97/1000</f>
        <v>595.19362846068191</v>
      </c>
      <c r="Q97" s="67" t="str">
        <f>IF(Nw&gt;E97,oui,non)</f>
        <v>non</v>
      </c>
      <c r="R97" s="17">
        <f>E97/2/Nw</f>
        <v>0.81999854293723473</v>
      </c>
      <c r="S97" s="13">
        <f>R97*dw</f>
        <v>244.8515649210583</v>
      </c>
      <c r="T97" s="13">
        <f>MplaRd+E97*(Ht/2+td/2-F97*tc-S97/2)/1000</f>
        <v>478.27760261106607</v>
      </c>
    </row>
    <row r="98" spans="2:20" x14ac:dyDescent="0.25">
      <c r="B98" s="3">
        <f>Feuil1!C89</f>
        <v>15</v>
      </c>
      <c r="C98" s="18">
        <f>Feuil1!D89</f>
        <v>7</v>
      </c>
      <c r="D98" s="3">
        <f t="shared" si="3"/>
        <v>2</v>
      </c>
      <c r="E98" s="13">
        <f>IF(D98=1,IF(C98&lt;=$D$43,0,C98*$G$36),IF(C98-$D$36&lt;$D$44,0,MIN((C98-$D$36-$D$44)*$G$37,(LL-C98)*$G$37)))</f>
        <v>1192.0773332156668</v>
      </c>
      <c r="F98" s="17">
        <f t="shared" si="4"/>
        <v>0.46170760591505444</v>
      </c>
      <c r="G98" s="18">
        <f>IF(I98=oui,L98,IF(M98=oui,P98,T98))</f>
        <v>593.09739228118656</v>
      </c>
      <c r="I98" s="3" t="str">
        <f>IF(Na-2*Nf&lt;=E98,oui,non)</f>
        <v>oui</v>
      </c>
      <c r="J98" s="17">
        <f>(Na-E98)/(2*Nf)</f>
        <v>0.90666041253347296</v>
      </c>
      <c r="K98" s="17">
        <f>J98*tf</f>
        <v>11.514587239175105</v>
      </c>
      <c r="L98" s="17">
        <f>(E98*(td-tc/2*F98)+Na*Ht/2-(Na-F98*Nc)*K98/2)/1000</f>
        <v>593.09739228118656</v>
      </c>
      <c r="M98" s="3" t="str">
        <f>IF(AND(Na-2*Nf&gt;E98,E98&gt;=Nw),oui,non)</f>
        <v>non</v>
      </c>
      <c r="N98" s="17">
        <f>(E98-Nw)/(2*Nr)</f>
        <v>1.7119294584762206</v>
      </c>
      <c r="O98" s="18">
        <f>dw/2+N98*rr</f>
        <v>180.11473025257197</v>
      </c>
      <c r="P98" s="13">
        <f>MplaRd+E98*(td-F98*tc/2+Ht/2)/1000-Nw*dw/4000+(Nw-E98)*O98/1000</f>
        <v>586.2008262151727</v>
      </c>
      <c r="Q98" s="67" t="str">
        <f>IF(Nw&gt;E98,oui,non)</f>
        <v>non</v>
      </c>
      <c r="R98" s="17">
        <f>E98/2/Nw</f>
        <v>0.70285589394620118</v>
      </c>
      <c r="S98" s="13">
        <f>R98*dw</f>
        <v>209.8727699323357</v>
      </c>
      <c r="T98" s="13">
        <f>MplaRd+E98*(Ht/2+td/2-F98*tc-S98/2)/1000</f>
        <v>489.08349633598465</v>
      </c>
    </row>
    <row r="99" spans="2:20" x14ac:dyDescent="0.25">
      <c r="B99" s="3">
        <f>Feuil1!C90</f>
        <v>16</v>
      </c>
      <c r="C99" s="18">
        <f>Feuil1!D90</f>
        <v>7.5</v>
      </c>
      <c r="D99" s="3">
        <f t="shared" si="3"/>
        <v>2</v>
      </c>
      <c r="E99" s="13">
        <f>IF(D99=1,IF(C99&lt;=$D$43,0,C99*$G$36),IF(C99-$D$36&lt;$D$44,0,MIN((C99-$D$36-$D$44)*$G$37,(LL-C99)*$G$37)))</f>
        <v>993.39777767972237</v>
      </c>
      <c r="F99" s="17">
        <f t="shared" si="4"/>
        <v>0.38475633826254535</v>
      </c>
      <c r="G99" s="18">
        <f>IF(I99=oui,L99,IF(M99=oui,P99,T99))</f>
        <v>569.03643507162406</v>
      </c>
      <c r="I99" s="3" t="str">
        <f>IF(Na-2*Nf&lt;=E99,oui,non)</f>
        <v>non</v>
      </c>
      <c r="J99" s="17">
        <f>(Na-E99)/(2*Nf)</f>
        <v>1.0362715102221163</v>
      </c>
      <c r="K99" s="17">
        <f>J99*tf</f>
        <v>13.160648179820877</v>
      </c>
      <c r="L99" s="17">
        <f>(E99*(td-tc/2*F99)+Na*Ht/2-(Na-F99*Nc)*K99/2)/1000</f>
        <v>570.81492629918989</v>
      </c>
      <c r="M99" s="3" t="str">
        <f>IF(AND(Na-2*Nf&gt;E99,E99&gt;=Nw),oui,non)</f>
        <v>oui</v>
      </c>
      <c r="N99" s="17">
        <f>(E99-Nw)/(2*Nr)</f>
        <v>0.72334614570900757</v>
      </c>
      <c r="O99" s="18">
        <f>dw/2+N99*rr</f>
        <v>162.32023062276215</v>
      </c>
      <c r="P99" s="13">
        <f>MplaRd+E99*(td-F99*tc/2+Ht/2)/1000-Nw*dw/4000+(Nw-E99)*O99/1000</f>
        <v>569.03643507162406</v>
      </c>
      <c r="Q99" s="67" t="str">
        <f>IF(Nw&gt;E99,oui,non)</f>
        <v>non</v>
      </c>
      <c r="R99" s="17">
        <f>E99/2/Nw</f>
        <v>0.58571324495516763</v>
      </c>
      <c r="S99" s="13">
        <f>R99*dw</f>
        <v>174.89397494361307</v>
      </c>
      <c r="T99" s="13">
        <f>MplaRd+E99*(Ht/2+td/2-F99*tc-S99/2)/1000</f>
        <v>490.73825393302246</v>
      </c>
    </row>
    <row r="100" spans="2:20" x14ac:dyDescent="0.25">
      <c r="B100" s="3">
        <f>Feuil1!C91</f>
        <v>17</v>
      </c>
      <c r="C100" s="18">
        <f>Feuil1!D91</f>
        <v>8</v>
      </c>
      <c r="D100" s="3">
        <f t="shared" si="3"/>
        <v>2</v>
      </c>
      <c r="E100" s="13">
        <f>IF(D100=1,IF(C100&lt;=$D$43,0,C100*$G$36),IF(C100-$D$36&lt;$D$44,0,MIN((C100-$D$36-$D$44)*$G$37,(LL-C100)*$G$37)))</f>
        <v>794.71822214377789</v>
      </c>
      <c r="F100" s="17">
        <f t="shared" si="4"/>
        <v>0.30780507061003631</v>
      </c>
      <c r="G100" s="18">
        <f>IF(I100=oui,L100,IF(M100=oui,P100,T100))</f>
        <v>483.24187540217946</v>
      </c>
      <c r="I100" s="3" t="str">
        <f>IF(Na-2*Nf&lt;=E100,oui,non)</f>
        <v>non</v>
      </c>
      <c r="J100" s="17">
        <f>(Na-E100)/(2*Nf)</f>
        <v>1.1658826079107596</v>
      </c>
      <c r="K100" s="17">
        <f>J100*tf</f>
        <v>14.806709120466646</v>
      </c>
      <c r="L100" s="17">
        <f>(E100*(td-tc/2*F100)+Na*Ht/2-(Na-F100*Nc)*K100/2)/1000</f>
        <v>547.04730855255366</v>
      </c>
      <c r="M100" s="3" t="str">
        <f>IF(AND(Na-2*Nf&gt;E100,E100&gt;=Nw),oui,non)</f>
        <v>non</v>
      </c>
      <c r="N100" s="17">
        <f>(E100-Nw)/(2*Nr)</f>
        <v>-0.26523716705820544</v>
      </c>
      <c r="O100" s="18">
        <f>dw/2+N100*rr</f>
        <v>144.5257309929523</v>
      </c>
      <c r="P100" s="13">
        <f>MplaRd+E100*(td-F100*tc/2+Ht/2)/1000-Nw*dw/4000+(Nw-E100)*O100/1000</f>
        <v>543.70045503003587</v>
      </c>
      <c r="Q100" s="67" t="str">
        <f>IF(Nw&gt;E100,oui,non)</f>
        <v>oui</v>
      </c>
      <c r="R100" s="17">
        <f>E100/2/Nw</f>
        <v>0.46857059596413414</v>
      </c>
      <c r="S100" s="13">
        <f>R100*dw</f>
        <v>139.91517995489048</v>
      </c>
      <c r="T100" s="13">
        <f>MplaRd+E100*(Ht/2+td/2-F100*tc-S100/2)/1000</f>
        <v>483.24187540217946</v>
      </c>
    </row>
    <row r="101" spans="2:20" x14ac:dyDescent="0.25">
      <c r="B101" s="3">
        <f>Feuil1!C92</f>
        <v>18</v>
      </c>
      <c r="C101" s="18">
        <f>Feuil1!D92</f>
        <v>8.5</v>
      </c>
      <c r="D101" s="3">
        <f t="shared" si="3"/>
        <v>2</v>
      </c>
      <c r="E101" s="13">
        <f>IF(D101=1,IF(C101&lt;=$D$43,0,C101*$G$36),IF(C101-$D$36&lt;$D$44,0,MIN((C101-$D$36-$D$44)*$G$37,(LL-C101)*$G$37)))</f>
        <v>596.03866660783342</v>
      </c>
      <c r="F101" s="17">
        <f t="shared" si="4"/>
        <v>0.23085380295752722</v>
      </c>
      <c r="G101" s="18">
        <f>IF(I101=oui,L101,IF(M101=oui,P101,T101))</f>
        <v>466.59436074345575</v>
      </c>
      <c r="I101" s="3" t="str">
        <f>IF(Na-2*Nf&lt;=E101,oui,non)</f>
        <v>non</v>
      </c>
      <c r="J101" s="17">
        <f>(Na-E101)/(2*Nf)</f>
        <v>1.2954937055994029</v>
      </c>
      <c r="K101" s="17">
        <f>J101*tf</f>
        <v>16.452770061112417</v>
      </c>
      <c r="L101" s="17">
        <f>(E101*(td-tc/2*F101)+Na*Ht/2-(Na-F101*Nc)*K101/2)/1000</f>
        <v>521.79453904127763</v>
      </c>
      <c r="M101" s="3" t="str">
        <f>IF(AND(Na-2*Nf&gt;E101,E101&gt;=Nw),oui,non)</f>
        <v>non</v>
      </c>
      <c r="N101" s="17">
        <f>(E101-Nw)/(2*Nr)</f>
        <v>-1.2538204798254184</v>
      </c>
      <c r="O101" s="18">
        <f>dw/2+N101*rr</f>
        <v>126.73123136314248</v>
      </c>
      <c r="P101" s="13">
        <f>MplaRd+E101*(td-F101*tc/2+Ht/2)/1000-Nw*dw/4000+(Nw-E101)*O101/1000</f>
        <v>510.19288609040814</v>
      </c>
      <c r="Q101" s="67" t="str">
        <f>IF(Nw&gt;E101,oui,non)</f>
        <v>oui</v>
      </c>
      <c r="R101" s="17">
        <f>E101/2/Nw</f>
        <v>0.35142794697310059</v>
      </c>
      <c r="S101" s="13">
        <f>R101*dw</f>
        <v>104.93638496616785</v>
      </c>
      <c r="T101" s="13">
        <f>MplaRd+E101*(Ht/2+td/2-F101*tc-S101/2)/1000</f>
        <v>466.59436074345575</v>
      </c>
    </row>
    <row r="102" spans="2:20" x14ac:dyDescent="0.25">
      <c r="B102" s="3">
        <f>Feuil1!C93</f>
        <v>19</v>
      </c>
      <c r="C102" s="18">
        <f>Feuil1!D93</f>
        <v>9</v>
      </c>
      <c r="D102" s="3">
        <f t="shared" si="3"/>
        <v>2</v>
      </c>
      <c r="E102" s="13">
        <f>IF(D102=1,IF(C102&lt;=$D$43,0,C102*$G$36),IF(C102-$D$36&lt;$D$44,0,MIN((C102-$D$36-$D$44)*$G$37,(LL-C102)*$G$37)))</f>
        <v>397.35911107188895</v>
      </c>
      <c r="F102" s="17">
        <f t="shared" si="4"/>
        <v>0.15390253530501816</v>
      </c>
      <c r="G102" s="18">
        <f>IF(I102=oui,L102,IF(M102=oui,P102,T102))</f>
        <v>440.79570995685128</v>
      </c>
      <c r="I102" s="3" t="str">
        <f>IF(Na-2*Nf&lt;=E102,oui,non)</f>
        <v>non</v>
      </c>
      <c r="J102" s="17">
        <f>(Na-E102)/(2*Nf)</f>
        <v>1.4251048032880462</v>
      </c>
      <c r="K102" s="17">
        <f>J102*tf</f>
        <v>18.098831001758185</v>
      </c>
      <c r="L102" s="17">
        <f>(E102*(td-tc/2*F102)+Na*Ht/2-(Na-F102*Nc)*K102/2)/1000</f>
        <v>495.05661776536198</v>
      </c>
      <c r="M102" s="3" t="str">
        <f>IF(AND(Na-2*Nf&gt;E102,E102&gt;=Nw),oui,non)</f>
        <v>non</v>
      </c>
      <c r="N102" s="17">
        <f>(E102-Nw)/(2*Nr)</f>
        <v>-2.2424037925926315</v>
      </c>
      <c r="O102" s="18">
        <f>dw/2+N102*rr</f>
        <v>108.93673173333264</v>
      </c>
      <c r="P102" s="13">
        <f>MplaRd+E102*(td-F102*tc/2+Ht/2)/1000-Nw*dw/4000+(Nw-E102)*O102/1000</f>
        <v>468.51372825274098</v>
      </c>
      <c r="Q102" s="67" t="str">
        <f>IF(Nw&gt;E102,oui,non)</f>
        <v>oui</v>
      </c>
      <c r="R102" s="17">
        <f>E102/2/Nw</f>
        <v>0.23428529798206707</v>
      </c>
      <c r="S102" s="13">
        <f>R102*dw</f>
        <v>69.957589977445238</v>
      </c>
      <c r="T102" s="13">
        <f>MplaRd+E102*(Ht/2+td/2-F102*tc-S102/2)/1000</f>
        <v>440.79570995685128</v>
      </c>
    </row>
    <row r="103" spans="2:20" x14ac:dyDescent="0.25">
      <c r="B103" s="3">
        <f>Feuil1!C94</f>
        <v>20</v>
      </c>
      <c r="C103" s="18">
        <f>Feuil1!D94</f>
        <v>9.5</v>
      </c>
      <c r="D103" s="3">
        <f t="shared" si="3"/>
        <v>2</v>
      </c>
      <c r="E103" s="13">
        <f>IF(D103=1,IF(C103&lt;=$D$43,0,C103*$G$36),IF(C103-$D$36&lt;$D$44,0,MIN((C103-$D$36-$D$44)*$G$37,(LL-C103)*$G$37)))</f>
        <v>198.67955553594447</v>
      </c>
      <c r="F103" s="17">
        <f t="shared" si="4"/>
        <v>7.6951267652509078E-2</v>
      </c>
      <c r="G103" s="18">
        <f>IF(I103=oui,L103,IF(M103=oui,P103,T103))</f>
        <v>405.84592304236605</v>
      </c>
      <c r="I103" s="3" t="str">
        <f>IF(Na-2*Nf&lt;=E103,oui,non)</f>
        <v>non</v>
      </c>
      <c r="J103" s="17">
        <f>(Na-E103)/(2*Nf)</f>
        <v>1.5547159009766895</v>
      </c>
      <c r="K103" s="17">
        <f>J103*tf</f>
        <v>19.744891942403957</v>
      </c>
      <c r="L103" s="17">
        <f>(E103*(td-tc/2*F103)+Na*Ht/2-(Na-F103*Nc)*K103/2)/1000</f>
        <v>466.83354472480664</v>
      </c>
      <c r="M103" s="3" t="str">
        <f>IF(AND(Na-2*Nf&gt;E103,E103&gt;=Nw),oui,non)</f>
        <v>non</v>
      </c>
      <c r="N103" s="17">
        <f>(E103-Nw)/(2*Nr)</f>
        <v>-3.2309871053598442</v>
      </c>
      <c r="O103" s="18">
        <f>dw/2+N103*rr</f>
        <v>91.142232103522815</v>
      </c>
      <c r="P103" s="13">
        <f>MplaRd+E103*(td-F103*tc/2+Ht/2)/1000-Nw*dw/4000+(Nw-E103)*O103/1000</f>
        <v>418.66298151703421</v>
      </c>
      <c r="Q103" s="67" t="str">
        <f>IF(Nw&gt;E103,oui,non)</f>
        <v>oui</v>
      </c>
      <c r="R103" s="17">
        <f>E103/2/Nw</f>
        <v>0.11714264899103354</v>
      </c>
      <c r="S103" s="13">
        <f>R103*dw</f>
        <v>34.978794988722619</v>
      </c>
      <c r="T103" s="13">
        <f>MplaRd+E103*(Ht/2+td/2-F103*tc-S103/2)/1000</f>
        <v>405.84592304236605</v>
      </c>
    </row>
    <row r="104" spans="2:20" x14ac:dyDescent="0.25">
      <c r="B104" s="3">
        <f>Feuil1!C95</f>
        <v>21</v>
      </c>
      <c r="C104" s="18">
        <f>Feuil1!D95</f>
        <v>10</v>
      </c>
      <c r="D104" s="3">
        <f t="shared" si="3"/>
        <v>2</v>
      </c>
      <c r="E104" s="13">
        <f>IF(D104=1,IF(C104&lt;=$D$43,0,C104*$G$36),IF(C104-$D$36&lt;$D$44,0,MIN((C104-$D$36-$D$44)*$G$37,(LL-C104)*$G$37)))</f>
        <v>0</v>
      </c>
      <c r="F104" s="17">
        <f t="shared" si="4"/>
        <v>0</v>
      </c>
      <c r="G104" s="18">
        <f>IF(I104=oui,L104,IF(M104=oui,P104,T104))</f>
        <v>361.745</v>
      </c>
      <c r="I104" s="3" t="str">
        <f>IF(Na-2*Nf&lt;=E104,oui,non)</f>
        <v>non</v>
      </c>
      <c r="J104" s="17">
        <f>(Na-E104)/(2*Nf)</f>
        <v>1.6843269986653329</v>
      </c>
      <c r="K104" s="17">
        <f>J104*tf</f>
        <v>21.390952883049724</v>
      </c>
      <c r="L104" s="17">
        <f>(E104*(td-tc/2*F104)+Na*Ht/2-(Na-F104*Nc)*K104/2)/1000</f>
        <v>437.12531991961151</v>
      </c>
      <c r="M104" s="3" t="str">
        <f>IF(AND(Na-2*Nf&gt;E104,E104&gt;=Nw),oui,non)</f>
        <v>non</v>
      </c>
      <c r="N104" s="17">
        <f>(E104-Nw)/(2*Nr)</f>
        <v>-4.2195704181270575</v>
      </c>
      <c r="O104" s="18">
        <f>dw/2+N104*rr</f>
        <v>73.347732473712981</v>
      </c>
      <c r="P104" s="13">
        <f>MplaRd+E104*(td-F104*tc/2+Ht/2)/1000-Nw*dw/4000+(Nw-E104)*O104/1000</f>
        <v>360.64064588328802</v>
      </c>
      <c r="Q104" s="67" t="str">
        <f>IF(Nw&gt;E104,oui,non)</f>
        <v>oui</v>
      </c>
      <c r="R104" s="17">
        <f>E104/2/Nw</f>
        <v>0</v>
      </c>
      <c r="S104" s="13">
        <f>R104*dw</f>
        <v>0</v>
      </c>
      <c r="T104" s="13">
        <f>MplaRd+E104*(Ht/2+td/2-F104*tc-S104/2)/1000</f>
        <v>361.745</v>
      </c>
    </row>
    <row r="109" spans="2:20" x14ac:dyDescent="0.25">
      <c r="G109" t="s">
        <v>201</v>
      </c>
    </row>
    <row r="110" spans="2:20" x14ac:dyDescent="0.25">
      <c r="G110" t="s">
        <v>202</v>
      </c>
      <c r="I110" t="s">
        <v>203</v>
      </c>
      <c r="K110" t="s">
        <v>204</v>
      </c>
    </row>
    <row r="111" spans="2:20" x14ac:dyDescent="0.25">
      <c r="E111" s="3">
        <f>B84</f>
        <v>1</v>
      </c>
      <c r="F111" s="13">
        <f>C84</f>
        <v>0</v>
      </c>
      <c r="G111" s="18">
        <f>Feuil1!Q75</f>
        <v>-340.37214428976085</v>
      </c>
      <c r="H111" s="17">
        <f>IF(G111&gt;0,G111/$G84,0)</f>
        <v>0</v>
      </c>
      <c r="I111" s="18">
        <f>Feuil1!S75</f>
        <v>-70.37214428976084</v>
      </c>
      <c r="J111" s="17">
        <f>IF(I111&gt;0,I111/$G84,0)</f>
        <v>0</v>
      </c>
      <c r="K111" s="18">
        <f>Feuil1!U75</f>
        <v>-340.37214428976085</v>
      </c>
      <c r="L111" s="17">
        <f>IF(K111&gt;0,K111/$G84,0)</f>
        <v>0</v>
      </c>
    </row>
    <row r="112" spans="2:20" x14ac:dyDescent="0.25">
      <c r="E112" s="3">
        <f t="shared" ref="E112:F112" si="5">B85</f>
        <v>2</v>
      </c>
      <c r="F112" s="13">
        <f t="shared" si="5"/>
        <v>0.5</v>
      </c>
      <c r="G112" s="18">
        <f>Feuil1!Q76</f>
        <v>-286.21268314456569</v>
      </c>
      <c r="H112" s="17">
        <f t="shared" ref="H112:H129" si="6">IF(G112&gt;0,G112/$G85,0)</f>
        <v>0</v>
      </c>
      <c r="I112" s="18">
        <f>Feuil1!S76</f>
        <v>112.78731685543431</v>
      </c>
      <c r="J112" s="17">
        <f t="shared" ref="J112:J129" si="7">IF(I112&gt;0,I112/$G85,0)</f>
        <v>0.31178680245873286</v>
      </c>
      <c r="K112" s="18">
        <f>Feuil1!U76</f>
        <v>-143.71268314456569</v>
      </c>
      <c r="L112" s="17">
        <f t="shared" ref="L112:L129" si="8">IF(K112&gt;0,K112/$G85,0)</f>
        <v>0</v>
      </c>
    </row>
    <row r="113" spans="5:12" x14ac:dyDescent="0.25">
      <c r="E113" s="3">
        <f t="shared" ref="E113:F113" si="9">B86</f>
        <v>3</v>
      </c>
      <c r="F113" s="13">
        <f t="shared" si="9"/>
        <v>1</v>
      </c>
      <c r="G113" s="18">
        <f>Feuil1!Q77</f>
        <v>-235.96278557102391</v>
      </c>
      <c r="H113" s="17">
        <f t="shared" si="6"/>
        <v>0</v>
      </c>
      <c r="I113" s="18">
        <f>Feuil1!S77</f>
        <v>277.03721442897609</v>
      </c>
      <c r="J113" s="17">
        <f t="shared" si="7"/>
        <v>0.76583564231427137</v>
      </c>
      <c r="K113" s="18">
        <f>Feuil1!U77</f>
        <v>34.037214428976078</v>
      </c>
      <c r="L113" s="17">
        <f t="shared" si="8"/>
        <v>9.4091734312778549E-2</v>
      </c>
    </row>
    <row r="114" spans="5:12" x14ac:dyDescent="0.25">
      <c r="E114" s="3">
        <f t="shared" ref="E114:F114" si="10">B87</f>
        <v>4</v>
      </c>
      <c r="F114" s="13">
        <f t="shared" si="10"/>
        <v>1.5</v>
      </c>
      <c r="G114" s="18">
        <f>Feuil1!Q78</f>
        <v>-189.62245156913554</v>
      </c>
      <c r="H114" s="17">
        <f t="shared" si="6"/>
        <v>0</v>
      </c>
      <c r="I114" s="18">
        <f>Feuil1!S78</f>
        <v>422.37754843086446</v>
      </c>
      <c r="J114" s="17">
        <f t="shared" si="7"/>
        <v>1.1676112964404883</v>
      </c>
      <c r="K114" s="18">
        <f>Feuil1!U78</f>
        <v>192.87754843086446</v>
      </c>
      <c r="L114" s="17">
        <f t="shared" si="8"/>
        <v>0.53318649443907851</v>
      </c>
    </row>
    <row r="115" spans="5:12" x14ac:dyDescent="0.25">
      <c r="E115" s="3">
        <f t="shared" ref="E115:F115" si="11">B88</f>
        <v>5</v>
      </c>
      <c r="F115" s="13">
        <f t="shared" si="11"/>
        <v>2</v>
      </c>
      <c r="G115" s="18">
        <f>Feuil1!Q79</f>
        <v>-147.19168113890052</v>
      </c>
      <c r="H115" s="17">
        <f t="shared" si="6"/>
        <v>0</v>
      </c>
      <c r="I115" s="18">
        <f>Feuil1!S79</f>
        <v>548.80831886109945</v>
      </c>
      <c r="J115" s="17">
        <f t="shared" si="7"/>
        <v>1.4539371349002377</v>
      </c>
      <c r="K115" s="18">
        <f>Feuil1!U79</f>
        <v>332.80831886109945</v>
      </c>
      <c r="L115" s="17">
        <f t="shared" si="8"/>
        <v>0.8816964994263139</v>
      </c>
    </row>
    <row r="116" spans="5:12" x14ac:dyDescent="0.25">
      <c r="E116" s="3">
        <f t="shared" ref="E116:F116" si="12">B89</f>
        <v>6</v>
      </c>
      <c r="F116" s="13">
        <f t="shared" si="12"/>
        <v>2.5</v>
      </c>
      <c r="G116" s="18">
        <f>Feuil1!Q80</f>
        <v>-108.67047428031889</v>
      </c>
      <c r="H116" s="17">
        <f t="shared" si="6"/>
        <v>0</v>
      </c>
      <c r="I116" s="18">
        <f>Feuil1!S80</f>
        <v>656.3295257196811</v>
      </c>
      <c r="J116" s="17">
        <f t="shared" si="7"/>
        <v>1.5682385622298081</v>
      </c>
      <c r="K116" s="18">
        <f>Feuil1!U80</f>
        <v>453.8295257196811</v>
      </c>
      <c r="L116" s="17">
        <f t="shared" si="8"/>
        <v>1.0843835832795394</v>
      </c>
    </row>
    <row r="117" spans="5:12" x14ac:dyDescent="0.25">
      <c r="E117" s="3">
        <f t="shared" ref="E117:F117" si="13">B90</f>
        <v>7</v>
      </c>
      <c r="F117" s="13">
        <f t="shared" si="13"/>
        <v>3</v>
      </c>
      <c r="G117" s="18">
        <f>Feuil1!Q81</f>
        <v>-74.058830993390643</v>
      </c>
      <c r="H117" s="17">
        <f t="shared" si="6"/>
        <v>0</v>
      </c>
      <c r="I117" s="18">
        <f>Feuil1!S81</f>
        <v>744.94116900660936</v>
      </c>
      <c r="J117" s="17">
        <f t="shared" si="7"/>
        <v>1.6539071204016087</v>
      </c>
      <c r="K117" s="18">
        <f>Feuil1!U81</f>
        <v>555.94116900660936</v>
      </c>
      <c r="L117" s="17">
        <f t="shared" si="8"/>
        <v>1.2342921779589113</v>
      </c>
    </row>
    <row r="118" spans="5:12" x14ac:dyDescent="0.25">
      <c r="E118" s="3">
        <f t="shared" ref="E118:F118" si="14">B91</f>
        <v>8</v>
      </c>
      <c r="F118" s="13">
        <f t="shared" si="14"/>
        <v>3.5</v>
      </c>
      <c r="G118" s="18">
        <f>Feuil1!Q82</f>
        <v>-43.356751278115752</v>
      </c>
      <c r="H118" s="17">
        <f t="shared" si="6"/>
        <v>0</v>
      </c>
      <c r="I118" s="18">
        <f>Feuil1!S82</f>
        <v>814.64324872188422</v>
      </c>
      <c r="J118" s="17">
        <f t="shared" si="7"/>
        <v>1.7217044403359252</v>
      </c>
      <c r="K118" s="18">
        <f>Feuil1!U82</f>
        <v>639.14324872188422</v>
      </c>
      <c r="L118" s="17">
        <f t="shared" si="8"/>
        <v>1.3507946835153533</v>
      </c>
    </row>
    <row r="119" spans="5:12" x14ac:dyDescent="0.25">
      <c r="E119" s="3">
        <f t="shared" ref="E119:F119" si="15">B92</f>
        <v>9</v>
      </c>
      <c r="F119" s="13">
        <f t="shared" si="15"/>
        <v>4</v>
      </c>
      <c r="G119" s="18">
        <f>Feuil1!Q83</f>
        <v>-16.564235134494282</v>
      </c>
      <c r="H119" s="17">
        <f t="shared" si="6"/>
        <v>0</v>
      </c>
      <c r="I119" s="18">
        <f>Feuil1!S83</f>
        <v>865.43576486550569</v>
      </c>
      <c r="J119" s="17">
        <f t="shared" si="7"/>
        <v>1.5648287898116933</v>
      </c>
      <c r="K119" s="18">
        <f>Feuil1!U83</f>
        <v>703.43576486550569</v>
      </c>
      <c r="L119" s="17">
        <f t="shared" si="8"/>
        <v>1.2719101536274235</v>
      </c>
    </row>
    <row r="120" spans="5:12" x14ac:dyDescent="0.25">
      <c r="E120" s="3">
        <f t="shared" ref="E120:F120" si="16">B93</f>
        <v>10</v>
      </c>
      <c r="F120" s="13">
        <f t="shared" si="16"/>
        <v>4.5</v>
      </c>
      <c r="G120" s="18">
        <f>Feuil1!Q84</f>
        <v>6.318717437473822</v>
      </c>
      <c r="H120" s="17">
        <f t="shared" si="6"/>
        <v>1.0924322715763612E-2</v>
      </c>
      <c r="I120" s="18">
        <f>Feuil1!S84</f>
        <v>897.31871743747388</v>
      </c>
      <c r="J120" s="17">
        <f t="shared" si="7"/>
        <v>1.5513590131514212</v>
      </c>
      <c r="K120" s="18">
        <f>Feuil1!U84</f>
        <v>748.81871743747388</v>
      </c>
      <c r="L120" s="17">
        <f t="shared" si="8"/>
        <v>1.2946198980788115</v>
      </c>
    </row>
    <row r="121" spans="5:12" x14ac:dyDescent="0.25">
      <c r="E121" s="3">
        <f t="shared" ref="E121:F121" si="17">B94</f>
        <v>11</v>
      </c>
      <c r="F121" s="13">
        <f t="shared" si="17"/>
        <v>5</v>
      </c>
      <c r="G121" s="18">
        <f>Feuil1!Q85</f>
        <v>25.292106437788561</v>
      </c>
      <c r="H121" s="17">
        <f t="shared" si="6"/>
        <v>4.2139778043996684E-2</v>
      </c>
      <c r="I121" s="18">
        <f>Feuil1!S85</f>
        <v>910.29210643778856</v>
      </c>
      <c r="J121" s="17">
        <f t="shared" si="7"/>
        <v>1.5166592555208547</v>
      </c>
      <c r="K121" s="18">
        <f>Feuil1!U85</f>
        <v>775.29210643778856</v>
      </c>
      <c r="L121" s="17">
        <f t="shared" si="8"/>
        <v>1.2917325555667576</v>
      </c>
    </row>
    <row r="122" spans="5:12" x14ac:dyDescent="0.25">
      <c r="E122" s="3">
        <f t="shared" ref="E122:F122" si="18">B95</f>
        <v>12</v>
      </c>
      <c r="F122" s="13">
        <f t="shared" si="18"/>
        <v>5.5</v>
      </c>
      <c r="G122" s="18">
        <f>Feuil1!Q86</f>
        <v>40.355931866449907</v>
      </c>
      <c r="H122" s="17">
        <f t="shared" si="6"/>
        <v>6.5037999143746292E-2</v>
      </c>
      <c r="I122" s="18">
        <f>Feuil1!S86</f>
        <v>904.35593186644996</v>
      </c>
      <c r="J122" s="17">
        <f t="shared" si="7"/>
        <v>1.4574685207869096</v>
      </c>
      <c r="K122" s="18">
        <f>Feuil1!U86</f>
        <v>782.85593186644996</v>
      </c>
      <c r="L122" s="17">
        <f t="shared" si="8"/>
        <v>1.2616579786808397</v>
      </c>
    </row>
    <row r="123" spans="5:12" x14ac:dyDescent="0.25">
      <c r="E123" s="3">
        <f t="shared" ref="E123:F123" si="19">B96</f>
        <v>13</v>
      </c>
      <c r="F123" s="13">
        <f t="shared" si="19"/>
        <v>6</v>
      </c>
      <c r="G123" s="18">
        <f>Feuil1!Q87</f>
        <v>51.510193723457888</v>
      </c>
      <c r="H123" s="17">
        <f t="shared" si="6"/>
        <v>8.1348128469880418E-2</v>
      </c>
      <c r="I123" s="18">
        <f>Feuil1!S87</f>
        <v>879.51019372345786</v>
      </c>
      <c r="J123" s="17">
        <f t="shared" si="7"/>
        <v>1.3889776577757806</v>
      </c>
      <c r="K123" s="18">
        <f>Feuil1!U87</f>
        <v>771.51019372345786</v>
      </c>
      <c r="L123" s="17">
        <f t="shared" si="8"/>
        <v>1.2184172843880545</v>
      </c>
    </row>
    <row r="124" spans="5:12" x14ac:dyDescent="0.25">
      <c r="E124" s="3">
        <f t="shared" ref="E124:F124" si="20">B97</f>
        <v>14</v>
      </c>
      <c r="F124" s="13">
        <f t="shared" si="20"/>
        <v>6.5</v>
      </c>
      <c r="G124" s="18">
        <f>Feuil1!Q88</f>
        <v>58.754892008812476</v>
      </c>
      <c r="H124" s="17">
        <f t="shared" si="6"/>
        <v>9.5708419354080018E-2</v>
      </c>
      <c r="I124" s="18">
        <f>Feuil1!S88</f>
        <v>835.75489200881248</v>
      </c>
      <c r="J124" s="17">
        <f t="shared" si="7"/>
        <v>1.3613977823260401</v>
      </c>
      <c r="K124" s="18">
        <f>Feuil1!U88</f>
        <v>741.25489200881248</v>
      </c>
      <c r="L124" s="17">
        <f t="shared" si="8"/>
        <v>1.2074625895321531</v>
      </c>
    </row>
    <row r="125" spans="5:12" x14ac:dyDescent="0.25">
      <c r="E125" s="3">
        <f>B98</f>
        <v>15</v>
      </c>
      <c r="F125" s="13">
        <f>C98</f>
        <v>7</v>
      </c>
      <c r="G125" s="18">
        <f>Feuil1!Q89</f>
        <v>62.090026722513699</v>
      </c>
      <c r="H125" s="17">
        <f>IF(G125&gt;0,G125/$G98,0)</f>
        <v>0.10468774189632066</v>
      </c>
      <c r="I125" s="18">
        <f>Feuil1!S89</f>
        <v>773.0900267225137</v>
      </c>
      <c r="J125" s="17">
        <f>IF(I125&gt;0,I125/$G98,0)</f>
        <v>1.3034790521486443</v>
      </c>
      <c r="K125" s="18">
        <f>Feuil1!U89</f>
        <v>692.0900267225137</v>
      </c>
      <c r="L125" s="17">
        <f>IF(K125&gt;0,K125/$G98,0)</f>
        <v>1.1669078902211643</v>
      </c>
    </row>
    <row r="126" spans="5:12" x14ac:dyDescent="0.25">
      <c r="E126" s="3">
        <f t="shared" ref="E126:E129" si="21">B99</f>
        <v>16</v>
      </c>
      <c r="F126" s="13">
        <f t="shared" ref="F126:F129" si="22">C99</f>
        <v>7.5</v>
      </c>
      <c r="G126" s="18">
        <f>Feuil1!Q90</f>
        <v>61.515597864561528</v>
      </c>
      <c r="H126" s="17">
        <f t="shared" si="6"/>
        <v>0.10810484895720011</v>
      </c>
      <c r="I126" s="18">
        <f>Feuil1!S90</f>
        <v>691.51559786456153</v>
      </c>
      <c r="J126" s="17">
        <f t="shared" si="7"/>
        <v>1.2152395791273385</v>
      </c>
      <c r="K126" s="18">
        <f>Feuil1!U90</f>
        <v>624.01559786456153</v>
      </c>
      <c r="L126" s="17">
        <f t="shared" si="8"/>
        <v>1.0966180008948236</v>
      </c>
    </row>
    <row r="127" spans="5:12" x14ac:dyDescent="0.25">
      <c r="E127" s="3">
        <f t="shared" si="21"/>
        <v>17</v>
      </c>
      <c r="F127" s="13">
        <f t="shared" si="22"/>
        <v>8</v>
      </c>
      <c r="G127" s="18">
        <f>Feuil1!Q91</f>
        <v>57.031605434955978</v>
      </c>
      <c r="H127" s="17">
        <f t="shared" si="6"/>
        <v>0.11801875693717821</v>
      </c>
      <c r="I127" s="18">
        <f>Feuil1!S91</f>
        <v>591.03160543495596</v>
      </c>
      <c r="J127" s="17">
        <f t="shared" si="7"/>
        <v>1.2230554418386614</v>
      </c>
      <c r="K127" s="18">
        <f>Feuil1!U91</f>
        <v>537.03160543495596</v>
      </c>
      <c r="L127" s="17">
        <f t="shared" si="8"/>
        <v>1.1113101590958148</v>
      </c>
    </row>
    <row r="128" spans="5:12" x14ac:dyDescent="0.25">
      <c r="E128" s="3">
        <f t="shared" si="21"/>
        <v>18</v>
      </c>
      <c r="F128" s="13">
        <f t="shared" si="22"/>
        <v>8.5</v>
      </c>
      <c r="G128" s="18">
        <f>Feuil1!Q92</f>
        <v>48.638049433697063</v>
      </c>
      <c r="H128" s="17">
        <f t="shared" si="6"/>
        <v>0.10424054280510127</v>
      </c>
      <c r="I128" s="18">
        <f>Feuil1!S92</f>
        <v>471.63804943369706</v>
      </c>
      <c r="J128" s="17">
        <f t="shared" si="7"/>
        <v>1.010809579186094</v>
      </c>
      <c r="K128" s="18">
        <f>Feuil1!U92</f>
        <v>431.13804943369706</v>
      </c>
      <c r="L128" s="17">
        <f t="shared" si="8"/>
        <v>0.92401041612833945</v>
      </c>
    </row>
    <row r="129" spans="5:12" x14ac:dyDescent="0.25">
      <c r="E129" s="3">
        <f t="shared" si="21"/>
        <v>19</v>
      </c>
      <c r="F129" s="13">
        <f t="shared" si="22"/>
        <v>9</v>
      </c>
      <c r="G129" s="18">
        <f>Feuil1!Q93</f>
        <v>36.334929860784747</v>
      </c>
      <c r="H129" s="17">
        <f t="shared" si="6"/>
        <v>8.2430316448273755E-2</v>
      </c>
      <c r="I129" s="18">
        <f>Feuil1!S93</f>
        <v>333.33492986078477</v>
      </c>
      <c r="J129" s="17">
        <f t="shared" si="7"/>
        <v>0.75621182858928992</v>
      </c>
      <c r="K129" s="18">
        <f>Feuil1!U93</f>
        <v>306.33492986078477</v>
      </c>
      <c r="L129" s="17">
        <f t="shared" si="8"/>
        <v>0.69495896384919753</v>
      </c>
    </row>
    <row r="130" spans="5:12" x14ac:dyDescent="0.25">
      <c r="E130" s="3">
        <f>B103</f>
        <v>20</v>
      </c>
      <c r="F130" s="13">
        <f>C103</f>
        <v>9.5</v>
      </c>
      <c r="G130" s="18">
        <f>Feuil1!Q94</f>
        <v>20.122246716219067</v>
      </c>
      <c r="H130" s="17">
        <f>IF(G130&gt;0,G130/$G103,0)</f>
        <v>4.9581000014427924E-2</v>
      </c>
      <c r="I130" s="18">
        <f>Feuil1!S94</f>
        <v>176.12224671621908</v>
      </c>
      <c r="J130" s="17">
        <f>IF(I130&gt;0,I130/$G103,0)</f>
        <v>0.43396332626910178</v>
      </c>
      <c r="K130" s="18">
        <f>Feuil1!U94</f>
        <v>162.62224671621908</v>
      </c>
      <c r="L130" s="17">
        <f>IF(K130&gt;0,K130/$G103,0)</f>
        <v>0.40069947111244736</v>
      </c>
    </row>
    <row r="131" spans="5:12" x14ac:dyDescent="0.25">
      <c r="E131" s="3">
        <f>B104</f>
        <v>21</v>
      </c>
      <c r="F131" s="13">
        <f>C104</f>
        <v>10</v>
      </c>
      <c r="G131" s="18">
        <f>Feuil1!Q95</f>
        <v>0</v>
      </c>
      <c r="H131" s="17">
        <f>IF(G131&gt;0,G131/$G104,0)</f>
        <v>0</v>
      </c>
      <c r="I131" s="18">
        <f>Feuil1!S95</f>
        <v>0</v>
      </c>
      <c r="J131" s="17">
        <f>IF(I131&gt;0,I131/$G104,0)</f>
        <v>0</v>
      </c>
      <c r="K131" s="18">
        <f>Feuil1!U95</f>
        <v>0</v>
      </c>
      <c r="L131" s="17">
        <f>IF(K131&gt;0,K131/$G104,0)</f>
        <v>0</v>
      </c>
    </row>
    <row r="134" spans="5:12" x14ac:dyDescent="0.25">
      <c r="H134" s="88">
        <f>MAX(H111:H131)</f>
        <v>0.11801875693717821</v>
      </c>
      <c r="J134" s="88">
        <f>MAX(J111:J131)</f>
        <v>1.7217044403359252</v>
      </c>
      <c r="L134" s="88">
        <f>MAX(L111:L131)</f>
        <v>1.3507946835153533</v>
      </c>
    </row>
  </sheetData>
  <pageMargins left="0.7" right="0.7" top="0.75" bottom="0.75" header="0.3" footer="0.3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77</vt:i4>
      </vt:variant>
    </vt:vector>
  </HeadingPairs>
  <TitlesOfParts>
    <vt:vector size="79" baseType="lpstr">
      <vt:lpstr>Feuil1</vt:lpstr>
      <vt:lpstr>Connexion</vt:lpstr>
      <vt:lpstr>AireA</vt:lpstr>
      <vt:lpstr>As</vt:lpstr>
      <vt:lpstr>Av</vt:lpstr>
      <vt:lpstr>Avmin</vt:lpstr>
      <vt:lpstr>b</vt:lpstr>
      <vt:lpstr>bb</vt:lpstr>
      <vt:lpstr>beff_1</vt:lpstr>
      <vt:lpstr>beff_a</vt:lpstr>
      <vt:lpstr>bm</vt:lpstr>
      <vt:lpstr>bt</vt:lpstr>
      <vt:lpstr>c_z</vt:lpstr>
      <vt:lpstr>d</vt:lpstr>
      <vt:lpstr>dsc</vt:lpstr>
      <vt:lpstr>dw</vt:lpstr>
      <vt:lpstr>e_s</vt:lpstr>
      <vt:lpstr>ebac</vt:lpstr>
      <vt:lpstr>Ecm</vt:lpstr>
      <vt:lpstr>Eta</vt:lpstr>
      <vt:lpstr>Ey</vt:lpstr>
      <vt:lpstr>Fck</vt:lpstr>
      <vt:lpstr>Fcm</vt:lpstr>
      <vt:lpstr>Fsk</vt:lpstr>
      <vt:lpstr>Fusc</vt:lpstr>
      <vt:lpstr>Fy</vt:lpstr>
      <vt:lpstr>fybac</vt:lpstr>
      <vt:lpstr>g</vt:lpstr>
      <vt:lpstr>GammaC</vt:lpstr>
      <vt:lpstr>GammaG</vt:lpstr>
      <vt:lpstr>GammaM0</vt:lpstr>
      <vt:lpstr>GammaM1</vt:lpstr>
      <vt:lpstr>GammaQ</vt:lpstr>
      <vt:lpstr>GammaS</vt:lpstr>
      <vt:lpstr>GammaV</vt:lpstr>
      <vt:lpstr>hbac</vt:lpstr>
      <vt:lpstr>hsc</vt:lpstr>
      <vt:lpstr>Ht</vt:lpstr>
      <vt:lpstr>hw</vt:lpstr>
      <vt:lpstr>kC</vt:lpstr>
      <vt:lpstr>La</vt:lpstr>
      <vt:lpstr>Le</vt:lpstr>
      <vt:lpstr>Le_1</vt:lpstr>
      <vt:lpstr>Le_a</vt:lpstr>
      <vt:lpstr>LL</vt:lpstr>
      <vt:lpstr>MplaRd</vt:lpstr>
      <vt:lpstr>MplRd_1</vt:lpstr>
      <vt:lpstr>MplRd_app</vt:lpstr>
      <vt:lpstr>mubac</vt:lpstr>
      <vt:lpstr>Na</vt:lpstr>
      <vt:lpstr>Nc</vt:lpstr>
      <vt:lpstr>Nf</vt:lpstr>
      <vt:lpstr>non</vt:lpstr>
      <vt:lpstr>Nr</vt:lpstr>
      <vt:lpstr>Ns</vt:lpstr>
      <vt:lpstr>Nu</vt:lpstr>
      <vt:lpstr>Nw</vt:lpstr>
      <vt:lpstr>oui</vt:lpstr>
      <vt:lpstr>p_1</vt:lpstr>
      <vt:lpstr>p_w</vt:lpstr>
      <vt:lpstr>PhiS</vt:lpstr>
      <vt:lpstr>PRd_dp</vt:lpstr>
      <vt:lpstr>PRda</vt:lpstr>
      <vt:lpstr>PRdc</vt:lpstr>
      <vt:lpstr>qG_1</vt:lpstr>
      <vt:lpstr>qG_2</vt:lpstr>
      <vt:lpstr>qQ</vt:lpstr>
      <vt:lpstr>RhoA</vt:lpstr>
      <vt:lpstr>RhoC</vt:lpstr>
      <vt:lpstr>rr</vt:lpstr>
      <vt:lpstr>tbac</vt:lpstr>
      <vt:lpstr>tc</vt:lpstr>
      <vt:lpstr>td</vt:lpstr>
      <vt:lpstr>tf</vt:lpstr>
      <vt:lpstr>tw</vt:lpstr>
      <vt:lpstr>VplRd</vt:lpstr>
      <vt:lpstr>Wpl</vt:lpstr>
      <vt:lpstr>zn</vt:lpstr>
      <vt:lpstr>zR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2024-08-19T12:52:23Z</dcterms:created>
  <dcterms:modified xsi:type="dcterms:W3CDTF">2024-08-28T15:50:48Z</dcterms:modified>
</cp:coreProperties>
</file>