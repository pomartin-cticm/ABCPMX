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C05\"/>
    </mc:Choice>
  </mc:AlternateContent>
  <bookViews>
    <workbookView xWindow="0" yWindow="0" windowWidth="28800" windowHeight="12300" activeTab="1"/>
  </bookViews>
  <sheets>
    <sheet name="Feuil1" sheetId="1" r:id="rId1"/>
    <sheet name="Connexion" sheetId="2" r:id="rId2"/>
  </sheets>
  <definedNames>
    <definedName name="AireA">Feuil1!$E$16</definedName>
    <definedName name="As">Feuil1!$O$26</definedName>
    <definedName name="Av">Feuil1!$E$20</definedName>
    <definedName name="Avmin">Feuil1!$J$36</definedName>
    <definedName name="b">Feuil1!$E$12</definedName>
    <definedName name="bb">Feuil1!$E$26</definedName>
    <definedName name="beff_1">Feuil1!$O$4</definedName>
    <definedName name="beff_a">Feuil1!$O$5</definedName>
    <definedName name="bm">Feuil1!$E$31</definedName>
    <definedName name="bt">Feuil1!$E$27</definedName>
    <definedName name="c_z">Feuil1!$E$40</definedName>
    <definedName name="d">Feuil1!$E$6</definedName>
    <definedName name="dsc">Connexion!$D$4</definedName>
    <definedName name="dw">Feuil1!$E$19</definedName>
    <definedName name="e_s">Feuil1!$E$39</definedName>
    <definedName name="ebac">Feuil1!$E$25</definedName>
    <definedName name="Ecm">Feuil1!$J$9</definedName>
    <definedName name="Eta">Feuil1!$J$35</definedName>
    <definedName name="Ey">Feuil1!$J$6</definedName>
    <definedName name="Fck">Feuil1!$J$7</definedName>
    <definedName name="Fcm">Feuil1!$J$10</definedName>
    <definedName name="Fsk">Feuil1!$J$8</definedName>
    <definedName name="Fusc">Connexion!$D$6</definedName>
    <definedName name="Fy">Feuil1!$J$4</definedName>
    <definedName name="fybac">Feuil1!$E$29</definedName>
    <definedName name="g">Feuil1!$J$28</definedName>
    <definedName name="GammaC">Feuil1!$J$16</definedName>
    <definedName name="GammaG">Feuil1!$J$20</definedName>
    <definedName name="GammaM0">Feuil1!$J$14</definedName>
    <definedName name="GammaM1">Feuil1!$J$15</definedName>
    <definedName name="GammaQ">Feuil1!$J$21</definedName>
    <definedName name="GammaS">Feuil1!$J$17</definedName>
    <definedName name="GammaV">Feuil1!$J$18</definedName>
    <definedName name="hbac">Feuil1!$E$24</definedName>
    <definedName name="hsc">Connexion!$D$5</definedName>
    <definedName name="Ht">Feuil1!$E$11</definedName>
    <definedName name="hw">Feuil1!$E$18</definedName>
    <definedName name="kC">Feuil1!$O$53</definedName>
    <definedName name="La">Feuil1!$E$5</definedName>
    <definedName name="Le_1">Feuil1!$O$7</definedName>
    <definedName name="Le_a">Feuil1!$O$8</definedName>
    <definedName name="LL">Feuil1!$E$4</definedName>
    <definedName name="MplRd_1">Feuil1!$O$19</definedName>
    <definedName name="MplRd_app">Feuil1!$O$37</definedName>
    <definedName name="mubac">Feuil1!$E$30</definedName>
    <definedName name="Na">Feuil1!$O$15</definedName>
    <definedName name="Nc">Feuil1!$O$14</definedName>
    <definedName name="Nf">Feuil1!$O$29</definedName>
    <definedName name="non">Feuil1!$T$3</definedName>
    <definedName name="Nr">Feuil1!$O$30</definedName>
    <definedName name="Ns">Feuil1!$O$25</definedName>
    <definedName name="Nu">Feuil1!$J$5</definedName>
    <definedName name="Nw">Feuil1!$O$31</definedName>
    <definedName name="oui">Feuil1!$T$2</definedName>
    <definedName name="p_1">Feuil1!$O$40</definedName>
    <definedName name="p_w">Feuil1!$R$40</definedName>
    <definedName name="PhiS">Feuil1!$E$38</definedName>
    <definedName name="PRd_dp">Connexion!$D$12</definedName>
    <definedName name="PRda">Connexion!$D$10</definedName>
    <definedName name="PRdc">Connexion!$D$11</definedName>
    <definedName name="qG_1">Feuil1!$E$56</definedName>
    <definedName name="qG_2">Feuil1!$E$57</definedName>
    <definedName name="qQ">Feuil1!$E$58</definedName>
    <definedName name="RhoA">Feuil1!$J$26</definedName>
    <definedName name="RhoC">Feuil1!$J$27</definedName>
    <definedName name="rr">Feuil1!$E$15</definedName>
    <definedName name="tbac">Feuil1!$E$28</definedName>
    <definedName name="tc">Feuil1!$E$36</definedName>
    <definedName name="td">Feuil1!$E$35</definedName>
    <definedName name="tf">Feuil1!$E$13</definedName>
    <definedName name="tw">Feuil1!$E$14</definedName>
    <definedName name="VplRd">Feuil1!$J$37</definedName>
    <definedName name="zn">Feuil1!$O$17</definedName>
    <definedName name="zR">Feuil1!$O$52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9" i="1" l="1"/>
  <c r="W29" i="1"/>
  <c r="Y28" i="1"/>
  <c r="X28" i="1"/>
  <c r="W28" i="1"/>
  <c r="Y27" i="1"/>
  <c r="W27" i="1"/>
  <c r="F74" i="2"/>
  <c r="D74" i="2"/>
  <c r="F72" i="2"/>
  <c r="D72" i="2"/>
  <c r="F71" i="2"/>
  <c r="D71" i="2"/>
  <c r="F69" i="2"/>
  <c r="D69" i="2"/>
  <c r="D64" i="2"/>
  <c r="D65" i="2"/>
  <c r="D66" i="2"/>
  <c r="F67" i="2"/>
  <c r="D67" i="2"/>
  <c r="E57" i="1"/>
  <c r="E58" i="1"/>
  <c r="F32" i="2" l="1"/>
  <c r="Q8" i="1"/>
  <c r="D58" i="2"/>
  <c r="D57" i="2"/>
  <c r="W75" i="1"/>
  <c r="D37" i="2"/>
  <c r="D28" i="2"/>
  <c r="D29" i="2" s="1"/>
  <c r="J9" i="1"/>
  <c r="D11" i="2" s="1"/>
  <c r="J10" i="1"/>
  <c r="D10" i="2"/>
  <c r="Y35" i="1" a="1"/>
  <c r="X35" i="1" a="1"/>
  <c r="W35" i="1" a="1"/>
  <c r="Y34" i="1" a="1"/>
  <c r="X34" i="1" a="1"/>
  <c r="W34" i="1" a="1"/>
  <c r="E20" i="1"/>
  <c r="D76" i="1"/>
  <c r="W76" i="1" s="1"/>
  <c r="E74" i="1"/>
  <c r="D73" i="1"/>
  <c r="E73" i="1" s="1"/>
  <c r="D64" i="1"/>
  <c r="E64" i="1" s="1"/>
  <c r="M76" i="1"/>
  <c r="H76" i="1"/>
  <c r="E31" i="1"/>
  <c r="D17" i="2" s="1"/>
  <c r="F17" i="2" s="1"/>
  <c r="E54" i="1"/>
  <c r="O53" i="1"/>
  <c r="O52" i="1" s="1"/>
  <c r="E18" i="1"/>
  <c r="E19" i="1" s="1"/>
  <c r="O31" i="1" s="1"/>
  <c r="O29" i="1"/>
  <c r="E16" i="1"/>
  <c r="O15" i="1" s="1"/>
  <c r="O8" i="1"/>
  <c r="O5" i="1" s="1"/>
  <c r="O27" i="1" s="1"/>
  <c r="O26" i="1" s="1"/>
  <c r="O25" i="1" s="1"/>
  <c r="R40" i="1" s="1"/>
  <c r="O7" i="1"/>
  <c r="O4" i="1" s="1"/>
  <c r="E36" i="1"/>
  <c r="E55" i="1" s="1"/>
  <c r="D16" i="2" l="1"/>
  <c r="F16" i="2" s="1"/>
  <c r="D22" i="2" s="1"/>
  <c r="D12" i="2"/>
  <c r="D23" i="2" s="1"/>
  <c r="J36" i="1"/>
  <c r="J37" i="1" s="1"/>
  <c r="K94" i="1"/>
  <c r="D72" i="1"/>
  <c r="D71" i="1" s="1"/>
  <c r="H71" i="1" s="1"/>
  <c r="K90" i="1"/>
  <c r="K74" i="1"/>
  <c r="O74" i="1" s="1"/>
  <c r="J75" i="1"/>
  <c r="K86" i="1"/>
  <c r="J76" i="1"/>
  <c r="K82" i="1"/>
  <c r="K78" i="1"/>
  <c r="J64" i="1"/>
  <c r="N64" i="1" s="1"/>
  <c r="E72" i="1"/>
  <c r="H64" i="1"/>
  <c r="I64" i="1"/>
  <c r="K73" i="1"/>
  <c r="O73" i="1" s="1"/>
  <c r="L76" i="1"/>
  <c r="I75" i="1"/>
  <c r="K93" i="1"/>
  <c r="K85" i="1"/>
  <c r="K77" i="1"/>
  <c r="H74" i="1"/>
  <c r="I74" i="1"/>
  <c r="K92" i="1"/>
  <c r="K84" i="1"/>
  <c r="K76" i="1"/>
  <c r="O76" i="1" s="1"/>
  <c r="H73" i="1"/>
  <c r="I73" i="1"/>
  <c r="K91" i="1"/>
  <c r="K83" i="1"/>
  <c r="M75" i="1"/>
  <c r="H75" i="1"/>
  <c r="D77" i="1"/>
  <c r="J74" i="1"/>
  <c r="N74" i="1" s="1"/>
  <c r="L75" i="1"/>
  <c r="I76" i="1"/>
  <c r="K89" i="1"/>
  <c r="K81" i="1"/>
  <c r="I72" i="1"/>
  <c r="J73" i="1"/>
  <c r="N73" i="1" s="1"/>
  <c r="K75" i="1"/>
  <c r="K88" i="1"/>
  <c r="K80" i="1"/>
  <c r="H72" i="1"/>
  <c r="J72" i="1"/>
  <c r="N72" i="1" s="1"/>
  <c r="K64" i="1"/>
  <c r="O64" i="1" s="1"/>
  <c r="K95" i="1"/>
  <c r="K87" i="1"/>
  <c r="K79" i="1"/>
  <c r="E53" i="1"/>
  <c r="E56" i="1" s="1"/>
  <c r="O30" i="1"/>
  <c r="R48" i="1" s="1"/>
  <c r="R50" i="1"/>
  <c r="R44" i="1"/>
  <c r="R45" i="1"/>
  <c r="O36" i="1"/>
  <c r="O40" i="1"/>
  <c r="O33" i="1"/>
  <c r="O34" i="1"/>
  <c r="O35" i="1"/>
  <c r="O14" i="1"/>
  <c r="O17" i="1" s="1"/>
  <c r="O19" i="1" s="1"/>
  <c r="O24" i="1"/>
  <c r="E17" i="1"/>
  <c r="I32" i="2" l="1"/>
  <c r="H32" i="2"/>
  <c r="F36" i="2"/>
  <c r="G36" i="2" s="1"/>
  <c r="J36" i="2" s="1"/>
  <c r="D33" i="2"/>
  <c r="H77" i="1"/>
  <c r="W77" i="1"/>
  <c r="D32" i="2"/>
  <c r="F37" i="2"/>
  <c r="G37" i="2" s="1"/>
  <c r="J37" i="2" s="1"/>
  <c r="K72" i="1"/>
  <c r="O72" i="1" s="1"/>
  <c r="N75" i="1"/>
  <c r="O75" i="1"/>
  <c r="M77" i="1"/>
  <c r="O77" i="1" s="1"/>
  <c r="J77" i="1"/>
  <c r="I71" i="1"/>
  <c r="K71" i="1"/>
  <c r="O71" i="1" s="1"/>
  <c r="N76" i="1"/>
  <c r="D78" i="1"/>
  <c r="L77" i="1"/>
  <c r="D70" i="1"/>
  <c r="G70" i="1" s="1"/>
  <c r="E71" i="1"/>
  <c r="J71" i="1"/>
  <c r="N71" i="1" s="1"/>
  <c r="G77" i="1"/>
  <c r="G74" i="1"/>
  <c r="F74" i="1"/>
  <c r="G64" i="1"/>
  <c r="F64" i="1"/>
  <c r="F76" i="1"/>
  <c r="F77" i="1"/>
  <c r="G75" i="1"/>
  <c r="G71" i="1"/>
  <c r="F71" i="1"/>
  <c r="G72" i="1"/>
  <c r="F75" i="1"/>
  <c r="F72" i="1"/>
  <c r="G76" i="1"/>
  <c r="G73" i="1"/>
  <c r="F73" i="1"/>
  <c r="I77" i="1"/>
  <c r="R46" i="1"/>
  <c r="R49" i="1"/>
  <c r="R47" i="1"/>
  <c r="O44" i="1"/>
  <c r="O45" i="1"/>
  <c r="O50" i="1"/>
  <c r="O49" i="1"/>
  <c r="O48" i="1"/>
  <c r="O47" i="1"/>
  <c r="O46" i="1"/>
  <c r="D43" i="2" l="1"/>
  <c r="D44" i="2"/>
  <c r="E44" i="2" s="1"/>
  <c r="E43" i="2"/>
  <c r="G78" i="1"/>
  <c r="W78" i="1"/>
  <c r="F78" i="1"/>
  <c r="N77" i="1"/>
  <c r="U77" i="1" s="1"/>
  <c r="S73" i="1"/>
  <c r="Q73" i="1"/>
  <c r="U73" i="1"/>
  <c r="S72" i="1"/>
  <c r="U72" i="1"/>
  <c r="Q72" i="1"/>
  <c r="S77" i="1"/>
  <c r="Q77" i="1"/>
  <c r="V64" i="1"/>
  <c r="T64" i="1"/>
  <c r="R64" i="1"/>
  <c r="S71" i="1"/>
  <c r="U71" i="1"/>
  <c r="Q71" i="1"/>
  <c r="S75" i="1"/>
  <c r="U75" i="1"/>
  <c r="Q75" i="1"/>
  <c r="R74" i="1"/>
  <c r="T74" i="1"/>
  <c r="V74" i="1"/>
  <c r="R42" i="1"/>
  <c r="P36" i="1" s="1"/>
  <c r="T71" i="1"/>
  <c r="V71" i="1"/>
  <c r="R71" i="1"/>
  <c r="D79" i="1"/>
  <c r="W79" i="1" s="1"/>
  <c r="J78" i="1"/>
  <c r="L78" i="1"/>
  <c r="H78" i="1"/>
  <c r="I78" i="1"/>
  <c r="M78" i="1"/>
  <c r="O78" i="1" s="1"/>
  <c r="T73" i="1"/>
  <c r="R73" i="1"/>
  <c r="V73" i="1"/>
  <c r="T72" i="1"/>
  <c r="V72" i="1"/>
  <c r="R72" i="1"/>
  <c r="U64" i="1"/>
  <c r="S64" i="1"/>
  <c r="Q64" i="1"/>
  <c r="D69" i="1"/>
  <c r="E70" i="1"/>
  <c r="K70" i="1"/>
  <c r="O70" i="1" s="1"/>
  <c r="J70" i="1"/>
  <c r="N70" i="1" s="1"/>
  <c r="I70" i="1"/>
  <c r="H70" i="1"/>
  <c r="T75" i="1"/>
  <c r="V75" i="1"/>
  <c r="R75" i="1"/>
  <c r="S76" i="1"/>
  <c r="U76" i="1"/>
  <c r="Q76" i="1"/>
  <c r="T76" i="1"/>
  <c r="V76" i="1"/>
  <c r="R76" i="1"/>
  <c r="F70" i="1"/>
  <c r="Q74" i="1"/>
  <c r="S74" i="1"/>
  <c r="U74" i="1"/>
  <c r="T77" i="1"/>
  <c r="R77" i="1"/>
  <c r="V77" i="1"/>
  <c r="O42" i="1"/>
  <c r="P34" i="1" s="1"/>
  <c r="O37" i="1" s="1" a="1"/>
  <c r="O37" i="1" s="1"/>
  <c r="R70" i="1" l="1"/>
  <c r="S78" i="1"/>
  <c r="V78" i="1"/>
  <c r="Q78" i="1"/>
  <c r="T78" i="1"/>
  <c r="R78" i="1"/>
  <c r="D80" i="1"/>
  <c r="W80" i="1" s="1"/>
  <c r="H79" i="1"/>
  <c r="L79" i="1"/>
  <c r="M79" i="1"/>
  <c r="O79" i="1" s="1"/>
  <c r="J79" i="1"/>
  <c r="I79" i="1"/>
  <c r="F79" i="1"/>
  <c r="G79" i="1"/>
  <c r="V70" i="1"/>
  <c r="D68" i="1"/>
  <c r="E69" i="1"/>
  <c r="J69" i="1"/>
  <c r="N69" i="1" s="1"/>
  <c r="I69" i="1"/>
  <c r="H69" i="1"/>
  <c r="K69" i="1"/>
  <c r="O69" i="1" s="1"/>
  <c r="F69" i="1"/>
  <c r="G69" i="1"/>
  <c r="T70" i="1"/>
  <c r="Q70" i="1"/>
  <c r="S70" i="1"/>
  <c r="U70" i="1"/>
  <c r="N78" i="1"/>
  <c r="U78" i="1" s="1"/>
  <c r="N79" i="1" l="1"/>
  <c r="U79" i="1" s="1"/>
  <c r="T79" i="1"/>
  <c r="V79" i="1"/>
  <c r="R79" i="1"/>
  <c r="S79" i="1"/>
  <c r="Q79" i="1"/>
  <c r="S69" i="1"/>
  <c r="Q69" i="1"/>
  <c r="U69" i="1"/>
  <c r="D67" i="1"/>
  <c r="H68" i="1"/>
  <c r="E68" i="1"/>
  <c r="I68" i="1"/>
  <c r="J68" i="1"/>
  <c r="N68" i="1" s="1"/>
  <c r="K68" i="1"/>
  <c r="O68" i="1" s="1"/>
  <c r="G68" i="1"/>
  <c r="F68" i="1"/>
  <c r="T69" i="1"/>
  <c r="R69" i="1"/>
  <c r="V69" i="1"/>
  <c r="D81" i="1"/>
  <c r="W81" i="1" s="1"/>
  <c r="J80" i="1"/>
  <c r="I80" i="1"/>
  <c r="L80" i="1"/>
  <c r="H80" i="1"/>
  <c r="M80" i="1"/>
  <c r="O80" i="1" s="1"/>
  <c r="G80" i="1"/>
  <c r="F80" i="1"/>
  <c r="T68" i="1" l="1"/>
  <c r="V68" i="1"/>
  <c r="R68" i="1"/>
  <c r="N80" i="1"/>
  <c r="U80" i="1" s="1"/>
  <c r="D82" i="1"/>
  <c r="W82" i="1" s="1"/>
  <c r="L81" i="1"/>
  <c r="I81" i="1"/>
  <c r="M81" i="1"/>
  <c r="O81" i="1" s="1"/>
  <c r="J81" i="1"/>
  <c r="H81" i="1"/>
  <c r="F81" i="1"/>
  <c r="G81" i="1"/>
  <c r="S80" i="1"/>
  <c r="Q80" i="1"/>
  <c r="T80" i="1"/>
  <c r="V80" i="1"/>
  <c r="R80" i="1"/>
  <c r="D66" i="1"/>
  <c r="J67" i="1"/>
  <c r="N67" i="1" s="1"/>
  <c r="E67" i="1"/>
  <c r="H67" i="1"/>
  <c r="K67" i="1"/>
  <c r="O67" i="1" s="1"/>
  <c r="I67" i="1"/>
  <c r="F67" i="1"/>
  <c r="G67" i="1"/>
  <c r="S68" i="1"/>
  <c r="U68" i="1"/>
  <c r="Q68" i="1"/>
  <c r="D83" i="1" l="1"/>
  <c r="W83" i="1" s="1"/>
  <c r="M82" i="1"/>
  <c r="O82" i="1" s="1"/>
  <c r="I82" i="1"/>
  <c r="H82" i="1"/>
  <c r="L82" i="1"/>
  <c r="J82" i="1"/>
  <c r="N82" i="1" s="1"/>
  <c r="G82" i="1"/>
  <c r="F82" i="1"/>
  <c r="T81" i="1"/>
  <c r="R81" i="1"/>
  <c r="V81" i="1"/>
  <c r="D65" i="1"/>
  <c r="E66" i="1"/>
  <c r="K66" i="1"/>
  <c r="O66" i="1" s="1"/>
  <c r="H66" i="1"/>
  <c r="J66" i="1"/>
  <c r="N66" i="1" s="1"/>
  <c r="I66" i="1"/>
  <c r="G66" i="1"/>
  <c r="F66" i="1"/>
  <c r="S81" i="1"/>
  <c r="Q81" i="1"/>
  <c r="U81" i="1"/>
  <c r="T67" i="1"/>
  <c r="V67" i="1"/>
  <c r="R67" i="1"/>
  <c r="S67" i="1"/>
  <c r="U67" i="1"/>
  <c r="Q67" i="1"/>
  <c r="N81" i="1"/>
  <c r="Q82" i="1" l="1"/>
  <c r="S82" i="1"/>
  <c r="U82" i="1"/>
  <c r="R82" i="1"/>
  <c r="T82" i="1"/>
  <c r="V82" i="1"/>
  <c r="R66" i="1"/>
  <c r="T66" i="1"/>
  <c r="V66" i="1"/>
  <c r="E65" i="1"/>
  <c r="I65" i="1"/>
  <c r="K65" i="1"/>
  <c r="O65" i="1" s="1"/>
  <c r="H65" i="1"/>
  <c r="J65" i="1"/>
  <c r="N65" i="1" s="1"/>
  <c r="F65" i="1"/>
  <c r="G65" i="1"/>
  <c r="Q66" i="1"/>
  <c r="S66" i="1"/>
  <c r="U66" i="1"/>
  <c r="D84" i="1"/>
  <c r="W84" i="1" s="1"/>
  <c r="M83" i="1"/>
  <c r="O83" i="1" s="1"/>
  <c r="J83" i="1"/>
  <c r="L83" i="1"/>
  <c r="I83" i="1"/>
  <c r="H83" i="1"/>
  <c r="G83" i="1"/>
  <c r="F83" i="1"/>
  <c r="N83" i="1" l="1"/>
  <c r="U83" i="1" s="1"/>
  <c r="S65" i="1"/>
  <c r="Z19" i="1" s="1"/>
  <c r="Q65" i="1"/>
  <c r="X19" i="1" s="1"/>
  <c r="U65" i="1"/>
  <c r="AB19" i="1" s="1"/>
  <c r="D85" i="1"/>
  <c r="W85" i="1" s="1"/>
  <c r="J84" i="1"/>
  <c r="H84" i="1"/>
  <c r="I84" i="1"/>
  <c r="M84" i="1"/>
  <c r="O84" i="1" s="1"/>
  <c r="L84" i="1"/>
  <c r="G84" i="1"/>
  <c r="F84" i="1"/>
  <c r="S83" i="1"/>
  <c r="Q83" i="1"/>
  <c r="T83" i="1"/>
  <c r="V83" i="1"/>
  <c r="R83" i="1"/>
  <c r="T65" i="1"/>
  <c r="X34" i="1" s="1"/>
  <c r="X38" i="1" s="1"/>
  <c r="R65" i="1"/>
  <c r="W34" i="1" s="1"/>
  <c r="W38" i="1" s="1"/>
  <c r="V65" i="1"/>
  <c r="Y34" i="1" s="1"/>
  <c r="Y38" i="1" s="1"/>
  <c r="N84" i="1" l="1"/>
  <c r="W42" i="1"/>
  <c r="X23" i="1"/>
  <c r="T84" i="1"/>
  <c r="V84" i="1"/>
  <c r="R84" i="1"/>
  <c r="S84" i="1"/>
  <c r="U84" i="1"/>
  <c r="Q84" i="1"/>
  <c r="D86" i="1"/>
  <c r="W86" i="1" s="1"/>
  <c r="L85" i="1"/>
  <c r="I85" i="1"/>
  <c r="M85" i="1"/>
  <c r="O85" i="1" s="1"/>
  <c r="J85" i="1"/>
  <c r="H85" i="1"/>
  <c r="G85" i="1"/>
  <c r="F85" i="1"/>
  <c r="S85" i="1" l="1"/>
  <c r="Q85" i="1"/>
  <c r="D87" i="1"/>
  <c r="W87" i="1" s="1"/>
  <c r="H86" i="1"/>
  <c r="L86" i="1"/>
  <c r="I86" i="1"/>
  <c r="M86" i="1"/>
  <c r="O86" i="1" s="1"/>
  <c r="J86" i="1"/>
  <c r="G86" i="1"/>
  <c r="F86" i="1"/>
  <c r="T85" i="1"/>
  <c r="R85" i="1"/>
  <c r="V85" i="1"/>
  <c r="N85" i="1"/>
  <c r="U85" i="1" s="1"/>
  <c r="D88" i="1" l="1"/>
  <c r="W88" i="1" s="1"/>
  <c r="M87" i="1"/>
  <c r="O87" i="1" s="1"/>
  <c r="H87" i="1"/>
  <c r="L87" i="1"/>
  <c r="J87" i="1"/>
  <c r="I87" i="1"/>
  <c r="F87" i="1"/>
  <c r="G87" i="1"/>
  <c r="Q86" i="1"/>
  <c r="S86" i="1"/>
  <c r="R86" i="1"/>
  <c r="T86" i="1"/>
  <c r="V86" i="1"/>
  <c r="N86" i="1"/>
  <c r="U86" i="1" s="1"/>
  <c r="N87" i="1" l="1"/>
  <c r="U87" i="1" s="1"/>
  <c r="T87" i="1"/>
  <c r="V87" i="1"/>
  <c r="R87" i="1"/>
  <c r="S87" i="1"/>
  <c r="Q87" i="1"/>
  <c r="D89" i="1"/>
  <c r="W89" i="1" s="1"/>
  <c r="J88" i="1"/>
  <c r="N88" i="1" s="1"/>
  <c r="I88" i="1"/>
  <c r="L88" i="1"/>
  <c r="H88" i="1"/>
  <c r="M88" i="1"/>
  <c r="O88" i="1" s="1"/>
  <c r="F88" i="1"/>
  <c r="G88" i="1"/>
  <c r="R88" i="1" l="1"/>
  <c r="T88" i="1"/>
  <c r="V88" i="1"/>
  <c r="S88" i="1"/>
  <c r="U88" i="1"/>
  <c r="Q88" i="1"/>
  <c r="D90" i="1"/>
  <c r="W90" i="1" s="1"/>
  <c r="L89" i="1"/>
  <c r="I89" i="1"/>
  <c r="M89" i="1"/>
  <c r="O89" i="1" s="1"/>
  <c r="J89" i="1"/>
  <c r="H89" i="1"/>
  <c r="G89" i="1"/>
  <c r="F89" i="1"/>
  <c r="D91" i="1" l="1"/>
  <c r="W91" i="1" s="1"/>
  <c r="I90" i="1"/>
  <c r="H90" i="1"/>
  <c r="L90" i="1"/>
  <c r="J90" i="1"/>
  <c r="N90" i="1" s="1"/>
  <c r="M90" i="1"/>
  <c r="O90" i="1" s="1"/>
  <c r="G90" i="1"/>
  <c r="F90" i="1"/>
  <c r="S89" i="1"/>
  <c r="Q89" i="1"/>
  <c r="T89" i="1"/>
  <c r="R89" i="1"/>
  <c r="V89" i="1"/>
  <c r="N89" i="1"/>
  <c r="U89" i="1" s="1"/>
  <c r="Q90" i="1" l="1"/>
  <c r="S90" i="1"/>
  <c r="U90" i="1"/>
  <c r="R90" i="1"/>
  <c r="T90" i="1"/>
  <c r="V90" i="1"/>
  <c r="D92" i="1"/>
  <c r="W92" i="1" s="1"/>
  <c r="M91" i="1"/>
  <c r="O91" i="1" s="1"/>
  <c r="L91" i="1"/>
  <c r="I91" i="1"/>
  <c r="H91" i="1"/>
  <c r="J91" i="1"/>
  <c r="F91" i="1"/>
  <c r="G91" i="1"/>
  <c r="N91" i="1" l="1"/>
  <c r="U91" i="1" s="1"/>
  <c r="T91" i="1"/>
  <c r="V91" i="1"/>
  <c r="R91" i="1"/>
  <c r="S91" i="1"/>
  <c r="Q91" i="1"/>
  <c r="D93" i="1"/>
  <c r="W93" i="1" s="1"/>
  <c r="J92" i="1"/>
  <c r="H92" i="1"/>
  <c r="I92" i="1"/>
  <c r="M92" i="1"/>
  <c r="O92" i="1" s="1"/>
  <c r="L92" i="1"/>
  <c r="F92" i="1"/>
  <c r="G92" i="1"/>
  <c r="N92" i="1" l="1"/>
  <c r="U92" i="1" s="1"/>
  <c r="T92" i="1"/>
  <c r="V92" i="1"/>
  <c r="R92" i="1"/>
  <c r="D94" i="1"/>
  <c r="W94" i="1" s="1"/>
  <c r="L93" i="1"/>
  <c r="I93" i="1"/>
  <c r="M93" i="1"/>
  <c r="O93" i="1" s="1"/>
  <c r="J93" i="1"/>
  <c r="H93" i="1"/>
  <c r="G93" i="1"/>
  <c r="F93" i="1"/>
  <c r="S92" i="1"/>
  <c r="Q92" i="1"/>
  <c r="N93" i="1" l="1"/>
  <c r="U93" i="1" s="1"/>
  <c r="D95" i="1"/>
  <c r="W95" i="1" s="1"/>
  <c r="J94" i="1"/>
  <c r="I94" i="1"/>
  <c r="M94" i="1"/>
  <c r="O94" i="1" s="1"/>
  <c r="L94" i="1"/>
  <c r="H94" i="1"/>
  <c r="F94" i="1"/>
  <c r="G94" i="1"/>
  <c r="S93" i="1"/>
  <c r="Q93" i="1"/>
  <c r="T93" i="1"/>
  <c r="R93" i="1"/>
  <c r="V93" i="1"/>
  <c r="Q94" i="1" l="1"/>
  <c r="S94" i="1"/>
  <c r="R94" i="1"/>
  <c r="T94" i="1"/>
  <c r="V94" i="1"/>
  <c r="N94" i="1"/>
  <c r="U94" i="1" s="1"/>
  <c r="M95" i="1"/>
  <c r="O95" i="1" s="1"/>
  <c r="H95" i="1"/>
  <c r="L95" i="1"/>
  <c r="J95" i="1"/>
  <c r="I95" i="1"/>
  <c r="F95" i="1"/>
  <c r="G95" i="1"/>
  <c r="N95" i="1" l="1"/>
  <c r="T95" i="1"/>
  <c r="X35" i="1" s="1"/>
  <c r="X39" i="1" s="1"/>
  <c r="V95" i="1"/>
  <c r="Y35" i="1" s="1"/>
  <c r="Y39" i="1" s="1"/>
  <c r="R95" i="1"/>
  <c r="W35" i="1" s="1"/>
  <c r="W39" i="1" s="1"/>
  <c r="S95" i="1"/>
  <c r="E51" i="2" s="1"/>
  <c r="U95" i="1"/>
  <c r="F51" i="2" s="1"/>
  <c r="Q95" i="1"/>
  <c r="D51" i="2" s="1"/>
  <c r="F54" i="2" l="1"/>
  <c r="F53" i="2"/>
  <c r="E54" i="2"/>
  <c r="E53" i="2"/>
  <c r="D54" i="2"/>
  <c r="D53" i="2"/>
  <c r="W43" i="1"/>
  <c r="W20" i="1"/>
  <c r="X20" i="1"/>
  <c r="AB20" i="1"/>
  <c r="AA20" i="1"/>
  <c r="Y20" i="1"/>
  <c r="Z20" i="1"/>
  <c r="E55" i="2" l="1"/>
  <c r="E59" i="2" s="1"/>
  <c r="E67" i="2" s="1"/>
  <c r="D55" i="2"/>
  <c r="D59" i="2" s="1"/>
  <c r="F55" i="2"/>
  <c r="F59" i="2" s="1"/>
  <c r="W24" i="1"/>
  <c r="X24" i="1"/>
  <c r="E74" i="2" l="1"/>
  <c r="X27" i="1" s="1"/>
  <c r="X29" i="1" s="1"/>
  <c r="E71" i="2"/>
  <c r="E72" i="2" s="1"/>
  <c r="E69" i="2"/>
</calcChain>
</file>

<file path=xl/sharedStrings.xml><?xml version="1.0" encoding="utf-8"?>
<sst xmlns="http://schemas.openxmlformats.org/spreadsheetml/2006/main" count="316" uniqueCount="178">
  <si>
    <t>Portee principale</t>
  </si>
  <si>
    <t>Portee console</t>
  </si>
  <si>
    <t>mm</t>
  </si>
  <si>
    <t>m</t>
  </si>
  <si>
    <t>Poutre</t>
  </si>
  <si>
    <t>Profilé</t>
  </si>
  <si>
    <t>Ht</t>
  </si>
  <si>
    <t>b</t>
  </si>
  <si>
    <t>tf</t>
  </si>
  <si>
    <t>tw</t>
  </si>
  <si>
    <t>rc</t>
  </si>
  <si>
    <t>Dalle</t>
  </si>
  <si>
    <t>Bac</t>
  </si>
  <si>
    <t>Matériaux</t>
  </si>
  <si>
    <t>Fy</t>
  </si>
  <si>
    <t>Fck</t>
  </si>
  <si>
    <t>Nu</t>
  </si>
  <si>
    <t>MPa</t>
  </si>
  <si>
    <t>Ey</t>
  </si>
  <si>
    <t>Coef. partiels</t>
  </si>
  <si>
    <t>GammaM0</t>
  </si>
  <si>
    <t>GammaM1</t>
  </si>
  <si>
    <t>GammaC</t>
  </si>
  <si>
    <t>GammaS</t>
  </si>
  <si>
    <t>GammaV</t>
  </si>
  <si>
    <t>Entraxe</t>
  </si>
  <si>
    <t>Entraxe solives</t>
  </si>
  <si>
    <t>GammaG</t>
  </si>
  <si>
    <t>GammaQ</t>
  </si>
  <si>
    <t>hp</t>
  </si>
  <si>
    <t>e</t>
  </si>
  <si>
    <t>bb</t>
  </si>
  <si>
    <t>bt</t>
  </si>
  <si>
    <t>t</t>
  </si>
  <si>
    <t>f</t>
  </si>
  <si>
    <t>td</t>
  </si>
  <si>
    <t>tc</t>
  </si>
  <si>
    <t>Largeurs participantes</t>
  </si>
  <si>
    <t>Mi portée</t>
  </si>
  <si>
    <t>Appui</t>
  </si>
  <si>
    <t>Le mi portée</t>
  </si>
  <si>
    <t>Le appui</t>
  </si>
  <si>
    <t>Propriétés plastiques mi travée</t>
  </si>
  <si>
    <t>Nc</t>
  </si>
  <si>
    <t>Aa</t>
  </si>
  <si>
    <t>mm2</t>
  </si>
  <si>
    <t>cm2</t>
  </si>
  <si>
    <t>Na</t>
  </si>
  <si>
    <t>kN</t>
  </si>
  <si>
    <t>IPE360</t>
  </si>
  <si>
    <t>zn</t>
  </si>
  <si>
    <t>MplRd</t>
  </si>
  <si>
    <t>(vrai pour Nc&gt;Na)</t>
  </si>
  <si>
    <t>kNm</t>
  </si>
  <si>
    <t>Propriétés plastiques sur appui</t>
  </si>
  <si>
    <t>Ns</t>
  </si>
  <si>
    <t>Diamètre</t>
  </si>
  <si>
    <t>Enrobage</t>
  </si>
  <si>
    <t>Armatures</t>
  </si>
  <si>
    <t>Fsk</t>
  </si>
  <si>
    <t>As</t>
  </si>
  <si>
    <t>Nombre armatures</t>
  </si>
  <si>
    <t>Nf</t>
  </si>
  <si>
    <t>ANP dans la dalle ?</t>
  </si>
  <si>
    <t>ANP dans le congé ?</t>
  </si>
  <si>
    <t>ANP dans l'âme droite ?</t>
  </si>
  <si>
    <t>oui</t>
  </si>
  <si>
    <t>non</t>
  </si>
  <si>
    <t>ANP dans la semelle ?</t>
  </si>
  <si>
    <t>Nr</t>
  </si>
  <si>
    <t>Nw</t>
  </si>
  <si>
    <t>hw</t>
  </si>
  <si>
    <t>dw</t>
  </si>
  <si>
    <t>Cas ANP dans l'âme</t>
  </si>
  <si>
    <t>p</t>
  </si>
  <si>
    <t>Cas ANP dans la semelle</t>
  </si>
  <si>
    <t>Semelle sup tendue</t>
  </si>
  <si>
    <t>Semelle sup comprimée</t>
  </si>
  <si>
    <t>Rayon sup</t>
  </si>
  <si>
    <t>Âme</t>
  </si>
  <si>
    <t>Rayon inf</t>
  </si>
  <si>
    <t>Semelle inf</t>
  </si>
  <si>
    <t>zr</t>
  </si>
  <si>
    <t>kC</t>
  </si>
  <si>
    <t>MPlRd</t>
  </si>
  <si>
    <t>S sup</t>
  </si>
  <si>
    <t>Congés sup</t>
  </si>
  <si>
    <t>Âme tendue</t>
  </si>
  <si>
    <t>Âme comp</t>
  </si>
  <si>
    <t>Chargement</t>
  </si>
  <si>
    <t>G1</t>
  </si>
  <si>
    <t>G2</t>
  </si>
  <si>
    <t>Q</t>
  </si>
  <si>
    <t>profilé</t>
  </si>
  <si>
    <t>bac</t>
  </si>
  <si>
    <t>dalle</t>
  </si>
  <si>
    <t>mu</t>
  </si>
  <si>
    <t>kg/m2</t>
  </si>
  <si>
    <t>qG1</t>
  </si>
  <si>
    <t>kN/m</t>
  </si>
  <si>
    <t>Divers</t>
  </si>
  <si>
    <t>RhoA</t>
  </si>
  <si>
    <t>RhoC</t>
  </si>
  <si>
    <t>kg/m3</t>
  </si>
  <si>
    <t>g</t>
  </si>
  <si>
    <t>m/s2</t>
  </si>
  <si>
    <t>bm</t>
  </si>
  <si>
    <t>kN/m2</t>
  </si>
  <si>
    <t>Console</t>
  </si>
  <si>
    <t>M</t>
  </si>
  <si>
    <t>V</t>
  </si>
  <si>
    <t>Q#1</t>
  </si>
  <si>
    <t>Q#2</t>
  </si>
  <si>
    <t>Q#3</t>
  </si>
  <si>
    <t>Travée</t>
  </si>
  <si>
    <t>Les 2</t>
  </si>
  <si>
    <t>ELU#1</t>
  </si>
  <si>
    <t>ELU#2</t>
  </si>
  <si>
    <t>ELU#3</t>
  </si>
  <si>
    <t>Vérifications</t>
  </si>
  <si>
    <t>Flexion</t>
  </si>
  <si>
    <t>Travée 2</t>
  </si>
  <si>
    <t>M&gt;0</t>
  </si>
  <si>
    <t>M&lt;0</t>
  </si>
  <si>
    <t>Travée console</t>
  </si>
  <si>
    <t>ELU 1</t>
  </si>
  <si>
    <t>ELU 2</t>
  </si>
  <si>
    <t>ELU 3</t>
  </si>
  <si>
    <t>Enveloppe</t>
  </si>
  <si>
    <t>Sans prise en compte du degré de connexion</t>
  </si>
  <si>
    <t>Av</t>
  </si>
  <si>
    <t>Résistance au cisaillement</t>
  </si>
  <si>
    <t>VplRd</t>
  </si>
  <si>
    <t>Eta</t>
  </si>
  <si>
    <t>Avmin</t>
  </si>
  <si>
    <t>Eff tranchant</t>
  </si>
  <si>
    <t>ELU 01</t>
  </si>
  <si>
    <t>ELU 02</t>
  </si>
  <si>
    <t>ELU 03</t>
  </si>
  <si>
    <t>Critère</t>
  </si>
  <si>
    <t>diametre</t>
  </si>
  <si>
    <t>hauteur</t>
  </si>
  <si>
    <t>fu</t>
  </si>
  <si>
    <t>PRd dalle pleine</t>
  </si>
  <si>
    <t>PRda</t>
  </si>
  <si>
    <t>PRdc</t>
  </si>
  <si>
    <t>Ecm</t>
  </si>
  <si>
    <t>GPa</t>
  </si>
  <si>
    <t>Fcm</t>
  </si>
  <si>
    <t>PRd</t>
  </si>
  <si>
    <t>Coef de réduction</t>
  </si>
  <si>
    <t>nr</t>
  </si>
  <si>
    <t>kt</t>
  </si>
  <si>
    <t>ktmax</t>
  </si>
  <si>
    <t>PRd dalle mixte</t>
  </si>
  <si>
    <t>Nombre de nervures en consoles</t>
  </si>
  <si>
    <t>Degré de connexion console</t>
  </si>
  <si>
    <t>d</t>
  </si>
  <si>
    <t>Zone 1</t>
  </si>
  <si>
    <t>Zone 2</t>
  </si>
  <si>
    <t>Longueur</t>
  </si>
  <si>
    <t>Prd/u</t>
  </si>
  <si>
    <t>Longueur de chaque zone requise pour le moment négatif : L1</t>
  </si>
  <si>
    <t>Longueur restante : L2</t>
  </si>
  <si>
    <t>L1</t>
  </si>
  <si>
    <t>L2</t>
  </si>
  <si>
    <t>Position du point de moment maxi</t>
  </si>
  <si>
    <t>ELU</t>
  </si>
  <si>
    <t>MEd</t>
  </si>
  <si>
    <t>x</t>
  </si>
  <si>
    <t>RConnex G</t>
  </si>
  <si>
    <t>RConnex D</t>
  </si>
  <si>
    <t>RConnex</t>
  </si>
  <si>
    <t>Degré mini connexion</t>
  </si>
  <si>
    <t>Eta Nc</t>
  </si>
  <si>
    <t>ANP dans la semelle sup ?</t>
  </si>
  <si>
    <t>MplRd(Eta)</t>
  </si>
  <si>
    <t>Avec prise en compte degre connexion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</si>
</sst>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0" xfId="0" applyFont="1" applyFill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2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" fillId="9" borderId="0" xfId="0" applyFont="1" applyFill="1"/>
    <xf numFmtId="2" fontId="0" fillId="0" borderId="0" xfId="0" applyNumberFormat="1" applyBorder="1" applyAlignment="1">
      <alignment horizontal="center" vertical="center"/>
    </xf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11" borderId="4" xfId="0" applyFill="1" applyBorder="1"/>
    <xf numFmtId="0" fontId="0" fillId="11" borderId="3" xfId="0" applyFill="1" applyBorder="1"/>
    <xf numFmtId="0" fontId="3" fillId="11" borderId="2" xfId="0" applyFont="1" applyFill="1" applyBorder="1" applyAlignment="1">
      <alignment horizontal="center" vertical="center"/>
    </xf>
    <xf numFmtId="0" fontId="1" fillId="12" borderId="5" xfId="0" applyFont="1" applyFill="1" applyBorder="1"/>
    <xf numFmtId="0" fontId="1" fillId="12" borderId="6" xfId="0" applyFont="1" applyFill="1" applyBorder="1"/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0" fillId="12" borderId="0" xfId="0" applyFill="1"/>
    <xf numFmtId="0" fontId="1" fillId="12" borderId="0" xfId="0" applyFont="1" applyFill="1"/>
    <xf numFmtId="0" fontId="2" fillId="0" borderId="5" xfId="0" applyFont="1" applyBorder="1"/>
    <xf numFmtId="166" fontId="2" fillId="0" borderId="6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1" fillId="12" borderId="0" xfId="0" applyNumberFormat="1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165" fontId="1" fillId="1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95"/>
  <sheetViews>
    <sheetView topLeftCell="I1" workbookViewId="0">
      <selection activeCell="X26" sqref="X26"/>
    </sheetView>
  </sheetViews>
  <sheetFormatPr baseColWidth="10" defaultRowHeight="15" x14ac:dyDescent="0.25"/>
  <sheetData>
    <row r="2" spans="3:24" x14ac:dyDescent="0.25">
      <c r="C2" s="5"/>
      <c r="D2" s="5" t="s">
        <v>4</v>
      </c>
      <c r="E2" s="5"/>
      <c r="F2" s="5"/>
      <c r="H2" s="5"/>
      <c r="I2" s="5" t="s">
        <v>13</v>
      </c>
      <c r="J2" s="5"/>
      <c r="K2" s="5"/>
      <c r="M2" s="8"/>
      <c r="N2" s="8" t="s">
        <v>37</v>
      </c>
      <c r="O2" s="8"/>
      <c r="P2" s="8"/>
      <c r="T2" s="19" t="s">
        <v>66</v>
      </c>
    </row>
    <row r="3" spans="3:24" x14ac:dyDescent="0.25">
      <c r="T3" s="20" t="s">
        <v>67</v>
      </c>
    </row>
    <row r="4" spans="3:24" x14ac:dyDescent="0.25">
      <c r="D4" s="2" t="s">
        <v>0</v>
      </c>
      <c r="E4" s="4">
        <v>10</v>
      </c>
      <c r="F4" t="s">
        <v>3</v>
      </c>
      <c r="I4" s="2" t="s">
        <v>14</v>
      </c>
      <c r="J4" s="4">
        <v>355</v>
      </c>
      <c r="K4" t="s">
        <v>17</v>
      </c>
      <c r="N4" s="2" t="s">
        <v>38</v>
      </c>
      <c r="O4" s="7">
        <f>MIN(d,Le_1/8*2)</f>
        <v>2.125</v>
      </c>
      <c r="P4" t="s">
        <v>3</v>
      </c>
    </row>
    <row r="5" spans="3:24" x14ac:dyDescent="0.25">
      <c r="D5" s="2" t="s">
        <v>1</v>
      </c>
      <c r="E5" s="4">
        <v>3</v>
      </c>
      <c r="F5" t="s">
        <v>3</v>
      </c>
      <c r="I5" s="2" t="s">
        <v>16</v>
      </c>
      <c r="J5" s="4">
        <v>0.3</v>
      </c>
      <c r="N5" s="2" t="s">
        <v>39</v>
      </c>
      <c r="O5" s="7">
        <f>MIN(2*Le_a/8,d)</f>
        <v>1.5</v>
      </c>
      <c r="P5" t="s">
        <v>3</v>
      </c>
    </row>
    <row r="6" spans="3:24" x14ac:dyDescent="0.25">
      <c r="D6" s="2" t="s">
        <v>26</v>
      </c>
      <c r="E6" s="4">
        <v>2.5</v>
      </c>
      <c r="F6" t="s">
        <v>3</v>
      </c>
      <c r="I6" s="2" t="s">
        <v>18</v>
      </c>
      <c r="J6" s="4">
        <v>210000</v>
      </c>
      <c r="K6" t="s">
        <v>17</v>
      </c>
    </row>
    <row r="7" spans="3:24" x14ac:dyDescent="0.25">
      <c r="I7" s="2" t="s">
        <v>15</v>
      </c>
      <c r="J7" s="4">
        <v>35</v>
      </c>
      <c r="K7" t="s">
        <v>17</v>
      </c>
      <c r="N7" s="2" t="s">
        <v>40</v>
      </c>
      <c r="O7" s="7">
        <f>0.85*LL</f>
        <v>8.5</v>
      </c>
      <c r="P7" t="s">
        <v>3</v>
      </c>
    </row>
    <row r="8" spans="3:24" x14ac:dyDescent="0.25">
      <c r="C8" s="5"/>
      <c r="D8" s="5" t="s">
        <v>5</v>
      </c>
      <c r="E8" s="5"/>
      <c r="F8" s="5"/>
      <c r="I8" s="15" t="s">
        <v>59</v>
      </c>
      <c r="J8" s="4">
        <v>500</v>
      </c>
      <c r="K8" t="s">
        <v>17</v>
      </c>
      <c r="N8" s="2" t="s">
        <v>41</v>
      </c>
      <c r="O8" s="7">
        <f>2*La</f>
        <v>6</v>
      </c>
      <c r="P8" t="s">
        <v>3</v>
      </c>
      <c r="Q8">
        <f>Le_a/8</f>
        <v>0.75</v>
      </c>
    </row>
    <row r="9" spans="3:24" x14ac:dyDescent="0.25">
      <c r="I9" s="15" t="s">
        <v>146</v>
      </c>
      <c r="J9" s="10">
        <f>22*(Fcm/10)^0.3</f>
        <v>34.077146199189329</v>
      </c>
      <c r="K9" t="s">
        <v>147</v>
      </c>
    </row>
    <row r="10" spans="3:24" x14ac:dyDescent="0.25">
      <c r="E10" s="4" t="s">
        <v>49</v>
      </c>
      <c r="I10" s="15" t="s">
        <v>148</v>
      </c>
      <c r="J10" s="7">
        <f>Fck+8</f>
        <v>43</v>
      </c>
      <c r="K10" t="s">
        <v>17</v>
      </c>
    </row>
    <row r="11" spans="3:24" x14ac:dyDescent="0.25">
      <c r="D11" s="2" t="s">
        <v>6</v>
      </c>
      <c r="E11" s="4">
        <v>360</v>
      </c>
      <c r="F11" t="s">
        <v>2</v>
      </c>
    </row>
    <row r="12" spans="3:24" x14ac:dyDescent="0.25">
      <c r="D12" s="2" t="s">
        <v>7</v>
      </c>
      <c r="E12" s="4">
        <v>170</v>
      </c>
      <c r="F12" t="s">
        <v>2</v>
      </c>
      <c r="H12" s="5"/>
      <c r="I12" s="5" t="s">
        <v>19</v>
      </c>
      <c r="J12" s="5"/>
      <c r="K12" s="5"/>
      <c r="M12" s="9"/>
      <c r="N12" s="9" t="s">
        <v>42</v>
      </c>
      <c r="O12" s="9"/>
      <c r="P12" s="9"/>
      <c r="U12" s="52" t="s">
        <v>119</v>
      </c>
      <c r="V12" s="51"/>
      <c r="W12" s="51"/>
      <c r="X12" s="51"/>
    </row>
    <row r="13" spans="3:24" x14ac:dyDescent="0.25">
      <c r="D13" s="2" t="s">
        <v>8</v>
      </c>
      <c r="E13" s="4">
        <v>12.7</v>
      </c>
      <c r="F13" t="s">
        <v>2</v>
      </c>
    </row>
    <row r="14" spans="3:24" x14ac:dyDescent="0.25">
      <c r="D14" s="2" t="s">
        <v>9</v>
      </c>
      <c r="E14" s="4">
        <v>8</v>
      </c>
      <c r="F14" t="s">
        <v>2</v>
      </c>
      <c r="I14" s="2" t="s">
        <v>20</v>
      </c>
      <c r="J14" s="4">
        <v>1</v>
      </c>
      <c r="N14" s="2" t="s">
        <v>43</v>
      </c>
      <c r="O14" s="7">
        <f>0.85*beff_1*tc*Fck/GammaC</f>
        <v>3034.4999999999995</v>
      </c>
      <c r="P14" t="s">
        <v>48</v>
      </c>
      <c r="U14" s="52" t="s">
        <v>120</v>
      </c>
      <c r="V14" t="s">
        <v>129</v>
      </c>
    </row>
    <row r="15" spans="3:24" x14ac:dyDescent="0.25">
      <c r="D15" s="2" t="s">
        <v>10</v>
      </c>
      <c r="E15" s="4">
        <v>18</v>
      </c>
      <c r="F15" t="s">
        <v>2</v>
      </c>
      <c r="I15" s="2" t="s">
        <v>21</v>
      </c>
      <c r="J15" s="4">
        <v>1.1000000000000001</v>
      </c>
      <c r="N15" s="2" t="s">
        <v>47</v>
      </c>
      <c r="O15" s="11">
        <f>(AireA*Fy/1000)/GammaM0</f>
        <v>2581.8880129841023</v>
      </c>
      <c r="P15" t="s">
        <v>48</v>
      </c>
    </row>
    <row r="16" spans="3:24" x14ac:dyDescent="0.25">
      <c r="D16" s="2" t="s">
        <v>44</v>
      </c>
      <c r="E16" s="12">
        <f>b*tf*2+(Ht-2*tf)*tw+(4-PI())*rr^2</f>
        <v>7272.9239802369075</v>
      </c>
      <c r="F16" t="s">
        <v>45</v>
      </c>
      <c r="I16" s="2" t="s">
        <v>22</v>
      </c>
      <c r="J16" s="4">
        <v>1.5</v>
      </c>
      <c r="N16" s="2"/>
    </row>
    <row r="17" spans="3:28" x14ac:dyDescent="0.25">
      <c r="E17" s="11">
        <f>AireA/100</f>
        <v>72.729239802369079</v>
      </c>
      <c r="F17" t="s">
        <v>46</v>
      </c>
      <c r="I17" s="2" t="s">
        <v>23</v>
      </c>
      <c r="J17" s="4">
        <v>1.1499999999999999</v>
      </c>
      <c r="N17" s="2" t="s">
        <v>50</v>
      </c>
      <c r="O17" s="11">
        <f>tc*Na/Nc</f>
        <v>61.260812962549146</v>
      </c>
      <c r="P17" t="s">
        <v>2</v>
      </c>
      <c r="W17" t="s">
        <v>125</v>
      </c>
      <c r="Y17" t="s">
        <v>126</v>
      </c>
      <c r="AA17" t="s">
        <v>127</v>
      </c>
    </row>
    <row r="18" spans="3:28" x14ac:dyDescent="0.25">
      <c r="D18" s="2" t="s">
        <v>71</v>
      </c>
      <c r="E18" s="7">
        <f>Ht-2*tf</f>
        <v>334.6</v>
      </c>
      <c r="F18" t="s">
        <v>2</v>
      </c>
      <c r="I18" s="2" t="s">
        <v>24</v>
      </c>
      <c r="J18" s="4">
        <v>1.25</v>
      </c>
      <c r="N18" s="2"/>
      <c r="V18" s="2" t="s">
        <v>120</v>
      </c>
      <c r="W18" s="3" t="s">
        <v>122</v>
      </c>
      <c r="X18" s="3" t="s">
        <v>123</v>
      </c>
      <c r="Y18" s="3" t="s">
        <v>122</v>
      </c>
      <c r="Z18" s="3" t="s">
        <v>123</v>
      </c>
      <c r="AA18" s="3" t="s">
        <v>122</v>
      </c>
      <c r="AB18" s="3" t="s">
        <v>123</v>
      </c>
    </row>
    <row r="19" spans="3:28" x14ac:dyDescent="0.25">
      <c r="D19" s="15" t="s">
        <v>72</v>
      </c>
      <c r="E19" s="7">
        <f>hw-2*rr</f>
        <v>298.60000000000002</v>
      </c>
      <c r="F19" t="s">
        <v>2</v>
      </c>
      <c r="I19" s="2"/>
      <c r="N19" s="2" t="s">
        <v>51</v>
      </c>
      <c r="O19" s="12">
        <f>Na*(Ht/2-zn/2+td)/1000</f>
        <v>721.30100469823833</v>
      </c>
      <c r="P19" t="s">
        <v>53</v>
      </c>
      <c r="Q19" t="s">
        <v>52</v>
      </c>
      <c r="V19" s="2" t="s">
        <v>124</v>
      </c>
      <c r="W19" s="3"/>
      <c r="X19" s="17">
        <f>ABS(MIN(Q64:Q74))/MplRd_app</f>
        <v>0.80365439470760591</v>
      </c>
      <c r="Y19" s="3"/>
      <c r="Z19" s="17">
        <f>ABS(MIN(S64:S74))/MplRd_app</f>
        <v>0.16615602649116473</v>
      </c>
      <c r="AA19" s="3"/>
      <c r="AB19" s="17">
        <f>ABS(MIN(U64:U74))/MplRd_app</f>
        <v>0.80365439470760591</v>
      </c>
    </row>
    <row r="20" spans="3:28" x14ac:dyDescent="0.25">
      <c r="D20" s="15" t="s">
        <v>130</v>
      </c>
      <c r="E20" s="12">
        <f>(2*rr+tw)*tf+(Ht-2*tf)*tw+(4-PI())*rr^2</f>
        <v>3513.7239802369072</v>
      </c>
      <c r="F20" t="s">
        <v>45</v>
      </c>
      <c r="I20" s="2" t="s">
        <v>27</v>
      </c>
      <c r="J20" s="4">
        <v>1.35</v>
      </c>
      <c r="N20" s="2"/>
      <c r="V20" s="2" t="s">
        <v>121</v>
      </c>
      <c r="W20" s="17">
        <f>MAX(Q75:Q95)/MplRd_1</f>
        <v>8.6080604793403168E-2</v>
      </c>
      <c r="X20" s="17">
        <f>ABS(MIN(Q75:Q95))/MplRd_app</f>
        <v>0.80365439470760591</v>
      </c>
      <c r="Y20" s="17">
        <f>MAX(S75:S95)/MplRd_1</f>
        <v>1.2620141945020804</v>
      </c>
      <c r="Z20" s="17">
        <f>ABS(MIN(S75:S95))/MplRd_app</f>
        <v>0.16615602649116476</v>
      </c>
      <c r="AA20" s="17">
        <f>MAX(U75:U95)/MplRd_1</f>
        <v>1.0853387514605828</v>
      </c>
      <c r="AB20" s="17">
        <f>ABS(MIN(U75:U95))/MplRd_app</f>
        <v>0.80365439470760591</v>
      </c>
    </row>
    <row r="21" spans="3:28" x14ac:dyDescent="0.25">
      <c r="I21" s="2" t="s">
        <v>28</v>
      </c>
      <c r="J21" s="4">
        <v>1.5</v>
      </c>
      <c r="N21" s="2"/>
    </row>
    <row r="22" spans="3:28" x14ac:dyDescent="0.25">
      <c r="C22" s="5"/>
      <c r="D22" s="5" t="s">
        <v>12</v>
      </c>
      <c r="E22" s="5"/>
      <c r="F22" s="5"/>
      <c r="I22" s="2"/>
      <c r="M22" s="9"/>
      <c r="N22" s="9" t="s">
        <v>54</v>
      </c>
      <c r="O22" s="9"/>
      <c r="P22" s="9"/>
      <c r="V22" s="2" t="s">
        <v>128</v>
      </c>
      <c r="W22" s="6" t="s">
        <v>122</v>
      </c>
      <c r="X22" s="6" t="s">
        <v>123</v>
      </c>
    </row>
    <row r="23" spans="3:28" x14ac:dyDescent="0.25">
      <c r="I23" s="2"/>
      <c r="V23" s="2" t="s">
        <v>124</v>
      </c>
      <c r="W23" s="53"/>
      <c r="X23" s="54">
        <f>MAX(X19,Z19,AB19)</f>
        <v>0.80365439470760591</v>
      </c>
    </row>
    <row r="24" spans="3:28" x14ac:dyDescent="0.25">
      <c r="D24" s="2" t="s">
        <v>29</v>
      </c>
      <c r="E24" s="4">
        <v>58</v>
      </c>
      <c r="F24" t="s">
        <v>2</v>
      </c>
      <c r="H24" s="5"/>
      <c r="I24" s="5" t="s">
        <v>100</v>
      </c>
      <c r="J24" s="5"/>
      <c r="K24" s="5"/>
      <c r="N24" s="2" t="s">
        <v>47</v>
      </c>
      <c r="O24" s="11">
        <f>(AireA*Fy/1000)/GammaM0</f>
        <v>2581.8880129841023</v>
      </c>
      <c r="P24" t="s">
        <v>48</v>
      </c>
      <c r="V24" s="2" t="s">
        <v>121</v>
      </c>
      <c r="W24" s="55">
        <f>MAX(W20,Y20,AA20)</f>
        <v>1.2620141945020804</v>
      </c>
      <c r="X24" s="56">
        <f>MAX(X20,Z20,AB20)</f>
        <v>0.80365439470760591</v>
      </c>
    </row>
    <row r="25" spans="3:28" x14ac:dyDescent="0.25">
      <c r="D25" s="2" t="s">
        <v>30</v>
      </c>
      <c r="E25" s="4">
        <v>207</v>
      </c>
      <c r="F25" t="s">
        <v>2</v>
      </c>
      <c r="I25" s="2"/>
      <c r="N25" s="2" t="s">
        <v>55</v>
      </c>
      <c r="O25" s="11">
        <f>(As*Fsk/1000)/GammaS</f>
        <v>728.485253006329</v>
      </c>
      <c r="P25" t="s">
        <v>48</v>
      </c>
    </row>
    <row r="26" spans="3:28" x14ac:dyDescent="0.25">
      <c r="D26" s="2" t="s">
        <v>31</v>
      </c>
      <c r="E26" s="4">
        <v>62</v>
      </c>
      <c r="F26" t="s">
        <v>2</v>
      </c>
      <c r="I26" s="2" t="s">
        <v>101</v>
      </c>
      <c r="J26" s="4">
        <v>7850</v>
      </c>
      <c r="K26" t="s">
        <v>103</v>
      </c>
      <c r="N26" s="15" t="s">
        <v>60</v>
      </c>
      <c r="O26" s="10">
        <f>O27*PI()*PhiS^2/4</f>
        <v>1675.5160819145565</v>
      </c>
      <c r="P26" t="s">
        <v>45</v>
      </c>
      <c r="V26" s="15" t="s">
        <v>177</v>
      </c>
    </row>
    <row r="27" spans="3:28" x14ac:dyDescent="0.25">
      <c r="D27" s="2" t="s">
        <v>32</v>
      </c>
      <c r="E27" s="4">
        <v>101</v>
      </c>
      <c r="F27" t="s">
        <v>2</v>
      </c>
      <c r="I27" s="2" t="s">
        <v>102</v>
      </c>
      <c r="J27" s="4">
        <v>2500</v>
      </c>
      <c r="K27" t="s">
        <v>103</v>
      </c>
      <c r="N27" s="15" t="s">
        <v>61</v>
      </c>
      <c r="O27" s="25">
        <f>beff_a/e_s*1000</f>
        <v>8.3333333333333339</v>
      </c>
      <c r="V27" s="15" t="s">
        <v>51</v>
      </c>
      <c r="W27" s="64">
        <f>Connexion!D74</f>
        <v>612.80229895647165</v>
      </c>
      <c r="X27" s="64">
        <f>Connexion!E74</f>
        <v>626.00933229871885</v>
      </c>
      <c r="Y27" s="64">
        <f>Connexion!F74</f>
        <v>640.27285237589899</v>
      </c>
    </row>
    <row r="28" spans="3:28" x14ac:dyDescent="0.25">
      <c r="D28" s="2" t="s">
        <v>33</v>
      </c>
      <c r="E28" s="4">
        <v>0.75</v>
      </c>
      <c r="F28" t="s">
        <v>2</v>
      </c>
      <c r="I28" s="2" t="s">
        <v>104</v>
      </c>
      <c r="J28" s="4">
        <v>9.81</v>
      </c>
      <c r="K28" t="s">
        <v>105</v>
      </c>
      <c r="V28" s="15" t="s">
        <v>168</v>
      </c>
      <c r="W28" s="18">
        <f>MAX(Q75:Q95)</f>
        <v>62.090026722513699</v>
      </c>
      <c r="X28" s="18">
        <f>MAX(S75:S95)</f>
        <v>910.29210643778856</v>
      </c>
      <c r="Y28" s="18">
        <f>MAX(U75:U95)</f>
        <v>782.85593186644996</v>
      </c>
    </row>
    <row r="29" spans="3:28" x14ac:dyDescent="0.25">
      <c r="D29" s="2" t="s">
        <v>34</v>
      </c>
      <c r="E29" s="4">
        <v>355</v>
      </c>
      <c r="F29" t="s">
        <v>17</v>
      </c>
      <c r="I29" s="2"/>
      <c r="N29" s="15" t="s">
        <v>62</v>
      </c>
      <c r="O29" s="11">
        <f>b*tf*Fy/GammaM0/1000</f>
        <v>766.44500000000005</v>
      </c>
      <c r="P29" t="s">
        <v>48</v>
      </c>
      <c r="W29" s="66">
        <f>W28/W27</f>
        <v>0.10132146506017604</v>
      </c>
      <c r="X29" s="66">
        <f t="shared" ref="X29:Y29" si="0">X28/X27</f>
        <v>1.4541190673550786</v>
      </c>
      <c r="Y29" s="66">
        <f t="shared" si="0"/>
        <v>1.2226911213890443</v>
      </c>
    </row>
    <row r="30" spans="3:28" x14ac:dyDescent="0.25">
      <c r="D30" s="2" t="s">
        <v>96</v>
      </c>
      <c r="E30" s="4">
        <v>8.5299999999999994</v>
      </c>
      <c r="F30" t="s">
        <v>97</v>
      </c>
      <c r="I30" s="2"/>
      <c r="N30" s="15" t="s">
        <v>69</v>
      </c>
      <c r="O30" s="10">
        <f>(Na-2*Nf-Nw)/2</f>
        <v>100.48700649205102</v>
      </c>
      <c r="P30" t="s">
        <v>48</v>
      </c>
    </row>
    <row r="31" spans="3:28" x14ac:dyDescent="0.25">
      <c r="D31" s="2" t="s">
        <v>106</v>
      </c>
      <c r="E31" s="4">
        <f>(bb+bt)/2</f>
        <v>81.5</v>
      </c>
      <c r="F31" t="s">
        <v>2</v>
      </c>
      <c r="I31" s="2"/>
      <c r="N31" s="15" t="s">
        <v>70</v>
      </c>
      <c r="O31" s="21">
        <f>dw*tw*Fy/1000/GammaM0</f>
        <v>848.02400000000011</v>
      </c>
      <c r="P31" t="s">
        <v>48</v>
      </c>
    </row>
    <row r="32" spans="3:28" x14ac:dyDescent="0.25">
      <c r="I32" s="2"/>
      <c r="U32" s="52" t="s">
        <v>135</v>
      </c>
      <c r="V32" s="51"/>
    </row>
    <row r="33" spans="3:25" x14ac:dyDescent="0.25">
      <c r="C33" s="5"/>
      <c r="D33" s="5" t="s">
        <v>11</v>
      </c>
      <c r="E33" s="5"/>
      <c r="F33" s="5"/>
      <c r="H33" s="9"/>
      <c r="I33" s="9" t="s">
        <v>131</v>
      </c>
      <c r="J33" s="9"/>
      <c r="K33" s="9"/>
      <c r="N33" s="15" t="s">
        <v>63</v>
      </c>
      <c r="O33" s="7" t="str">
        <f>IF(Na&lt;=Ns,uoi,non)</f>
        <v>non</v>
      </c>
      <c r="W33" s="3" t="s">
        <v>136</v>
      </c>
      <c r="X33" s="3" t="s">
        <v>137</v>
      </c>
      <c r="Y33" s="3" t="s">
        <v>138</v>
      </c>
    </row>
    <row r="34" spans="3:25" x14ac:dyDescent="0.25">
      <c r="N34" s="2" t="s">
        <v>68</v>
      </c>
      <c r="O34" s="7" t="str">
        <f>IF(AND(Ns&lt;Na,Ns+Nf&gt;Na-Nf),oui,non)</f>
        <v>non</v>
      </c>
      <c r="P34" s="25">
        <f>O42</f>
        <v>524.81542186087904</v>
      </c>
      <c r="V34" t="s">
        <v>108</v>
      </c>
      <c r="W34" s="13">
        <f t="array" ref="W34">MAX(ABS(R64:R74))</f>
        <v>226.91476285984055</v>
      </c>
      <c r="X34" s="13">
        <f t="array" ref="X34">MAX(ABS(T64:T74))</f>
        <v>46.914762859840557</v>
      </c>
      <c r="Y34" s="13">
        <f t="array" ref="Y34">MAX(ABS(V64:V74))</f>
        <v>226.91476285984055</v>
      </c>
    </row>
    <row r="35" spans="3:25" x14ac:dyDescent="0.25">
      <c r="D35" s="2" t="s">
        <v>35</v>
      </c>
      <c r="E35" s="4">
        <v>130</v>
      </c>
      <c r="F35" t="s">
        <v>2</v>
      </c>
      <c r="I35" s="2" t="s">
        <v>133</v>
      </c>
      <c r="J35" s="4">
        <v>1.2</v>
      </c>
      <c r="N35" s="2" t="s">
        <v>64</v>
      </c>
      <c r="O35" s="7" t="str">
        <f>IF(AND(Ns&gt;=Nw,Ns+Nf&lt;Na-Nf),oui,non)</f>
        <v>non</v>
      </c>
      <c r="V35" t="s">
        <v>114</v>
      </c>
      <c r="W35" s="18">
        <f t="array" ref="W35">MAX(ABS(R75:R95))</f>
        <v>112.22848586204367</v>
      </c>
      <c r="X35" s="18">
        <f t="array" ref="X35">MAX(ABS(T75:T95))</f>
        <v>385.22848586204367</v>
      </c>
      <c r="Y35" s="18">
        <f t="array" ref="Y35">MAX(ABS(V75:V95))</f>
        <v>412.22848586204367</v>
      </c>
    </row>
    <row r="36" spans="3:25" x14ac:dyDescent="0.25">
      <c r="D36" s="2" t="s">
        <v>36</v>
      </c>
      <c r="E36" s="7">
        <f>td-hbac</f>
        <v>72</v>
      </c>
      <c r="F36" t="s">
        <v>2</v>
      </c>
      <c r="I36" s="2" t="s">
        <v>134</v>
      </c>
      <c r="J36" s="6">
        <f>hw*tw*Eta</f>
        <v>3212.1600000000003</v>
      </c>
      <c r="K36" t="s">
        <v>45</v>
      </c>
      <c r="N36" s="15" t="s">
        <v>65</v>
      </c>
      <c r="O36" s="7" t="str">
        <f>IF(Ns&lt;Nw,oui,non)</f>
        <v>oui</v>
      </c>
      <c r="P36" s="25">
        <f>R42</f>
        <v>423.53049585898009</v>
      </c>
    </row>
    <row r="37" spans="3:25" x14ac:dyDescent="0.25">
      <c r="D37" s="2" t="s">
        <v>58</v>
      </c>
      <c r="I37" s="2" t="s">
        <v>132</v>
      </c>
      <c r="J37" s="11">
        <f>MAX(Avmin,Av)*Fy/SQRT(3)/GammaM0/1000</f>
        <v>720.17056747597678</v>
      </c>
      <c r="K37" t="s">
        <v>48</v>
      </c>
      <c r="N37" s="15" t="s">
        <v>84</v>
      </c>
      <c r="O37" s="26">
        <f t="array" ref="O37">SUM(IF(O33:O36=oui,P33:P36,0))</f>
        <v>423.53049585898009</v>
      </c>
      <c r="P37" t="s">
        <v>53</v>
      </c>
      <c r="V37" t="s">
        <v>139</v>
      </c>
      <c r="W37" s="3" t="s">
        <v>136</v>
      </c>
      <c r="X37" s="3" t="s">
        <v>137</v>
      </c>
      <c r="Y37" s="3" t="s">
        <v>138</v>
      </c>
    </row>
    <row r="38" spans="3:25" x14ac:dyDescent="0.25">
      <c r="D38" s="2" t="s">
        <v>56</v>
      </c>
      <c r="E38" s="4">
        <v>16</v>
      </c>
      <c r="F38" t="s">
        <v>2</v>
      </c>
      <c r="V38" t="s">
        <v>108</v>
      </c>
      <c r="W38" s="17">
        <f t="shared" ref="W38:Y39" si="1">W34/VplRd</f>
        <v>0.31508474951305188</v>
      </c>
      <c r="X38" s="17">
        <f t="shared" si="1"/>
        <v>6.5143960304106047E-2</v>
      </c>
      <c r="Y38" s="17">
        <f t="shared" si="1"/>
        <v>0.31508474951305188</v>
      </c>
    </row>
    <row r="39" spans="3:25" x14ac:dyDescent="0.25">
      <c r="D39" s="15" t="s">
        <v>25</v>
      </c>
      <c r="E39" s="4">
        <v>180</v>
      </c>
      <c r="F39" t="s">
        <v>2</v>
      </c>
      <c r="N39" s="15" t="s">
        <v>75</v>
      </c>
      <c r="R39" t="s">
        <v>73</v>
      </c>
      <c r="V39" t="s">
        <v>114</v>
      </c>
      <c r="W39" s="17">
        <f t="shared" si="1"/>
        <v>0.15583597960046786</v>
      </c>
      <c r="X39" s="17">
        <f t="shared" si="1"/>
        <v>0.53491284323403565</v>
      </c>
      <c r="Y39" s="17">
        <f t="shared" si="1"/>
        <v>0.57240396161537754</v>
      </c>
    </row>
    <row r="40" spans="3:25" x14ac:dyDescent="0.25">
      <c r="D40" s="15" t="s">
        <v>57</v>
      </c>
      <c r="E40" s="4">
        <v>20</v>
      </c>
      <c r="F40" t="s">
        <v>2</v>
      </c>
      <c r="N40" s="15" t="s">
        <v>74</v>
      </c>
      <c r="O40" s="22">
        <f>(Na-Ns)/2/Nf</f>
        <v>1.2090905152866631</v>
      </c>
      <c r="Q40" s="15" t="s">
        <v>74</v>
      </c>
      <c r="R40" s="22">
        <f>0.5-0.5*Ns/Nw</f>
        <v>7.0480757026729846E-2</v>
      </c>
    </row>
    <row r="41" spans="3:25" x14ac:dyDescent="0.25">
      <c r="V41" t="s">
        <v>128</v>
      </c>
    </row>
    <row r="42" spans="3:25" x14ac:dyDescent="0.25">
      <c r="N42" s="2" t="s">
        <v>51</v>
      </c>
      <c r="O42" s="10">
        <f>SUM(O44:O50)</f>
        <v>524.81542186087904</v>
      </c>
      <c r="P42" t="s">
        <v>53</v>
      </c>
      <c r="R42" s="10">
        <f>SUM(R44:R50)</f>
        <v>423.53049585898009</v>
      </c>
      <c r="S42" t="s">
        <v>53</v>
      </c>
      <c r="V42" t="s">
        <v>108</v>
      </c>
      <c r="W42" s="57">
        <f>MAX(W38:Y38)</f>
        <v>0.31508474951305188</v>
      </c>
    </row>
    <row r="43" spans="3:25" x14ac:dyDescent="0.25">
      <c r="V43" t="s">
        <v>114</v>
      </c>
      <c r="W43" s="57">
        <f>MAX(W39:Y39)</f>
        <v>0.57240396161537754</v>
      </c>
    </row>
    <row r="44" spans="3:25" x14ac:dyDescent="0.25">
      <c r="N44" s="15" t="s">
        <v>58</v>
      </c>
      <c r="O44" s="14">
        <f>Ns*(p_1*tf+td-c_z-PhiS/2)/1000</f>
        <v>85.491714352834748</v>
      </c>
      <c r="P44" t="s">
        <v>53</v>
      </c>
      <c r="R44" s="14">
        <f>Ns*(p_w*dw+rr+tf+td-c_z-PhiS/2)/1000</f>
        <v>112.00136883938775</v>
      </c>
      <c r="S44" t="s">
        <v>53</v>
      </c>
    </row>
    <row r="45" spans="3:25" x14ac:dyDescent="0.25">
      <c r="N45" s="1" t="s">
        <v>76</v>
      </c>
      <c r="O45" s="25">
        <f>p_1*tf*Nf*p_1/2000</f>
        <v>7.1149581414524166</v>
      </c>
      <c r="P45" t="s">
        <v>53</v>
      </c>
      <c r="Q45" s="2" t="s">
        <v>85</v>
      </c>
      <c r="R45" s="25">
        <f>Nf*(tf/2+rr+p_w*dw)/1000</f>
        <v>34.793195422458496</v>
      </c>
      <c r="S45" t="s">
        <v>53</v>
      </c>
    </row>
    <row r="46" spans="3:25" x14ac:dyDescent="0.25">
      <c r="N46" s="15" t="s">
        <v>77</v>
      </c>
      <c r="O46" s="25">
        <f>(1-p_1)^2*tf*Nf/2000</f>
        <v>0.21277636559355748</v>
      </c>
      <c r="P46" t="s">
        <v>53</v>
      </c>
      <c r="Q46" s="2" t="s">
        <v>86</v>
      </c>
      <c r="R46" s="25">
        <f>Nr*(rr-zR+p_w*dw)/1000</f>
        <v>3.2650047262684287</v>
      </c>
      <c r="S46" t="s">
        <v>53</v>
      </c>
    </row>
    <row r="47" spans="3:25" x14ac:dyDescent="0.25">
      <c r="N47" s="1" t="s">
        <v>78</v>
      </c>
      <c r="O47" s="23">
        <f>Nr*((1-p_1)*tf+zR)/1000</f>
        <v>0.39172794127554561</v>
      </c>
      <c r="P47" t="s">
        <v>53</v>
      </c>
      <c r="Q47" s="2" t="s">
        <v>87</v>
      </c>
      <c r="R47" s="23">
        <f>p_w^2*dw*Nr/2000</f>
        <v>7.4526519035552519E-2</v>
      </c>
      <c r="S47" t="s">
        <v>53</v>
      </c>
    </row>
    <row r="48" spans="3:25" x14ac:dyDescent="0.25">
      <c r="N48" s="15" t="s">
        <v>79</v>
      </c>
      <c r="O48" s="25">
        <f>Nw*(Ht/2-p_1*tf)/1000</f>
        <v>139.62253025577971</v>
      </c>
      <c r="P48" t="s">
        <v>53</v>
      </c>
      <c r="Q48" s="2" t="s">
        <v>88</v>
      </c>
      <c r="R48" s="25">
        <f>(1-p_w)^2/2000*Nr*dw</f>
        <v>12.962431862030344</v>
      </c>
      <c r="S48" t="s">
        <v>53</v>
      </c>
    </row>
    <row r="49" spans="2:23" x14ac:dyDescent="0.25">
      <c r="N49" s="1" t="s">
        <v>80</v>
      </c>
      <c r="O49" s="25">
        <f>Nr*(Ht-p_1*tf-tf-zR)/1000</f>
        <v>32.697548079801976</v>
      </c>
      <c r="P49" t="s">
        <v>53</v>
      </c>
      <c r="Q49" s="2"/>
      <c r="R49" s="25">
        <f>Nr*((1-p_w)*dw+rr-zR)/1000</f>
        <v>29.040815412258006</v>
      </c>
      <c r="S49" t="s">
        <v>53</v>
      </c>
    </row>
    <row r="50" spans="2:23" x14ac:dyDescent="0.25">
      <c r="N50" s="15" t="s">
        <v>81</v>
      </c>
      <c r="O50" s="14">
        <f>Nf*(Ht-tf/2-p_1*tf)/1000</f>
        <v>259.28416672414113</v>
      </c>
      <c r="P50" t="s">
        <v>53</v>
      </c>
      <c r="Q50" s="2"/>
      <c r="R50" s="14">
        <f>Nf*((1-p_w)*dw+rr+tf/2)/1000</f>
        <v>231.39315307754157</v>
      </c>
      <c r="S50" t="s">
        <v>53</v>
      </c>
    </row>
    <row r="51" spans="2:23" x14ac:dyDescent="0.25">
      <c r="C51" s="27"/>
      <c r="D51" s="27" t="s">
        <v>89</v>
      </c>
      <c r="E51" s="27"/>
      <c r="F51" s="27"/>
    </row>
    <row r="52" spans="2:23" x14ac:dyDescent="0.25">
      <c r="N52" s="2" t="s">
        <v>82</v>
      </c>
      <c r="O52" s="25">
        <f>(tw+(4-PI())*kC*rr)/(2*tw/rr+(4-PI()))</f>
        <v>6.5537440097692006</v>
      </c>
      <c r="P52" t="s">
        <v>2</v>
      </c>
    </row>
    <row r="53" spans="2:23" x14ac:dyDescent="0.25">
      <c r="C53" s="2" t="s">
        <v>90</v>
      </c>
      <c r="D53" s="2" t="s">
        <v>93</v>
      </c>
      <c r="E53" s="10">
        <f>AireA/1000^2*RhoA*g/1000</f>
        <v>0.56007696633207404</v>
      </c>
      <c r="F53" t="s">
        <v>99</v>
      </c>
      <c r="N53" s="15" t="s">
        <v>83</v>
      </c>
      <c r="O53" s="22">
        <f>(10-3*PI())/(12-3*PI())</f>
        <v>0.22336793894575216</v>
      </c>
    </row>
    <row r="54" spans="2:23" x14ac:dyDescent="0.25">
      <c r="D54" s="2" t="s">
        <v>94</v>
      </c>
      <c r="E54" s="10">
        <f>mubac*d*g/1000</f>
        <v>0.20919825</v>
      </c>
      <c r="F54" t="s">
        <v>99</v>
      </c>
    </row>
    <row r="55" spans="2:23" x14ac:dyDescent="0.25">
      <c r="D55" s="2" t="s">
        <v>95</v>
      </c>
      <c r="E55" s="11">
        <f>g*RhoC*d/1000*(tc+bm*hbac/ebac)/1000</f>
        <v>5.8146168478260867</v>
      </c>
      <c r="F55" t="s">
        <v>99</v>
      </c>
    </row>
    <row r="56" spans="2:23" x14ac:dyDescent="0.25">
      <c r="D56" s="2" t="s">
        <v>98</v>
      </c>
      <c r="E56" s="25">
        <f>SUM(E53:E55)</f>
        <v>6.5838920641581611</v>
      </c>
      <c r="F56" t="s">
        <v>99</v>
      </c>
    </row>
    <row r="57" spans="2:23" x14ac:dyDescent="0.25">
      <c r="D57" s="2" t="s">
        <v>91</v>
      </c>
      <c r="E57" s="4">
        <f>H57*d</f>
        <v>5</v>
      </c>
      <c r="F57" t="s">
        <v>99</v>
      </c>
      <c r="H57" s="4">
        <v>2</v>
      </c>
      <c r="I57" t="s">
        <v>107</v>
      </c>
    </row>
    <row r="58" spans="2:23" x14ac:dyDescent="0.25">
      <c r="D58" s="2" t="s">
        <v>92</v>
      </c>
      <c r="E58" s="4">
        <f>H58*d</f>
        <v>40</v>
      </c>
      <c r="F58" t="s">
        <v>99</v>
      </c>
      <c r="H58" s="4">
        <v>16</v>
      </c>
      <c r="I58" t="s">
        <v>107</v>
      </c>
    </row>
    <row r="61" spans="2:23" x14ac:dyDescent="0.25">
      <c r="J61" t="s">
        <v>108</v>
      </c>
      <c r="L61" t="s">
        <v>114</v>
      </c>
      <c r="N61" t="s">
        <v>115</v>
      </c>
    </row>
    <row r="62" spans="2:23" x14ac:dyDescent="0.25">
      <c r="F62" s="29" t="s">
        <v>90</v>
      </c>
      <c r="G62" s="30"/>
      <c r="H62" s="33" t="s">
        <v>91</v>
      </c>
      <c r="I62" s="34"/>
      <c r="J62" s="37" t="s">
        <v>111</v>
      </c>
      <c r="K62" s="38"/>
      <c r="L62" s="37" t="s">
        <v>112</v>
      </c>
      <c r="M62" s="38"/>
      <c r="N62" s="37" t="s">
        <v>113</v>
      </c>
      <c r="O62" s="38"/>
      <c r="Q62" s="47" t="s">
        <v>116</v>
      </c>
      <c r="R62" s="48"/>
      <c r="S62" s="47" t="s">
        <v>117</v>
      </c>
      <c r="T62" s="48"/>
      <c r="U62" s="47" t="s">
        <v>118</v>
      </c>
      <c r="V62" s="48"/>
    </row>
    <row r="63" spans="2:23" x14ac:dyDescent="0.25">
      <c r="F63" s="31" t="s">
        <v>109</v>
      </c>
      <c r="G63" s="32" t="s">
        <v>110</v>
      </c>
      <c r="H63" s="35" t="s">
        <v>109</v>
      </c>
      <c r="I63" s="36" t="s">
        <v>110</v>
      </c>
      <c r="J63" s="39" t="s">
        <v>109</v>
      </c>
      <c r="K63" s="40" t="s">
        <v>110</v>
      </c>
      <c r="L63" s="39" t="s">
        <v>109</v>
      </c>
      <c r="M63" s="40" t="s">
        <v>110</v>
      </c>
      <c r="N63" s="39" t="s">
        <v>109</v>
      </c>
      <c r="O63" s="40" t="s">
        <v>110</v>
      </c>
      <c r="Q63" s="49" t="s">
        <v>109</v>
      </c>
      <c r="R63" s="50" t="s">
        <v>110</v>
      </c>
      <c r="S63" s="49" t="s">
        <v>109</v>
      </c>
      <c r="T63" s="50" t="s">
        <v>110</v>
      </c>
      <c r="U63" s="49" t="s">
        <v>109</v>
      </c>
      <c r="V63" s="50" t="s">
        <v>110</v>
      </c>
      <c r="W63" s="60" t="s">
        <v>169</v>
      </c>
    </row>
    <row r="64" spans="2:23" x14ac:dyDescent="0.25">
      <c r="B64" s="41" t="s">
        <v>108</v>
      </c>
      <c r="C64" s="3">
        <v>1</v>
      </c>
      <c r="D64" s="28">
        <f>La</f>
        <v>3</v>
      </c>
      <c r="E64" s="18">
        <f t="shared" ref="E64:E74" si="2">La-D64</f>
        <v>0</v>
      </c>
      <c r="F64" s="18">
        <f t="shared" ref="F64:F74" si="3">-qG_1/2*(La-D64)^2</f>
        <v>0</v>
      </c>
      <c r="G64" s="18">
        <f t="shared" ref="G64:G74" si="4">-qG_1*La*(1-D64/La)</f>
        <v>0</v>
      </c>
      <c r="H64" s="17">
        <f t="shared" ref="H64:H74" si="5">-qG_2/2*(La-D64)^2</f>
        <v>0</v>
      </c>
      <c r="I64" s="17">
        <f t="shared" ref="I64:I74" si="6">-qG_2*La*(1-D64/La)</f>
        <v>0</v>
      </c>
      <c r="J64" s="17">
        <f t="shared" ref="J64:J74" si="7">-qQ/2*(La-D64)^2</f>
        <v>0</v>
      </c>
      <c r="K64" s="17">
        <f t="shared" ref="K64:K74" si="8">-qQ*La*(1-D64/La)</f>
        <v>0</v>
      </c>
      <c r="L64" s="3">
        <v>0</v>
      </c>
      <c r="M64" s="3">
        <v>0</v>
      </c>
      <c r="N64" s="17">
        <f>J64+L64</f>
        <v>0</v>
      </c>
      <c r="O64" s="17">
        <f>K64+M64</f>
        <v>0</v>
      </c>
      <c r="Q64" s="18">
        <f t="shared" ref="Q64:Q95" si="9">GammaG*(F64+H64)+GammaQ*J64</f>
        <v>0</v>
      </c>
      <c r="R64" s="18">
        <f t="shared" ref="R64:R95" si="10">GammaG*(G64+I64)+GammaQ*K64</f>
        <v>0</v>
      </c>
      <c r="S64" s="18">
        <f t="shared" ref="S64:S95" si="11">GammaG*(F64+H64)+GammaQ*L64</f>
        <v>0</v>
      </c>
      <c r="T64" s="18">
        <f t="shared" ref="T64:T95" si="12">GammaG*(G64+I64)+GammaQ*M64</f>
        <v>0</v>
      </c>
      <c r="U64" s="18">
        <f t="shared" ref="U64:U95" si="13">GammaG*(F64+H64)+GammaQ*N64</f>
        <v>0</v>
      </c>
      <c r="V64" s="18">
        <f t="shared" ref="V64:V95" si="14">GammaG*(G64+I64)+GammaQ*O64</f>
        <v>0</v>
      </c>
    </row>
    <row r="65" spans="2:23" x14ac:dyDescent="0.25">
      <c r="B65" s="42"/>
      <c r="C65" s="3">
        <v>2</v>
      </c>
      <c r="D65" s="28">
        <f t="shared" ref="D65:D73" si="15">D66+La/10</f>
        <v>2.6999999999999997</v>
      </c>
      <c r="E65" s="18">
        <f t="shared" si="2"/>
        <v>0.30000000000000027</v>
      </c>
      <c r="F65" s="18">
        <f t="shared" si="3"/>
        <v>-0.29627514288711776</v>
      </c>
      <c r="G65" s="18">
        <f t="shared" si="4"/>
        <v>-1.9751676192474501</v>
      </c>
      <c r="H65" s="17">
        <f t="shared" si="5"/>
        <v>-0.22500000000000042</v>
      </c>
      <c r="I65" s="17">
        <f t="shared" si="6"/>
        <v>-1.5000000000000013</v>
      </c>
      <c r="J65" s="17">
        <f t="shared" si="7"/>
        <v>-1.8000000000000034</v>
      </c>
      <c r="K65" s="17">
        <f t="shared" si="8"/>
        <v>-12.000000000000011</v>
      </c>
      <c r="L65" s="3">
        <v>0</v>
      </c>
      <c r="M65" s="3">
        <v>0</v>
      </c>
      <c r="N65" s="17">
        <f t="shared" ref="N65:N74" si="16">J65+L65</f>
        <v>-1.8000000000000034</v>
      </c>
      <c r="O65" s="17">
        <f t="shared" ref="O65:O74" si="17">K65+M65</f>
        <v>-12.000000000000011</v>
      </c>
      <c r="Q65" s="18">
        <f t="shared" si="9"/>
        <v>-3.4037214428976146</v>
      </c>
      <c r="R65" s="18">
        <f t="shared" si="10"/>
        <v>-22.691476285984074</v>
      </c>
      <c r="S65" s="18">
        <f t="shared" si="11"/>
        <v>-0.70372144289760963</v>
      </c>
      <c r="T65" s="18">
        <f t="shared" si="12"/>
        <v>-4.6914762859840593</v>
      </c>
      <c r="U65" s="18">
        <f t="shared" si="13"/>
        <v>-3.4037214428976146</v>
      </c>
      <c r="V65" s="18">
        <f t="shared" si="14"/>
        <v>-22.691476285984074</v>
      </c>
    </row>
    <row r="66" spans="2:23" x14ac:dyDescent="0.25">
      <c r="B66" s="42"/>
      <c r="C66" s="3">
        <v>3</v>
      </c>
      <c r="D66" s="28">
        <f t="shared" si="15"/>
        <v>2.4</v>
      </c>
      <c r="E66" s="18">
        <f t="shared" si="2"/>
        <v>0.60000000000000009</v>
      </c>
      <c r="F66" s="18">
        <f t="shared" si="3"/>
        <v>-1.1851005715484693</v>
      </c>
      <c r="G66" s="18">
        <f t="shared" si="4"/>
        <v>-3.950335238494898</v>
      </c>
      <c r="H66" s="17">
        <f t="shared" si="5"/>
        <v>-0.90000000000000024</v>
      </c>
      <c r="I66" s="17">
        <f t="shared" si="6"/>
        <v>-3.0000000000000009</v>
      </c>
      <c r="J66" s="17">
        <f t="shared" si="7"/>
        <v>-7.200000000000002</v>
      </c>
      <c r="K66" s="17">
        <f t="shared" si="8"/>
        <v>-24.000000000000007</v>
      </c>
      <c r="L66" s="3">
        <v>0</v>
      </c>
      <c r="M66" s="3">
        <v>0</v>
      </c>
      <c r="N66" s="17">
        <f t="shared" si="16"/>
        <v>-7.200000000000002</v>
      </c>
      <c r="O66" s="17">
        <f t="shared" si="17"/>
        <v>-24.000000000000007</v>
      </c>
      <c r="Q66" s="18">
        <f t="shared" si="9"/>
        <v>-13.614885771590437</v>
      </c>
      <c r="R66" s="18">
        <f t="shared" si="10"/>
        <v>-45.382952571968133</v>
      </c>
      <c r="S66" s="18">
        <f t="shared" si="11"/>
        <v>-2.8148857715904341</v>
      </c>
      <c r="T66" s="18">
        <f t="shared" si="12"/>
        <v>-9.3829525719681151</v>
      </c>
      <c r="U66" s="18">
        <f t="shared" si="13"/>
        <v>-13.614885771590437</v>
      </c>
      <c r="V66" s="18">
        <f t="shared" si="14"/>
        <v>-45.382952571968133</v>
      </c>
    </row>
    <row r="67" spans="2:23" x14ac:dyDescent="0.25">
      <c r="B67" s="42"/>
      <c r="C67" s="3">
        <v>4</v>
      </c>
      <c r="D67" s="28">
        <f t="shared" si="15"/>
        <v>2.1</v>
      </c>
      <c r="E67" s="18">
        <f t="shared" si="2"/>
        <v>0.89999999999999991</v>
      </c>
      <c r="F67" s="18">
        <f t="shared" si="3"/>
        <v>-2.6664762859840545</v>
      </c>
      <c r="G67" s="18">
        <f t="shared" si="4"/>
        <v>-5.9255028577423436</v>
      </c>
      <c r="H67" s="17">
        <f t="shared" si="5"/>
        <v>-2.0249999999999995</v>
      </c>
      <c r="I67" s="17">
        <f t="shared" si="6"/>
        <v>-4.4999999999999991</v>
      </c>
      <c r="J67" s="17">
        <f t="shared" si="7"/>
        <v>-16.199999999999996</v>
      </c>
      <c r="K67" s="17">
        <f t="shared" si="8"/>
        <v>-35.999999999999993</v>
      </c>
      <c r="L67" s="3">
        <v>0</v>
      </c>
      <c r="M67" s="3">
        <v>0</v>
      </c>
      <c r="N67" s="17">
        <f t="shared" si="16"/>
        <v>-16.199999999999996</v>
      </c>
      <c r="O67" s="17">
        <f t="shared" si="17"/>
        <v>-35.999999999999993</v>
      </c>
      <c r="Q67" s="18">
        <f t="shared" si="9"/>
        <v>-30.633492986078465</v>
      </c>
      <c r="R67" s="18">
        <f t="shared" si="10"/>
        <v>-68.074428857952142</v>
      </c>
      <c r="S67" s="18">
        <f t="shared" si="11"/>
        <v>-6.3334929860784737</v>
      </c>
      <c r="T67" s="18">
        <f t="shared" si="12"/>
        <v>-14.074428857952164</v>
      </c>
      <c r="U67" s="18">
        <f t="shared" si="13"/>
        <v>-30.633492986078465</v>
      </c>
      <c r="V67" s="18">
        <f t="shared" si="14"/>
        <v>-68.074428857952142</v>
      </c>
    </row>
    <row r="68" spans="2:23" x14ac:dyDescent="0.25">
      <c r="B68" s="42"/>
      <c r="C68" s="3">
        <v>5</v>
      </c>
      <c r="D68" s="28">
        <f t="shared" si="15"/>
        <v>1.8</v>
      </c>
      <c r="E68" s="18">
        <f t="shared" si="2"/>
        <v>1.2</v>
      </c>
      <c r="F68" s="18">
        <f t="shared" si="3"/>
        <v>-4.7404022861938762</v>
      </c>
      <c r="G68" s="18">
        <f t="shared" si="4"/>
        <v>-7.9006704769897942</v>
      </c>
      <c r="H68" s="17">
        <f t="shared" si="5"/>
        <v>-3.5999999999999996</v>
      </c>
      <c r="I68" s="17">
        <f t="shared" si="6"/>
        <v>-6</v>
      </c>
      <c r="J68" s="17">
        <f t="shared" si="7"/>
        <v>-28.799999999999997</v>
      </c>
      <c r="K68" s="17">
        <f t="shared" si="8"/>
        <v>-48</v>
      </c>
      <c r="L68" s="3">
        <v>0</v>
      </c>
      <c r="M68" s="3">
        <v>0</v>
      </c>
      <c r="N68" s="17">
        <f t="shared" si="16"/>
        <v>-28.799999999999997</v>
      </c>
      <c r="O68" s="17">
        <f t="shared" si="17"/>
        <v>-48</v>
      </c>
      <c r="Q68" s="18">
        <f t="shared" si="9"/>
        <v>-54.459543086361727</v>
      </c>
      <c r="R68" s="18">
        <f t="shared" si="10"/>
        <v>-90.765905143936223</v>
      </c>
      <c r="S68" s="18">
        <f t="shared" si="11"/>
        <v>-11.259543086361733</v>
      </c>
      <c r="T68" s="18">
        <f t="shared" si="12"/>
        <v>-18.765905143936223</v>
      </c>
      <c r="U68" s="18">
        <f t="shared" si="13"/>
        <v>-54.459543086361727</v>
      </c>
      <c r="V68" s="18">
        <f t="shared" si="14"/>
        <v>-90.765905143936223</v>
      </c>
    </row>
    <row r="69" spans="2:23" x14ac:dyDescent="0.25">
      <c r="B69" s="42"/>
      <c r="C69" s="3">
        <v>6</v>
      </c>
      <c r="D69" s="28">
        <f t="shared" si="15"/>
        <v>1.5</v>
      </c>
      <c r="E69" s="18">
        <f t="shared" si="2"/>
        <v>1.5</v>
      </c>
      <c r="F69" s="18">
        <f t="shared" si="3"/>
        <v>-7.4068785721779316</v>
      </c>
      <c r="G69" s="18">
        <f t="shared" si="4"/>
        <v>-9.8758380962372421</v>
      </c>
      <c r="H69" s="17">
        <f t="shared" si="5"/>
        <v>-5.625</v>
      </c>
      <c r="I69" s="17">
        <f t="shared" si="6"/>
        <v>-7.5</v>
      </c>
      <c r="J69" s="17">
        <f t="shared" si="7"/>
        <v>-45</v>
      </c>
      <c r="K69" s="17">
        <f t="shared" si="8"/>
        <v>-60</v>
      </c>
      <c r="L69" s="3">
        <v>0</v>
      </c>
      <c r="M69" s="3">
        <v>0</v>
      </c>
      <c r="N69" s="17">
        <f t="shared" si="16"/>
        <v>-45</v>
      </c>
      <c r="O69" s="17">
        <f t="shared" si="17"/>
        <v>-60</v>
      </c>
      <c r="Q69" s="18">
        <f t="shared" si="9"/>
        <v>-85.093036072440214</v>
      </c>
      <c r="R69" s="18">
        <f t="shared" si="10"/>
        <v>-113.45738142992028</v>
      </c>
      <c r="S69" s="18">
        <f t="shared" si="11"/>
        <v>-17.593036072440206</v>
      </c>
      <c r="T69" s="18">
        <f t="shared" si="12"/>
        <v>-23.457381429920279</v>
      </c>
      <c r="U69" s="18">
        <f t="shared" si="13"/>
        <v>-85.093036072440214</v>
      </c>
      <c r="V69" s="18">
        <f t="shared" si="14"/>
        <v>-113.45738142992028</v>
      </c>
    </row>
    <row r="70" spans="2:23" x14ac:dyDescent="0.25">
      <c r="B70" s="42"/>
      <c r="C70" s="3">
        <v>7</v>
      </c>
      <c r="D70" s="28">
        <f t="shared" si="15"/>
        <v>1.2</v>
      </c>
      <c r="E70" s="18">
        <f t="shared" si="2"/>
        <v>1.8</v>
      </c>
      <c r="F70" s="18">
        <f t="shared" si="3"/>
        <v>-10.665905143936222</v>
      </c>
      <c r="G70" s="18">
        <f t="shared" si="4"/>
        <v>-11.851005715484693</v>
      </c>
      <c r="H70" s="17">
        <f t="shared" si="5"/>
        <v>-8.1000000000000014</v>
      </c>
      <c r="I70" s="17">
        <f t="shared" si="6"/>
        <v>-9.0000000000000018</v>
      </c>
      <c r="J70" s="17">
        <f t="shared" si="7"/>
        <v>-64.800000000000011</v>
      </c>
      <c r="K70" s="17">
        <f t="shared" si="8"/>
        <v>-72.000000000000014</v>
      </c>
      <c r="L70" s="3">
        <v>0</v>
      </c>
      <c r="M70" s="3">
        <v>0</v>
      </c>
      <c r="N70" s="17">
        <f t="shared" si="16"/>
        <v>-64.800000000000011</v>
      </c>
      <c r="O70" s="17">
        <f t="shared" si="17"/>
        <v>-72.000000000000014</v>
      </c>
      <c r="Q70" s="18">
        <f t="shared" si="9"/>
        <v>-122.53397194431392</v>
      </c>
      <c r="R70" s="18">
        <f t="shared" si="10"/>
        <v>-136.14885771590437</v>
      </c>
      <c r="S70" s="18">
        <f t="shared" si="11"/>
        <v>-25.333971944313902</v>
      </c>
      <c r="T70" s="18">
        <f t="shared" si="12"/>
        <v>-28.148857715904342</v>
      </c>
      <c r="U70" s="18">
        <f t="shared" si="13"/>
        <v>-122.53397194431392</v>
      </c>
      <c r="V70" s="18">
        <f t="shared" si="14"/>
        <v>-136.14885771590437</v>
      </c>
    </row>
    <row r="71" spans="2:23" x14ac:dyDescent="0.25">
      <c r="B71" s="42"/>
      <c r="C71" s="3">
        <v>8</v>
      </c>
      <c r="D71" s="28">
        <f t="shared" si="15"/>
        <v>0.89999999999999991</v>
      </c>
      <c r="E71" s="18">
        <f t="shared" si="2"/>
        <v>2.1</v>
      </c>
      <c r="F71" s="18">
        <f t="shared" si="3"/>
        <v>-14.517482001468746</v>
      </c>
      <c r="G71" s="18">
        <f t="shared" si="4"/>
        <v>-13.826173334732138</v>
      </c>
      <c r="H71" s="17">
        <f t="shared" si="5"/>
        <v>-11.025</v>
      </c>
      <c r="I71" s="17">
        <f t="shared" si="6"/>
        <v>-10.5</v>
      </c>
      <c r="J71" s="17">
        <f t="shared" si="7"/>
        <v>-88.2</v>
      </c>
      <c r="K71" s="17">
        <f t="shared" si="8"/>
        <v>-84</v>
      </c>
      <c r="L71" s="3">
        <v>0</v>
      </c>
      <c r="M71" s="3">
        <v>0</v>
      </c>
      <c r="N71" s="17">
        <f t="shared" si="16"/>
        <v>-88.2</v>
      </c>
      <c r="O71" s="17">
        <f t="shared" si="17"/>
        <v>-84</v>
      </c>
      <c r="Q71" s="18">
        <f t="shared" si="9"/>
        <v>-166.78235070198281</v>
      </c>
      <c r="R71" s="18">
        <f t="shared" si="10"/>
        <v>-158.84033400188838</v>
      </c>
      <c r="S71" s="18">
        <f t="shared" si="11"/>
        <v>-34.48235070198281</v>
      </c>
      <c r="T71" s="18">
        <f t="shared" si="12"/>
        <v>-32.840334001888394</v>
      </c>
      <c r="U71" s="18">
        <f t="shared" si="13"/>
        <v>-166.78235070198281</v>
      </c>
      <c r="V71" s="18">
        <f t="shared" si="14"/>
        <v>-158.84033400188838</v>
      </c>
    </row>
    <row r="72" spans="2:23" x14ac:dyDescent="0.25">
      <c r="B72" s="42"/>
      <c r="C72" s="3">
        <v>9</v>
      </c>
      <c r="D72" s="28">
        <f t="shared" si="15"/>
        <v>0.6</v>
      </c>
      <c r="E72" s="18">
        <f t="shared" si="2"/>
        <v>2.4</v>
      </c>
      <c r="F72" s="18">
        <f t="shared" si="3"/>
        <v>-18.961609144775505</v>
      </c>
      <c r="G72" s="18">
        <f t="shared" si="4"/>
        <v>-15.801340953979588</v>
      </c>
      <c r="H72" s="17">
        <f t="shared" si="5"/>
        <v>-14.399999999999999</v>
      </c>
      <c r="I72" s="17">
        <f t="shared" si="6"/>
        <v>-12</v>
      </c>
      <c r="J72" s="17">
        <f t="shared" si="7"/>
        <v>-115.19999999999999</v>
      </c>
      <c r="K72" s="17">
        <f t="shared" si="8"/>
        <v>-96</v>
      </c>
      <c r="L72" s="3">
        <v>0</v>
      </c>
      <c r="M72" s="3">
        <v>0</v>
      </c>
      <c r="N72" s="17">
        <f t="shared" si="16"/>
        <v>-115.19999999999999</v>
      </c>
      <c r="O72" s="17">
        <f t="shared" si="17"/>
        <v>-96</v>
      </c>
      <c r="Q72" s="18">
        <f t="shared" si="9"/>
        <v>-217.83817234544691</v>
      </c>
      <c r="R72" s="18">
        <f t="shared" si="10"/>
        <v>-181.53181028787245</v>
      </c>
      <c r="S72" s="18">
        <f t="shared" si="11"/>
        <v>-45.038172345446931</v>
      </c>
      <c r="T72" s="18">
        <f t="shared" si="12"/>
        <v>-37.531810287872446</v>
      </c>
      <c r="U72" s="18">
        <f t="shared" si="13"/>
        <v>-217.83817234544691</v>
      </c>
      <c r="V72" s="18">
        <f t="shared" si="14"/>
        <v>-181.53181028787245</v>
      </c>
    </row>
    <row r="73" spans="2:23" x14ac:dyDescent="0.25">
      <c r="B73" s="42"/>
      <c r="C73" s="3">
        <v>10</v>
      </c>
      <c r="D73" s="28">
        <f t="shared" si="15"/>
        <v>0.3</v>
      </c>
      <c r="E73" s="18">
        <f t="shared" si="2"/>
        <v>2.7</v>
      </c>
      <c r="F73" s="18">
        <f t="shared" si="3"/>
        <v>-23.9982865738565</v>
      </c>
      <c r="G73" s="18">
        <f t="shared" si="4"/>
        <v>-17.776508573227037</v>
      </c>
      <c r="H73" s="17">
        <f t="shared" si="5"/>
        <v>-18.225000000000001</v>
      </c>
      <c r="I73" s="17">
        <f t="shared" si="6"/>
        <v>-13.5</v>
      </c>
      <c r="J73" s="17">
        <f t="shared" si="7"/>
        <v>-145.80000000000001</v>
      </c>
      <c r="K73" s="17">
        <f t="shared" si="8"/>
        <v>-108</v>
      </c>
      <c r="L73" s="3">
        <v>0</v>
      </c>
      <c r="M73" s="3">
        <v>0</v>
      </c>
      <c r="N73" s="17">
        <f t="shared" si="16"/>
        <v>-145.80000000000001</v>
      </c>
      <c r="O73" s="17">
        <f t="shared" si="17"/>
        <v>-108</v>
      </c>
      <c r="Q73" s="18">
        <f t="shared" si="9"/>
        <v>-275.7014368747063</v>
      </c>
      <c r="R73" s="18">
        <f t="shared" si="10"/>
        <v>-204.22328657385651</v>
      </c>
      <c r="S73" s="18">
        <f t="shared" si="11"/>
        <v>-57.001436874706279</v>
      </c>
      <c r="T73" s="18">
        <f t="shared" si="12"/>
        <v>-42.223286573856505</v>
      </c>
      <c r="U73" s="18">
        <f t="shared" si="13"/>
        <v>-275.7014368747063</v>
      </c>
      <c r="V73" s="18">
        <f t="shared" si="14"/>
        <v>-204.22328657385651</v>
      </c>
    </row>
    <row r="74" spans="2:23" x14ac:dyDescent="0.25">
      <c r="B74" s="43"/>
      <c r="C74" s="3">
        <v>11</v>
      </c>
      <c r="D74" s="28">
        <v>0</v>
      </c>
      <c r="E74" s="18">
        <f t="shared" si="2"/>
        <v>3</v>
      </c>
      <c r="F74" s="18">
        <f t="shared" si="3"/>
        <v>-29.627514288711726</v>
      </c>
      <c r="G74" s="18">
        <f t="shared" si="4"/>
        <v>-19.751676192474484</v>
      </c>
      <c r="H74" s="17">
        <f t="shared" si="5"/>
        <v>-22.5</v>
      </c>
      <c r="I74" s="17">
        <f t="shared" si="6"/>
        <v>-15</v>
      </c>
      <c r="J74" s="17">
        <f t="shared" si="7"/>
        <v>-180</v>
      </c>
      <c r="K74" s="17">
        <f t="shared" si="8"/>
        <v>-120</v>
      </c>
      <c r="L74" s="3">
        <v>0</v>
      </c>
      <c r="M74" s="3">
        <v>0</v>
      </c>
      <c r="N74" s="17">
        <f t="shared" si="16"/>
        <v>-180</v>
      </c>
      <c r="O74" s="17">
        <f t="shared" si="17"/>
        <v>-120</v>
      </c>
      <c r="Q74" s="18">
        <f t="shared" si="9"/>
        <v>-340.37214428976085</v>
      </c>
      <c r="R74" s="18">
        <f t="shared" si="10"/>
        <v>-226.91476285984055</v>
      </c>
      <c r="S74" s="18">
        <f t="shared" si="11"/>
        <v>-70.372144289760826</v>
      </c>
      <c r="T74" s="18">
        <f t="shared" si="12"/>
        <v>-46.914762859840557</v>
      </c>
      <c r="U74" s="18">
        <f t="shared" si="13"/>
        <v>-340.37214428976085</v>
      </c>
      <c r="V74" s="18">
        <f t="shared" si="14"/>
        <v>-226.91476285984055</v>
      </c>
    </row>
    <row r="75" spans="2:23" x14ac:dyDescent="0.25">
      <c r="B75" s="46" t="s">
        <v>114</v>
      </c>
      <c r="C75" s="3">
        <v>1</v>
      </c>
      <c r="D75" s="18">
        <v>0</v>
      </c>
      <c r="F75" s="18">
        <f t="shared" ref="F75:F95" si="18">-qG_1*La^2/2*(LL-D75)/LL+qG_1*(D75*(LL-D75))/2</f>
        <v>-29.62751428871173</v>
      </c>
      <c r="G75" s="18">
        <f t="shared" ref="G75:G95" si="19">+qG_1*La^2/2/LL+qG_1/2*(LL-2*D75)</f>
        <v>35.882211749661977</v>
      </c>
      <c r="H75" s="17">
        <f t="shared" ref="H75:H95" si="20">-qG_2*La^2/2*(LL-D75)/LL+qG_2*(D75*(LL-D75))/2</f>
        <v>-22.5</v>
      </c>
      <c r="I75" s="17">
        <f t="shared" ref="I75:I95" si="21">+qG_2*La^2/2/LL+qG_2/2*(LL-2*D75)</f>
        <v>27.25</v>
      </c>
      <c r="J75" s="17">
        <f t="shared" ref="J75:J95" si="22">-qQ*La^2/2*(LL-D75)/LL</f>
        <v>-180</v>
      </c>
      <c r="K75" s="17">
        <f t="shared" ref="K75:K95" si="23">+qQ*La^2/2/LL</f>
        <v>18</v>
      </c>
      <c r="L75" s="17">
        <f t="shared" ref="L75:L95" si="24">qQ*(D75*(LL-D75))/2</f>
        <v>0</v>
      </c>
      <c r="M75" s="17">
        <f t="shared" ref="M75:M95" si="25">qQ/2*(LL-2*D75)</f>
        <v>200</v>
      </c>
      <c r="N75" s="17">
        <f t="shared" ref="N75:N95" si="26">J75+L75</f>
        <v>-180</v>
      </c>
      <c r="O75" s="17">
        <f t="shared" ref="O75:O95" si="27">K75+M75</f>
        <v>218</v>
      </c>
      <c r="Q75" s="18">
        <f t="shared" si="9"/>
        <v>-340.37214428976085</v>
      </c>
      <c r="R75" s="18">
        <f t="shared" si="10"/>
        <v>112.22848586204367</v>
      </c>
      <c r="S75" s="18">
        <f t="shared" si="11"/>
        <v>-70.37214428976084</v>
      </c>
      <c r="T75" s="18">
        <f t="shared" si="12"/>
        <v>385.22848586204367</v>
      </c>
      <c r="U75" s="18">
        <f t="shared" si="13"/>
        <v>-340.37214428976085</v>
      </c>
      <c r="V75" s="18">
        <f t="shared" si="14"/>
        <v>412.22848586204367</v>
      </c>
      <c r="W75" s="18">
        <f t="shared" ref="W75:W95" si="28">D75</f>
        <v>0</v>
      </c>
    </row>
    <row r="76" spans="2:23" x14ac:dyDescent="0.25">
      <c r="B76" s="44"/>
      <c r="C76" s="3">
        <v>2</v>
      </c>
      <c r="D76" s="18">
        <f t="shared" ref="D76:D95" si="29">D75+LL/20</f>
        <v>0.5</v>
      </c>
      <c r="F76" s="18">
        <f t="shared" si="18"/>
        <v>-12.509394921900512</v>
      </c>
      <c r="G76" s="18">
        <f t="shared" si="19"/>
        <v>32.590265717582902</v>
      </c>
      <c r="H76" s="17">
        <f t="shared" si="20"/>
        <v>-9.5</v>
      </c>
      <c r="I76" s="17">
        <f t="shared" si="21"/>
        <v>24.75</v>
      </c>
      <c r="J76" s="17">
        <f t="shared" si="22"/>
        <v>-171</v>
      </c>
      <c r="K76" s="17">
        <f t="shared" si="23"/>
        <v>18</v>
      </c>
      <c r="L76" s="17">
        <f t="shared" si="24"/>
        <v>95</v>
      </c>
      <c r="M76" s="17">
        <f t="shared" si="25"/>
        <v>180</v>
      </c>
      <c r="N76" s="17">
        <f t="shared" si="26"/>
        <v>-76</v>
      </c>
      <c r="O76" s="17">
        <f t="shared" si="27"/>
        <v>198</v>
      </c>
      <c r="Q76" s="18">
        <f t="shared" si="9"/>
        <v>-286.21268314456569</v>
      </c>
      <c r="R76" s="18">
        <f t="shared" si="10"/>
        <v>104.40935871873693</v>
      </c>
      <c r="S76" s="18">
        <f t="shared" si="11"/>
        <v>112.78731685543431</v>
      </c>
      <c r="T76" s="18">
        <f t="shared" si="12"/>
        <v>347.40935871873694</v>
      </c>
      <c r="U76" s="18">
        <f t="shared" si="13"/>
        <v>-143.71268314456569</v>
      </c>
      <c r="V76" s="18">
        <f t="shared" si="14"/>
        <v>374.40935871873694</v>
      </c>
      <c r="W76" s="18">
        <f t="shared" si="28"/>
        <v>0.5</v>
      </c>
    </row>
    <row r="77" spans="2:23" x14ac:dyDescent="0.25">
      <c r="B77" s="44"/>
      <c r="C77" s="3">
        <v>3</v>
      </c>
      <c r="D77" s="18">
        <f t="shared" si="29"/>
        <v>1</v>
      </c>
      <c r="F77" s="18">
        <f t="shared" si="18"/>
        <v>2.9627514288711687</v>
      </c>
      <c r="G77" s="18">
        <f t="shared" si="19"/>
        <v>29.298319685503817</v>
      </c>
      <c r="H77" s="17">
        <f t="shared" si="20"/>
        <v>2.25</v>
      </c>
      <c r="I77" s="17">
        <f t="shared" si="21"/>
        <v>22.25</v>
      </c>
      <c r="J77" s="17">
        <f t="shared" si="22"/>
        <v>-162</v>
      </c>
      <c r="K77" s="17">
        <f t="shared" si="23"/>
        <v>18</v>
      </c>
      <c r="L77" s="17">
        <f t="shared" si="24"/>
        <v>180</v>
      </c>
      <c r="M77" s="17">
        <f t="shared" si="25"/>
        <v>160</v>
      </c>
      <c r="N77" s="17">
        <f t="shared" si="26"/>
        <v>18</v>
      </c>
      <c r="O77" s="17">
        <f t="shared" si="27"/>
        <v>178</v>
      </c>
      <c r="Q77" s="18">
        <f t="shared" si="9"/>
        <v>-235.96278557102391</v>
      </c>
      <c r="R77" s="18">
        <f t="shared" si="10"/>
        <v>96.590231575430153</v>
      </c>
      <c r="S77" s="18">
        <f t="shared" si="11"/>
        <v>277.03721442897609</v>
      </c>
      <c r="T77" s="18">
        <f t="shared" si="12"/>
        <v>309.59023157543015</v>
      </c>
      <c r="U77" s="18">
        <f t="shared" si="13"/>
        <v>34.037214428976078</v>
      </c>
      <c r="V77" s="18">
        <f t="shared" si="14"/>
        <v>336.59023157543015</v>
      </c>
      <c r="W77" s="18">
        <f t="shared" si="28"/>
        <v>1</v>
      </c>
    </row>
    <row r="78" spans="2:23" x14ac:dyDescent="0.25">
      <c r="B78" s="44"/>
      <c r="C78" s="3">
        <v>4</v>
      </c>
      <c r="D78" s="18">
        <f t="shared" si="29"/>
        <v>1.5</v>
      </c>
      <c r="F78" s="18">
        <f t="shared" si="18"/>
        <v>16.788924763603308</v>
      </c>
      <c r="G78" s="18">
        <f t="shared" si="19"/>
        <v>26.006373653424735</v>
      </c>
      <c r="H78" s="17">
        <f t="shared" si="20"/>
        <v>12.75</v>
      </c>
      <c r="I78" s="17">
        <f t="shared" si="21"/>
        <v>19.75</v>
      </c>
      <c r="J78" s="17">
        <f t="shared" si="22"/>
        <v>-153</v>
      </c>
      <c r="K78" s="17">
        <f t="shared" si="23"/>
        <v>18</v>
      </c>
      <c r="L78" s="17">
        <f t="shared" si="24"/>
        <v>255</v>
      </c>
      <c r="M78" s="17">
        <f t="shared" si="25"/>
        <v>140</v>
      </c>
      <c r="N78" s="17">
        <f t="shared" si="26"/>
        <v>102</v>
      </c>
      <c r="O78" s="17">
        <f t="shared" si="27"/>
        <v>158</v>
      </c>
      <c r="Q78" s="18">
        <f t="shared" si="9"/>
        <v>-189.62245156913554</v>
      </c>
      <c r="R78" s="18">
        <f t="shared" si="10"/>
        <v>88.771104432123394</v>
      </c>
      <c r="S78" s="18">
        <f t="shared" si="11"/>
        <v>422.37754843086446</v>
      </c>
      <c r="T78" s="18">
        <f t="shared" si="12"/>
        <v>271.77110443212337</v>
      </c>
      <c r="U78" s="18">
        <f t="shared" si="13"/>
        <v>192.87754843086446</v>
      </c>
      <c r="V78" s="18">
        <f t="shared" si="14"/>
        <v>298.77110443212337</v>
      </c>
      <c r="W78" s="18">
        <f t="shared" si="28"/>
        <v>1.5</v>
      </c>
    </row>
    <row r="79" spans="2:23" x14ac:dyDescent="0.25">
      <c r="B79" s="44"/>
      <c r="C79" s="3">
        <v>5</v>
      </c>
      <c r="D79" s="18">
        <f t="shared" si="29"/>
        <v>2</v>
      </c>
      <c r="F79" s="18">
        <f t="shared" si="18"/>
        <v>28.969125082295907</v>
      </c>
      <c r="G79" s="18">
        <f t="shared" si="19"/>
        <v>22.714427621345656</v>
      </c>
      <c r="H79" s="17">
        <f t="shared" si="20"/>
        <v>22</v>
      </c>
      <c r="I79" s="17">
        <f t="shared" si="21"/>
        <v>17.25</v>
      </c>
      <c r="J79" s="17">
        <f t="shared" si="22"/>
        <v>-144</v>
      </c>
      <c r="K79" s="17">
        <f t="shared" si="23"/>
        <v>18</v>
      </c>
      <c r="L79" s="17">
        <f t="shared" si="24"/>
        <v>320</v>
      </c>
      <c r="M79" s="17">
        <f t="shared" si="25"/>
        <v>120</v>
      </c>
      <c r="N79" s="17">
        <f t="shared" si="26"/>
        <v>176</v>
      </c>
      <c r="O79" s="17">
        <f t="shared" si="27"/>
        <v>138</v>
      </c>
      <c r="Q79" s="18">
        <f t="shared" si="9"/>
        <v>-147.19168113890052</v>
      </c>
      <c r="R79" s="18">
        <f t="shared" si="10"/>
        <v>80.951977288816636</v>
      </c>
      <c r="S79" s="18">
        <f t="shared" si="11"/>
        <v>548.80831886109945</v>
      </c>
      <c r="T79" s="18">
        <f t="shared" si="12"/>
        <v>233.95197728881664</v>
      </c>
      <c r="U79" s="18">
        <f t="shared" si="13"/>
        <v>332.80831886109945</v>
      </c>
      <c r="V79" s="18">
        <f t="shared" si="14"/>
        <v>260.95197728881664</v>
      </c>
      <c r="W79" s="18">
        <f t="shared" si="28"/>
        <v>2</v>
      </c>
    </row>
    <row r="80" spans="2:23" x14ac:dyDescent="0.25">
      <c r="B80" s="44"/>
      <c r="C80" s="3">
        <v>6</v>
      </c>
      <c r="D80" s="18">
        <f t="shared" si="29"/>
        <v>2.5</v>
      </c>
      <c r="F80" s="18">
        <f t="shared" si="18"/>
        <v>39.503352384948968</v>
      </c>
      <c r="G80" s="18">
        <f t="shared" si="19"/>
        <v>19.422481589266575</v>
      </c>
      <c r="H80" s="17">
        <f t="shared" si="20"/>
        <v>30</v>
      </c>
      <c r="I80" s="17">
        <f t="shared" si="21"/>
        <v>14.75</v>
      </c>
      <c r="J80" s="17">
        <f t="shared" si="22"/>
        <v>-135</v>
      </c>
      <c r="K80" s="17">
        <f t="shared" si="23"/>
        <v>18</v>
      </c>
      <c r="L80" s="17">
        <f t="shared" si="24"/>
        <v>375</v>
      </c>
      <c r="M80" s="17">
        <f t="shared" si="25"/>
        <v>100</v>
      </c>
      <c r="N80" s="17">
        <f t="shared" si="26"/>
        <v>240</v>
      </c>
      <c r="O80" s="17">
        <f t="shared" si="27"/>
        <v>118</v>
      </c>
      <c r="Q80" s="18">
        <f t="shared" si="9"/>
        <v>-108.67047428031889</v>
      </c>
      <c r="R80" s="18">
        <f t="shared" si="10"/>
        <v>73.132850145509877</v>
      </c>
      <c r="S80" s="18">
        <f t="shared" si="11"/>
        <v>656.3295257196811</v>
      </c>
      <c r="T80" s="18">
        <f t="shared" si="12"/>
        <v>196.13285014550988</v>
      </c>
      <c r="U80" s="18">
        <f t="shared" si="13"/>
        <v>453.8295257196811</v>
      </c>
      <c r="V80" s="18">
        <f t="shared" si="14"/>
        <v>223.13285014550988</v>
      </c>
      <c r="W80" s="18">
        <f t="shared" si="28"/>
        <v>2.5</v>
      </c>
    </row>
    <row r="81" spans="2:23" x14ac:dyDescent="0.25">
      <c r="B81" s="44"/>
      <c r="C81" s="3">
        <v>7</v>
      </c>
      <c r="D81" s="18">
        <f t="shared" si="29"/>
        <v>3</v>
      </c>
      <c r="F81" s="18">
        <f t="shared" si="18"/>
        <v>48.391606671562485</v>
      </c>
      <c r="G81" s="18">
        <f t="shared" si="19"/>
        <v>16.130535557187496</v>
      </c>
      <c r="H81" s="17">
        <f t="shared" si="20"/>
        <v>36.75</v>
      </c>
      <c r="I81" s="17">
        <f t="shared" si="21"/>
        <v>12.25</v>
      </c>
      <c r="J81" s="17">
        <f t="shared" si="22"/>
        <v>-126</v>
      </c>
      <c r="K81" s="17">
        <f t="shared" si="23"/>
        <v>18</v>
      </c>
      <c r="L81" s="17">
        <f t="shared" si="24"/>
        <v>420</v>
      </c>
      <c r="M81" s="17">
        <f t="shared" si="25"/>
        <v>80</v>
      </c>
      <c r="N81" s="17">
        <f t="shared" si="26"/>
        <v>294</v>
      </c>
      <c r="O81" s="17">
        <f t="shared" si="27"/>
        <v>98</v>
      </c>
      <c r="Q81" s="18">
        <f t="shared" si="9"/>
        <v>-74.058830993390643</v>
      </c>
      <c r="R81" s="18">
        <f t="shared" si="10"/>
        <v>65.313723002203119</v>
      </c>
      <c r="S81" s="18">
        <f t="shared" si="11"/>
        <v>744.94116900660936</v>
      </c>
      <c r="T81" s="18">
        <f t="shared" si="12"/>
        <v>158.31372300220312</v>
      </c>
      <c r="U81" s="18">
        <f t="shared" si="13"/>
        <v>555.94116900660936</v>
      </c>
      <c r="V81" s="18">
        <f t="shared" si="14"/>
        <v>185.31372300220312</v>
      </c>
      <c r="W81" s="18">
        <f t="shared" si="28"/>
        <v>3</v>
      </c>
    </row>
    <row r="82" spans="2:23" x14ac:dyDescent="0.25">
      <c r="B82" s="44"/>
      <c r="C82" s="3">
        <v>8</v>
      </c>
      <c r="D82" s="18">
        <f t="shared" si="29"/>
        <v>3.5</v>
      </c>
      <c r="F82" s="18">
        <f t="shared" si="18"/>
        <v>55.633887942136468</v>
      </c>
      <c r="G82" s="18">
        <f t="shared" si="19"/>
        <v>12.838589525108414</v>
      </c>
      <c r="H82" s="17">
        <f t="shared" si="20"/>
        <v>42.25</v>
      </c>
      <c r="I82" s="17">
        <f t="shared" si="21"/>
        <v>9.75</v>
      </c>
      <c r="J82" s="17">
        <f t="shared" si="22"/>
        <v>-117</v>
      </c>
      <c r="K82" s="17">
        <f t="shared" si="23"/>
        <v>18</v>
      </c>
      <c r="L82" s="17">
        <f t="shared" si="24"/>
        <v>455</v>
      </c>
      <c r="M82" s="17">
        <f t="shared" si="25"/>
        <v>60</v>
      </c>
      <c r="N82" s="17">
        <f t="shared" si="26"/>
        <v>338</v>
      </c>
      <c r="O82" s="17">
        <f t="shared" si="27"/>
        <v>78</v>
      </c>
      <c r="Q82" s="18">
        <f t="shared" si="9"/>
        <v>-43.356751278115752</v>
      </c>
      <c r="R82" s="18">
        <f t="shared" si="10"/>
        <v>57.494595858896361</v>
      </c>
      <c r="S82" s="18">
        <f t="shared" si="11"/>
        <v>814.64324872188422</v>
      </c>
      <c r="T82" s="18">
        <f t="shared" si="12"/>
        <v>120.49459585889636</v>
      </c>
      <c r="U82" s="18">
        <f t="shared" si="13"/>
        <v>639.14324872188422</v>
      </c>
      <c r="V82" s="18">
        <f t="shared" si="14"/>
        <v>147.49459585889636</v>
      </c>
      <c r="W82" s="18">
        <f t="shared" si="28"/>
        <v>3.5</v>
      </c>
    </row>
    <row r="83" spans="2:23" x14ac:dyDescent="0.25">
      <c r="B83" s="44"/>
      <c r="C83" s="3">
        <v>9</v>
      </c>
      <c r="D83" s="18">
        <f t="shared" si="29"/>
        <v>4</v>
      </c>
      <c r="F83" s="18">
        <f t="shared" si="18"/>
        <v>61.230196196670903</v>
      </c>
      <c r="G83" s="18">
        <f t="shared" si="19"/>
        <v>9.5466434930293342</v>
      </c>
      <c r="H83" s="17">
        <f t="shared" si="20"/>
        <v>46.5</v>
      </c>
      <c r="I83" s="17">
        <f t="shared" si="21"/>
        <v>7.25</v>
      </c>
      <c r="J83" s="17">
        <f t="shared" si="22"/>
        <v>-108</v>
      </c>
      <c r="K83" s="17">
        <f t="shared" si="23"/>
        <v>18</v>
      </c>
      <c r="L83" s="17">
        <f t="shared" si="24"/>
        <v>480</v>
      </c>
      <c r="M83" s="17">
        <f t="shared" si="25"/>
        <v>40</v>
      </c>
      <c r="N83" s="17">
        <f t="shared" si="26"/>
        <v>372</v>
      </c>
      <c r="O83" s="17">
        <f t="shared" si="27"/>
        <v>58</v>
      </c>
      <c r="Q83" s="18">
        <f t="shared" si="9"/>
        <v>-16.564235134494282</v>
      </c>
      <c r="R83" s="18">
        <f t="shared" si="10"/>
        <v>49.675468715589602</v>
      </c>
      <c r="S83" s="18">
        <f t="shared" si="11"/>
        <v>865.43576486550569</v>
      </c>
      <c r="T83" s="18">
        <f t="shared" si="12"/>
        <v>82.675468715589602</v>
      </c>
      <c r="U83" s="18">
        <f t="shared" si="13"/>
        <v>703.43576486550569</v>
      </c>
      <c r="V83" s="18">
        <f t="shared" si="14"/>
        <v>109.6754687155896</v>
      </c>
      <c r="W83" s="18">
        <f t="shared" si="28"/>
        <v>4</v>
      </c>
    </row>
    <row r="84" spans="2:23" x14ac:dyDescent="0.25">
      <c r="B84" s="44"/>
      <c r="C84" s="3">
        <v>10</v>
      </c>
      <c r="D84" s="18">
        <f t="shared" si="29"/>
        <v>4.5</v>
      </c>
      <c r="F84" s="18">
        <f t="shared" si="18"/>
        <v>65.18053143516579</v>
      </c>
      <c r="G84" s="18">
        <f t="shared" si="19"/>
        <v>6.2546974609502533</v>
      </c>
      <c r="H84" s="17">
        <f t="shared" si="20"/>
        <v>49.5</v>
      </c>
      <c r="I84" s="17">
        <f t="shared" si="21"/>
        <v>4.75</v>
      </c>
      <c r="J84" s="17">
        <f t="shared" si="22"/>
        <v>-99</v>
      </c>
      <c r="K84" s="17">
        <f t="shared" si="23"/>
        <v>18</v>
      </c>
      <c r="L84" s="17">
        <f t="shared" si="24"/>
        <v>495</v>
      </c>
      <c r="M84" s="17">
        <f t="shared" si="25"/>
        <v>20</v>
      </c>
      <c r="N84" s="17">
        <f t="shared" si="26"/>
        <v>396</v>
      </c>
      <c r="O84" s="17">
        <f t="shared" si="27"/>
        <v>38</v>
      </c>
      <c r="Q84" s="18">
        <f t="shared" si="9"/>
        <v>6.318717437473822</v>
      </c>
      <c r="R84" s="18">
        <f t="shared" si="10"/>
        <v>41.856341572282844</v>
      </c>
      <c r="S84" s="18">
        <f t="shared" si="11"/>
        <v>897.31871743747388</v>
      </c>
      <c r="T84" s="18">
        <f t="shared" si="12"/>
        <v>44.856341572282844</v>
      </c>
      <c r="U84" s="18">
        <f t="shared" si="13"/>
        <v>748.81871743747388</v>
      </c>
      <c r="V84" s="18">
        <f t="shared" si="14"/>
        <v>71.856341572282844</v>
      </c>
      <c r="W84" s="18">
        <f t="shared" si="28"/>
        <v>4.5</v>
      </c>
    </row>
    <row r="85" spans="2:23" x14ac:dyDescent="0.25">
      <c r="B85" s="44"/>
      <c r="C85" s="3">
        <v>11</v>
      </c>
      <c r="D85" s="18">
        <f t="shared" si="29"/>
        <v>5</v>
      </c>
      <c r="F85" s="18">
        <f t="shared" si="18"/>
        <v>67.484893657621157</v>
      </c>
      <c r="G85" s="18">
        <f t="shared" si="19"/>
        <v>2.9627514288711727</v>
      </c>
      <c r="H85" s="17">
        <f t="shared" si="20"/>
        <v>51.25</v>
      </c>
      <c r="I85" s="17">
        <f t="shared" si="21"/>
        <v>2.25</v>
      </c>
      <c r="J85" s="17">
        <f t="shared" si="22"/>
        <v>-90</v>
      </c>
      <c r="K85" s="17">
        <f t="shared" si="23"/>
        <v>18</v>
      </c>
      <c r="L85" s="17">
        <f t="shared" si="24"/>
        <v>500</v>
      </c>
      <c r="M85" s="17">
        <f t="shared" si="25"/>
        <v>0</v>
      </c>
      <c r="N85" s="17">
        <f t="shared" si="26"/>
        <v>410</v>
      </c>
      <c r="O85" s="17">
        <f t="shared" si="27"/>
        <v>18</v>
      </c>
      <c r="Q85" s="18">
        <f t="shared" si="9"/>
        <v>25.292106437788561</v>
      </c>
      <c r="R85" s="18">
        <f t="shared" si="10"/>
        <v>34.037214428976085</v>
      </c>
      <c r="S85" s="18">
        <f t="shared" si="11"/>
        <v>910.29210643778856</v>
      </c>
      <c r="T85" s="18">
        <f t="shared" si="12"/>
        <v>7.0372144289760827</v>
      </c>
      <c r="U85" s="18">
        <f t="shared" si="13"/>
        <v>775.29210643778856</v>
      </c>
      <c r="V85" s="18">
        <f t="shared" si="14"/>
        <v>34.037214428976085</v>
      </c>
      <c r="W85" s="18">
        <f t="shared" si="28"/>
        <v>5</v>
      </c>
    </row>
    <row r="86" spans="2:23" x14ac:dyDescent="0.25">
      <c r="B86" s="44"/>
      <c r="C86" s="3">
        <v>12</v>
      </c>
      <c r="D86" s="18">
        <f t="shared" si="29"/>
        <v>5.5</v>
      </c>
      <c r="F86" s="18">
        <f t="shared" si="18"/>
        <v>68.143282864036962</v>
      </c>
      <c r="G86" s="18">
        <f t="shared" si="19"/>
        <v>-0.32919460320790783</v>
      </c>
      <c r="H86" s="17">
        <f t="shared" si="20"/>
        <v>51.75</v>
      </c>
      <c r="I86" s="17">
        <f t="shared" si="21"/>
        <v>-0.25</v>
      </c>
      <c r="J86" s="17">
        <f t="shared" si="22"/>
        <v>-81</v>
      </c>
      <c r="K86" s="17">
        <f t="shared" si="23"/>
        <v>18</v>
      </c>
      <c r="L86" s="17">
        <f t="shared" si="24"/>
        <v>495</v>
      </c>
      <c r="M86" s="17">
        <f t="shared" si="25"/>
        <v>-20</v>
      </c>
      <c r="N86" s="17">
        <f t="shared" si="26"/>
        <v>414</v>
      </c>
      <c r="O86" s="17">
        <f t="shared" si="27"/>
        <v>-2</v>
      </c>
      <c r="Q86" s="18">
        <f t="shared" si="9"/>
        <v>40.355931866449907</v>
      </c>
      <c r="R86" s="18">
        <f t="shared" si="10"/>
        <v>26.218087285669323</v>
      </c>
      <c r="S86" s="18">
        <f t="shared" si="11"/>
        <v>904.35593186644996</v>
      </c>
      <c r="T86" s="18">
        <f t="shared" si="12"/>
        <v>-30.781912714330677</v>
      </c>
      <c r="U86" s="18">
        <f t="shared" si="13"/>
        <v>782.85593186644996</v>
      </c>
      <c r="V86" s="18">
        <f t="shared" si="14"/>
        <v>-3.7819127143306757</v>
      </c>
      <c r="W86" s="18">
        <f t="shared" si="28"/>
        <v>5.5</v>
      </c>
    </row>
    <row r="87" spans="2:23" x14ac:dyDescent="0.25">
      <c r="B87" s="44"/>
      <c r="C87" s="3">
        <v>13</v>
      </c>
      <c r="D87" s="18">
        <f t="shared" si="29"/>
        <v>6</v>
      </c>
      <c r="F87" s="18">
        <f t="shared" si="18"/>
        <v>67.155699054413247</v>
      </c>
      <c r="G87" s="18">
        <f t="shared" si="19"/>
        <v>-3.6211406352869884</v>
      </c>
      <c r="H87" s="17">
        <f t="shared" si="20"/>
        <v>51</v>
      </c>
      <c r="I87" s="17">
        <f t="shared" si="21"/>
        <v>-2.75</v>
      </c>
      <c r="J87" s="17">
        <f t="shared" si="22"/>
        <v>-72</v>
      </c>
      <c r="K87" s="17">
        <f t="shared" si="23"/>
        <v>18</v>
      </c>
      <c r="L87" s="17">
        <f t="shared" si="24"/>
        <v>480</v>
      </c>
      <c r="M87" s="17">
        <f t="shared" si="25"/>
        <v>-40</v>
      </c>
      <c r="N87" s="17">
        <f t="shared" si="26"/>
        <v>408</v>
      </c>
      <c r="O87" s="17">
        <f t="shared" si="27"/>
        <v>-22</v>
      </c>
      <c r="Q87" s="18">
        <f t="shared" si="9"/>
        <v>51.510193723457888</v>
      </c>
      <c r="R87" s="18">
        <f t="shared" si="10"/>
        <v>18.398960142362565</v>
      </c>
      <c r="S87" s="18">
        <f t="shared" si="11"/>
        <v>879.51019372345786</v>
      </c>
      <c r="T87" s="18">
        <f t="shared" si="12"/>
        <v>-68.601039857637431</v>
      </c>
      <c r="U87" s="18">
        <f t="shared" si="13"/>
        <v>771.51019372345786</v>
      </c>
      <c r="V87" s="18">
        <f t="shared" si="14"/>
        <v>-41.601039857637431</v>
      </c>
      <c r="W87" s="18">
        <f t="shared" si="28"/>
        <v>6</v>
      </c>
    </row>
    <row r="88" spans="2:23" x14ac:dyDescent="0.25">
      <c r="B88" s="44"/>
      <c r="C88" s="3">
        <v>14</v>
      </c>
      <c r="D88" s="18">
        <f t="shared" si="29"/>
        <v>6.5</v>
      </c>
      <c r="F88" s="18">
        <f t="shared" si="18"/>
        <v>64.522142228749985</v>
      </c>
      <c r="G88" s="18">
        <f t="shared" si="19"/>
        <v>-6.9130866673660698</v>
      </c>
      <c r="H88" s="17">
        <f t="shared" si="20"/>
        <v>49</v>
      </c>
      <c r="I88" s="17">
        <f t="shared" si="21"/>
        <v>-5.25</v>
      </c>
      <c r="J88" s="17">
        <f t="shared" si="22"/>
        <v>-63</v>
      </c>
      <c r="K88" s="17">
        <f t="shared" si="23"/>
        <v>18</v>
      </c>
      <c r="L88" s="17">
        <f t="shared" si="24"/>
        <v>455</v>
      </c>
      <c r="M88" s="17">
        <f t="shared" si="25"/>
        <v>-60</v>
      </c>
      <c r="N88" s="17">
        <f t="shared" si="26"/>
        <v>392</v>
      </c>
      <c r="O88" s="17">
        <f t="shared" si="27"/>
        <v>-42</v>
      </c>
      <c r="Q88" s="18">
        <f t="shared" si="9"/>
        <v>58.754892008812476</v>
      </c>
      <c r="R88" s="18">
        <f t="shared" si="10"/>
        <v>10.579832999055803</v>
      </c>
      <c r="S88" s="18">
        <f t="shared" si="11"/>
        <v>835.75489200881248</v>
      </c>
      <c r="T88" s="18">
        <f t="shared" si="12"/>
        <v>-106.42016700094419</v>
      </c>
      <c r="U88" s="18">
        <f t="shared" si="13"/>
        <v>741.25489200881248</v>
      </c>
      <c r="V88" s="18">
        <f t="shared" si="14"/>
        <v>-79.42016700094419</v>
      </c>
      <c r="W88" s="18">
        <f t="shared" si="28"/>
        <v>6.5</v>
      </c>
    </row>
    <row r="89" spans="2:23" x14ac:dyDescent="0.25">
      <c r="B89" s="44"/>
      <c r="C89" s="3">
        <v>15</v>
      </c>
      <c r="D89" s="18">
        <f t="shared" si="29"/>
        <v>7</v>
      </c>
      <c r="F89" s="18">
        <f t="shared" si="18"/>
        <v>60.242612387047174</v>
      </c>
      <c r="G89" s="18">
        <f t="shared" si="19"/>
        <v>-10.20503269944515</v>
      </c>
      <c r="H89" s="17">
        <f t="shared" si="20"/>
        <v>45.75</v>
      </c>
      <c r="I89" s="17">
        <f t="shared" si="21"/>
        <v>-7.75</v>
      </c>
      <c r="J89" s="17">
        <f t="shared" si="22"/>
        <v>-54</v>
      </c>
      <c r="K89" s="17">
        <f t="shared" si="23"/>
        <v>18</v>
      </c>
      <c r="L89" s="17">
        <f t="shared" si="24"/>
        <v>420</v>
      </c>
      <c r="M89" s="17">
        <f t="shared" si="25"/>
        <v>-80</v>
      </c>
      <c r="N89" s="17">
        <f t="shared" si="26"/>
        <v>366</v>
      </c>
      <c r="O89" s="17">
        <f t="shared" si="27"/>
        <v>-62</v>
      </c>
      <c r="Q89" s="18">
        <f t="shared" si="9"/>
        <v>62.090026722513699</v>
      </c>
      <c r="R89" s="18">
        <f t="shared" si="10"/>
        <v>2.7607058557490483</v>
      </c>
      <c r="S89" s="18">
        <f t="shared" si="11"/>
        <v>773.0900267225137</v>
      </c>
      <c r="T89" s="18">
        <f t="shared" si="12"/>
        <v>-144.23929414425095</v>
      </c>
      <c r="U89" s="18">
        <f t="shared" si="13"/>
        <v>692.0900267225137</v>
      </c>
      <c r="V89" s="18">
        <f t="shared" si="14"/>
        <v>-117.23929414425095</v>
      </c>
      <c r="W89" s="18">
        <f t="shared" si="28"/>
        <v>7</v>
      </c>
    </row>
    <row r="90" spans="2:23" x14ac:dyDescent="0.25">
      <c r="B90" s="44"/>
      <c r="C90" s="3">
        <v>16</v>
      </c>
      <c r="D90" s="18">
        <f t="shared" si="29"/>
        <v>7.5</v>
      </c>
      <c r="F90" s="18">
        <f t="shared" si="18"/>
        <v>54.31710952930483</v>
      </c>
      <c r="G90" s="18">
        <f t="shared" si="19"/>
        <v>-13.49697873152423</v>
      </c>
      <c r="H90" s="17">
        <f t="shared" si="20"/>
        <v>41.25</v>
      </c>
      <c r="I90" s="17">
        <f t="shared" si="21"/>
        <v>-10.25</v>
      </c>
      <c r="J90" s="17">
        <f t="shared" si="22"/>
        <v>-45</v>
      </c>
      <c r="K90" s="17">
        <f t="shared" si="23"/>
        <v>18</v>
      </c>
      <c r="L90" s="17">
        <f t="shared" si="24"/>
        <v>375</v>
      </c>
      <c r="M90" s="17">
        <f t="shared" si="25"/>
        <v>-100</v>
      </c>
      <c r="N90" s="17">
        <f t="shared" si="26"/>
        <v>330</v>
      </c>
      <c r="O90" s="17">
        <f t="shared" si="27"/>
        <v>-82</v>
      </c>
      <c r="Q90" s="18">
        <f t="shared" si="9"/>
        <v>61.515597864561528</v>
      </c>
      <c r="R90" s="18">
        <f t="shared" si="10"/>
        <v>-5.0584212875577137</v>
      </c>
      <c r="S90" s="18">
        <f t="shared" si="11"/>
        <v>691.51559786456153</v>
      </c>
      <c r="T90" s="18">
        <f t="shared" si="12"/>
        <v>-182.05842128755771</v>
      </c>
      <c r="U90" s="18">
        <f t="shared" si="13"/>
        <v>624.01559786456153</v>
      </c>
      <c r="V90" s="18">
        <f t="shared" si="14"/>
        <v>-155.05842128755771</v>
      </c>
      <c r="W90" s="18">
        <f t="shared" si="28"/>
        <v>7.5</v>
      </c>
    </row>
    <row r="91" spans="2:23" x14ac:dyDescent="0.25">
      <c r="B91" s="44"/>
      <c r="C91" s="3">
        <v>17</v>
      </c>
      <c r="D91" s="18">
        <f t="shared" si="29"/>
        <v>8</v>
      </c>
      <c r="F91" s="18">
        <f t="shared" si="18"/>
        <v>46.745633655522944</v>
      </c>
      <c r="G91" s="18">
        <f t="shared" si="19"/>
        <v>-16.788924763603312</v>
      </c>
      <c r="H91" s="17">
        <f t="shared" si="20"/>
        <v>35.5</v>
      </c>
      <c r="I91" s="17">
        <f t="shared" si="21"/>
        <v>-12.75</v>
      </c>
      <c r="J91" s="17">
        <f t="shared" si="22"/>
        <v>-36</v>
      </c>
      <c r="K91" s="17">
        <f t="shared" si="23"/>
        <v>18</v>
      </c>
      <c r="L91" s="17">
        <f t="shared" si="24"/>
        <v>320</v>
      </c>
      <c r="M91" s="17">
        <f t="shared" si="25"/>
        <v>-120</v>
      </c>
      <c r="N91" s="17">
        <f t="shared" si="26"/>
        <v>284</v>
      </c>
      <c r="O91" s="17">
        <f t="shared" si="27"/>
        <v>-102</v>
      </c>
      <c r="Q91" s="18">
        <f t="shared" si="9"/>
        <v>57.031605434955978</v>
      </c>
      <c r="R91" s="18">
        <f t="shared" si="10"/>
        <v>-12.877548430864472</v>
      </c>
      <c r="S91" s="18">
        <f t="shared" si="11"/>
        <v>591.03160543495596</v>
      </c>
      <c r="T91" s="18">
        <f t="shared" si="12"/>
        <v>-219.87754843086446</v>
      </c>
      <c r="U91" s="18">
        <f t="shared" si="13"/>
        <v>537.03160543495596</v>
      </c>
      <c r="V91" s="18">
        <f t="shared" si="14"/>
        <v>-192.87754843086446</v>
      </c>
      <c r="W91" s="18">
        <f t="shared" si="28"/>
        <v>8</v>
      </c>
    </row>
    <row r="92" spans="2:23" x14ac:dyDescent="0.25">
      <c r="B92" s="44"/>
      <c r="C92" s="3">
        <v>18</v>
      </c>
      <c r="D92" s="18">
        <f t="shared" si="29"/>
        <v>8.5</v>
      </c>
      <c r="F92" s="18">
        <f t="shared" si="18"/>
        <v>37.528184765701518</v>
      </c>
      <c r="G92" s="18">
        <f t="shared" si="19"/>
        <v>-20.08087079568239</v>
      </c>
      <c r="H92" s="17">
        <f t="shared" si="20"/>
        <v>28.5</v>
      </c>
      <c r="I92" s="17">
        <f t="shared" si="21"/>
        <v>-15.25</v>
      </c>
      <c r="J92" s="17">
        <f t="shared" si="22"/>
        <v>-27</v>
      </c>
      <c r="K92" s="17">
        <f t="shared" si="23"/>
        <v>18</v>
      </c>
      <c r="L92" s="17">
        <f t="shared" si="24"/>
        <v>255</v>
      </c>
      <c r="M92" s="17">
        <f t="shared" si="25"/>
        <v>-140</v>
      </c>
      <c r="N92" s="17">
        <f t="shared" si="26"/>
        <v>228</v>
      </c>
      <c r="O92" s="17">
        <f t="shared" si="27"/>
        <v>-122</v>
      </c>
      <c r="Q92" s="18">
        <f t="shared" si="9"/>
        <v>48.638049433697063</v>
      </c>
      <c r="R92" s="18">
        <f t="shared" si="10"/>
        <v>-20.696675574171223</v>
      </c>
      <c r="S92" s="18">
        <f t="shared" si="11"/>
        <v>471.63804943369706</v>
      </c>
      <c r="T92" s="18">
        <f t="shared" si="12"/>
        <v>-257.69667557417119</v>
      </c>
      <c r="U92" s="18">
        <f t="shared" si="13"/>
        <v>431.13804943369706</v>
      </c>
      <c r="V92" s="18">
        <f t="shared" si="14"/>
        <v>-230.69667557417122</v>
      </c>
      <c r="W92" s="18">
        <f t="shared" si="28"/>
        <v>8.5</v>
      </c>
    </row>
    <row r="93" spans="2:23" x14ac:dyDescent="0.25">
      <c r="B93" s="44"/>
      <c r="C93" s="3">
        <v>19</v>
      </c>
      <c r="D93" s="18">
        <f t="shared" si="29"/>
        <v>9</v>
      </c>
      <c r="F93" s="18">
        <f t="shared" si="18"/>
        <v>26.664762859840554</v>
      </c>
      <c r="G93" s="18">
        <f t="shared" si="19"/>
        <v>-23.372816827761472</v>
      </c>
      <c r="H93" s="17">
        <f t="shared" si="20"/>
        <v>20.25</v>
      </c>
      <c r="I93" s="17">
        <f t="shared" si="21"/>
        <v>-17.75</v>
      </c>
      <c r="J93" s="17">
        <f t="shared" si="22"/>
        <v>-18</v>
      </c>
      <c r="K93" s="17">
        <f t="shared" si="23"/>
        <v>18</v>
      </c>
      <c r="L93" s="17">
        <f t="shared" si="24"/>
        <v>180</v>
      </c>
      <c r="M93" s="17">
        <f t="shared" si="25"/>
        <v>-160</v>
      </c>
      <c r="N93" s="17">
        <f t="shared" si="26"/>
        <v>162</v>
      </c>
      <c r="O93" s="17">
        <f t="shared" si="27"/>
        <v>-142</v>
      </c>
      <c r="Q93" s="18">
        <f t="shared" si="9"/>
        <v>36.334929860784747</v>
      </c>
      <c r="R93" s="18">
        <f t="shared" si="10"/>
        <v>-28.515802717477989</v>
      </c>
      <c r="S93" s="18">
        <f t="shared" si="11"/>
        <v>333.33492986078477</v>
      </c>
      <c r="T93" s="18">
        <f t="shared" si="12"/>
        <v>-295.51580271747798</v>
      </c>
      <c r="U93" s="18">
        <f t="shared" si="13"/>
        <v>306.33492986078477</v>
      </c>
      <c r="V93" s="18">
        <f t="shared" si="14"/>
        <v>-268.51580271747798</v>
      </c>
      <c r="W93" s="18">
        <f t="shared" si="28"/>
        <v>9</v>
      </c>
    </row>
    <row r="94" spans="2:23" x14ac:dyDescent="0.25">
      <c r="B94" s="44"/>
      <c r="C94" s="3">
        <v>20</v>
      </c>
      <c r="D94" s="18">
        <f t="shared" si="29"/>
        <v>9.5</v>
      </c>
      <c r="F94" s="18">
        <f t="shared" si="18"/>
        <v>14.155367937940046</v>
      </c>
      <c r="G94" s="18">
        <f t="shared" si="19"/>
        <v>-26.664762859840554</v>
      </c>
      <c r="H94" s="17">
        <f t="shared" si="20"/>
        <v>10.75</v>
      </c>
      <c r="I94" s="17">
        <f t="shared" si="21"/>
        <v>-20.25</v>
      </c>
      <c r="J94" s="17">
        <f t="shared" si="22"/>
        <v>-9</v>
      </c>
      <c r="K94" s="17">
        <f t="shared" si="23"/>
        <v>18</v>
      </c>
      <c r="L94" s="17">
        <f t="shared" si="24"/>
        <v>95</v>
      </c>
      <c r="M94" s="17">
        <f t="shared" si="25"/>
        <v>-180</v>
      </c>
      <c r="N94" s="17">
        <f t="shared" si="26"/>
        <v>86</v>
      </c>
      <c r="O94" s="17">
        <f t="shared" si="27"/>
        <v>-162</v>
      </c>
      <c r="Q94" s="18">
        <f t="shared" si="9"/>
        <v>20.122246716219067</v>
      </c>
      <c r="R94" s="18">
        <f t="shared" si="10"/>
        <v>-36.334929860784747</v>
      </c>
      <c r="S94" s="18">
        <f t="shared" si="11"/>
        <v>176.12224671621908</v>
      </c>
      <c r="T94" s="18">
        <f t="shared" si="12"/>
        <v>-333.33492986078477</v>
      </c>
      <c r="U94" s="18">
        <f t="shared" si="13"/>
        <v>162.62224671621908</v>
      </c>
      <c r="V94" s="18">
        <f t="shared" si="14"/>
        <v>-306.33492986078477</v>
      </c>
      <c r="W94" s="18">
        <f t="shared" si="28"/>
        <v>9.5</v>
      </c>
    </row>
    <row r="95" spans="2:23" x14ac:dyDescent="0.25">
      <c r="B95" s="45"/>
      <c r="C95" s="3">
        <v>21</v>
      </c>
      <c r="D95" s="18">
        <f t="shared" si="29"/>
        <v>10</v>
      </c>
      <c r="F95" s="18">
        <f t="shared" si="18"/>
        <v>0</v>
      </c>
      <c r="G95" s="18">
        <f t="shared" si="19"/>
        <v>-29.956708891919632</v>
      </c>
      <c r="H95" s="17">
        <f t="shared" si="20"/>
        <v>0</v>
      </c>
      <c r="I95" s="17">
        <f t="shared" si="21"/>
        <v>-22.75</v>
      </c>
      <c r="J95" s="17">
        <f t="shared" si="22"/>
        <v>0</v>
      </c>
      <c r="K95" s="17">
        <f t="shared" si="23"/>
        <v>18</v>
      </c>
      <c r="L95" s="17">
        <f t="shared" si="24"/>
        <v>0</v>
      </c>
      <c r="M95" s="17">
        <f t="shared" si="25"/>
        <v>-200</v>
      </c>
      <c r="N95" s="17">
        <f t="shared" si="26"/>
        <v>0</v>
      </c>
      <c r="O95" s="17">
        <f t="shared" si="27"/>
        <v>-182</v>
      </c>
      <c r="Q95" s="18">
        <f t="shared" si="9"/>
        <v>0</v>
      </c>
      <c r="R95" s="18">
        <f t="shared" si="10"/>
        <v>-44.154057004091513</v>
      </c>
      <c r="S95" s="18">
        <f t="shared" si="11"/>
        <v>0</v>
      </c>
      <c r="T95" s="18">
        <f t="shared" si="12"/>
        <v>-371.1540570040915</v>
      </c>
      <c r="U95" s="18">
        <f t="shared" si="13"/>
        <v>0</v>
      </c>
      <c r="V95" s="18">
        <f t="shared" si="14"/>
        <v>-344.1540570040915</v>
      </c>
      <c r="W95" s="18">
        <f t="shared" si="28"/>
        <v>10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76"/>
  <sheetViews>
    <sheetView tabSelected="1" topLeftCell="A34" workbookViewId="0">
      <selection activeCell="F61" sqref="F61"/>
    </sheetView>
  </sheetViews>
  <sheetFormatPr baseColWidth="10" defaultRowHeight="15" x14ac:dyDescent="0.25"/>
  <sheetData>
    <row r="4" spans="3:6" x14ac:dyDescent="0.25">
      <c r="C4" s="2" t="s">
        <v>140</v>
      </c>
      <c r="D4" s="4">
        <v>19</v>
      </c>
      <c r="E4" t="s">
        <v>2</v>
      </c>
    </row>
    <row r="5" spans="3:6" x14ac:dyDescent="0.25">
      <c r="C5" s="2" t="s">
        <v>141</v>
      </c>
      <c r="D5" s="4">
        <v>100</v>
      </c>
      <c r="E5" t="s">
        <v>2</v>
      </c>
    </row>
    <row r="6" spans="3:6" x14ac:dyDescent="0.25">
      <c r="C6" s="2" t="s">
        <v>142</v>
      </c>
      <c r="D6" s="4">
        <v>450</v>
      </c>
      <c r="E6" t="s">
        <v>17</v>
      </c>
    </row>
    <row r="9" spans="3:6" x14ac:dyDescent="0.25">
      <c r="C9" s="15" t="s">
        <v>143</v>
      </c>
    </row>
    <row r="10" spans="3:6" x14ac:dyDescent="0.25">
      <c r="C10" s="15" t="s">
        <v>144</v>
      </c>
      <c r="D10" s="11">
        <f>0.8*Fusc*PI()*dsc^2/4000/GammaV</f>
        <v>81.656276252105897</v>
      </c>
      <c r="E10" t="s">
        <v>48</v>
      </c>
    </row>
    <row r="11" spans="3:6" x14ac:dyDescent="0.25">
      <c r="C11" s="15" t="s">
        <v>145</v>
      </c>
      <c r="D11" s="10">
        <f>0.29*dsc^2*SQRT(Fck*Ecm*1000)/GammaV/1000</f>
        <v>91.466238161992251</v>
      </c>
      <c r="E11" t="s">
        <v>48</v>
      </c>
    </row>
    <row r="12" spans="3:6" x14ac:dyDescent="0.25">
      <c r="C12" s="15" t="s">
        <v>149</v>
      </c>
      <c r="D12" s="10">
        <f>MIN(PRda,PRdc)</f>
        <v>81.656276252105897</v>
      </c>
      <c r="E12" t="s">
        <v>48</v>
      </c>
    </row>
    <row r="14" spans="3:6" x14ac:dyDescent="0.25">
      <c r="C14" s="15" t="s">
        <v>150</v>
      </c>
    </row>
    <row r="15" spans="3:6" x14ac:dyDescent="0.25">
      <c r="C15" s="58" t="s">
        <v>151</v>
      </c>
      <c r="D15" s="6" t="s">
        <v>152</v>
      </c>
      <c r="E15" s="6" t="s">
        <v>153</v>
      </c>
      <c r="F15" s="6" t="s">
        <v>152</v>
      </c>
    </row>
    <row r="16" spans="3:6" x14ac:dyDescent="0.25">
      <c r="C16" s="16">
        <v>1</v>
      </c>
      <c r="D16" s="23">
        <f>0.7/SQRT(C16)*bm/hbac*(hsc/hbac-1)</f>
        <v>0.71227705112960749</v>
      </c>
      <c r="E16" s="59">
        <v>0.75</v>
      </c>
      <c r="F16" s="23">
        <f>MIN(D16:E16)</f>
        <v>0.71227705112960749</v>
      </c>
    </row>
    <row r="17" spans="3:9" x14ac:dyDescent="0.25">
      <c r="C17" s="16">
        <v>2</v>
      </c>
      <c r="D17" s="23">
        <f>0.7/SQRT(C17)*bm/hbac*(hsc/hbac-1)</f>
        <v>0.5036559329373026</v>
      </c>
      <c r="E17" s="59">
        <v>0.6</v>
      </c>
      <c r="F17" s="23">
        <f>MIN(D17:E17)</f>
        <v>0.5036559329373026</v>
      </c>
    </row>
    <row r="20" spans="3:9" x14ac:dyDescent="0.25">
      <c r="C20" s="15" t="s">
        <v>154</v>
      </c>
    </row>
    <row r="21" spans="3:9" x14ac:dyDescent="0.25">
      <c r="C21" s="58" t="s">
        <v>151</v>
      </c>
      <c r="D21" s="6" t="s">
        <v>149</v>
      </c>
    </row>
    <row r="22" spans="3:9" x14ac:dyDescent="0.25">
      <c r="C22" s="16">
        <v>1</v>
      </c>
      <c r="D22" s="25">
        <f>F16*PRd_dp</f>
        <v>58.161891655074584</v>
      </c>
      <c r="E22" t="s">
        <v>48</v>
      </c>
    </row>
    <row r="23" spans="3:9" x14ac:dyDescent="0.25">
      <c r="C23" s="16">
        <v>2</v>
      </c>
      <c r="D23" s="25">
        <f>F17*PRd_dp</f>
        <v>41.126667995940501</v>
      </c>
      <c r="E23" t="s">
        <v>48</v>
      </c>
    </row>
    <row r="27" spans="3:9" x14ac:dyDescent="0.25">
      <c r="C27" t="s">
        <v>155</v>
      </c>
    </row>
    <row r="28" spans="3:9" x14ac:dyDescent="0.25">
      <c r="D28" s="17">
        <f>(La/ebac)*1000</f>
        <v>14.492753623188406</v>
      </c>
    </row>
    <row r="29" spans="3:9" x14ac:dyDescent="0.25">
      <c r="D29" s="6">
        <f>INT(D28)</f>
        <v>14</v>
      </c>
    </row>
    <row r="30" spans="3:9" x14ac:dyDescent="0.25">
      <c r="C30" s="1" t="s">
        <v>156</v>
      </c>
    </row>
    <row r="31" spans="3:9" x14ac:dyDescent="0.25">
      <c r="C31" s="58" t="s">
        <v>151</v>
      </c>
      <c r="D31" s="6" t="s">
        <v>157</v>
      </c>
    </row>
    <row r="32" spans="3:9" x14ac:dyDescent="0.25">
      <c r="C32" s="16">
        <v>1</v>
      </c>
      <c r="D32" s="25">
        <f>D29*D22/Ns</f>
        <v>1.1177528711950055</v>
      </c>
      <c r="F32" s="14">
        <f>Ns</f>
        <v>728.485253006329</v>
      </c>
      <c r="G32" t="s">
        <v>48</v>
      </c>
      <c r="H32" s="18">
        <f>D29*D22</f>
        <v>814.26648317104423</v>
      </c>
      <c r="I32" s="18">
        <f>D28*D22</f>
        <v>842.92596601557375</v>
      </c>
    </row>
    <row r="33" spans="3:10" x14ac:dyDescent="0.25">
      <c r="C33" s="16">
        <v>2</v>
      </c>
      <c r="D33" s="25">
        <f>D29*D23*C23/Ns</f>
        <v>1.5807412698254435</v>
      </c>
    </row>
    <row r="35" spans="3:10" x14ac:dyDescent="0.25">
      <c r="D35" s="6" t="s">
        <v>160</v>
      </c>
      <c r="E35" s="6" t="s">
        <v>151</v>
      </c>
      <c r="F35" s="16" t="s">
        <v>149</v>
      </c>
      <c r="G35" s="6" t="s">
        <v>161</v>
      </c>
    </row>
    <row r="36" spans="3:10" x14ac:dyDescent="0.25">
      <c r="C36" s="2" t="s">
        <v>158</v>
      </c>
      <c r="D36" s="6">
        <v>0</v>
      </c>
      <c r="E36" s="6">
        <v>2</v>
      </c>
      <c r="F36" s="24">
        <f>IF(E36=2,$D$23,$D$22)</f>
        <v>41.126667995940501</v>
      </c>
      <c r="G36" s="23">
        <f>F36*E36/(ebac/1000)</f>
        <v>397.35911107188895</v>
      </c>
      <c r="J36" s="13">
        <f>G36*D36</f>
        <v>0</v>
      </c>
    </row>
    <row r="37" spans="3:10" x14ac:dyDescent="0.25">
      <c r="C37" s="2" t="s">
        <v>159</v>
      </c>
      <c r="D37" s="6">
        <f>LL-D36</f>
        <v>10</v>
      </c>
      <c r="E37" s="6">
        <v>2</v>
      </c>
      <c r="F37" s="24">
        <f>IF(E37=2,$D$23,$D$22)</f>
        <v>41.126667995940501</v>
      </c>
      <c r="G37" s="23">
        <f>F37*E37/(ebac/1000)</f>
        <v>397.35911107188895</v>
      </c>
      <c r="J37" s="13">
        <f>G37*D37</f>
        <v>3973.5911107188895</v>
      </c>
    </row>
    <row r="40" spans="3:10" x14ac:dyDescent="0.25">
      <c r="C40" t="s">
        <v>162</v>
      </c>
    </row>
    <row r="41" spans="3:10" x14ac:dyDescent="0.25">
      <c r="C41" t="s">
        <v>163</v>
      </c>
    </row>
    <row r="42" spans="3:10" x14ac:dyDescent="0.25">
      <c r="D42" s="3" t="s">
        <v>164</v>
      </c>
      <c r="E42" s="3" t="s">
        <v>165</v>
      </c>
    </row>
    <row r="43" spans="3:10" x14ac:dyDescent="0.25">
      <c r="C43" s="2" t="s">
        <v>158</v>
      </c>
      <c r="D43" s="17">
        <f>MIN(Ns/G36,D36)</f>
        <v>0</v>
      </c>
      <c r="E43" s="17">
        <f>D36-D43</f>
        <v>0</v>
      </c>
    </row>
    <row r="44" spans="3:10" x14ac:dyDescent="0.25">
      <c r="C44" s="2" t="s">
        <v>159</v>
      </c>
      <c r="D44" s="17">
        <f>IF(Ns/G36&gt;D36,(Ns-G36*D36)/G37,0)</f>
        <v>1.8333170995908881</v>
      </c>
      <c r="E44" s="17">
        <f>D37-D44</f>
        <v>8.1666829004091124</v>
      </c>
    </row>
    <row r="48" spans="3:10" x14ac:dyDescent="0.25">
      <c r="C48" t="s">
        <v>166</v>
      </c>
    </row>
    <row r="50" spans="3:10" x14ac:dyDescent="0.25">
      <c r="C50" s="2" t="s">
        <v>167</v>
      </c>
      <c r="D50" s="3">
        <v>1</v>
      </c>
      <c r="E50" s="3">
        <v>2</v>
      </c>
      <c r="F50" s="3">
        <v>3</v>
      </c>
    </row>
    <row r="51" spans="3:10" x14ac:dyDescent="0.25">
      <c r="C51" s="2" t="s">
        <v>168</v>
      </c>
      <c r="D51" s="18">
        <f>MAX(Feuil1!Q75:Q95)</f>
        <v>62.090026722513699</v>
      </c>
      <c r="E51" s="18">
        <f>MAX(Feuil1!S75:S95)</f>
        <v>910.29210643778856</v>
      </c>
      <c r="F51" s="18">
        <f>MAX(Feuil1!U75:U95)</f>
        <v>782.85593186644996</v>
      </c>
    </row>
    <row r="52" spans="3:10" x14ac:dyDescent="0.25">
      <c r="C52" s="2" t="s">
        <v>169</v>
      </c>
      <c r="D52" s="3">
        <v>7.1</v>
      </c>
      <c r="E52" s="3">
        <v>5</v>
      </c>
      <c r="F52" s="3">
        <v>5.3</v>
      </c>
      <c r="H52" s="63">
        <v>7</v>
      </c>
      <c r="I52" s="63"/>
      <c r="J52" s="63"/>
    </row>
    <row r="53" spans="3:10" x14ac:dyDescent="0.25">
      <c r="C53" s="2" t="s">
        <v>170</v>
      </c>
      <c r="D53" s="18">
        <f>($D$36-$D$43)*$G$36+(D52-$D$36-$D$44)*$G$37</f>
        <v>2092.7644356040828</v>
      </c>
      <c r="E53" s="18">
        <f t="shared" ref="E53:F53" si="0">($D$36-$D$43)*$G$36+(E52-$D$36-$D$44)*$G$37</f>
        <v>1258.3103023531157</v>
      </c>
      <c r="F53" s="18">
        <f t="shared" si="0"/>
        <v>1377.5180356746823</v>
      </c>
    </row>
    <row r="54" spans="3:10" x14ac:dyDescent="0.25">
      <c r="C54" s="2" t="s">
        <v>171</v>
      </c>
      <c r="D54" s="18">
        <f>(LL-D52)*$G$37</f>
        <v>1152.3414221084781</v>
      </c>
      <c r="E54" s="18">
        <f>(LL-E52)*$G$37</f>
        <v>1986.7955553594447</v>
      </c>
      <c r="F54" s="18">
        <f>(LL-F52)*$G$37</f>
        <v>1867.5878220378781</v>
      </c>
    </row>
    <row r="55" spans="3:10" x14ac:dyDescent="0.25">
      <c r="C55" s="2" t="s">
        <v>172</v>
      </c>
      <c r="D55" s="18">
        <f>MIN(D53:D54)</f>
        <v>1152.3414221084781</v>
      </c>
      <c r="E55" s="18">
        <f t="shared" ref="E55:F55" si="1">MIN(E53:E54)</f>
        <v>1258.3103023531157</v>
      </c>
      <c r="F55" s="18">
        <f t="shared" si="1"/>
        <v>1377.5180356746823</v>
      </c>
    </row>
    <row r="56" spans="3:10" x14ac:dyDescent="0.25">
      <c r="C56" s="2"/>
      <c r="D56" s="3"/>
      <c r="E56" s="3"/>
      <c r="F56" s="3"/>
    </row>
    <row r="57" spans="3:10" x14ac:dyDescent="0.25">
      <c r="C57" s="2" t="s">
        <v>47</v>
      </c>
      <c r="D57" s="13">
        <f>Feuil1!O24</f>
        <v>2581.8880129841023</v>
      </c>
      <c r="E57" s="61" t="s">
        <v>48</v>
      </c>
      <c r="F57" s="3"/>
    </row>
    <row r="58" spans="3:10" x14ac:dyDescent="0.25">
      <c r="C58" s="2" t="s">
        <v>43</v>
      </c>
      <c r="D58" s="3">
        <f>Nc</f>
        <v>3034.4999999999995</v>
      </c>
      <c r="E58" s="61" t="s">
        <v>48</v>
      </c>
      <c r="F58" s="3"/>
    </row>
    <row r="59" spans="3:10" x14ac:dyDescent="0.25">
      <c r="C59" s="2" t="s">
        <v>133</v>
      </c>
      <c r="D59" s="62">
        <f>D55/MIN($D$57:$D$58)</f>
        <v>0.44631735238455267</v>
      </c>
      <c r="E59" s="62">
        <f t="shared" ref="E59:F59" si="2">E55/MIN($D$57:$D$58)</f>
        <v>0.48736052688001058</v>
      </c>
      <c r="F59" s="62">
        <f t="shared" si="2"/>
        <v>0.53353128747151601</v>
      </c>
    </row>
    <row r="60" spans="3:10" x14ac:dyDescent="0.25">
      <c r="C60" s="2"/>
      <c r="D60" s="3"/>
      <c r="E60" s="3"/>
      <c r="F60" s="3"/>
    </row>
    <row r="61" spans="3:10" x14ac:dyDescent="0.25">
      <c r="C61" s="15" t="s">
        <v>173</v>
      </c>
    </row>
    <row r="64" spans="3:10" x14ac:dyDescent="0.25">
      <c r="C64" s="2" t="s">
        <v>43</v>
      </c>
      <c r="D64" s="7">
        <f>Nc</f>
        <v>3034.4999999999995</v>
      </c>
      <c r="E64" t="s">
        <v>48</v>
      </c>
    </row>
    <row r="65" spans="3:6" x14ac:dyDescent="0.25">
      <c r="C65" s="2" t="s">
        <v>47</v>
      </c>
      <c r="D65" s="11">
        <f>Na</f>
        <v>2581.8880129841023</v>
      </c>
      <c r="E65" t="s">
        <v>48</v>
      </c>
    </row>
    <row r="66" spans="3:6" x14ac:dyDescent="0.25">
      <c r="C66" s="15" t="s">
        <v>62</v>
      </c>
      <c r="D66" s="7">
        <f>Nf</f>
        <v>766.44500000000005</v>
      </c>
      <c r="E66" t="s">
        <v>48</v>
      </c>
    </row>
    <row r="67" spans="3:6" x14ac:dyDescent="0.25">
      <c r="C67" s="1" t="s">
        <v>174</v>
      </c>
      <c r="D67" s="14">
        <f>Nc*D59</f>
        <v>1354.3500058109248</v>
      </c>
      <c r="E67" s="14">
        <f>Nc*E59</f>
        <v>1478.8955188173918</v>
      </c>
      <c r="F67" s="14">
        <f>Nc*F59</f>
        <v>1619.0006918323152</v>
      </c>
    </row>
    <row r="69" spans="3:6" x14ac:dyDescent="0.25">
      <c r="C69" s="15" t="s">
        <v>175</v>
      </c>
      <c r="D69" s="6" t="str">
        <f>IF(Na-2*Nf&lt;=D67,oui,non)</f>
        <v>oui</v>
      </c>
      <c r="E69" s="6" t="str">
        <f>IF(Na-2*Nf&lt;=E67,oui,non)</f>
        <v>oui</v>
      </c>
      <c r="F69" s="6" t="str">
        <f>IF(Na-2*Nf&lt;=F67,oui,non)</f>
        <v>oui</v>
      </c>
    </row>
    <row r="71" spans="3:6" x14ac:dyDescent="0.25">
      <c r="C71" s="2" t="s">
        <v>74</v>
      </c>
      <c r="D71" s="24">
        <f>(Na-D67)/2/Nf</f>
        <v>0.80079980114240246</v>
      </c>
      <c r="E71" s="24">
        <f>(Na-E67)/2/Nf</f>
        <v>0.71955097506455801</v>
      </c>
      <c r="F71" s="24">
        <f>(Na-F67)/2/Nf</f>
        <v>0.62815160980356521</v>
      </c>
    </row>
    <row r="72" spans="3:6" x14ac:dyDescent="0.25">
      <c r="C72" s="2" t="s">
        <v>50</v>
      </c>
      <c r="D72" s="14">
        <f>D71*tf</f>
        <v>10.17015747450851</v>
      </c>
      <c r="E72" s="14">
        <f>E71*tf</f>
        <v>9.1382973833198857</v>
      </c>
      <c r="F72" s="14">
        <f>F71*tf</f>
        <v>7.9775254445052779</v>
      </c>
    </row>
    <row r="73" spans="3:6" x14ac:dyDescent="0.25">
      <c r="C73" s="2"/>
      <c r="D73" s="3"/>
      <c r="E73" s="3"/>
      <c r="F73" s="3"/>
    </row>
    <row r="74" spans="3:6" x14ac:dyDescent="0.25">
      <c r="C74" s="2" t="s">
        <v>176</v>
      </c>
      <c r="D74" s="65">
        <f>(D67*(td-tc/2*D59)+Na*Ht/2-(Na-D59*Nc)*D72/2)/1000</f>
        <v>612.80229895647165</v>
      </c>
      <c r="E74" s="65">
        <f>(E67*(td-tc/2*E59)+Na*Ht/2-(Na-E59*Nc)*E72/2)/1000</f>
        <v>626.00933229871885</v>
      </c>
      <c r="F74" s="65">
        <f>(F67*(td-tc/2*F59)+Na*Ht/2-(Na-F59*Nc)*F72/2)/1000</f>
        <v>640.27285237589899</v>
      </c>
    </row>
    <row r="75" spans="3:6" x14ac:dyDescent="0.25">
      <c r="C75" s="2"/>
      <c r="D75" s="3"/>
      <c r="E75" s="3"/>
      <c r="F75" s="3"/>
    </row>
    <row r="76" spans="3:6" x14ac:dyDescent="0.25">
      <c r="C76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74</vt:i4>
      </vt:variant>
    </vt:vector>
  </HeadingPairs>
  <TitlesOfParts>
    <vt:vector size="76" baseType="lpstr">
      <vt:lpstr>Feuil1</vt:lpstr>
      <vt:lpstr>Connexion</vt:lpstr>
      <vt:lpstr>AireA</vt:lpstr>
      <vt:lpstr>As</vt:lpstr>
      <vt:lpstr>Av</vt:lpstr>
      <vt:lpstr>Avmin</vt:lpstr>
      <vt:lpstr>b</vt:lpstr>
      <vt:lpstr>bb</vt:lpstr>
      <vt:lpstr>beff_1</vt:lpstr>
      <vt:lpstr>beff_a</vt:lpstr>
      <vt:lpstr>bm</vt:lpstr>
      <vt:lpstr>bt</vt:lpstr>
      <vt:lpstr>c_z</vt:lpstr>
      <vt:lpstr>d</vt:lpstr>
      <vt:lpstr>dsc</vt:lpstr>
      <vt:lpstr>dw</vt:lpstr>
      <vt:lpstr>e_s</vt:lpstr>
      <vt:lpstr>ebac</vt:lpstr>
      <vt:lpstr>Ecm</vt:lpstr>
      <vt:lpstr>Eta</vt:lpstr>
      <vt:lpstr>Ey</vt:lpstr>
      <vt:lpstr>Fck</vt:lpstr>
      <vt:lpstr>Fcm</vt:lpstr>
      <vt:lpstr>Fsk</vt:lpstr>
      <vt:lpstr>Fusc</vt:lpstr>
      <vt:lpstr>Fy</vt:lpstr>
      <vt:lpstr>fybac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hbac</vt:lpstr>
      <vt:lpstr>hsc</vt:lpstr>
      <vt:lpstr>Ht</vt:lpstr>
      <vt:lpstr>hw</vt:lpstr>
      <vt:lpstr>kC</vt:lpstr>
      <vt:lpstr>La</vt:lpstr>
      <vt:lpstr>Le_1</vt:lpstr>
      <vt:lpstr>Le_a</vt:lpstr>
      <vt:lpstr>LL</vt:lpstr>
      <vt:lpstr>MplRd_1</vt:lpstr>
      <vt:lpstr>MplRd_app</vt:lpstr>
      <vt:lpstr>mubac</vt:lpstr>
      <vt:lpstr>Na</vt:lpstr>
      <vt:lpstr>Nc</vt:lpstr>
      <vt:lpstr>Nf</vt:lpstr>
      <vt:lpstr>non</vt:lpstr>
      <vt:lpstr>Nr</vt:lpstr>
      <vt:lpstr>Ns</vt:lpstr>
      <vt:lpstr>Nu</vt:lpstr>
      <vt:lpstr>Nw</vt:lpstr>
      <vt:lpstr>oui</vt:lpstr>
      <vt:lpstr>p_1</vt:lpstr>
      <vt:lpstr>p_w</vt:lpstr>
      <vt:lpstr>PhiS</vt:lpstr>
      <vt:lpstr>PRd_dp</vt:lpstr>
      <vt:lpstr>PRda</vt:lpstr>
      <vt:lpstr>PRdc</vt:lpstr>
      <vt:lpstr>qG_1</vt:lpstr>
      <vt:lpstr>qG_2</vt:lpstr>
      <vt:lpstr>qQ</vt:lpstr>
      <vt:lpstr>RhoA</vt:lpstr>
      <vt:lpstr>RhoC</vt:lpstr>
      <vt:lpstr>rr</vt:lpstr>
      <vt:lpstr>tbac</vt:lpstr>
      <vt:lpstr>tc</vt:lpstr>
      <vt:lpstr>td</vt:lpstr>
      <vt:lpstr>tf</vt:lpstr>
      <vt:lpstr>tw</vt:lpstr>
      <vt:lpstr>VplRd</vt:lpstr>
      <vt:lpstr>zn</vt:lpstr>
      <vt:lpstr>zR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2024-08-19T12:52:23Z</dcterms:created>
  <dcterms:modified xsi:type="dcterms:W3CDTF">2024-08-22T16:17:49Z</dcterms:modified>
</cp:coreProperties>
</file>