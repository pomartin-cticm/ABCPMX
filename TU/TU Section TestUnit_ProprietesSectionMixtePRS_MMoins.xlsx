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OGICIELS\CTICM AM - POUTRE MIXTE\DEV23\TU\"/>
    </mc:Choice>
  </mc:AlternateContent>
  <bookViews>
    <workbookView xWindow="0" yWindow="0" windowWidth="28800" windowHeight="12300"/>
  </bookViews>
  <sheets>
    <sheet name="Feuil1" sheetId="1" r:id="rId1"/>
  </sheets>
  <definedNames>
    <definedName name="Beff">Feuil1!$E$13</definedName>
    <definedName name="Bf">Feuil1!$E$5</definedName>
    <definedName name="EspBar">Feuil1!$E$21</definedName>
    <definedName name="Fck">Feuil1!$E$15</definedName>
    <definedName name="Fy">Feuil1!$E$9</definedName>
    <definedName name="FyS">Feuil1!$E$24</definedName>
    <definedName name="GammaC">Feuil1!$E$16</definedName>
    <definedName name="GammaM0">Feuil1!$E$10</definedName>
    <definedName name="GammaS">Feuil1!$E$25</definedName>
    <definedName name="Ha">Feuil1!$E$4</definedName>
    <definedName name="Hw">Feuil1!$E$8</definedName>
    <definedName name="NbBar">Feuil1!$E$23</definedName>
    <definedName name="Nc">Feuil1!$M$9</definedName>
    <definedName name="Nf">Feuil1!$M$6</definedName>
    <definedName name="Ns">Feuil1!$M$10</definedName>
    <definedName name="Nw">Feuil1!$M$7</definedName>
    <definedName name="p">Feuil1!$K$15</definedName>
    <definedName name="PhiS">Feuil1!$E$19</definedName>
    <definedName name="Td">Feuil1!$E$14</definedName>
    <definedName name="Tf">Feuil1!$E$6</definedName>
    <definedName name="Tw">Feuil1!$E$7</definedName>
    <definedName name="zANP">Feuil1!$K$16</definedName>
    <definedName name="zArma">Feuil1!$E$20</definedName>
    <definedName name="zSGlobal">Feuil1!$E$22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6" i="1" l="1"/>
  <c r="M21" i="1"/>
  <c r="M22" i="1"/>
  <c r="M23" i="1"/>
  <c r="M24" i="1"/>
  <c r="M20" i="1"/>
  <c r="L21" i="1"/>
  <c r="L22" i="1"/>
  <c r="L23" i="1"/>
  <c r="L24" i="1"/>
  <c r="L20" i="1"/>
  <c r="K24" i="1"/>
  <c r="K23" i="1"/>
  <c r="K22" i="1"/>
  <c r="K21" i="1"/>
  <c r="K20" i="1"/>
  <c r="J24" i="1"/>
  <c r="J23" i="1"/>
  <c r="J22" i="1"/>
  <c r="J21" i="1"/>
  <c r="J20" i="1"/>
  <c r="L10" i="1"/>
  <c r="K10" i="1"/>
  <c r="L9" i="1"/>
  <c r="K9" i="1"/>
  <c r="J9" i="1"/>
  <c r="K8" i="1"/>
  <c r="J8" i="1"/>
  <c r="M8" i="1" s="1"/>
  <c r="L7" i="1"/>
  <c r="L8" i="1"/>
  <c r="K7" i="1"/>
  <c r="L6" i="1"/>
  <c r="K6" i="1"/>
  <c r="J6" i="1"/>
  <c r="E22" i="1"/>
  <c r="E23" i="1"/>
  <c r="J10" i="1" s="1"/>
  <c r="E8" i="1"/>
  <c r="J7" i="1" s="1"/>
  <c r="M7" i="1" s="1"/>
  <c r="M6" i="1" l="1"/>
  <c r="K12" i="1" s="1"/>
  <c r="M10" i="1"/>
  <c r="K15" i="1" s="1"/>
  <c r="K16" i="1" s="1"/>
  <c r="M9" i="1"/>
</calcChain>
</file>

<file path=xl/sharedStrings.xml><?xml version="1.0" encoding="utf-8"?>
<sst xmlns="http://schemas.openxmlformats.org/spreadsheetml/2006/main" count="70" uniqueCount="43">
  <si>
    <t>Profilé</t>
  </si>
  <si>
    <t>Ha</t>
  </si>
  <si>
    <t>Bf</t>
  </si>
  <si>
    <t>Tf</t>
  </si>
  <si>
    <t>Tw</t>
  </si>
  <si>
    <t>Hw</t>
  </si>
  <si>
    <t>mm</t>
  </si>
  <si>
    <t>Dalle</t>
  </si>
  <si>
    <t>Beff</t>
  </si>
  <si>
    <t>Td</t>
  </si>
  <si>
    <t>Armatures</t>
  </si>
  <si>
    <t>Fck</t>
  </si>
  <si>
    <t>MPa</t>
  </si>
  <si>
    <t>Fy</t>
  </si>
  <si>
    <t>PhiS</t>
  </si>
  <si>
    <t>zArma</t>
  </si>
  <si>
    <t>Esp</t>
  </si>
  <si>
    <t>zGlobal</t>
  </si>
  <si>
    <t>Nombre</t>
  </si>
  <si>
    <t>GammM0</t>
  </si>
  <si>
    <t>GammaC</t>
  </si>
  <si>
    <t>GammaS</t>
  </si>
  <si>
    <t>Résistances axiales</t>
  </si>
  <si>
    <t>Semelle inf</t>
  </si>
  <si>
    <t>Ame</t>
  </si>
  <si>
    <t>Semelle sup</t>
  </si>
  <si>
    <t>Ai</t>
  </si>
  <si>
    <t>zi</t>
  </si>
  <si>
    <t>fi</t>
  </si>
  <si>
    <t>Ni</t>
  </si>
  <si>
    <t>mm2</t>
  </si>
  <si>
    <t>kN</t>
  </si>
  <si>
    <t>FyS</t>
  </si>
  <si>
    <t>Na</t>
  </si>
  <si>
    <t>ANP</t>
  </si>
  <si>
    <t>p</t>
  </si>
  <si>
    <t>zANP</t>
  </si>
  <si>
    <t>Ame inf</t>
  </si>
  <si>
    <t>Ame sup</t>
  </si>
  <si>
    <t>di</t>
  </si>
  <si>
    <t>Ni di</t>
  </si>
  <si>
    <t>kNm</t>
  </si>
  <si>
    <t>MplRd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</si>
</sst>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right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165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N32"/>
  <sheetViews>
    <sheetView tabSelected="1" workbookViewId="0">
      <selection activeCell="N27" sqref="N27"/>
    </sheetView>
  </sheetViews>
  <sheetFormatPr baseColWidth="10" defaultRowHeight="15" x14ac:dyDescent="0.25"/>
  <sheetData>
    <row r="3" spans="3:13" x14ac:dyDescent="0.25">
      <c r="C3" s="1" t="s">
        <v>0</v>
      </c>
      <c r="D3" s="1"/>
      <c r="E3" s="1"/>
      <c r="F3" s="1"/>
      <c r="I3" t="s">
        <v>22</v>
      </c>
    </row>
    <row r="4" spans="3:13" x14ac:dyDescent="0.25">
      <c r="D4" s="2" t="s">
        <v>1</v>
      </c>
      <c r="E4" s="5">
        <v>800</v>
      </c>
      <c r="F4" t="s">
        <v>6</v>
      </c>
      <c r="J4" s="4" t="s">
        <v>26</v>
      </c>
      <c r="K4" s="4" t="s">
        <v>27</v>
      </c>
      <c r="L4" s="4" t="s">
        <v>28</v>
      </c>
      <c r="M4" s="4" t="s">
        <v>29</v>
      </c>
    </row>
    <row r="5" spans="3:13" x14ac:dyDescent="0.25">
      <c r="D5" s="2" t="s">
        <v>2</v>
      </c>
      <c r="E5" s="5">
        <v>300</v>
      </c>
      <c r="F5" t="s">
        <v>6</v>
      </c>
      <c r="J5" s="9" t="s">
        <v>30</v>
      </c>
      <c r="K5" s="9" t="s">
        <v>6</v>
      </c>
      <c r="L5" s="9" t="s">
        <v>12</v>
      </c>
      <c r="M5" s="9" t="s">
        <v>31</v>
      </c>
    </row>
    <row r="6" spans="3:13" x14ac:dyDescent="0.25">
      <c r="D6" s="2" t="s">
        <v>3</v>
      </c>
      <c r="E6" s="5">
        <v>30</v>
      </c>
      <c r="F6" t="s">
        <v>6</v>
      </c>
      <c r="I6" s="8" t="s">
        <v>23</v>
      </c>
      <c r="J6" s="4">
        <f>Bf*Tf</f>
        <v>9000</v>
      </c>
      <c r="K6" s="4">
        <f>Tf/2</f>
        <v>15</v>
      </c>
      <c r="L6" s="4">
        <f>Fy/GammaM0</f>
        <v>275</v>
      </c>
      <c r="M6" s="4">
        <f>J6*L6/1000</f>
        <v>2475</v>
      </c>
    </row>
    <row r="7" spans="3:13" x14ac:dyDescent="0.25">
      <c r="D7" s="2" t="s">
        <v>4</v>
      </c>
      <c r="E7" s="5">
        <v>15</v>
      </c>
      <c r="F7" t="s">
        <v>6</v>
      </c>
      <c r="I7" s="8" t="s">
        <v>24</v>
      </c>
      <c r="J7" s="4">
        <f>Hw*Tw</f>
        <v>11100</v>
      </c>
      <c r="K7" s="4">
        <f>Ha/2</f>
        <v>400</v>
      </c>
      <c r="L7" s="4">
        <f>Fy/GammaM0</f>
        <v>275</v>
      </c>
      <c r="M7" s="10">
        <f t="shared" ref="M7:M10" si="0">J7*L7/1000</f>
        <v>3052.5</v>
      </c>
    </row>
    <row r="8" spans="3:13" x14ac:dyDescent="0.25">
      <c r="D8" s="2" t="s">
        <v>5</v>
      </c>
      <c r="E8" s="6">
        <f>Ha-2*Tf</f>
        <v>740</v>
      </c>
      <c r="F8" t="s">
        <v>6</v>
      </c>
      <c r="I8" s="8" t="s">
        <v>25</v>
      </c>
      <c r="J8" s="4">
        <f>Bf*Tf</f>
        <v>9000</v>
      </c>
      <c r="K8" s="4">
        <f>Ha-Tf/2</f>
        <v>785</v>
      </c>
      <c r="L8" s="4">
        <f>Fy/GammaM0</f>
        <v>275</v>
      </c>
      <c r="M8" s="4">
        <f t="shared" si="0"/>
        <v>2475</v>
      </c>
    </row>
    <row r="9" spans="3:13" x14ac:dyDescent="0.25">
      <c r="D9" s="2" t="s">
        <v>13</v>
      </c>
      <c r="E9" s="5">
        <v>275</v>
      </c>
      <c r="F9" t="s">
        <v>12</v>
      </c>
      <c r="I9" s="8" t="s">
        <v>7</v>
      </c>
      <c r="J9" s="4">
        <f>Beff*Td</f>
        <v>500000</v>
      </c>
      <c r="K9" s="4">
        <f>Ha+Td/2</f>
        <v>925</v>
      </c>
      <c r="L9" s="4">
        <f>0.85*Fck/GammaC</f>
        <v>17</v>
      </c>
      <c r="M9" s="4">
        <f t="shared" si="0"/>
        <v>8500</v>
      </c>
    </row>
    <row r="10" spans="3:13" x14ac:dyDescent="0.25">
      <c r="D10" s="2" t="s">
        <v>19</v>
      </c>
      <c r="E10" s="5">
        <v>1</v>
      </c>
      <c r="I10" s="8" t="s">
        <v>10</v>
      </c>
      <c r="J10" s="10">
        <f>PI()*PhiS^2/4*NbBar</f>
        <v>3141.5926535897934</v>
      </c>
      <c r="K10" s="4">
        <f>Ha+Td-zArma</f>
        <v>1020</v>
      </c>
      <c r="L10" s="10">
        <f>FyS/GammaS</f>
        <v>434.78260869565219</v>
      </c>
      <c r="M10" s="10">
        <f t="shared" si="0"/>
        <v>1365.9098493868667</v>
      </c>
    </row>
    <row r="12" spans="3:13" x14ac:dyDescent="0.25">
      <c r="C12" s="1" t="s">
        <v>7</v>
      </c>
      <c r="D12" s="1"/>
      <c r="E12" s="1"/>
      <c r="F12" s="1"/>
      <c r="I12" s="11" t="s">
        <v>0</v>
      </c>
      <c r="J12" s="8" t="s">
        <v>33</v>
      </c>
      <c r="K12" s="4">
        <f>2*Nf+Nw</f>
        <v>8002.5</v>
      </c>
      <c r="L12" t="s">
        <v>31</v>
      </c>
    </row>
    <row r="13" spans="3:13" x14ac:dyDescent="0.25">
      <c r="D13" s="7" t="s">
        <v>8</v>
      </c>
      <c r="E13" s="5">
        <v>2000</v>
      </c>
      <c r="F13" t="s">
        <v>6</v>
      </c>
    </row>
    <row r="14" spans="3:13" x14ac:dyDescent="0.25">
      <c r="D14" s="7" t="s">
        <v>9</v>
      </c>
      <c r="E14" s="5">
        <v>250</v>
      </c>
      <c r="F14" t="s">
        <v>6</v>
      </c>
    </row>
    <row r="15" spans="3:13" x14ac:dyDescent="0.25">
      <c r="D15" s="7" t="s">
        <v>11</v>
      </c>
      <c r="E15" s="5">
        <v>30</v>
      </c>
      <c r="F15" t="s">
        <v>12</v>
      </c>
      <c r="I15" s="2" t="s">
        <v>34</v>
      </c>
      <c r="J15" s="2" t="s">
        <v>35</v>
      </c>
      <c r="K15" s="12">
        <f>(Nw+Ns)/2/Nw</f>
        <v>0.72373625706582589</v>
      </c>
    </row>
    <row r="16" spans="3:13" x14ac:dyDescent="0.25">
      <c r="D16" s="7" t="s">
        <v>20</v>
      </c>
      <c r="E16" s="5">
        <v>1.5</v>
      </c>
      <c r="J16" s="8" t="s">
        <v>36</v>
      </c>
      <c r="K16" s="13">
        <f>p*Hw+Tf</f>
        <v>565.56483022871112</v>
      </c>
    </row>
    <row r="17" spans="3:14" x14ac:dyDescent="0.25">
      <c r="J17" s="8"/>
      <c r="K17" s="3"/>
    </row>
    <row r="18" spans="3:14" x14ac:dyDescent="0.25">
      <c r="C18" s="1" t="s">
        <v>10</v>
      </c>
      <c r="D18" s="1"/>
      <c r="E18" s="1"/>
      <c r="F18" s="1"/>
      <c r="J18" s="4" t="s">
        <v>29</v>
      </c>
      <c r="K18" s="4" t="s">
        <v>27</v>
      </c>
      <c r="L18" s="4" t="s">
        <v>39</v>
      </c>
      <c r="M18" s="4" t="s">
        <v>40</v>
      </c>
    </row>
    <row r="19" spans="3:14" x14ac:dyDescent="0.25">
      <c r="D19" s="7" t="s">
        <v>14</v>
      </c>
      <c r="E19" s="5">
        <v>20</v>
      </c>
      <c r="F19" t="s">
        <v>6</v>
      </c>
      <c r="J19" s="9" t="s">
        <v>31</v>
      </c>
      <c r="K19" s="9" t="s">
        <v>6</v>
      </c>
      <c r="L19" s="9" t="s">
        <v>6</v>
      </c>
      <c r="M19" s="9" t="s">
        <v>41</v>
      </c>
    </row>
    <row r="20" spans="3:14" x14ac:dyDescent="0.25">
      <c r="D20" s="7" t="s">
        <v>15</v>
      </c>
      <c r="E20" s="5">
        <v>30</v>
      </c>
      <c r="F20" t="s">
        <v>6</v>
      </c>
      <c r="I20" s="8" t="s">
        <v>23</v>
      </c>
      <c r="J20" s="10">
        <f>Nf</f>
        <v>2475</v>
      </c>
      <c r="K20" s="4">
        <f>Tf/2</f>
        <v>15</v>
      </c>
      <c r="L20" s="10">
        <f>ABS(K20-zANP)</f>
        <v>550.56483022871112</v>
      </c>
      <c r="M20" s="10">
        <f>J20*L20/1000</f>
        <v>1362.6479548160598</v>
      </c>
    </row>
    <row r="21" spans="3:14" x14ac:dyDescent="0.25">
      <c r="D21" s="7" t="s">
        <v>16</v>
      </c>
      <c r="E21" s="5">
        <v>200</v>
      </c>
      <c r="F21" t="s">
        <v>6</v>
      </c>
      <c r="I21" s="8" t="s">
        <v>37</v>
      </c>
      <c r="J21" s="10">
        <f>p*Nw</f>
        <v>2209.2049246934334</v>
      </c>
      <c r="K21" s="10">
        <f>Tf+p*Hw/2</f>
        <v>297.78241511435556</v>
      </c>
      <c r="L21" s="10">
        <f>ABS(K21-zANP)</f>
        <v>267.78241511435556</v>
      </c>
      <c r="M21" s="10">
        <f t="shared" ref="M21:M24" si="1">J21*L21/1000</f>
        <v>591.58623021693563</v>
      </c>
    </row>
    <row r="22" spans="3:14" x14ac:dyDescent="0.25">
      <c r="D22" s="7" t="s">
        <v>17</v>
      </c>
      <c r="E22" s="6">
        <f>Td-zArma</f>
        <v>220</v>
      </c>
      <c r="F22" t="s">
        <v>6</v>
      </c>
      <c r="I22" s="8" t="s">
        <v>38</v>
      </c>
      <c r="J22" s="10">
        <f>(1-p)*Nw</f>
        <v>843.29507530656645</v>
      </c>
      <c r="K22" s="10">
        <f>Ha-Tf-(1-p)*Hw/2</f>
        <v>667.78241511435556</v>
      </c>
      <c r="L22" s="10">
        <f>ABS(K22-zANP)</f>
        <v>102.21758488564444</v>
      </c>
      <c r="M22" s="10">
        <f t="shared" si="1"/>
        <v>86.199585943794887</v>
      </c>
    </row>
    <row r="23" spans="3:14" x14ac:dyDescent="0.25">
      <c r="D23" s="7" t="s">
        <v>18</v>
      </c>
      <c r="E23" s="6">
        <f>Beff/EspBar</f>
        <v>10</v>
      </c>
      <c r="I23" s="8" t="s">
        <v>25</v>
      </c>
      <c r="J23" s="10">
        <f>Nf</f>
        <v>2475</v>
      </c>
      <c r="K23" s="10">
        <f>Ha-Tf/2</f>
        <v>785</v>
      </c>
      <c r="L23" s="10">
        <f>ABS(K23-zANP)</f>
        <v>219.43516977128888</v>
      </c>
      <c r="M23" s="10">
        <f t="shared" si="1"/>
        <v>543.10204518393994</v>
      </c>
    </row>
    <row r="24" spans="3:14" x14ac:dyDescent="0.25">
      <c r="D24" s="7" t="s">
        <v>32</v>
      </c>
      <c r="E24" s="5">
        <v>500</v>
      </c>
      <c r="F24" t="s">
        <v>12</v>
      </c>
      <c r="I24" s="8" t="s">
        <v>10</v>
      </c>
      <c r="J24" s="10">
        <f>Ns</f>
        <v>1365.9098493868667</v>
      </c>
      <c r="K24" s="10">
        <f>K10</f>
        <v>1020</v>
      </c>
      <c r="L24" s="10">
        <f>ABS(K24-zANP)</f>
        <v>454.43516977128888</v>
      </c>
      <c r="M24" s="10">
        <f t="shared" si="1"/>
        <v>620.71747429839638</v>
      </c>
    </row>
    <row r="25" spans="3:14" x14ac:dyDescent="0.25">
      <c r="D25" s="7" t="s">
        <v>21</v>
      </c>
      <c r="E25" s="5">
        <v>1.1499999999999999</v>
      </c>
      <c r="J25" s="8"/>
      <c r="K25" s="14"/>
    </row>
    <row r="26" spans="3:14" x14ac:dyDescent="0.25">
      <c r="E26" s="3"/>
      <c r="J26" s="8"/>
      <c r="K26" s="3"/>
      <c r="L26" s="8" t="s">
        <v>42</v>
      </c>
      <c r="M26" s="10">
        <f>SUM(M20:M24)</f>
        <v>3204.2532904591262</v>
      </c>
      <c r="N26" t="s">
        <v>41</v>
      </c>
    </row>
    <row r="27" spans="3:14" x14ac:dyDescent="0.25">
      <c r="E27" s="3"/>
      <c r="J27" s="8"/>
      <c r="K27" s="3"/>
    </row>
    <row r="28" spans="3:14" x14ac:dyDescent="0.25">
      <c r="E28" s="3"/>
      <c r="J28" s="8"/>
      <c r="K28" s="3"/>
    </row>
    <row r="29" spans="3:14" x14ac:dyDescent="0.25">
      <c r="E29" s="3"/>
      <c r="J29" s="8"/>
      <c r="K29" s="3"/>
    </row>
    <row r="30" spans="3:14" x14ac:dyDescent="0.25">
      <c r="E30" s="3"/>
      <c r="K30" s="3"/>
    </row>
    <row r="31" spans="3:14" x14ac:dyDescent="0.25">
      <c r="E31" s="3"/>
      <c r="K31" s="3"/>
    </row>
    <row r="32" spans="3:14" x14ac:dyDescent="0.25">
      <c r="E32" s="3"/>
      <c r="K32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24</vt:i4>
      </vt:variant>
    </vt:vector>
  </HeadingPairs>
  <TitlesOfParts>
    <vt:vector size="25" baseType="lpstr">
      <vt:lpstr>Feuil1</vt:lpstr>
      <vt:lpstr>Beff</vt:lpstr>
      <vt:lpstr>Bf</vt:lpstr>
      <vt:lpstr>EspBar</vt:lpstr>
      <vt:lpstr>Fck</vt:lpstr>
      <vt:lpstr>Fy</vt:lpstr>
      <vt:lpstr>FyS</vt:lpstr>
      <vt:lpstr>GammaC</vt:lpstr>
      <vt:lpstr>GammaM0</vt:lpstr>
      <vt:lpstr>GammaS</vt:lpstr>
      <vt:lpstr>Ha</vt:lpstr>
      <vt:lpstr>Hw</vt:lpstr>
      <vt:lpstr>NbBar</vt:lpstr>
      <vt:lpstr>Nc</vt:lpstr>
      <vt:lpstr>Nf</vt:lpstr>
      <vt:lpstr>Ns</vt:lpstr>
      <vt:lpstr>Nw</vt:lpstr>
      <vt:lpstr>p</vt:lpstr>
      <vt:lpstr>PhiS</vt:lpstr>
      <vt:lpstr>Td</vt:lpstr>
      <vt:lpstr>Tf</vt:lpstr>
      <vt:lpstr>Tw</vt:lpstr>
      <vt:lpstr>zANP</vt:lpstr>
      <vt:lpstr>zArma</vt:lpstr>
      <vt:lpstr>zSGlobal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Olivier MARTIN</dc:creator>
  <cp:lastModifiedBy>Pierre Olivier MARTIN</cp:lastModifiedBy>
  <dcterms:created xsi:type="dcterms:W3CDTF">2023-10-04T19:59:18Z</dcterms:created>
  <dcterms:modified xsi:type="dcterms:W3CDTF">2023-10-04T20:20:52Z</dcterms:modified>
</cp:coreProperties>
</file>