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4\"/>
    </mc:Choice>
  </mc:AlternateContent>
  <xr:revisionPtr revIDLastSave="0" documentId="13_ncr:1_{8C4020B4-00AC-4DFD-A6E0-DA2F54802E35}" xr6:coauthVersionLast="47" xr6:coauthVersionMax="47" xr10:uidLastSave="{00000000-0000-0000-0000-000000000000}"/>
  <bookViews>
    <workbookView xWindow="1140" yWindow="1140" windowWidth="21600" windowHeight="13950" xr2:uid="{00000000-000D-0000-FFFF-FFFF00000000}"/>
  </bookViews>
  <sheets>
    <sheet name="Feuil1" sheetId="1" r:id="rId1"/>
    <sheet name="Section élastique" sheetId="3" r:id="rId2"/>
    <sheet name="Param" sheetId="2" r:id="rId3"/>
  </sheets>
  <definedNames>
    <definedName name="A">Feuil1!$N$26</definedName>
    <definedName name="Ac">Feuil1!$D$50</definedName>
    <definedName name="b0Bac">Feuil1!$D$67</definedName>
    <definedName name="bAppMin">Feuil1!$D$38</definedName>
    <definedName name="BetaW">Feuil1!#REF!</definedName>
    <definedName name="bf">Feuil1!$D$7</definedName>
    <definedName name="bfs">Feuil1!$D$6</definedName>
    <definedName name="BinfBac">Feuil1!$D$63</definedName>
    <definedName name="BsupBac">Feuil1!$D$62</definedName>
    <definedName name="d_1">Feuil1!$D$30</definedName>
    <definedName name="d_2">Feuil1!$D$31</definedName>
    <definedName name="dApp">'Section élastique'!$D$15</definedName>
    <definedName name="dbt">'Section élastique'!$L$20</definedName>
    <definedName name="df">'Section élastique'!$D$20</definedName>
    <definedName name="dp">'Section élastique'!#REF!</definedName>
    <definedName name="dW">Feuil1!$D$10</definedName>
    <definedName name="E">Feuil1!$D$29</definedName>
    <definedName name="eBac">Feuil1!$D$61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Feuil1!$D$23</definedName>
    <definedName name="FyI">Feuil1!$D$21</definedName>
    <definedName name="FyPl">Feuil1!$D$22</definedName>
    <definedName name="FyS">Feuil1!$D$19</definedName>
    <definedName name="FyW">Feuil1!$D$20</definedName>
    <definedName name="g">Feuil1!$N$79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Feuil1!$D$13</definedName>
    <definedName name="hBac">Feuil1!$D$60</definedName>
    <definedName name="Ht">Feuil1!$D$16</definedName>
    <definedName name="hw">Feuil1!$D$9</definedName>
    <definedName name="hwe">Feuil1!$N$46</definedName>
    <definedName name="hwP">Feuil1!$D$17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Feuil1!$D$27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Feuil1!$Q$61</definedName>
    <definedName name="MplRdRed">'Section élastique'!$T$34</definedName>
    <definedName name="MRd">Feuil1!#REF!</definedName>
    <definedName name="MStatS">Feuil1!#REF!</definedName>
    <definedName name="MuBac">Feuil1!$D$65</definedName>
    <definedName name="non">Param!$C$3</definedName>
    <definedName name="oui">Param!$C$2</definedName>
    <definedName name="pANP">Feuil1!$N$48</definedName>
    <definedName name="PhiLT">Feuil1!#REF!</definedName>
    <definedName name="Pl_b">Feuil1!$D$14</definedName>
    <definedName name="Pl_t">Feuil1!$D$15</definedName>
    <definedName name="Psi">Feuil1!#REF!</definedName>
    <definedName name="Psi_0">Feuil1!$N$10</definedName>
    <definedName name="PsiY">'Section élastique'!$L$28</definedName>
    <definedName name="pW">Feuil1!#REF!</definedName>
    <definedName name="qEdFl">'Section élastique'!$L$21</definedName>
    <definedName name="qELU">Feuil1!$J$30</definedName>
    <definedName name="qG">Feuil1!$I$6</definedName>
    <definedName name="qQ_1">Feuil1!$I$7</definedName>
    <definedName name="RatioFi">'Section élastique'!$L$26</definedName>
    <definedName name="RhoA">Feuil1!#REF!</definedName>
    <definedName name="rhoC">Feuil1!$D$48</definedName>
    <definedName name="rr">Feuil1!$D$12</definedName>
    <definedName name="tBac">Feuil1!$D$64</definedName>
    <definedName name="tc">Feuil1!$D$43</definedName>
    <definedName name="td">Feuil1!$D$42</definedName>
    <definedName name="tf">Feuil1!$D$8</definedName>
    <definedName name="tJoint">Feuil1!$D$36</definedName>
    <definedName name="tPred">Feuil1!$D$35</definedName>
    <definedName name="tw">Feuil1!$D$11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Feuil1!$N$49</definedName>
    <definedName name="zG">Feuil1!$N$27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L20" i="3" s="1"/>
  <c r="R31" i="3"/>
  <c r="R30" i="3"/>
  <c r="S30" i="3" s="1"/>
  <c r="T30" i="3" s="1"/>
  <c r="R27" i="3"/>
  <c r="R26" i="3"/>
  <c r="S31" i="3"/>
  <c r="S26" i="3"/>
  <c r="S27" i="3"/>
  <c r="T27" i="3" s="1"/>
  <c r="Q31" i="3"/>
  <c r="Q30" i="3"/>
  <c r="Q27" i="3"/>
  <c r="Q26" i="3"/>
  <c r="Q22" i="3"/>
  <c r="I7" i="1"/>
  <c r="D43" i="1"/>
  <c r="D50" i="1" s="1"/>
  <c r="D53" i="1"/>
  <c r="D67" i="1"/>
  <c r="D20" i="1"/>
  <c r="S18" i="1"/>
  <c r="O18" i="1"/>
  <c r="Q36" i="1" s="1"/>
  <c r="O53" i="1" s="1"/>
  <c r="D16" i="1"/>
  <c r="N19" i="1"/>
  <c r="N18" i="1"/>
  <c r="I22" i="3"/>
  <c r="H22" i="3"/>
  <c r="G20" i="3"/>
  <c r="G21" i="3" s="1"/>
  <c r="H21" i="3" s="1"/>
  <c r="I21" i="3" s="1"/>
  <c r="T26" i="3" l="1"/>
  <c r="T31" i="3"/>
  <c r="O23" i="1"/>
  <c r="S22" i="1"/>
  <c r="O22" i="1"/>
  <c r="Q40" i="1" s="1"/>
  <c r="O58" i="1" s="1"/>
  <c r="N22" i="1"/>
  <c r="N40" i="1" s="1"/>
  <c r="N21" i="1"/>
  <c r="N39" i="1" s="1"/>
  <c r="D17" i="1"/>
  <c r="J53" i="1"/>
  <c r="J54" i="1" s="1"/>
  <c r="K9" i="3"/>
  <c r="D20" i="3"/>
  <c r="D12" i="3"/>
  <c r="D10" i="3"/>
  <c r="D7" i="3"/>
  <c r="D8" i="3" s="1"/>
  <c r="O35" i="1"/>
  <c r="O38" i="1"/>
  <c r="O39" i="1"/>
  <c r="O37" i="1"/>
  <c r="O36" i="1"/>
  <c r="T54" i="1" l="1"/>
  <c r="T53" i="1" s="1"/>
  <c r="T52" i="1" s="1"/>
  <c r="S51" i="1"/>
  <c r="D51" i="1"/>
  <c r="D52" i="1" s="1"/>
  <c r="W7" i="1" l="1"/>
  <c r="W6" i="1"/>
  <c r="D9" i="1"/>
  <c r="D10" i="1"/>
  <c r="S23" i="1"/>
  <c r="N23" i="1"/>
  <c r="N35" i="1" s="1"/>
  <c r="N46" i="1" l="1"/>
  <c r="O21" i="1"/>
  <c r="Q39" i="1" s="1"/>
  <c r="O57" i="1" s="1"/>
  <c r="O19" i="1"/>
  <c r="Q37" i="1" s="1"/>
  <c r="O54" i="1" s="1"/>
  <c r="V29" i="1"/>
  <c r="V30" i="1" s="1"/>
  <c r="S20" i="1"/>
  <c r="O20" i="1"/>
  <c r="Q38" i="1" s="1"/>
  <c r="N20" i="1"/>
  <c r="S21" i="1"/>
  <c r="S19" i="1" s="1"/>
  <c r="N37" i="1"/>
  <c r="J51" i="1"/>
  <c r="J52" i="1"/>
  <c r="J55" i="1" s="1"/>
  <c r="P35" i="1"/>
  <c r="P37" i="1"/>
  <c r="N54" i="1" s="1"/>
  <c r="P21" i="1"/>
  <c r="P23" i="1"/>
  <c r="V26" i="1" l="1"/>
  <c r="Q62" i="1" s="1"/>
  <c r="N38" i="1"/>
  <c r="P38" i="1" s="1"/>
  <c r="U59" i="1"/>
  <c r="U52" i="1"/>
  <c r="S35" i="1"/>
  <c r="P39" i="1"/>
  <c r="N57" i="1" s="1"/>
  <c r="P19" i="1"/>
  <c r="U54" i="1" l="1"/>
  <c r="U55" i="1"/>
  <c r="U57" i="1"/>
  <c r="J31" i="1"/>
  <c r="N81" i="1"/>
  <c r="D21" i="1"/>
  <c r="N36" i="1"/>
  <c r="N42" i="1" s="1"/>
  <c r="J16" i="1"/>
  <c r="J18" i="1"/>
  <c r="J17" i="1"/>
  <c r="J15" i="1"/>
  <c r="O40" i="1" l="1"/>
  <c r="L24" i="3"/>
  <c r="P36" i="1"/>
  <c r="N53" i="1" s="1"/>
  <c r="S24" i="1"/>
  <c r="P18" i="1"/>
  <c r="P20" i="1"/>
  <c r="S36" i="1" l="1"/>
  <c r="S37" i="1"/>
  <c r="S38" i="1" s="1"/>
  <c r="S39" i="1" s="1"/>
  <c r="P22" i="1"/>
  <c r="P24" i="1" s="1"/>
  <c r="N24" i="1"/>
  <c r="N26" i="1" s="1"/>
  <c r="V27" i="1" s="1"/>
  <c r="P40" i="1" l="1"/>
  <c r="V28" i="1"/>
  <c r="D54" i="1"/>
  <c r="D56" i="1" s="1"/>
  <c r="N27" i="1"/>
  <c r="D9" i="3" s="1"/>
  <c r="N48" i="1" l="1"/>
  <c r="N58" i="1"/>
  <c r="P42" i="1"/>
  <c r="R35" i="1" s="1"/>
  <c r="R36" i="1" s="1"/>
  <c r="R37" i="1" s="1"/>
  <c r="R38" i="1" s="1"/>
  <c r="R39" i="1" s="1"/>
  <c r="R40" i="1" s="1"/>
  <c r="I6" i="1"/>
  <c r="S40" i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N49" i="1" l="1"/>
  <c r="N55" i="1"/>
  <c r="N63" i="1" s="1"/>
  <c r="O56" i="1"/>
  <c r="P56" i="1" s="1"/>
  <c r="Q56" i="1" s="1"/>
  <c r="N56" i="1"/>
  <c r="N64" i="1" s="1"/>
  <c r="O55" i="1"/>
  <c r="P55" i="1" s="1"/>
  <c r="Q55" i="1" s="1"/>
  <c r="N44" i="1"/>
  <c r="J30" i="1"/>
  <c r="L21" i="3" s="1"/>
  <c r="L23" i="3" s="1"/>
  <c r="L26" i="3" s="1"/>
  <c r="L28" i="3" s="1"/>
  <c r="Q18" i="3" s="1"/>
  <c r="Q21" i="3" s="1"/>
  <c r="N80" i="1"/>
  <c r="N83" i="1" s="1"/>
  <c r="N85" i="1" s="1"/>
  <c r="J14" i="1"/>
  <c r="J26" i="1" s="1"/>
  <c r="J13" i="1"/>
  <c r="J23" i="1" s="1"/>
  <c r="R24" i="1"/>
  <c r="N28" i="1" s="1"/>
  <c r="K10" i="3" s="1"/>
  <c r="R29" i="3" l="1"/>
  <c r="S29" i="3" s="1"/>
  <c r="R28" i="3"/>
  <c r="S28" i="3" s="1"/>
  <c r="T28" i="3" s="1"/>
  <c r="Q29" i="3"/>
  <c r="Q28" i="3"/>
  <c r="Q36" i="3" s="1"/>
  <c r="P53" i="1"/>
  <c r="Q53" i="1" s="1"/>
  <c r="P58" i="1"/>
  <c r="Q58" i="1" s="1"/>
  <c r="P57" i="1"/>
  <c r="Q57" i="1" s="1"/>
  <c r="P54" i="1"/>
  <c r="Q54" i="1" s="1"/>
  <c r="X48" i="1"/>
  <c r="J24" i="1"/>
  <c r="J37" i="1" s="1"/>
  <c r="J25" i="1"/>
  <c r="F29" i="3"/>
  <c r="F26" i="3"/>
  <c r="D21" i="3"/>
  <c r="E25" i="3" s="1"/>
  <c r="E27" i="3" s="1"/>
  <c r="E28" i="3"/>
  <c r="E30" i="3" s="1"/>
  <c r="N29" i="1"/>
  <c r="Q27" i="1" s="1"/>
  <c r="E8" i="3"/>
  <c r="F8" i="3" s="1"/>
  <c r="G8" i="3" s="1"/>
  <c r="E9" i="3"/>
  <c r="F9" i="3" s="1"/>
  <c r="G9" i="3" s="1"/>
  <c r="E10" i="3"/>
  <c r="F10" i="3" s="1"/>
  <c r="E11" i="3"/>
  <c r="F11" i="3" s="1"/>
  <c r="E7" i="3"/>
  <c r="F7" i="3" s="1"/>
  <c r="G7" i="3" s="1"/>
  <c r="E12" i="3"/>
  <c r="F12" i="3" s="1"/>
  <c r="N71" i="1"/>
  <c r="N87" i="1"/>
  <c r="N73" i="1"/>
  <c r="N72" i="1"/>
  <c r="Q37" i="3" l="1"/>
  <c r="T29" i="3"/>
  <c r="T32" i="3" s="1"/>
  <c r="T34" i="3" s="1"/>
  <c r="J36" i="1" s="1"/>
  <c r="S29" i="1"/>
  <c r="Q28" i="1"/>
  <c r="S28" i="1" s="1"/>
  <c r="S27" i="1"/>
  <c r="G10" i="3"/>
  <c r="D25" i="3"/>
  <c r="G11" i="3"/>
  <c r="D28" i="3"/>
  <c r="D27" i="3"/>
  <c r="G27" i="3" s="1"/>
  <c r="H27" i="3" s="1"/>
  <c r="G12" i="3"/>
  <c r="D30" i="3"/>
  <c r="G30" i="3" s="1"/>
  <c r="H30" i="3" s="1"/>
  <c r="Q59" i="1"/>
  <c r="Q61" i="1" s="1"/>
  <c r="N75" i="1"/>
  <c r="Q30" i="1" l="1"/>
  <c r="G28" i="3"/>
  <c r="H28" i="3" s="1"/>
  <c r="D29" i="3"/>
  <c r="G29" i="3" s="1"/>
  <c r="H29" i="3" s="1"/>
  <c r="D26" i="3"/>
  <c r="G26" i="3" s="1"/>
  <c r="H26" i="3" s="1"/>
  <c r="G25" i="3"/>
  <c r="H25" i="3" s="1"/>
</calcChain>
</file>

<file path=xl/sharedStrings.xml><?xml version="1.0" encoding="utf-8"?>
<sst xmlns="http://schemas.openxmlformats.org/spreadsheetml/2006/main" count="302" uniqueCount="179">
  <si>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</si>
  <si>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</si>
  <si>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</si>
  <si>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</si>
  <si>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</si>
  <si>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</si>
  <si>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</si>
  <si>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</si>
  <si>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</si>
  <si>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</si>
  <si>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</si>
  <si>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</si>
  <si>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</si>
  <si>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</si>
  <si>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</si>
  <si>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</si>
  <si>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</si>
  <si>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</si>
  <si>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</si>
  <si>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</si>
  <si>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</si>
  <si>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</si>
  <si>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</si>
  <si>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</si>
  <si>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</si>
  <si>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</si>
  <si>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</si>
  <si>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</si>
  <si>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</si>
  <si>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</si>
  <si>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</si>
  <si>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</si>
  <si>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</si>
  <si>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</si>
  <si>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</si>
  <si>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</si>
  <si>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</si>
  <si>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</si>
  <si>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</si>
  <si>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</si>
  <si>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</si>
  <si>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</si>
  <si>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</si>
  <si>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</si>
  <si>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</si>
  <si>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</si>
  <si>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</si>
  <si>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</si>
  <si>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</si>
  <si>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</si>
  <si>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</si>
  <si>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</si>
  <si>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</si>
  <si>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</si>
  <si>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</si>
  <si>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</si>
  <si>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</si>
  <si>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</si>
  <si>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</si>
  <si>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</si>
  <si>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</si>
  <si>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</si>
  <si>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</si>
  <si>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</si>
  <si>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</si>
  <si>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</si>
  <si>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</si>
  <si>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</si>
  <si>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</si>
  <si>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</si>
  <si>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</si>
  <si>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</si>
  <si>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</si>
  <si>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</si>
  <si>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</si>
  <si>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</si>
  <si>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</si>
  <si>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</si>
  <si>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</si>
  <si>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</si>
  <si>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</si>
  <si>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</si>
  <si>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</si>
  <si>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hb</t>
  </si>
  <si>
    <t>plat b</t>
  </si>
  <si>
    <t>plat t</t>
  </si>
  <si>
    <t>tf</t>
  </si>
  <si>
    <t>rc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</si>
  <si>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</si>
  <si>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</si>
  <si>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</si>
  <si>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</si>
  <si>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</si>
  <si>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</si>
  <si>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</si>
  <si>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</si>
  <si>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</si>
  <si>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</si>
  <si>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</si>
  <si>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</si>
  <si>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</si>
  <si>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</si>
  <si>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</si>
  <si>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</si>
  <si>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</si>
  <si>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</si>
  <si>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</si>
  <si>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</si>
  <si>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profilé</t>
  </si>
  <si>
    <t>Charge total poids propre</t>
  </si>
  <si>
    <t>Ni</t>
  </si>
  <si>
    <t>Ni Bot</t>
  </si>
  <si>
    <t>NiTop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</si>
  <si>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</si>
  <si>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</si>
  <si>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</si>
  <si>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</si>
  <si>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</si>
  <si>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</si>
  <si>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</si>
  <si>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</si>
  <si>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</si>
  <si>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</si>
  <si>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dApp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</si>
  <si>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</si>
  <si>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</si>
  <si>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</si>
  <si>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</si>
  <si>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</si>
  <si>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</si>
  <si>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</si>
  <si>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</si>
  <si>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</si>
  <si>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</si>
  <si>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</si>
  <si>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</si>
  <si>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</si>
  <si>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</si>
  <si>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</si>
  <si>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</si>
  <si>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</si>
  <si>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</si>
  <si>
    <t>Profilé IFB-A</t>
  </si>
  <si>
    <t>ha</t>
  </si>
  <si>
    <t>Prédalle</t>
  </si>
  <si>
    <t>Epaisseur</t>
  </si>
  <si>
    <t>Ep joint</t>
  </si>
  <si>
    <t>hwPrime</t>
  </si>
  <si>
    <t>Hauteur de l'élément âme</t>
  </si>
  <si>
    <t>bAppMin</t>
  </si>
  <si>
    <t>dbt</t>
  </si>
  <si>
    <t>qEd</t>
  </si>
  <si>
    <t>myBtEd</t>
  </si>
  <si>
    <t>myBtRd</t>
  </si>
  <si>
    <t>kNm/m</t>
  </si>
  <si>
    <t>Ratio</t>
  </si>
  <si>
    <t>bfs</t>
  </si>
  <si>
    <t>SAB</t>
  </si>
  <si>
    <t>SFS04</t>
  </si>
  <si>
    <t>bfi</t>
  </si>
  <si>
    <t>ANP dans l'âme</t>
  </si>
  <si>
    <t>FSup</t>
  </si>
  <si>
    <t>Rsup</t>
  </si>
  <si>
    <t>Wsup</t>
  </si>
  <si>
    <t>Winf</t>
  </si>
  <si>
    <t>Rinf</t>
  </si>
  <si>
    <t>Finf</t>
  </si>
  <si>
    <t>Bac</t>
  </si>
  <si>
    <t>Hauteur</t>
  </si>
  <si>
    <t>Entraxe</t>
  </si>
  <si>
    <t>bsup</t>
  </si>
  <si>
    <t>binf</t>
  </si>
  <si>
    <t>ep</t>
  </si>
  <si>
    <t>mu</t>
  </si>
  <si>
    <t>kg/m2</t>
  </si>
  <si>
    <t>b0</t>
  </si>
  <si>
    <t>charge linéique bac</t>
  </si>
  <si>
    <t>Nw</t>
  </si>
  <si>
    <t>PsiY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</si>
</sst>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0" fontId="3" fillId="0" borderId="0" xfId="0" applyFont="1" applyAlignment="1">
      <alignment horizontal="left" vertical="center"/>
    </xf>
    <xf numFmtId="1" fontId="0" fillId="0" borderId="8" xfId="0" applyNumberForma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87"/>
  <sheetViews>
    <sheetView tabSelected="1" topLeftCell="A52" workbookViewId="0">
      <selection activeCell="J36" sqref="J36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82</v>
      </c>
    </row>
    <row r="2" spans="3:23" x14ac:dyDescent="0.25">
      <c r="D2" t="s">
        <v>158</v>
      </c>
      <c r="E2" t="s">
        <v>157</v>
      </c>
    </row>
    <row r="4" spans="3:23" x14ac:dyDescent="0.25">
      <c r="C4" s="1" t="s">
        <v>142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156</v>
      </c>
      <c r="D6" s="6">
        <v>160</v>
      </c>
      <c r="E6" t="s">
        <v>2</v>
      </c>
      <c r="H6" s="3" t="s">
        <v>4</v>
      </c>
      <c r="I6" s="90">
        <f>D56</f>
        <v>11.121622242447165</v>
      </c>
      <c r="J6" t="s">
        <v>7</v>
      </c>
      <c r="M6" s="3" t="s">
        <v>13</v>
      </c>
      <c r="N6" s="6">
        <v>1.35</v>
      </c>
      <c r="V6" s="3" t="s">
        <v>94</v>
      </c>
      <c r="W6" s="74">
        <f>(10-3*PI())/(12-3*PI())</f>
        <v>0.22336793894575216</v>
      </c>
    </row>
    <row r="7" spans="3:23" x14ac:dyDescent="0.25">
      <c r="C7" s="3" t="s">
        <v>159</v>
      </c>
      <c r="D7" s="6">
        <v>300</v>
      </c>
      <c r="E7" t="s">
        <v>2</v>
      </c>
      <c r="H7" s="3" t="s">
        <v>5</v>
      </c>
      <c r="I7" s="6">
        <f>10*AVERAGE(D30:D31)</f>
        <v>20</v>
      </c>
      <c r="J7" t="s">
        <v>7</v>
      </c>
      <c r="M7" s="3" t="s">
        <v>14</v>
      </c>
      <c r="N7" s="6">
        <v>1.5</v>
      </c>
      <c r="V7" s="3" t="s">
        <v>95</v>
      </c>
      <c r="W7" s="6">
        <f>0.0151</f>
        <v>1.5100000000000001E-2</v>
      </c>
    </row>
    <row r="8" spans="3:23" x14ac:dyDescent="0.25">
      <c r="C8" s="3" t="s">
        <v>86</v>
      </c>
      <c r="D8" s="6">
        <v>22.5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0</v>
      </c>
      <c r="D9" s="8">
        <f>hb-2*tf</f>
        <v>315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93</v>
      </c>
      <c r="D10" s="8">
        <f>hb-2*tf-2*rr</f>
        <v>261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1</v>
      </c>
      <c r="D11" s="6">
        <v>12.5</v>
      </c>
      <c r="E11" t="s">
        <v>2</v>
      </c>
      <c r="M11" s="3" t="s">
        <v>60</v>
      </c>
      <c r="N11" s="6">
        <v>1.25</v>
      </c>
    </row>
    <row r="12" spans="3:23" x14ac:dyDescent="0.25">
      <c r="C12" s="3" t="s">
        <v>87</v>
      </c>
      <c r="D12" s="6">
        <v>27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83</v>
      </c>
      <c r="D13" s="6">
        <v>360</v>
      </c>
      <c r="E13" t="s">
        <v>2</v>
      </c>
      <c r="H13" s="10" t="s">
        <v>4</v>
      </c>
      <c r="I13" s="11" t="s">
        <v>10</v>
      </c>
      <c r="J13" s="9">
        <f>qG*LL^2/8</f>
        <v>112.60642520477755</v>
      </c>
      <c r="K13" s="12" t="s">
        <v>18</v>
      </c>
    </row>
    <row r="14" spans="3:23" x14ac:dyDescent="0.25">
      <c r="C14" s="3" t="s">
        <v>84</v>
      </c>
      <c r="D14" s="6">
        <v>0</v>
      </c>
      <c r="E14" t="s">
        <v>2</v>
      </c>
      <c r="H14" s="13"/>
      <c r="I14" s="14" t="s">
        <v>11</v>
      </c>
      <c r="J14" s="80">
        <f>qG*LL/2</f>
        <v>50.047300091012239</v>
      </c>
      <c r="K14" s="15" t="s">
        <v>8</v>
      </c>
    </row>
    <row r="15" spans="3:23" x14ac:dyDescent="0.25">
      <c r="C15" s="3" t="s">
        <v>85</v>
      </c>
      <c r="D15" s="6">
        <v>0</v>
      </c>
      <c r="E15" t="s">
        <v>2</v>
      </c>
      <c r="H15" s="16" t="s">
        <v>5</v>
      </c>
      <c r="I15" s="17" t="s">
        <v>10</v>
      </c>
      <c r="J15" s="9">
        <f>qQ_1*LL^2/8</f>
        <v>202.5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 t="s">
        <v>143</v>
      </c>
      <c r="D16" s="6">
        <f>hb</f>
        <v>360</v>
      </c>
      <c r="E16" t="s">
        <v>2</v>
      </c>
      <c r="H16" s="19"/>
      <c r="I16" s="20" t="s">
        <v>11</v>
      </c>
      <c r="J16" s="8">
        <f>qQ_1*LL/2</f>
        <v>90</v>
      </c>
      <c r="K16" s="21" t="s">
        <v>8</v>
      </c>
    </row>
    <row r="17" spans="3:23" x14ac:dyDescent="0.25">
      <c r="C17" s="3" t="s">
        <v>147</v>
      </c>
      <c r="D17" s="8">
        <f>Ht-Pl_t-tf</f>
        <v>337.5</v>
      </c>
      <c r="E17" t="s">
        <v>2</v>
      </c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/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>
        <f>bfs*tf</f>
        <v>3600</v>
      </c>
      <c r="O18" s="42">
        <f>hb-tf-tf/2</f>
        <v>326.25</v>
      </c>
      <c r="P18" s="72">
        <f t="shared" ref="P18:P23" si="0">N18*O18</f>
        <v>1174500</v>
      </c>
      <c r="Q18" s="67">
        <f t="shared" ref="Q18:Q23" si="1">O18-zG</f>
        <v>204.39356984033901</v>
      </c>
      <c r="R18" s="69">
        <f t="shared" ref="R18:R23" si="2">N18*Q18^2</f>
        <v>150396233.01147914</v>
      </c>
      <c r="S18" s="71">
        <f>bfs*tf^3/12</f>
        <v>151875</v>
      </c>
    </row>
    <row r="19" spans="3:23" x14ac:dyDescent="0.25">
      <c r="C19" s="3" t="s">
        <v>40</v>
      </c>
      <c r="D19" s="6">
        <v>420</v>
      </c>
      <c r="E19" t="s">
        <v>43</v>
      </c>
      <c r="M19" s="41" t="s">
        <v>91</v>
      </c>
      <c r="N19" s="68">
        <f>(4-PI())*rr^2/2</f>
        <v>312.88947776652043</v>
      </c>
      <c r="O19" s="75">
        <f>hb-2*tf-kcG*rr</f>
        <v>308.96906564846466</v>
      </c>
      <c r="P19" s="71">
        <f t="shared" si="0"/>
        <v>96673.169596757871</v>
      </c>
      <c r="Q19" s="68">
        <f t="shared" si="1"/>
        <v>187.11263548880368</v>
      </c>
      <c r="R19" s="70">
        <f t="shared" si="2"/>
        <v>10954616.797335969</v>
      </c>
      <c r="S19" s="71">
        <f>S21</f>
        <v>8024.7591000000002</v>
      </c>
    </row>
    <row r="20" spans="3:23" x14ac:dyDescent="0.25">
      <c r="C20" s="3" t="s">
        <v>41</v>
      </c>
      <c r="D20" s="6">
        <f>FyS</f>
        <v>420</v>
      </c>
      <c r="E20" t="s">
        <v>44</v>
      </c>
      <c r="M20" s="41" t="s">
        <v>27</v>
      </c>
      <c r="N20" s="44">
        <f>hw*tw</f>
        <v>3937.5</v>
      </c>
      <c r="O20" s="4">
        <f>hw/2</f>
        <v>157.5</v>
      </c>
      <c r="P20" s="44">
        <f t="shared" si="0"/>
        <v>620156.25</v>
      </c>
      <c r="Q20" s="68">
        <f t="shared" si="1"/>
        <v>35.643569840339012</v>
      </c>
      <c r="R20" s="70">
        <f t="shared" si="2"/>
        <v>5002452.2794173043</v>
      </c>
      <c r="S20" s="71">
        <f>hw^3*tw/12</f>
        <v>32558203.125</v>
      </c>
    </row>
    <row r="21" spans="3:23" x14ac:dyDescent="0.25">
      <c r="C21" s="3" t="s">
        <v>42</v>
      </c>
      <c r="D21" s="6">
        <f>FyS</f>
        <v>420</v>
      </c>
      <c r="E21" t="s">
        <v>43</v>
      </c>
      <c r="H21" s="1" t="s">
        <v>22</v>
      </c>
      <c r="I21" s="1"/>
      <c r="J21" s="1"/>
      <c r="K21" s="1"/>
      <c r="M21" s="41" t="s">
        <v>92</v>
      </c>
      <c r="N21" s="68">
        <f>(4-PI())*rr^2/2</f>
        <v>312.88947776652043</v>
      </c>
      <c r="O21" s="59">
        <f>kcG*rr</f>
        <v>6.0309343515353087</v>
      </c>
      <c r="P21" s="44">
        <f t="shared" si="0"/>
        <v>1887.0158996960513</v>
      </c>
      <c r="Q21" s="68">
        <f t="shared" si="1"/>
        <v>-115.82549580812568</v>
      </c>
      <c r="R21" s="70">
        <f t="shared" si="2"/>
        <v>4197583.0189393098</v>
      </c>
      <c r="S21" s="71">
        <f>kcI*rr^4</f>
        <v>8024.7591000000002</v>
      </c>
    </row>
    <row r="22" spans="3:23" x14ac:dyDescent="0.25">
      <c r="C22" s="3" t="s">
        <v>90</v>
      </c>
      <c r="D22" s="6">
        <v>345</v>
      </c>
      <c r="E22" t="s">
        <v>43</v>
      </c>
      <c r="M22" s="41" t="s">
        <v>28</v>
      </c>
      <c r="N22" s="44">
        <f>bf*tf</f>
        <v>6750</v>
      </c>
      <c r="O22" s="4">
        <f>-tf/2</f>
        <v>-11.25</v>
      </c>
      <c r="P22" s="71">
        <f t="shared" si="0"/>
        <v>-75937.5</v>
      </c>
      <c r="Q22" s="68">
        <f t="shared" si="1"/>
        <v>-133.10643015966099</v>
      </c>
      <c r="R22" s="70">
        <f t="shared" si="2"/>
        <v>119591921.81147876</v>
      </c>
      <c r="S22" s="71">
        <f>bf*tf^3/12</f>
        <v>284765.625</v>
      </c>
    </row>
    <row r="23" spans="3:23" x14ac:dyDescent="0.25">
      <c r="C23" s="3" t="s">
        <v>59</v>
      </c>
      <c r="D23" s="6">
        <v>470</v>
      </c>
      <c r="E23" t="s">
        <v>43</v>
      </c>
      <c r="H23" s="29" t="s">
        <v>23</v>
      </c>
      <c r="I23" s="30" t="s">
        <v>10</v>
      </c>
      <c r="J23" s="48">
        <f>GammaG*MEdG+GammaQ*(MEd_Q1+Psi_0*MEd_Q2)</f>
        <v>455.76867402644973</v>
      </c>
      <c r="K23" s="31" t="s">
        <v>18</v>
      </c>
      <c r="M23" s="41" t="s">
        <v>88</v>
      </c>
      <c r="N23" s="5">
        <f>Pl_b*Pl_t</f>
        <v>0</v>
      </c>
      <c r="O23" s="5">
        <f>Ht-tf-Pl_t/2</f>
        <v>337.5</v>
      </c>
      <c r="P23" s="5">
        <f t="shared" si="0"/>
        <v>0</v>
      </c>
      <c r="Q23" s="54">
        <f t="shared" si="1"/>
        <v>215.64356984033901</v>
      </c>
      <c r="R23" s="56">
        <f t="shared" si="2"/>
        <v>0</v>
      </c>
      <c r="S23" s="56">
        <f>Pl_b*Pl_t^3/12</f>
        <v>0</v>
      </c>
    </row>
    <row r="24" spans="3:23" x14ac:dyDescent="0.25">
      <c r="H24" s="32"/>
      <c r="I24" s="33" t="s">
        <v>11</v>
      </c>
      <c r="J24" s="48">
        <f>GammaG*VEdG+GammaQ*(VEd_Q1+Psi_0*VEd_Q2)</f>
        <v>202.56385512286653</v>
      </c>
      <c r="K24" s="34" t="s">
        <v>8</v>
      </c>
      <c r="N24" s="73">
        <f>SUM(N18:N23)</f>
        <v>14913.278955533042</v>
      </c>
      <c r="P24" s="28">
        <f>SUM(P18:P23)</f>
        <v>1817278.9354964541</v>
      </c>
      <c r="R24" s="28">
        <f>SUM(R18:R23)</f>
        <v>290142806.91865051</v>
      </c>
      <c r="S24" s="95">
        <f>SUM(S18:S23)</f>
        <v>33010893.268200003</v>
      </c>
    </row>
    <row r="25" spans="3:23" x14ac:dyDescent="0.25">
      <c r="C25" s="1" t="s">
        <v>19</v>
      </c>
      <c r="D25" s="1"/>
      <c r="E25" s="1"/>
      <c r="F25" s="1"/>
      <c r="H25" s="35" t="s">
        <v>24</v>
      </c>
      <c r="I25" s="36" t="s">
        <v>10</v>
      </c>
      <c r="J25" s="48">
        <f>GammaG*MEdG+GammaQ*(Psi_0*MEd_Q1+MEd_Q2)</f>
        <v>364.64367402644973</v>
      </c>
      <c r="K25" s="37" t="s">
        <v>18</v>
      </c>
    </row>
    <row r="26" spans="3:23" x14ac:dyDescent="0.25">
      <c r="C26" s="3"/>
      <c r="H26" s="38"/>
      <c r="I26" s="39" t="s">
        <v>11</v>
      </c>
      <c r="J26" s="48">
        <f>GammaG*VEdG+GammaQ*(Psi_0*VEd_Q1+VEd_Q2)</f>
        <v>162.06385512286653</v>
      </c>
      <c r="K26" s="40" t="s">
        <v>8</v>
      </c>
      <c r="M26" s="3" t="s">
        <v>34</v>
      </c>
      <c r="N26" s="9">
        <f>N24</f>
        <v>14913.278955533042</v>
      </c>
      <c r="O26" t="s">
        <v>36</v>
      </c>
      <c r="U26" s="3" t="s">
        <v>61</v>
      </c>
      <c r="V26" s="48">
        <f>SUM(N19:N21)+2*(2*rr+tw)*tf/2</f>
        <v>6059.5289555330401</v>
      </c>
      <c r="W26" t="s">
        <v>36</v>
      </c>
    </row>
    <row r="27" spans="3:23" x14ac:dyDescent="0.25">
      <c r="C27" s="3" t="s">
        <v>20</v>
      </c>
      <c r="D27" s="6">
        <v>9</v>
      </c>
      <c r="E27" t="s">
        <v>21</v>
      </c>
      <c r="M27" s="3" t="s">
        <v>35</v>
      </c>
      <c r="N27" s="9">
        <f>P24/A</f>
        <v>121.85643015966099</v>
      </c>
      <c r="O27" t="s">
        <v>2</v>
      </c>
      <c r="P27" s="3" t="s">
        <v>55</v>
      </c>
      <c r="Q27" s="55">
        <f>IncertieCM/(ABS(hb-tf-zG))*10</f>
        <v>1498.5547699201566</v>
      </c>
      <c r="R27" t="s">
        <v>57</v>
      </c>
      <c r="S27" s="75">
        <f>Q27*355/1000</f>
        <v>531.98694332165564</v>
      </c>
      <c r="U27" s="3" t="s">
        <v>96</v>
      </c>
      <c r="V27" s="48">
        <f>7850*A/10^6</f>
        <v>117.06923980093437</v>
      </c>
      <c r="W27" t="s">
        <v>63</v>
      </c>
    </row>
    <row r="28" spans="3:23" x14ac:dyDescent="0.25">
      <c r="C28" s="3"/>
      <c r="D28" s="4"/>
      <c r="M28" s="3" t="s">
        <v>62</v>
      </c>
      <c r="N28" s="49">
        <f>SUM(R24:S24)</f>
        <v>323153700.18685049</v>
      </c>
      <c r="O28" t="s">
        <v>37</v>
      </c>
      <c r="P28" s="3" t="s">
        <v>56</v>
      </c>
      <c r="Q28" s="55">
        <f>IncertieCM/(ABS(zG+tf))*10</f>
        <v>2238.5819587630162</v>
      </c>
      <c r="R28" t="s">
        <v>57</v>
      </c>
      <c r="S28" s="75">
        <f t="shared" ref="S28:S29" si="3">Q28*355/1000</f>
        <v>794.69659536087079</v>
      </c>
      <c r="U28" s="3" t="s">
        <v>98</v>
      </c>
      <c r="V28" s="9">
        <f>V27*LL</f>
        <v>1053.6231582084092</v>
      </c>
      <c r="W28" t="s">
        <v>65</v>
      </c>
    </row>
    <row r="29" spans="3:23" x14ac:dyDescent="0.25">
      <c r="C29" s="3" t="s">
        <v>68</v>
      </c>
      <c r="D29" s="6">
        <v>210000</v>
      </c>
      <c r="E29" t="s">
        <v>43</v>
      </c>
      <c r="N29" s="9">
        <f>N28/10^4</f>
        <v>32315.370018685047</v>
      </c>
      <c r="O29" t="s">
        <v>38</v>
      </c>
      <c r="P29" s="2" t="s">
        <v>89</v>
      </c>
      <c r="Q29" s="55"/>
      <c r="R29" t="s">
        <v>57</v>
      </c>
      <c r="S29" s="75">
        <f t="shared" si="3"/>
        <v>0</v>
      </c>
      <c r="U29" s="3" t="s">
        <v>97</v>
      </c>
      <c r="V29" s="49">
        <f>Pl_t*Pl_b^3/12+hwP*tw^3/12+tf*bf^3/12+2*kcI*rr^4+(4-PI())*rr^2/2*(tw/2+kcG*rr)^2+tf*bfs^3/12</f>
        <v>58423171.571807832</v>
      </c>
      <c r="W29" t="s">
        <v>37</v>
      </c>
    </row>
    <row r="30" spans="3:23" x14ac:dyDescent="0.25">
      <c r="C30" s="3" t="s">
        <v>102</v>
      </c>
      <c r="D30" s="6">
        <v>2</v>
      </c>
      <c r="E30" t="s">
        <v>21</v>
      </c>
      <c r="I30" s="3" t="s">
        <v>79</v>
      </c>
      <c r="J30" s="54">
        <f>GammaG*qG+GammaQ*(qQ_1)</f>
        <v>45.01419002730367</v>
      </c>
      <c r="K30" t="s">
        <v>7</v>
      </c>
      <c r="P30" s="3" t="s">
        <v>58</v>
      </c>
      <c r="Q30" s="76">
        <f>MIN(Q27*FyS,Q28*FyI)/1000/GammaM0</f>
        <v>629.39300336646579</v>
      </c>
      <c r="R30" t="s">
        <v>18</v>
      </c>
      <c r="V30" s="48">
        <f>V29/10^4</f>
        <v>5842.3171571807834</v>
      </c>
      <c r="W30" t="s">
        <v>38</v>
      </c>
    </row>
    <row r="31" spans="3:23" x14ac:dyDescent="0.25">
      <c r="C31" s="3" t="s">
        <v>103</v>
      </c>
      <c r="D31" s="6">
        <v>2</v>
      </c>
      <c r="E31" t="s">
        <v>21</v>
      </c>
      <c r="I31" s="3" t="s">
        <v>80</v>
      </c>
      <c r="J31" s="5">
        <f>Psi_0*GammaQ*F_Q2</f>
        <v>0</v>
      </c>
      <c r="K31" t="s">
        <v>8</v>
      </c>
    </row>
    <row r="32" spans="3:23" x14ac:dyDescent="0.25">
      <c r="C32" s="3"/>
      <c r="D32" s="4"/>
      <c r="M32" s="46" t="s">
        <v>45</v>
      </c>
      <c r="N32" s="46"/>
      <c r="O32" s="46"/>
      <c r="P32" s="46"/>
      <c r="Q32" s="46"/>
      <c r="R32" s="46"/>
      <c r="S32" s="46"/>
    </row>
    <row r="33" spans="3:25" x14ac:dyDescent="0.25">
      <c r="C33" s="1" t="s">
        <v>144</v>
      </c>
      <c r="D33" s="1"/>
      <c r="E33" s="1"/>
      <c r="F33" s="1"/>
    </row>
    <row r="34" spans="3:25" x14ac:dyDescent="0.25">
      <c r="C34" s="3"/>
      <c r="D34" s="4"/>
      <c r="N34" s="5" t="s">
        <v>29</v>
      </c>
      <c r="O34" s="5" t="s">
        <v>28</v>
      </c>
      <c r="P34" s="5" t="s">
        <v>110</v>
      </c>
      <c r="Q34" s="5" t="s">
        <v>30</v>
      </c>
      <c r="R34" s="5" t="s">
        <v>111</v>
      </c>
      <c r="S34" s="5" t="s">
        <v>112</v>
      </c>
    </row>
    <row r="35" spans="3:25" x14ac:dyDescent="0.25">
      <c r="C35" s="3" t="s">
        <v>145</v>
      </c>
      <c r="D35" s="6">
        <v>0</v>
      </c>
      <c r="E35" t="s">
        <v>2</v>
      </c>
      <c r="I35" s="58" t="s">
        <v>53</v>
      </c>
      <c r="J35" s="58"/>
      <c r="K35" s="58"/>
      <c r="M35" s="41" t="s">
        <v>88</v>
      </c>
      <c r="N35" s="60">
        <f>N23</f>
        <v>0</v>
      </c>
      <c r="O35" s="4">
        <f>FyPl/GammaM0</f>
        <v>345</v>
      </c>
      <c r="P35" s="59">
        <f>N35*O35/1000</f>
        <v>0</v>
      </c>
      <c r="Q35" s="4">
        <v>0</v>
      </c>
      <c r="R35" s="59">
        <f>P42-P35</f>
        <v>6263.5771613238776</v>
      </c>
      <c r="S35" s="59">
        <f>P35</f>
        <v>0</v>
      </c>
    </row>
    <row r="36" spans="3:25" x14ac:dyDescent="0.25">
      <c r="C36" s="3" t="s">
        <v>146</v>
      </c>
      <c r="D36" s="6">
        <v>0</v>
      </c>
      <c r="E36" t="s">
        <v>2</v>
      </c>
      <c r="I36" s="2" t="s">
        <v>54</v>
      </c>
      <c r="J36" s="52">
        <f>MEd_U1/MplRdRed</f>
        <v>0.55731905121817715</v>
      </c>
      <c r="M36" s="41" t="s">
        <v>26</v>
      </c>
      <c r="N36" s="4">
        <f>N18</f>
        <v>3600</v>
      </c>
      <c r="O36" s="4">
        <f>FyS/GammaM0</f>
        <v>420</v>
      </c>
      <c r="P36" s="59">
        <f>N36*O36/1000</f>
        <v>1512</v>
      </c>
      <c r="Q36" s="59">
        <f>O18</f>
        <v>326.25</v>
      </c>
      <c r="R36" s="59">
        <f>R35-P36</f>
        <v>4751.5771613238776</v>
      </c>
      <c r="S36" s="59">
        <f>S35+P36</f>
        <v>1512</v>
      </c>
    </row>
    <row r="37" spans="3:25" x14ac:dyDescent="0.25">
      <c r="C37" s="3"/>
      <c r="D37" s="4"/>
      <c r="I37" s="2" t="s">
        <v>137</v>
      </c>
      <c r="J37" s="52">
        <f>VEd_U1/Q62</f>
        <v>0.13785877834670204</v>
      </c>
      <c r="M37" s="41" t="s">
        <v>91</v>
      </c>
      <c r="N37" s="81">
        <f>N19</f>
        <v>312.88947776652043</v>
      </c>
      <c r="O37" s="4">
        <f>FyW/GammaM0</f>
        <v>420</v>
      </c>
      <c r="P37" s="59">
        <f t="shared" ref="P37:P40" si="4">N37*O37/1000</f>
        <v>131.4135806619386</v>
      </c>
      <c r="Q37" s="59">
        <f>O19</f>
        <v>308.96906564846466</v>
      </c>
      <c r="R37" s="59">
        <f t="shared" ref="R37:R40" si="5">R36-P37</f>
        <v>4620.1635806619388</v>
      </c>
      <c r="S37" s="59">
        <f>S36+P37</f>
        <v>1643.4135806619386</v>
      </c>
    </row>
    <row r="38" spans="3:25" x14ac:dyDescent="0.25">
      <c r="C38" s="3" t="s">
        <v>149</v>
      </c>
      <c r="D38" s="6">
        <v>50</v>
      </c>
      <c r="E38" t="s">
        <v>2</v>
      </c>
      <c r="M38" s="41" t="s">
        <v>27</v>
      </c>
      <c r="N38" s="60">
        <f>N20</f>
        <v>3937.5</v>
      </c>
      <c r="O38" s="4">
        <f>FyW/GammaM0</f>
        <v>420</v>
      </c>
      <c r="P38" s="59">
        <f t="shared" si="4"/>
        <v>1653.75</v>
      </c>
      <c r="Q38" s="4">
        <f>O20</f>
        <v>157.5</v>
      </c>
      <c r="R38" s="59">
        <f t="shared" si="5"/>
        <v>2966.4135806619388</v>
      </c>
      <c r="S38" s="59">
        <f t="shared" ref="S38:S40" si="6">S37+P38</f>
        <v>3297.1635806619388</v>
      </c>
    </row>
    <row r="39" spans="3:25" x14ac:dyDescent="0.25">
      <c r="C39" s="3"/>
      <c r="D39" s="4"/>
      <c r="M39" s="41" t="s">
        <v>92</v>
      </c>
      <c r="N39" s="81">
        <f t="shared" ref="N39:N40" si="7">N21</f>
        <v>312.88947776652043</v>
      </c>
      <c r="O39" s="4">
        <f>FyW/GammaM0</f>
        <v>420</v>
      </c>
      <c r="P39" s="59">
        <f t="shared" si="4"/>
        <v>131.4135806619386</v>
      </c>
      <c r="Q39" s="59">
        <f>O21</f>
        <v>6.0309343515353087</v>
      </c>
      <c r="R39" s="59">
        <f t="shared" si="5"/>
        <v>2835</v>
      </c>
      <c r="S39" s="59">
        <f t="shared" si="6"/>
        <v>3428.5771613238776</v>
      </c>
    </row>
    <row r="40" spans="3:25" x14ac:dyDescent="0.25">
      <c r="C40" s="1" t="s">
        <v>99</v>
      </c>
      <c r="D40" s="1"/>
      <c r="E40" s="1"/>
      <c r="F40" s="1"/>
      <c r="M40" s="41" t="s">
        <v>28</v>
      </c>
      <c r="N40" s="60">
        <f t="shared" si="7"/>
        <v>6750</v>
      </c>
      <c r="O40" s="4">
        <f>FyI/GammaM0</f>
        <v>420</v>
      </c>
      <c r="P40" s="59">
        <f t="shared" si="4"/>
        <v>2835</v>
      </c>
      <c r="Q40" s="59">
        <f>O22</f>
        <v>-11.25</v>
      </c>
      <c r="R40" s="59">
        <f t="shared" si="5"/>
        <v>0</v>
      </c>
      <c r="S40" s="59">
        <f t="shared" si="6"/>
        <v>6263.5771613238776</v>
      </c>
    </row>
    <row r="42" spans="3:25" x14ac:dyDescent="0.25">
      <c r="C42" s="3" t="s">
        <v>100</v>
      </c>
      <c r="D42" s="6">
        <v>380</v>
      </c>
      <c r="E42" t="s">
        <v>2</v>
      </c>
      <c r="N42" s="55">
        <f>SUM(N35:N40)</f>
        <v>14913.278955533042</v>
      </c>
      <c r="P42" s="55">
        <f>SUM(P35:P40)</f>
        <v>6263.5771613238776</v>
      </c>
    </row>
    <row r="43" spans="3:25" x14ac:dyDescent="0.25">
      <c r="C43" s="3" t="s">
        <v>101</v>
      </c>
      <c r="D43" s="77">
        <f>td-hBac</f>
        <v>160</v>
      </c>
      <c r="E43" t="s">
        <v>2</v>
      </c>
    </row>
    <row r="44" spans="3:25" x14ac:dyDescent="0.25">
      <c r="C44" s="3"/>
      <c r="D44" s="4"/>
      <c r="M44" s="3" t="s">
        <v>81</v>
      </c>
      <c r="N44" s="55">
        <f>P42</f>
        <v>6263.5771613238776</v>
      </c>
      <c r="O44" t="s">
        <v>8</v>
      </c>
    </row>
    <row r="45" spans="3:25" x14ac:dyDescent="0.25">
      <c r="C45" s="3"/>
      <c r="D45" s="4"/>
    </row>
    <row r="46" spans="3:25" x14ac:dyDescent="0.25">
      <c r="C46" s="1" t="s">
        <v>104</v>
      </c>
      <c r="D46" s="1"/>
      <c r="E46" s="1"/>
      <c r="F46" s="1"/>
      <c r="M46" s="3" t="s">
        <v>148</v>
      </c>
      <c r="N46" s="6">
        <f>hw</f>
        <v>315</v>
      </c>
      <c r="O46" t="s">
        <v>2</v>
      </c>
    </row>
    <row r="47" spans="3:25" x14ac:dyDescent="0.25">
      <c r="C47" s="3"/>
      <c r="D47" s="4"/>
      <c r="M47" t="s">
        <v>160</v>
      </c>
    </row>
    <row r="48" spans="3:25" x14ac:dyDescent="0.25">
      <c r="C48" s="3" t="s">
        <v>105</v>
      </c>
      <c r="D48" s="6">
        <v>2500</v>
      </c>
      <c r="E48" t="s">
        <v>64</v>
      </c>
      <c r="M48" s="3" t="s">
        <v>48</v>
      </c>
      <c r="N48" s="52">
        <f>0.5+(P36-P40)/2/P38</f>
        <v>9.9999999999999978E-2</v>
      </c>
      <c r="X48" s="48">
        <f>-tf+zANP</f>
        <v>8.9999999999999929</v>
      </c>
      <c r="Y48" t="s">
        <v>2</v>
      </c>
    </row>
    <row r="49" spans="3:21" x14ac:dyDescent="0.25">
      <c r="C49" s="3"/>
      <c r="D49" s="4"/>
      <c r="H49" s="1" t="s">
        <v>52</v>
      </c>
      <c r="I49" s="1"/>
      <c r="J49" s="1"/>
      <c r="K49" s="1"/>
      <c r="M49" s="3" t="s">
        <v>49</v>
      </c>
      <c r="N49" s="53">
        <f>pANP*hw</f>
        <v>31.499999999999993</v>
      </c>
      <c r="O49" t="s">
        <v>2</v>
      </c>
    </row>
    <row r="50" spans="3:21" x14ac:dyDescent="0.25">
      <c r="C50" s="3" t="s">
        <v>106</v>
      </c>
      <c r="D50" s="47">
        <f>AVERAGE(D30:D31)*tc*(1+b0Bac*hBac/eBac/tc)/1000</f>
        <v>0.39333333333333337</v>
      </c>
      <c r="E50" t="s">
        <v>66</v>
      </c>
    </row>
    <row r="51" spans="3:21" x14ac:dyDescent="0.25">
      <c r="C51" s="3" t="s">
        <v>96</v>
      </c>
      <c r="D51" s="49">
        <f>Ac*rhoC</f>
        <v>983.33333333333337</v>
      </c>
      <c r="E51" t="s">
        <v>63</v>
      </c>
      <c r="I51" s="3" t="s">
        <v>138</v>
      </c>
      <c r="J51" s="91">
        <f>dW</f>
        <v>261</v>
      </c>
      <c r="K51" t="s">
        <v>2</v>
      </c>
      <c r="S51">
        <f>hwP-rr</f>
        <v>310.5</v>
      </c>
    </row>
    <row r="52" spans="3:21" x14ac:dyDescent="0.25">
      <c r="C52" s="3" t="s">
        <v>107</v>
      </c>
      <c r="D52" s="80">
        <f>D51*9.81/1000</f>
        <v>9.6464999999999996</v>
      </c>
      <c r="E52" t="s">
        <v>7</v>
      </c>
      <c r="I52" s="3" t="s">
        <v>51</v>
      </c>
      <c r="J52" s="92">
        <f>dW/tw</f>
        <v>20.88</v>
      </c>
      <c r="N52" s="5" t="s">
        <v>110</v>
      </c>
      <c r="O52" s="5" t="s">
        <v>30</v>
      </c>
      <c r="P52" s="5" t="s">
        <v>32</v>
      </c>
      <c r="Q52" s="5" t="s">
        <v>115</v>
      </c>
      <c r="T52" s="96">
        <f>(1-T53)-T53</f>
        <v>-0.37777777777777777</v>
      </c>
      <c r="U52">
        <f>T52*N20*O38</f>
        <v>-624750</v>
      </c>
    </row>
    <row r="53" spans="3:21" x14ac:dyDescent="0.25">
      <c r="C53" s="3" t="s">
        <v>176</v>
      </c>
      <c r="D53" s="48">
        <f>MuBac*AVERAGE(D30:D31)*9.81/1000</f>
        <v>0.32667299999999999</v>
      </c>
      <c r="E53" t="s">
        <v>7</v>
      </c>
      <c r="I53" s="3" t="s">
        <v>139</v>
      </c>
      <c r="J53" s="92">
        <f>SQRT(235/FyW)</f>
        <v>0.74801324154309567</v>
      </c>
      <c r="M53" s="41" t="s">
        <v>161</v>
      </c>
      <c r="N53" s="87">
        <f>P36</f>
        <v>1512</v>
      </c>
      <c r="O53" s="84">
        <f>Q36</f>
        <v>326.25</v>
      </c>
      <c r="P53" s="67">
        <f t="shared" ref="P53:P58" si="8">ABS(O53-zANP)</f>
        <v>294.75</v>
      </c>
      <c r="Q53" s="69">
        <f>N53*P53/1000</f>
        <v>445.66199999999998</v>
      </c>
      <c r="R53" s="97"/>
      <c r="T53" s="96">
        <f>1-T54</f>
        <v>0.68888888888888888</v>
      </c>
    </row>
    <row r="54" spans="3:21" x14ac:dyDescent="0.25">
      <c r="C54" s="3" t="s">
        <v>108</v>
      </c>
      <c r="D54" s="80">
        <f>V27*9.81/1000</f>
        <v>1.1484492424471662</v>
      </c>
      <c r="E54" t="s">
        <v>7</v>
      </c>
      <c r="I54" s="3" t="s">
        <v>140</v>
      </c>
      <c r="J54" s="92">
        <f>38*J53</f>
        <v>28.424503178637636</v>
      </c>
      <c r="M54" s="41" t="s">
        <v>162</v>
      </c>
      <c r="N54" s="82">
        <f>P37</f>
        <v>131.4135806619386</v>
      </c>
      <c r="O54" s="85">
        <f>Q37</f>
        <v>308.96906564846466</v>
      </c>
      <c r="P54" s="68">
        <f t="shared" si="8"/>
        <v>277.46906564846466</v>
      </c>
      <c r="Q54" s="70">
        <f>N54*P54/1000</f>
        <v>36.46320343978725</v>
      </c>
      <c r="R54" s="97"/>
      <c r="T54" s="66">
        <f>(S55)/hwP</f>
        <v>0.31111111111111112</v>
      </c>
      <c r="U54" s="75">
        <f>P38*(1-T54)</f>
        <v>1139.25</v>
      </c>
    </row>
    <row r="55" spans="3:21" x14ac:dyDescent="0.25">
      <c r="C55" s="3"/>
      <c r="D55" s="4"/>
      <c r="I55" s="3" t="s">
        <v>141</v>
      </c>
      <c r="J55" s="91">
        <f>IF(J54&gt;J52,2,3)</f>
        <v>2</v>
      </c>
      <c r="M55" s="41" t="s">
        <v>163</v>
      </c>
      <c r="N55" s="82">
        <f>(1-pANP)*P38</f>
        <v>1488.375</v>
      </c>
      <c r="O55" s="85">
        <f>hw-(1-pANP)*hw/2</f>
        <v>173.25</v>
      </c>
      <c r="P55" s="68">
        <f t="shared" si="8"/>
        <v>141.75</v>
      </c>
      <c r="Q55" s="70">
        <f t="shared" ref="Q55:Q57" si="9">N55*P55/1000</f>
        <v>210.97715625000001</v>
      </c>
      <c r="R55" s="97"/>
      <c r="S55" s="6">
        <v>105</v>
      </c>
      <c r="U55" s="75">
        <f>T54*P38</f>
        <v>514.5</v>
      </c>
    </row>
    <row r="56" spans="3:21" x14ac:dyDescent="0.25">
      <c r="C56" s="3" t="s">
        <v>109</v>
      </c>
      <c r="D56" s="99">
        <f>SUM(D52:D54)</f>
        <v>11.121622242447165</v>
      </c>
      <c r="E56" s="57" t="s">
        <v>7</v>
      </c>
      <c r="J56" s="4"/>
      <c r="M56" s="41" t="s">
        <v>164</v>
      </c>
      <c r="N56" s="82">
        <f>pANP*P38</f>
        <v>165.37499999999997</v>
      </c>
      <c r="O56" s="85">
        <f>pANP*hw/2</f>
        <v>15.749999999999996</v>
      </c>
      <c r="P56" s="68">
        <f t="shared" si="8"/>
        <v>15.749999999999996</v>
      </c>
      <c r="Q56" s="70">
        <f t="shared" si="9"/>
        <v>2.6046562499999992</v>
      </c>
      <c r="R56" s="97"/>
      <c r="U56" s="75"/>
    </row>
    <row r="57" spans="3:21" x14ac:dyDescent="0.25">
      <c r="C57" s="3"/>
      <c r="D57" s="4"/>
      <c r="J57" s="4"/>
      <c r="M57" s="41" t="s">
        <v>165</v>
      </c>
      <c r="N57" s="82">
        <f>P39</f>
        <v>131.4135806619386</v>
      </c>
      <c r="O57" s="85">
        <f>Q39</f>
        <v>6.0309343515353087</v>
      </c>
      <c r="P57" s="68">
        <f t="shared" si="8"/>
        <v>25.469065648464685</v>
      </c>
      <c r="Q57" s="70">
        <f t="shared" si="9"/>
        <v>3.3469811129787237</v>
      </c>
      <c r="R57" s="97"/>
      <c r="U57" s="75">
        <f>U54-U55</f>
        <v>624.75</v>
      </c>
    </row>
    <row r="58" spans="3:21" x14ac:dyDescent="0.25">
      <c r="C58" s="3"/>
      <c r="D58" s="4"/>
      <c r="J58" s="4"/>
      <c r="M58" s="41" t="s">
        <v>166</v>
      </c>
      <c r="N58" s="88">
        <f>P40</f>
        <v>2835</v>
      </c>
      <c r="O58" s="86">
        <f>Q40</f>
        <v>-11.25</v>
      </c>
      <c r="P58" s="73">
        <f t="shared" si="8"/>
        <v>42.749999999999993</v>
      </c>
      <c r="Q58" s="98">
        <f>N58*P58/1000</f>
        <v>121.19624999999999</v>
      </c>
    </row>
    <row r="59" spans="3:21" x14ac:dyDescent="0.25">
      <c r="C59" s="1" t="s">
        <v>167</v>
      </c>
      <c r="D59" s="1"/>
      <c r="E59" s="1"/>
      <c r="F59" s="1"/>
      <c r="Q59" s="83">
        <f>SUM(Q53:Q58)</f>
        <v>820.25024705276587</v>
      </c>
      <c r="R59" t="s">
        <v>18</v>
      </c>
      <c r="U59">
        <f>N20</f>
        <v>3937.5</v>
      </c>
    </row>
    <row r="60" spans="3:21" x14ac:dyDescent="0.25">
      <c r="C60" s="3" t="s">
        <v>168</v>
      </c>
      <c r="D60" s="6">
        <v>220</v>
      </c>
      <c r="E60" t="s">
        <v>2</v>
      </c>
    </row>
    <row r="61" spans="3:21" x14ac:dyDescent="0.25">
      <c r="C61" s="3" t="s">
        <v>169</v>
      </c>
      <c r="D61" s="6">
        <v>750</v>
      </c>
      <c r="E61" t="s">
        <v>2</v>
      </c>
      <c r="P61" s="3" t="s">
        <v>50</v>
      </c>
      <c r="Q61" s="76">
        <f>Q59</f>
        <v>820.25024705276587</v>
      </c>
      <c r="R61" t="s">
        <v>18</v>
      </c>
    </row>
    <row r="62" spans="3:21" x14ac:dyDescent="0.25">
      <c r="C62" s="3" t="s">
        <v>170</v>
      </c>
      <c r="D62" s="6">
        <v>165</v>
      </c>
      <c r="E62" t="s">
        <v>2</v>
      </c>
      <c r="P62" s="3" t="s">
        <v>135</v>
      </c>
      <c r="Q62" s="76">
        <f>V26*FyW/SQRT(3)/1000/GammaM0</f>
        <v>1469.3576829285198</v>
      </c>
      <c r="R62" t="s">
        <v>8</v>
      </c>
    </row>
    <row r="63" spans="3:21" x14ac:dyDescent="0.25">
      <c r="C63" s="3" t="s">
        <v>171</v>
      </c>
      <c r="D63" s="6">
        <v>85</v>
      </c>
      <c r="E63" t="s">
        <v>2</v>
      </c>
      <c r="M63" s="2" t="s">
        <v>114</v>
      </c>
      <c r="N63" s="55">
        <f>SUM(N53:N55)</f>
        <v>3131.7885806619388</v>
      </c>
    </row>
    <row r="64" spans="3:21" x14ac:dyDescent="0.25">
      <c r="C64" s="3" t="s">
        <v>172</v>
      </c>
      <c r="D64" s="6">
        <v>1.25</v>
      </c>
      <c r="E64" t="s">
        <v>2</v>
      </c>
      <c r="M64" s="2" t="s">
        <v>113</v>
      </c>
      <c r="N64" s="55">
        <f>SUM(N56:N58)</f>
        <v>3131.7885806619388</v>
      </c>
    </row>
    <row r="65" spans="3:18" x14ac:dyDescent="0.25">
      <c r="C65" s="3" t="s">
        <v>173</v>
      </c>
      <c r="D65" s="6">
        <v>16.649999999999999</v>
      </c>
      <c r="E65" t="s">
        <v>174</v>
      </c>
    </row>
    <row r="67" spans="3:18" x14ac:dyDescent="0.25">
      <c r="C67" s="3" t="s">
        <v>175</v>
      </c>
      <c r="D67" s="8">
        <f>AVERAGE(BsupBac,BinfBac)</f>
        <v>125</v>
      </c>
      <c r="E67" t="s">
        <v>2</v>
      </c>
    </row>
    <row r="68" spans="3:18" x14ac:dyDescent="0.25">
      <c r="M68" s="3"/>
      <c r="N68" s="4"/>
    </row>
    <row r="69" spans="3:18" x14ac:dyDescent="0.25">
      <c r="M69" s="61" t="s">
        <v>67</v>
      </c>
      <c r="N69" s="62"/>
      <c r="O69" s="63"/>
      <c r="P69" s="63"/>
      <c r="Q69" s="63"/>
      <c r="R69" s="63"/>
    </row>
    <row r="70" spans="3:18" x14ac:dyDescent="0.25">
      <c r="M70" s="3"/>
      <c r="N70" s="4"/>
    </row>
    <row r="71" spans="3:18" x14ac:dyDescent="0.25">
      <c r="M71" s="3" t="s">
        <v>4</v>
      </c>
      <c r="N71" s="54">
        <f>5/384*qG*LL^4/(E*IncertieCM/100)*1000^2</f>
        <v>14.000660663301119</v>
      </c>
      <c r="O71" t="s">
        <v>2</v>
      </c>
    </row>
    <row r="72" spans="3:18" x14ac:dyDescent="0.25">
      <c r="M72" s="3" t="s">
        <v>5</v>
      </c>
      <c r="N72" s="54">
        <f>5/384*qQ_1*LL^4/(E*IncertieCM/100)*1000^2</f>
        <v>25.177371354811381</v>
      </c>
      <c r="O72" t="s">
        <v>2</v>
      </c>
    </row>
    <row r="73" spans="3:18" x14ac:dyDescent="0.25">
      <c r="M73" s="3" t="s">
        <v>6</v>
      </c>
      <c r="N73" s="54">
        <f>F_Q2*LL^3*1000/48/(E*IncertieCM/100)*1000</f>
        <v>0</v>
      </c>
      <c r="O73" t="s">
        <v>2</v>
      </c>
    </row>
    <row r="74" spans="3:18" x14ac:dyDescent="0.25">
      <c r="M74" s="3"/>
      <c r="N74" s="4"/>
    </row>
    <row r="75" spans="3:18" x14ac:dyDescent="0.25">
      <c r="M75" s="3" t="s">
        <v>69</v>
      </c>
      <c r="N75" s="54">
        <f>N71+N72+Psi_0*N73</f>
        <v>39.178032018112503</v>
      </c>
      <c r="O75" t="s">
        <v>2</v>
      </c>
    </row>
    <row r="76" spans="3:18" x14ac:dyDescent="0.25">
      <c r="N76" s="4"/>
    </row>
    <row r="78" spans="3:18" x14ac:dyDescent="0.25">
      <c r="M78" s="64" t="s">
        <v>70</v>
      </c>
      <c r="N78" s="62"/>
      <c r="O78" s="63"/>
      <c r="P78" s="63"/>
      <c r="Q78" s="63"/>
      <c r="R78" s="63"/>
    </row>
    <row r="79" spans="3:18" x14ac:dyDescent="0.25">
      <c r="M79" s="3" t="s">
        <v>76</v>
      </c>
      <c r="N79" s="5">
        <v>9.81</v>
      </c>
      <c r="O79" t="s">
        <v>77</v>
      </c>
    </row>
    <row r="80" spans="3:18" x14ac:dyDescent="0.25">
      <c r="M80" s="3" t="s">
        <v>71</v>
      </c>
      <c r="N80" s="56">
        <f>qG*LL/g*1000</f>
        <v>10203.323158208408</v>
      </c>
      <c r="O80" t="s">
        <v>65</v>
      </c>
    </row>
    <row r="81" spans="13:15" x14ac:dyDescent="0.25">
      <c r="M81" s="3" t="s">
        <v>72</v>
      </c>
      <c r="N81" s="56">
        <f>qQ_1*LL/g*1000</f>
        <v>18348.623853211011</v>
      </c>
      <c r="O81" t="s">
        <v>65</v>
      </c>
    </row>
    <row r="82" spans="13:15" x14ac:dyDescent="0.25">
      <c r="M82" s="3" t="s">
        <v>73</v>
      </c>
      <c r="N82" s="65">
        <v>0.2</v>
      </c>
    </row>
    <row r="83" spans="13:15" x14ac:dyDescent="0.25">
      <c r="M83" s="3" t="s">
        <v>74</v>
      </c>
      <c r="N83" s="56">
        <f>N80+N82*N81</f>
        <v>13873.04792885061</v>
      </c>
      <c r="O83" t="s">
        <v>65</v>
      </c>
    </row>
    <row r="84" spans="13:15" x14ac:dyDescent="0.25">
      <c r="M84" s="3"/>
      <c r="N84" s="4"/>
    </row>
    <row r="85" spans="13:15" x14ac:dyDescent="0.25">
      <c r="M85" s="3" t="s">
        <v>75</v>
      </c>
      <c r="N85" s="56">
        <f>N83/2</f>
        <v>6936.5239644253052</v>
      </c>
      <c r="O85" t="s">
        <v>65</v>
      </c>
    </row>
    <row r="86" spans="13:15" x14ac:dyDescent="0.25">
      <c r="M86" s="3"/>
      <c r="N86" s="4"/>
    </row>
    <row r="87" spans="13:15" x14ac:dyDescent="0.25">
      <c r="M87" s="3" t="s">
        <v>70</v>
      </c>
      <c r="N87" s="54">
        <f>1/2/PI()*SQRT(PI()^4*(E*IncertieCM/100)/N83/LL^3)</f>
        <v>4.0689690214763425</v>
      </c>
      <c r="O87" t="s">
        <v>78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U37"/>
  <sheetViews>
    <sheetView topLeftCell="E13" workbookViewId="0">
      <selection activeCell="R34" sqref="R34"/>
    </sheetView>
  </sheetViews>
  <sheetFormatPr baseColWidth="10" defaultRowHeight="15" x14ac:dyDescent="0.25"/>
  <cols>
    <col min="5" max="5" width="12.7109375" bestFit="1" customWidth="1"/>
  </cols>
  <sheetData>
    <row r="2" spans="3:11" x14ac:dyDescent="0.25">
      <c r="C2" t="s">
        <v>116</v>
      </c>
    </row>
    <row r="4" spans="3:11" x14ac:dyDescent="0.25">
      <c r="C4" t="s">
        <v>117</v>
      </c>
    </row>
    <row r="6" spans="3:11" x14ac:dyDescent="0.25">
      <c r="C6" s="4" t="s">
        <v>118</v>
      </c>
      <c r="D6" s="4" t="s">
        <v>30</v>
      </c>
      <c r="E6" s="4" t="s">
        <v>120</v>
      </c>
      <c r="F6" s="4" t="s">
        <v>119</v>
      </c>
      <c r="G6" s="4" t="s">
        <v>54</v>
      </c>
    </row>
    <row r="7" spans="3:11" x14ac:dyDescent="0.25">
      <c r="C7" s="4">
        <v>1</v>
      </c>
      <c r="D7" s="4">
        <f>hb</f>
        <v>360</v>
      </c>
      <c r="E7" s="79">
        <f t="shared" ref="E7:E12" si="0">1/(InertieY_MM4)*((zG-D7))*(10^3)</f>
        <v>-7.3693592152168511E-4</v>
      </c>
      <c r="F7" s="78">
        <f t="shared" ref="F7:F12" si="1">MEd_U1*E7*1000</f>
        <v>-335.87230779439824</v>
      </c>
      <c r="G7" s="93">
        <f t="shared" ref="G7:G12" si="2">ABS(F7/(FyS/GammaM0))</f>
        <v>0.79969597093904343</v>
      </c>
      <c r="I7" s="75"/>
      <c r="J7" s="4"/>
      <c r="K7">
        <v>-113.47</v>
      </c>
    </row>
    <row r="8" spans="3:11" x14ac:dyDescent="0.25">
      <c r="C8" s="4">
        <v>2</v>
      </c>
      <c r="D8" s="4">
        <f>D7-tf</f>
        <v>337.5</v>
      </c>
      <c r="E8" s="79">
        <f t="shared" si="0"/>
        <v>-6.6730961061455246E-4</v>
      </c>
      <c r="F8" s="78">
        <f t="shared" si="1"/>
        <v>-304.13881639490103</v>
      </c>
      <c r="G8" s="93">
        <f t="shared" si="2"/>
        <v>0.72414003903547863</v>
      </c>
      <c r="K8">
        <v>-138.15</v>
      </c>
    </row>
    <row r="9" spans="3:11" x14ac:dyDescent="0.25">
      <c r="C9" s="4">
        <v>3</v>
      </c>
      <c r="D9" s="75">
        <f>zG</f>
        <v>121.85643015966099</v>
      </c>
      <c r="E9" s="79">
        <f t="shared" si="0"/>
        <v>0</v>
      </c>
      <c r="F9" s="78">
        <f t="shared" si="1"/>
        <v>0</v>
      </c>
      <c r="G9" s="93">
        <f t="shared" si="2"/>
        <v>0</v>
      </c>
      <c r="K9">
        <f>1.35*K7+1.5*K8</f>
        <v>-360.40950000000004</v>
      </c>
    </row>
    <row r="10" spans="3:11" x14ac:dyDescent="0.25">
      <c r="C10" s="4">
        <v>4</v>
      </c>
      <c r="D10" s="4">
        <f>tf</f>
        <v>22.5</v>
      </c>
      <c r="E10" s="79">
        <f t="shared" si="0"/>
        <v>3.0745874208530546E-4</v>
      </c>
      <c r="F10" s="78">
        <f t="shared" si="1"/>
        <v>140.13006319805987</v>
      </c>
      <c r="G10" s="93">
        <f t="shared" si="2"/>
        <v>0.33364300761442828</v>
      </c>
      <c r="K10">
        <f>InertieY_MM4</f>
        <v>323153700.18685049</v>
      </c>
    </row>
    <row r="11" spans="3:11" x14ac:dyDescent="0.25">
      <c r="C11" s="4">
        <v>5</v>
      </c>
      <c r="D11" s="4">
        <v>0</v>
      </c>
      <c r="E11" s="79">
        <f t="shared" si="0"/>
        <v>3.7708505299243817E-4</v>
      </c>
      <c r="F11" s="78">
        <f t="shared" si="1"/>
        <v>171.86355459755706</v>
      </c>
      <c r="G11" s="93">
        <f t="shared" si="2"/>
        <v>0.40919893951799297</v>
      </c>
    </row>
    <row r="12" spans="3:11" x14ac:dyDescent="0.25">
      <c r="C12" s="4">
        <v>6</v>
      </c>
      <c r="D12" s="4">
        <f>-Pl_t</f>
        <v>0</v>
      </c>
      <c r="E12" s="79">
        <f t="shared" si="0"/>
        <v>3.7708505299243817E-4</v>
      </c>
      <c r="F12" s="78">
        <f t="shared" si="1"/>
        <v>171.86355459755706</v>
      </c>
      <c r="G12" s="93">
        <f t="shared" si="2"/>
        <v>0.40919893951799297</v>
      </c>
    </row>
    <row r="13" spans="3:11" x14ac:dyDescent="0.25">
      <c r="C13" s="4"/>
      <c r="D13" s="4"/>
      <c r="E13" s="4"/>
      <c r="F13" s="4"/>
    </row>
    <row r="14" spans="3:11" x14ac:dyDescent="0.25">
      <c r="C14" s="4"/>
      <c r="D14" s="4"/>
      <c r="E14" s="4"/>
      <c r="F14" s="4"/>
    </row>
    <row r="15" spans="3:11" x14ac:dyDescent="0.25">
      <c r="C15" s="4" t="s">
        <v>123</v>
      </c>
      <c r="D15" s="48">
        <f>2/3*50</f>
        <v>33.333333333333329</v>
      </c>
      <c r="E15" s="4"/>
      <c r="F15" s="4"/>
    </row>
    <row r="16" spans="3:11" x14ac:dyDescent="0.25">
      <c r="C16" s="4"/>
    </row>
    <row r="17" spans="3:21" x14ac:dyDescent="0.25">
      <c r="C17" t="s">
        <v>121</v>
      </c>
    </row>
    <row r="18" spans="3:21" x14ac:dyDescent="0.25">
      <c r="P18" s="3" t="s">
        <v>177</v>
      </c>
      <c r="Q18" s="5">
        <f>Feuil1!P38*PsiY</f>
        <v>1634.7687896068117</v>
      </c>
    </row>
    <row r="19" spans="3:21" x14ac:dyDescent="0.25">
      <c r="C19" t="s">
        <v>122</v>
      </c>
    </row>
    <row r="20" spans="3:21" x14ac:dyDescent="0.25">
      <c r="C20" s="3" t="s">
        <v>124</v>
      </c>
      <c r="D20" s="80">
        <f>(bf-tw)/2-rr</f>
        <v>116.75</v>
      </c>
      <c r="E20" t="s">
        <v>2</v>
      </c>
      <c r="G20">
        <f>bf</f>
        <v>300</v>
      </c>
      <c r="K20" s="3" t="s">
        <v>150</v>
      </c>
      <c r="L20" s="48">
        <f>(bf-tw)/2-rr-dApp</f>
        <v>83.416666666666671</v>
      </c>
      <c r="M20" t="s">
        <v>2</v>
      </c>
      <c r="P20" t="s">
        <v>160</v>
      </c>
    </row>
    <row r="21" spans="3:21" x14ac:dyDescent="0.25">
      <c r="C21" s="2" t="s">
        <v>125</v>
      </c>
      <c r="D21" s="80">
        <f>qELU*df*6/tf^2/2</f>
        <v>31.143150730001206</v>
      </c>
      <c r="E21" t="s">
        <v>43</v>
      </c>
      <c r="G21">
        <f>G20/2</f>
        <v>150</v>
      </c>
      <c r="H21">
        <f>G21-tw/2</f>
        <v>143.75</v>
      </c>
      <c r="I21">
        <f>H21-rr</f>
        <v>116.75</v>
      </c>
      <c r="K21" s="3" t="s">
        <v>151</v>
      </c>
      <c r="L21" s="80">
        <f>qELU/2</f>
        <v>22.507095013651835</v>
      </c>
      <c r="M21" t="s">
        <v>7</v>
      </c>
      <c r="P21" s="3" t="s">
        <v>48</v>
      </c>
      <c r="Q21" s="52">
        <f>0.5+(Q26-Q31)/2/Q18</f>
        <v>9.5355622027074871E-2</v>
      </c>
    </row>
    <row r="22" spans="3:21" x14ac:dyDescent="0.25">
      <c r="H22">
        <f>tw</f>
        <v>12.5</v>
      </c>
      <c r="I22">
        <f>rr</f>
        <v>27</v>
      </c>
      <c r="K22" s="3"/>
      <c r="P22" s="3" t="s">
        <v>49</v>
      </c>
      <c r="Q22" s="53">
        <f>pANP*hw</f>
        <v>31.499999999999993</v>
      </c>
      <c r="R22" t="s">
        <v>2</v>
      </c>
    </row>
    <row r="23" spans="3:21" x14ac:dyDescent="0.25">
      <c r="K23" s="3" t="s">
        <v>152</v>
      </c>
      <c r="L23" s="80">
        <f>qEdFl*(dbt/1000)</f>
        <v>1.8774668423887906</v>
      </c>
      <c r="M23" t="s">
        <v>154</v>
      </c>
    </row>
    <row r="24" spans="3:21" x14ac:dyDescent="0.25">
      <c r="D24" s="5" t="s">
        <v>132</v>
      </c>
      <c r="E24" s="5" t="s">
        <v>125</v>
      </c>
      <c r="F24" s="5" t="s">
        <v>133</v>
      </c>
      <c r="G24" s="5" t="s">
        <v>134</v>
      </c>
      <c r="H24" s="5" t="s">
        <v>136</v>
      </c>
      <c r="K24" s="3" t="s">
        <v>153</v>
      </c>
      <c r="L24" s="8">
        <f>1.2*tf^2/6*FyI/GammaM0/1000</f>
        <v>42.524999999999999</v>
      </c>
      <c r="M24" t="s">
        <v>154</v>
      </c>
    </row>
    <row r="25" spans="3:21" x14ac:dyDescent="0.25">
      <c r="C25" s="3" t="s">
        <v>126</v>
      </c>
      <c r="D25" s="59">
        <f>F10</f>
        <v>140.13006319805987</v>
      </c>
      <c r="E25" s="66">
        <f>+D21</f>
        <v>31.143150730001206</v>
      </c>
      <c r="F25" s="4">
        <v>0</v>
      </c>
      <c r="G25" s="78">
        <f>SQRT(D25^2+E25^2-D25*E25+3*F25^2)</f>
        <v>127.44504215269441</v>
      </c>
      <c r="H25" s="94">
        <f t="shared" ref="H25:H30" si="3">G25/(FyS/GammaM0)</f>
        <v>0.30344057655403434</v>
      </c>
      <c r="K25" s="3"/>
      <c r="Q25" s="5" t="s">
        <v>110</v>
      </c>
      <c r="R25" s="5" t="s">
        <v>30</v>
      </c>
      <c r="S25" s="5" t="s">
        <v>32</v>
      </c>
      <c r="T25" s="5" t="s">
        <v>115</v>
      </c>
    </row>
    <row r="26" spans="3:21" x14ac:dyDescent="0.25">
      <c r="C26" s="89" t="s">
        <v>127</v>
      </c>
      <c r="D26" s="59">
        <f>AVERAGE(D25,D27)</f>
        <v>155.99680889780848</v>
      </c>
      <c r="E26" s="4">
        <v>0</v>
      </c>
      <c r="F26" s="75">
        <f>3/2*qELU/tf/2</f>
        <v>1.5004730009101224</v>
      </c>
      <c r="G26" s="78">
        <f t="shared" ref="G26:G30" si="4">SQRT(D26^2+E26^2-D26*E26+3*F26^2)</f>
        <v>156.01845610048434</v>
      </c>
      <c r="H26" s="94">
        <f t="shared" si="3"/>
        <v>0.37147251452496272</v>
      </c>
      <c r="K26" s="3" t="s">
        <v>155</v>
      </c>
      <c r="L26" s="47">
        <f>(L23/L24)</f>
        <v>4.4149719985627056E-2</v>
      </c>
      <c r="P26" s="41" t="s">
        <v>161</v>
      </c>
      <c r="Q26" s="87">
        <f>Feuil1!P36</f>
        <v>1512</v>
      </c>
      <c r="R26" s="84">
        <f>Feuil1!O53</f>
        <v>326.25</v>
      </c>
      <c r="S26" s="67">
        <f>ABS(R26-$Q$22)</f>
        <v>294.75</v>
      </c>
      <c r="T26" s="69">
        <f>Q26*S26/1000</f>
        <v>445.66199999999998</v>
      </c>
      <c r="U26" s="97"/>
    </row>
    <row r="27" spans="3:21" x14ac:dyDescent="0.25">
      <c r="C27" s="3" t="s">
        <v>128</v>
      </c>
      <c r="D27" s="59">
        <f>F11</f>
        <v>171.86355459755706</v>
      </c>
      <c r="E27" s="66">
        <f>-E25</f>
        <v>-31.143150730001206</v>
      </c>
      <c r="F27" s="4">
        <v>0</v>
      </c>
      <c r="G27" s="78">
        <f t="shared" si="4"/>
        <v>189.36565111477995</v>
      </c>
      <c r="H27" s="94">
        <f t="shared" si="3"/>
        <v>0.45087059789233319</v>
      </c>
      <c r="K27" s="3"/>
      <c r="P27" s="41" t="s">
        <v>162</v>
      </c>
      <c r="Q27" s="82">
        <f>Feuil1!P37</f>
        <v>131.4135806619386</v>
      </c>
      <c r="R27" s="85">
        <f>Feuil1!O54</f>
        <v>308.96906564846466</v>
      </c>
      <c r="S27" s="68">
        <f>ABS(R27-$Q$22)</f>
        <v>277.46906564846466</v>
      </c>
      <c r="T27" s="70">
        <f>Q27*S27/1000</f>
        <v>36.46320343978725</v>
      </c>
      <c r="U27" s="97"/>
    </row>
    <row r="28" spans="3:21" x14ac:dyDescent="0.25">
      <c r="C28" s="3" t="s">
        <v>129</v>
      </c>
      <c r="D28" s="59">
        <f>F11</f>
        <v>171.86355459755706</v>
      </c>
      <c r="E28" s="66" t="e">
        <f>#REF!</f>
        <v>#REF!</v>
      </c>
      <c r="F28" s="4">
        <v>0</v>
      </c>
      <c r="G28" s="78" t="e">
        <f t="shared" si="4"/>
        <v>#REF!</v>
      </c>
      <c r="H28" s="94" t="e">
        <f t="shared" si="3"/>
        <v>#REF!</v>
      </c>
      <c r="K28" s="3" t="s">
        <v>178</v>
      </c>
      <c r="L28" s="47">
        <f>(RatioFi-SQRT(RatioFi^2-16*RatioFi+16))/2/(RatioFi-2)</f>
        <v>0.98852232175770927</v>
      </c>
      <c r="P28" s="41" t="s">
        <v>163</v>
      </c>
      <c r="Q28" s="82">
        <f>(1-Q21)*Q18</f>
        <v>1478.8843948034059</v>
      </c>
      <c r="R28" s="85">
        <f>hw-(1-Q21)*hw/2</f>
        <v>172.51851046926427</v>
      </c>
      <c r="S28" s="68">
        <f t="shared" ref="S28:S30" si="5">ABS(R28-$Q$22)</f>
        <v>141.01851046926427</v>
      </c>
      <c r="T28" s="70">
        <f t="shared" ref="T28:T30" si="6">Q28*S28/1000</f>
        <v>208.55007451141566</v>
      </c>
      <c r="U28" s="97"/>
    </row>
    <row r="29" spans="3:21" x14ac:dyDescent="0.25">
      <c r="C29" s="3" t="s">
        <v>130</v>
      </c>
      <c r="D29" s="59">
        <f>AVERAGE(D28,D30)</f>
        <v>171.86355459755706</v>
      </c>
      <c r="E29" s="4">
        <v>0</v>
      </c>
      <c r="F29" s="66" t="e">
        <f>3/2*qELU/Pl_t/2</f>
        <v>#DIV/0!</v>
      </c>
      <c r="G29" s="78" t="e">
        <f t="shared" si="4"/>
        <v>#DIV/0!</v>
      </c>
      <c r="H29" s="94" t="e">
        <f t="shared" si="3"/>
        <v>#DIV/0!</v>
      </c>
      <c r="K29" s="3"/>
      <c r="P29" s="41" t="s">
        <v>164</v>
      </c>
      <c r="Q29" s="82">
        <f>Q21*Q18</f>
        <v>155.88439480340583</v>
      </c>
      <c r="R29" s="85">
        <f>Q21*hw/2</f>
        <v>15.018510469264292</v>
      </c>
      <c r="S29" s="68">
        <f t="shared" si="5"/>
        <v>16.481489530735701</v>
      </c>
      <c r="T29" s="70">
        <f t="shared" si="6"/>
        <v>2.5692070209574038</v>
      </c>
      <c r="U29" s="97"/>
    </row>
    <row r="30" spans="3:21" x14ac:dyDescent="0.25">
      <c r="C30" s="3" t="s">
        <v>131</v>
      </c>
      <c r="D30" s="59">
        <f>F12</f>
        <v>171.86355459755706</v>
      </c>
      <c r="E30" s="66" t="e">
        <f>-E28</f>
        <v>#REF!</v>
      </c>
      <c r="F30" s="4">
        <v>0</v>
      </c>
      <c r="G30" s="78" t="e">
        <f t="shared" si="4"/>
        <v>#REF!</v>
      </c>
      <c r="H30" s="94" t="e">
        <f t="shared" si="3"/>
        <v>#REF!</v>
      </c>
      <c r="K30" s="3"/>
      <c r="P30" s="41" t="s">
        <v>165</v>
      </c>
      <c r="Q30" s="82">
        <f>Feuil1!P39</f>
        <v>131.4135806619386</v>
      </c>
      <c r="R30" s="85">
        <f>Feuil1!O57</f>
        <v>6.0309343515353087</v>
      </c>
      <c r="S30" s="68">
        <f t="shared" si="5"/>
        <v>25.469065648464685</v>
      </c>
      <c r="T30" s="70">
        <f t="shared" si="6"/>
        <v>3.3469811129787237</v>
      </c>
      <c r="U30" s="97"/>
    </row>
    <row r="31" spans="3:21" x14ac:dyDescent="0.25">
      <c r="P31" s="41" t="s">
        <v>166</v>
      </c>
      <c r="Q31" s="88">
        <f>Feuil1!P40</f>
        <v>2835</v>
      </c>
      <c r="R31" s="86">
        <f>Feuil1!O58</f>
        <v>-11.25</v>
      </c>
      <c r="S31" s="73">
        <f>ABS(R31-$Q$22)</f>
        <v>42.749999999999993</v>
      </c>
      <c r="T31" s="98">
        <f>Q31*S31/1000</f>
        <v>121.19624999999999</v>
      </c>
    </row>
    <row r="32" spans="3:21" x14ac:dyDescent="0.25">
      <c r="T32" s="83">
        <f>SUM(T26:T31)</f>
        <v>817.78771608513898</v>
      </c>
      <c r="U32" t="s">
        <v>18</v>
      </c>
    </row>
    <row r="34" spans="16:21" x14ac:dyDescent="0.25">
      <c r="S34" s="3" t="s">
        <v>50</v>
      </c>
      <c r="T34" s="76">
        <f>T32</f>
        <v>817.78771608513898</v>
      </c>
      <c r="U34" t="s">
        <v>18</v>
      </c>
    </row>
    <row r="36" spans="16:21" x14ac:dyDescent="0.25">
      <c r="P36" s="2" t="s">
        <v>114</v>
      </c>
      <c r="Q36" s="55">
        <f>SUM(Q26:Q28)</f>
        <v>3122.2979754653443</v>
      </c>
    </row>
    <row r="37" spans="16:21" x14ac:dyDescent="0.25">
      <c r="P37" s="2" t="s">
        <v>113</v>
      </c>
      <c r="Q37" s="55">
        <f>SUM(Q29:Q31)</f>
        <v>3122.2979754653443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46</v>
      </c>
    </row>
    <row r="3" spans="3:3" x14ac:dyDescent="0.25">
      <c r="C3" s="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78</vt:i4>
      </vt:variant>
    </vt:vector>
  </HeadingPairs>
  <TitlesOfParts>
    <vt:vector size="81" baseType="lpstr">
      <vt:lpstr>Feuil1</vt:lpstr>
      <vt:lpstr>Section élastique</vt:lpstr>
      <vt:lpstr>Param</vt:lpstr>
      <vt:lpstr>A</vt:lpstr>
      <vt:lpstr>Ac</vt:lpstr>
      <vt:lpstr>b0Bac</vt:lpstr>
      <vt:lpstr>bAppMin</vt:lpstr>
      <vt:lpstr>bf</vt:lpstr>
      <vt:lpstr>bfs</vt:lpstr>
      <vt:lpstr>BinfBac</vt:lpstr>
      <vt:lpstr>BsupBac</vt:lpstr>
      <vt:lpstr>d_1</vt:lpstr>
      <vt:lpstr>d_2</vt:lpstr>
      <vt:lpstr>dApp</vt:lpstr>
      <vt:lpstr>dbt</vt:lpstr>
      <vt:lpstr>df</vt:lpstr>
      <vt:lpstr>dW</vt:lpstr>
      <vt:lpstr>E</vt:lpstr>
      <vt:lpstr>eBac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hBac</vt:lpstr>
      <vt:lpstr>Ht</vt:lpstr>
      <vt:lpstr>hw</vt:lpstr>
      <vt:lpstr>hwe</vt:lpstr>
      <vt:lpstr>hwP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MplRdRed</vt:lpstr>
      <vt:lpstr>MuBac</vt:lpstr>
      <vt:lpstr>non</vt:lpstr>
      <vt:lpstr>oui</vt:lpstr>
      <vt:lpstr>pANP</vt:lpstr>
      <vt:lpstr>Pl_b</vt:lpstr>
      <vt:lpstr>Pl_t</vt:lpstr>
      <vt:lpstr>Psi_0</vt:lpstr>
      <vt:lpstr>PsiY</vt:lpstr>
      <vt:lpstr>qEdFl</vt:lpstr>
      <vt:lpstr>qELU</vt:lpstr>
      <vt:lpstr>qG</vt:lpstr>
      <vt:lpstr>qQ_1</vt:lpstr>
      <vt:lpstr>RatioFi</vt:lpstr>
      <vt:lpstr>rhoC</vt:lpstr>
      <vt:lpstr>rr</vt:lpstr>
      <vt:lpstr>tBac</vt:lpstr>
      <vt:lpstr>tc</vt:lpstr>
      <vt:lpstr>td</vt:lpstr>
      <vt:lpstr>tf</vt:lpstr>
      <vt:lpstr>tJoint</vt:lpstr>
      <vt:lpstr>tPred</vt:lpstr>
      <vt:lpstr>tw</vt:lpstr>
      <vt:lpstr>VEd_Q1</vt:lpstr>
      <vt:lpstr>VEd_Q2</vt:lpstr>
      <vt:lpstr>VEd_U1</vt:lpstr>
      <vt:lpstr>VEd_U2</vt:lpstr>
      <vt:lpstr>VEdG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2025-10-10T08:46:50Z</dcterms:modified>
</cp:coreProperties>
</file>