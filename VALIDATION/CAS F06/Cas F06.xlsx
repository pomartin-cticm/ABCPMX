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AID 1\LOGICIELS\CTICM AM - POUTRE MIXTE\DEV23\VALIDATION\CAS F06\"/>
    </mc:Choice>
  </mc:AlternateContent>
  <xr:revisionPtr revIDLastSave="0" documentId="13_ncr:1_{08EAC788-B347-4C40-B1B7-0DFDB9D89F81}" xr6:coauthVersionLast="47" xr6:coauthVersionMax="47" xr10:uidLastSave="{00000000-0000-0000-0000-000000000000}"/>
  <bookViews>
    <workbookView xWindow="-120" yWindow="-120" windowWidth="29040" windowHeight="17520" xr2:uid="{1B2E1AE3-11FD-420F-B8DC-6BB03E477683}"/>
  </bookViews>
  <sheets>
    <sheet name="Données" sheetId="1" r:id="rId1"/>
  </sheets>
  <definedNames>
    <definedName name="a_1">Données!$J$20</definedName>
    <definedName name="a_2">Données!$J$21</definedName>
    <definedName name="a_3">Données!$O$17</definedName>
    <definedName name="a_4">Données!$O$18</definedName>
    <definedName name="a_5">Données!$O$19</definedName>
    <definedName name="a0">Données!$J$29</definedName>
    <definedName name="bc">Données!$O$7</definedName>
    <definedName name="beff">Données!$E$19</definedName>
    <definedName name="bf">Données!$J$8</definedName>
    <definedName name="d">Données!$E$7</definedName>
    <definedName name="dbfi">Données!$J$16</definedName>
    <definedName name="fck">Données!$E$16</definedName>
    <definedName name="fsk">Données!$O$13</definedName>
    <definedName name="fy">Données!$J$13</definedName>
    <definedName name="GammaC">Données!$E$17</definedName>
    <definedName name="gammaM">Données!$J$14</definedName>
    <definedName name="GammaS">Données!$O$14</definedName>
    <definedName name="hcfi">Données!$E$13</definedName>
    <definedName name="hch">Données!$E$14</definedName>
    <definedName name="hh">Données!$J$27</definedName>
    <definedName name="hl">Données!$J$26</definedName>
    <definedName name="hlmax">Données!$J$23</definedName>
    <definedName name="hlmin">Données!$J$22</definedName>
    <definedName name="hp">Données!$E$11</definedName>
    <definedName name="Ht">Données!$J$7</definedName>
    <definedName name="ka">Données!$J$33</definedName>
    <definedName name="kaformule">Données!$J$32</definedName>
    <definedName name="kamax">Données!$J$31</definedName>
    <definedName name="kamin">Données!$J$30</definedName>
    <definedName name="kr">Données!$O$25</definedName>
    <definedName name="krmax">Données!$O$21</definedName>
    <definedName name="krmin">Données!$O$20</definedName>
    <definedName name="LL">Données!$E$23</definedName>
    <definedName name="Massiv">Données!$O$16</definedName>
    <definedName name="MEd">Données!$E$26</definedName>
    <definedName name="nbPhi">Données!$O$10</definedName>
    <definedName name="p">Données!$E$59</definedName>
    <definedName name="Phi">Données!$O$9</definedName>
    <definedName name="qELU">Données!$E$24</definedName>
    <definedName name="Rr">Données!$J$11</definedName>
    <definedName name="tcp">Données!$E$60</definedName>
    <definedName name="Td">Données!$E$8</definedName>
    <definedName name="Tf">Données!$J$9</definedName>
    <definedName name="Tw">Données!$J$10</definedName>
    <definedName name="u">Données!$O$23</definedName>
    <definedName name="ui">Données!$O$11</definedName>
    <definedName name="usi">Données!$O$12</definedName>
    <definedName name="VEd">Données!$E$27</definedName>
    <definedName name="zANP">Données!$E$61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7" i="1" l="1"/>
  <c r="E27" i="1"/>
  <c r="E26" i="1"/>
  <c r="O26" i="1" l="1"/>
  <c r="O25" i="1" s="1"/>
  <c r="E81" i="1"/>
  <c r="E80" i="1"/>
  <c r="T75" i="1"/>
  <c r="T71" i="1"/>
  <c r="T72" i="1"/>
  <c r="T73" i="1"/>
  <c r="T70" i="1"/>
  <c r="T68" i="1"/>
  <c r="T66" i="1"/>
  <c r="K67" i="1"/>
  <c r="K69" i="1"/>
  <c r="N72" i="1"/>
  <c r="F69" i="1"/>
  <c r="H67" i="1"/>
  <c r="G66" i="1"/>
  <c r="F45" i="1"/>
  <c r="F73" i="1" s="1"/>
  <c r="K73" i="1" s="1"/>
  <c r="E45" i="1"/>
  <c r="E73" i="1" s="1"/>
  <c r="O23" i="1"/>
  <c r="O16" i="1"/>
  <c r="F54" i="1"/>
  <c r="F72" i="1" s="1"/>
  <c r="K72" i="1" s="1"/>
  <c r="E54" i="1"/>
  <c r="E72" i="1" s="1"/>
  <c r="G41" i="1"/>
  <c r="G42" i="1" s="1"/>
  <c r="G70" i="1" s="1"/>
  <c r="E41" i="1"/>
  <c r="E69" i="1" s="1"/>
  <c r="E19" i="1"/>
  <c r="G40" i="1"/>
  <c r="G68" i="1" s="1"/>
  <c r="G39" i="1"/>
  <c r="G38" i="1"/>
  <c r="F40" i="1"/>
  <c r="F68" i="1" s="1"/>
  <c r="K68" i="1" s="1"/>
  <c r="E39" i="1"/>
  <c r="E14" i="1"/>
  <c r="F38" i="1" s="1"/>
  <c r="J29" i="1"/>
  <c r="J32" i="1" s="1"/>
  <c r="J33" i="1" s="1"/>
  <c r="N71" i="1" s="1"/>
  <c r="J25" i="1"/>
  <c r="J23" i="1"/>
  <c r="J18" i="1"/>
  <c r="J16" i="1" a="1"/>
  <c r="J16" i="1" s="1"/>
  <c r="E40" i="1" s="1"/>
  <c r="E68" i="1" s="1"/>
  <c r="G45" i="1" l="1"/>
  <c r="G73" i="1" s="1"/>
  <c r="H73" i="1" s="1"/>
  <c r="J26" i="1"/>
  <c r="G54" i="1"/>
  <c r="H54" i="1" s="1"/>
  <c r="J54" i="1" s="1"/>
  <c r="H68" i="1"/>
  <c r="G69" i="1"/>
  <c r="H69" i="1" s="1"/>
  <c r="J17" i="1"/>
  <c r="F39" i="1"/>
  <c r="H39" i="1"/>
  <c r="H40" i="1"/>
  <c r="H41" i="1"/>
  <c r="E38" i="1"/>
  <c r="H38" i="1" s="1"/>
  <c r="O72" i="1" l="1"/>
  <c r="M72" i="1"/>
  <c r="M71" i="1"/>
  <c r="O71" i="1"/>
  <c r="E43" i="1"/>
  <c r="E44" i="1" s="1"/>
  <c r="E46" i="1" s="1"/>
  <c r="E47" i="1" s="1"/>
  <c r="E48" i="1" s="1"/>
  <c r="E49" i="1" s="1"/>
  <c r="E50" i="1" s="1"/>
  <c r="E51" i="1" s="1"/>
  <c r="E52" i="1" s="1"/>
  <c r="E53" i="1" s="1"/>
  <c r="E71" i="1"/>
  <c r="F51" i="1"/>
  <c r="F43" i="1"/>
  <c r="F49" i="1"/>
  <c r="C52" i="1"/>
  <c r="G52" i="1" s="1"/>
  <c r="H52" i="1" s="1"/>
  <c r="F44" i="1"/>
  <c r="F50" i="1"/>
  <c r="F52" i="1"/>
  <c r="F47" i="1"/>
  <c r="C43" i="1"/>
  <c r="G43" i="1" s="1"/>
  <c r="H43" i="1" s="1"/>
  <c r="C47" i="1"/>
  <c r="G47" i="1" s="1"/>
  <c r="H47" i="1" s="1"/>
  <c r="C44" i="1"/>
  <c r="G44" i="1" s="1"/>
  <c r="C49" i="1"/>
  <c r="G49" i="1" s="1"/>
  <c r="H49" i="1" s="1"/>
  <c r="C51" i="1"/>
  <c r="G51" i="1" s="1"/>
  <c r="H51" i="1" s="1"/>
  <c r="C53" i="1"/>
  <c r="G53" i="1" s="1"/>
  <c r="H53" i="1" s="1"/>
  <c r="J53" i="1" s="1"/>
  <c r="C50" i="1"/>
  <c r="G50" i="1" s="1"/>
  <c r="H50" i="1" s="1"/>
  <c r="F46" i="1"/>
  <c r="F53" i="1"/>
  <c r="F48" i="1"/>
  <c r="H45" i="1"/>
  <c r="J27" i="1"/>
  <c r="C46" i="1"/>
  <c r="G46" i="1" s="1"/>
  <c r="H46" i="1" s="1"/>
  <c r="C48" i="1"/>
  <c r="G48" i="1" s="1"/>
  <c r="H48" i="1" s="1"/>
  <c r="G72" i="1"/>
  <c r="I38" i="1"/>
  <c r="I39" i="1" s="1"/>
  <c r="I40" i="1" s="1"/>
  <c r="I41" i="1" s="1"/>
  <c r="P71" i="1" l="1"/>
  <c r="F42" i="1"/>
  <c r="F70" i="1" s="1"/>
  <c r="K70" i="1" s="1"/>
  <c r="M64" i="1"/>
  <c r="P72" i="1"/>
  <c r="M73" i="1" s="1"/>
  <c r="F71" i="1" s="1"/>
  <c r="K71" i="1" s="1"/>
  <c r="H72" i="1"/>
  <c r="G71" i="1"/>
  <c r="H71" i="1" s="1"/>
  <c r="E42" i="1"/>
  <c r="H44" i="1"/>
  <c r="H42" i="1"/>
  <c r="E59" i="1" s="1"/>
  <c r="E60" i="1" s="1"/>
  <c r="F66" i="1" s="1"/>
  <c r="K66" i="1" s="1"/>
  <c r="E70" i="1"/>
  <c r="H70" i="1" s="1"/>
  <c r="J52" i="1"/>
  <c r="J51" i="1" s="1"/>
  <c r="J50" i="1" s="1"/>
  <c r="J49" i="1" s="1"/>
  <c r="J48" i="1" s="1"/>
  <c r="J47" i="1" s="1"/>
  <c r="J46" i="1" s="1"/>
  <c r="J45" i="1" s="1"/>
  <c r="J44" i="1" s="1"/>
  <c r="J43" i="1" s="1"/>
  <c r="J42" i="1" s="1"/>
  <c r="J41" i="1" s="1"/>
  <c r="J40" i="1" s="1"/>
  <c r="J39" i="1" s="1"/>
  <c r="J38" i="1" s="1"/>
  <c r="I42" i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E66" i="1" l="1"/>
  <c r="H66" i="1" s="1"/>
  <c r="E61" i="1"/>
  <c r="I70" i="1"/>
  <c r="I72" i="1"/>
  <c r="I69" i="1" l="1"/>
  <c r="H61" i="1"/>
  <c r="I66" i="1"/>
  <c r="I68" i="1"/>
  <c r="I67" i="1"/>
  <c r="I73" i="1"/>
  <c r="I71" i="1"/>
  <c r="I75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<sst xmlns="http://schemas.openxmlformats.org/spreadsheetml/2006/main" count="142" uniqueCount="86">
  <si>
    <t>Dalle</t>
  </si>
  <si>
    <t>Largeur</t>
  </si>
  <si>
    <t>Epaisseur</t>
  </si>
  <si>
    <t>m</t>
  </si>
  <si>
    <t>mm</t>
  </si>
  <si>
    <t>Bac</t>
  </si>
  <si>
    <t>Hauteur</t>
  </si>
  <si>
    <t>Réduction hauteur dalle</t>
  </si>
  <si>
    <t>(tableau F1)</t>
  </si>
  <si>
    <t>fck</t>
  </si>
  <si>
    <t>MPa</t>
  </si>
  <si>
    <t>GammaC</t>
  </si>
  <si>
    <t>Ep semelle</t>
  </si>
  <si>
    <t>Ep âme</t>
  </si>
  <si>
    <t>Rayon congé</t>
  </si>
  <si>
    <t>Profilé partiellement enrobé</t>
  </si>
  <si>
    <t>Calcul incendie selon Annexe F de l'EN 1994-1-2</t>
  </si>
  <si>
    <t>IPE500A - R90</t>
  </si>
  <si>
    <t>Réduction largeur de semelle sup</t>
  </si>
  <si>
    <t>dbfi</t>
  </si>
  <si>
    <t>Enrobage</t>
  </si>
  <si>
    <t>h/bc</t>
  </si>
  <si>
    <t>a1</t>
  </si>
  <si>
    <t>a2</t>
  </si>
  <si>
    <t>mm2</t>
  </si>
  <si>
    <t>hlmin</t>
  </si>
  <si>
    <t>hlmax</t>
  </si>
  <si>
    <t>hl formule</t>
  </si>
  <si>
    <t>hl</t>
  </si>
  <si>
    <t>hh</t>
  </si>
  <si>
    <t>fy</t>
  </si>
  <si>
    <t>gammaM0</t>
  </si>
  <si>
    <t>a0</t>
  </si>
  <si>
    <t>kamin</t>
  </si>
  <si>
    <t>kamax</t>
  </si>
  <si>
    <t>ka</t>
  </si>
  <si>
    <t>Partie restante</t>
  </si>
  <si>
    <t>Dalle sup</t>
  </si>
  <si>
    <t>Dalle inf</t>
  </si>
  <si>
    <t>Semelle sup</t>
  </si>
  <si>
    <t>Aire</t>
  </si>
  <si>
    <t>z</t>
  </si>
  <si>
    <t>f</t>
  </si>
  <si>
    <t>N</t>
  </si>
  <si>
    <t>kN</t>
  </si>
  <si>
    <t>Largeur participante</t>
  </si>
  <si>
    <t>Poutre</t>
  </si>
  <si>
    <t>Portée</t>
  </si>
  <si>
    <t>Entraxe</t>
  </si>
  <si>
    <t>Congés sup</t>
  </si>
  <si>
    <t>Âme sup</t>
  </si>
  <si>
    <t>Âme inf</t>
  </si>
  <si>
    <t>Semelle inférieure</t>
  </si>
  <si>
    <t>Diamètre armatures</t>
  </si>
  <si>
    <t>Nombre</t>
  </si>
  <si>
    <t>ui</t>
  </si>
  <si>
    <t>usi</t>
  </si>
  <si>
    <t>AmV</t>
  </si>
  <si>
    <t>a3</t>
  </si>
  <si>
    <t>a4</t>
  </si>
  <si>
    <t>a5</t>
  </si>
  <si>
    <t>krmin</t>
  </si>
  <si>
    <t>krmax</t>
  </si>
  <si>
    <t>fsk</t>
  </si>
  <si>
    <t>gammaS</t>
  </si>
  <si>
    <t>mm-1</t>
  </si>
  <si>
    <t>u</t>
  </si>
  <si>
    <t>kr</t>
  </si>
  <si>
    <t>Arma</t>
  </si>
  <si>
    <t>ANP dans la dalle sup</t>
  </si>
  <si>
    <t>p</t>
  </si>
  <si>
    <t>zanp</t>
  </si>
  <si>
    <t>tcp</t>
  </si>
  <si>
    <t>Nidi</t>
  </si>
  <si>
    <t>kNm</t>
  </si>
  <si>
    <t>Largeur restante</t>
  </si>
  <si>
    <t>A</t>
  </si>
  <si>
    <t>zA</t>
  </si>
  <si>
    <t>zsinf</t>
  </si>
  <si>
    <t>Charge</t>
  </si>
  <si>
    <t>kN/m</t>
  </si>
  <si>
    <t>Moment maxi</t>
  </si>
  <si>
    <t>V maxi</t>
  </si>
  <si>
    <t>Critères</t>
  </si>
  <si>
    <t>GammaM</t>
  </si>
  <si>
    <t>GammaV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</si>
</sst>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0.00000"/>
    <numFmt numFmtId="166" formatCode="0.0000"/>
    <numFmt numFmtId="167" formatCode="0.000"/>
    <numFmt numFmtId="168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255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/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4" borderId="0" xfId="0" applyFont="1" applyFill="1"/>
    <xf numFmtId="0" fontId="0" fillId="0" borderId="0" xfId="0" applyAlignment="1">
      <alignment horizontal="left" vertical="center"/>
    </xf>
    <xf numFmtId="0" fontId="1" fillId="5" borderId="0" xfId="0" applyFont="1" applyFill="1"/>
    <xf numFmtId="0" fontId="0" fillId="6" borderId="1" xfId="0" applyFill="1" applyBorder="1" applyAlignment="1">
      <alignment horizontal="center" vertical="center"/>
    </xf>
    <xf numFmtId="0" fontId="0" fillId="0" borderId="0" xfId="0" applyFill="1" applyBorder="1" applyAlignment="1">
      <alignment horizontal="right" vertical="center"/>
    </xf>
    <xf numFmtId="2" fontId="0" fillId="0" borderId="0" xfId="0" applyNumberFormat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8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6" fontId="0" fillId="6" borderId="1" xfId="0" applyNumberFormat="1" applyFill="1" applyBorder="1" applyAlignment="1">
      <alignment horizontal="center" vertical="center"/>
    </xf>
    <xf numFmtId="167" fontId="0" fillId="6" borderId="1" xfId="0" applyNumberFormat="1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1" xfId="0" applyBorder="1"/>
    <xf numFmtId="1" fontId="0" fillId="0" borderId="4" xfId="0" applyNumberFormat="1" applyBorder="1" applyAlignment="1">
      <alignment horizontal="center" vertical="center"/>
    </xf>
    <xf numFmtId="2" fontId="0" fillId="0" borderId="5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2" fontId="2" fillId="6" borderId="1" xfId="0" applyNumberFormat="1" applyFont="1" applyFill="1" applyBorder="1" applyAlignment="1">
      <alignment horizontal="center" vertical="center"/>
    </xf>
    <xf numFmtId="168" fontId="0" fillId="0" borderId="3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0" fillId="8" borderId="8" xfId="0" applyFill="1" applyBorder="1"/>
    <xf numFmtId="0" fontId="0" fillId="8" borderId="9" xfId="0" applyFill="1" applyBorder="1"/>
    <xf numFmtId="0" fontId="0" fillId="8" borderId="4" xfId="0" applyFill="1" applyBorder="1"/>
    <xf numFmtId="0" fontId="0" fillId="8" borderId="10" xfId="0" applyFill="1" applyBorder="1"/>
    <xf numFmtId="0" fontId="0" fillId="8" borderId="0" xfId="0" applyFill="1" applyBorder="1"/>
    <xf numFmtId="0" fontId="0" fillId="8" borderId="6" xfId="0" applyFill="1" applyBorder="1"/>
    <xf numFmtId="0" fontId="0" fillId="8" borderId="11" xfId="0" applyFill="1" applyBorder="1"/>
    <xf numFmtId="0" fontId="0" fillId="8" borderId="12" xfId="0" applyFill="1" applyBorder="1"/>
    <xf numFmtId="0" fontId="0" fillId="8" borderId="13" xfId="0" applyFill="1" applyBorder="1"/>
    <xf numFmtId="0" fontId="2" fillId="6" borderId="1" xfId="0" applyFont="1" applyFill="1" applyBorder="1" applyAlignment="1">
      <alignment horizontal="center" vertical="center"/>
    </xf>
    <xf numFmtId="167" fontId="2" fillId="6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2550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F61FB-A83D-4407-8208-02CCB2B8B274}">
  <dimension ref="B2:T81"/>
  <sheetViews>
    <sheetView tabSelected="1" topLeftCell="A17" workbookViewId="0">
      <selection activeCell="N31" sqref="N31"/>
    </sheetView>
  </sheetViews>
  <sheetFormatPr baseColWidth="10" defaultRowHeight="15" x14ac:dyDescent="0.25"/>
  <sheetData>
    <row r="2" spans="4:16" x14ac:dyDescent="0.25">
      <c r="D2" s="31" t="s">
        <v>15</v>
      </c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3"/>
    </row>
    <row r="3" spans="4:16" x14ac:dyDescent="0.25">
      <c r="D3" s="34" t="s">
        <v>16</v>
      </c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6"/>
    </row>
    <row r="4" spans="4:16" x14ac:dyDescent="0.25">
      <c r="D4" s="37" t="s">
        <v>17</v>
      </c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9"/>
    </row>
    <row r="6" spans="4:16" x14ac:dyDescent="0.25">
      <c r="D6" s="1" t="s">
        <v>0</v>
      </c>
      <c r="E6" s="1"/>
      <c r="F6" s="1"/>
      <c r="I6" s="7" t="s">
        <v>0</v>
      </c>
      <c r="J6" s="7"/>
      <c r="K6" s="7"/>
      <c r="N6" s="9" t="s">
        <v>20</v>
      </c>
      <c r="O6" s="9"/>
      <c r="P6" s="9"/>
    </row>
    <row r="7" spans="4:16" x14ac:dyDescent="0.25">
      <c r="D7" s="3" t="s">
        <v>48</v>
      </c>
      <c r="E7" s="6">
        <v>2.5</v>
      </c>
      <c r="F7" t="s">
        <v>3</v>
      </c>
      <c r="I7" s="3" t="s">
        <v>6</v>
      </c>
      <c r="J7" s="6">
        <v>497</v>
      </c>
      <c r="K7" t="s">
        <v>4</v>
      </c>
      <c r="N7" s="3" t="s">
        <v>1</v>
      </c>
      <c r="O7" s="6">
        <v>200</v>
      </c>
      <c r="P7" t="s">
        <v>4</v>
      </c>
    </row>
    <row r="8" spans="4:16" x14ac:dyDescent="0.25">
      <c r="D8" s="3" t="s">
        <v>2</v>
      </c>
      <c r="E8" s="6">
        <v>140</v>
      </c>
      <c r="F8" t="s">
        <v>4</v>
      </c>
      <c r="I8" s="3" t="s">
        <v>1</v>
      </c>
      <c r="J8" s="6">
        <v>200</v>
      </c>
      <c r="K8" t="s">
        <v>4</v>
      </c>
    </row>
    <row r="9" spans="4:16" x14ac:dyDescent="0.25">
      <c r="D9" s="3"/>
      <c r="E9" s="4"/>
      <c r="I9" s="3" t="s">
        <v>12</v>
      </c>
      <c r="J9" s="6">
        <v>14.5</v>
      </c>
      <c r="K9" t="s">
        <v>4</v>
      </c>
      <c r="N9" s="3" t="s">
        <v>53</v>
      </c>
      <c r="O9" s="6">
        <v>12</v>
      </c>
      <c r="P9" t="s">
        <v>4</v>
      </c>
    </row>
    <row r="10" spans="4:16" x14ac:dyDescent="0.25">
      <c r="D10" s="3" t="s">
        <v>5</v>
      </c>
      <c r="E10" s="4"/>
      <c r="I10" s="3" t="s">
        <v>13</v>
      </c>
      <c r="J10" s="6">
        <v>8.4</v>
      </c>
      <c r="K10" t="s">
        <v>4</v>
      </c>
      <c r="N10" s="3" t="s">
        <v>54</v>
      </c>
      <c r="O10" s="6">
        <v>2</v>
      </c>
    </row>
    <row r="11" spans="4:16" x14ac:dyDescent="0.25">
      <c r="D11" s="3" t="s">
        <v>6</v>
      </c>
      <c r="E11" s="6">
        <v>58</v>
      </c>
      <c r="F11" t="s">
        <v>4</v>
      </c>
      <c r="I11" s="3" t="s">
        <v>14</v>
      </c>
      <c r="J11" s="6">
        <v>0</v>
      </c>
      <c r="K11" t="s">
        <v>4</v>
      </c>
      <c r="N11" s="3" t="s">
        <v>55</v>
      </c>
      <c r="O11" s="6">
        <v>60</v>
      </c>
      <c r="P11" t="s">
        <v>4</v>
      </c>
    </row>
    <row r="12" spans="4:16" x14ac:dyDescent="0.25">
      <c r="D12" s="3"/>
      <c r="E12" s="4"/>
      <c r="I12" s="3"/>
      <c r="J12" s="4"/>
      <c r="N12" s="3" t="s">
        <v>56</v>
      </c>
      <c r="O12" s="6">
        <v>60</v>
      </c>
      <c r="P12" t="s">
        <v>4</v>
      </c>
    </row>
    <row r="13" spans="4:16" x14ac:dyDescent="0.25">
      <c r="D13" s="3" t="s">
        <v>7</v>
      </c>
      <c r="E13" s="6">
        <v>30</v>
      </c>
      <c r="F13" t="s">
        <v>4</v>
      </c>
      <c r="G13" t="s">
        <v>8</v>
      </c>
      <c r="I13" s="11" t="s">
        <v>30</v>
      </c>
      <c r="J13" s="6">
        <v>355</v>
      </c>
      <c r="K13" t="s">
        <v>10</v>
      </c>
      <c r="N13" s="3" t="s">
        <v>63</v>
      </c>
      <c r="O13" s="6">
        <v>500</v>
      </c>
    </row>
    <row r="14" spans="4:16" x14ac:dyDescent="0.25">
      <c r="D14" s="3" t="s">
        <v>36</v>
      </c>
      <c r="E14" s="10">
        <f>(Td-hp)-hcfi</f>
        <v>52</v>
      </c>
      <c r="F14" t="s">
        <v>4</v>
      </c>
      <c r="I14" s="11" t="s">
        <v>31</v>
      </c>
      <c r="J14" s="6">
        <v>1</v>
      </c>
      <c r="N14" s="11" t="s">
        <v>64</v>
      </c>
      <c r="O14" s="6">
        <v>1</v>
      </c>
    </row>
    <row r="15" spans="4:16" x14ac:dyDescent="0.25">
      <c r="I15" s="8" t="s">
        <v>18</v>
      </c>
      <c r="J15" s="4"/>
      <c r="O15" s="4"/>
    </row>
    <row r="16" spans="4:16" x14ac:dyDescent="0.25">
      <c r="D16" s="3" t="s">
        <v>9</v>
      </c>
      <c r="E16" s="6">
        <v>30</v>
      </c>
      <c r="F16" t="s">
        <v>10</v>
      </c>
      <c r="I16" s="3" t="s">
        <v>19</v>
      </c>
      <c r="J16" s="6" cm="1">
        <f t="array" ref="J16">Tf/2+30+(bf-bc)/2</f>
        <v>37.25</v>
      </c>
      <c r="K16" t="s">
        <v>4</v>
      </c>
      <c r="N16" s="3" t="s">
        <v>57</v>
      </c>
      <c r="O16" s="17">
        <f>(2*Ht+bc)/(Ht*bc)</f>
        <v>1.2012072434607645E-2</v>
      </c>
      <c r="P16" t="s">
        <v>65</v>
      </c>
    </row>
    <row r="17" spans="4:16" x14ac:dyDescent="0.25">
      <c r="D17" s="3" t="s">
        <v>11</v>
      </c>
      <c r="E17" s="6">
        <v>1.3</v>
      </c>
      <c r="I17" s="3" t="s">
        <v>75</v>
      </c>
      <c r="J17" s="10">
        <f>bf-2*dbfi</f>
        <v>125.5</v>
      </c>
      <c r="K17" t="s">
        <v>4</v>
      </c>
      <c r="N17" s="3" t="s">
        <v>58</v>
      </c>
      <c r="O17" s="6">
        <v>2.5999999999999999E-2</v>
      </c>
    </row>
    <row r="18" spans="4:16" x14ac:dyDescent="0.25">
      <c r="D18" s="3"/>
      <c r="E18" s="4"/>
      <c r="I18" s="3" t="s">
        <v>21</v>
      </c>
      <c r="J18" s="10">
        <f>Ht/bc</f>
        <v>2.4849999999999999</v>
      </c>
      <c r="N18" s="3" t="s">
        <v>59</v>
      </c>
      <c r="O18" s="6">
        <v>-0.154</v>
      </c>
    </row>
    <row r="19" spans="4:16" x14ac:dyDescent="0.25">
      <c r="D19" s="3" t="s">
        <v>45</v>
      </c>
      <c r="E19" s="10">
        <f>MIN(d,LL/8*2)</f>
        <v>2.5</v>
      </c>
      <c r="F19" t="s">
        <v>3</v>
      </c>
      <c r="I19" s="3"/>
      <c r="J19" s="4"/>
      <c r="N19" s="3" t="s">
        <v>60</v>
      </c>
      <c r="O19" s="6">
        <v>0.09</v>
      </c>
    </row>
    <row r="20" spans="4:16" x14ac:dyDescent="0.25">
      <c r="D20" s="3"/>
      <c r="E20" s="4"/>
      <c r="I20" s="3" t="s">
        <v>22</v>
      </c>
      <c r="J20" s="6">
        <v>14000</v>
      </c>
      <c r="K20" t="s">
        <v>24</v>
      </c>
      <c r="N20" s="3" t="s">
        <v>61</v>
      </c>
      <c r="O20" s="6">
        <v>0.1</v>
      </c>
    </row>
    <row r="21" spans="4:16" x14ac:dyDescent="0.25">
      <c r="D21" s="3"/>
      <c r="E21" s="4"/>
      <c r="I21" s="3" t="s">
        <v>23</v>
      </c>
      <c r="J21" s="6">
        <v>75000</v>
      </c>
      <c r="K21" t="s">
        <v>24</v>
      </c>
      <c r="N21" s="3" t="s">
        <v>62</v>
      </c>
      <c r="O21" s="6">
        <v>1</v>
      </c>
    </row>
    <row r="22" spans="4:16" x14ac:dyDescent="0.25">
      <c r="D22" s="1" t="s">
        <v>46</v>
      </c>
      <c r="E22" s="1"/>
      <c r="F22" s="1"/>
      <c r="I22" s="3" t="s">
        <v>25</v>
      </c>
      <c r="J22" s="6">
        <v>40</v>
      </c>
      <c r="K22" t="s">
        <v>4</v>
      </c>
      <c r="N22" s="3"/>
      <c r="O22" s="4"/>
    </row>
    <row r="23" spans="4:16" x14ac:dyDescent="0.25">
      <c r="D23" s="3" t="s">
        <v>47</v>
      </c>
      <c r="E23" s="6">
        <v>12.5</v>
      </c>
      <c r="F23" t="s">
        <v>3</v>
      </c>
      <c r="I23" s="3" t="s">
        <v>26</v>
      </c>
      <c r="J23" s="10">
        <f>Ht-2*Tf</f>
        <v>468</v>
      </c>
      <c r="K23" t="s">
        <v>4</v>
      </c>
      <c r="N23" s="3" t="s">
        <v>66</v>
      </c>
      <c r="O23" s="17">
        <f>(1/(1/ui+1/usi+1/(bc-Tw-usi)))</f>
        <v>24.43069306930693</v>
      </c>
      <c r="P23" t="s">
        <v>4</v>
      </c>
    </row>
    <row r="24" spans="4:16" x14ac:dyDescent="0.25">
      <c r="D24" s="11" t="s">
        <v>79</v>
      </c>
      <c r="E24" s="6">
        <v>20</v>
      </c>
      <c r="F24" t="s">
        <v>80</v>
      </c>
      <c r="J24" s="4"/>
      <c r="N24" s="3"/>
      <c r="O24" s="4"/>
    </row>
    <row r="25" spans="4:16" x14ac:dyDescent="0.25">
      <c r="I25" s="11" t="s">
        <v>27</v>
      </c>
      <c r="J25" s="14">
        <f>a_1/bc+a_2*Tw/(bc*Ht)</f>
        <v>76.338028169014081</v>
      </c>
      <c r="K25" t="s">
        <v>4</v>
      </c>
      <c r="N25" s="3" t="s">
        <v>67</v>
      </c>
      <c r="O25" s="15">
        <f>O26</f>
        <v>0.39514579958198603</v>
      </c>
      <c r="P25">
        <v>0.435</v>
      </c>
    </row>
    <row r="26" spans="4:16" x14ac:dyDescent="0.25">
      <c r="D26" s="11" t="s">
        <v>81</v>
      </c>
      <c r="E26" s="14">
        <f>qELU*LL^2/8</f>
        <v>390.625</v>
      </c>
      <c r="F26" t="s">
        <v>74</v>
      </c>
      <c r="I26" s="11" t="s">
        <v>28</v>
      </c>
      <c r="J26" s="14">
        <f>MIN(hlmax,MAX(hlmin,J25))</f>
        <v>76.338028169014081</v>
      </c>
      <c r="K26" t="s">
        <v>4</v>
      </c>
      <c r="N26" s="3"/>
      <c r="O26" s="15">
        <f>MIN(krmax,MAX(krmin,(u*a_3+a_4)*a_5/SQRT(Massiv)))</f>
        <v>0.39514579958198603</v>
      </c>
    </row>
    <row r="27" spans="4:16" x14ac:dyDescent="0.25">
      <c r="D27" s="11" t="s">
        <v>82</v>
      </c>
      <c r="E27" s="10">
        <f>qELU*LL/2</f>
        <v>125</v>
      </c>
      <c r="F27" t="s">
        <v>44</v>
      </c>
      <c r="I27" s="11" t="s">
        <v>29</v>
      </c>
      <c r="J27" s="14">
        <f>(hlmax-hl)</f>
        <v>391.66197183098592</v>
      </c>
      <c r="K27" t="s">
        <v>4</v>
      </c>
      <c r="N27" s="3"/>
      <c r="O27" s="4"/>
    </row>
    <row r="28" spans="4:16" x14ac:dyDescent="0.25">
      <c r="N28" s="3"/>
      <c r="O28" s="4"/>
    </row>
    <row r="29" spans="4:16" x14ac:dyDescent="0.25">
      <c r="I29" s="11" t="s">
        <v>32</v>
      </c>
      <c r="J29" s="10">
        <f>0.018*Tf+0.7</f>
        <v>0.96099999999999985</v>
      </c>
      <c r="N29" s="3"/>
      <c r="O29" s="4"/>
    </row>
    <row r="30" spans="4:16" x14ac:dyDescent="0.25">
      <c r="I30" s="11" t="s">
        <v>33</v>
      </c>
      <c r="J30" s="10">
        <v>0.06</v>
      </c>
      <c r="N30" s="3"/>
      <c r="O30" s="4"/>
    </row>
    <row r="31" spans="4:16" x14ac:dyDescent="0.25">
      <c r="I31" s="11" t="s">
        <v>34</v>
      </c>
      <c r="J31" s="10">
        <v>0.12</v>
      </c>
      <c r="N31" s="3"/>
    </row>
    <row r="32" spans="4:16" x14ac:dyDescent="0.25">
      <c r="I32" s="11" t="s">
        <v>35</v>
      </c>
      <c r="J32" s="16">
        <f>a0*((0.12)-(17/bc)+(Ht/38/bc))</f>
        <v>9.6479342105263141E-2</v>
      </c>
      <c r="N32" s="3"/>
    </row>
    <row r="33" spans="2:16" x14ac:dyDescent="0.25">
      <c r="I33" s="11" t="s">
        <v>35</v>
      </c>
      <c r="J33" s="16">
        <f>MIN(kamax,MAX(kaformule,kamin))</f>
        <v>9.6479342105263141E-2</v>
      </c>
      <c r="N33" s="3"/>
    </row>
    <row r="36" spans="2:16" x14ac:dyDescent="0.25">
      <c r="E36" s="5" t="s">
        <v>24</v>
      </c>
      <c r="F36" s="5" t="s">
        <v>4</v>
      </c>
      <c r="G36" s="5" t="s">
        <v>10</v>
      </c>
      <c r="H36" s="5" t="s">
        <v>44</v>
      </c>
      <c r="N36" s="9" t="s">
        <v>83</v>
      </c>
      <c r="O36" s="9"/>
      <c r="P36" s="9"/>
    </row>
    <row r="37" spans="2:16" x14ac:dyDescent="0.25">
      <c r="E37" s="19" t="s">
        <v>40</v>
      </c>
      <c r="F37" s="19" t="s">
        <v>41</v>
      </c>
      <c r="G37" s="19" t="s">
        <v>42</v>
      </c>
      <c r="H37" s="19" t="s">
        <v>43</v>
      </c>
      <c r="N37" s="3" t="s">
        <v>84</v>
      </c>
      <c r="O37" s="41">
        <f>MEd/I75</f>
        <v>0.62402482897499145</v>
      </c>
    </row>
    <row r="38" spans="2:16" x14ac:dyDescent="0.25">
      <c r="D38" s="3" t="s">
        <v>37</v>
      </c>
      <c r="E38" s="5">
        <f>hch*beff*1000</f>
        <v>130000</v>
      </c>
      <c r="F38" s="5">
        <f>Ht+Td-hch/2</f>
        <v>611</v>
      </c>
      <c r="G38" s="13">
        <f>fck/GammaC</f>
        <v>23.076923076923077</v>
      </c>
      <c r="H38" s="13">
        <f>G38*E38/1000</f>
        <v>3000</v>
      </c>
      <c r="I38" s="22">
        <f>H38</f>
        <v>3000</v>
      </c>
      <c r="J38" s="22">
        <f t="shared" ref="J38:J52" si="0">J39+H38</f>
        <v>5221.2254869556182</v>
      </c>
      <c r="N38" s="3" t="s">
        <v>85</v>
      </c>
      <c r="O38" s="40"/>
    </row>
    <row r="39" spans="2:16" x14ac:dyDescent="0.25">
      <c r="D39" s="3" t="s">
        <v>38</v>
      </c>
      <c r="E39" s="5">
        <f>(hcfi*bf)</f>
        <v>6000</v>
      </c>
      <c r="F39" s="5">
        <f>Ht+Td-hch-hcfi/2</f>
        <v>570</v>
      </c>
      <c r="G39" s="13">
        <f>fck/GammaC</f>
        <v>23.076923076923077</v>
      </c>
      <c r="H39" s="20">
        <f t="shared" ref="H39:H54" si="1">G39*E39/1000</f>
        <v>138.46153846153848</v>
      </c>
      <c r="I39" s="22">
        <f>I38+H39</f>
        <v>3138.4615384615386</v>
      </c>
      <c r="J39" s="22">
        <f t="shared" si="0"/>
        <v>2221.2254869556186</v>
      </c>
    </row>
    <row r="40" spans="2:16" x14ac:dyDescent="0.25">
      <c r="D40" s="3" t="s">
        <v>39</v>
      </c>
      <c r="E40" s="20">
        <f>Tf*(bf-2*dbfi)</f>
        <v>1819.75</v>
      </c>
      <c r="F40" s="5">
        <f>Ht-Tf/2</f>
        <v>489.75</v>
      </c>
      <c r="G40" s="5">
        <f>fy/gammaM</f>
        <v>355</v>
      </c>
      <c r="H40" s="20">
        <f t="shared" si="1"/>
        <v>646.01125000000002</v>
      </c>
      <c r="I40" s="22">
        <f t="shared" ref="I40:I54" si="2">I39+H40</f>
        <v>3784.4727884615386</v>
      </c>
      <c r="J40" s="22">
        <f t="shared" si="0"/>
        <v>2082.7639484940801</v>
      </c>
    </row>
    <row r="41" spans="2:16" x14ac:dyDescent="0.25">
      <c r="D41" s="3" t="s">
        <v>49</v>
      </c>
      <c r="E41" s="13">
        <f>(4-PI())*Rr^2/2+Rr*Tw</f>
        <v>0</v>
      </c>
      <c r="F41" s="24"/>
      <c r="G41" s="5">
        <f>fy/gammaM</f>
        <v>355</v>
      </c>
      <c r="H41" s="23">
        <f t="shared" si="1"/>
        <v>0</v>
      </c>
      <c r="I41" s="22">
        <f t="shared" si="2"/>
        <v>3784.4727884615386</v>
      </c>
      <c r="J41" s="22">
        <f t="shared" si="0"/>
        <v>1436.7526984940801</v>
      </c>
    </row>
    <row r="42" spans="2:16" x14ac:dyDescent="0.25">
      <c r="D42" s="3" t="s">
        <v>50</v>
      </c>
      <c r="E42" s="20">
        <f>(hh-Rr)*Tw</f>
        <v>3289.9605633802817</v>
      </c>
      <c r="F42" s="13">
        <f>Ht-Tf-Rr-(hh-Rr)/2</f>
        <v>286.66901408450701</v>
      </c>
      <c r="G42" s="5">
        <f>G41</f>
        <v>355</v>
      </c>
      <c r="H42" s="23">
        <f t="shared" si="1"/>
        <v>1167.9359999999999</v>
      </c>
      <c r="I42" s="22">
        <f t="shared" si="2"/>
        <v>4952.4087884615383</v>
      </c>
      <c r="J42" s="22">
        <f t="shared" si="0"/>
        <v>1436.7526984940801</v>
      </c>
    </row>
    <row r="43" spans="2:16" x14ac:dyDescent="0.25">
      <c r="B43" s="3" t="s">
        <v>51</v>
      </c>
      <c r="C43" s="12">
        <f>(hl/10)*(D43-0.5)</f>
        <v>3.816901408450704</v>
      </c>
      <c r="D43" s="3">
        <v>1</v>
      </c>
      <c r="E43" s="21">
        <f>(hl/10)*Tw</f>
        <v>64.123943661971836</v>
      </c>
      <c r="F43" s="21">
        <f>Tf+hl-(D43-0.5)*hl/10</f>
        <v>87.021126760563376</v>
      </c>
      <c r="G43" s="13">
        <f>fy/gammaM*(1-C43*(1-ka)/hl)</f>
        <v>338.96250832236842</v>
      </c>
      <c r="H43" s="23">
        <f t="shared" si="1"/>
        <v>21.735612787184213</v>
      </c>
      <c r="I43" s="22">
        <f t="shared" si="2"/>
        <v>4974.1444012487227</v>
      </c>
      <c r="J43" s="22">
        <f t="shared" si="0"/>
        <v>268.81669849408019</v>
      </c>
    </row>
    <row r="44" spans="2:16" x14ac:dyDescent="0.25">
      <c r="C44" s="12">
        <f>(hl/10)*(D44-0.5)</f>
        <v>11.450704225352112</v>
      </c>
      <c r="D44" s="3">
        <v>2</v>
      </c>
      <c r="E44" s="21">
        <f>E43</f>
        <v>64.123943661971836</v>
      </c>
      <c r="F44" s="21">
        <f>Tf+hl-(D44-0.5)*hl/10</f>
        <v>79.387323943661968</v>
      </c>
      <c r="G44" s="13">
        <f>fy/gammaM*(1-C44*(1-ka)/hl)</f>
        <v>306.88752496710526</v>
      </c>
      <c r="H44" s="23">
        <f t="shared" si="1"/>
        <v>19.678838361552632</v>
      </c>
      <c r="I44" s="22">
        <f t="shared" si="2"/>
        <v>4993.8232396102758</v>
      </c>
      <c r="J44" s="22">
        <f t="shared" si="0"/>
        <v>247.08108570689598</v>
      </c>
    </row>
    <row r="45" spans="2:16" x14ac:dyDescent="0.25">
      <c r="C45" s="12"/>
      <c r="D45" s="2" t="s">
        <v>68</v>
      </c>
      <c r="E45" s="26">
        <f>nbPhi*Phi^2/4*PI()</f>
        <v>226.1946710584651</v>
      </c>
      <c r="F45" s="26">
        <f>Tf+ui</f>
        <v>74.5</v>
      </c>
      <c r="G45" s="13">
        <f>kr*fsk/GammaS</f>
        <v>197.57289979099301</v>
      </c>
      <c r="H45" s="23">
        <f t="shared" si="1"/>
        <v>44.689937078290747</v>
      </c>
      <c r="I45" s="22">
        <f t="shared" si="2"/>
        <v>5038.5131766885661</v>
      </c>
      <c r="J45" s="22">
        <f t="shared" si="0"/>
        <v>227.40224734534334</v>
      </c>
    </row>
    <row r="46" spans="2:16" x14ac:dyDescent="0.25">
      <c r="C46" s="12">
        <f>(hl/10)*(D46-0.5)</f>
        <v>19.08450704225352</v>
      </c>
      <c r="D46" s="3">
        <v>3</v>
      </c>
      <c r="E46" s="21">
        <f>E44</f>
        <v>64.123943661971836</v>
      </c>
      <c r="F46" s="21">
        <f>Tf+hl-(D46-0.5)*hl/10</f>
        <v>71.75352112676056</v>
      </c>
      <c r="G46" s="13">
        <f>fy/gammaM*(1-C46*(1-ka)/hl)</f>
        <v>274.81254161184211</v>
      </c>
      <c r="H46" s="23">
        <f t="shared" si="1"/>
        <v>17.622063935921055</v>
      </c>
      <c r="I46" s="22">
        <f t="shared" si="2"/>
        <v>5056.1352406244869</v>
      </c>
      <c r="J46" s="22">
        <f t="shared" si="0"/>
        <v>182.7123102670526</v>
      </c>
    </row>
    <row r="47" spans="2:16" x14ac:dyDescent="0.25">
      <c r="C47" s="12">
        <f>(hl/10)*(D47-0.5)</f>
        <v>26.718309859154928</v>
      </c>
      <c r="D47" s="3">
        <v>4</v>
      </c>
      <c r="E47" s="21">
        <f t="shared" ref="E47:E53" si="3">E46</f>
        <v>64.123943661971836</v>
      </c>
      <c r="F47" s="21">
        <f>Tf+hl-(D47-0.5)*hl/10</f>
        <v>64.119718309859152</v>
      </c>
      <c r="G47" s="13">
        <f>fy/gammaM*(1-C47*(1-ka)/hl)</f>
        <v>242.73755825657892</v>
      </c>
      <c r="H47" s="23">
        <f t="shared" si="1"/>
        <v>15.565289510289473</v>
      </c>
      <c r="I47" s="22">
        <f t="shared" si="2"/>
        <v>5071.7005301347763</v>
      </c>
      <c r="J47" s="22">
        <f t="shared" si="0"/>
        <v>165.09024633113154</v>
      </c>
    </row>
    <row r="48" spans="2:16" x14ac:dyDescent="0.25">
      <c r="C48" s="12">
        <f>(hl/10)*(D48-0.5)</f>
        <v>34.352112676056336</v>
      </c>
      <c r="D48" s="3">
        <v>5</v>
      </c>
      <c r="E48" s="21">
        <f t="shared" si="3"/>
        <v>64.123943661971836</v>
      </c>
      <c r="F48" s="21">
        <f>Tf+hl-(D48-0.5)*hl/10</f>
        <v>56.485915492957744</v>
      </c>
      <c r="G48" s="13">
        <f>fy/gammaM*(1-C48*(1-ka)/hl)</f>
        <v>210.66257490131579</v>
      </c>
      <c r="H48" s="23">
        <f t="shared" si="1"/>
        <v>13.508515084657896</v>
      </c>
      <c r="I48" s="22">
        <f t="shared" si="2"/>
        <v>5085.2090452194343</v>
      </c>
      <c r="J48" s="22">
        <f t="shared" si="0"/>
        <v>149.52495682084208</v>
      </c>
    </row>
    <row r="49" spans="3:13" x14ac:dyDescent="0.25">
      <c r="C49" s="12">
        <f>(hl/10)*(D49-0.5)</f>
        <v>41.985915492957744</v>
      </c>
      <c r="D49" s="3">
        <v>6</v>
      </c>
      <c r="E49" s="21">
        <f t="shared" si="3"/>
        <v>64.123943661971836</v>
      </c>
      <c r="F49" s="21">
        <f>Tf+hl-(D49-0.5)*hl/10</f>
        <v>48.852112676056336</v>
      </c>
      <c r="G49" s="13">
        <f>fy/gammaM*(1-C49*(1-ka)/hl)</f>
        <v>178.58759154605261</v>
      </c>
      <c r="H49" s="23">
        <f t="shared" si="1"/>
        <v>11.451740659026315</v>
      </c>
      <c r="I49" s="22">
        <f t="shared" si="2"/>
        <v>5096.660785878461</v>
      </c>
      <c r="J49" s="22">
        <f t="shared" si="0"/>
        <v>136.01644173618419</v>
      </c>
    </row>
    <row r="50" spans="3:13" x14ac:dyDescent="0.25">
      <c r="C50" s="12">
        <f>(hl/10)*(D50-0.5)</f>
        <v>49.619718309859152</v>
      </c>
      <c r="D50" s="3">
        <v>7</v>
      </c>
      <c r="E50" s="21">
        <f t="shared" si="3"/>
        <v>64.123943661971836</v>
      </c>
      <c r="F50" s="21">
        <f>Tf+hl-(D50-0.5)*hl/10</f>
        <v>41.218309859154928</v>
      </c>
      <c r="G50" s="13">
        <f>fy/gammaM*(1-C50*(1-ka)/hl)</f>
        <v>146.51260819078948</v>
      </c>
      <c r="H50" s="23">
        <f t="shared" si="1"/>
        <v>9.3949662333947384</v>
      </c>
      <c r="I50" s="22">
        <f t="shared" si="2"/>
        <v>5106.0557521118553</v>
      </c>
      <c r="J50" s="22">
        <f t="shared" si="0"/>
        <v>124.56470107715788</v>
      </c>
    </row>
    <row r="51" spans="3:13" x14ac:dyDescent="0.25">
      <c r="C51" s="12">
        <f>(hl/10)*(D51-0.5)</f>
        <v>57.25352112676056</v>
      </c>
      <c r="D51" s="3">
        <v>8</v>
      </c>
      <c r="E51" s="21">
        <f t="shared" si="3"/>
        <v>64.123943661971836</v>
      </c>
      <c r="F51" s="21">
        <f>Tf+hl-(D51-0.5)*hl/10</f>
        <v>33.58450704225352</v>
      </c>
      <c r="G51" s="13">
        <f>fy/gammaM*(1-C51*(1-ka)/hl)</f>
        <v>114.43762483552629</v>
      </c>
      <c r="H51" s="23">
        <f t="shared" si="1"/>
        <v>7.3381918077631569</v>
      </c>
      <c r="I51" s="22">
        <f t="shared" si="2"/>
        <v>5113.3939439196183</v>
      </c>
      <c r="J51" s="22">
        <f t="shared" si="0"/>
        <v>115.16973484376314</v>
      </c>
    </row>
    <row r="52" spans="3:13" x14ac:dyDescent="0.25">
      <c r="C52" s="12">
        <f>(hl/10)*(D52-0.5)</f>
        <v>64.887323943661968</v>
      </c>
      <c r="D52" s="3">
        <v>9</v>
      </c>
      <c r="E52" s="21">
        <f t="shared" si="3"/>
        <v>64.123943661971836</v>
      </c>
      <c r="F52" s="21">
        <f>Tf+hl-(D52-0.5)*hl/10</f>
        <v>25.950704225352112</v>
      </c>
      <c r="G52" s="13">
        <f>fy/gammaM*(1-C52*(1-ka)/hl)</f>
        <v>82.36264148026315</v>
      </c>
      <c r="H52" s="23">
        <f t="shared" si="1"/>
        <v>5.2814173821315791</v>
      </c>
      <c r="I52" s="22">
        <f t="shared" si="2"/>
        <v>5118.6753613017499</v>
      </c>
      <c r="J52" s="22">
        <f t="shared" si="0"/>
        <v>107.83154303599999</v>
      </c>
    </row>
    <row r="53" spans="3:13" x14ac:dyDescent="0.25">
      <c r="C53" s="12">
        <f>(hl/10)*(D53-0.5)</f>
        <v>72.521126760563376</v>
      </c>
      <c r="D53" s="3">
        <v>10</v>
      </c>
      <c r="E53" s="21">
        <f t="shared" si="3"/>
        <v>64.123943661971836</v>
      </c>
      <c r="F53" s="21">
        <f>Tf+hl-(D53-0.5)*hl/10</f>
        <v>18.316901408450704</v>
      </c>
      <c r="G53" s="29">
        <f>fy/gammaM*(1-C53*(1-ka)/hl)</f>
        <v>50.287658124999972</v>
      </c>
      <c r="H53" s="25">
        <f t="shared" si="1"/>
        <v>3.2246429564999985</v>
      </c>
      <c r="I53" s="22">
        <f t="shared" si="2"/>
        <v>5121.9000042582502</v>
      </c>
      <c r="J53" s="22">
        <f>J54+H53</f>
        <v>102.55012565386841</v>
      </c>
    </row>
    <row r="54" spans="3:13" x14ac:dyDescent="0.25">
      <c r="D54" s="3" t="s">
        <v>52</v>
      </c>
      <c r="E54" s="20">
        <f>bf*Tf</f>
        <v>2900</v>
      </c>
      <c r="F54" s="5">
        <f>Tf/2</f>
        <v>7.25</v>
      </c>
      <c r="G54" s="13">
        <f>ka*fy/gammaM</f>
        <v>34.250166447368414</v>
      </c>
      <c r="H54" s="20">
        <f t="shared" si="1"/>
        <v>99.3254826973684</v>
      </c>
      <c r="I54" s="22">
        <f t="shared" si="2"/>
        <v>5221.2254869556182</v>
      </c>
      <c r="J54" s="22">
        <f>H54</f>
        <v>99.3254826973684</v>
      </c>
    </row>
    <row r="58" spans="3:13" x14ac:dyDescent="0.25">
      <c r="D58" t="s">
        <v>69</v>
      </c>
    </row>
    <row r="59" spans="3:13" x14ac:dyDescent="0.25">
      <c r="D59" s="3" t="s">
        <v>70</v>
      </c>
      <c r="E59" s="16">
        <f>(SUM(H40:H54)/H38)</f>
        <v>0.69425464949802673</v>
      </c>
    </row>
    <row r="60" spans="3:13" x14ac:dyDescent="0.25">
      <c r="D60" s="3" t="s">
        <v>72</v>
      </c>
      <c r="E60" s="17">
        <f>p*hch</f>
        <v>36.101241773897392</v>
      </c>
      <c r="F60" t="s">
        <v>4</v>
      </c>
    </row>
    <row r="61" spans="3:13" x14ac:dyDescent="0.25">
      <c r="D61" s="3" t="s">
        <v>71</v>
      </c>
      <c r="E61" s="14">
        <f>Ht+Td-E60</f>
        <v>600.89875822610259</v>
      </c>
      <c r="F61" t="s">
        <v>4</v>
      </c>
      <c r="H61" s="18">
        <f>zANP-Ht</f>
        <v>103.89875822610259</v>
      </c>
      <c r="I61" t="s">
        <v>4</v>
      </c>
    </row>
    <row r="64" spans="3:13" x14ac:dyDescent="0.25">
      <c r="E64" s="5" t="s">
        <v>24</v>
      </c>
      <c r="F64" s="5" t="s">
        <v>4</v>
      </c>
      <c r="G64" s="5" t="s">
        <v>10</v>
      </c>
      <c r="H64" s="5" t="s">
        <v>44</v>
      </c>
      <c r="I64" s="27" t="s">
        <v>74</v>
      </c>
      <c r="M64">
        <f>Td+Tf+hh/2</f>
        <v>350.33098591549299</v>
      </c>
    </row>
    <row r="65" spans="4:20" x14ac:dyDescent="0.25">
      <c r="E65" s="19" t="s">
        <v>40</v>
      </c>
      <c r="F65" s="19" t="s">
        <v>41</v>
      </c>
      <c r="G65" s="19" t="s">
        <v>42</v>
      </c>
      <c r="H65" s="19" t="s">
        <v>43</v>
      </c>
      <c r="I65" s="19" t="s">
        <v>73</v>
      </c>
    </row>
    <row r="66" spans="4:20" x14ac:dyDescent="0.25">
      <c r="D66" s="3" t="s">
        <v>37</v>
      </c>
      <c r="E66" s="20">
        <f>beff*1000*tcp</f>
        <v>90253.10443474348</v>
      </c>
      <c r="F66" s="20">
        <f>Ht+Td-tcp/2</f>
        <v>618.94937911305135</v>
      </c>
      <c r="G66" s="13">
        <f>fck/GammaC</f>
        <v>23.076923076923077</v>
      </c>
      <c r="H66" s="20">
        <f>G66*E66/1000</f>
        <v>2082.7639484940801</v>
      </c>
      <c r="I66" s="21">
        <f>H66*ABS(F66-zANP)/1000</f>
        <v>37.59518243127112</v>
      </c>
      <c r="K66" s="20">
        <f>(Ht+Td-F66)</f>
        <v>18.05062088694865</v>
      </c>
      <c r="R66" s="21">
        <v>2082</v>
      </c>
      <c r="S66" s="21">
        <v>36.1</v>
      </c>
      <c r="T66" s="21">
        <f>R66*S66/2000</f>
        <v>37.580100000000002</v>
      </c>
    </row>
    <row r="67" spans="4:20" x14ac:dyDescent="0.25">
      <c r="D67" s="3" t="s">
        <v>38</v>
      </c>
      <c r="E67" s="20">
        <v>0</v>
      </c>
      <c r="F67" s="20">
        <v>1</v>
      </c>
      <c r="G67" s="20">
        <v>2</v>
      </c>
      <c r="H67" s="20">
        <f t="shared" ref="H67:H73" si="4">G67*E67/1000</f>
        <v>0</v>
      </c>
      <c r="I67" s="21">
        <f>H67*ABS(F67-zANP)/1000</f>
        <v>0</v>
      </c>
      <c r="K67" s="20">
        <f>(Ht+Td-F67)</f>
        <v>636</v>
      </c>
      <c r="R67" s="21">
        <v>0</v>
      </c>
    </row>
    <row r="68" spans="4:20" x14ac:dyDescent="0.25">
      <c r="D68" s="3" t="s">
        <v>39</v>
      </c>
      <c r="E68" s="20">
        <f>E40</f>
        <v>1819.75</v>
      </c>
      <c r="F68" s="20">
        <f t="shared" ref="F68:G68" si="5">F40</f>
        <v>489.75</v>
      </c>
      <c r="G68" s="20">
        <f t="shared" si="5"/>
        <v>355</v>
      </c>
      <c r="H68" s="20">
        <f t="shared" si="4"/>
        <v>646.01125000000002</v>
      </c>
      <c r="I68" s="21">
        <f>H68*ABS(F68-zANP)/1000</f>
        <v>71.803348237592317</v>
      </c>
      <c r="K68" s="20">
        <f>(Ht+Td-F68)</f>
        <v>147.25</v>
      </c>
      <c r="R68" s="30">
        <v>646</v>
      </c>
      <c r="S68" s="5">
        <v>147.25</v>
      </c>
      <c r="T68" s="13">
        <f>R68*(S68-$S$66)/1000</f>
        <v>71.802900000000008</v>
      </c>
    </row>
    <row r="69" spans="4:20" x14ac:dyDescent="0.25">
      <c r="D69" s="3" t="s">
        <v>49</v>
      </c>
      <c r="E69" s="20">
        <f t="shared" ref="E69:G70" si="6">E41</f>
        <v>0</v>
      </c>
      <c r="F69" s="20">
        <f t="shared" si="6"/>
        <v>0</v>
      </c>
      <c r="G69" s="20">
        <f t="shared" si="6"/>
        <v>355</v>
      </c>
      <c r="H69" s="20">
        <f t="shared" si="4"/>
        <v>0</v>
      </c>
      <c r="I69" s="21">
        <f>H69*ABS(F69-zANP)/1000</f>
        <v>0</v>
      </c>
      <c r="K69" s="20">
        <f>(Ht+Td-F69)</f>
        <v>637</v>
      </c>
      <c r="S69" s="5"/>
    </row>
    <row r="70" spans="4:20" x14ac:dyDescent="0.25">
      <c r="D70" s="3" t="s">
        <v>50</v>
      </c>
      <c r="E70" s="20">
        <f t="shared" si="6"/>
        <v>3289.9605633802817</v>
      </c>
      <c r="F70" s="20">
        <f t="shared" si="6"/>
        <v>286.66901408450701</v>
      </c>
      <c r="G70" s="20">
        <f t="shared" si="6"/>
        <v>355</v>
      </c>
      <c r="H70" s="20">
        <f t="shared" si="4"/>
        <v>1167.9359999999999</v>
      </c>
      <c r="I70" s="21">
        <f>H70*ABS(F70-zANP)/1000</f>
        <v>367.00023045375855</v>
      </c>
      <c r="K70" s="20">
        <f>(Ht+Td-F70)</f>
        <v>350.33098591549299</v>
      </c>
      <c r="M70" s="5" t="s">
        <v>41</v>
      </c>
      <c r="N70" s="5" t="s">
        <v>42</v>
      </c>
      <c r="O70" s="5" t="s">
        <v>76</v>
      </c>
      <c r="P70" s="27" t="s">
        <v>77</v>
      </c>
      <c r="R70" s="30">
        <v>1168</v>
      </c>
      <c r="S70" s="5">
        <v>350.35</v>
      </c>
      <c r="T70" s="13">
        <f>R70*(S70-$S$66)/1000</f>
        <v>367.04399999999998</v>
      </c>
    </row>
    <row r="71" spans="4:20" x14ac:dyDescent="0.25">
      <c r="D71" s="3" t="s">
        <v>51</v>
      </c>
      <c r="E71" s="20">
        <f>hl*Tw</f>
        <v>641.23943661971828</v>
      </c>
      <c r="F71" s="20">
        <f>Tf+M73</f>
        <v>63.334098184427475</v>
      </c>
      <c r="G71" s="20">
        <f>AVERAGE(G70,G72)</f>
        <v>194.62508322368421</v>
      </c>
      <c r="H71" s="20">
        <f t="shared" si="4"/>
        <v>124.80127871842105</v>
      </c>
      <c r="I71" s="21">
        <f>H71*ABS(F71-zANP)/1000</f>
        <v>67.088756967034357</v>
      </c>
      <c r="K71" s="20">
        <f>(Ht+Td-F71)</f>
        <v>573.66590181557251</v>
      </c>
      <c r="L71">
        <v>1</v>
      </c>
      <c r="M71" s="21">
        <f>hl/2</f>
        <v>38.16901408450704</v>
      </c>
      <c r="N71" s="13">
        <f>ka*fy/gammaM</f>
        <v>34.250166447368414</v>
      </c>
      <c r="O71" s="21">
        <f>hl*Tw*N71/1000</f>
        <v>21.962557436842101</v>
      </c>
      <c r="P71" s="13">
        <f>O71*M71</f>
        <v>838.289164138621</v>
      </c>
      <c r="R71" s="30">
        <v>124.7</v>
      </c>
      <c r="S71" s="5">
        <v>573.87</v>
      </c>
      <c r="T71" s="13">
        <f t="shared" ref="T71:T73" si="7">R71*(S71-$S$66)/1000</f>
        <v>67.059918999999994</v>
      </c>
    </row>
    <row r="72" spans="4:20" x14ac:dyDescent="0.25">
      <c r="D72" s="3" t="s">
        <v>52</v>
      </c>
      <c r="E72" s="20">
        <f>E54</f>
        <v>2900</v>
      </c>
      <c r="F72" s="20">
        <f>F54</f>
        <v>7.25</v>
      </c>
      <c r="G72" s="20">
        <f>G54</f>
        <v>34.250166447368414</v>
      </c>
      <c r="H72" s="20">
        <f t="shared" si="4"/>
        <v>99.3254826973684</v>
      </c>
      <c r="I72" s="21">
        <f>H72*ABS(F72-zANP)/1000</f>
        <v>58.964449463500991</v>
      </c>
      <c r="K72" s="20">
        <f>(Ht+Td-F72)</f>
        <v>629.75</v>
      </c>
      <c r="L72">
        <v>2</v>
      </c>
      <c r="M72" s="21">
        <f>2*hl/3</f>
        <v>50.89201877934272</v>
      </c>
      <c r="N72" s="5">
        <f>fy/gammaM</f>
        <v>355</v>
      </c>
      <c r="O72" s="21">
        <f>hl*Tw*N72/1000/2</f>
        <v>113.82</v>
      </c>
      <c r="P72" s="13">
        <f>O72*M72</f>
        <v>5792.5295774647884</v>
      </c>
      <c r="R72" s="30">
        <v>99.346999999999994</v>
      </c>
      <c r="S72" s="5">
        <v>636.25</v>
      </c>
      <c r="T72" s="13">
        <f t="shared" si="7"/>
        <v>59.623102049999993</v>
      </c>
    </row>
    <row r="73" spans="4:20" x14ac:dyDescent="0.25">
      <c r="D73" s="2" t="s">
        <v>68</v>
      </c>
      <c r="E73" s="20">
        <f>E45</f>
        <v>226.1946710584651</v>
      </c>
      <c r="F73" s="20">
        <f t="shared" ref="F73:G73" si="8">F45</f>
        <v>74.5</v>
      </c>
      <c r="G73" s="20">
        <f t="shared" si="8"/>
        <v>197.57289979099301</v>
      </c>
      <c r="H73" s="13">
        <f t="shared" si="4"/>
        <v>44.689937078290747</v>
      </c>
      <c r="I73" s="21">
        <f>H73*ABS(F73-zANP)/1000</f>
        <v>23.524727383214909</v>
      </c>
      <c r="K73" s="20">
        <f>(Ht+Td-F73)</f>
        <v>562.5</v>
      </c>
      <c r="L73" s="3" t="s">
        <v>41</v>
      </c>
      <c r="M73" s="21">
        <f>SUM(P71:P72)/SUM(O71:O72)</f>
        <v>48.834098184427475</v>
      </c>
      <c r="R73" s="30">
        <v>44.6</v>
      </c>
      <c r="S73" s="5">
        <v>562.5</v>
      </c>
      <c r="T73" s="13">
        <f t="shared" si="7"/>
        <v>23.477439999999998</v>
      </c>
    </row>
    <row r="75" spans="4:20" x14ac:dyDescent="0.25">
      <c r="I75" s="28">
        <f>SUM(I66:I73)</f>
        <v>625.97669493637216</v>
      </c>
      <c r="J75" t="s">
        <v>74</v>
      </c>
      <c r="T75" s="12">
        <f>SUM(T66:T73)</f>
        <v>626.58746105</v>
      </c>
    </row>
    <row r="80" spans="4:20" x14ac:dyDescent="0.25">
      <c r="D80" s="2" t="s">
        <v>78</v>
      </c>
      <c r="E80" s="4">
        <f>Ht-Tf-ui</f>
        <v>422.5</v>
      </c>
    </row>
    <row r="81" spans="5:5" x14ac:dyDescent="0.25">
      <c r="E81">
        <f>461-E80</f>
        <v>38.5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49</vt:i4>
      </vt:variant>
    </vt:vector>
  </HeadingPairs>
  <TitlesOfParts>
    <vt:vector size="50" baseType="lpstr">
      <vt:lpstr>Données</vt:lpstr>
      <vt:lpstr>a_1</vt:lpstr>
      <vt:lpstr>a_2</vt:lpstr>
      <vt:lpstr>a_3</vt:lpstr>
      <vt:lpstr>a_4</vt:lpstr>
      <vt:lpstr>a_5</vt:lpstr>
      <vt:lpstr>a0</vt:lpstr>
      <vt:lpstr>bc</vt:lpstr>
      <vt:lpstr>beff</vt:lpstr>
      <vt:lpstr>bf</vt:lpstr>
      <vt:lpstr>d</vt:lpstr>
      <vt:lpstr>dbfi</vt:lpstr>
      <vt:lpstr>fck</vt:lpstr>
      <vt:lpstr>fsk</vt:lpstr>
      <vt:lpstr>fy</vt:lpstr>
      <vt:lpstr>GammaC</vt:lpstr>
      <vt:lpstr>gammaM</vt:lpstr>
      <vt:lpstr>GammaS</vt:lpstr>
      <vt:lpstr>hcfi</vt:lpstr>
      <vt:lpstr>hch</vt:lpstr>
      <vt:lpstr>hh</vt:lpstr>
      <vt:lpstr>hl</vt:lpstr>
      <vt:lpstr>hlmax</vt:lpstr>
      <vt:lpstr>hlmin</vt:lpstr>
      <vt:lpstr>hp</vt:lpstr>
      <vt:lpstr>Ht</vt:lpstr>
      <vt:lpstr>ka</vt:lpstr>
      <vt:lpstr>kaformule</vt:lpstr>
      <vt:lpstr>kamax</vt:lpstr>
      <vt:lpstr>kamin</vt:lpstr>
      <vt:lpstr>kr</vt:lpstr>
      <vt:lpstr>krmax</vt:lpstr>
      <vt:lpstr>krmin</vt:lpstr>
      <vt:lpstr>LL</vt:lpstr>
      <vt:lpstr>Massiv</vt:lpstr>
      <vt:lpstr>MEd</vt:lpstr>
      <vt:lpstr>nbPhi</vt:lpstr>
      <vt:lpstr>p</vt:lpstr>
      <vt:lpstr>Phi</vt:lpstr>
      <vt:lpstr>qELU</vt:lpstr>
      <vt:lpstr>Rr</vt:lpstr>
      <vt:lpstr>tcp</vt:lpstr>
      <vt:lpstr>Td</vt:lpstr>
      <vt:lpstr>Tf</vt:lpstr>
      <vt:lpstr>Tw</vt:lpstr>
      <vt:lpstr>u</vt:lpstr>
      <vt:lpstr>ui</vt:lpstr>
      <vt:lpstr>usi</vt:lpstr>
      <vt:lpstr>VEd</vt:lpstr>
      <vt:lpstr>zANP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Olivier MARTIN</dc:creator>
  <cp:lastModifiedBy>Pierre Olivier MARTIN</cp:lastModifiedBy>
  <dcterms:created xsi:type="dcterms:W3CDTF">2024-12-16T12:13:21Z</dcterms:created>
  <dcterms:modified xsi:type="dcterms:W3CDTF">2024-12-17T12:14:46Z</dcterms:modified>
</cp:coreProperties>
</file>