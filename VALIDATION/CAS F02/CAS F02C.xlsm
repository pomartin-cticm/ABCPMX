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LOGICIELS\CTICM AM - POUTRE MIXTE\DEV23\VALIDATION\CAS F02\"/>
    </mc:Choice>
  </mc:AlternateContent>
  <bookViews>
    <workbookView xWindow="0" yWindow="0" windowWidth="4905" windowHeight="9405" activeTab="1"/>
  </bookViews>
  <sheets>
    <sheet name="Calculs" sheetId="1" r:id="rId1"/>
    <sheet name="Echauffements" sheetId="2" r:id="rId2"/>
    <sheet name="Poutre" sheetId="3" r:id="rId3"/>
  </sheets>
  <functionGroups builtInGroupCount="18"/>
  <definedNames>
    <definedName name="Aa">Calculs!$M$7</definedName>
    <definedName name="AlphaC">Calculs!$D$8</definedName>
    <definedName name="AlphaLT">Poutre!$I$7</definedName>
    <definedName name="Av">Poutre!$D$9</definedName>
    <definedName name="b">Calculs!$I$6</definedName>
    <definedName name="Botzman">Calculs!$D$7</definedName>
    <definedName name="ClasseFeu">Poutre!$E$31</definedName>
    <definedName name="ClasseLT">Echauffements!$S$2</definedName>
    <definedName name="Cp">Calculs!$M$16</definedName>
    <definedName name="DeltaT">Calculs!$D$4</definedName>
    <definedName name="dp">Calculs!$M$17</definedName>
    <definedName name="EpsilonF">Calculs!$D$6</definedName>
    <definedName name="EpsilonFi">Poutre!$E$27</definedName>
    <definedName name="Eta">Poutre!$D$14</definedName>
    <definedName name="Expo">Calculs!$M$5</definedName>
    <definedName name="Fy">Poutre!$D$13</definedName>
    <definedName name="Galva">Calculs!$I$11</definedName>
    <definedName name="GammaM">Poutre!$D$12</definedName>
    <definedName name="h">Calculs!$I$5</definedName>
    <definedName name="hw">Calculs!$I$10</definedName>
    <definedName name="ksh">Calculs!$M$11</definedName>
    <definedName name="kTau">Poutre!$D$15</definedName>
    <definedName name="LambdaFi0">Poutre!$D$37</definedName>
    <definedName name="LambdaLT">Poutre!$I$6</definedName>
    <definedName name="LambdaP">Calculs!$M$15</definedName>
    <definedName name="Limit">Calculs!$M$18</definedName>
    <definedName name="ListeOuiNon">Calculs!$N$2:$N$3</definedName>
    <definedName name="ListExpo">Calculs!$M$2:$M$3</definedName>
    <definedName name="LL">Poutre!$D$3</definedName>
    <definedName name="Massivete">Calculs!$M$8</definedName>
    <definedName name="MassiveteBox">Calculs!$M$10</definedName>
    <definedName name="MassivP">Calculs!$P$10</definedName>
    <definedName name="Mcr">Poutre!$I$4</definedName>
    <definedName name="MEd">Poutre!$D$6</definedName>
    <definedName name="MRk">Poutre!$I$5</definedName>
    <definedName name="Oui">Calculs!$N$2</definedName>
    <definedName name="p">Calculs!$M$6</definedName>
    <definedName name="pb">Calculs!$M$9</definedName>
    <definedName name="pBoard">Calculs!$P$4</definedName>
    <definedName name="Phi">Calculs!$D$10</definedName>
    <definedName name="pP">Calculs!$P$9</definedName>
    <definedName name="Protection">Calculs!$M$13</definedName>
    <definedName name="Protection_Types">Calculs!$P$2:$P$4</definedName>
    <definedName name="q">Poutre!$D$4</definedName>
    <definedName name="RhoA">Calculs!$D$9</definedName>
    <definedName name="RhoP">Calculs!$M$14</definedName>
    <definedName name="rr">Calculs!$I$9</definedName>
    <definedName name="tf">Calculs!$I$7</definedName>
    <definedName name="Theta0">Calculs!$D$5</definedName>
    <definedName name="tw">Calculs!$I$8</definedName>
    <definedName name="VEd">Poutre!$D$7</definedName>
    <definedName name="Wel">Poutre!$D$11</definedName>
    <definedName name="Wpl">Poutre!$D$10</definedName>
    <definedName name="_xlnm.Print_Area" localSheetId="1">Echauffements!$C$1:$U$10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7" i="3" l="1"/>
  <c r="I5" i="3"/>
  <c r="I6" i="3" s="1"/>
  <c r="I8" i="3"/>
  <c r="D9" i="3" l="1"/>
  <c r="D37" i="3"/>
  <c r="E34" i="3"/>
  <c r="D34" i="3"/>
  <c r="E29" i="3"/>
  <c r="D29" i="3"/>
  <c r="D27" i="3"/>
  <c r="D28" i="3" s="1"/>
  <c r="D23" i="3"/>
  <c r="D10" i="3"/>
  <c r="D18" i="3"/>
  <c r="D17" i="3"/>
  <c r="E27" i="3" l="1"/>
  <c r="E28" i="3" s="1"/>
  <c r="D7" i="3" l="1"/>
  <c r="D6" i="3" l="1"/>
  <c r="D6" i="2"/>
  <c r="D7" i="2"/>
  <c r="D8" i="2"/>
  <c r="D9" i="2"/>
  <c r="D10" i="2"/>
  <c r="D5" i="2"/>
  <c r="B2818" i="1"/>
  <c r="C2818" i="1"/>
  <c r="D2818" i="1" s="1"/>
  <c r="B2819" i="1"/>
  <c r="C2819" i="1" s="1"/>
  <c r="D2819" i="1" s="1"/>
  <c r="B2801" i="1"/>
  <c r="C2801" i="1" s="1"/>
  <c r="D2801" i="1" s="1"/>
  <c r="B2783" i="1"/>
  <c r="C2783" i="1"/>
  <c r="D2783" i="1" s="1"/>
  <c r="B2784" i="1"/>
  <c r="C2784" i="1" s="1"/>
  <c r="D2784" i="1" s="1"/>
  <c r="B2690" i="1"/>
  <c r="C2690" i="1" s="1"/>
  <c r="D2690" i="1" s="1"/>
  <c r="B2410" i="1"/>
  <c r="C2410" i="1"/>
  <c r="D2410" i="1" s="1"/>
  <c r="B2411" i="1"/>
  <c r="C2411" i="1" s="1"/>
  <c r="D2411" i="1" s="1"/>
  <c r="B1236" i="1"/>
  <c r="C1236" i="1"/>
  <c r="D1236" i="1" s="1"/>
  <c r="B1237" i="1"/>
  <c r="C1237" i="1" s="1"/>
  <c r="D1237" i="1" s="1"/>
  <c r="B758" i="1"/>
  <c r="B759" i="1" s="1"/>
  <c r="C758" i="1"/>
  <c r="D758" i="1" s="1"/>
  <c r="M9" i="1"/>
  <c r="I10" i="1"/>
  <c r="M7" i="1" s="1"/>
  <c r="P9" i="1" s="1"/>
  <c r="M6" i="1"/>
  <c r="P8" i="1" s="1"/>
  <c r="P10" i="1" s="1"/>
  <c r="E20" i="1"/>
  <c r="H20" i="1" s="1"/>
  <c r="C20" i="1"/>
  <c r="D20" i="1" s="1"/>
  <c r="B21" i="1"/>
  <c r="B22" i="1" s="1"/>
  <c r="F20" i="1" l="1"/>
  <c r="I20" i="1" s="1"/>
  <c r="E21" i="1" s="1"/>
  <c r="B2820" i="1"/>
  <c r="B2802" i="1"/>
  <c r="B2785" i="1"/>
  <c r="B2691" i="1"/>
  <c r="B2412" i="1"/>
  <c r="B1238" i="1"/>
  <c r="B760" i="1"/>
  <c r="C759" i="1"/>
  <c r="D759" i="1" s="1"/>
  <c r="G20" i="1"/>
  <c r="M8" i="1"/>
  <c r="M10" i="1"/>
  <c r="B23" i="1"/>
  <c r="C23" i="1" s="1"/>
  <c r="D23" i="1" s="1"/>
  <c r="C22" i="1"/>
  <c r="D22" i="1" s="1"/>
  <c r="C21" i="1"/>
  <c r="D21" i="1" s="1"/>
  <c r="B24" i="1"/>
  <c r="C24" i="1" s="1"/>
  <c r="D24" i="1" s="1"/>
  <c r="M11" i="1" l="1"/>
  <c r="C2820" i="1"/>
  <c r="D2820" i="1" s="1"/>
  <c r="B2821" i="1"/>
  <c r="C2802" i="1"/>
  <c r="D2802" i="1" s="1"/>
  <c r="B2803" i="1"/>
  <c r="C2785" i="1"/>
  <c r="D2785" i="1" s="1"/>
  <c r="B2786" i="1"/>
  <c r="C2691" i="1"/>
  <c r="D2691" i="1" s="1"/>
  <c r="B2692" i="1"/>
  <c r="C2412" i="1"/>
  <c r="D2412" i="1" s="1"/>
  <c r="B2413" i="1"/>
  <c r="C1238" i="1"/>
  <c r="D1238" i="1" s="1"/>
  <c r="B1239" i="1"/>
  <c r="B761" i="1"/>
  <c r="C760" i="1"/>
  <c r="D760" i="1" s="1"/>
  <c r="B25" i="1"/>
  <c r="C25" i="1" s="1"/>
  <c r="D25" i="1" s="1"/>
  <c r="C2821" i="1" l="1"/>
  <c r="D2821" i="1" s="1"/>
  <c r="B2822" i="1"/>
  <c r="C2803" i="1"/>
  <c r="D2803" i="1" s="1"/>
  <c r="B2804" i="1"/>
  <c r="C2786" i="1"/>
  <c r="D2786" i="1" s="1"/>
  <c r="B2787" i="1"/>
  <c r="C2692" i="1"/>
  <c r="D2692" i="1" s="1"/>
  <c r="B2693" i="1"/>
  <c r="C2413" i="1"/>
  <c r="D2413" i="1" s="1"/>
  <c r="B2414" i="1"/>
  <c r="C1239" i="1"/>
  <c r="D1239" i="1" s="1"/>
  <c r="B1240" i="1"/>
  <c r="B762" i="1"/>
  <c r="C761" i="1"/>
  <c r="D761" i="1" s="1"/>
  <c r="G21" i="1"/>
  <c r="H21" i="1"/>
  <c r="B26" i="1"/>
  <c r="C26" i="1" s="1"/>
  <c r="D26" i="1" s="1"/>
  <c r="F21" i="1" l="1"/>
  <c r="I21" i="1" s="1"/>
  <c r="E22" i="1" s="1"/>
  <c r="C2822" i="1"/>
  <c r="D2822" i="1" s="1"/>
  <c r="B2823" i="1"/>
  <c r="C2804" i="1"/>
  <c r="D2804" i="1" s="1"/>
  <c r="B2805" i="1"/>
  <c r="C2787" i="1"/>
  <c r="D2787" i="1" s="1"/>
  <c r="B2788" i="1"/>
  <c r="C2693" i="1"/>
  <c r="D2693" i="1" s="1"/>
  <c r="B2694" i="1"/>
  <c r="C2414" i="1"/>
  <c r="D2414" i="1" s="1"/>
  <c r="B2415" i="1"/>
  <c r="C1240" i="1"/>
  <c r="D1240" i="1" s="1"/>
  <c r="B1241" i="1"/>
  <c r="C762" i="1"/>
  <c r="D762" i="1" s="1"/>
  <c r="B763" i="1"/>
  <c r="B27" i="1"/>
  <c r="C27" i="1" s="1"/>
  <c r="D27" i="1" s="1"/>
  <c r="G22" i="1" l="1"/>
  <c r="C2823" i="1"/>
  <c r="D2823" i="1" s="1"/>
  <c r="B2824" i="1"/>
  <c r="C2805" i="1"/>
  <c r="D2805" i="1" s="1"/>
  <c r="B2806" i="1"/>
  <c r="C2788" i="1"/>
  <c r="D2788" i="1" s="1"/>
  <c r="B2789" i="1"/>
  <c r="B2695" i="1"/>
  <c r="C2694" i="1"/>
  <c r="D2694" i="1" s="1"/>
  <c r="C2415" i="1"/>
  <c r="D2415" i="1" s="1"/>
  <c r="B2416" i="1"/>
  <c r="C1241" i="1"/>
  <c r="D1241" i="1" s="1"/>
  <c r="B1242" i="1"/>
  <c r="C763" i="1"/>
  <c r="D763" i="1" s="1"/>
  <c r="B764" i="1"/>
  <c r="B28" i="1"/>
  <c r="C28" i="1" s="1"/>
  <c r="D28" i="1" s="1"/>
  <c r="H22" i="1" l="1"/>
  <c r="C2824" i="1"/>
  <c r="D2824" i="1" s="1"/>
  <c r="B2825" i="1"/>
  <c r="B2807" i="1"/>
  <c r="C2806" i="1"/>
  <c r="D2806" i="1" s="1"/>
  <c r="C2789" i="1"/>
  <c r="D2789" i="1" s="1"/>
  <c r="B2790" i="1"/>
  <c r="C2695" i="1"/>
  <c r="D2695" i="1" s="1"/>
  <c r="B2696" i="1"/>
  <c r="C2416" i="1"/>
  <c r="D2416" i="1" s="1"/>
  <c r="B2417" i="1"/>
  <c r="C1242" i="1"/>
  <c r="D1242" i="1" s="1"/>
  <c r="B1243" i="1"/>
  <c r="C764" i="1"/>
  <c r="D764" i="1" s="1"/>
  <c r="B765" i="1"/>
  <c r="B29" i="1"/>
  <c r="C29" i="1" s="1"/>
  <c r="D29" i="1" s="1"/>
  <c r="F22" i="1" l="1"/>
  <c r="I22" i="1" s="1"/>
  <c r="E23" i="1" s="1"/>
  <c r="C2825" i="1"/>
  <c r="D2825" i="1" s="1"/>
  <c r="B2826" i="1"/>
  <c r="C2807" i="1"/>
  <c r="D2807" i="1" s="1"/>
  <c r="B2808" i="1"/>
  <c r="C2790" i="1"/>
  <c r="D2790" i="1" s="1"/>
  <c r="B2791" i="1"/>
  <c r="B2697" i="1"/>
  <c r="C2696" i="1"/>
  <c r="D2696" i="1" s="1"/>
  <c r="C2417" i="1"/>
  <c r="D2417" i="1" s="1"/>
  <c r="B2418" i="1"/>
  <c r="C1243" i="1"/>
  <c r="D1243" i="1" s="1"/>
  <c r="B1244" i="1"/>
  <c r="B766" i="1"/>
  <c r="C765" i="1"/>
  <c r="D765" i="1" s="1"/>
  <c r="B30" i="1"/>
  <c r="C30" i="1" s="1"/>
  <c r="D30" i="1" s="1"/>
  <c r="H23" i="1" l="1"/>
  <c r="G23" i="1"/>
  <c r="C2826" i="1"/>
  <c r="D2826" i="1" s="1"/>
  <c r="B2827" i="1"/>
  <c r="C2808" i="1"/>
  <c r="D2808" i="1" s="1"/>
  <c r="B2809" i="1"/>
  <c r="C2791" i="1"/>
  <c r="D2791" i="1" s="1"/>
  <c r="B2792" i="1"/>
  <c r="C2697" i="1"/>
  <c r="D2697" i="1" s="1"/>
  <c r="B2698" i="1"/>
  <c r="C2418" i="1"/>
  <c r="D2418" i="1" s="1"/>
  <c r="B2419" i="1"/>
  <c r="C1244" i="1"/>
  <c r="D1244" i="1" s="1"/>
  <c r="B1245" i="1"/>
  <c r="C766" i="1"/>
  <c r="D766" i="1" s="1"/>
  <c r="B767" i="1"/>
  <c r="B31" i="1"/>
  <c r="C31" i="1" s="1"/>
  <c r="D31" i="1" s="1"/>
  <c r="F23" i="1" l="1"/>
  <c r="C2827" i="1"/>
  <c r="D2827" i="1" s="1"/>
  <c r="B2828" i="1"/>
  <c r="C2809" i="1"/>
  <c r="D2809" i="1" s="1"/>
  <c r="B2810" i="1"/>
  <c r="C2792" i="1"/>
  <c r="D2792" i="1" s="1"/>
  <c r="B2793" i="1"/>
  <c r="C2698" i="1"/>
  <c r="D2698" i="1" s="1"/>
  <c r="B2699" i="1"/>
  <c r="C2419" i="1"/>
  <c r="D2419" i="1" s="1"/>
  <c r="B2420" i="1"/>
  <c r="C1245" i="1"/>
  <c r="D1245" i="1" s="1"/>
  <c r="B1246" i="1"/>
  <c r="C767" i="1"/>
  <c r="D767" i="1" s="1"/>
  <c r="B768" i="1"/>
  <c r="B32" i="1"/>
  <c r="C32" i="1" s="1"/>
  <c r="D32" i="1" s="1"/>
  <c r="I23" i="1" l="1"/>
  <c r="E24" i="1" s="1"/>
  <c r="C2828" i="1"/>
  <c r="D2828" i="1" s="1"/>
  <c r="B2829" i="1"/>
  <c r="C2810" i="1"/>
  <c r="D2810" i="1" s="1"/>
  <c r="B2811" i="1"/>
  <c r="C2793" i="1"/>
  <c r="D2793" i="1" s="1"/>
  <c r="B2794" i="1"/>
  <c r="C2699" i="1"/>
  <c r="D2699" i="1" s="1"/>
  <c r="B2700" i="1"/>
  <c r="C2420" i="1"/>
  <c r="D2420" i="1" s="1"/>
  <c r="B2421" i="1"/>
  <c r="C1246" i="1"/>
  <c r="D1246" i="1" s="1"/>
  <c r="B1247" i="1"/>
  <c r="C768" i="1"/>
  <c r="D768" i="1" s="1"/>
  <c r="B769" i="1"/>
  <c r="B33" i="1"/>
  <c r="C33" i="1" s="1"/>
  <c r="D33" i="1" s="1"/>
  <c r="G24" i="1" l="1"/>
  <c r="H24" i="1"/>
  <c r="C2829" i="1"/>
  <c r="D2829" i="1" s="1"/>
  <c r="B2830" i="1"/>
  <c r="C2811" i="1"/>
  <c r="D2811" i="1" s="1"/>
  <c r="B2812" i="1"/>
  <c r="C2794" i="1"/>
  <c r="D2794" i="1" s="1"/>
  <c r="B2795" i="1"/>
  <c r="C2700" i="1"/>
  <c r="D2700" i="1" s="1"/>
  <c r="B2701" i="1"/>
  <c r="C2421" i="1"/>
  <c r="D2421" i="1" s="1"/>
  <c r="B2422" i="1"/>
  <c r="C1247" i="1"/>
  <c r="D1247" i="1" s="1"/>
  <c r="B1248" i="1"/>
  <c r="B770" i="1"/>
  <c r="C769" i="1"/>
  <c r="D769" i="1" s="1"/>
  <c r="B34" i="1"/>
  <c r="C34" i="1" s="1"/>
  <c r="D34" i="1" s="1"/>
  <c r="F24" i="1" l="1"/>
  <c r="I24" i="1" s="1"/>
  <c r="E25" i="1" s="1"/>
  <c r="C2830" i="1"/>
  <c r="D2830" i="1" s="1"/>
  <c r="B2831" i="1"/>
  <c r="B2813" i="1"/>
  <c r="C2812" i="1"/>
  <c r="D2812" i="1" s="1"/>
  <c r="C2795" i="1"/>
  <c r="D2795" i="1" s="1"/>
  <c r="B2796" i="1"/>
  <c r="C2701" i="1"/>
  <c r="D2701" i="1" s="1"/>
  <c r="B2702" i="1"/>
  <c r="C2422" i="1"/>
  <c r="D2422" i="1" s="1"/>
  <c r="B2423" i="1"/>
  <c r="C1248" i="1"/>
  <c r="D1248" i="1" s="1"/>
  <c r="B1249" i="1"/>
  <c r="C770" i="1"/>
  <c r="D770" i="1" s="1"/>
  <c r="B771" i="1"/>
  <c r="B35" i="1"/>
  <c r="C35" i="1" s="1"/>
  <c r="D35" i="1" s="1"/>
  <c r="H25" i="1" l="1"/>
  <c r="G25" i="1"/>
  <c r="C2831" i="1"/>
  <c r="D2831" i="1" s="1"/>
  <c r="B2832" i="1"/>
  <c r="B2814" i="1"/>
  <c r="C2813" i="1"/>
  <c r="D2813" i="1" s="1"/>
  <c r="C2796" i="1"/>
  <c r="D2796" i="1" s="1"/>
  <c r="B2797" i="1"/>
  <c r="C2702" i="1"/>
  <c r="D2702" i="1" s="1"/>
  <c r="B2703" i="1"/>
  <c r="C2423" i="1"/>
  <c r="D2423" i="1" s="1"/>
  <c r="B2424" i="1"/>
  <c r="C1249" i="1"/>
  <c r="D1249" i="1" s="1"/>
  <c r="B1250" i="1"/>
  <c r="C771" i="1"/>
  <c r="D771" i="1" s="1"/>
  <c r="B772" i="1"/>
  <c r="B36" i="1"/>
  <c r="C36" i="1" s="1"/>
  <c r="D36" i="1" s="1"/>
  <c r="F25" i="1" l="1"/>
  <c r="I25" i="1" s="1"/>
  <c r="E26" i="1" s="1"/>
  <c r="C2832" i="1"/>
  <c r="D2832" i="1" s="1"/>
  <c r="B2833" i="1"/>
  <c r="B2815" i="1"/>
  <c r="C2814" i="1"/>
  <c r="D2814" i="1" s="1"/>
  <c r="C2797" i="1"/>
  <c r="D2797" i="1" s="1"/>
  <c r="B2798" i="1"/>
  <c r="B2704" i="1"/>
  <c r="C2703" i="1"/>
  <c r="D2703" i="1" s="1"/>
  <c r="C2424" i="1"/>
  <c r="D2424" i="1" s="1"/>
  <c r="B2425" i="1"/>
  <c r="C1250" i="1"/>
  <c r="D1250" i="1" s="1"/>
  <c r="B1251" i="1"/>
  <c r="C772" i="1"/>
  <c r="D772" i="1" s="1"/>
  <c r="B773" i="1"/>
  <c r="B37" i="1"/>
  <c r="C37" i="1" s="1"/>
  <c r="D37" i="1" s="1"/>
  <c r="G26" i="1" l="1"/>
  <c r="H26" i="1"/>
  <c r="C2833" i="1"/>
  <c r="D2833" i="1" s="1"/>
  <c r="B2834" i="1"/>
  <c r="B2816" i="1"/>
  <c r="C2815" i="1"/>
  <c r="D2815" i="1" s="1"/>
  <c r="B2799" i="1"/>
  <c r="C2798" i="1"/>
  <c r="D2798" i="1" s="1"/>
  <c r="C2704" i="1"/>
  <c r="D2704" i="1" s="1"/>
  <c r="B2705" i="1"/>
  <c r="C2425" i="1"/>
  <c r="D2425" i="1" s="1"/>
  <c r="B2426" i="1"/>
  <c r="C1251" i="1"/>
  <c r="D1251" i="1" s="1"/>
  <c r="B1252" i="1"/>
  <c r="C773" i="1"/>
  <c r="D773" i="1" s="1"/>
  <c r="B774" i="1"/>
  <c r="B38" i="1"/>
  <c r="C38" i="1" s="1"/>
  <c r="D38" i="1" s="1"/>
  <c r="F26" i="1" l="1"/>
  <c r="I26" i="1" s="1"/>
  <c r="C2834" i="1"/>
  <c r="D2834" i="1" s="1"/>
  <c r="B2835" i="1"/>
  <c r="C2816" i="1"/>
  <c r="D2816" i="1" s="1"/>
  <c r="B2817" i="1"/>
  <c r="C2817" i="1" s="1"/>
  <c r="D2817" i="1" s="1"/>
  <c r="B2800" i="1"/>
  <c r="C2800" i="1" s="1"/>
  <c r="D2800" i="1" s="1"/>
  <c r="C2799" i="1"/>
  <c r="D2799" i="1" s="1"/>
  <c r="C2705" i="1"/>
  <c r="D2705" i="1" s="1"/>
  <c r="B2706" i="1"/>
  <c r="C2426" i="1"/>
  <c r="D2426" i="1" s="1"/>
  <c r="B2427" i="1"/>
  <c r="C1252" i="1"/>
  <c r="D1252" i="1" s="1"/>
  <c r="B1253" i="1"/>
  <c r="B775" i="1"/>
  <c r="C774" i="1"/>
  <c r="D774" i="1" s="1"/>
  <c r="B39" i="1"/>
  <c r="C39" i="1" s="1"/>
  <c r="D39" i="1" s="1"/>
  <c r="E27" i="1" l="1"/>
  <c r="G27" i="1" s="1"/>
  <c r="C2835" i="1"/>
  <c r="D2835" i="1" s="1"/>
  <c r="B2836" i="1"/>
  <c r="C2706" i="1"/>
  <c r="D2706" i="1" s="1"/>
  <c r="B2707" i="1"/>
  <c r="C2427" i="1"/>
  <c r="D2427" i="1" s="1"/>
  <c r="B2428" i="1"/>
  <c r="C1253" i="1"/>
  <c r="D1253" i="1" s="1"/>
  <c r="B1254" i="1"/>
  <c r="B776" i="1"/>
  <c r="C775" i="1"/>
  <c r="D775" i="1" s="1"/>
  <c r="B40" i="1"/>
  <c r="C40" i="1" s="1"/>
  <c r="D40" i="1" s="1"/>
  <c r="H27" i="1" l="1"/>
  <c r="F27" i="1" s="1"/>
  <c r="I27" i="1" s="1"/>
  <c r="E28" i="1" s="1"/>
  <c r="C2836" i="1"/>
  <c r="D2836" i="1" s="1"/>
  <c r="B2837" i="1"/>
  <c r="C2707" i="1"/>
  <c r="D2707" i="1" s="1"/>
  <c r="B2708" i="1"/>
  <c r="C2428" i="1"/>
  <c r="D2428" i="1" s="1"/>
  <c r="B2429" i="1"/>
  <c r="C1254" i="1"/>
  <c r="D1254" i="1" s="1"/>
  <c r="B1255" i="1"/>
  <c r="C776" i="1"/>
  <c r="D776" i="1" s="1"/>
  <c r="B777" i="1"/>
  <c r="B41" i="1"/>
  <c r="C41" i="1" s="1"/>
  <c r="D41" i="1" s="1"/>
  <c r="H28" i="1" l="1"/>
  <c r="G28" i="1"/>
  <c r="C2837" i="1"/>
  <c r="D2837" i="1" s="1"/>
  <c r="B2838" i="1"/>
  <c r="C2708" i="1"/>
  <c r="D2708" i="1" s="1"/>
  <c r="B2709" i="1"/>
  <c r="C2429" i="1"/>
  <c r="D2429" i="1" s="1"/>
  <c r="B2430" i="1"/>
  <c r="C1255" i="1"/>
  <c r="D1255" i="1" s="1"/>
  <c r="B1256" i="1"/>
  <c r="C777" i="1"/>
  <c r="D777" i="1" s="1"/>
  <c r="B778" i="1"/>
  <c r="B42" i="1"/>
  <c r="F28" i="1" l="1"/>
  <c r="I28" i="1" s="1"/>
  <c r="E29" i="1" s="1"/>
  <c r="C2838" i="1"/>
  <c r="D2838" i="1" s="1"/>
  <c r="B2839" i="1"/>
  <c r="C2709" i="1"/>
  <c r="D2709" i="1" s="1"/>
  <c r="B2710" i="1"/>
  <c r="C2430" i="1"/>
  <c r="D2430" i="1" s="1"/>
  <c r="B2431" i="1"/>
  <c r="C1256" i="1"/>
  <c r="D1256" i="1" s="1"/>
  <c r="B1257" i="1"/>
  <c r="C778" i="1"/>
  <c r="D778" i="1" s="1"/>
  <c r="B779" i="1"/>
  <c r="C42" i="1"/>
  <c r="D42" i="1" s="1"/>
  <c r="B43" i="1"/>
  <c r="C2839" i="1" l="1"/>
  <c r="D2839" i="1" s="1"/>
  <c r="B2840" i="1"/>
  <c r="B2711" i="1"/>
  <c r="C2710" i="1"/>
  <c r="D2710" i="1" s="1"/>
  <c r="C2431" i="1"/>
  <c r="D2431" i="1" s="1"/>
  <c r="B2432" i="1"/>
  <c r="C1257" i="1"/>
  <c r="D1257" i="1" s="1"/>
  <c r="B1258" i="1"/>
  <c r="C779" i="1"/>
  <c r="D779" i="1" s="1"/>
  <c r="B780" i="1"/>
  <c r="C43" i="1"/>
  <c r="D43" i="1" s="1"/>
  <c r="B44" i="1"/>
  <c r="G29" i="1" l="1"/>
  <c r="H29" i="1"/>
  <c r="C2840" i="1"/>
  <c r="D2840" i="1" s="1"/>
  <c r="B2841" i="1"/>
  <c r="C2711" i="1"/>
  <c r="D2711" i="1" s="1"/>
  <c r="B2712" i="1"/>
  <c r="C2432" i="1"/>
  <c r="D2432" i="1" s="1"/>
  <c r="B2433" i="1"/>
  <c r="C1258" i="1"/>
  <c r="D1258" i="1" s="1"/>
  <c r="B1259" i="1"/>
  <c r="C780" i="1"/>
  <c r="D780" i="1" s="1"/>
  <c r="B781" i="1"/>
  <c r="C44" i="1"/>
  <c r="D44" i="1" s="1"/>
  <c r="B45" i="1"/>
  <c r="F29" i="1" l="1"/>
  <c r="I29" i="1" s="1"/>
  <c r="E30" i="1" s="1"/>
  <c r="C2841" i="1"/>
  <c r="D2841" i="1" s="1"/>
  <c r="B2842" i="1"/>
  <c r="B2713" i="1"/>
  <c r="C2712" i="1"/>
  <c r="D2712" i="1" s="1"/>
  <c r="C2433" i="1"/>
  <c r="D2433" i="1" s="1"/>
  <c r="B2434" i="1"/>
  <c r="C1259" i="1"/>
  <c r="D1259" i="1" s="1"/>
  <c r="B1260" i="1"/>
  <c r="B782" i="1"/>
  <c r="C781" i="1"/>
  <c r="D781" i="1" s="1"/>
  <c r="C45" i="1"/>
  <c r="D45" i="1" s="1"/>
  <c r="B46" i="1"/>
  <c r="C2842" i="1" l="1"/>
  <c r="D2842" i="1" s="1"/>
  <c r="B2843" i="1"/>
  <c r="C2713" i="1"/>
  <c r="D2713" i="1" s="1"/>
  <c r="B2714" i="1"/>
  <c r="C2434" i="1"/>
  <c r="D2434" i="1" s="1"/>
  <c r="B2435" i="1"/>
  <c r="C1260" i="1"/>
  <c r="D1260" i="1" s="1"/>
  <c r="B1261" i="1"/>
  <c r="B783" i="1"/>
  <c r="C782" i="1"/>
  <c r="D782" i="1" s="1"/>
  <c r="C46" i="1"/>
  <c r="D46" i="1" s="1"/>
  <c r="B47" i="1"/>
  <c r="H30" i="1" l="1"/>
  <c r="G30" i="1"/>
  <c r="C2843" i="1"/>
  <c r="D2843" i="1" s="1"/>
  <c r="B2844" i="1"/>
  <c r="C2714" i="1"/>
  <c r="D2714" i="1" s="1"/>
  <c r="B2715" i="1"/>
  <c r="C2435" i="1"/>
  <c r="D2435" i="1" s="1"/>
  <c r="B2436" i="1"/>
  <c r="C1261" i="1"/>
  <c r="D1261" i="1" s="1"/>
  <c r="B1262" i="1"/>
  <c r="B784" i="1"/>
  <c r="C783" i="1"/>
  <c r="D783" i="1" s="1"/>
  <c r="C47" i="1"/>
  <c r="D47" i="1" s="1"/>
  <c r="B48" i="1"/>
  <c r="F30" i="1" l="1"/>
  <c r="C2844" i="1"/>
  <c r="D2844" i="1" s="1"/>
  <c r="B2845" i="1"/>
  <c r="C2715" i="1"/>
  <c r="D2715" i="1" s="1"/>
  <c r="B2716" i="1"/>
  <c r="C2436" i="1"/>
  <c r="D2436" i="1" s="1"/>
  <c r="B2437" i="1"/>
  <c r="C1262" i="1"/>
  <c r="D1262" i="1" s="1"/>
  <c r="B1263" i="1"/>
  <c r="C784" i="1"/>
  <c r="D784" i="1" s="1"/>
  <c r="B785" i="1"/>
  <c r="C48" i="1"/>
  <c r="D48" i="1" s="1"/>
  <c r="B49" i="1"/>
  <c r="I30" i="1" l="1"/>
  <c r="E31" i="1" s="1"/>
  <c r="C2845" i="1"/>
  <c r="D2845" i="1" s="1"/>
  <c r="B2846" i="1"/>
  <c r="C2716" i="1"/>
  <c r="D2716" i="1" s="1"/>
  <c r="B2717" i="1"/>
  <c r="C2437" i="1"/>
  <c r="D2437" i="1" s="1"/>
  <c r="B2438" i="1"/>
  <c r="C1263" i="1"/>
  <c r="D1263" i="1" s="1"/>
  <c r="B1264" i="1"/>
  <c r="C785" i="1"/>
  <c r="D785" i="1" s="1"/>
  <c r="B786" i="1"/>
  <c r="B50" i="1"/>
  <c r="C49" i="1"/>
  <c r="D49" i="1" s="1"/>
  <c r="G31" i="1" l="1"/>
  <c r="H31" i="1"/>
  <c r="F31" i="1" s="1"/>
  <c r="C2846" i="1"/>
  <c r="D2846" i="1" s="1"/>
  <c r="B2847" i="1"/>
  <c r="C2717" i="1"/>
  <c r="D2717" i="1" s="1"/>
  <c r="B2718" i="1"/>
  <c r="C2438" i="1"/>
  <c r="D2438" i="1" s="1"/>
  <c r="B2439" i="1"/>
  <c r="C1264" i="1"/>
  <c r="D1264" i="1" s="1"/>
  <c r="B1265" i="1"/>
  <c r="B787" i="1"/>
  <c r="C786" i="1"/>
  <c r="D786" i="1" s="1"/>
  <c r="B51" i="1"/>
  <c r="C50" i="1"/>
  <c r="D50" i="1" s="1"/>
  <c r="I31" i="1" l="1"/>
  <c r="E32" i="1" s="1"/>
  <c r="C2847" i="1"/>
  <c r="D2847" i="1" s="1"/>
  <c r="B2848" i="1"/>
  <c r="C2718" i="1"/>
  <c r="D2718" i="1" s="1"/>
  <c r="B2719" i="1"/>
  <c r="C2439" i="1"/>
  <c r="D2439" i="1" s="1"/>
  <c r="B2440" i="1"/>
  <c r="C1265" i="1"/>
  <c r="D1265" i="1" s="1"/>
  <c r="B1266" i="1"/>
  <c r="C787" i="1"/>
  <c r="D787" i="1" s="1"/>
  <c r="B788" i="1"/>
  <c r="C51" i="1"/>
  <c r="D51" i="1" s="1"/>
  <c r="B52" i="1"/>
  <c r="H32" i="1" l="1"/>
  <c r="F32" i="1" s="1"/>
  <c r="G32" i="1"/>
  <c r="B2849" i="1"/>
  <c r="C2848" i="1"/>
  <c r="D2848" i="1" s="1"/>
  <c r="C2719" i="1"/>
  <c r="D2719" i="1" s="1"/>
  <c r="B2720" i="1"/>
  <c r="C2440" i="1"/>
  <c r="D2440" i="1" s="1"/>
  <c r="B2441" i="1"/>
  <c r="C1266" i="1"/>
  <c r="D1266" i="1" s="1"/>
  <c r="B1267" i="1"/>
  <c r="C788" i="1"/>
  <c r="D788" i="1" s="1"/>
  <c r="B789" i="1"/>
  <c r="B53" i="1"/>
  <c r="C52" i="1"/>
  <c r="D52" i="1" s="1"/>
  <c r="I32" i="1" l="1"/>
  <c r="E33" i="1" s="1"/>
  <c r="C2849" i="1"/>
  <c r="D2849" i="1" s="1"/>
  <c r="B2850" i="1"/>
  <c r="C2720" i="1"/>
  <c r="D2720" i="1" s="1"/>
  <c r="B2721" i="1"/>
  <c r="C2441" i="1"/>
  <c r="D2441" i="1" s="1"/>
  <c r="B2442" i="1"/>
  <c r="C1267" i="1"/>
  <c r="D1267" i="1" s="1"/>
  <c r="B1268" i="1"/>
  <c r="B790" i="1"/>
  <c r="C789" i="1"/>
  <c r="D789" i="1" s="1"/>
  <c r="B54" i="1"/>
  <c r="C53" i="1"/>
  <c r="D53" i="1" s="1"/>
  <c r="H33" i="1" l="1"/>
  <c r="F33" i="1" s="1"/>
  <c r="G33" i="1"/>
  <c r="C2850" i="1"/>
  <c r="D2850" i="1" s="1"/>
  <c r="B2851" i="1"/>
  <c r="C2721" i="1"/>
  <c r="D2721" i="1" s="1"/>
  <c r="B2722" i="1"/>
  <c r="C2442" i="1"/>
  <c r="D2442" i="1" s="1"/>
  <c r="B2443" i="1"/>
  <c r="C1268" i="1"/>
  <c r="D1268" i="1" s="1"/>
  <c r="B1269" i="1"/>
  <c r="C790" i="1"/>
  <c r="D790" i="1" s="1"/>
  <c r="B791" i="1"/>
  <c r="C54" i="1"/>
  <c r="D54" i="1" s="1"/>
  <c r="B55" i="1"/>
  <c r="I33" i="1" l="1"/>
  <c r="E34" i="1" s="1"/>
  <c r="C2851" i="1"/>
  <c r="D2851" i="1" s="1"/>
  <c r="B2852" i="1"/>
  <c r="C2722" i="1"/>
  <c r="D2722" i="1" s="1"/>
  <c r="B2723" i="1"/>
  <c r="C2443" i="1"/>
  <c r="D2443" i="1" s="1"/>
  <c r="B2444" i="1"/>
  <c r="C1269" i="1"/>
  <c r="D1269" i="1" s="1"/>
  <c r="B1270" i="1"/>
  <c r="C791" i="1"/>
  <c r="D791" i="1" s="1"/>
  <c r="B792" i="1"/>
  <c r="C55" i="1"/>
  <c r="D55" i="1" s="1"/>
  <c r="B56" i="1"/>
  <c r="H34" i="1" l="1"/>
  <c r="G34" i="1"/>
  <c r="C2852" i="1"/>
  <c r="D2852" i="1" s="1"/>
  <c r="B2853" i="1"/>
  <c r="C2723" i="1"/>
  <c r="D2723" i="1" s="1"/>
  <c r="B2724" i="1"/>
  <c r="C2444" i="1"/>
  <c r="D2444" i="1" s="1"/>
  <c r="B2445" i="1"/>
  <c r="C1270" i="1"/>
  <c r="D1270" i="1" s="1"/>
  <c r="B1271" i="1"/>
  <c r="C792" i="1"/>
  <c r="D792" i="1" s="1"/>
  <c r="B793" i="1"/>
  <c r="C56" i="1"/>
  <c r="D56" i="1" s="1"/>
  <c r="B57" i="1"/>
  <c r="F34" i="1" l="1"/>
  <c r="C2853" i="1"/>
  <c r="D2853" i="1" s="1"/>
  <c r="B2854" i="1"/>
  <c r="C2724" i="1"/>
  <c r="D2724" i="1" s="1"/>
  <c r="B2725" i="1"/>
  <c r="C2445" i="1"/>
  <c r="D2445" i="1" s="1"/>
  <c r="B2446" i="1"/>
  <c r="C1271" i="1"/>
  <c r="D1271" i="1" s="1"/>
  <c r="B1272" i="1"/>
  <c r="C793" i="1"/>
  <c r="D793" i="1" s="1"/>
  <c r="B794" i="1"/>
  <c r="C57" i="1"/>
  <c r="D57" i="1" s="1"/>
  <c r="B58" i="1"/>
  <c r="I34" i="1" l="1"/>
  <c r="E35" i="1" s="1"/>
  <c r="C2854" i="1"/>
  <c r="D2854" i="1" s="1"/>
  <c r="B2855" i="1"/>
  <c r="C2725" i="1"/>
  <c r="D2725" i="1" s="1"/>
  <c r="B2726" i="1"/>
  <c r="C2446" i="1"/>
  <c r="D2446" i="1" s="1"/>
  <c r="B2447" i="1"/>
  <c r="C1272" i="1"/>
  <c r="D1272" i="1" s="1"/>
  <c r="B1273" i="1"/>
  <c r="C794" i="1"/>
  <c r="D794" i="1" s="1"/>
  <c r="B795" i="1"/>
  <c r="B59" i="1"/>
  <c r="C58" i="1"/>
  <c r="D58" i="1" s="1"/>
  <c r="H35" i="1" l="1"/>
  <c r="F35" i="1" s="1"/>
  <c r="G35" i="1"/>
  <c r="C2855" i="1"/>
  <c r="D2855" i="1" s="1"/>
  <c r="B2856" i="1"/>
  <c r="C2726" i="1"/>
  <c r="D2726" i="1" s="1"/>
  <c r="B2727" i="1"/>
  <c r="C2447" i="1"/>
  <c r="D2447" i="1" s="1"/>
  <c r="B2448" i="1"/>
  <c r="C1273" i="1"/>
  <c r="D1273" i="1" s="1"/>
  <c r="B1274" i="1"/>
  <c r="C795" i="1"/>
  <c r="D795" i="1" s="1"/>
  <c r="B796" i="1"/>
  <c r="C59" i="1"/>
  <c r="D59" i="1" s="1"/>
  <c r="B60" i="1"/>
  <c r="I35" i="1" l="1"/>
  <c r="E36" i="1" s="1"/>
  <c r="C2856" i="1"/>
  <c r="D2856" i="1" s="1"/>
  <c r="B2857" i="1"/>
  <c r="B2728" i="1"/>
  <c r="C2727" i="1"/>
  <c r="D2727" i="1" s="1"/>
  <c r="C2448" i="1"/>
  <c r="D2448" i="1" s="1"/>
  <c r="B2449" i="1"/>
  <c r="C1274" i="1"/>
  <c r="D1274" i="1" s="1"/>
  <c r="B1275" i="1"/>
  <c r="C796" i="1"/>
  <c r="D796" i="1" s="1"/>
  <c r="B797" i="1"/>
  <c r="C60" i="1"/>
  <c r="D60" i="1" s="1"/>
  <c r="B61" i="1"/>
  <c r="H36" i="1" l="1"/>
  <c r="G36" i="1"/>
  <c r="C2857" i="1"/>
  <c r="D2857" i="1" s="1"/>
  <c r="B2858" i="1"/>
  <c r="C2728" i="1"/>
  <c r="D2728" i="1" s="1"/>
  <c r="B2729" i="1"/>
  <c r="C2449" i="1"/>
  <c r="D2449" i="1" s="1"/>
  <c r="B2450" i="1"/>
  <c r="C1275" i="1"/>
  <c r="D1275" i="1" s="1"/>
  <c r="B1276" i="1"/>
  <c r="C797" i="1"/>
  <c r="D797" i="1" s="1"/>
  <c r="B798" i="1"/>
  <c r="C61" i="1"/>
  <c r="D61" i="1" s="1"/>
  <c r="B62" i="1"/>
  <c r="F36" i="1" l="1"/>
  <c r="I36" i="1" s="1"/>
  <c r="E37" i="1" s="1"/>
  <c r="B2859" i="1"/>
  <c r="C2858" i="1"/>
  <c r="D2858" i="1" s="1"/>
  <c r="C2729" i="1"/>
  <c r="D2729" i="1" s="1"/>
  <c r="B2730" i="1"/>
  <c r="C2450" i="1"/>
  <c r="D2450" i="1" s="1"/>
  <c r="B2451" i="1"/>
  <c r="B1277" i="1"/>
  <c r="C1276" i="1"/>
  <c r="D1276" i="1" s="1"/>
  <c r="B799" i="1"/>
  <c r="C798" i="1"/>
  <c r="D798" i="1" s="1"/>
  <c r="C62" i="1"/>
  <c r="D62" i="1" s="1"/>
  <c r="B63" i="1"/>
  <c r="C2859" i="1" l="1"/>
  <c r="D2859" i="1" s="1"/>
  <c r="B2860" i="1"/>
  <c r="C2730" i="1"/>
  <c r="D2730" i="1" s="1"/>
  <c r="B2731" i="1"/>
  <c r="C2451" i="1"/>
  <c r="D2451" i="1" s="1"/>
  <c r="B2452" i="1"/>
  <c r="C1277" i="1"/>
  <c r="D1277" i="1" s="1"/>
  <c r="B1278" i="1"/>
  <c r="B800" i="1"/>
  <c r="C799" i="1"/>
  <c r="D799" i="1" s="1"/>
  <c r="C63" i="1"/>
  <c r="D63" i="1" s="1"/>
  <c r="B64" i="1"/>
  <c r="H37" i="1" l="1"/>
  <c r="G37" i="1"/>
  <c r="C2860" i="1"/>
  <c r="D2860" i="1" s="1"/>
  <c r="B2861" i="1"/>
  <c r="C2731" i="1"/>
  <c r="D2731" i="1" s="1"/>
  <c r="B2732" i="1"/>
  <c r="C2452" i="1"/>
  <c r="D2452" i="1" s="1"/>
  <c r="B2453" i="1"/>
  <c r="C1278" i="1"/>
  <c r="D1278" i="1" s="1"/>
  <c r="B1279" i="1"/>
  <c r="B801" i="1"/>
  <c r="C800" i="1"/>
  <c r="D800" i="1" s="1"/>
  <c r="C64" i="1"/>
  <c r="D64" i="1" s="1"/>
  <c r="B65" i="1"/>
  <c r="F37" i="1" l="1"/>
  <c r="I37" i="1" s="1"/>
  <c r="E38" i="1" s="1"/>
  <c r="C2861" i="1"/>
  <c r="D2861" i="1" s="1"/>
  <c r="B2862" i="1"/>
  <c r="C2732" i="1"/>
  <c r="D2732" i="1" s="1"/>
  <c r="B2733" i="1"/>
  <c r="C2453" i="1"/>
  <c r="D2453" i="1" s="1"/>
  <c r="B2454" i="1"/>
  <c r="C1279" i="1"/>
  <c r="D1279" i="1" s="1"/>
  <c r="B1280" i="1"/>
  <c r="B802" i="1"/>
  <c r="C801" i="1"/>
  <c r="D801" i="1" s="1"/>
  <c r="C65" i="1"/>
  <c r="D65" i="1" s="1"/>
  <c r="B66" i="1"/>
  <c r="C2862" i="1" l="1"/>
  <c r="D2862" i="1" s="1"/>
  <c r="B2863" i="1"/>
  <c r="C2733" i="1"/>
  <c r="D2733" i="1" s="1"/>
  <c r="B2734" i="1"/>
  <c r="C2454" i="1"/>
  <c r="D2454" i="1" s="1"/>
  <c r="B2455" i="1"/>
  <c r="C1280" i="1"/>
  <c r="D1280" i="1" s="1"/>
  <c r="B1281" i="1"/>
  <c r="B803" i="1"/>
  <c r="C802" i="1"/>
  <c r="D802" i="1" s="1"/>
  <c r="C66" i="1"/>
  <c r="D66" i="1" s="1"/>
  <c r="B67" i="1"/>
  <c r="H38" i="1" l="1"/>
  <c r="G38" i="1"/>
  <c r="C2863" i="1"/>
  <c r="D2863" i="1" s="1"/>
  <c r="B2864" i="1"/>
  <c r="B2735" i="1"/>
  <c r="C2734" i="1"/>
  <c r="D2734" i="1" s="1"/>
  <c r="C2455" i="1"/>
  <c r="D2455" i="1" s="1"/>
  <c r="B2456" i="1"/>
  <c r="C1281" i="1"/>
  <c r="D1281" i="1" s="1"/>
  <c r="B1282" i="1"/>
  <c r="C803" i="1"/>
  <c r="D803" i="1" s="1"/>
  <c r="B804" i="1"/>
  <c r="C67" i="1"/>
  <c r="D67" i="1" s="1"/>
  <c r="B68" i="1"/>
  <c r="F38" i="1" l="1"/>
  <c r="C2864" i="1"/>
  <c r="D2864" i="1" s="1"/>
  <c r="B2865" i="1"/>
  <c r="C2735" i="1"/>
  <c r="D2735" i="1" s="1"/>
  <c r="B2736" i="1"/>
  <c r="B2457" i="1"/>
  <c r="C2456" i="1"/>
  <c r="D2456" i="1" s="1"/>
  <c r="C1282" i="1"/>
  <c r="D1282" i="1" s="1"/>
  <c r="B1283" i="1"/>
  <c r="C804" i="1"/>
  <c r="D804" i="1" s="1"/>
  <c r="B805" i="1"/>
  <c r="C68" i="1"/>
  <c r="D68" i="1" s="1"/>
  <c r="B69" i="1"/>
  <c r="I38" i="1" l="1"/>
  <c r="E39" i="1" s="1"/>
  <c r="C2865" i="1"/>
  <c r="D2865" i="1" s="1"/>
  <c r="B2866" i="1"/>
  <c r="B2737" i="1"/>
  <c r="C2736" i="1"/>
  <c r="D2736" i="1" s="1"/>
  <c r="C2457" i="1"/>
  <c r="D2457" i="1" s="1"/>
  <c r="B2458" i="1"/>
  <c r="C1283" i="1"/>
  <c r="D1283" i="1" s="1"/>
  <c r="B1284" i="1"/>
  <c r="C805" i="1"/>
  <c r="D805" i="1" s="1"/>
  <c r="B806" i="1"/>
  <c r="C69" i="1"/>
  <c r="D69" i="1" s="1"/>
  <c r="B70" i="1"/>
  <c r="H39" i="1" l="1"/>
  <c r="F39" i="1" s="1"/>
  <c r="G39" i="1"/>
  <c r="C2866" i="1"/>
  <c r="D2866" i="1" s="1"/>
  <c r="B2867" i="1"/>
  <c r="C2737" i="1"/>
  <c r="D2737" i="1" s="1"/>
  <c r="B2738" i="1"/>
  <c r="C2458" i="1"/>
  <c r="D2458" i="1" s="1"/>
  <c r="B2459" i="1"/>
  <c r="C1284" i="1"/>
  <c r="D1284" i="1" s="1"/>
  <c r="B1285" i="1"/>
  <c r="B807" i="1"/>
  <c r="C806" i="1"/>
  <c r="D806" i="1" s="1"/>
  <c r="C70" i="1"/>
  <c r="D70" i="1" s="1"/>
  <c r="B71" i="1"/>
  <c r="I39" i="1" l="1"/>
  <c r="E40" i="1" s="1"/>
  <c r="C2867" i="1"/>
  <c r="D2867" i="1" s="1"/>
  <c r="B2868" i="1"/>
  <c r="C2738" i="1"/>
  <c r="D2738" i="1" s="1"/>
  <c r="B2739" i="1"/>
  <c r="C2459" i="1"/>
  <c r="D2459" i="1" s="1"/>
  <c r="B2460" i="1"/>
  <c r="C1285" i="1"/>
  <c r="D1285" i="1" s="1"/>
  <c r="B1286" i="1"/>
  <c r="B808" i="1"/>
  <c r="C807" i="1"/>
  <c r="D807" i="1" s="1"/>
  <c r="B72" i="1"/>
  <c r="C71" i="1"/>
  <c r="D71" i="1" s="1"/>
  <c r="H40" i="1" l="1"/>
  <c r="F40" i="1" s="1"/>
  <c r="G40" i="1"/>
  <c r="B2869" i="1"/>
  <c r="C2868" i="1"/>
  <c r="D2868" i="1" s="1"/>
  <c r="C2739" i="1"/>
  <c r="D2739" i="1" s="1"/>
  <c r="B2740" i="1"/>
  <c r="C2460" i="1"/>
  <c r="D2460" i="1" s="1"/>
  <c r="B2461" i="1"/>
  <c r="B1287" i="1"/>
  <c r="C1286" i="1"/>
  <c r="D1286" i="1" s="1"/>
  <c r="B809" i="1"/>
  <c r="C808" i="1"/>
  <c r="D808" i="1" s="1"/>
  <c r="C72" i="1"/>
  <c r="D72" i="1" s="1"/>
  <c r="B73" i="1"/>
  <c r="I40" i="1" l="1"/>
  <c r="E41" i="1" s="1"/>
  <c r="C2869" i="1"/>
  <c r="D2869" i="1" s="1"/>
  <c r="B2870" i="1"/>
  <c r="C2740" i="1"/>
  <c r="D2740" i="1" s="1"/>
  <c r="B2741" i="1"/>
  <c r="C2461" i="1"/>
  <c r="D2461" i="1" s="1"/>
  <c r="B2462" i="1"/>
  <c r="C1287" i="1"/>
  <c r="D1287" i="1" s="1"/>
  <c r="B1288" i="1"/>
  <c r="B810" i="1"/>
  <c r="C809" i="1"/>
  <c r="D809" i="1" s="1"/>
  <c r="C73" i="1"/>
  <c r="D73" i="1" s="1"/>
  <c r="B74" i="1"/>
  <c r="H41" i="1" l="1"/>
  <c r="F41" i="1" s="1"/>
  <c r="G41" i="1"/>
  <c r="C2870" i="1"/>
  <c r="D2870" i="1" s="1"/>
  <c r="B2871" i="1"/>
  <c r="C2741" i="1"/>
  <c r="D2741" i="1" s="1"/>
  <c r="B2742" i="1"/>
  <c r="C2462" i="1"/>
  <c r="D2462" i="1" s="1"/>
  <c r="B2463" i="1"/>
  <c r="C1288" i="1"/>
  <c r="D1288" i="1" s="1"/>
  <c r="B1289" i="1"/>
  <c r="C810" i="1"/>
  <c r="D810" i="1" s="1"/>
  <c r="B811" i="1"/>
  <c r="C74" i="1"/>
  <c r="D74" i="1" s="1"/>
  <c r="B75" i="1"/>
  <c r="I41" i="1" l="1"/>
  <c r="E42" i="1" s="1"/>
  <c r="C2871" i="1"/>
  <c r="D2871" i="1" s="1"/>
  <c r="B2872" i="1"/>
  <c r="C2742" i="1"/>
  <c r="D2742" i="1" s="1"/>
  <c r="B2743" i="1"/>
  <c r="C2463" i="1"/>
  <c r="D2463" i="1" s="1"/>
  <c r="B2464" i="1"/>
  <c r="C1289" i="1"/>
  <c r="D1289" i="1" s="1"/>
  <c r="B1290" i="1"/>
  <c r="C811" i="1"/>
  <c r="D811" i="1" s="1"/>
  <c r="B812" i="1"/>
  <c r="C75" i="1"/>
  <c r="D75" i="1" s="1"/>
  <c r="B76" i="1"/>
  <c r="H42" i="1" l="1"/>
  <c r="F42" i="1" s="1"/>
  <c r="G42" i="1"/>
  <c r="B2873" i="1"/>
  <c r="C2872" i="1"/>
  <c r="D2872" i="1" s="1"/>
  <c r="B2744" i="1"/>
  <c r="C2743" i="1"/>
  <c r="D2743" i="1" s="1"/>
  <c r="C2464" i="1"/>
  <c r="D2464" i="1" s="1"/>
  <c r="B2465" i="1"/>
  <c r="C1290" i="1"/>
  <c r="D1290" i="1" s="1"/>
  <c r="B1291" i="1"/>
  <c r="C812" i="1"/>
  <c r="D812" i="1" s="1"/>
  <c r="B813" i="1"/>
  <c r="C76" i="1"/>
  <c r="D76" i="1" s="1"/>
  <c r="B77" i="1"/>
  <c r="I42" i="1" l="1"/>
  <c r="E43" i="1" s="1"/>
  <c r="C2873" i="1"/>
  <c r="D2873" i="1" s="1"/>
  <c r="B2874" i="1"/>
  <c r="C2744" i="1"/>
  <c r="D2744" i="1" s="1"/>
  <c r="B2745" i="1"/>
  <c r="C2465" i="1"/>
  <c r="D2465" i="1" s="1"/>
  <c r="B2466" i="1"/>
  <c r="C1291" i="1"/>
  <c r="D1291" i="1" s="1"/>
  <c r="B1292" i="1"/>
  <c r="B814" i="1"/>
  <c r="C813" i="1"/>
  <c r="D813" i="1" s="1"/>
  <c r="C77" i="1"/>
  <c r="D77" i="1" s="1"/>
  <c r="B78" i="1"/>
  <c r="G43" i="1" l="1"/>
  <c r="H43" i="1"/>
  <c r="C2874" i="1"/>
  <c r="D2874" i="1" s="1"/>
  <c r="B2875" i="1"/>
  <c r="C2745" i="1"/>
  <c r="D2745" i="1" s="1"/>
  <c r="B2746" i="1"/>
  <c r="C2466" i="1"/>
  <c r="D2466" i="1" s="1"/>
  <c r="B2467" i="1"/>
  <c r="B1293" i="1"/>
  <c r="C1292" i="1"/>
  <c r="D1292" i="1" s="1"/>
  <c r="B815" i="1"/>
  <c r="C814" i="1"/>
  <c r="D814" i="1" s="1"/>
  <c r="C78" i="1"/>
  <c r="D78" i="1" s="1"/>
  <c r="B79" i="1"/>
  <c r="F43" i="1" l="1"/>
  <c r="I43" i="1" s="1"/>
  <c r="E44" i="1" s="1"/>
  <c r="C2875" i="1"/>
  <c r="D2875" i="1" s="1"/>
  <c r="B2876" i="1"/>
  <c r="C2746" i="1"/>
  <c r="D2746" i="1" s="1"/>
  <c r="B2747" i="1"/>
  <c r="C2467" i="1"/>
  <c r="D2467" i="1" s="1"/>
  <c r="B2468" i="1"/>
  <c r="C1293" i="1"/>
  <c r="D1293" i="1" s="1"/>
  <c r="B1294" i="1"/>
  <c r="B816" i="1"/>
  <c r="C815" i="1"/>
  <c r="D815" i="1" s="1"/>
  <c r="B80" i="1"/>
  <c r="C79" i="1"/>
  <c r="D79" i="1" s="1"/>
  <c r="C2876" i="1" l="1"/>
  <c r="D2876" i="1" s="1"/>
  <c r="B2877" i="1"/>
  <c r="C2747" i="1"/>
  <c r="D2747" i="1" s="1"/>
  <c r="B2748" i="1"/>
  <c r="B2469" i="1"/>
  <c r="C2468" i="1"/>
  <c r="D2468" i="1" s="1"/>
  <c r="B1295" i="1"/>
  <c r="C1294" i="1"/>
  <c r="D1294" i="1" s="1"/>
  <c r="C816" i="1"/>
  <c r="D816" i="1" s="1"/>
  <c r="B817" i="1"/>
  <c r="C80" i="1"/>
  <c r="D80" i="1" s="1"/>
  <c r="B81" i="1"/>
  <c r="H44" i="1" l="1"/>
  <c r="G44" i="1"/>
  <c r="C2877" i="1"/>
  <c r="D2877" i="1" s="1"/>
  <c r="B2878" i="1"/>
  <c r="C2748" i="1"/>
  <c r="D2748" i="1" s="1"/>
  <c r="B2749" i="1"/>
  <c r="C2469" i="1"/>
  <c r="D2469" i="1" s="1"/>
  <c r="B2470" i="1"/>
  <c r="C1295" i="1"/>
  <c r="D1295" i="1" s="1"/>
  <c r="B1296" i="1"/>
  <c r="C817" i="1"/>
  <c r="D817" i="1" s="1"/>
  <c r="B818" i="1"/>
  <c r="C81" i="1"/>
  <c r="D81" i="1" s="1"/>
  <c r="B82" i="1"/>
  <c r="F44" i="1" l="1"/>
  <c r="C2878" i="1"/>
  <c r="D2878" i="1" s="1"/>
  <c r="B2879" i="1"/>
  <c r="C2749" i="1"/>
  <c r="D2749" i="1" s="1"/>
  <c r="B2750" i="1"/>
  <c r="C2470" i="1"/>
  <c r="D2470" i="1" s="1"/>
  <c r="B2471" i="1"/>
  <c r="C1296" i="1"/>
  <c r="D1296" i="1" s="1"/>
  <c r="B1297" i="1"/>
  <c r="C818" i="1"/>
  <c r="D818" i="1" s="1"/>
  <c r="B819" i="1"/>
  <c r="C82" i="1"/>
  <c r="D82" i="1" s="1"/>
  <c r="B83" i="1"/>
  <c r="I44" i="1" l="1"/>
  <c r="E45" i="1" s="1"/>
  <c r="C2879" i="1"/>
  <c r="D2879" i="1" s="1"/>
  <c r="B2880" i="1"/>
  <c r="C2750" i="1"/>
  <c r="D2750" i="1" s="1"/>
  <c r="B2751" i="1"/>
  <c r="C2471" i="1"/>
  <c r="D2471" i="1" s="1"/>
  <c r="B2472" i="1"/>
  <c r="C1297" i="1"/>
  <c r="D1297" i="1" s="1"/>
  <c r="B1298" i="1"/>
  <c r="C819" i="1"/>
  <c r="D819" i="1" s="1"/>
  <c r="B820" i="1"/>
  <c r="B84" i="1"/>
  <c r="C83" i="1"/>
  <c r="D83" i="1" s="1"/>
  <c r="H45" i="1" l="1"/>
  <c r="F45" i="1" s="1"/>
  <c r="G45" i="1"/>
  <c r="C2880" i="1"/>
  <c r="D2880" i="1" s="1"/>
  <c r="B2881" i="1"/>
  <c r="C2751" i="1"/>
  <c r="D2751" i="1" s="1"/>
  <c r="B2752" i="1"/>
  <c r="B2473" i="1"/>
  <c r="C2472" i="1"/>
  <c r="D2472" i="1" s="1"/>
  <c r="B1299" i="1"/>
  <c r="C1298" i="1"/>
  <c r="D1298" i="1" s="1"/>
  <c r="C820" i="1"/>
  <c r="D820" i="1" s="1"/>
  <c r="B821" i="1"/>
  <c r="C84" i="1"/>
  <c r="D84" i="1" s="1"/>
  <c r="B85" i="1"/>
  <c r="I45" i="1" l="1"/>
  <c r="E46" i="1" s="1"/>
  <c r="B2882" i="1"/>
  <c r="C2881" i="1"/>
  <c r="D2881" i="1" s="1"/>
  <c r="C2752" i="1"/>
  <c r="D2752" i="1" s="1"/>
  <c r="B2753" i="1"/>
  <c r="B2474" i="1"/>
  <c r="C2473" i="1"/>
  <c r="D2473" i="1" s="1"/>
  <c r="B1300" i="1"/>
  <c r="C1299" i="1"/>
  <c r="D1299" i="1" s="1"/>
  <c r="B822" i="1"/>
  <c r="C821" i="1"/>
  <c r="D821" i="1" s="1"/>
  <c r="C85" i="1"/>
  <c r="D85" i="1" s="1"/>
  <c r="B86" i="1"/>
  <c r="H46" i="1" l="1"/>
  <c r="F46" i="1" s="1"/>
  <c r="G46" i="1"/>
  <c r="B2883" i="1"/>
  <c r="C2882" i="1"/>
  <c r="D2882" i="1" s="1"/>
  <c r="C2753" i="1"/>
  <c r="D2753" i="1" s="1"/>
  <c r="B2754" i="1"/>
  <c r="B2475" i="1"/>
  <c r="C2474" i="1"/>
  <c r="D2474" i="1" s="1"/>
  <c r="B1301" i="1"/>
  <c r="C1300" i="1"/>
  <c r="D1300" i="1" s="1"/>
  <c r="C822" i="1"/>
  <c r="D822" i="1" s="1"/>
  <c r="B823" i="1"/>
  <c r="C86" i="1"/>
  <c r="D86" i="1" s="1"/>
  <c r="B87" i="1"/>
  <c r="I46" i="1" l="1"/>
  <c r="E47" i="1" s="1"/>
  <c r="C2883" i="1"/>
  <c r="D2883" i="1" s="1"/>
  <c r="B2884" i="1"/>
  <c r="C2754" i="1"/>
  <c r="D2754" i="1" s="1"/>
  <c r="B2755" i="1"/>
  <c r="C2475" i="1"/>
  <c r="D2475" i="1" s="1"/>
  <c r="B2476" i="1"/>
  <c r="C1301" i="1"/>
  <c r="D1301" i="1" s="1"/>
  <c r="B1302" i="1"/>
  <c r="C823" i="1"/>
  <c r="D823" i="1" s="1"/>
  <c r="B824" i="1"/>
  <c r="C87" i="1"/>
  <c r="D87" i="1" s="1"/>
  <c r="B88" i="1"/>
  <c r="H47" i="1" l="1"/>
  <c r="F47" i="1" s="1"/>
  <c r="G47" i="1"/>
  <c r="C2884" i="1"/>
  <c r="D2884" i="1" s="1"/>
  <c r="B2885" i="1"/>
  <c r="C2755" i="1"/>
  <c r="D2755" i="1" s="1"/>
  <c r="B2756" i="1"/>
  <c r="B2477" i="1"/>
  <c r="C2476" i="1"/>
  <c r="D2476" i="1" s="1"/>
  <c r="C1302" i="1"/>
  <c r="D1302" i="1" s="1"/>
  <c r="B1303" i="1"/>
  <c r="C824" i="1"/>
  <c r="D824" i="1" s="1"/>
  <c r="B825" i="1"/>
  <c r="C88" i="1"/>
  <c r="D88" i="1" s="1"/>
  <c r="B89" i="1"/>
  <c r="I47" i="1" l="1"/>
  <c r="E48" i="1" s="1"/>
  <c r="C2885" i="1"/>
  <c r="D2885" i="1" s="1"/>
  <c r="B2886" i="1"/>
  <c r="C2756" i="1"/>
  <c r="D2756" i="1" s="1"/>
  <c r="B2757" i="1"/>
  <c r="B2478" i="1"/>
  <c r="C2477" i="1"/>
  <c r="D2477" i="1" s="1"/>
  <c r="C1303" i="1"/>
  <c r="D1303" i="1" s="1"/>
  <c r="B1304" i="1"/>
  <c r="C825" i="1"/>
  <c r="D825" i="1" s="1"/>
  <c r="B826" i="1"/>
  <c r="C89" i="1"/>
  <c r="D89" i="1" s="1"/>
  <c r="B90" i="1"/>
  <c r="G48" i="1" l="1"/>
  <c r="H48" i="1"/>
  <c r="C2886" i="1"/>
  <c r="D2886" i="1" s="1"/>
  <c r="B2887" i="1"/>
  <c r="C2757" i="1"/>
  <c r="D2757" i="1" s="1"/>
  <c r="B2758" i="1"/>
  <c r="C2478" i="1"/>
  <c r="D2478" i="1" s="1"/>
  <c r="B2479" i="1"/>
  <c r="C1304" i="1"/>
  <c r="D1304" i="1" s="1"/>
  <c r="B1305" i="1"/>
  <c r="B827" i="1"/>
  <c r="C826" i="1"/>
  <c r="D826" i="1" s="1"/>
  <c r="C90" i="1"/>
  <c r="D90" i="1" s="1"/>
  <c r="B91" i="1"/>
  <c r="F48" i="1" l="1"/>
  <c r="C2887" i="1"/>
  <c r="D2887" i="1" s="1"/>
  <c r="B2888" i="1"/>
  <c r="B2759" i="1"/>
  <c r="C2758" i="1"/>
  <c r="D2758" i="1" s="1"/>
  <c r="B2480" i="1"/>
  <c r="C2479" i="1"/>
  <c r="D2479" i="1" s="1"/>
  <c r="C1305" i="1"/>
  <c r="D1305" i="1" s="1"/>
  <c r="B1306" i="1"/>
  <c r="C827" i="1"/>
  <c r="D827" i="1" s="1"/>
  <c r="B828" i="1"/>
  <c r="B92" i="1"/>
  <c r="C91" i="1"/>
  <c r="D91" i="1" s="1"/>
  <c r="I48" i="1" l="1"/>
  <c r="E49" i="1" s="1"/>
  <c r="C2888" i="1"/>
  <c r="D2888" i="1" s="1"/>
  <c r="B2889" i="1"/>
  <c r="C2759" i="1"/>
  <c r="D2759" i="1" s="1"/>
  <c r="B2760" i="1"/>
  <c r="B2481" i="1"/>
  <c r="C2480" i="1"/>
  <c r="D2480" i="1" s="1"/>
  <c r="C1306" i="1"/>
  <c r="D1306" i="1" s="1"/>
  <c r="B1307" i="1"/>
  <c r="C828" i="1"/>
  <c r="D828" i="1" s="1"/>
  <c r="B829" i="1"/>
  <c r="C92" i="1"/>
  <c r="D92" i="1" s="1"/>
  <c r="B93" i="1"/>
  <c r="H49" i="1" l="1"/>
  <c r="F49" i="1" s="1"/>
  <c r="G49" i="1"/>
  <c r="C2889" i="1"/>
  <c r="D2889" i="1" s="1"/>
  <c r="B2890" i="1"/>
  <c r="C2760" i="1"/>
  <c r="D2760" i="1" s="1"/>
  <c r="B2761" i="1"/>
  <c r="C2481" i="1"/>
  <c r="D2481" i="1" s="1"/>
  <c r="B2482" i="1"/>
  <c r="C1307" i="1"/>
  <c r="D1307" i="1" s="1"/>
  <c r="B1308" i="1"/>
  <c r="B830" i="1"/>
  <c r="C829" i="1"/>
  <c r="D829" i="1" s="1"/>
  <c r="B94" i="1"/>
  <c r="C93" i="1"/>
  <c r="D93" i="1" s="1"/>
  <c r="I49" i="1" l="1"/>
  <c r="E50" i="1" s="1"/>
  <c r="C2890" i="1"/>
  <c r="D2890" i="1" s="1"/>
  <c r="B2891" i="1"/>
  <c r="C2761" i="1"/>
  <c r="D2761" i="1" s="1"/>
  <c r="B2762" i="1"/>
  <c r="C2482" i="1"/>
  <c r="D2482" i="1" s="1"/>
  <c r="B2483" i="1"/>
  <c r="B1309" i="1"/>
  <c r="C1308" i="1"/>
  <c r="D1308" i="1" s="1"/>
  <c r="B831" i="1"/>
  <c r="C830" i="1"/>
  <c r="D830" i="1" s="1"/>
  <c r="C94" i="1"/>
  <c r="D94" i="1" s="1"/>
  <c r="B95" i="1"/>
  <c r="G50" i="1" l="1"/>
  <c r="H50" i="1"/>
  <c r="F50" i="1" s="1"/>
  <c r="C2891" i="1"/>
  <c r="D2891" i="1" s="1"/>
  <c r="B2892" i="1"/>
  <c r="C2762" i="1"/>
  <c r="D2762" i="1" s="1"/>
  <c r="B2763" i="1"/>
  <c r="C2483" i="1"/>
  <c r="D2483" i="1" s="1"/>
  <c r="B2484" i="1"/>
  <c r="C1309" i="1"/>
  <c r="D1309" i="1" s="1"/>
  <c r="B1310" i="1"/>
  <c r="B832" i="1"/>
  <c r="C831" i="1"/>
  <c r="D831" i="1" s="1"/>
  <c r="B96" i="1"/>
  <c r="C95" i="1"/>
  <c r="D95" i="1" s="1"/>
  <c r="I50" i="1" l="1"/>
  <c r="E51" i="1" s="1"/>
  <c r="B2893" i="1"/>
  <c r="C2892" i="1"/>
  <c r="D2892" i="1" s="1"/>
  <c r="C2763" i="1"/>
  <c r="D2763" i="1" s="1"/>
  <c r="B2764" i="1"/>
  <c r="B2485" i="1"/>
  <c r="C2484" i="1"/>
  <c r="D2484" i="1" s="1"/>
  <c r="C1310" i="1"/>
  <c r="D1310" i="1" s="1"/>
  <c r="B1311" i="1"/>
  <c r="B833" i="1"/>
  <c r="C832" i="1"/>
  <c r="D832" i="1" s="1"/>
  <c r="C96" i="1"/>
  <c r="D96" i="1" s="1"/>
  <c r="B97" i="1"/>
  <c r="H51" i="1" l="1"/>
  <c r="F51" i="1" s="1"/>
  <c r="G51" i="1"/>
  <c r="C2893" i="1"/>
  <c r="D2893" i="1" s="1"/>
  <c r="B2894" i="1"/>
  <c r="B2765" i="1"/>
  <c r="C2764" i="1"/>
  <c r="D2764" i="1" s="1"/>
  <c r="B2486" i="1"/>
  <c r="C2485" i="1"/>
  <c r="D2485" i="1" s="1"/>
  <c r="C1311" i="1"/>
  <c r="D1311" i="1" s="1"/>
  <c r="B1312" i="1"/>
  <c r="B834" i="1"/>
  <c r="C833" i="1"/>
  <c r="D833" i="1" s="1"/>
  <c r="C97" i="1"/>
  <c r="D97" i="1" s="1"/>
  <c r="B98" i="1"/>
  <c r="I51" i="1" l="1"/>
  <c r="E52" i="1" s="1"/>
  <c r="C2894" i="1"/>
  <c r="D2894" i="1" s="1"/>
  <c r="B2895" i="1"/>
  <c r="C2765" i="1"/>
  <c r="D2765" i="1" s="1"/>
  <c r="B2766" i="1"/>
  <c r="C2486" i="1"/>
  <c r="D2486" i="1" s="1"/>
  <c r="B2487" i="1"/>
  <c r="C1312" i="1"/>
  <c r="D1312" i="1" s="1"/>
  <c r="B1313" i="1"/>
  <c r="C834" i="1"/>
  <c r="D834" i="1" s="1"/>
  <c r="B835" i="1"/>
  <c r="C98" i="1"/>
  <c r="D98" i="1" s="1"/>
  <c r="B99" i="1"/>
  <c r="G52" i="1" l="1"/>
  <c r="H52" i="1"/>
  <c r="C2895" i="1"/>
  <c r="D2895" i="1" s="1"/>
  <c r="B2896" i="1"/>
  <c r="C2766" i="1"/>
  <c r="D2766" i="1" s="1"/>
  <c r="B2767" i="1"/>
  <c r="C2487" i="1"/>
  <c r="D2487" i="1" s="1"/>
  <c r="B2488" i="1"/>
  <c r="C1313" i="1"/>
  <c r="D1313" i="1" s="1"/>
  <c r="B1314" i="1"/>
  <c r="C835" i="1"/>
  <c r="D835" i="1" s="1"/>
  <c r="B836" i="1"/>
  <c r="B100" i="1"/>
  <c r="C99" i="1"/>
  <c r="D99" i="1" s="1"/>
  <c r="F52" i="1" l="1"/>
  <c r="C2896" i="1"/>
  <c r="D2896" i="1" s="1"/>
  <c r="B2897" i="1"/>
  <c r="C2767" i="1"/>
  <c r="D2767" i="1" s="1"/>
  <c r="B2768" i="1"/>
  <c r="C2488" i="1"/>
  <c r="D2488" i="1" s="1"/>
  <c r="B2489" i="1"/>
  <c r="C1314" i="1"/>
  <c r="D1314" i="1" s="1"/>
  <c r="B1315" i="1"/>
  <c r="B837" i="1"/>
  <c r="C836" i="1"/>
  <c r="D836" i="1" s="1"/>
  <c r="B101" i="1"/>
  <c r="C100" i="1"/>
  <c r="D100" i="1" s="1"/>
  <c r="I52" i="1" l="1"/>
  <c r="E53" i="1" s="1"/>
  <c r="B2898" i="1"/>
  <c r="C2897" i="1"/>
  <c r="D2897" i="1" s="1"/>
  <c r="C2768" i="1"/>
  <c r="D2768" i="1" s="1"/>
  <c r="B2769" i="1"/>
  <c r="C2489" i="1"/>
  <c r="D2489" i="1" s="1"/>
  <c r="B2490" i="1"/>
  <c r="C1315" i="1"/>
  <c r="D1315" i="1" s="1"/>
  <c r="B1316" i="1"/>
  <c r="C837" i="1"/>
  <c r="D837" i="1" s="1"/>
  <c r="B838" i="1"/>
  <c r="B102" i="1"/>
  <c r="C101" i="1"/>
  <c r="D101" i="1" s="1"/>
  <c r="G53" i="1" l="1"/>
  <c r="H53" i="1"/>
  <c r="C2898" i="1"/>
  <c r="D2898" i="1" s="1"/>
  <c r="B2899" i="1"/>
  <c r="C2769" i="1"/>
  <c r="D2769" i="1" s="1"/>
  <c r="B2770" i="1"/>
  <c r="C2490" i="1"/>
  <c r="D2490" i="1" s="1"/>
  <c r="B2491" i="1"/>
  <c r="C1316" i="1"/>
  <c r="D1316" i="1" s="1"/>
  <c r="B1317" i="1"/>
  <c r="C838" i="1"/>
  <c r="D838" i="1" s="1"/>
  <c r="B839" i="1"/>
  <c r="C102" i="1"/>
  <c r="D102" i="1" s="1"/>
  <c r="B103" i="1"/>
  <c r="F53" i="1" l="1"/>
  <c r="B2900" i="1"/>
  <c r="C2899" i="1"/>
  <c r="D2899" i="1" s="1"/>
  <c r="C2770" i="1"/>
  <c r="D2770" i="1" s="1"/>
  <c r="B2771" i="1"/>
  <c r="C2491" i="1"/>
  <c r="D2491" i="1" s="1"/>
  <c r="B2492" i="1"/>
  <c r="B1318" i="1"/>
  <c r="C1317" i="1"/>
  <c r="D1317" i="1" s="1"/>
  <c r="B840" i="1"/>
  <c r="C839" i="1"/>
  <c r="D839" i="1" s="1"/>
  <c r="C103" i="1"/>
  <c r="D103" i="1" s="1"/>
  <c r="B104" i="1"/>
  <c r="I53" i="1" l="1"/>
  <c r="E54" i="1" s="1"/>
  <c r="C2900" i="1"/>
  <c r="D2900" i="1" s="1"/>
  <c r="B2901" i="1"/>
  <c r="C2771" i="1"/>
  <c r="D2771" i="1" s="1"/>
  <c r="B2772" i="1"/>
  <c r="C2492" i="1"/>
  <c r="D2492" i="1" s="1"/>
  <c r="B2493" i="1"/>
  <c r="C1318" i="1"/>
  <c r="D1318" i="1" s="1"/>
  <c r="B1319" i="1"/>
  <c r="C840" i="1"/>
  <c r="D840" i="1" s="1"/>
  <c r="B841" i="1"/>
  <c r="C104" i="1"/>
  <c r="D104" i="1" s="1"/>
  <c r="B105" i="1"/>
  <c r="G54" i="1" l="1"/>
  <c r="H54" i="1"/>
  <c r="C2901" i="1"/>
  <c r="D2901" i="1" s="1"/>
  <c r="B2902" i="1"/>
  <c r="C2772" i="1"/>
  <c r="D2772" i="1" s="1"/>
  <c r="B2773" i="1"/>
  <c r="C2493" i="1"/>
  <c r="D2493" i="1" s="1"/>
  <c r="B2494" i="1"/>
  <c r="B1320" i="1"/>
  <c r="C1319" i="1"/>
  <c r="D1319" i="1" s="1"/>
  <c r="C841" i="1"/>
  <c r="D841" i="1" s="1"/>
  <c r="B842" i="1"/>
  <c r="B106" i="1"/>
  <c r="C105" i="1"/>
  <c r="D105" i="1" s="1"/>
  <c r="F54" i="1" l="1"/>
  <c r="C2902" i="1"/>
  <c r="D2902" i="1" s="1"/>
  <c r="B2903" i="1"/>
  <c r="C2773" i="1"/>
  <c r="D2773" i="1" s="1"/>
  <c r="B2774" i="1"/>
  <c r="C2494" i="1"/>
  <c r="D2494" i="1" s="1"/>
  <c r="B2495" i="1"/>
  <c r="C1320" i="1"/>
  <c r="D1320" i="1" s="1"/>
  <c r="B1321" i="1"/>
  <c r="C842" i="1"/>
  <c r="D842" i="1" s="1"/>
  <c r="B843" i="1"/>
  <c r="C106" i="1"/>
  <c r="D106" i="1" s="1"/>
  <c r="B107" i="1"/>
  <c r="I54" i="1" l="1"/>
  <c r="E55" i="1" s="1"/>
  <c r="C2903" i="1"/>
  <c r="D2903" i="1" s="1"/>
  <c r="B2904" i="1"/>
  <c r="C2774" i="1"/>
  <c r="D2774" i="1" s="1"/>
  <c r="B2775" i="1"/>
  <c r="C2495" i="1"/>
  <c r="D2495" i="1" s="1"/>
  <c r="B2496" i="1"/>
  <c r="C1321" i="1"/>
  <c r="D1321" i="1" s="1"/>
  <c r="B1322" i="1"/>
  <c r="B844" i="1"/>
  <c r="C843" i="1"/>
  <c r="D843" i="1" s="1"/>
  <c r="B108" i="1"/>
  <c r="C107" i="1"/>
  <c r="D107" i="1" s="1"/>
  <c r="G55" i="1" l="1"/>
  <c r="H55" i="1"/>
  <c r="C2904" i="1"/>
  <c r="D2904" i="1" s="1"/>
  <c r="B2905" i="1"/>
  <c r="C2775" i="1"/>
  <c r="D2775" i="1" s="1"/>
  <c r="B2776" i="1"/>
  <c r="C2496" i="1"/>
  <c r="D2496" i="1" s="1"/>
  <c r="B2497" i="1"/>
  <c r="C1322" i="1"/>
  <c r="D1322" i="1" s="1"/>
  <c r="B1323" i="1"/>
  <c r="B845" i="1"/>
  <c r="C844" i="1"/>
  <c r="D844" i="1" s="1"/>
  <c r="B109" i="1"/>
  <c r="C108" i="1"/>
  <c r="D108" i="1" s="1"/>
  <c r="F55" i="1" l="1"/>
  <c r="I55" i="1" s="1"/>
  <c r="E56" i="1" s="1"/>
  <c r="C2905" i="1"/>
  <c r="D2905" i="1" s="1"/>
  <c r="B2906" i="1"/>
  <c r="C2776" i="1"/>
  <c r="D2776" i="1" s="1"/>
  <c r="B2777" i="1"/>
  <c r="C2497" i="1"/>
  <c r="D2497" i="1" s="1"/>
  <c r="B2498" i="1"/>
  <c r="C1323" i="1"/>
  <c r="D1323" i="1" s="1"/>
  <c r="B1324" i="1"/>
  <c r="C845" i="1"/>
  <c r="D845" i="1" s="1"/>
  <c r="B846" i="1"/>
  <c r="B110" i="1"/>
  <c r="C109" i="1"/>
  <c r="D109" i="1" s="1"/>
  <c r="H56" i="1" l="1"/>
  <c r="G56" i="1"/>
  <c r="C2906" i="1"/>
  <c r="D2906" i="1" s="1"/>
  <c r="B2907" i="1"/>
  <c r="C2777" i="1"/>
  <c r="D2777" i="1" s="1"/>
  <c r="B2778" i="1"/>
  <c r="C2498" i="1"/>
  <c r="D2498" i="1" s="1"/>
  <c r="B2499" i="1"/>
  <c r="C1324" i="1"/>
  <c r="D1324" i="1" s="1"/>
  <c r="B1325" i="1"/>
  <c r="B847" i="1"/>
  <c r="C846" i="1"/>
  <c r="D846" i="1" s="1"/>
  <c r="C110" i="1"/>
  <c r="D110" i="1" s="1"/>
  <c r="B111" i="1"/>
  <c r="F56" i="1" l="1"/>
  <c r="I56" i="1" s="1"/>
  <c r="E57" i="1" s="1"/>
  <c r="C2907" i="1"/>
  <c r="D2907" i="1" s="1"/>
  <c r="B2908" i="1"/>
  <c r="C2778" i="1"/>
  <c r="D2778" i="1" s="1"/>
  <c r="B2779" i="1"/>
  <c r="B2500" i="1"/>
  <c r="C2499" i="1"/>
  <c r="D2499" i="1" s="1"/>
  <c r="C1325" i="1"/>
  <c r="D1325" i="1" s="1"/>
  <c r="B1326" i="1"/>
  <c r="C847" i="1"/>
  <c r="D847" i="1" s="1"/>
  <c r="B848" i="1"/>
  <c r="B112" i="1"/>
  <c r="C111" i="1"/>
  <c r="D111" i="1" s="1"/>
  <c r="G57" i="1" l="1"/>
  <c r="H57" i="1"/>
  <c r="C2908" i="1"/>
  <c r="D2908" i="1" s="1"/>
  <c r="B2909" i="1"/>
  <c r="B2780" i="1"/>
  <c r="C2779" i="1"/>
  <c r="D2779" i="1" s="1"/>
  <c r="C2500" i="1"/>
  <c r="D2500" i="1" s="1"/>
  <c r="B2501" i="1"/>
  <c r="C1326" i="1"/>
  <c r="D1326" i="1" s="1"/>
  <c r="B1327" i="1"/>
  <c r="C848" i="1"/>
  <c r="D848" i="1" s="1"/>
  <c r="B849" i="1"/>
  <c r="C112" i="1"/>
  <c r="D112" i="1" s="1"/>
  <c r="B113" i="1"/>
  <c r="F57" i="1" l="1"/>
  <c r="I57" i="1" s="1"/>
  <c r="E58" i="1" s="1"/>
  <c r="C2909" i="1"/>
  <c r="D2909" i="1" s="1"/>
  <c r="B2910" i="1"/>
  <c r="C2780" i="1"/>
  <c r="D2780" i="1" s="1"/>
  <c r="B2781" i="1"/>
  <c r="C2501" i="1"/>
  <c r="D2501" i="1" s="1"/>
  <c r="B2502" i="1"/>
  <c r="B1328" i="1"/>
  <c r="C1327" i="1"/>
  <c r="D1327" i="1" s="1"/>
  <c r="C849" i="1"/>
  <c r="D849" i="1" s="1"/>
  <c r="B850" i="1"/>
  <c r="C113" i="1"/>
  <c r="D113" i="1" s="1"/>
  <c r="B114" i="1"/>
  <c r="H58" i="1" l="1"/>
  <c r="F58" i="1" s="1"/>
  <c r="G58" i="1"/>
  <c r="C2910" i="1"/>
  <c r="D2910" i="1" s="1"/>
  <c r="B2911" i="1"/>
  <c r="B2782" i="1"/>
  <c r="C2782" i="1" s="1"/>
  <c r="D2782" i="1" s="1"/>
  <c r="C2781" i="1"/>
  <c r="D2781" i="1" s="1"/>
  <c r="C2502" i="1"/>
  <c r="D2502" i="1" s="1"/>
  <c r="B2503" i="1"/>
  <c r="C1328" i="1"/>
  <c r="D1328" i="1" s="1"/>
  <c r="B1329" i="1"/>
  <c r="B851" i="1"/>
  <c r="C850" i="1"/>
  <c r="D850" i="1" s="1"/>
  <c r="B115" i="1"/>
  <c r="C114" i="1"/>
  <c r="D114" i="1" s="1"/>
  <c r="I58" i="1" l="1"/>
  <c r="E59" i="1" s="1"/>
  <c r="B2912" i="1"/>
  <c r="C2911" i="1"/>
  <c r="D2911" i="1" s="1"/>
  <c r="C2503" i="1"/>
  <c r="D2503" i="1" s="1"/>
  <c r="B2504" i="1"/>
  <c r="C1329" i="1"/>
  <c r="D1329" i="1" s="1"/>
  <c r="B1330" i="1"/>
  <c r="B852" i="1"/>
  <c r="C851" i="1"/>
  <c r="D851" i="1" s="1"/>
  <c r="C115" i="1"/>
  <c r="D115" i="1" s="1"/>
  <c r="B116" i="1"/>
  <c r="G59" i="1" l="1"/>
  <c r="H59" i="1"/>
  <c r="C2912" i="1"/>
  <c r="D2912" i="1" s="1"/>
  <c r="B2913" i="1"/>
  <c r="C2504" i="1"/>
  <c r="D2504" i="1" s="1"/>
  <c r="B2505" i="1"/>
  <c r="B1331" i="1"/>
  <c r="C1330" i="1"/>
  <c r="D1330" i="1" s="1"/>
  <c r="B853" i="1"/>
  <c r="C852" i="1"/>
  <c r="D852" i="1" s="1"/>
  <c r="C116" i="1"/>
  <c r="D116" i="1" s="1"/>
  <c r="B117" i="1"/>
  <c r="F59" i="1" l="1"/>
  <c r="I59" i="1" s="1"/>
  <c r="E60" i="1" s="1"/>
  <c r="B2914" i="1"/>
  <c r="C2913" i="1"/>
  <c r="D2913" i="1" s="1"/>
  <c r="C2505" i="1"/>
  <c r="D2505" i="1" s="1"/>
  <c r="B2506" i="1"/>
  <c r="C1331" i="1"/>
  <c r="D1331" i="1" s="1"/>
  <c r="B1332" i="1"/>
  <c r="B854" i="1"/>
  <c r="C853" i="1"/>
  <c r="D853" i="1" s="1"/>
  <c r="C117" i="1"/>
  <c r="D117" i="1" s="1"/>
  <c r="B118" i="1"/>
  <c r="C2914" i="1" l="1"/>
  <c r="D2914" i="1" s="1"/>
  <c r="B2915" i="1"/>
  <c r="C2506" i="1"/>
  <c r="D2506" i="1" s="1"/>
  <c r="B2507" i="1"/>
  <c r="C1332" i="1"/>
  <c r="D1332" i="1" s="1"/>
  <c r="B1333" i="1"/>
  <c r="B855" i="1"/>
  <c r="C854" i="1"/>
  <c r="D854" i="1" s="1"/>
  <c r="B119" i="1"/>
  <c r="C118" i="1"/>
  <c r="D118" i="1" s="1"/>
  <c r="H60" i="1" l="1"/>
  <c r="G60" i="1"/>
  <c r="C2915" i="1"/>
  <c r="D2915" i="1" s="1"/>
  <c r="B2916" i="1"/>
  <c r="C2507" i="1"/>
  <c r="D2507" i="1" s="1"/>
  <c r="B2508" i="1"/>
  <c r="B1334" i="1"/>
  <c r="C1333" i="1"/>
  <c r="D1333" i="1" s="1"/>
  <c r="C855" i="1"/>
  <c r="D855" i="1" s="1"/>
  <c r="B856" i="1"/>
  <c r="C119" i="1"/>
  <c r="D119" i="1" s="1"/>
  <c r="B120" i="1"/>
  <c r="F60" i="1" l="1"/>
  <c r="I60" i="1" s="1"/>
  <c r="E61" i="1" s="1"/>
  <c r="C2916" i="1"/>
  <c r="D2916" i="1" s="1"/>
  <c r="B2917" i="1"/>
  <c r="C2508" i="1"/>
  <c r="D2508" i="1" s="1"/>
  <c r="B2509" i="1"/>
  <c r="B1335" i="1"/>
  <c r="C1334" i="1"/>
  <c r="D1334" i="1" s="1"/>
  <c r="B857" i="1"/>
  <c r="C856" i="1"/>
  <c r="D856" i="1" s="1"/>
  <c r="B121" i="1"/>
  <c r="C120" i="1"/>
  <c r="D120" i="1" s="1"/>
  <c r="B2918" i="1" l="1"/>
  <c r="C2917" i="1"/>
  <c r="D2917" i="1" s="1"/>
  <c r="C2509" i="1"/>
  <c r="D2509" i="1" s="1"/>
  <c r="B2510" i="1"/>
  <c r="C1335" i="1"/>
  <c r="D1335" i="1" s="1"/>
  <c r="B1336" i="1"/>
  <c r="C857" i="1"/>
  <c r="D857" i="1" s="1"/>
  <c r="B858" i="1"/>
  <c r="C121" i="1"/>
  <c r="D121" i="1" s="1"/>
  <c r="B122" i="1"/>
  <c r="G61" i="1" l="1"/>
  <c r="H61" i="1"/>
  <c r="C2918" i="1"/>
  <c r="D2918" i="1" s="1"/>
  <c r="B2919" i="1"/>
  <c r="B2511" i="1"/>
  <c r="C2510" i="1"/>
  <c r="D2510" i="1" s="1"/>
  <c r="C1336" i="1"/>
  <c r="D1336" i="1" s="1"/>
  <c r="B1337" i="1"/>
  <c r="C858" i="1"/>
  <c r="D858" i="1" s="1"/>
  <c r="B859" i="1"/>
  <c r="B123" i="1"/>
  <c r="C122" i="1"/>
  <c r="D122" i="1" s="1"/>
  <c r="F61" i="1" l="1"/>
  <c r="I61" i="1" s="1"/>
  <c r="E62" i="1" s="1"/>
  <c r="B2920" i="1"/>
  <c r="C2919" i="1"/>
  <c r="D2919" i="1" s="1"/>
  <c r="C2511" i="1"/>
  <c r="D2511" i="1" s="1"/>
  <c r="B2512" i="1"/>
  <c r="C1337" i="1"/>
  <c r="D1337" i="1" s="1"/>
  <c r="B1338" i="1"/>
  <c r="C859" i="1"/>
  <c r="D859" i="1" s="1"/>
  <c r="B860" i="1"/>
  <c r="C123" i="1"/>
  <c r="D123" i="1" s="1"/>
  <c r="B124" i="1"/>
  <c r="C2920" i="1" l="1"/>
  <c r="D2920" i="1" s="1"/>
  <c r="B2921" i="1"/>
  <c r="C2512" i="1"/>
  <c r="D2512" i="1" s="1"/>
  <c r="B2513" i="1"/>
  <c r="C1338" i="1"/>
  <c r="D1338" i="1" s="1"/>
  <c r="B1339" i="1"/>
  <c r="B861" i="1"/>
  <c r="C860" i="1"/>
  <c r="D860" i="1" s="1"/>
  <c r="C124" i="1"/>
  <c r="D124" i="1" s="1"/>
  <c r="B125" i="1"/>
  <c r="H62" i="1" l="1"/>
  <c r="G62" i="1"/>
  <c r="C2921" i="1"/>
  <c r="D2921" i="1" s="1"/>
  <c r="B2922" i="1"/>
  <c r="B2514" i="1"/>
  <c r="C2513" i="1"/>
  <c r="D2513" i="1" s="1"/>
  <c r="B1340" i="1"/>
  <c r="C1339" i="1"/>
  <c r="D1339" i="1" s="1"/>
  <c r="C861" i="1"/>
  <c r="D861" i="1" s="1"/>
  <c r="B862" i="1"/>
  <c r="B126" i="1"/>
  <c r="C125" i="1"/>
  <c r="D125" i="1" s="1"/>
  <c r="F62" i="1" l="1"/>
  <c r="I62" i="1" s="1"/>
  <c r="E63" i="1" s="1"/>
  <c r="C2922" i="1"/>
  <c r="D2922" i="1" s="1"/>
  <c r="B2923" i="1"/>
  <c r="C2514" i="1"/>
  <c r="D2514" i="1" s="1"/>
  <c r="B2515" i="1"/>
  <c r="C1340" i="1"/>
  <c r="D1340" i="1" s="1"/>
  <c r="B1341" i="1"/>
  <c r="C862" i="1"/>
  <c r="D862" i="1" s="1"/>
  <c r="B863" i="1"/>
  <c r="C126" i="1"/>
  <c r="D126" i="1" s="1"/>
  <c r="B127" i="1"/>
  <c r="B2924" i="1" l="1"/>
  <c r="C2923" i="1"/>
  <c r="D2923" i="1" s="1"/>
  <c r="C2515" i="1"/>
  <c r="D2515" i="1" s="1"/>
  <c r="B2516" i="1"/>
  <c r="C1341" i="1"/>
  <c r="D1341" i="1" s="1"/>
  <c r="B1342" i="1"/>
  <c r="B864" i="1"/>
  <c r="C863" i="1"/>
  <c r="D863" i="1" s="1"/>
  <c r="B128" i="1"/>
  <c r="C127" i="1"/>
  <c r="D127" i="1" s="1"/>
  <c r="H63" i="1" l="1"/>
  <c r="G63" i="1"/>
  <c r="C2924" i="1"/>
  <c r="D2924" i="1" s="1"/>
  <c r="B2925" i="1"/>
  <c r="C2516" i="1"/>
  <c r="D2516" i="1" s="1"/>
  <c r="B2517" i="1"/>
  <c r="C1342" i="1"/>
  <c r="D1342" i="1" s="1"/>
  <c r="B1343" i="1"/>
  <c r="C864" i="1"/>
  <c r="D864" i="1" s="1"/>
  <c r="B865" i="1"/>
  <c r="C128" i="1"/>
  <c r="D128" i="1" s="1"/>
  <c r="B129" i="1"/>
  <c r="F63" i="1" l="1"/>
  <c r="B2926" i="1"/>
  <c r="C2925" i="1"/>
  <c r="D2925" i="1" s="1"/>
  <c r="C2517" i="1"/>
  <c r="D2517" i="1" s="1"/>
  <c r="B2518" i="1"/>
  <c r="B1344" i="1"/>
  <c r="C1343" i="1"/>
  <c r="D1343" i="1" s="1"/>
  <c r="B866" i="1"/>
  <c r="C865" i="1"/>
  <c r="D865" i="1" s="1"/>
  <c r="B130" i="1"/>
  <c r="C129" i="1"/>
  <c r="D129" i="1" s="1"/>
  <c r="I63" i="1" l="1"/>
  <c r="E64" i="1" s="1"/>
  <c r="B2927" i="1"/>
  <c r="C2926" i="1"/>
  <c r="D2926" i="1" s="1"/>
  <c r="C2518" i="1"/>
  <c r="D2518" i="1" s="1"/>
  <c r="B2519" i="1"/>
  <c r="C1344" i="1"/>
  <c r="D1344" i="1" s="1"/>
  <c r="B1345" i="1"/>
  <c r="C866" i="1"/>
  <c r="D866" i="1" s="1"/>
  <c r="B867" i="1"/>
  <c r="B131" i="1"/>
  <c r="C130" i="1"/>
  <c r="D130" i="1" s="1"/>
  <c r="H64" i="1" l="1"/>
  <c r="F64" i="1" s="1"/>
  <c r="G64" i="1"/>
  <c r="C2927" i="1"/>
  <c r="D2927" i="1" s="1"/>
  <c r="B2928" i="1"/>
  <c r="B2520" i="1"/>
  <c r="C2519" i="1"/>
  <c r="D2519" i="1" s="1"/>
  <c r="C1345" i="1"/>
  <c r="D1345" i="1" s="1"/>
  <c r="B1346" i="1"/>
  <c r="C867" i="1"/>
  <c r="D867" i="1" s="1"/>
  <c r="B868" i="1"/>
  <c r="C131" i="1"/>
  <c r="D131" i="1" s="1"/>
  <c r="B132" i="1"/>
  <c r="I64" i="1" l="1"/>
  <c r="E65" i="1" s="1"/>
  <c r="C2928" i="1"/>
  <c r="D2928" i="1" s="1"/>
  <c r="B2929" i="1"/>
  <c r="C2520" i="1"/>
  <c r="D2520" i="1" s="1"/>
  <c r="B2521" i="1"/>
  <c r="B1347" i="1"/>
  <c r="C1346" i="1"/>
  <c r="D1346" i="1" s="1"/>
  <c r="B869" i="1"/>
  <c r="C868" i="1"/>
  <c r="D868" i="1" s="1"/>
  <c r="C132" i="1"/>
  <c r="D132" i="1" s="1"/>
  <c r="B133" i="1"/>
  <c r="G65" i="1" l="1"/>
  <c r="H65" i="1"/>
  <c r="F65" i="1" s="1"/>
  <c r="B2930" i="1"/>
  <c r="C2929" i="1"/>
  <c r="D2929" i="1" s="1"/>
  <c r="C2521" i="1"/>
  <c r="D2521" i="1" s="1"/>
  <c r="B2522" i="1"/>
  <c r="B1348" i="1"/>
  <c r="C1347" i="1"/>
  <c r="D1347" i="1" s="1"/>
  <c r="C869" i="1"/>
  <c r="D869" i="1" s="1"/>
  <c r="B870" i="1"/>
  <c r="C133" i="1"/>
  <c r="D133" i="1" s="1"/>
  <c r="B134" i="1"/>
  <c r="I65" i="1" l="1"/>
  <c r="E66" i="1" s="1"/>
  <c r="B2931" i="1"/>
  <c r="C2930" i="1"/>
  <c r="D2930" i="1" s="1"/>
  <c r="B2523" i="1"/>
  <c r="C2522" i="1"/>
  <c r="D2522" i="1" s="1"/>
  <c r="C1348" i="1"/>
  <c r="D1348" i="1" s="1"/>
  <c r="B1349" i="1"/>
  <c r="C870" i="1"/>
  <c r="D870" i="1" s="1"/>
  <c r="B871" i="1"/>
  <c r="C134" i="1"/>
  <c r="D134" i="1" s="1"/>
  <c r="B135" i="1"/>
  <c r="G66" i="1" l="1"/>
  <c r="H66" i="1"/>
  <c r="B2932" i="1"/>
  <c r="C2931" i="1"/>
  <c r="D2931" i="1" s="1"/>
  <c r="B2524" i="1"/>
  <c r="C2523" i="1"/>
  <c r="D2523" i="1" s="1"/>
  <c r="B1350" i="1"/>
  <c r="C1349" i="1"/>
  <c r="D1349" i="1" s="1"/>
  <c r="B872" i="1"/>
  <c r="C871" i="1"/>
  <c r="D871" i="1" s="1"/>
  <c r="C135" i="1"/>
  <c r="D135" i="1" s="1"/>
  <c r="B136" i="1"/>
  <c r="F66" i="1" l="1"/>
  <c r="I66" i="1" s="1"/>
  <c r="E67" i="1" s="1"/>
  <c r="C2932" i="1"/>
  <c r="D2932" i="1" s="1"/>
  <c r="B2933" i="1"/>
  <c r="C2524" i="1"/>
  <c r="D2524" i="1" s="1"/>
  <c r="B2525" i="1"/>
  <c r="B1351" i="1"/>
  <c r="C1350" i="1"/>
  <c r="D1350" i="1" s="1"/>
  <c r="C872" i="1"/>
  <c r="D872" i="1" s="1"/>
  <c r="B873" i="1"/>
  <c r="C136" i="1"/>
  <c r="D136" i="1" s="1"/>
  <c r="B137" i="1"/>
  <c r="C2933" i="1" l="1"/>
  <c r="D2933" i="1" s="1"/>
  <c r="B2934" i="1"/>
  <c r="C2525" i="1"/>
  <c r="D2525" i="1" s="1"/>
  <c r="B2526" i="1"/>
  <c r="B1352" i="1"/>
  <c r="C1351" i="1"/>
  <c r="D1351" i="1" s="1"/>
  <c r="B874" i="1"/>
  <c r="C873" i="1"/>
  <c r="D873" i="1" s="1"/>
  <c r="C137" i="1"/>
  <c r="D137" i="1" s="1"/>
  <c r="B138" i="1"/>
  <c r="G67" i="1" l="1"/>
  <c r="H67" i="1"/>
  <c r="C2934" i="1"/>
  <c r="D2934" i="1" s="1"/>
  <c r="B2935" i="1"/>
  <c r="B2527" i="1"/>
  <c r="C2526" i="1"/>
  <c r="D2526" i="1" s="1"/>
  <c r="C1352" i="1"/>
  <c r="D1352" i="1" s="1"/>
  <c r="B1353" i="1"/>
  <c r="B875" i="1"/>
  <c r="C874" i="1"/>
  <c r="D874" i="1" s="1"/>
  <c r="C138" i="1"/>
  <c r="D138" i="1" s="1"/>
  <c r="B139" i="1"/>
  <c r="F67" i="1" l="1"/>
  <c r="B2936" i="1"/>
  <c r="C2935" i="1"/>
  <c r="D2935" i="1" s="1"/>
  <c r="B2528" i="1"/>
  <c r="C2527" i="1"/>
  <c r="D2527" i="1" s="1"/>
  <c r="C1353" i="1"/>
  <c r="D1353" i="1" s="1"/>
  <c r="B1354" i="1"/>
  <c r="C875" i="1"/>
  <c r="D875" i="1" s="1"/>
  <c r="B876" i="1"/>
  <c r="C139" i="1"/>
  <c r="D139" i="1" s="1"/>
  <c r="B140" i="1"/>
  <c r="I67" i="1" l="1"/>
  <c r="E68" i="1" s="1"/>
  <c r="C2936" i="1"/>
  <c r="D2936" i="1" s="1"/>
  <c r="B2937" i="1"/>
  <c r="C2528" i="1"/>
  <c r="D2528" i="1" s="1"/>
  <c r="B2529" i="1"/>
  <c r="C1354" i="1"/>
  <c r="D1354" i="1" s="1"/>
  <c r="B1355" i="1"/>
  <c r="C876" i="1"/>
  <c r="D876" i="1" s="1"/>
  <c r="B877" i="1"/>
  <c r="B141" i="1"/>
  <c r="C140" i="1"/>
  <c r="D140" i="1" s="1"/>
  <c r="G68" i="1" l="1"/>
  <c r="H68" i="1"/>
  <c r="F68" i="1" s="1"/>
  <c r="B2938" i="1"/>
  <c r="C2937" i="1"/>
  <c r="D2937" i="1" s="1"/>
  <c r="B2530" i="1"/>
  <c r="C2529" i="1"/>
  <c r="D2529" i="1" s="1"/>
  <c r="C1355" i="1"/>
  <c r="D1355" i="1" s="1"/>
  <c r="B1356" i="1"/>
  <c r="C877" i="1"/>
  <c r="D877" i="1" s="1"/>
  <c r="B878" i="1"/>
  <c r="B142" i="1"/>
  <c r="C141" i="1"/>
  <c r="D141" i="1" s="1"/>
  <c r="I68" i="1" l="1"/>
  <c r="E69" i="1" s="1"/>
  <c r="B2939" i="1"/>
  <c r="C2938" i="1"/>
  <c r="D2938" i="1" s="1"/>
  <c r="B2531" i="1"/>
  <c r="C2530" i="1"/>
  <c r="D2530" i="1" s="1"/>
  <c r="C1356" i="1"/>
  <c r="D1356" i="1" s="1"/>
  <c r="B1357" i="1"/>
  <c r="C878" i="1"/>
  <c r="D878" i="1" s="1"/>
  <c r="B879" i="1"/>
  <c r="C142" i="1"/>
  <c r="D142" i="1" s="1"/>
  <c r="B143" i="1"/>
  <c r="G69" i="1" l="1"/>
  <c r="H69" i="1"/>
  <c r="F69" i="1" s="1"/>
  <c r="B2940" i="1"/>
  <c r="C2939" i="1"/>
  <c r="D2939" i="1" s="1"/>
  <c r="C2531" i="1"/>
  <c r="D2531" i="1" s="1"/>
  <c r="B2532" i="1"/>
  <c r="C1357" i="1"/>
  <c r="D1357" i="1" s="1"/>
  <c r="B1358" i="1"/>
  <c r="B880" i="1"/>
  <c r="C879" i="1"/>
  <c r="D879" i="1" s="1"/>
  <c r="C143" i="1"/>
  <c r="D143" i="1" s="1"/>
  <c r="B144" i="1"/>
  <c r="I69" i="1" l="1"/>
  <c r="E70" i="1" s="1"/>
  <c r="C2940" i="1"/>
  <c r="D2940" i="1" s="1"/>
  <c r="B2941" i="1"/>
  <c r="C2532" i="1"/>
  <c r="D2532" i="1" s="1"/>
  <c r="B2533" i="1"/>
  <c r="C1358" i="1"/>
  <c r="D1358" i="1" s="1"/>
  <c r="B1359" i="1"/>
  <c r="B881" i="1"/>
  <c r="C880" i="1"/>
  <c r="D880" i="1" s="1"/>
  <c r="C144" i="1"/>
  <c r="D144" i="1" s="1"/>
  <c r="B145" i="1"/>
  <c r="G70" i="1" l="1"/>
  <c r="H70" i="1"/>
  <c r="F70" i="1" s="1"/>
  <c r="B2942" i="1"/>
  <c r="C2941" i="1"/>
  <c r="D2941" i="1" s="1"/>
  <c r="C2533" i="1"/>
  <c r="D2533" i="1" s="1"/>
  <c r="B2534" i="1"/>
  <c r="C1359" i="1"/>
  <c r="D1359" i="1" s="1"/>
  <c r="B1360" i="1"/>
  <c r="B882" i="1"/>
  <c r="C881" i="1"/>
  <c r="D881" i="1" s="1"/>
  <c r="C145" i="1"/>
  <c r="D145" i="1" s="1"/>
  <c r="B146" i="1"/>
  <c r="I70" i="1" l="1"/>
  <c r="E71" i="1" s="1"/>
  <c r="B2943" i="1"/>
  <c r="C2942" i="1"/>
  <c r="D2942" i="1" s="1"/>
  <c r="C2534" i="1"/>
  <c r="D2534" i="1" s="1"/>
  <c r="B2535" i="1"/>
  <c r="C1360" i="1"/>
  <c r="D1360" i="1" s="1"/>
  <c r="B1361" i="1"/>
  <c r="B883" i="1"/>
  <c r="C882" i="1"/>
  <c r="D882" i="1" s="1"/>
  <c r="C146" i="1"/>
  <c r="D146" i="1" s="1"/>
  <c r="B147" i="1"/>
  <c r="H71" i="1" l="1"/>
  <c r="F71" i="1" s="1"/>
  <c r="G71" i="1"/>
  <c r="B2944" i="1"/>
  <c r="C2943" i="1"/>
  <c r="D2943" i="1" s="1"/>
  <c r="C2535" i="1"/>
  <c r="D2535" i="1" s="1"/>
  <c r="B2536" i="1"/>
  <c r="C1361" i="1"/>
  <c r="D1361" i="1" s="1"/>
  <c r="B1362" i="1"/>
  <c r="C883" i="1"/>
  <c r="D883" i="1" s="1"/>
  <c r="B884" i="1"/>
  <c r="C147" i="1"/>
  <c r="D147" i="1" s="1"/>
  <c r="B148" i="1"/>
  <c r="I71" i="1" l="1"/>
  <c r="E72" i="1" s="1"/>
  <c r="C2944" i="1"/>
  <c r="D2944" i="1" s="1"/>
  <c r="B2945" i="1"/>
  <c r="C2536" i="1"/>
  <c r="D2536" i="1" s="1"/>
  <c r="B2537" i="1"/>
  <c r="C1362" i="1"/>
  <c r="D1362" i="1" s="1"/>
  <c r="B1363" i="1"/>
  <c r="C884" i="1"/>
  <c r="D884" i="1" s="1"/>
  <c r="B885" i="1"/>
  <c r="B149" i="1"/>
  <c r="C148" i="1"/>
  <c r="D148" i="1" s="1"/>
  <c r="G72" i="1" l="1"/>
  <c r="H72" i="1"/>
  <c r="F72" i="1" s="1"/>
  <c r="C2945" i="1"/>
  <c r="D2945" i="1" s="1"/>
  <c r="B2946" i="1"/>
  <c r="B2538" i="1"/>
  <c r="C2537" i="1"/>
  <c r="D2537" i="1" s="1"/>
  <c r="C1363" i="1"/>
  <c r="D1363" i="1" s="1"/>
  <c r="B1364" i="1"/>
  <c r="C885" i="1"/>
  <c r="D885" i="1" s="1"/>
  <c r="B886" i="1"/>
  <c r="C149" i="1"/>
  <c r="D149" i="1" s="1"/>
  <c r="B150" i="1"/>
  <c r="I72" i="1" l="1"/>
  <c r="E73" i="1" s="1"/>
  <c r="C2946" i="1"/>
  <c r="D2946" i="1" s="1"/>
  <c r="B2947" i="1"/>
  <c r="B2539" i="1"/>
  <c r="C2538" i="1"/>
  <c r="D2538" i="1" s="1"/>
  <c r="C1364" i="1"/>
  <c r="D1364" i="1" s="1"/>
  <c r="B1365" i="1"/>
  <c r="B887" i="1"/>
  <c r="C886" i="1"/>
  <c r="D886" i="1" s="1"/>
  <c r="C150" i="1"/>
  <c r="D150" i="1" s="1"/>
  <c r="B151" i="1"/>
  <c r="G73" i="1" l="1"/>
  <c r="H73" i="1"/>
  <c r="F73" i="1" s="1"/>
  <c r="B2948" i="1"/>
  <c r="C2947" i="1"/>
  <c r="D2947" i="1" s="1"/>
  <c r="B2540" i="1"/>
  <c r="C2539" i="1"/>
  <c r="D2539" i="1" s="1"/>
  <c r="C1365" i="1"/>
  <c r="D1365" i="1" s="1"/>
  <c r="B1366" i="1"/>
  <c r="C887" i="1"/>
  <c r="D887" i="1" s="1"/>
  <c r="B888" i="1"/>
  <c r="C151" i="1"/>
  <c r="D151" i="1" s="1"/>
  <c r="B152" i="1"/>
  <c r="I73" i="1" l="1"/>
  <c r="E74" i="1" s="1"/>
  <c r="C2948" i="1"/>
  <c r="D2948" i="1" s="1"/>
  <c r="B2949" i="1"/>
  <c r="C2540" i="1"/>
  <c r="D2540" i="1" s="1"/>
  <c r="B2541" i="1"/>
  <c r="C1366" i="1"/>
  <c r="D1366" i="1" s="1"/>
  <c r="B1367" i="1"/>
  <c r="C888" i="1"/>
  <c r="D888" i="1" s="1"/>
  <c r="B889" i="1"/>
  <c r="C152" i="1"/>
  <c r="D152" i="1" s="1"/>
  <c r="B153" i="1"/>
  <c r="H74" i="1" l="1"/>
  <c r="F74" i="1" s="1"/>
  <c r="G74" i="1"/>
  <c r="C2949" i="1"/>
  <c r="D2949" i="1" s="1"/>
  <c r="B2950" i="1"/>
  <c r="C2541" i="1"/>
  <c r="D2541" i="1" s="1"/>
  <c r="B2542" i="1"/>
  <c r="B1368" i="1"/>
  <c r="C1367" i="1"/>
  <c r="D1367" i="1" s="1"/>
  <c r="C889" i="1"/>
  <c r="D889" i="1" s="1"/>
  <c r="B890" i="1"/>
  <c r="C153" i="1"/>
  <c r="D153" i="1" s="1"/>
  <c r="B154" i="1"/>
  <c r="I74" i="1" l="1"/>
  <c r="E75" i="1" s="1"/>
  <c r="C2950" i="1"/>
  <c r="D2950" i="1" s="1"/>
  <c r="B2951" i="1"/>
  <c r="C2542" i="1"/>
  <c r="D2542" i="1" s="1"/>
  <c r="B2543" i="1"/>
  <c r="C1368" i="1"/>
  <c r="D1368" i="1" s="1"/>
  <c r="B1369" i="1"/>
  <c r="B891" i="1"/>
  <c r="C890" i="1"/>
  <c r="D890" i="1" s="1"/>
  <c r="C154" i="1"/>
  <c r="D154" i="1" s="1"/>
  <c r="B155" i="1"/>
  <c r="H75" i="1" l="1"/>
  <c r="F75" i="1" s="1"/>
  <c r="G75" i="1"/>
  <c r="C2951" i="1"/>
  <c r="D2951" i="1" s="1"/>
  <c r="B2952" i="1"/>
  <c r="C2543" i="1"/>
  <c r="D2543" i="1" s="1"/>
  <c r="B2544" i="1"/>
  <c r="C1369" i="1"/>
  <c r="D1369" i="1" s="1"/>
  <c r="B1370" i="1"/>
  <c r="B892" i="1"/>
  <c r="C891" i="1"/>
  <c r="D891" i="1" s="1"/>
  <c r="C155" i="1"/>
  <c r="D155" i="1" s="1"/>
  <c r="B156" i="1"/>
  <c r="I75" i="1" l="1"/>
  <c r="E76" i="1" s="1"/>
  <c r="C2952" i="1"/>
  <c r="D2952" i="1" s="1"/>
  <c r="B2953" i="1"/>
  <c r="C2544" i="1"/>
  <c r="D2544" i="1" s="1"/>
  <c r="B2545" i="1"/>
  <c r="C1370" i="1"/>
  <c r="D1370" i="1" s="1"/>
  <c r="B1371" i="1"/>
  <c r="B893" i="1"/>
  <c r="C892" i="1"/>
  <c r="D892" i="1" s="1"/>
  <c r="B157" i="1"/>
  <c r="C156" i="1"/>
  <c r="D156" i="1" s="1"/>
  <c r="H76" i="1" l="1"/>
  <c r="F76" i="1" s="1"/>
  <c r="G76" i="1"/>
  <c r="C2953" i="1"/>
  <c r="D2953" i="1" s="1"/>
  <c r="B2954" i="1"/>
  <c r="C2545" i="1"/>
  <c r="D2545" i="1" s="1"/>
  <c r="B2546" i="1"/>
  <c r="B1372" i="1"/>
  <c r="C1371" i="1"/>
  <c r="D1371" i="1" s="1"/>
  <c r="B894" i="1"/>
  <c r="C893" i="1"/>
  <c r="D893" i="1" s="1"/>
  <c r="C157" i="1"/>
  <c r="D157" i="1" s="1"/>
  <c r="B158" i="1"/>
  <c r="I76" i="1" l="1"/>
  <c r="E77" i="1" s="1"/>
  <c r="C2954" i="1"/>
  <c r="D2954" i="1" s="1"/>
  <c r="B2955" i="1"/>
  <c r="C2546" i="1"/>
  <c r="D2546" i="1" s="1"/>
  <c r="B2547" i="1"/>
  <c r="C1372" i="1"/>
  <c r="D1372" i="1" s="1"/>
  <c r="B1373" i="1"/>
  <c r="C894" i="1"/>
  <c r="D894" i="1" s="1"/>
  <c r="B895" i="1"/>
  <c r="C158" i="1"/>
  <c r="D158" i="1" s="1"/>
  <c r="B159" i="1"/>
  <c r="G77" i="1" l="1"/>
  <c r="H77" i="1"/>
  <c r="F77" i="1" s="1"/>
  <c r="B2956" i="1"/>
  <c r="C2955" i="1"/>
  <c r="D2955" i="1" s="1"/>
  <c r="C2547" i="1"/>
  <c r="D2547" i="1" s="1"/>
  <c r="B2548" i="1"/>
  <c r="B1374" i="1"/>
  <c r="C1373" i="1"/>
  <c r="D1373" i="1" s="1"/>
  <c r="C895" i="1"/>
  <c r="D895" i="1" s="1"/>
  <c r="B896" i="1"/>
  <c r="C159" i="1"/>
  <c r="D159" i="1" s="1"/>
  <c r="B160" i="1"/>
  <c r="I77" i="1" l="1"/>
  <c r="E78" i="1" s="1"/>
  <c r="C2956" i="1"/>
  <c r="D2956" i="1" s="1"/>
  <c r="B2957" i="1"/>
  <c r="C2548" i="1"/>
  <c r="D2548" i="1" s="1"/>
  <c r="B2549" i="1"/>
  <c r="B1375" i="1"/>
  <c r="C1374" i="1"/>
  <c r="D1374" i="1" s="1"/>
  <c r="C896" i="1"/>
  <c r="D896" i="1" s="1"/>
  <c r="B897" i="1"/>
  <c r="C160" i="1"/>
  <c r="D160" i="1" s="1"/>
  <c r="B161" i="1"/>
  <c r="G78" i="1" l="1"/>
  <c r="H78" i="1"/>
  <c r="F78" i="1" s="1"/>
  <c r="C2957" i="1"/>
  <c r="D2957" i="1" s="1"/>
  <c r="B2958" i="1"/>
  <c r="C2549" i="1"/>
  <c r="D2549" i="1" s="1"/>
  <c r="B2550" i="1"/>
  <c r="B1376" i="1"/>
  <c r="C1375" i="1"/>
  <c r="D1375" i="1" s="1"/>
  <c r="C897" i="1"/>
  <c r="D897" i="1" s="1"/>
  <c r="B898" i="1"/>
  <c r="C161" i="1"/>
  <c r="D161" i="1" s="1"/>
  <c r="B162" i="1"/>
  <c r="I78" i="1" l="1"/>
  <c r="E79" i="1" s="1"/>
  <c r="C2958" i="1"/>
  <c r="D2958" i="1" s="1"/>
  <c r="B2959" i="1"/>
  <c r="C2550" i="1"/>
  <c r="D2550" i="1" s="1"/>
  <c r="B2551" i="1"/>
  <c r="C1376" i="1"/>
  <c r="D1376" i="1" s="1"/>
  <c r="B1377" i="1"/>
  <c r="C898" i="1"/>
  <c r="D898" i="1" s="1"/>
  <c r="B899" i="1"/>
  <c r="B163" i="1"/>
  <c r="C162" i="1"/>
  <c r="D162" i="1" s="1"/>
  <c r="G79" i="1" l="1"/>
  <c r="H79" i="1"/>
  <c r="F79" i="1" s="1"/>
  <c r="C2959" i="1"/>
  <c r="D2959" i="1" s="1"/>
  <c r="B2960" i="1"/>
  <c r="C2551" i="1"/>
  <c r="D2551" i="1" s="1"/>
  <c r="B2552" i="1"/>
  <c r="B1378" i="1"/>
  <c r="C1377" i="1"/>
  <c r="D1377" i="1" s="1"/>
  <c r="C899" i="1"/>
  <c r="D899" i="1" s="1"/>
  <c r="B900" i="1"/>
  <c r="C163" i="1"/>
  <c r="D163" i="1" s="1"/>
  <c r="B164" i="1"/>
  <c r="I79" i="1" l="1"/>
  <c r="E80" i="1" s="1"/>
  <c r="C2960" i="1"/>
  <c r="D2960" i="1" s="1"/>
  <c r="B2961" i="1"/>
  <c r="C2552" i="1"/>
  <c r="D2552" i="1" s="1"/>
  <c r="B2553" i="1"/>
  <c r="C1378" i="1"/>
  <c r="D1378" i="1" s="1"/>
  <c r="B1379" i="1"/>
  <c r="B901" i="1"/>
  <c r="C900" i="1"/>
  <c r="D900" i="1" s="1"/>
  <c r="C164" i="1"/>
  <c r="D164" i="1" s="1"/>
  <c r="B165" i="1"/>
  <c r="G80" i="1" l="1"/>
  <c r="H80" i="1"/>
  <c r="F80" i="1" s="1"/>
  <c r="B2962" i="1"/>
  <c r="C2961" i="1"/>
  <c r="D2961" i="1" s="1"/>
  <c r="C2553" i="1"/>
  <c r="D2553" i="1" s="1"/>
  <c r="B2554" i="1"/>
  <c r="C1379" i="1"/>
  <c r="D1379" i="1" s="1"/>
  <c r="B1380" i="1"/>
  <c r="B902" i="1"/>
  <c r="C901" i="1"/>
  <c r="D901" i="1" s="1"/>
  <c r="C165" i="1"/>
  <c r="D165" i="1" s="1"/>
  <c r="B166" i="1"/>
  <c r="I80" i="1" l="1"/>
  <c r="E81" i="1" s="1"/>
  <c r="C2962" i="1"/>
  <c r="D2962" i="1" s="1"/>
  <c r="B2963" i="1"/>
  <c r="C2554" i="1"/>
  <c r="D2554" i="1" s="1"/>
  <c r="B2555" i="1"/>
  <c r="C1380" i="1"/>
  <c r="D1380" i="1" s="1"/>
  <c r="B1381" i="1"/>
  <c r="C902" i="1"/>
  <c r="D902" i="1" s="1"/>
  <c r="B903" i="1"/>
  <c r="C166" i="1"/>
  <c r="D166" i="1" s="1"/>
  <c r="B167" i="1"/>
  <c r="H81" i="1" l="1"/>
  <c r="F81" i="1" s="1"/>
  <c r="G81" i="1"/>
  <c r="C2963" i="1"/>
  <c r="D2963" i="1" s="1"/>
  <c r="B2964" i="1"/>
  <c r="C2555" i="1"/>
  <c r="D2555" i="1" s="1"/>
  <c r="B2556" i="1"/>
  <c r="B1382" i="1"/>
  <c r="C1381" i="1"/>
  <c r="D1381" i="1" s="1"/>
  <c r="C903" i="1"/>
  <c r="D903" i="1" s="1"/>
  <c r="B904" i="1"/>
  <c r="C167" i="1"/>
  <c r="D167" i="1" s="1"/>
  <c r="B168" i="1"/>
  <c r="I81" i="1" l="1"/>
  <c r="E82" i="1" s="1"/>
  <c r="C2964" i="1"/>
  <c r="D2964" i="1" s="1"/>
  <c r="B2965" i="1"/>
  <c r="B2557" i="1"/>
  <c r="C2556" i="1"/>
  <c r="D2556" i="1" s="1"/>
  <c r="C1382" i="1"/>
  <c r="D1382" i="1" s="1"/>
  <c r="B1383" i="1"/>
  <c r="C904" i="1"/>
  <c r="D904" i="1" s="1"/>
  <c r="B905" i="1"/>
  <c r="C168" i="1"/>
  <c r="D168" i="1" s="1"/>
  <c r="B169" i="1"/>
  <c r="H82" i="1" l="1"/>
  <c r="F82" i="1" s="1"/>
  <c r="G82" i="1"/>
  <c r="B2966" i="1"/>
  <c r="C2965" i="1"/>
  <c r="D2965" i="1" s="1"/>
  <c r="C2557" i="1"/>
  <c r="D2557" i="1" s="1"/>
  <c r="B2558" i="1"/>
  <c r="C1383" i="1"/>
  <c r="D1383" i="1" s="1"/>
  <c r="B1384" i="1"/>
  <c r="C905" i="1"/>
  <c r="D905" i="1" s="1"/>
  <c r="B906" i="1"/>
  <c r="C169" i="1"/>
  <c r="D169" i="1" s="1"/>
  <c r="B170" i="1"/>
  <c r="I82" i="1" l="1"/>
  <c r="E83" i="1" s="1"/>
  <c r="B2967" i="1"/>
  <c r="C2966" i="1"/>
  <c r="D2966" i="1" s="1"/>
  <c r="C2558" i="1"/>
  <c r="D2558" i="1" s="1"/>
  <c r="B2559" i="1"/>
  <c r="C1384" i="1"/>
  <c r="D1384" i="1" s="1"/>
  <c r="B1385" i="1"/>
  <c r="B907" i="1"/>
  <c r="C906" i="1"/>
  <c r="D906" i="1" s="1"/>
  <c r="C170" i="1"/>
  <c r="D170" i="1" s="1"/>
  <c r="B171" i="1"/>
  <c r="H83" i="1" l="1"/>
  <c r="F83" i="1" s="1"/>
  <c r="G83" i="1"/>
  <c r="C2967" i="1"/>
  <c r="D2967" i="1" s="1"/>
  <c r="B2968" i="1"/>
  <c r="C2559" i="1"/>
  <c r="D2559" i="1" s="1"/>
  <c r="B2560" i="1"/>
  <c r="B1386" i="1"/>
  <c r="C1385" i="1"/>
  <c r="D1385" i="1" s="1"/>
  <c r="B908" i="1"/>
  <c r="C907" i="1"/>
  <c r="D907" i="1" s="1"/>
  <c r="C171" i="1"/>
  <c r="D171" i="1" s="1"/>
  <c r="B172" i="1"/>
  <c r="I83" i="1" l="1"/>
  <c r="E84" i="1" s="1"/>
  <c r="B2969" i="1"/>
  <c r="C2968" i="1"/>
  <c r="D2968" i="1" s="1"/>
  <c r="C2560" i="1"/>
  <c r="D2560" i="1" s="1"/>
  <c r="B2561" i="1"/>
  <c r="C1386" i="1"/>
  <c r="D1386" i="1" s="1"/>
  <c r="B1387" i="1"/>
  <c r="C908" i="1"/>
  <c r="D908" i="1" s="1"/>
  <c r="B909" i="1"/>
  <c r="C172" i="1"/>
  <c r="D172" i="1" s="1"/>
  <c r="B173" i="1"/>
  <c r="H84" i="1" l="1"/>
  <c r="G84" i="1"/>
  <c r="B2970" i="1"/>
  <c r="C2969" i="1"/>
  <c r="D2969" i="1" s="1"/>
  <c r="C2561" i="1"/>
  <c r="D2561" i="1" s="1"/>
  <c r="B2562" i="1"/>
  <c r="B1388" i="1"/>
  <c r="C1387" i="1"/>
  <c r="D1387" i="1" s="1"/>
  <c r="B910" i="1"/>
  <c r="C909" i="1"/>
  <c r="D909" i="1" s="1"/>
  <c r="C173" i="1"/>
  <c r="D173" i="1" s="1"/>
  <c r="B174" i="1"/>
  <c r="F84" i="1" l="1"/>
  <c r="C2970" i="1"/>
  <c r="D2970" i="1" s="1"/>
  <c r="B2971" i="1"/>
  <c r="C2562" i="1"/>
  <c r="D2562" i="1" s="1"/>
  <c r="B2563" i="1"/>
  <c r="C1388" i="1"/>
  <c r="D1388" i="1" s="1"/>
  <c r="B1389" i="1"/>
  <c r="B911" i="1"/>
  <c r="C910" i="1"/>
  <c r="D910" i="1" s="1"/>
  <c r="C174" i="1"/>
  <c r="D174" i="1" s="1"/>
  <c r="B175" i="1"/>
  <c r="I84" i="1" l="1"/>
  <c r="E85" i="1" s="1"/>
  <c r="C2971" i="1"/>
  <c r="D2971" i="1" s="1"/>
  <c r="B2972" i="1"/>
  <c r="C2972" i="1" s="1"/>
  <c r="D2972" i="1" s="1"/>
  <c r="C2563" i="1"/>
  <c r="D2563" i="1" s="1"/>
  <c r="B2564" i="1"/>
  <c r="C1389" i="1"/>
  <c r="D1389" i="1" s="1"/>
  <c r="B1390" i="1"/>
  <c r="C911" i="1"/>
  <c r="D911" i="1" s="1"/>
  <c r="B912" i="1"/>
  <c r="C175" i="1"/>
  <c r="D175" i="1" s="1"/>
  <c r="B176" i="1"/>
  <c r="G85" i="1" l="1"/>
  <c r="H85" i="1"/>
  <c r="F85" i="1" s="1"/>
  <c r="B2565" i="1"/>
  <c r="C2564" i="1"/>
  <c r="D2564" i="1" s="1"/>
  <c r="B1391" i="1"/>
  <c r="C1390" i="1"/>
  <c r="D1390" i="1" s="1"/>
  <c r="C912" i="1"/>
  <c r="D912" i="1" s="1"/>
  <c r="B913" i="1"/>
  <c r="B177" i="1"/>
  <c r="C176" i="1"/>
  <c r="D176" i="1" s="1"/>
  <c r="I85" i="1" l="1"/>
  <c r="E86" i="1" s="1"/>
  <c r="C2565" i="1"/>
  <c r="D2565" i="1" s="1"/>
  <c r="B2566" i="1"/>
  <c r="B1392" i="1"/>
  <c r="C1391" i="1"/>
  <c r="D1391" i="1" s="1"/>
  <c r="C913" i="1"/>
  <c r="D913" i="1" s="1"/>
  <c r="B914" i="1"/>
  <c r="C177" i="1"/>
  <c r="D177" i="1" s="1"/>
  <c r="B178" i="1"/>
  <c r="H86" i="1" l="1"/>
  <c r="F86" i="1" s="1"/>
  <c r="G86" i="1"/>
  <c r="B2567" i="1"/>
  <c r="C2566" i="1"/>
  <c r="D2566" i="1" s="1"/>
  <c r="C1392" i="1"/>
  <c r="D1392" i="1" s="1"/>
  <c r="B1393" i="1"/>
  <c r="C914" i="1"/>
  <c r="D914" i="1" s="1"/>
  <c r="B915" i="1"/>
  <c r="C178" i="1"/>
  <c r="D178" i="1" s="1"/>
  <c r="B179" i="1"/>
  <c r="I86" i="1" l="1"/>
  <c r="E87" i="1" s="1"/>
  <c r="C2567" i="1"/>
  <c r="D2567" i="1" s="1"/>
  <c r="B2568" i="1"/>
  <c r="C1393" i="1"/>
  <c r="D1393" i="1" s="1"/>
  <c r="B1394" i="1"/>
  <c r="C915" i="1"/>
  <c r="D915" i="1" s="1"/>
  <c r="B916" i="1"/>
  <c r="C179" i="1"/>
  <c r="D179" i="1" s="1"/>
  <c r="B180" i="1"/>
  <c r="H87" i="1" l="1"/>
  <c r="F87" i="1" s="1"/>
  <c r="G87" i="1"/>
  <c r="C2568" i="1"/>
  <c r="D2568" i="1" s="1"/>
  <c r="B2569" i="1"/>
  <c r="C1394" i="1"/>
  <c r="D1394" i="1" s="1"/>
  <c r="B1395" i="1"/>
  <c r="B917" i="1"/>
  <c r="C916" i="1"/>
  <c r="D916" i="1" s="1"/>
  <c r="C180" i="1"/>
  <c r="D180" i="1" s="1"/>
  <c r="B181" i="1"/>
  <c r="I87" i="1" l="1"/>
  <c r="E88" i="1" s="1"/>
  <c r="B2570" i="1"/>
  <c r="C2569" i="1"/>
  <c r="D2569" i="1" s="1"/>
  <c r="B1396" i="1"/>
  <c r="C1395" i="1"/>
  <c r="D1395" i="1" s="1"/>
  <c r="C917" i="1"/>
  <c r="D917" i="1" s="1"/>
  <c r="B918" i="1"/>
  <c r="C181" i="1"/>
  <c r="D181" i="1" s="1"/>
  <c r="B182" i="1"/>
  <c r="H88" i="1" l="1"/>
  <c r="F88" i="1" s="1"/>
  <c r="G88" i="1"/>
  <c r="B2571" i="1"/>
  <c r="C2570" i="1"/>
  <c r="D2570" i="1" s="1"/>
  <c r="C1396" i="1"/>
  <c r="D1396" i="1" s="1"/>
  <c r="B1397" i="1"/>
  <c r="B919" i="1"/>
  <c r="C918" i="1"/>
  <c r="D918" i="1" s="1"/>
  <c r="C182" i="1"/>
  <c r="D182" i="1" s="1"/>
  <c r="B183" i="1"/>
  <c r="I88" i="1" l="1"/>
  <c r="E89" i="1" s="1"/>
  <c r="C2571" i="1"/>
  <c r="D2571" i="1" s="1"/>
  <c r="B2572" i="1"/>
  <c r="B1398" i="1"/>
  <c r="C1397" i="1"/>
  <c r="D1397" i="1" s="1"/>
  <c r="B920" i="1"/>
  <c r="C919" i="1"/>
  <c r="D919" i="1" s="1"/>
  <c r="C183" i="1"/>
  <c r="D183" i="1" s="1"/>
  <c r="B184" i="1"/>
  <c r="G89" i="1" l="1"/>
  <c r="H89" i="1"/>
  <c r="F89" i="1" s="1"/>
  <c r="C2572" i="1"/>
  <c r="D2572" i="1" s="1"/>
  <c r="B2573" i="1"/>
  <c r="C1398" i="1"/>
  <c r="D1398" i="1" s="1"/>
  <c r="B1399" i="1"/>
  <c r="C920" i="1"/>
  <c r="D920" i="1" s="1"/>
  <c r="B921" i="1"/>
  <c r="C184" i="1"/>
  <c r="D184" i="1" s="1"/>
  <c r="B185" i="1"/>
  <c r="I89" i="1" l="1"/>
  <c r="E90" i="1" s="1"/>
  <c r="C2573" i="1"/>
  <c r="D2573" i="1" s="1"/>
  <c r="B2574" i="1"/>
  <c r="C1399" i="1"/>
  <c r="D1399" i="1" s="1"/>
  <c r="B1400" i="1"/>
  <c r="B922" i="1"/>
  <c r="C921" i="1"/>
  <c r="D921" i="1" s="1"/>
  <c r="C185" i="1"/>
  <c r="D185" i="1" s="1"/>
  <c r="B186" i="1"/>
  <c r="H90" i="1" l="1"/>
  <c r="G90" i="1"/>
  <c r="B2575" i="1"/>
  <c r="C2574" i="1"/>
  <c r="D2574" i="1" s="1"/>
  <c r="C1400" i="1"/>
  <c r="D1400" i="1" s="1"/>
  <c r="B1401" i="1"/>
  <c r="C922" i="1"/>
  <c r="D922" i="1" s="1"/>
  <c r="B923" i="1"/>
  <c r="C186" i="1"/>
  <c r="D186" i="1" s="1"/>
  <c r="B187" i="1"/>
  <c r="F90" i="1" l="1"/>
  <c r="I90" i="1" s="1"/>
  <c r="E91" i="1" s="1"/>
  <c r="C2575" i="1"/>
  <c r="D2575" i="1" s="1"/>
  <c r="B2576" i="1"/>
  <c r="B1402" i="1"/>
  <c r="C1401" i="1"/>
  <c r="D1401" i="1" s="1"/>
  <c r="C923" i="1"/>
  <c r="D923" i="1" s="1"/>
  <c r="B924" i="1"/>
  <c r="C187" i="1"/>
  <c r="D187" i="1" s="1"/>
  <c r="B188" i="1"/>
  <c r="H91" i="1" l="1"/>
  <c r="G91" i="1"/>
  <c r="B2577" i="1"/>
  <c r="C2576" i="1"/>
  <c r="D2576" i="1" s="1"/>
  <c r="C1402" i="1"/>
  <c r="D1402" i="1" s="1"/>
  <c r="B1403" i="1"/>
  <c r="C924" i="1"/>
  <c r="D924" i="1" s="1"/>
  <c r="B925" i="1"/>
  <c r="C188" i="1"/>
  <c r="D188" i="1" s="1"/>
  <c r="B189" i="1"/>
  <c r="F91" i="1" l="1"/>
  <c r="B2578" i="1"/>
  <c r="C2577" i="1"/>
  <c r="D2577" i="1" s="1"/>
  <c r="B1404" i="1"/>
  <c r="C1403" i="1"/>
  <c r="D1403" i="1" s="1"/>
  <c r="B926" i="1"/>
  <c r="C925" i="1"/>
  <c r="D925" i="1" s="1"/>
  <c r="C189" i="1"/>
  <c r="D189" i="1" s="1"/>
  <c r="B190" i="1"/>
  <c r="I91" i="1" l="1"/>
  <c r="E92" i="1" s="1"/>
  <c r="C2578" i="1"/>
  <c r="D2578" i="1" s="1"/>
  <c r="B2579" i="1"/>
  <c r="C1404" i="1"/>
  <c r="D1404" i="1" s="1"/>
  <c r="B1405" i="1"/>
  <c r="B927" i="1"/>
  <c r="C926" i="1"/>
  <c r="D926" i="1" s="1"/>
  <c r="C190" i="1"/>
  <c r="D190" i="1" s="1"/>
  <c r="B191" i="1"/>
  <c r="G92" i="1" l="1"/>
  <c r="H92" i="1"/>
  <c r="F92" i="1" s="1"/>
  <c r="C2579" i="1"/>
  <c r="D2579" i="1" s="1"/>
  <c r="B2580" i="1"/>
  <c r="C1405" i="1"/>
  <c r="D1405" i="1" s="1"/>
  <c r="B1406" i="1"/>
  <c r="C927" i="1"/>
  <c r="D927" i="1" s="1"/>
  <c r="B928" i="1"/>
  <c r="B192" i="1"/>
  <c r="C191" i="1"/>
  <c r="D191" i="1" s="1"/>
  <c r="I92" i="1" l="1"/>
  <c r="E93" i="1" s="1"/>
  <c r="B2581" i="1"/>
  <c r="C2580" i="1"/>
  <c r="D2580" i="1" s="1"/>
  <c r="B1407" i="1"/>
  <c r="C1406" i="1"/>
  <c r="D1406" i="1" s="1"/>
  <c r="C928" i="1"/>
  <c r="D928" i="1" s="1"/>
  <c r="B929" i="1"/>
  <c r="B193" i="1"/>
  <c r="C192" i="1"/>
  <c r="D192" i="1" s="1"/>
  <c r="G93" i="1" l="1"/>
  <c r="H93" i="1"/>
  <c r="C2581" i="1"/>
  <c r="D2581" i="1" s="1"/>
  <c r="B2582" i="1"/>
  <c r="C1407" i="1"/>
  <c r="D1407" i="1" s="1"/>
  <c r="B1408" i="1"/>
  <c r="B930" i="1"/>
  <c r="C929" i="1"/>
  <c r="D929" i="1" s="1"/>
  <c r="C193" i="1"/>
  <c r="D193" i="1" s="1"/>
  <c r="B194" i="1"/>
  <c r="F93" i="1" l="1"/>
  <c r="C2582" i="1"/>
  <c r="D2582" i="1" s="1"/>
  <c r="B2583" i="1"/>
  <c r="B1409" i="1"/>
  <c r="C1408" i="1"/>
  <c r="D1408" i="1" s="1"/>
  <c r="C930" i="1"/>
  <c r="D930" i="1" s="1"/>
  <c r="B931" i="1"/>
  <c r="B195" i="1"/>
  <c r="C194" i="1"/>
  <c r="D194" i="1" s="1"/>
  <c r="I93" i="1" l="1"/>
  <c r="E94" i="1" s="1"/>
  <c r="C2583" i="1"/>
  <c r="D2583" i="1" s="1"/>
  <c r="B2584" i="1"/>
  <c r="C1409" i="1"/>
  <c r="D1409" i="1" s="1"/>
  <c r="B1410" i="1"/>
  <c r="B932" i="1"/>
  <c r="C931" i="1"/>
  <c r="D931" i="1" s="1"/>
  <c r="C195" i="1"/>
  <c r="D195" i="1" s="1"/>
  <c r="B196" i="1"/>
  <c r="H94" i="1" l="1"/>
  <c r="F94" i="1" s="1"/>
  <c r="G94" i="1"/>
  <c r="B2585" i="1"/>
  <c r="C2584" i="1"/>
  <c r="D2584" i="1" s="1"/>
  <c r="C1410" i="1"/>
  <c r="D1410" i="1" s="1"/>
  <c r="B1411" i="1"/>
  <c r="C932" i="1"/>
  <c r="D932" i="1" s="1"/>
  <c r="B933" i="1"/>
  <c r="C196" i="1"/>
  <c r="D196" i="1" s="1"/>
  <c r="B197" i="1"/>
  <c r="I94" i="1" l="1"/>
  <c r="E95" i="1" s="1"/>
  <c r="C2585" i="1"/>
  <c r="D2585" i="1" s="1"/>
  <c r="B2586" i="1"/>
  <c r="B1412" i="1"/>
  <c r="C1411" i="1"/>
  <c r="D1411" i="1" s="1"/>
  <c r="C933" i="1"/>
  <c r="D933" i="1" s="1"/>
  <c r="B934" i="1"/>
  <c r="C197" i="1"/>
  <c r="D197" i="1" s="1"/>
  <c r="B198" i="1"/>
  <c r="G95" i="1" l="1"/>
  <c r="H95" i="1"/>
  <c r="F95" i="1" s="1"/>
  <c r="B2587" i="1"/>
  <c r="C2586" i="1"/>
  <c r="D2586" i="1" s="1"/>
  <c r="B1413" i="1"/>
  <c r="C1412" i="1"/>
  <c r="D1412" i="1" s="1"/>
  <c r="C934" i="1"/>
  <c r="D934" i="1" s="1"/>
  <c r="B935" i="1"/>
  <c r="C198" i="1"/>
  <c r="D198" i="1" s="1"/>
  <c r="B199" i="1"/>
  <c r="I95" i="1" l="1"/>
  <c r="E96" i="1" s="1"/>
  <c r="C2587" i="1"/>
  <c r="D2587" i="1" s="1"/>
  <c r="B2588" i="1"/>
  <c r="C1413" i="1"/>
  <c r="D1413" i="1" s="1"/>
  <c r="B1414" i="1"/>
  <c r="B936" i="1"/>
  <c r="C935" i="1"/>
  <c r="D935" i="1" s="1"/>
  <c r="B200" i="1"/>
  <c r="C199" i="1"/>
  <c r="D199" i="1" s="1"/>
  <c r="H96" i="1" l="1"/>
  <c r="G96" i="1"/>
  <c r="C2588" i="1"/>
  <c r="D2588" i="1" s="1"/>
  <c r="B2589" i="1"/>
  <c r="C1414" i="1"/>
  <c r="D1414" i="1" s="1"/>
  <c r="B1415" i="1"/>
  <c r="C936" i="1"/>
  <c r="D936" i="1" s="1"/>
  <c r="B937" i="1"/>
  <c r="C200" i="1"/>
  <c r="D200" i="1" s="1"/>
  <c r="B201" i="1"/>
  <c r="F96" i="1" l="1"/>
  <c r="C2589" i="1"/>
  <c r="D2589" i="1" s="1"/>
  <c r="B2590" i="1"/>
  <c r="B1416" i="1"/>
  <c r="C1415" i="1"/>
  <c r="D1415" i="1" s="1"/>
  <c r="B938" i="1"/>
  <c r="C937" i="1"/>
  <c r="D937" i="1" s="1"/>
  <c r="C201" i="1"/>
  <c r="D201" i="1" s="1"/>
  <c r="B202" i="1"/>
  <c r="I96" i="1" l="1"/>
  <c r="E97" i="1" s="1"/>
  <c r="C2590" i="1"/>
  <c r="D2590" i="1" s="1"/>
  <c r="B2591" i="1"/>
  <c r="B1417" i="1"/>
  <c r="C1416" i="1"/>
  <c r="D1416" i="1" s="1"/>
  <c r="C938" i="1"/>
  <c r="D938" i="1" s="1"/>
  <c r="B939" i="1"/>
  <c r="C202" i="1"/>
  <c r="D202" i="1" s="1"/>
  <c r="B203" i="1"/>
  <c r="G97" i="1" l="1"/>
  <c r="H97" i="1"/>
  <c r="F97" i="1" s="1"/>
  <c r="C2591" i="1"/>
  <c r="D2591" i="1" s="1"/>
  <c r="B2592" i="1"/>
  <c r="C1417" i="1"/>
  <c r="D1417" i="1" s="1"/>
  <c r="B1418" i="1"/>
  <c r="C939" i="1"/>
  <c r="D939" i="1" s="1"/>
  <c r="B940" i="1"/>
  <c r="C203" i="1"/>
  <c r="D203" i="1" s="1"/>
  <c r="B204" i="1"/>
  <c r="I97" i="1" l="1"/>
  <c r="E98" i="1" s="1"/>
  <c r="C2592" i="1"/>
  <c r="D2592" i="1" s="1"/>
  <c r="B2593" i="1"/>
  <c r="C1418" i="1"/>
  <c r="D1418" i="1" s="1"/>
  <c r="B1419" i="1"/>
  <c r="C940" i="1"/>
  <c r="D940" i="1" s="1"/>
  <c r="B941" i="1"/>
  <c r="C204" i="1"/>
  <c r="D204" i="1" s="1"/>
  <c r="B205" i="1"/>
  <c r="H98" i="1" l="1"/>
  <c r="F98" i="1" s="1"/>
  <c r="G98" i="1"/>
  <c r="C2593" i="1"/>
  <c r="D2593" i="1" s="1"/>
  <c r="B2594" i="1"/>
  <c r="B1420" i="1"/>
  <c r="C1419" i="1"/>
  <c r="D1419" i="1" s="1"/>
  <c r="B942" i="1"/>
  <c r="C941" i="1"/>
  <c r="D941" i="1" s="1"/>
  <c r="B206" i="1"/>
  <c r="C205" i="1"/>
  <c r="D205" i="1" s="1"/>
  <c r="I98" i="1" l="1"/>
  <c r="E99" i="1" s="1"/>
  <c r="C2594" i="1"/>
  <c r="D2594" i="1" s="1"/>
  <c r="B2595" i="1"/>
  <c r="C1420" i="1"/>
  <c r="D1420" i="1" s="1"/>
  <c r="B1421" i="1"/>
  <c r="B943" i="1"/>
  <c r="C942" i="1"/>
  <c r="D942" i="1" s="1"/>
  <c r="C206" i="1"/>
  <c r="D206" i="1" s="1"/>
  <c r="B207" i="1"/>
  <c r="H99" i="1" l="1"/>
  <c r="F99" i="1" s="1"/>
  <c r="G99" i="1"/>
  <c r="C2595" i="1"/>
  <c r="D2595" i="1" s="1"/>
  <c r="B2596" i="1"/>
  <c r="C1421" i="1"/>
  <c r="D1421" i="1" s="1"/>
  <c r="B1422" i="1"/>
  <c r="B944" i="1"/>
  <c r="C943" i="1"/>
  <c r="D943" i="1" s="1"/>
  <c r="C207" i="1"/>
  <c r="D207" i="1" s="1"/>
  <c r="B208" i="1"/>
  <c r="I99" i="1" l="1"/>
  <c r="E100" i="1" s="1"/>
  <c r="C2596" i="1"/>
  <c r="D2596" i="1" s="1"/>
  <c r="B2597" i="1"/>
  <c r="B1423" i="1"/>
  <c r="C1422" i="1"/>
  <c r="D1422" i="1" s="1"/>
  <c r="C944" i="1"/>
  <c r="D944" i="1" s="1"/>
  <c r="B945" i="1"/>
  <c r="C208" i="1"/>
  <c r="D208" i="1" s="1"/>
  <c r="B209" i="1"/>
  <c r="H100" i="1" l="1"/>
  <c r="F100" i="1" s="1"/>
  <c r="G100" i="1"/>
  <c r="C2597" i="1"/>
  <c r="D2597" i="1" s="1"/>
  <c r="B2598" i="1"/>
  <c r="B1424" i="1"/>
  <c r="C1423" i="1"/>
  <c r="D1423" i="1" s="1"/>
  <c r="C945" i="1"/>
  <c r="D945" i="1" s="1"/>
  <c r="B946" i="1"/>
  <c r="C209" i="1"/>
  <c r="D209" i="1" s="1"/>
  <c r="B210" i="1"/>
  <c r="I100" i="1" l="1"/>
  <c r="E101" i="1" s="1"/>
  <c r="C2598" i="1"/>
  <c r="D2598" i="1" s="1"/>
  <c r="B2599" i="1"/>
  <c r="C1424" i="1"/>
  <c r="D1424" i="1" s="1"/>
  <c r="B1425" i="1"/>
  <c r="B947" i="1"/>
  <c r="C946" i="1"/>
  <c r="D946" i="1" s="1"/>
  <c r="C210" i="1"/>
  <c r="D210" i="1" s="1"/>
  <c r="B211" i="1"/>
  <c r="H101" i="1" l="1"/>
  <c r="F101" i="1" s="1"/>
  <c r="G101" i="1"/>
  <c r="C2599" i="1"/>
  <c r="D2599" i="1" s="1"/>
  <c r="B2600" i="1"/>
  <c r="C1425" i="1"/>
  <c r="D1425" i="1" s="1"/>
  <c r="B1426" i="1"/>
  <c r="B948" i="1"/>
  <c r="C947" i="1"/>
  <c r="D947" i="1" s="1"/>
  <c r="C211" i="1"/>
  <c r="D211" i="1" s="1"/>
  <c r="B212" i="1"/>
  <c r="I101" i="1" l="1"/>
  <c r="E102" i="1" s="1"/>
  <c r="C2600" i="1"/>
  <c r="D2600" i="1" s="1"/>
  <c r="B2601" i="1"/>
  <c r="C1426" i="1"/>
  <c r="D1426" i="1" s="1"/>
  <c r="B1427" i="1"/>
  <c r="C948" i="1"/>
  <c r="D948" i="1" s="1"/>
  <c r="B949" i="1"/>
  <c r="B213" i="1"/>
  <c r="C212" i="1"/>
  <c r="D212" i="1" s="1"/>
  <c r="H102" i="1" l="1"/>
  <c r="F102" i="1" s="1"/>
  <c r="G102" i="1"/>
  <c r="C2601" i="1"/>
  <c r="D2601" i="1" s="1"/>
  <c r="B2602" i="1"/>
  <c r="C1427" i="1"/>
  <c r="D1427" i="1" s="1"/>
  <c r="B1428" i="1"/>
  <c r="B950" i="1"/>
  <c r="C949" i="1"/>
  <c r="D949" i="1" s="1"/>
  <c r="B214" i="1"/>
  <c r="C213" i="1"/>
  <c r="D213" i="1" s="1"/>
  <c r="I102" i="1" l="1"/>
  <c r="E103" i="1" s="1"/>
  <c r="C2602" i="1"/>
  <c r="D2602" i="1" s="1"/>
  <c r="B2603" i="1"/>
  <c r="B1429" i="1"/>
  <c r="C1428" i="1"/>
  <c r="D1428" i="1" s="1"/>
  <c r="B951" i="1"/>
  <c r="C950" i="1"/>
  <c r="D950" i="1" s="1"/>
  <c r="C214" i="1"/>
  <c r="D214" i="1" s="1"/>
  <c r="B215" i="1"/>
  <c r="H103" i="1" l="1"/>
  <c r="F103" i="1" s="1"/>
  <c r="G103" i="1"/>
  <c r="C2603" i="1"/>
  <c r="D2603" i="1" s="1"/>
  <c r="B2604" i="1"/>
  <c r="C1429" i="1"/>
  <c r="D1429" i="1" s="1"/>
  <c r="B1430" i="1"/>
  <c r="C951" i="1"/>
  <c r="D951" i="1" s="1"/>
  <c r="B952" i="1"/>
  <c r="C215" i="1"/>
  <c r="D215" i="1" s="1"/>
  <c r="B216" i="1"/>
  <c r="I103" i="1" l="1"/>
  <c r="E104" i="1" s="1"/>
  <c r="C2604" i="1"/>
  <c r="D2604" i="1" s="1"/>
  <c r="B2605" i="1"/>
  <c r="C1430" i="1"/>
  <c r="D1430" i="1" s="1"/>
  <c r="B1431" i="1"/>
  <c r="C952" i="1"/>
  <c r="D952" i="1" s="1"/>
  <c r="B953" i="1"/>
  <c r="C216" i="1"/>
  <c r="D216" i="1" s="1"/>
  <c r="B217" i="1"/>
  <c r="H104" i="1" l="1"/>
  <c r="F104" i="1" s="1"/>
  <c r="G104" i="1"/>
  <c r="C2605" i="1"/>
  <c r="D2605" i="1" s="1"/>
  <c r="B2606" i="1"/>
  <c r="C1431" i="1"/>
  <c r="D1431" i="1" s="1"/>
  <c r="B1432" i="1"/>
  <c r="B954" i="1"/>
  <c r="C953" i="1"/>
  <c r="D953" i="1" s="1"/>
  <c r="C217" i="1"/>
  <c r="D217" i="1" s="1"/>
  <c r="B218" i="1"/>
  <c r="I104" i="1" l="1"/>
  <c r="E105" i="1" s="1"/>
  <c r="B2607" i="1"/>
  <c r="C2606" i="1"/>
  <c r="D2606" i="1" s="1"/>
  <c r="B1433" i="1"/>
  <c r="C1432" i="1"/>
  <c r="D1432" i="1" s="1"/>
  <c r="C954" i="1"/>
  <c r="D954" i="1" s="1"/>
  <c r="B955" i="1"/>
  <c r="C218" i="1"/>
  <c r="D218" i="1" s="1"/>
  <c r="B219" i="1"/>
  <c r="G105" i="1" l="1"/>
  <c r="H105" i="1"/>
  <c r="F105" i="1" s="1"/>
  <c r="C2607" i="1"/>
  <c r="D2607" i="1" s="1"/>
  <c r="B2608" i="1"/>
  <c r="C1433" i="1"/>
  <c r="D1433" i="1" s="1"/>
  <c r="B1434" i="1"/>
  <c r="C955" i="1"/>
  <c r="D955" i="1" s="1"/>
  <c r="B956" i="1"/>
  <c r="C219" i="1"/>
  <c r="D219" i="1" s="1"/>
  <c r="B220" i="1"/>
  <c r="I105" i="1" l="1"/>
  <c r="E106" i="1" s="1"/>
  <c r="C2608" i="1"/>
  <c r="D2608" i="1" s="1"/>
  <c r="B2609" i="1"/>
  <c r="C1434" i="1"/>
  <c r="D1434" i="1" s="1"/>
  <c r="B1435" i="1"/>
  <c r="C956" i="1"/>
  <c r="D956" i="1" s="1"/>
  <c r="B957" i="1"/>
  <c r="C220" i="1"/>
  <c r="D220" i="1" s="1"/>
  <c r="B221" i="1"/>
  <c r="H106" i="1" l="1"/>
  <c r="F106" i="1" s="1"/>
  <c r="G106" i="1"/>
  <c r="C2609" i="1"/>
  <c r="D2609" i="1" s="1"/>
  <c r="B2610" i="1"/>
  <c r="B1436" i="1"/>
  <c r="C1435" i="1"/>
  <c r="D1435" i="1" s="1"/>
  <c r="C957" i="1"/>
  <c r="D957" i="1" s="1"/>
  <c r="B958" i="1"/>
  <c r="C221" i="1"/>
  <c r="D221" i="1" s="1"/>
  <c r="B222" i="1"/>
  <c r="I106" i="1" l="1"/>
  <c r="E107" i="1" s="1"/>
  <c r="C2610" i="1"/>
  <c r="D2610" i="1" s="1"/>
  <c r="B2611" i="1"/>
  <c r="B1437" i="1"/>
  <c r="C1436" i="1"/>
  <c r="D1436" i="1" s="1"/>
  <c r="C958" i="1"/>
  <c r="D958" i="1" s="1"/>
  <c r="B959" i="1"/>
  <c r="C222" i="1"/>
  <c r="D222" i="1" s="1"/>
  <c r="B223" i="1"/>
  <c r="H107" i="1" l="1"/>
  <c r="F107" i="1" s="1"/>
  <c r="G107" i="1"/>
  <c r="C2611" i="1"/>
  <c r="D2611" i="1" s="1"/>
  <c r="B2612" i="1"/>
  <c r="C1437" i="1"/>
  <c r="D1437" i="1" s="1"/>
  <c r="B1438" i="1"/>
  <c r="C959" i="1"/>
  <c r="D959" i="1" s="1"/>
  <c r="B960" i="1"/>
  <c r="C223" i="1"/>
  <c r="D223" i="1" s="1"/>
  <c r="B224" i="1"/>
  <c r="I107" i="1" l="1"/>
  <c r="E108" i="1" s="1"/>
  <c r="C2612" i="1"/>
  <c r="D2612" i="1" s="1"/>
  <c r="B2613" i="1"/>
  <c r="B1439" i="1"/>
  <c r="C1438" i="1"/>
  <c r="D1438" i="1" s="1"/>
  <c r="C960" i="1"/>
  <c r="D960" i="1" s="1"/>
  <c r="B961" i="1"/>
  <c r="C224" i="1"/>
  <c r="D224" i="1" s="1"/>
  <c r="B225" i="1"/>
  <c r="H108" i="1" l="1"/>
  <c r="F108" i="1" s="1"/>
  <c r="G108" i="1"/>
  <c r="C2613" i="1"/>
  <c r="D2613" i="1" s="1"/>
  <c r="B2614" i="1"/>
  <c r="B1440" i="1"/>
  <c r="C1439" i="1"/>
  <c r="D1439" i="1" s="1"/>
  <c r="C961" i="1"/>
  <c r="D961" i="1" s="1"/>
  <c r="B962" i="1"/>
  <c r="C225" i="1"/>
  <c r="D225" i="1" s="1"/>
  <c r="B226" i="1"/>
  <c r="I108" i="1" l="1"/>
  <c r="E109" i="1" s="1"/>
  <c r="C2614" i="1"/>
  <c r="D2614" i="1" s="1"/>
  <c r="B2615" i="1"/>
  <c r="B1441" i="1"/>
  <c r="C1440" i="1"/>
  <c r="D1440" i="1" s="1"/>
  <c r="C962" i="1"/>
  <c r="D962" i="1" s="1"/>
  <c r="B963" i="1"/>
  <c r="C226" i="1"/>
  <c r="D226" i="1" s="1"/>
  <c r="B227" i="1"/>
  <c r="H109" i="1" l="1"/>
  <c r="G109" i="1"/>
  <c r="C2615" i="1"/>
  <c r="D2615" i="1" s="1"/>
  <c r="B2616" i="1"/>
  <c r="C1441" i="1"/>
  <c r="D1441" i="1" s="1"/>
  <c r="B1442" i="1"/>
  <c r="C963" i="1"/>
  <c r="D963" i="1" s="1"/>
  <c r="B964" i="1"/>
  <c r="C227" i="1"/>
  <c r="D227" i="1" s="1"/>
  <c r="B228" i="1"/>
  <c r="F109" i="1" l="1"/>
  <c r="C2616" i="1"/>
  <c r="D2616" i="1" s="1"/>
  <c r="B2617" i="1"/>
  <c r="C1442" i="1"/>
  <c r="D1442" i="1" s="1"/>
  <c r="B1443" i="1"/>
  <c r="C964" i="1"/>
  <c r="D964" i="1" s="1"/>
  <c r="B965" i="1"/>
  <c r="C228" i="1"/>
  <c r="D228" i="1" s="1"/>
  <c r="B229" i="1"/>
  <c r="I109" i="1" l="1"/>
  <c r="E110" i="1" s="1"/>
  <c r="C2617" i="1"/>
  <c r="D2617" i="1" s="1"/>
  <c r="B2618" i="1"/>
  <c r="B1444" i="1"/>
  <c r="C1443" i="1"/>
  <c r="D1443" i="1" s="1"/>
  <c r="C965" i="1"/>
  <c r="D965" i="1" s="1"/>
  <c r="B966" i="1"/>
  <c r="B230" i="1"/>
  <c r="C229" i="1"/>
  <c r="D229" i="1" s="1"/>
  <c r="H110" i="1" l="1"/>
  <c r="F110" i="1" s="1"/>
  <c r="G110" i="1"/>
  <c r="B2619" i="1"/>
  <c r="C2618" i="1"/>
  <c r="D2618" i="1" s="1"/>
  <c r="C1444" i="1"/>
  <c r="D1444" i="1" s="1"/>
  <c r="B1445" i="1"/>
  <c r="C966" i="1"/>
  <c r="D966" i="1" s="1"/>
  <c r="B967" i="1"/>
  <c r="B231" i="1"/>
  <c r="C230" i="1"/>
  <c r="D230" i="1" s="1"/>
  <c r="I110" i="1" l="1"/>
  <c r="E111" i="1" s="1"/>
  <c r="C2619" i="1"/>
  <c r="D2619" i="1" s="1"/>
  <c r="B2620" i="1"/>
  <c r="C1445" i="1"/>
  <c r="D1445" i="1" s="1"/>
  <c r="B1446" i="1"/>
  <c r="C967" i="1"/>
  <c r="D967" i="1" s="1"/>
  <c r="B968" i="1"/>
  <c r="C231" i="1"/>
  <c r="D231" i="1" s="1"/>
  <c r="B232" i="1"/>
  <c r="G111" i="1" l="1"/>
  <c r="H111" i="1"/>
  <c r="F111" i="1" s="1"/>
  <c r="C2620" i="1"/>
  <c r="D2620" i="1" s="1"/>
  <c r="B2621" i="1"/>
  <c r="B1447" i="1"/>
  <c r="C1446" i="1"/>
  <c r="D1446" i="1" s="1"/>
  <c r="C968" i="1"/>
  <c r="D968" i="1" s="1"/>
  <c r="B969" i="1"/>
  <c r="C232" i="1"/>
  <c r="D232" i="1" s="1"/>
  <c r="B233" i="1"/>
  <c r="I111" i="1" l="1"/>
  <c r="E112" i="1" s="1"/>
  <c r="B2622" i="1"/>
  <c r="C2621" i="1"/>
  <c r="D2621" i="1" s="1"/>
  <c r="B1448" i="1"/>
  <c r="C1447" i="1"/>
  <c r="D1447" i="1" s="1"/>
  <c r="C969" i="1"/>
  <c r="D969" i="1" s="1"/>
  <c r="B970" i="1"/>
  <c r="C233" i="1"/>
  <c r="D233" i="1" s="1"/>
  <c r="B234" i="1"/>
  <c r="G112" i="1" l="1"/>
  <c r="H112" i="1"/>
  <c r="F112" i="1" s="1"/>
  <c r="B2623" i="1"/>
  <c r="C2622" i="1"/>
  <c r="D2622" i="1" s="1"/>
  <c r="B1449" i="1"/>
  <c r="C1448" i="1"/>
  <c r="D1448" i="1" s="1"/>
  <c r="C970" i="1"/>
  <c r="D970" i="1" s="1"/>
  <c r="B971" i="1"/>
  <c r="C234" i="1"/>
  <c r="D234" i="1" s="1"/>
  <c r="B235" i="1"/>
  <c r="I112" i="1" l="1"/>
  <c r="E113" i="1" s="1"/>
  <c r="C2623" i="1"/>
  <c r="D2623" i="1" s="1"/>
  <c r="B2624" i="1"/>
  <c r="C1449" i="1"/>
  <c r="D1449" i="1" s="1"/>
  <c r="B1450" i="1"/>
  <c r="C971" i="1"/>
  <c r="D971" i="1" s="1"/>
  <c r="B972" i="1"/>
  <c r="B236" i="1"/>
  <c r="C235" i="1"/>
  <c r="D235" i="1" s="1"/>
  <c r="H113" i="1" l="1"/>
  <c r="F113" i="1" s="1"/>
  <c r="G113" i="1"/>
  <c r="C2624" i="1"/>
  <c r="D2624" i="1" s="1"/>
  <c r="B2625" i="1"/>
  <c r="C1450" i="1"/>
  <c r="D1450" i="1" s="1"/>
  <c r="B1451" i="1"/>
  <c r="C972" i="1"/>
  <c r="D972" i="1" s="1"/>
  <c r="B973" i="1"/>
  <c r="C236" i="1"/>
  <c r="D236" i="1" s="1"/>
  <c r="B237" i="1"/>
  <c r="I113" i="1" l="1"/>
  <c r="E114" i="1" s="1"/>
  <c r="B2626" i="1"/>
  <c r="C2625" i="1"/>
  <c r="D2625" i="1" s="1"/>
  <c r="C1451" i="1"/>
  <c r="D1451" i="1" s="1"/>
  <c r="B1452" i="1"/>
  <c r="C973" i="1"/>
  <c r="D973" i="1" s="1"/>
  <c r="B974" i="1"/>
  <c r="B238" i="1"/>
  <c r="C237" i="1"/>
  <c r="D237" i="1" s="1"/>
  <c r="H114" i="1" l="1"/>
  <c r="F114" i="1" s="1"/>
  <c r="G114" i="1"/>
  <c r="B2627" i="1"/>
  <c r="C2626" i="1"/>
  <c r="D2626" i="1" s="1"/>
  <c r="C1452" i="1"/>
  <c r="D1452" i="1" s="1"/>
  <c r="B1453" i="1"/>
  <c r="C974" i="1"/>
  <c r="D974" i="1" s="1"/>
  <c r="B975" i="1"/>
  <c r="C238" i="1"/>
  <c r="D238" i="1" s="1"/>
  <c r="B239" i="1"/>
  <c r="I114" i="1" l="1"/>
  <c r="E115" i="1" s="1"/>
  <c r="C2627" i="1"/>
  <c r="D2627" i="1" s="1"/>
  <c r="B2628" i="1"/>
  <c r="C1453" i="1"/>
  <c r="D1453" i="1" s="1"/>
  <c r="B1454" i="1"/>
  <c r="C975" i="1"/>
  <c r="D975" i="1" s="1"/>
  <c r="B976" i="1"/>
  <c r="C239" i="1"/>
  <c r="D239" i="1" s="1"/>
  <c r="B240" i="1"/>
  <c r="G115" i="1" l="1"/>
  <c r="H115" i="1"/>
  <c r="F115" i="1" s="1"/>
  <c r="B2629" i="1"/>
  <c r="C2628" i="1"/>
  <c r="D2628" i="1" s="1"/>
  <c r="C1454" i="1"/>
  <c r="D1454" i="1" s="1"/>
  <c r="B1455" i="1"/>
  <c r="C976" i="1"/>
  <c r="D976" i="1" s="1"/>
  <c r="B977" i="1"/>
  <c r="C240" i="1"/>
  <c r="D240" i="1" s="1"/>
  <c r="B241" i="1"/>
  <c r="I115" i="1" l="1"/>
  <c r="E116" i="1" s="1"/>
  <c r="B2630" i="1"/>
  <c r="C2629" i="1"/>
  <c r="D2629" i="1" s="1"/>
  <c r="C1455" i="1"/>
  <c r="D1455" i="1" s="1"/>
  <c r="B1456" i="1"/>
  <c r="C977" i="1"/>
  <c r="D977" i="1" s="1"/>
  <c r="B978" i="1"/>
  <c r="C241" i="1"/>
  <c r="D241" i="1" s="1"/>
  <c r="B242" i="1"/>
  <c r="H116" i="1" l="1"/>
  <c r="F116" i="1" s="1"/>
  <c r="G116" i="1"/>
  <c r="C2630" i="1"/>
  <c r="D2630" i="1" s="1"/>
  <c r="B2631" i="1"/>
  <c r="C1456" i="1"/>
  <c r="D1456" i="1" s="1"/>
  <c r="B1457" i="1"/>
  <c r="C978" i="1"/>
  <c r="D978" i="1" s="1"/>
  <c r="B979" i="1"/>
  <c r="C242" i="1"/>
  <c r="D242" i="1" s="1"/>
  <c r="B243" i="1"/>
  <c r="I116" i="1" l="1"/>
  <c r="E117" i="1" s="1"/>
  <c r="C2631" i="1"/>
  <c r="D2631" i="1" s="1"/>
  <c r="B2632" i="1"/>
  <c r="C1457" i="1"/>
  <c r="D1457" i="1" s="1"/>
  <c r="B1458" i="1"/>
  <c r="C979" i="1"/>
  <c r="D979" i="1" s="1"/>
  <c r="B980" i="1"/>
  <c r="C243" i="1"/>
  <c r="D243" i="1" s="1"/>
  <c r="B244" i="1"/>
  <c r="G117" i="1" l="1"/>
  <c r="H117" i="1"/>
  <c r="C2632" i="1"/>
  <c r="D2632" i="1" s="1"/>
  <c r="B2633" i="1"/>
  <c r="C1458" i="1"/>
  <c r="D1458" i="1" s="1"/>
  <c r="B1459" i="1"/>
  <c r="C980" i="1"/>
  <c r="D980" i="1" s="1"/>
  <c r="B981" i="1"/>
  <c r="C244" i="1"/>
  <c r="D244" i="1" s="1"/>
  <c r="B245" i="1"/>
  <c r="F117" i="1" l="1"/>
  <c r="I117" i="1" s="1"/>
  <c r="E118" i="1" s="1"/>
  <c r="C2633" i="1"/>
  <c r="D2633" i="1" s="1"/>
  <c r="B2634" i="1"/>
  <c r="C1459" i="1"/>
  <c r="D1459" i="1" s="1"/>
  <c r="B1460" i="1"/>
  <c r="C981" i="1"/>
  <c r="D981" i="1" s="1"/>
  <c r="B982" i="1"/>
  <c r="C245" i="1"/>
  <c r="D245" i="1" s="1"/>
  <c r="B246" i="1"/>
  <c r="C2634" i="1" l="1"/>
  <c r="D2634" i="1" s="1"/>
  <c r="B2635" i="1"/>
  <c r="C1460" i="1"/>
  <c r="D1460" i="1" s="1"/>
  <c r="B1461" i="1"/>
  <c r="C982" i="1"/>
  <c r="D982" i="1" s="1"/>
  <c r="B983" i="1"/>
  <c r="C246" i="1"/>
  <c r="D246" i="1" s="1"/>
  <c r="B247" i="1"/>
  <c r="G118" i="1" l="1"/>
  <c r="H118" i="1"/>
  <c r="C2635" i="1"/>
  <c r="D2635" i="1" s="1"/>
  <c r="B2636" i="1"/>
  <c r="C1461" i="1"/>
  <c r="D1461" i="1" s="1"/>
  <c r="B1462" i="1"/>
  <c r="C983" i="1"/>
  <c r="D983" i="1" s="1"/>
  <c r="B984" i="1"/>
  <c r="B248" i="1"/>
  <c r="C247" i="1"/>
  <c r="D247" i="1" s="1"/>
  <c r="F118" i="1" l="1"/>
  <c r="I118" i="1" s="1"/>
  <c r="E119" i="1" s="1"/>
  <c r="B2637" i="1"/>
  <c r="C2636" i="1"/>
  <c r="D2636" i="1" s="1"/>
  <c r="C1462" i="1"/>
  <c r="D1462" i="1" s="1"/>
  <c r="B1463" i="1"/>
  <c r="C984" i="1"/>
  <c r="D984" i="1" s="1"/>
  <c r="B985" i="1"/>
  <c r="C248" i="1"/>
  <c r="D248" i="1" s="1"/>
  <c r="B249" i="1"/>
  <c r="C2637" i="1" l="1"/>
  <c r="D2637" i="1" s="1"/>
  <c r="B2638" i="1"/>
  <c r="C1463" i="1"/>
  <c r="D1463" i="1" s="1"/>
  <c r="B1464" i="1"/>
  <c r="C985" i="1"/>
  <c r="D985" i="1" s="1"/>
  <c r="B986" i="1"/>
  <c r="B250" i="1"/>
  <c r="C249" i="1"/>
  <c r="D249" i="1" s="1"/>
  <c r="H119" i="1" l="1"/>
  <c r="G119" i="1"/>
  <c r="B2639" i="1"/>
  <c r="C2638" i="1"/>
  <c r="D2638" i="1" s="1"/>
  <c r="C1464" i="1"/>
  <c r="D1464" i="1" s="1"/>
  <c r="B1465" i="1"/>
  <c r="C986" i="1"/>
  <c r="D986" i="1" s="1"/>
  <c r="B987" i="1"/>
  <c r="C250" i="1"/>
  <c r="D250" i="1" s="1"/>
  <c r="B251" i="1"/>
  <c r="F119" i="1" l="1"/>
  <c r="C2639" i="1"/>
  <c r="D2639" i="1" s="1"/>
  <c r="B2640" i="1"/>
  <c r="C1465" i="1"/>
  <c r="D1465" i="1" s="1"/>
  <c r="B1466" i="1"/>
  <c r="B988" i="1"/>
  <c r="C987" i="1"/>
  <c r="D987" i="1" s="1"/>
  <c r="B252" i="1"/>
  <c r="C251" i="1"/>
  <c r="D251" i="1" s="1"/>
  <c r="I119" i="1" l="1"/>
  <c r="E120" i="1" s="1"/>
  <c r="B2641" i="1"/>
  <c r="C2640" i="1"/>
  <c r="D2640" i="1" s="1"/>
  <c r="C1466" i="1"/>
  <c r="D1466" i="1" s="1"/>
  <c r="B1467" i="1"/>
  <c r="C988" i="1"/>
  <c r="D988" i="1" s="1"/>
  <c r="B989" i="1"/>
  <c r="B253" i="1"/>
  <c r="C252" i="1"/>
  <c r="D252" i="1" s="1"/>
  <c r="H120" i="1" l="1"/>
  <c r="F120" i="1" s="1"/>
  <c r="G120" i="1"/>
  <c r="B2642" i="1"/>
  <c r="C2641" i="1"/>
  <c r="D2641" i="1" s="1"/>
  <c r="C1467" i="1"/>
  <c r="D1467" i="1" s="1"/>
  <c r="B1468" i="1"/>
  <c r="C989" i="1"/>
  <c r="D989" i="1" s="1"/>
  <c r="B990" i="1"/>
  <c r="C253" i="1"/>
  <c r="D253" i="1" s="1"/>
  <c r="B254" i="1"/>
  <c r="I120" i="1" l="1"/>
  <c r="E121" i="1" s="1"/>
  <c r="B2643" i="1"/>
  <c r="C2642" i="1"/>
  <c r="D2642" i="1" s="1"/>
  <c r="C1468" i="1"/>
  <c r="D1468" i="1" s="1"/>
  <c r="B1469" i="1"/>
  <c r="B991" i="1"/>
  <c r="C990" i="1"/>
  <c r="D990" i="1" s="1"/>
  <c r="C254" i="1"/>
  <c r="D254" i="1" s="1"/>
  <c r="B255" i="1"/>
  <c r="G121" i="1" l="1"/>
  <c r="H121" i="1"/>
  <c r="B2644" i="1"/>
  <c r="C2643" i="1"/>
  <c r="D2643" i="1" s="1"/>
  <c r="C1469" i="1"/>
  <c r="D1469" i="1" s="1"/>
  <c r="B1470" i="1"/>
  <c r="C991" i="1"/>
  <c r="D991" i="1" s="1"/>
  <c r="B992" i="1"/>
  <c r="B256" i="1"/>
  <c r="C255" i="1"/>
  <c r="D255" i="1" s="1"/>
  <c r="F121" i="1" l="1"/>
  <c r="B2645" i="1"/>
  <c r="C2644" i="1"/>
  <c r="D2644" i="1" s="1"/>
  <c r="C1470" i="1"/>
  <c r="D1470" i="1" s="1"/>
  <c r="B1471" i="1"/>
  <c r="B993" i="1"/>
  <c r="C992" i="1"/>
  <c r="D992" i="1" s="1"/>
  <c r="C256" i="1"/>
  <c r="D256" i="1" s="1"/>
  <c r="B257" i="1"/>
  <c r="I121" i="1" l="1"/>
  <c r="E122" i="1" s="1"/>
  <c r="B2646" i="1"/>
  <c r="C2645" i="1"/>
  <c r="D2645" i="1" s="1"/>
  <c r="C1471" i="1"/>
  <c r="D1471" i="1" s="1"/>
  <c r="B1472" i="1"/>
  <c r="C993" i="1"/>
  <c r="D993" i="1" s="1"/>
  <c r="B994" i="1"/>
  <c r="B258" i="1"/>
  <c r="C257" i="1"/>
  <c r="D257" i="1" s="1"/>
  <c r="G122" i="1" l="1"/>
  <c r="H122" i="1"/>
  <c r="F122" i="1" s="1"/>
  <c r="C2646" i="1"/>
  <c r="D2646" i="1" s="1"/>
  <c r="B2647" i="1"/>
  <c r="C1472" i="1"/>
  <c r="D1472" i="1" s="1"/>
  <c r="B1473" i="1"/>
  <c r="C994" i="1"/>
  <c r="D994" i="1" s="1"/>
  <c r="B995" i="1"/>
  <c r="B259" i="1"/>
  <c r="C258" i="1"/>
  <c r="D258" i="1" s="1"/>
  <c r="I122" i="1" l="1"/>
  <c r="E123" i="1" s="1"/>
  <c r="C2647" i="1"/>
  <c r="D2647" i="1" s="1"/>
  <c r="B2648" i="1"/>
  <c r="C1473" i="1"/>
  <c r="D1473" i="1" s="1"/>
  <c r="B1474" i="1"/>
  <c r="B996" i="1"/>
  <c r="C995" i="1"/>
  <c r="D995" i="1" s="1"/>
  <c r="C259" i="1"/>
  <c r="D259" i="1" s="1"/>
  <c r="B260" i="1"/>
  <c r="G123" i="1" l="1"/>
  <c r="H123" i="1"/>
  <c r="F123" i="1" s="1"/>
  <c r="C2648" i="1"/>
  <c r="D2648" i="1" s="1"/>
  <c r="B2649" i="1"/>
  <c r="C1474" i="1"/>
  <c r="D1474" i="1" s="1"/>
  <c r="B1475" i="1"/>
  <c r="B997" i="1"/>
  <c r="C996" i="1"/>
  <c r="D996" i="1" s="1"/>
  <c r="B261" i="1"/>
  <c r="C260" i="1"/>
  <c r="D260" i="1" s="1"/>
  <c r="I123" i="1" l="1"/>
  <c r="E124" i="1" s="1"/>
  <c r="C2649" i="1"/>
  <c r="D2649" i="1" s="1"/>
  <c r="B2650" i="1"/>
  <c r="C1475" i="1"/>
  <c r="D1475" i="1" s="1"/>
  <c r="B1476" i="1"/>
  <c r="C997" i="1"/>
  <c r="D997" i="1" s="1"/>
  <c r="B998" i="1"/>
  <c r="B262" i="1"/>
  <c r="C261" i="1"/>
  <c r="D261" i="1" s="1"/>
  <c r="G124" i="1" l="1"/>
  <c r="H124" i="1"/>
  <c r="F124" i="1" s="1"/>
  <c r="C2650" i="1"/>
  <c r="D2650" i="1" s="1"/>
  <c r="B2651" i="1"/>
  <c r="C1476" i="1"/>
  <c r="D1476" i="1" s="1"/>
  <c r="B1477" i="1"/>
  <c r="C998" i="1"/>
  <c r="D998" i="1" s="1"/>
  <c r="B999" i="1"/>
  <c r="C262" i="1"/>
  <c r="D262" i="1" s="1"/>
  <c r="B263" i="1"/>
  <c r="I124" i="1" l="1"/>
  <c r="E125" i="1" s="1"/>
  <c r="C2651" i="1"/>
  <c r="D2651" i="1" s="1"/>
  <c r="B2652" i="1"/>
  <c r="C1477" i="1"/>
  <c r="D1477" i="1" s="1"/>
  <c r="B1478" i="1"/>
  <c r="C999" i="1"/>
  <c r="D999" i="1" s="1"/>
  <c r="B1000" i="1"/>
  <c r="C263" i="1"/>
  <c r="D263" i="1" s="1"/>
  <c r="B264" i="1"/>
  <c r="H125" i="1" l="1"/>
  <c r="F125" i="1" s="1"/>
  <c r="G125" i="1"/>
  <c r="C2652" i="1"/>
  <c r="D2652" i="1" s="1"/>
  <c r="B2653" i="1"/>
  <c r="C1478" i="1"/>
  <c r="D1478" i="1" s="1"/>
  <c r="B1479" i="1"/>
  <c r="B1001" i="1"/>
  <c r="C1000" i="1"/>
  <c r="D1000" i="1" s="1"/>
  <c r="C264" i="1"/>
  <c r="D264" i="1" s="1"/>
  <c r="B265" i="1"/>
  <c r="I125" i="1" l="1"/>
  <c r="E126" i="1" s="1"/>
  <c r="C2653" i="1"/>
  <c r="D2653" i="1" s="1"/>
  <c r="B2654" i="1"/>
  <c r="C1479" i="1"/>
  <c r="D1479" i="1" s="1"/>
  <c r="B1480" i="1"/>
  <c r="C1001" i="1"/>
  <c r="D1001" i="1" s="1"/>
  <c r="B1002" i="1"/>
  <c r="C265" i="1"/>
  <c r="D265" i="1" s="1"/>
  <c r="B266" i="1"/>
  <c r="G126" i="1" l="1"/>
  <c r="H126" i="1"/>
  <c r="F126" i="1" s="1"/>
  <c r="C2654" i="1"/>
  <c r="D2654" i="1" s="1"/>
  <c r="B2655" i="1"/>
  <c r="C1480" i="1"/>
  <c r="D1480" i="1" s="1"/>
  <c r="B1481" i="1"/>
  <c r="B1003" i="1"/>
  <c r="C1002" i="1"/>
  <c r="D1002" i="1" s="1"/>
  <c r="C266" i="1"/>
  <c r="D266" i="1" s="1"/>
  <c r="B267" i="1"/>
  <c r="I126" i="1" l="1"/>
  <c r="E127" i="1" s="1"/>
  <c r="C2655" i="1"/>
  <c r="D2655" i="1" s="1"/>
  <c r="B2656" i="1"/>
  <c r="C1481" i="1"/>
  <c r="D1481" i="1" s="1"/>
  <c r="B1482" i="1"/>
  <c r="B1004" i="1"/>
  <c r="C1003" i="1"/>
  <c r="D1003" i="1" s="1"/>
  <c r="B268" i="1"/>
  <c r="C267" i="1"/>
  <c r="D267" i="1" s="1"/>
  <c r="G127" i="1" l="1"/>
  <c r="H127" i="1"/>
  <c r="C2656" i="1"/>
  <c r="D2656" i="1" s="1"/>
  <c r="B2657" i="1"/>
  <c r="C1482" i="1"/>
  <c r="D1482" i="1" s="1"/>
  <c r="B1483" i="1"/>
  <c r="C1004" i="1"/>
  <c r="D1004" i="1" s="1"/>
  <c r="B1005" i="1"/>
  <c r="B269" i="1"/>
  <c r="C268" i="1"/>
  <c r="D268" i="1" s="1"/>
  <c r="F127" i="1" l="1"/>
  <c r="I127" i="1" s="1"/>
  <c r="E128" i="1" s="1"/>
  <c r="C2657" i="1"/>
  <c r="D2657" i="1" s="1"/>
  <c r="B2658" i="1"/>
  <c r="C1483" i="1"/>
  <c r="D1483" i="1" s="1"/>
  <c r="B1484" i="1"/>
  <c r="C1005" i="1"/>
  <c r="D1005" i="1" s="1"/>
  <c r="B1006" i="1"/>
  <c r="C269" i="1"/>
  <c r="D269" i="1" s="1"/>
  <c r="B270" i="1"/>
  <c r="C2658" i="1" l="1"/>
  <c r="D2658" i="1" s="1"/>
  <c r="B2659" i="1"/>
  <c r="C1484" i="1"/>
  <c r="D1484" i="1" s="1"/>
  <c r="B1485" i="1"/>
  <c r="B1007" i="1"/>
  <c r="C1006" i="1"/>
  <c r="D1006" i="1" s="1"/>
  <c r="C270" i="1"/>
  <c r="D270" i="1" s="1"/>
  <c r="B271" i="1"/>
  <c r="G128" i="1" l="1"/>
  <c r="H128" i="1"/>
  <c r="C2659" i="1"/>
  <c r="D2659" i="1" s="1"/>
  <c r="B2660" i="1"/>
  <c r="C1485" i="1"/>
  <c r="D1485" i="1" s="1"/>
  <c r="B1486" i="1"/>
  <c r="C1007" i="1"/>
  <c r="D1007" i="1" s="1"/>
  <c r="B1008" i="1"/>
  <c r="B272" i="1"/>
  <c r="C271" i="1"/>
  <c r="D271" i="1" s="1"/>
  <c r="F128" i="1" l="1"/>
  <c r="C2660" i="1"/>
  <c r="D2660" i="1" s="1"/>
  <c r="B2661" i="1"/>
  <c r="C1486" i="1"/>
  <c r="D1486" i="1" s="1"/>
  <c r="B1487" i="1"/>
  <c r="C1008" i="1"/>
  <c r="D1008" i="1" s="1"/>
  <c r="B1009" i="1"/>
  <c r="C272" i="1"/>
  <c r="D272" i="1" s="1"/>
  <c r="B273" i="1"/>
  <c r="I128" i="1" l="1"/>
  <c r="E129" i="1" s="1"/>
  <c r="C2661" i="1"/>
  <c r="D2661" i="1" s="1"/>
  <c r="B2662" i="1"/>
  <c r="B1488" i="1"/>
  <c r="C1487" i="1"/>
  <c r="D1487" i="1" s="1"/>
  <c r="C1009" i="1"/>
  <c r="D1009" i="1" s="1"/>
  <c r="B1010" i="1"/>
  <c r="B274" i="1"/>
  <c r="C273" i="1"/>
  <c r="D273" i="1" s="1"/>
  <c r="H129" i="1" l="1"/>
  <c r="F129" i="1" s="1"/>
  <c r="G129" i="1"/>
  <c r="C2662" i="1"/>
  <c r="D2662" i="1" s="1"/>
  <c r="B2663" i="1"/>
  <c r="C1488" i="1"/>
  <c r="D1488" i="1" s="1"/>
  <c r="B1489" i="1"/>
  <c r="B1011" i="1"/>
  <c r="C1010" i="1"/>
  <c r="D1010" i="1" s="1"/>
  <c r="C274" i="1"/>
  <c r="D274" i="1" s="1"/>
  <c r="B275" i="1"/>
  <c r="I129" i="1" l="1"/>
  <c r="E130" i="1" s="1"/>
  <c r="C2663" i="1"/>
  <c r="D2663" i="1" s="1"/>
  <c r="B2664" i="1"/>
  <c r="C1489" i="1"/>
  <c r="D1489" i="1" s="1"/>
  <c r="B1490" i="1"/>
  <c r="C1011" i="1"/>
  <c r="D1011" i="1" s="1"/>
  <c r="B1012" i="1"/>
  <c r="B276" i="1"/>
  <c r="C275" i="1"/>
  <c r="D275" i="1" s="1"/>
  <c r="G130" i="1" l="1"/>
  <c r="H130" i="1"/>
  <c r="F130" i="1" s="1"/>
  <c r="C2664" i="1"/>
  <c r="D2664" i="1" s="1"/>
  <c r="B2665" i="1"/>
  <c r="C1490" i="1"/>
  <c r="D1490" i="1" s="1"/>
  <c r="B1491" i="1"/>
  <c r="B1013" i="1"/>
  <c r="C1012" i="1"/>
  <c r="D1012" i="1" s="1"/>
  <c r="C276" i="1"/>
  <c r="D276" i="1" s="1"/>
  <c r="B277" i="1"/>
  <c r="I130" i="1" l="1"/>
  <c r="E131" i="1" s="1"/>
  <c r="C2665" i="1"/>
  <c r="D2665" i="1" s="1"/>
  <c r="B2666" i="1"/>
  <c r="B1492" i="1"/>
  <c r="C1491" i="1"/>
  <c r="D1491" i="1" s="1"/>
  <c r="C1013" i="1"/>
  <c r="D1013" i="1" s="1"/>
  <c r="B1014" i="1"/>
  <c r="B278" i="1"/>
  <c r="C277" i="1"/>
  <c r="D277" i="1" s="1"/>
  <c r="H131" i="1" l="1"/>
  <c r="F131" i="1" s="1"/>
  <c r="G131" i="1"/>
  <c r="C2666" i="1"/>
  <c r="D2666" i="1" s="1"/>
  <c r="B2667" i="1"/>
  <c r="B1493" i="1"/>
  <c r="C1492" i="1"/>
  <c r="D1492" i="1" s="1"/>
  <c r="C1014" i="1"/>
  <c r="D1014" i="1" s="1"/>
  <c r="B1015" i="1"/>
  <c r="C278" i="1"/>
  <c r="D278" i="1" s="1"/>
  <c r="B279" i="1"/>
  <c r="I131" i="1" l="1"/>
  <c r="E132" i="1" s="1"/>
  <c r="C2667" i="1"/>
  <c r="D2667" i="1" s="1"/>
  <c r="B2668" i="1"/>
  <c r="C1493" i="1"/>
  <c r="D1493" i="1" s="1"/>
  <c r="B1494" i="1"/>
  <c r="C1015" i="1"/>
  <c r="D1015" i="1" s="1"/>
  <c r="B1016" i="1"/>
  <c r="B280" i="1"/>
  <c r="C279" i="1"/>
  <c r="D279" i="1" s="1"/>
  <c r="G132" i="1" l="1"/>
  <c r="H132" i="1"/>
  <c r="F132" i="1" s="1"/>
  <c r="C2668" i="1"/>
  <c r="D2668" i="1" s="1"/>
  <c r="B2669" i="1"/>
  <c r="C1494" i="1"/>
  <c r="D1494" i="1" s="1"/>
  <c r="B1495" i="1"/>
  <c r="B1017" i="1"/>
  <c r="C1016" i="1"/>
  <c r="D1016" i="1" s="1"/>
  <c r="C280" i="1"/>
  <c r="D280" i="1" s="1"/>
  <c r="B281" i="1"/>
  <c r="I132" i="1" l="1"/>
  <c r="E133" i="1" s="1"/>
  <c r="C2669" i="1"/>
  <c r="D2669" i="1" s="1"/>
  <c r="B2670" i="1"/>
  <c r="B1496" i="1"/>
  <c r="C1495" i="1"/>
  <c r="D1495" i="1" s="1"/>
  <c r="C1017" i="1"/>
  <c r="D1017" i="1" s="1"/>
  <c r="B1018" i="1"/>
  <c r="C281" i="1"/>
  <c r="D281" i="1" s="1"/>
  <c r="B282" i="1"/>
  <c r="G133" i="1" l="1"/>
  <c r="H133" i="1"/>
  <c r="F133" i="1"/>
  <c r="C2670" i="1"/>
  <c r="D2670" i="1" s="1"/>
  <c r="B2671" i="1"/>
  <c r="C1496" i="1"/>
  <c r="D1496" i="1" s="1"/>
  <c r="B1497" i="1"/>
  <c r="C1018" i="1"/>
  <c r="D1018" i="1" s="1"/>
  <c r="B1019" i="1"/>
  <c r="C282" i="1"/>
  <c r="D282" i="1" s="1"/>
  <c r="B283" i="1"/>
  <c r="I133" i="1" l="1"/>
  <c r="E134" i="1" s="1"/>
  <c r="C2671" i="1"/>
  <c r="D2671" i="1" s="1"/>
  <c r="B2672" i="1"/>
  <c r="B1498" i="1"/>
  <c r="C1497" i="1"/>
  <c r="D1497" i="1" s="1"/>
  <c r="B1020" i="1"/>
  <c r="C1019" i="1"/>
  <c r="D1019" i="1" s="1"/>
  <c r="C283" i="1"/>
  <c r="D283" i="1" s="1"/>
  <c r="B284" i="1"/>
  <c r="G134" i="1" l="1"/>
  <c r="H134" i="1"/>
  <c r="F134" i="1" s="1"/>
  <c r="C2672" i="1"/>
  <c r="D2672" i="1" s="1"/>
  <c r="B2673" i="1"/>
  <c r="C1498" i="1"/>
  <c r="D1498" i="1" s="1"/>
  <c r="B1499" i="1"/>
  <c r="B1021" i="1"/>
  <c r="C1020" i="1"/>
  <c r="D1020" i="1" s="1"/>
  <c r="C284" i="1"/>
  <c r="D284" i="1" s="1"/>
  <c r="B285" i="1"/>
  <c r="I134" i="1" l="1"/>
  <c r="E135" i="1" s="1"/>
  <c r="C2673" i="1"/>
  <c r="D2673" i="1" s="1"/>
  <c r="B2674" i="1"/>
  <c r="C1499" i="1"/>
  <c r="D1499" i="1" s="1"/>
  <c r="B1500" i="1"/>
  <c r="C1021" i="1"/>
  <c r="D1021" i="1" s="1"/>
  <c r="B1022" i="1"/>
  <c r="B286" i="1"/>
  <c r="C285" i="1"/>
  <c r="D285" i="1" s="1"/>
  <c r="G135" i="1" l="1"/>
  <c r="H135" i="1"/>
  <c r="F135" i="1" s="1"/>
  <c r="I135" i="1" s="1"/>
  <c r="E136" i="1" s="1"/>
  <c r="B2675" i="1"/>
  <c r="C2674" i="1"/>
  <c r="D2674" i="1" s="1"/>
  <c r="C1500" i="1"/>
  <c r="D1500" i="1" s="1"/>
  <c r="B1501" i="1"/>
  <c r="B1023" i="1"/>
  <c r="C1022" i="1"/>
  <c r="D1022" i="1" s="1"/>
  <c r="C286" i="1"/>
  <c r="D286" i="1" s="1"/>
  <c r="B287" i="1"/>
  <c r="C2675" i="1" l="1"/>
  <c r="D2675" i="1" s="1"/>
  <c r="B2676" i="1"/>
  <c r="C1501" i="1"/>
  <c r="D1501" i="1" s="1"/>
  <c r="B1502" i="1"/>
  <c r="C1023" i="1"/>
  <c r="D1023" i="1" s="1"/>
  <c r="B1024" i="1"/>
  <c r="B288" i="1"/>
  <c r="C287" i="1"/>
  <c r="D287" i="1" s="1"/>
  <c r="G136" i="1" l="1"/>
  <c r="H136" i="1"/>
  <c r="B2677" i="1"/>
  <c r="C2676" i="1"/>
  <c r="D2676" i="1" s="1"/>
  <c r="C1502" i="1"/>
  <c r="D1502" i="1" s="1"/>
  <c r="B1503" i="1"/>
  <c r="B1025" i="1"/>
  <c r="C1024" i="1"/>
  <c r="D1024" i="1" s="1"/>
  <c r="C288" i="1"/>
  <c r="D288" i="1" s="1"/>
  <c r="B289" i="1"/>
  <c r="F136" i="1" l="1"/>
  <c r="C2677" i="1"/>
  <c r="D2677" i="1" s="1"/>
  <c r="B2678" i="1"/>
  <c r="C1503" i="1"/>
  <c r="D1503" i="1" s="1"/>
  <c r="B1504" i="1"/>
  <c r="C1025" i="1"/>
  <c r="D1025" i="1" s="1"/>
  <c r="B1026" i="1"/>
  <c r="B290" i="1"/>
  <c r="C289" i="1"/>
  <c r="D289" i="1" s="1"/>
  <c r="I136" i="1" l="1"/>
  <c r="E137" i="1" s="1"/>
  <c r="C2678" i="1"/>
  <c r="D2678" i="1" s="1"/>
  <c r="B2679" i="1"/>
  <c r="B1505" i="1"/>
  <c r="C1504" i="1"/>
  <c r="D1504" i="1" s="1"/>
  <c r="C1026" i="1"/>
  <c r="D1026" i="1" s="1"/>
  <c r="B1027" i="1"/>
  <c r="C290" i="1"/>
  <c r="D290" i="1" s="1"/>
  <c r="B291" i="1"/>
  <c r="H137" i="1" l="1"/>
  <c r="F137" i="1" s="1"/>
  <c r="G137" i="1"/>
  <c r="C2679" i="1"/>
  <c r="D2679" i="1" s="1"/>
  <c r="B2680" i="1"/>
  <c r="B1506" i="1"/>
  <c r="C1505" i="1"/>
  <c r="D1505" i="1" s="1"/>
  <c r="B1028" i="1"/>
  <c r="C1027" i="1"/>
  <c r="D1027" i="1" s="1"/>
  <c r="C291" i="1"/>
  <c r="D291" i="1" s="1"/>
  <c r="B292" i="1"/>
  <c r="I137" i="1" l="1"/>
  <c r="E138" i="1" s="1"/>
  <c r="C2680" i="1"/>
  <c r="D2680" i="1" s="1"/>
  <c r="B2681" i="1"/>
  <c r="C1506" i="1"/>
  <c r="D1506" i="1" s="1"/>
  <c r="B1507" i="1"/>
  <c r="B1029" i="1"/>
  <c r="C1028" i="1"/>
  <c r="D1028" i="1" s="1"/>
  <c r="B293" i="1"/>
  <c r="C292" i="1"/>
  <c r="D292" i="1" s="1"/>
  <c r="H138" i="1" l="1"/>
  <c r="F138" i="1" s="1"/>
  <c r="G138" i="1"/>
  <c r="C2681" i="1"/>
  <c r="D2681" i="1" s="1"/>
  <c r="B2682" i="1"/>
  <c r="B1508" i="1"/>
  <c r="C1507" i="1"/>
  <c r="D1507" i="1" s="1"/>
  <c r="C1029" i="1"/>
  <c r="D1029" i="1" s="1"/>
  <c r="B1030" i="1"/>
  <c r="B294" i="1"/>
  <c r="C293" i="1"/>
  <c r="D293" i="1" s="1"/>
  <c r="I138" i="1" l="1"/>
  <c r="E139" i="1" s="1"/>
  <c r="B2683" i="1"/>
  <c r="C2682" i="1"/>
  <c r="D2682" i="1" s="1"/>
  <c r="B1509" i="1"/>
  <c r="C1508" i="1"/>
  <c r="D1508" i="1" s="1"/>
  <c r="B1031" i="1"/>
  <c r="C1030" i="1"/>
  <c r="D1030" i="1" s="1"/>
  <c r="C294" i="1"/>
  <c r="D294" i="1" s="1"/>
  <c r="B295" i="1"/>
  <c r="H139" i="1" l="1"/>
  <c r="F139" i="1" s="1"/>
  <c r="G139" i="1"/>
  <c r="C2683" i="1"/>
  <c r="D2683" i="1" s="1"/>
  <c r="B2684" i="1"/>
  <c r="C1509" i="1"/>
  <c r="D1509" i="1" s="1"/>
  <c r="B1510" i="1"/>
  <c r="B1032" i="1"/>
  <c r="C1031" i="1"/>
  <c r="D1031" i="1" s="1"/>
  <c r="C295" i="1"/>
  <c r="D295" i="1" s="1"/>
  <c r="B296" i="1"/>
  <c r="I139" i="1" l="1"/>
  <c r="E140" i="1" s="1"/>
  <c r="B2685" i="1"/>
  <c r="C2684" i="1"/>
  <c r="D2684" i="1" s="1"/>
  <c r="C1510" i="1"/>
  <c r="D1510" i="1" s="1"/>
  <c r="B1511" i="1"/>
  <c r="C1032" i="1"/>
  <c r="D1032" i="1" s="1"/>
  <c r="B1033" i="1"/>
  <c r="B297" i="1"/>
  <c r="C296" i="1"/>
  <c r="D296" i="1" s="1"/>
  <c r="H140" i="1" l="1"/>
  <c r="F140" i="1" s="1"/>
  <c r="G140" i="1"/>
  <c r="C2685" i="1"/>
  <c r="D2685" i="1" s="1"/>
  <c r="B2686" i="1"/>
  <c r="B1512" i="1"/>
  <c r="C1511" i="1"/>
  <c r="D1511" i="1" s="1"/>
  <c r="C1033" i="1"/>
  <c r="D1033" i="1" s="1"/>
  <c r="B1034" i="1"/>
  <c r="B298" i="1"/>
  <c r="C297" i="1"/>
  <c r="D297" i="1" s="1"/>
  <c r="I140" i="1" l="1"/>
  <c r="E141" i="1" s="1"/>
  <c r="B2687" i="1"/>
  <c r="C2686" i="1"/>
  <c r="D2686" i="1" s="1"/>
  <c r="B1513" i="1"/>
  <c r="C1512" i="1"/>
  <c r="D1512" i="1" s="1"/>
  <c r="B1035" i="1"/>
  <c r="C1034" i="1"/>
  <c r="D1034" i="1" s="1"/>
  <c r="C298" i="1"/>
  <c r="D298" i="1" s="1"/>
  <c r="B299" i="1"/>
  <c r="G141" i="1" l="1"/>
  <c r="H141" i="1"/>
  <c r="F141" i="1" s="1"/>
  <c r="C2687" i="1"/>
  <c r="D2687" i="1" s="1"/>
  <c r="B2688" i="1"/>
  <c r="B1514" i="1"/>
  <c r="C1513" i="1"/>
  <c r="D1513" i="1" s="1"/>
  <c r="C1035" i="1"/>
  <c r="D1035" i="1" s="1"/>
  <c r="B1036" i="1"/>
  <c r="B300" i="1"/>
  <c r="C299" i="1"/>
  <c r="D299" i="1" s="1"/>
  <c r="I141" i="1" l="1"/>
  <c r="E142" i="1" s="1"/>
  <c r="B2689" i="1"/>
  <c r="C2689" i="1" s="1"/>
  <c r="D2689" i="1" s="1"/>
  <c r="C2688" i="1"/>
  <c r="D2688" i="1" s="1"/>
  <c r="C1514" i="1"/>
  <c r="D1514" i="1" s="1"/>
  <c r="B1515" i="1"/>
  <c r="C1036" i="1"/>
  <c r="D1036" i="1" s="1"/>
  <c r="B1037" i="1"/>
  <c r="C300" i="1"/>
  <c r="D300" i="1" s="1"/>
  <c r="B301" i="1"/>
  <c r="G142" i="1" l="1"/>
  <c r="H142" i="1"/>
  <c r="F142" i="1" s="1"/>
  <c r="C1515" i="1"/>
  <c r="D1515" i="1" s="1"/>
  <c r="B1516" i="1"/>
  <c r="C1037" i="1"/>
  <c r="D1037" i="1" s="1"/>
  <c r="B1038" i="1"/>
  <c r="B302" i="1"/>
  <c r="C301" i="1"/>
  <c r="D301" i="1" s="1"/>
  <c r="I142" i="1" l="1"/>
  <c r="E143" i="1" s="1"/>
  <c r="C1516" i="1"/>
  <c r="D1516" i="1" s="1"/>
  <c r="B1517" i="1"/>
  <c r="C1038" i="1"/>
  <c r="D1038" i="1" s="1"/>
  <c r="B1039" i="1"/>
  <c r="B303" i="1"/>
  <c r="C302" i="1"/>
  <c r="D302" i="1" s="1"/>
  <c r="H143" i="1" l="1"/>
  <c r="F143" i="1" s="1"/>
  <c r="G143" i="1"/>
  <c r="C1517" i="1"/>
  <c r="D1517" i="1" s="1"/>
  <c r="B1518" i="1"/>
  <c r="C1039" i="1"/>
  <c r="D1039" i="1" s="1"/>
  <c r="B1040" i="1"/>
  <c r="C303" i="1"/>
  <c r="D303" i="1" s="1"/>
  <c r="B304" i="1"/>
  <c r="I143" i="1" l="1"/>
  <c r="E144" i="1" s="1"/>
  <c r="C1518" i="1"/>
  <c r="D1518" i="1" s="1"/>
  <c r="B1519" i="1"/>
  <c r="C1040" i="1"/>
  <c r="D1040" i="1" s="1"/>
  <c r="B1041" i="1"/>
  <c r="C304" i="1"/>
  <c r="D304" i="1" s="1"/>
  <c r="B305" i="1"/>
  <c r="G144" i="1" l="1"/>
  <c r="H144" i="1"/>
  <c r="F144" i="1" s="1"/>
  <c r="C1519" i="1"/>
  <c r="D1519" i="1" s="1"/>
  <c r="B1520" i="1"/>
  <c r="C1041" i="1"/>
  <c r="D1041" i="1" s="1"/>
  <c r="B1042" i="1"/>
  <c r="B306" i="1"/>
  <c r="C305" i="1"/>
  <c r="D305" i="1" s="1"/>
  <c r="I144" i="1" l="1"/>
  <c r="E145" i="1" s="1"/>
  <c r="C1520" i="1"/>
  <c r="D1520" i="1" s="1"/>
  <c r="B1521" i="1"/>
  <c r="C1042" i="1"/>
  <c r="D1042" i="1" s="1"/>
  <c r="B1043" i="1"/>
  <c r="B307" i="1"/>
  <c r="C306" i="1"/>
  <c r="D306" i="1" s="1"/>
  <c r="H145" i="1" l="1"/>
  <c r="F145" i="1" s="1"/>
  <c r="G145" i="1"/>
  <c r="B1522" i="1"/>
  <c r="C1521" i="1"/>
  <c r="D1521" i="1" s="1"/>
  <c r="C1043" i="1"/>
  <c r="D1043" i="1" s="1"/>
  <c r="B1044" i="1"/>
  <c r="C307" i="1"/>
  <c r="D307" i="1" s="1"/>
  <c r="B308" i="1"/>
  <c r="I145" i="1" l="1"/>
  <c r="E146" i="1" s="1"/>
  <c r="C1522" i="1"/>
  <c r="D1522" i="1" s="1"/>
  <c r="B1523" i="1"/>
  <c r="B1045" i="1"/>
  <c r="C1044" i="1"/>
  <c r="D1044" i="1" s="1"/>
  <c r="C308" i="1"/>
  <c r="D308" i="1" s="1"/>
  <c r="B309" i="1"/>
  <c r="G146" i="1" l="1"/>
  <c r="H146" i="1"/>
  <c r="F146" i="1" s="1"/>
  <c r="B1524" i="1"/>
  <c r="C1523" i="1"/>
  <c r="D1523" i="1" s="1"/>
  <c r="C1045" i="1"/>
  <c r="D1045" i="1" s="1"/>
  <c r="B1046" i="1"/>
  <c r="B310" i="1"/>
  <c r="C309" i="1"/>
  <c r="D309" i="1" s="1"/>
  <c r="I146" i="1" l="1"/>
  <c r="C1524" i="1"/>
  <c r="D1524" i="1" s="1"/>
  <c r="B1525" i="1"/>
  <c r="B1047" i="1"/>
  <c r="C1046" i="1"/>
  <c r="D1046" i="1" s="1"/>
  <c r="C310" i="1"/>
  <c r="D310" i="1" s="1"/>
  <c r="B311" i="1"/>
  <c r="E147" i="1" l="1"/>
  <c r="G147" i="1" s="1"/>
  <c r="B1526" i="1"/>
  <c r="C1525" i="1"/>
  <c r="D1525" i="1" s="1"/>
  <c r="C1047" i="1"/>
  <c r="D1047" i="1" s="1"/>
  <c r="B1048" i="1"/>
  <c r="B312" i="1"/>
  <c r="C311" i="1"/>
  <c r="D311" i="1" s="1"/>
  <c r="H147" i="1" l="1"/>
  <c r="F147" i="1" s="1"/>
  <c r="I147" i="1" s="1"/>
  <c r="E148" i="1" s="1"/>
  <c r="C1526" i="1"/>
  <c r="D1526" i="1" s="1"/>
  <c r="B1527" i="1"/>
  <c r="C1048" i="1"/>
  <c r="D1048" i="1" s="1"/>
  <c r="B1049" i="1"/>
  <c r="B313" i="1"/>
  <c r="C312" i="1"/>
  <c r="D312" i="1" s="1"/>
  <c r="G148" i="1" l="1"/>
  <c r="H148" i="1"/>
  <c r="F148" i="1" s="1"/>
  <c r="B1528" i="1"/>
  <c r="C1527" i="1"/>
  <c r="D1527" i="1" s="1"/>
  <c r="C1049" i="1"/>
  <c r="D1049" i="1" s="1"/>
  <c r="B1050" i="1"/>
  <c r="C313" i="1"/>
  <c r="D313" i="1" s="1"/>
  <c r="B314" i="1"/>
  <c r="I148" i="1" l="1"/>
  <c r="E149" i="1" s="1"/>
  <c r="B1529" i="1"/>
  <c r="C1528" i="1"/>
  <c r="D1528" i="1" s="1"/>
  <c r="C1050" i="1"/>
  <c r="D1050" i="1" s="1"/>
  <c r="B1051" i="1"/>
  <c r="C314" i="1"/>
  <c r="D314" i="1" s="1"/>
  <c r="B315" i="1"/>
  <c r="G149" i="1" l="1"/>
  <c r="H149" i="1"/>
  <c r="F149" i="1" s="1"/>
  <c r="B1530" i="1"/>
  <c r="C1529" i="1"/>
  <c r="D1529" i="1" s="1"/>
  <c r="C1051" i="1"/>
  <c r="D1051" i="1" s="1"/>
  <c r="B1052" i="1"/>
  <c r="C315" i="1"/>
  <c r="D315" i="1" s="1"/>
  <c r="B316" i="1"/>
  <c r="I149" i="1" l="1"/>
  <c r="E150" i="1" s="1"/>
  <c r="C1530" i="1"/>
  <c r="D1530" i="1" s="1"/>
  <c r="B1531" i="1"/>
  <c r="C1052" i="1"/>
  <c r="D1052" i="1" s="1"/>
  <c r="B1053" i="1"/>
  <c r="C316" i="1"/>
  <c r="D316" i="1" s="1"/>
  <c r="B317" i="1"/>
  <c r="G150" i="1" l="1"/>
  <c r="H150" i="1"/>
  <c r="F150" i="1" s="1"/>
  <c r="B1532" i="1"/>
  <c r="C1531" i="1"/>
  <c r="D1531" i="1" s="1"/>
  <c r="C1053" i="1"/>
  <c r="D1053" i="1" s="1"/>
  <c r="B1054" i="1"/>
  <c r="C317" i="1"/>
  <c r="D317" i="1" s="1"/>
  <c r="B318" i="1"/>
  <c r="I150" i="1" l="1"/>
  <c r="E151" i="1" s="1"/>
  <c r="B1533" i="1"/>
  <c r="C1532" i="1"/>
  <c r="D1532" i="1" s="1"/>
  <c r="C1054" i="1"/>
  <c r="D1054" i="1" s="1"/>
  <c r="B1055" i="1"/>
  <c r="C318" i="1"/>
  <c r="D318" i="1" s="1"/>
  <c r="B319" i="1"/>
  <c r="H151" i="1" l="1"/>
  <c r="G151" i="1"/>
  <c r="C1533" i="1"/>
  <c r="D1533" i="1" s="1"/>
  <c r="B1534" i="1"/>
  <c r="C1055" i="1"/>
  <c r="D1055" i="1" s="1"/>
  <c r="B1056" i="1"/>
  <c r="C319" i="1"/>
  <c r="D319" i="1" s="1"/>
  <c r="B320" i="1"/>
  <c r="F151" i="1" l="1"/>
  <c r="C1534" i="1"/>
  <c r="D1534" i="1" s="1"/>
  <c r="B1535" i="1"/>
  <c r="C1056" i="1"/>
  <c r="D1056" i="1" s="1"/>
  <c r="B1057" i="1"/>
  <c r="C320" i="1"/>
  <c r="D320" i="1" s="1"/>
  <c r="B321" i="1"/>
  <c r="I151" i="1" l="1"/>
  <c r="E152" i="1" s="1"/>
  <c r="B1536" i="1"/>
  <c r="C1535" i="1"/>
  <c r="D1535" i="1" s="1"/>
  <c r="C1057" i="1"/>
  <c r="D1057" i="1" s="1"/>
  <c r="B1058" i="1"/>
  <c r="C321" i="1"/>
  <c r="D321" i="1" s="1"/>
  <c r="B322" i="1"/>
  <c r="G152" i="1" l="1"/>
  <c r="H152" i="1"/>
  <c r="F152" i="1" s="1"/>
  <c r="B1537" i="1"/>
  <c r="C1536" i="1"/>
  <c r="D1536" i="1" s="1"/>
  <c r="B1059" i="1"/>
  <c r="C1058" i="1"/>
  <c r="D1058" i="1" s="1"/>
  <c r="C322" i="1"/>
  <c r="D322" i="1" s="1"/>
  <c r="B323" i="1"/>
  <c r="I152" i="1" l="1"/>
  <c r="E153" i="1" s="1"/>
  <c r="C1537" i="1"/>
  <c r="D1537" i="1" s="1"/>
  <c r="B1538" i="1"/>
  <c r="C1059" i="1"/>
  <c r="D1059" i="1" s="1"/>
  <c r="B1060" i="1"/>
  <c r="C323" i="1"/>
  <c r="D323" i="1" s="1"/>
  <c r="B324" i="1"/>
  <c r="G153" i="1" l="1"/>
  <c r="H153" i="1"/>
  <c r="C1538" i="1"/>
  <c r="D1538" i="1" s="1"/>
  <c r="B1539" i="1"/>
  <c r="B1061" i="1"/>
  <c r="C1060" i="1"/>
  <c r="D1060" i="1" s="1"/>
  <c r="C324" i="1"/>
  <c r="D324" i="1" s="1"/>
  <c r="B325" i="1"/>
  <c r="F153" i="1" l="1"/>
  <c r="I153" i="1" s="1"/>
  <c r="E154" i="1" s="1"/>
  <c r="C1539" i="1"/>
  <c r="D1539" i="1" s="1"/>
  <c r="B1540" i="1"/>
  <c r="C1061" i="1"/>
  <c r="D1061" i="1" s="1"/>
  <c r="B1062" i="1"/>
  <c r="C325" i="1"/>
  <c r="D325" i="1" s="1"/>
  <c r="B326" i="1"/>
  <c r="B1541" i="1" l="1"/>
  <c r="C1540" i="1"/>
  <c r="D1540" i="1" s="1"/>
  <c r="C1062" i="1"/>
  <c r="D1062" i="1" s="1"/>
  <c r="B1063" i="1"/>
  <c r="C326" i="1"/>
  <c r="D326" i="1" s="1"/>
  <c r="B327" i="1"/>
  <c r="H154" i="1" l="1"/>
  <c r="G154" i="1"/>
  <c r="B1542" i="1"/>
  <c r="C1541" i="1"/>
  <c r="D1541" i="1" s="1"/>
  <c r="C1063" i="1"/>
  <c r="D1063" i="1" s="1"/>
  <c r="B1064" i="1"/>
  <c r="B328" i="1"/>
  <c r="C327" i="1"/>
  <c r="D327" i="1" s="1"/>
  <c r="F154" i="1" l="1"/>
  <c r="I154" i="1" s="1"/>
  <c r="E155" i="1" s="1"/>
  <c r="C1542" i="1"/>
  <c r="D1542" i="1" s="1"/>
  <c r="B1543" i="1"/>
  <c r="C1064" i="1"/>
  <c r="D1064" i="1" s="1"/>
  <c r="B1065" i="1"/>
  <c r="C328" i="1"/>
  <c r="D328" i="1" s="1"/>
  <c r="B329" i="1"/>
  <c r="C1543" i="1" l="1"/>
  <c r="D1543" i="1" s="1"/>
  <c r="B1544" i="1"/>
  <c r="C1065" i="1"/>
  <c r="D1065" i="1" s="1"/>
  <c r="B1066" i="1"/>
  <c r="B330" i="1"/>
  <c r="C329" i="1"/>
  <c r="D329" i="1" s="1"/>
  <c r="H155" i="1" l="1"/>
  <c r="G155" i="1"/>
  <c r="C1544" i="1"/>
  <c r="D1544" i="1" s="1"/>
  <c r="B1545" i="1"/>
  <c r="C1066" i="1"/>
  <c r="D1066" i="1" s="1"/>
  <c r="B1067" i="1"/>
  <c r="C330" i="1"/>
  <c r="D330" i="1" s="1"/>
  <c r="B331" i="1"/>
  <c r="F155" i="1" l="1"/>
  <c r="I155" i="1" s="1"/>
  <c r="E156" i="1" s="1"/>
  <c r="C1545" i="1"/>
  <c r="D1545" i="1" s="1"/>
  <c r="B1546" i="1"/>
  <c r="C1067" i="1"/>
  <c r="D1067" i="1" s="1"/>
  <c r="B1068" i="1"/>
  <c r="C331" i="1"/>
  <c r="D331" i="1" s="1"/>
  <c r="B332" i="1"/>
  <c r="C1546" i="1" l="1"/>
  <c r="D1546" i="1" s="1"/>
  <c r="B1547" i="1"/>
  <c r="C1068" i="1"/>
  <c r="D1068" i="1" s="1"/>
  <c r="B1069" i="1"/>
  <c r="B333" i="1"/>
  <c r="C332" i="1"/>
  <c r="D332" i="1" s="1"/>
  <c r="G156" i="1" l="1"/>
  <c r="H156" i="1"/>
  <c r="B1548" i="1"/>
  <c r="C1547" i="1"/>
  <c r="D1547" i="1" s="1"/>
  <c r="B1070" i="1"/>
  <c r="C1069" i="1"/>
  <c r="D1069" i="1" s="1"/>
  <c r="B334" i="1"/>
  <c r="C333" i="1"/>
  <c r="D333" i="1" s="1"/>
  <c r="F156" i="1" l="1"/>
  <c r="I156" i="1" s="1"/>
  <c r="E157" i="1" s="1"/>
  <c r="C1548" i="1"/>
  <c r="D1548" i="1" s="1"/>
  <c r="B1549" i="1"/>
  <c r="B1071" i="1"/>
  <c r="C1070" i="1"/>
  <c r="D1070" i="1" s="1"/>
  <c r="C334" i="1"/>
  <c r="D334" i="1" s="1"/>
  <c r="B335" i="1"/>
  <c r="C1549" i="1" l="1"/>
  <c r="D1549" i="1" s="1"/>
  <c r="B1550" i="1"/>
  <c r="C1071" i="1"/>
  <c r="D1071" i="1" s="1"/>
  <c r="B1072" i="1"/>
  <c r="C335" i="1"/>
  <c r="D335" i="1" s="1"/>
  <c r="B336" i="1"/>
  <c r="H157" i="1" l="1"/>
  <c r="G157" i="1"/>
  <c r="B1551" i="1"/>
  <c r="C1550" i="1"/>
  <c r="D1550" i="1" s="1"/>
  <c r="C1072" i="1"/>
  <c r="D1072" i="1" s="1"/>
  <c r="B1073" i="1"/>
  <c r="C336" i="1"/>
  <c r="D336" i="1" s="1"/>
  <c r="B337" i="1"/>
  <c r="F157" i="1" l="1"/>
  <c r="I157" i="1" s="1"/>
  <c r="E158" i="1" s="1"/>
  <c r="C1551" i="1"/>
  <c r="D1551" i="1" s="1"/>
  <c r="B1552" i="1"/>
  <c r="C1073" i="1"/>
  <c r="D1073" i="1" s="1"/>
  <c r="B1074" i="1"/>
  <c r="C337" i="1"/>
  <c r="D337" i="1" s="1"/>
  <c r="B338" i="1"/>
  <c r="B1553" i="1" l="1"/>
  <c r="C1552" i="1"/>
  <c r="D1552" i="1" s="1"/>
  <c r="B1075" i="1"/>
  <c r="C1074" i="1"/>
  <c r="D1074" i="1" s="1"/>
  <c r="B339" i="1"/>
  <c r="C338" i="1"/>
  <c r="D338" i="1" s="1"/>
  <c r="G158" i="1" l="1"/>
  <c r="H158" i="1"/>
  <c r="C1553" i="1"/>
  <c r="D1553" i="1" s="1"/>
  <c r="B1554" i="1"/>
  <c r="C1075" i="1"/>
  <c r="D1075" i="1" s="1"/>
  <c r="B1076" i="1"/>
  <c r="C339" i="1"/>
  <c r="D339" i="1" s="1"/>
  <c r="B340" i="1"/>
  <c r="F158" i="1" l="1"/>
  <c r="I158" i="1" s="1"/>
  <c r="E159" i="1" s="1"/>
  <c r="C1554" i="1"/>
  <c r="D1554" i="1" s="1"/>
  <c r="B1555" i="1"/>
  <c r="B1077" i="1"/>
  <c r="C1076" i="1"/>
  <c r="D1076" i="1" s="1"/>
  <c r="C340" i="1"/>
  <c r="D340" i="1" s="1"/>
  <c r="B341" i="1"/>
  <c r="C1555" i="1" l="1"/>
  <c r="D1555" i="1" s="1"/>
  <c r="B1556" i="1"/>
  <c r="B1078" i="1"/>
  <c r="C1077" i="1"/>
  <c r="D1077" i="1" s="1"/>
  <c r="C341" i="1"/>
  <c r="D341" i="1" s="1"/>
  <c r="B342" i="1"/>
  <c r="H159" i="1" l="1"/>
  <c r="G159" i="1"/>
  <c r="C1556" i="1"/>
  <c r="D1556" i="1" s="1"/>
  <c r="B1557" i="1"/>
  <c r="C1078" i="1"/>
  <c r="D1078" i="1" s="1"/>
  <c r="B1079" i="1"/>
  <c r="C342" i="1"/>
  <c r="D342" i="1" s="1"/>
  <c r="B343" i="1"/>
  <c r="F159" i="1" l="1"/>
  <c r="I159" i="1" s="1"/>
  <c r="E160" i="1" s="1"/>
  <c r="C1557" i="1"/>
  <c r="D1557" i="1" s="1"/>
  <c r="B1558" i="1"/>
  <c r="C1079" i="1"/>
  <c r="D1079" i="1" s="1"/>
  <c r="B1080" i="1"/>
  <c r="C343" i="1"/>
  <c r="D343" i="1" s="1"/>
  <c r="B344" i="1"/>
  <c r="C1558" i="1" l="1"/>
  <c r="D1558" i="1" s="1"/>
  <c r="B1559" i="1"/>
  <c r="B1081" i="1"/>
  <c r="C1080" i="1"/>
  <c r="D1080" i="1" s="1"/>
  <c r="B345" i="1"/>
  <c r="C344" i="1"/>
  <c r="D344" i="1" s="1"/>
  <c r="H160" i="1" l="1"/>
  <c r="G160" i="1"/>
  <c r="C1559" i="1"/>
  <c r="D1559" i="1" s="1"/>
  <c r="B1560" i="1"/>
  <c r="C1081" i="1"/>
  <c r="D1081" i="1" s="1"/>
  <c r="B1082" i="1"/>
  <c r="C345" i="1"/>
  <c r="D345" i="1" s="1"/>
  <c r="B346" i="1"/>
  <c r="F160" i="1" l="1"/>
  <c r="C1560" i="1"/>
  <c r="D1560" i="1" s="1"/>
  <c r="B1561" i="1"/>
  <c r="C1082" i="1"/>
  <c r="D1082" i="1" s="1"/>
  <c r="B1083" i="1"/>
  <c r="C346" i="1"/>
  <c r="D346" i="1" s="1"/>
  <c r="B347" i="1"/>
  <c r="I160" i="1" l="1"/>
  <c r="E161" i="1" s="1"/>
  <c r="C1561" i="1"/>
  <c r="D1561" i="1" s="1"/>
  <c r="B1562" i="1"/>
  <c r="C1083" i="1"/>
  <c r="D1083" i="1" s="1"/>
  <c r="B1084" i="1"/>
  <c r="B348" i="1"/>
  <c r="C347" i="1"/>
  <c r="D347" i="1" s="1"/>
  <c r="H161" i="1" l="1"/>
  <c r="F161" i="1" s="1"/>
  <c r="G161" i="1"/>
  <c r="C1562" i="1"/>
  <c r="D1562" i="1" s="1"/>
  <c r="B1563" i="1"/>
  <c r="B1085" i="1"/>
  <c r="C1084" i="1"/>
  <c r="D1084" i="1" s="1"/>
  <c r="C348" i="1"/>
  <c r="D348" i="1" s="1"/>
  <c r="B349" i="1"/>
  <c r="I161" i="1" l="1"/>
  <c r="E162" i="1" s="1"/>
  <c r="C1563" i="1"/>
  <c r="D1563" i="1" s="1"/>
  <c r="B1564" i="1"/>
  <c r="C1085" i="1"/>
  <c r="D1085" i="1" s="1"/>
  <c r="B1086" i="1"/>
  <c r="C349" i="1"/>
  <c r="D349" i="1" s="1"/>
  <c r="B350" i="1"/>
  <c r="G162" i="1" l="1"/>
  <c r="H162" i="1"/>
  <c r="F162" i="1" s="1"/>
  <c r="C1564" i="1"/>
  <c r="D1564" i="1" s="1"/>
  <c r="B1565" i="1"/>
  <c r="B1087" i="1"/>
  <c r="C1086" i="1"/>
  <c r="D1086" i="1" s="1"/>
  <c r="C350" i="1"/>
  <c r="D350" i="1" s="1"/>
  <c r="B351" i="1"/>
  <c r="I162" i="1" l="1"/>
  <c r="E163" i="1" s="1"/>
  <c r="C1565" i="1"/>
  <c r="D1565" i="1" s="1"/>
  <c r="B1566" i="1"/>
  <c r="C1087" i="1"/>
  <c r="D1087" i="1" s="1"/>
  <c r="B1088" i="1"/>
  <c r="C351" i="1"/>
  <c r="D351" i="1" s="1"/>
  <c r="B352" i="1"/>
  <c r="G163" i="1" l="1"/>
  <c r="H163" i="1"/>
  <c r="F163" i="1" s="1"/>
  <c r="B1567" i="1"/>
  <c r="C1566" i="1"/>
  <c r="D1566" i="1" s="1"/>
  <c r="B1089" i="1"/>
  <c r="C1088" i="1"/>
  <c r="D1088" i="1" s="1"/>
  <c r="C352" i="1"/>
  <c r="D352" i="1" s="1"/>
  <c r="B353" i="1"/>
  <c r="I163" i="1" l="1"/>
  <c r="E164" i="1" s="1"/>
  <c r="C1567" i="1"/>
  <c r="D1567" i="1" s="1"/>
  <c r="B1568" i="1"/>
  <c r="B1090" i="1"/>
  <c r="C1089" i="1"/>
  <c r="D1089" i="1" s="1"/>
  <c r="C353" i="1"/>
  <c r="D353" i="1" s="1"/>
  <c r="B354" i="1"/>
  <c r="H164" i="1" l="1"/>
  <c r="G164" i="1"/>
  <c r="C1568" i="1"/>
  <c r="D1568" i="1" s="1"/>
  <c r="B1569" i="1"/>
  <c r="B1091" i="1"/>
  <c r="C1090" i="1"/>
  <c r="D1090" i="1" s="1"/>
  <c r="C354" i="1"/>
  <c r="D354" i="1" s="1"/>
  <c r="B355" i="1"/>
  <c r="F164" i="1" l="1"/>
  <c r="C1569" i="1"/>
  <c r="D1569" i="1" s="1"/>
  <c r="B1570" i="1"/>
  <c r="C1091" i="1"/>
  <c r="D1091" i="1" s="1"/>
  <c r="B1092" i="1"/>
  <c r="B356" i="1"/>
  <c r="C355" i="1"/>
  <c r="D355" i="1" s="1"/>
  <c r="I164" i="1" l="1"/>
  <c r="E165" i="1" s="1"/>
  <c r="C1570" i="1"/>
  <c r="D1570" i="1" s="1"/>
  <c r="B1571" i="1"/>
  <c r="B1093" i="1"/>
  <c r="C1092" i="1"/>
  <c r="D1092" i="1" s="1"/>
  <c r="C356" i="1"/>
  <c r="D356" i="1" s="1"/>
  <c r="B357" i="1"/>
  <c r="G165" i="1" l="1"/>
  <c r="H165" i="1"/>
  <c r="F165" i="1" s="1"/>
  <c r="B1572" i="1"/>
  <c r="C1571" i="1"/>
  <c r="D1571" i="1" s="1"/>
  <c r="B1094" i="1"/>
  <c r="C1093" i="1"/>
  <c r="D1093" i="1" s="1"/>
  <c r="C357" i="1"/>
  <c r="D357" i="1" s="1"/>
  <c r="B358" i="1"/>
  <c r="I165" i="1" l="1"/>
  <c r="E166" i="1" s="1"/>
  <c r="C1572" i="1"/>
  <c r="D1572" i="1" s="1"/>
  <c r="B1573" i="1"/>
  <c r="B1095" i="1"/>
  <c r="C1094" i="1"/>
  <c r="D1094" i="1" s="1"/>
  <c r="C358" i="1"/>
  <c r="D358" i="1" s="1"/>
  <c r="B359" i="1"/>
  <c r="G166" i="1" l="1"/>
  <c r="H166" i="1"/>
  <c r="F166" i="1" s="1"/>
  <c r="C1573" i="1"/>
  <c r="D1573" i="1" s="1"/>
  <c r="B1574" i="1"/>
  <c r="C1095" i="1"/>
  <c r="D1095" i="1" s="1"/>
  <c r="B1096" i="1"/>
  <c r="C359" i="1"/>
  <c r="D359" i="1" s="1"/>
  <c r="B360" i="1"/>
  <c r="I166" i="1" l="1"/>
  <c r="E167" i="1" s="1"/>
  <c r="B1575" i="1"/>
  <c r="C1574" i="1"/>
  <c r="D1574" i="1" s="1"/>
  <c r="B1097" i="1"/>
  <c r="C1096" i="1"/>
  <c r="D1096" i="1" s="1"/>
  <c r="C360" i="1"/>
  <c r="D360" i="1" s="1"/>
  <c r="B361" i="1"/>
  <c r="H167" i="1" l="1"/>
  <c r="F167" i="1" s="1"/>
  <c r="G167" i="1"/>
  <c r="C1575" i="1"/>
  <c r="D1575" i="1" s="1"/>
  <c r="B1576" i="1"/>
  <c r="C1097" i="1"/>
  <c r="D1097" i="1" s="1"/>
  <c r="B1098" i="1"/>
  <c r="C361" i="1"/>
  <c r="D361" i="1" s="1"/>
  <c r="B362" i="1"/>
  <c r="I167" i="1" l="1"/>
  <c r="B1577" i="1"/>
  <c r="C1576" i="1"/>
  <c r="D1576" i="1" s="1"/>
  <c r="C1098" i="1"/>
  <c r="D1098" i="1" s="1"/>
  <c r="B1099" i="1"/>
  <c r="C362" i="1"/>
  <c r="D362" i="1" s="1"/>
  <c r="B363" i="1"/>
  <c r="E168" i="1" l="1"/>
  <c r="H168" i="1" s="1"/>
  <c r="F168" i="1" s="1"/>
  <c r="C1577" i="1"/>
  <c r="D1577" i="1" s="1"/>
  <c r="B1578" i="1"/>
  <c r="C1099" i="1"/>
  <c r="D1099" i="1" s="1"/>
  <c r="B1100" i="1"/>
  <c r="B364" i="1"/>
  <c r="C363" i="1"/>
  <c r="D363" i="1" s="1"/>
  <c r="G168" i="1" l="1"/>
  <c r="I168" i="1"/>
  <c r="E169" i="1" s="1"/>
  <c r="C1578" i="1"/>
  <c r="D1578" i="1" s="1"/>
  <c r="B1579" i="1"/>
  <c r="B1101" i="1"/>
  <c r="C1100" i="1"/>
  <c r="D1100" i="1" s="1"/>
  <c r="C364" i="1"/>
  <c r="D364" i="1" s="1"/>
  <c r="B365" i="1"/>
  <c r="H169" i="1" l="1"/>
  <c r="F169" i="1" s="1"/>
  <c r="G169" i="1"/>
  <c r="C1579" i="1"/>
  <c r="D1579" i="1" s="1"/>
  <c r="B1580" i="1"/>
  <c r="B1102" i="1"/>
  <c r="C1101" i="1"/>
  <c r="D1101" i="1" s="1"/>
  <c r="B366" i="1"/>
  <c r="C365" i="1"/>
  <c r="D365" i="1" s="1"/>
  <c r="I169" i="1" l="1"/>
  <c r="E170" i="1" s="1"/>
  <c r="C1580" i="1"/>
  <c r="D1580" i="1" s="1"/>
  <c r="B1581" i="1"/>
  <c r="B1103" i="1"/>
  <c r="C1102" i="1"/>
  <c r="D1102" i="1" s="1"/>
  <c r="C366" i="1"/>
  <c r="D366" i="1" s="1"/>
  <c r="B367" i="1"/>
  <c r="G170" i="1" l="1"/>
  <c r="H170" i="1"/>
  <c r="F170" i="1" s="1"/>
  <c r="C1581" i="1"/>
  <c r="D1581" i="1" s="1"/>
  <c r="B1582" i="1"/>
  <c r="C1103" i="1"/>
  <c r="D1103" i="1" s="1"/>
  <c r="B1104" i="1"/>
  <c r="C367" i="1"/>
  <c r="D367" i="1" s="1"/>
  <c r="B368" i="1"/>
  <c r="I170" i="1" l="1"/>
  <c r="E171" i="1" s="1"/>
  <c r="C1582" i="1"/>
  <c r="D1582" i="1" s="1"/>
  <c r="B1583" i="1"/>
  <c r="C1104" i="1"/>
  <c r="D1104" i="1" s="1"/>
  <c r="B1105" i="1"/>
  <c r="C368" i="1"/>
  <c r="D368" i="1" s="1"/>
  <c r="B369" i="1"/>
  <c r="G171" i="1" l="1"/>
  <c r="H171" i="1"/>
  <c r="F171" i="1" s="1"/>
  <c r="B1584" i="1"/>
  <c r="C1583" i="1"/>
  <c r="D1583" i="1" s="1"/>
  <c r="C1105" i="1"/>
  <c r="D1105" i="1" s="1"/>
  <c r="B1106" i="1"/>
  <c r="C369" i="1"/>
  <c r="D369" i="1" s="1"/>
  <c r="B370" i="1"/>
  <c r="I171" i="1" l="1"/>
  <c r="E172" i="1" s="1"/>
  <c r="B1585" i="1"/>
  <c r="C1584" i="1"/>
  <c r="D1584" i="1" s="1"/>
  <c r="C1106" i="1"/>
  <c r="D1106" i="1" s="1"/>
  <c r="B1107" i="1"/>
  <c r="B371" i="1"/>
  <c r="C370" i="1"/>
  <c r="D370" i="1" s="1"/>
  <c r="G172" i="1" l="1"/>
  <c r="H172" i="1"/>
  <c r="F172" i="1" s="1"/>
  <c r="C1585" i="1"/>
  <c r="D1585" i="1" s="1"/>
  <c r="B1586" i="1"/>
  <c r="C1107" i="1"/>
  <c r="D1107" i="1" s="1"/>
  <c r="B1108" i="1"/>
  <c r="B372" i="1"/>
  <c r="C371" i="1"/>
  <c r="D371" i="1" s="1"/>
  <c r="I172" i="1" l="1"/>
  <c r="E173" i="1" s="1"/>
  <c r="B1587" i="1"/>
  <c r="C1586" i="1"/>
  <c r="D1586" i="1" s="1"/>
  <c r="C1108" i="1"/>
  <c r="D1108" i="1" s="1"/>
  <c r="B1109" i="1"/>
  <c r="B373" i="1"/>
  <c r="C372" i="1"/>
  <c r="D372" i="1" s="1"/>
  <c r="G173" i="1" l="1"/>
  <c r="H173" i="1"/>
  <c r="F173" i="1" s="1"/>
  <c r="B1588" i="1"/>
  <c r="C1587" i="1"/>
  <c r="D1587" i="1" s="1"/>
  <c r="C1109" i="1"/>
  <c r="D1109" i="1" s="1"/>
  <c r="B1110" i="1"/>
  <c r="C373" i="1"/>
  <c r="D373" i="1" s="1"/>
  <c r="B374" i="1"/>
  <c r="I173" i="1" l="1"/>
  <c r="E174" i="1" s="1"/>
  <c r="C1588" i="1"/>
  <c r="D1588" i="1" s="1"/>
  <c r="B1589" i="1"/>
  <c r="C1110" i="1"/>
  <c r="D1110" i="1" s="1"/>
  <c r="B1111" i="1"/>
  <c r="B375" i="1"/>
  <c r="C374" i="1"/>
  <c r="D374" i="1" s="1"/>
  <c r="H174" i="1" l="1"/>
  <c r="F174" i="1" s="1"/>
  <c r="G174" i="1"/>
  <c r="C1589" i="1"/>
  <c r="D1589" i="1" s="1"/>
  <c r="B1590" i="1"/>
  <c r="C1111" i="1"/>
  <c r="D1111" i="1" s="1"/>
  <c r="B1112" i="1"/>
  <c r="C375" i="1"/>
  <c r="D375" i="1" s="1"/>
  <c r="B376" i="1"/>
  <c r="I174" i="1" l="1"/>
  <c r="E175" i="1" s="1"/>
  <c r="B1591" i="1"/>
  <c r="C1590" i="1"/>
  <c r="D1590" i="1" s="1"/>
  <c r="C1112" i="1"/>
  <c r="D1112" i="1" s="1"/>
  <c r="B1113" i="1"/>
  <c r="C376" i="1"/>
  <c r="D376" i="1" s="1"/>
  <c r="B377" i="1"/>
  <c r="G175" i="1" l="1"/>
  <c r="H175" i="1"/>
  <c r="F175" i="1" s="1"/>
  <c r="B1592" i="1"/>
  <c r="C1591" i="1"/>
  <c r="D1591" i="1" s="1"/>
  <c r="C1113" i="1"/>
  <c r="D1113" i="1" s="1"/>
  <c r="B1114" i="1"/>
  <c r="C377" i="1"/>
  <c r="D377" i="1" s="1"/>
  <c r="B378" i="1"/>
  <c r="I175" i="1" l="1"/>
  <c r="E176" i="1" s="1"/>
  <c r="B1593" i="1"/>
  <c r="C1592" i="1"/>
  <c r="D1592" i="1" s="1"/>
  <c r="C1114" i="1"/>
  <c r="D1114" i="1" s="1"/>
  <c r="B1115" i="1"/>
  <c r="C378" i="1"/>
  <c r="D378" i="1" s="1"/>
  <c r="B379" i="1"/>
  <c r="H176" i="1" l="1"/>
  <c r="F176" i="1" s="1"/>
  <c r="G176" i="1"/>
  <c r="C1593" i="1"/>
  <c r="D1593" i="1" s="1"/>
  <c r="B1594" i="1"/>
  <c r="C1115" i="1"/>
  <c r="D1115" i="1" s="1"/>
  <c r="B1116" i="1"/>
  <c r="C379" i="1"/>
  <c r="D379" i="1" s="1"/>
  <c r="B380" i="1"/>
  <c r="I176" i="1" l="1"/>
  <c r="E177" i="1" s="1"/>
  <c r="B1595" i="1"/>
  <c r="C1594" i="1"/>
  <c r="D1594" i="1" s="1"/>
  <c r="C1116" i="1"/>
  <c r="D1116" i="1" s="1"/>
  <c r="B1117" i="1"/>
  <c r="C380" i="1"/>
  <c r="D380" i="1" s="1"/>
  <c r="B381" i="1"/>
  <c r="H177" i="1" l="1"/>
  <c r="F177" i="1" s="1"/>
  <c r="G177" i="1"/>
  <c r="B1596" i="1"/>
  <c r="C1595" i="1"/>
  <c r="D1595" i="1" s="1"/>
  <c r="C1117" i="1"/>
  <c r="D1117" i="1" s="1"/>
  <c r="B1118" i="1"/>
  <c r="C381" i="1"/>
  <c r="D381" i="1" s="1"/>
  <c r="B382" i="1"/>
  <c r="I177" i="1" l="1"/>
  <c r="E178" i="1" s="1"/>
  <c r="B1597" i="1"/>
  <c r="C1596" i="1"/>
  <c r="D1596" i="1" s="1"/>
  <c r="C1118" i="1"/>
  <c r="D1118" i="1" s="1"/>
  <c r="B1119" i="1"/>
  <c r="B383" i="1"/>
  <c r="C382" i="1"/>
  <c r="D382" i="1" s="1"/>
  <c r="H178" i="1" l="1"/>
  <c r="F178" i="1" s="1"/>
  <c r="G178" i="1"/>
  <c r="C1597" i="1"/>
  <c r="D1597" i="1" s="1"/>
  <c r="B1598" i="1"/>
  <c r="C1119" i="1"/>
  <c r="D1119" i="1" s="1"/>
  <c r="B1120" i="1"/>
  <c r="C383" i="1"/>
  <c r="D383" i="1" s="1"/>
  <c r="B384" i="1"/>
  <c r="I178" i="1" l="1"/>
  <c r="E179" i="1" s="1"/>
  <c r="B1599" i="1"/>
  <c r="C1598" i="1"/>
  <c r="D1598" i="1" s="1"/>
  <c r="C1120" i="1"/>
  <c r="D1120" i="1" s="1"/>
  <c r="B1121" i="1"/>
  <c r="C384" i="1"/>
  <c r="D384" i="1" s="1"/>
  <c r="B385" i="1"/>
  <c r="G179" i="1" l="1"/>
  <c r="H179" i="1"/>
  <c r="F179" i="1" s="1"/>
  <c r="C1599" i="1"/>
  <c r="D1599" i="1" s="1"/>
  <c r="B1600" i="1"/>
  <c r="C1121" i="1"/>
  <c r="D1121" i="1" s="1"/>
  <c r="B1122" i="1"/>
  <c r="C385" i="1"/>
  <c r="D385" i="1" s="1"/>
  <c r="B386" i="1"/>
  <c r="I179" i="1" l="1"/>
  <c r="E180" i="1" s="1"/>
  <c r="C1600" i="1"/>
  <c r="D1600" i="1" s="1"/>
  <c r="B1601" i="1"/>
  <c r="B1123" i="1"/>
  <c r="C1122" i="1"/>
  <c r="D1122" i="1" s="1"/>
  <c r="C386" i="1"/>
  <c r="D386" i="1" s="1"/>
  <c r="B387" i="1"/>
  <c r="G180" i="1" l="1"/>
  <c r="H180" i="1"/>
  <c r="F180" i="1" s="1"/>
  <c r="C1601" i="1"/>
  <c r="D1601" i="1" s="1"/>
  <c r="B1602" i="1"/>
  <c r="C1123" i="1"/>
  <c r="D1123" i="1" s="1"/>
  <c r="B1124" i="1"/>
  <c r="B388" i="1"/>
  <c r="C387" i="1"/>
  <c r="D387" i="1" s="1"/>
  <c r="I180" i="1" l="1"/>
  <c r="E181" i="1" s="1"/>
  <c r="C1602" i="1"/>
  <c r="D1602" i="1" s="1"/>
  <c r="B1603" i="1"/>
  <c r="C1124" i="1"/>
  <c r="D1124" i="1" s="1"/>
  <c r="B1125" i="1"/>
  <c r="B389" i="1"/>
  <c r="C388" i="1"/>
  <c r="D388" i="1" s="1"/>
  <c r="H181" i="1" l="1"/>
  <c r="G181" i="1"/>
  <c r="C1603" i="1"/>
  <c r="D1603" i="1" s="1"/>
  <c r="B1604" i="1"/>
  <c r="C1125" i="1"/>
  <c r="D1125" i="1" s="1"/>
  <c r="B1126" i="1"/>
  <c r="C389" i="1"/>
  <c r="D389" i="1" s="1"/>
  <c r="B390" i="1"/>
  <c r="F181" i="1" l="1"/>
  <c r="C1604" i="1"/>
  <c r="D1604" i="1" s="1"/>
  <c r="B1605" i="1"/>
  <c r="C1126" i="1"/>
  <c r="D1126" i="1" s="1"/>
  <c r="B1127" i="1"/>
  <c r="C390" i="1"/>
  <c r="D390" i="1" s="1"/>
  <c r="B391" i="1"/>
  <c r="I181" i="1" l="1"/>
  <c r="E182" i="1" s="1"/>
  <c r="C1605" i="1"/>
  <c r="D1605" i="1" s="1"/>
  <c r="B1606" i="1"/>
  <c r="C1127" i="1"/>
  <c r="D1127" i="1" s="1"/>
  <c r="B1128" i="1"/>
  <c r="C391" i="1"/>
  <c r="D391" i="1" s="1"/>
  <c r="B392" i="1"/>
  <c r="H182" i="1" l="1"/>
  <c r="F182" i="1" s="1"/>
  <c r="G182" i="1"/>
  <c r="C1606" i="1"/>
  <c r="D1606" i="1" s="1"/>
  <c r="B1607" i="1"/>
  <c r="C1128" i="1"/>
  <c r="D1128" i="1" s="1"/>
  <c r="B1129" i="1"/>
  <c r="C392" i="1"/>
  <c r="D392" i="1" s="1"/>
  <c r="B393" i="1"/>
  <c r="I182" i="1" l="1"/>
  <c r="E183" i="1" s="1"/>
  <c r="C1607" i="1"/>
  <c r="D1607" i="1" s="1"/>
  <c r="B1608" i="1"/>
  <c r="C1129" i="1"/>
  <c r="D1129" i="1" s="1"/>
  <c r="B1130" i="1"/>
  <c r="C393" i="1"/>
  <c r="D393" i="1" s="1"/>
  <c r="B394" i="1"/>
  <c r="H183" i="1" l="1"/>
  <c r="F183" i="1" s="1"/>
  <c r="G183" i="1"/>
  <c r="C1608" i="1"/>
  <c r="D1608" i="1" s="1"/>
  <c r="B1609" i="1"/>
  <c r="C1130" i="1"/>
  <c r="D1130" i="1" s="1"/>
  <c r="B1131" i="1"/>
  <c r="C394" i="1"/>
  <c r="D394" i="1" s="1"/>
  <c r="B395" i="1"/>
  <c r="I183" i="1" l="1"/>
  <c r="E184" i="1" s="1"/>
  <c r="C1609" i="1"/>
  <c r="D1609" i="1" s="1"/>
  <c r="B1610" i="1"/>
  <c r="C1131" i="1"/>
  <c r="D1131" i="1" s="1"/>
  <c r="B1132" i="1"/>
  <c r="C395" i="1"/>
  <c r="D395" i="1" s="1"/>
  <c r="B396" i="1"/>
  <c r="H184" i="1" l="1"/>
  <c r="F184" i="1" s="1"/>
  <c r="G184" i="1"/>
  <c r="C1610" i="1"/>
  <c r="D1610" i="1" s="1"/>
  <c r="B1611" i="1"/>
  <c r="C1132" i="1"/>
  <c r="D1132" i="1" s="1"/>
  <c r="B1133" i="1"/>
  <c r="C396" i="1"/>
  <c r="D396" i="1" s="1"/>
  <c r="B397" i="1"/>
  <c r="I184" i="1" l="1"/>
  <c r="E185" i="1" s="1"/>
  <c r="C1611" i="1"/>
  <c r="D1611" i="1" s="1"/>
  <c r="B1612" i="1"/>
  <c r="C1133" i="1"/>
  <c r="D1133" i="1" s="1"/>
  <c r="B1134" i="1"/>
  <c r="C397" i="1"/>
  <c r="D397" i="1" s="1"/>
  <c r="B398" i="1"/>
  <c r="H185" i="1" l="1"/>
  <c r="F185" i="1" s="1"/>
  <c r="G185" i="1"/>
  <c r="C1612" i="1"/>
  <c r="D1612" i="1" s="1"/>
  <c r="B1613" i="1"/>
  <c r="B1135" i="1"/>
  <c r="C1134" i="1"/>
  <c r="D1134" i="1" s="1"/>
  <c r="B399" i="1"/>
  <c r="C398" i="1"/>
  <c r="D398" i="1" s="1"/>
  <c r="I185" i="1" l="1"/>
  <c r="C1613" i="1"/>
  <c r="D1613" i="1" s="1"/>
  <c r="B1614" i="1"/>
  <c r="C1135" i="1"/>
  <c r="D1135" i="1" s="1"/>
  <c r="B1136" i="1"/>
  <c r="B400" i="1"/>
  <c r="C399" i="1"/>
  <c r="D399" i="1" s="1"/>
  <c r="E186" i="1" l="1"/>
  <c r="G186" i="1" s="1"/>
  <c r="C1614" i="1"/>
  <c r="D1614" i="1" s="1"/>
  <c r="B1615" i="1"/>
  <c r="B1137" i="1"/>
  <c r="C1136" i="1"/>
  <c r="D1136" i="1" s="1"/>
  <c r="C400" i="1"/>
  <c r="D400" i="1" s="1"/>
  <c r="B401" i="1"/>
  <c r="H186" i="1" l="1"/>
  <c r="F186" i="1" s="1"/>
  <c r="C1615" i="1"/>
  <c r="D1615" i="1" s="1"/>
  <c r="B1616" i="1"/>
  <c r="C1137" i="1"/>
  <c r="D1137" i="1" s="1"/>
  <c r="B1138" i="1"/>
  <c r="C401" i="1"/>
  <c r="D401" i="1" s="1"/>
  <c r="B402" i="1"/>
  <c r="I186" i="1" l="1"/>
  <c r="E187" i="1" s="1"/>
  <c r="H187" i="1" s="1"/>
  <c r="F187" i="1" s="1"/>
  <c r="C1616" i="1"/>
  <c r="D1616" i="1" s="1"/>
  <c r="B1617" i="1"/>
  <c r="B1139" i="1"/>
  <c r="C1138" i="1"/>
  <c r="D1138" i="1" s="1"/>
  <c r="C402" i="1"/>
  <c r="D402" i="1" s="1"/>
  <c r="B403" i="1"/>
  <c r="G187" i="1" l="1"/>
  <c r="I187" i="1"/>
  <c r="E188" i="1" s="1"/>
  <c r="C1617" i="1"/>
  <c r="D1617" i="1" s="1"/>
  <c r="B1618" i="1"/>
  <c r="C1139" i="1"/>
  <c r="D1139" i="1" s="1"/>
  <c r="B1140" i="1"/>
  <c r="B404" i="1"/>
  <c r="C403" i="1"/>
  <c r="D403" i="1" s="1"/>
  <c r="H188" i="1" l="1"/>
  <c r="F188" i="1" s="1"/>
  <c r="G188" i="1"/>
  <c r="C1618" i="1"/>
  <c r="D1618" i="1" s="1"/>
  <c r="B1619" i="1"/>
  <c r="B1141" i="1"/>
  <c r="C1140" i="1"/>
  <c r="D1140" i="1" s="1"/>
  <c r="B405" i="1"/>
  <c r="C404" i="1"/>
  <c r="D404" i="1" s="1"/>
  <c r="I188" i="1" l="1"/>
  <c r="E189" i="1" s="1"/>
  <c r="C1619" i="1"/>
  <c r="D1619" i="1" s="1"/>
  <c r="B1620" i="1"/>
  <c r="C1141" i="1"/>
  <c r="D1141" i="1" s="1"/>
  <c r="B1142" i="1"/>
  <c r="B406" i="1"/>
  <c r="C405" i="1"/>
  <c r="D405" i="1" s="1"/>
  <c r="H189" i="1" l="1"/>
  <c r="F189" i="1" s="1"/>
  <c r="G189" i="1"/>
  <c r="C1620" i="1"/>
  <c r="D1620" i="1" s="1"/>
  <c r="B1621" i="1"/>
  <c r="C1142" i="1"/>
  <c r="D1142" i="1" s="1"/>
  <c r="B1143" i="1"/>
  <c r="C406" i="1"/>
  <c r="D406" i="1" s="1"/>
  <c r="B407" i="1"/>
  <c r="I189" i="1" l="1"/>
  <c r="E190" i="1" s="1"/>
  <c r="C1621" i="1"/>
  <c r="D1621" i="1" s="1"/>
  <c r="B1622" i="1"/>
  <c r="B1144" i="1"/>
  <c r="C1143" i="1"/>
  <c r="D1143" i="1" s="1"/>
  <c r="C407" i="1"/>
  <c r="D407" i="1" s="1"/>
  <c r="B408" i="1"/>
  <c r="H190" i="1" l="1"/>
  <c r="F190" i="1" s="1"/>
  <c r="G190" i="1"/>
  <c r="C1622" i="1"/>
  <c r="D1622" i="1" s="1"/>
  <c r="B1623" i="1"/>
  <c r="B1145" i="1"/>
  <c r="C1144" i="1"/>
  <c r="D1144" i="1" s="1"/>
  <c r="C408" i="1"/>
  <c r="D408" i="1" s="1"/>
  <c r="B409" i="1"/>
  <c r="I190" i="1" l="1"/>
  <c r="C1623" i="1"/>
  <c r="D1623" i="1" s="1"/>
  <c r="B1624" i="1"/>
  <c r="C1145" i="1"/>
  <c r="D1145" i="1" s="1"/>
  <c r="B1146" i="1"/>
  <c r="B410" i="1"/>
  <c r="C409" i="1"/>
  <c r="D409" i="1" s="1"/>
  <c r="E191" i="1" l="1"/>
  <c r="G191" i="1" s="1"/>
  <c r="C1624" i="1"/>
  <c r="D1624" i="1" s="1"/>
  <c r="B1625" i="1"/>
  <c r="C1146" i="1"/>
  <c r="D1146" i="1" s="1"/>
  <c r="B1147" i="1"/>
  <c r="C410" i="1"/>
  <c r="D410" i="1" s="1"/>
  <c r="B411" i="1"/>
  <c r="H191" i="1" l="1"/>
  <c r="F191" i="1" s="1"/>
  <c r="C1625" i="1"/>
  <c r="D1625" i="1" s="1"/>
  <c r="B1626" i="1"/>
  <c r="C1147" i="1"/>
  <c r="D1147" i="1" s="1"/>
  <c r="B1148" i="1"/>
  <c r="C411" i="1"/>
  <c r="D411" i="1" s="1"/>
  <c r="B412" i="1"/>
  <c r="I191" i="1" l="1"/>
  <c r="E192" i="1" s="1"/>
  <c r="H192" i="1" s="1"/>
  <c r="F192" i="1" s="1"/>
  <c r="C1626" i="1"/>
  <c r="D1626" i="1" s="1"/>
  <c r="B1627" i="1"/>
  <c r="B1149" i="1"/>
  <c r="C1148" i="1"/>
  <c r="D1148" i="1" s="1"/>
  <c r="C412" i="1"/>
  <c r="D412" i="1" s="1"/>
  <c r="B413" i="1"/>
  <c r="G192" i="1" l="1"/>
  <c r="I192" i="1"/>
  <c r="E193" i="1" s="1"/>
  <c r="C1627" i="1"/>
  <c r="D1627" i="1" s="1"/>
  <c r="B1628" i="1"/>
  <c r="C1149" i="1"/>
  <c r="D1149" i="1" s="1"/>
  <c r="B1150" i="1"/>
  <c r="C413" i="1"/>
  <c r="D413" i="1" s="1"/>
  <c r="B414" i="1"/>
  <c r="G193" i="1" l="1"/>
  <c r="H193" i="1"/>
  <c r="F193" i="1" s="1"/>
  <c r="B1629" i="1"/>
  <c r="C1628" i="1"/>
  <c r="D1628" i="1" s="1"/>
  <c r="B1151" i="1"/>
  <c r="C1150" i="1"/>
  <c r="D1150" i="1" s="1"/>
  <c r="B415" i="1"/>
  <c r="C414" i="1"/>
  <c r="D414" i="1" s="1"/>
  <c r="I193" i="1" l="1"/>
  <c r="E194" i="1" s="1"/>
  <c r="C1629" i="1"/>
  <c r="D1629" i="1" s="1"/>
  <c r="B1630" i="1"/>
  <c r="B1152" i="1"/>
  <c r="C1151" i="1"/>
  <c r="D1151" i="1" s="1"/>
  <c r="B416" i="1"/>
  <c r="C415" i="1"/>
  <c r="D415" i="1" s="1"/>
  <c r="G194" i="1" l="1"/>
  <c r="H194" i="1"/>
  <c r="F194" i="1" s="1"/>
  <c r="C1630" i="1"/>
  <c r="D1630" i="1" s="1"/>
  <c r="B1631" i="1"/>
  <c r="C1152" i="1"/>
  <c r="D1152" i="1" s="1"/>
  <c r="B1153" i="1"/>
  <c r="B417" i="1"/>
  <c r="C416" i="1"/>
  <c r="D416" i="1" s="1"/>
  <c r="I194" i="1" l="1"/>
  <c r="E195" i="1" s="1"/>
  <c r="C1631" i="1"/>
  <c r="D1631" i="1" s="1"/>
  <c r="B1632" i="1"/>
  <c r="C1153" i="1"/>
  <c r="D1153" i="1" s="1"/>
  <c r="B1154" i="1"/>
  <c r="C417" i="1"/>
  <c r="D417" i="1" s="1"/>
  <c r="B418" i="1"/>
  <c r="G195" i="1" l="1"/>
  <c r="H195" i="1"/>
  <c r="F195" i="1" s="1"/>
  <c r="C1632" i="1"/>
  <c r="D1632" i="1" s="1"/>
  <c r="B1633" i="1"/>
  <c r="B1155" i="1"/>
  <c r="C1154" i="1"/>
  <c r="D1154" i="1" s="1"/>
  <c r="B419" i="1"/>
  <c r="C418" i="1"/>
  <c r="D418" i="1" s="1"/>
  <c r="I195" i="1" l="1"/>
  <c r="E196" i="1" s="1"/>
  <c r="C1633" i="1"/>
  <c r="D1633" i="1" s="1"/>
  <c r="B1634" i="1"/>
  <c r="C1155" i="1"/>
  <c r="D1155" i="1" s="1"/>
  <c r="B1156" i="1"/>
  <c r="C419" i="1"/>
  <c r="D419" i="1" s="1"/>
  <c r="B420" i="1"/>
  <c r="G196" i="1" l="1"/>
  <c r="H196" i="1"/>
  <c r="F196" i="1" s="1"/>
  <c r="C1634" i="1"/>
  <c r="D1634" i="1" s="1"/>
  <c r="B1635" i="1"/>
  <c r="C1156" i="1"/>
  <c r="D1156" i="1" s="1"/>
  <c r="B1157" i="1"/>
  <c r="B421" i="1"/>
  <c r="C420" i="1"/>
  <c r="D420" i="1" s="1"/>
  <c r="I196" i="1" l="1"/>
  <c r="C1635" i="1"/>
  <c r="D1635" i="1" s="1"/>
  <c r="B1636" i="1"/>
  <c r="C1157" i="1"/>
  <c r="D1157" i="1" s="1"/>
  <c r="B1158" i="1"/>
  <c r="B422" i="1"/>
  <c r="C421" i="1"/>
  <c r="D421" i="1" s="1"/>
  <c r="E197" i="1" l="1"/>
  <c r="H197" i="1" s="1"/>
  <c r="F197" i="1" s="1"/>
  <c r="C1636" i="1"/>
  <c r="D1636" i="1" s="1"/>
  <c r="B1637" i="1"/>
  <c r="B1159" i="1"/>
  <c r="C1158" i="1"/>
  <c r="D1158" i="1" s="1"/>
  <c r="B423" i="1"/>
  <c r="C422" i="1"/>
  <c r="D422" i="1" s="1"/>
  <c r="G197" i="1" l="1"/>
  <c r="I197" i="1"/>
  <c r="E198" i="1" s="1"/>
  <c r="C1637" i="1"/>
  <c r="D1637" i="1" s="1"/>
  <c r="B1638" i="1"/>
  <c r="C1159" i="1"/>
  <c r="D1159" i="1" s="1"/>
  <c r="B1160" i="1"/>
  <c r="B424" i="1"/>
  <c r="C423" i="1"/>
  <c r="D423" i="1" s="1"/>
  <c r="H198" i="1" l="1"/>
  <c r="F198" i="1" s="1"/>
  <c r="G198" i="1"/>
  <c r="C1638" i="1"/>
  <c r="D1638" i="1" s="1"/>
  <c r="B1639" i="1"/>
  <c r="B1161" i="1"/>
  <c r="C1160" i="1"/>
  <c r="D1160" i="1" s="1"/>
  <c r="C424" i="1"/>
  <c r="D424" i="1" s="1"/>
  <c r="B425" i="1"/>
  <c r="I198" i="1" l="1"/>
  <c r="E199" i="1" s="1"/>
  <c r="C1639" i="1"/>
  <c r="D1639" i="1" s="1"/>
  <c r="B1640" i="1"/>
  <c r="C1161" i="1"/>
  <c r="D1161" i="1" s="1"/>
  <c r="B1162" i="1"/>
  <c r="C425" i="1"/>
  <c r="D425" i="1" s="1"/>
  <c r="B426" i="1"/>
  <c r="G199" i="1" l="1"/>
  <c r="H199" i="1"/>
  <c r="F199" i="1" s="1"/>
  <c r="C1640" i="1"/>
  <c r="D1640" i="1" s="1"/>
  <c r="B1641" i="1"/>
  <c r="C1162" i="1"/>
  <c r="D1162" i="1" s="1"/>
  <c r="B1163" i="1"/>
  <c r="B427" i="1"/>
  <c r="C426" i="1"/>
  <c r="D426" i="1" s="1"/>
  <c r="I199" i="1" l="1"/>
  <c r="E200" i="1" s="1"/>
  <c r="C1641" i="1"/>
  <c r="D1641" i="1" s="1"/>
  <c r="B1642" i="1"/>
  <c r="C1163" i="1"/>
  <c r="D1163" i="1" s="1"/>
  <c r="B1164" i="1"/>
  <c r="C427" i="1"/>
  <c r="D427" i="1" s="1"/>
  <c r="B428" i="1"/>
  <c r="H200" i="1" l="1"/>
  <c r="F200" i="1" s="1"/>
  <c r="G200" i="1"/>
  <c r="C1642" i="1"/>
  <c r="D1642" i="1" s="1"/>
  <c r="B1643" i="1"/>
  <c r="B1165" i="1"/>
  <c r="C1164" i="1"/>
  <c r="D1164" i="1" s="1"/>
  <c r="C428" i="1"/>
  <c r="D428" i="1" s="1"/>
  <c r="B429" i="1"/>
  <c r="I200" i="1" l="1"/>
  <c r="E201" i="1" s="1"/>
  <c r="C1643" i="1"/>
  <c r="D1643" i="1" s="1"/>
  <c r="B1644" i="1"/>
  <c r="C1165" i="1"/>
  <c r="D1165" i="1" s="1"/>
  <c r="B1166" i="1"/>
  <c r="C429" i="1"/>
  <c r="D429" i="1" s="1"/>
  <c r="B430" i="1"/>
  <c r="H201" i="1" l="1"/>
  <c r="F201" i="1" s="1"/>
  <c r="G201" i="1"/>
  <c r="C1644" i="1"/>
  <c r="D1644" i="1" s="1"/>
  <c r="B1645" i="1"/>
  <c r="C1166" i="1"/>
  <c r="D1166" i="1" s="1"/>
  <c r="B1167" i="1"/>
  <c r="B431" i="1"/>
  <c r="C430" i="1"/>
  <c r="D430" i="1" s="1"/>
  <c r="I201" i="1" l="1"/>
  <c r="E202" i="1" s="1"/>
  <c r="C1645" i="1"/>
  <c r="D1645" i="1" s="1"/>
  <c r="B1646" i="1"/>
  <c r="B1168" i="1"/>
  <c r="C1167" i="1"/>
  <c r="D1167" i="1" s="1"/>
  <c r="C431" i="1"/>
  <c r="D431" i="1" s="1"/>
  <c r="B432" i="1"/>
  <c r="H202" i="1" l="1"/>
  <c r="F202" i="1" s="1"/>
  <c r="G202" i="1"/>
  <c r="C1646" i="1"/>
  <c r="D1646" i="1" s="1"/>
  <c r="B1647" i="1"/>
  <c r="B1169" i="1"/>
  <c r="C1168" i="1"/>
  <c r="D1168" i="1" s="1"/>
  <c r="C432" i="1"/>
  <c r="D432" i="1" s="1"/>
  <c r="B433" i="1"/>
  <c r="I202" i="1" l="1"/>
  <c r="E203" i="1" s="1"/>
  <c r="C1647" i="1"/>
  <c r="D1647" i="1" s="1"/>
  <c r="B1648" i="1"/>
  <c r="C1169" i="1"/>
  <c r="D1169" i="1" s="1"/>
  <c r="B1170" i="1"/>
  <c r="C433" i="1"/>
  <c r="D433" i="1" s="1"/>
  <c r="B434" i="1"/>
  <c r="G203" i="1" l="1"/>
  <c r="H203" i="1"/>
  <c r="F203" i="1" s="1"/>
  <c r="C1648" i="1"/>
  <c r="D1648" i="1" s="1"/>
  <c r="B1649" i="1"/>
  <c r="B1171" i="1"/>
  <c r="C1170" i="1"/>
  <c r="D1170" i="1" s="1"/>
  <c r="C434" i="1"/>
  <c r="D434" i="1" s="1"/>
  <c r="B435" i="1"/>
  <c r="I203" i="1" l="1"/>
  <c r="E204" i="1" s="1"/>
  <c r="C1649" i="1"/>
  <c r="D1649" i="1" s="1"/>
  <c r="B1650" i="1"/>
  <c r="B1172" i="1"/>
  <c r="C1171" i="1"/>
  <c r="D1171" i="1" s="1"/>
  <c r="B436" i="1"/>
  <c r="C435" i="1"/>
  <c r="D435" i="1" s="1"/>
  <c r="H204" i="1" l="1"/>
  <c r="F204" i="1" s="1"/>
  <c r="G204" i="1"/>
  <c r="C1650" i="1"/>
  <c r="D1650" i="1" s="1"/>
  <c r="B1651" i="1"/>
  <c r="B1173" i="1"/>
  <c r="C1172" i="1"/>
  <c r="D1172" i="1" s="1"/>
  <c r="B437" i="1"/>
  <c r="C436" i="1"/>
  <c r="D436" i="1" s="1"/>
  <c r="I204" i="1" l="1"/>
  <c r="E205" i="1" s="1"/>
  <c r="C1651" i="1"/>
  <c r="D1651" i="1" s="1"/>
  <c r="B1652" i="1"/>
  <c r="C1173" i="1"/>
  <c r="D1173" i="1" s="1"/>
  <c r="B1174" i="1"/>
  <c r="C437" i="1"/>
  <c r="D437" i="1" s="1"/>
  <c r="B438" i="1"/>
  <c r="H205" i="1" l="1"/>
  <c r="F205" i="1" s="1"/>
  <c r="G205" i="1"/>
  <c r="C1652" i="1"/>
  <c r="D1652" i="1" s="1"/>
  <c r="B1653" i="1"/>
  <c r="B1175" i="1"/>
  <c r="C1174" i="1"/>
  <c r="D1174" i="1" s="1"/>
  <c r="C438" i="1"/>
  <c r="D438" i="1" s="1"/>
  <c r="B439" i="1"/>
  <c r="I205" i="1" l="1"/>
  <c r="E206" i="1" s="1"/>
  <c r="C1653" i="1"/>
  <c r="D1653" i="1" s="1"/>
  <c r="B1654" i="1"/>
  <c r="C1175" i="1"/>
  <c r="D1175" i="1" s="1"/>
  <c r="B1176" i="1"/>
  <c r="B440" i="1"/>
  <c r="C439" i="1"/>
  <c r="D439" i="1" s="1"/>
  <c r="G206" i="1" l="1"/>
  <c r="H206" i="1"/>
  <c r="C1654" i="1"/>
  <c r="D1654" i="1" s="1"/>
  <c r="B1655" i="1"/>
  <c r="C1176" i="1"/>
  <c r="D1176" i="1" s="1"/>
  <c r="B1177" i="1"/>
  <c r="C440" i="1"/>
  <c r="D440" i="1" s="1"/>
  <c r="B441" i="1"/>
  <c r="F206" i="1" l="1"/>
  <c r="I206" i="1" s="1"/>
  <c r="E207" i="1" s="1"/>
  <c r="C1655" i="1"/>
  <c r="D1655" i="1" s="1"/>
  <c r="B1656" i="1"/>
  <c r="C1177" i="1"/>
  <c r="D1177" i="1" s="1"/>
  <c r="B1178" i="1"/>
  <c r="B442" i="1"/>
  <c r="C441" i="1"/>
  <c r="D441" i="1" s="1"/>
  <c r="H207" i="1" l="1"/>
  <c r="F207" i="1" s="1"/>
  <c r="G207" i="1"/>
  <c r="C1656" i="1"/>
  <c r="D1656" i="1" s="1"/>
  <c r="B1657" i="1"/>
  <c r="B1179" i="1"/>
  <c r="C1178" i="1"/>
  <c r="D1178" i="1" s="1"/>
  <c r="B443" i="1"/>
  <c r="C442" i="1"/>
  <c r="D442" i="1" s="1"/>
  <c r="I207" i="1" l="1"/>
  <c r="E208" i="1" s="1"/>
  <c r="C1657" i="1"/>
  <c r="D1657" i="1" s="1"/>
  <c r="B1658" i="1"/>
  <c r="B1180" i="1"/>
  <c r="C1179" i="1"/>
  <c r="D1179" i="1" s="1"/>
  <c r="C443" i="1"/>
  <c r="D443" i="1" s="1"/>
  <c r="B444" i="1"/>
  <c r="G208" i="1" l="1"/>
  <c r="H208" i="1"/>
  <c r="F208" i="1" s="1"/>
  <c r="C1658" i="1"/>
  <c r="D1658" i="1" s="1"/>
  <c r="B1659" i="1"/>
  <c r="B1181" i="1"/>
  <c r="C1180" i="1"/>
  <c r="D1180" i="1" s="1"/>
  <c r="C444" i="1"/>
  <c r="D444" i="1" s="1"/>
  <c r="B445" i="1"/>
  <c r="I208" i="1" l="1"/>
  <c r="C1659" i="1"/>
  <c r="D1659" i="1" s="1"/>
  <c r="B1660" i="1"/>
  <c r="C1181" i="1"/>
  <c r="D1181" i="1" s="1"/>
  <c r="B1182" i="1"/>
  <c r="C445" i="1"/>
  <c r="D445" i="1" s="1"/>
  <c r="B446" i="1"/>
  <c r="E209" i="1" l="1"/>
  <c r="H209" i="1" s="1"/>
  <c r="F209" i="1" s="1"/>
  <c r="C1660" i="1"/>
  <c r="D1660" i="1" s="1"/>
  <c r="B1661" i="1"/>
  <c r="C1182" i="1"/>
  <c r="D1182" i="1" s="1"/>
  <c r="B1183" i="1"/>
  <c r="C446" i="1"/>
  <c r="D446" i="1" s="1"/>
  <c r="B447" i="1"/>
  <c r="G209" i="1" l="1"/>
  <c r="I209" i="1"/>
  <c r="E210" i="1" s="1"/>
  <c r="C1661" i="1"/>
  <c r="D1661" i="1" s="1"/>
  <c r="B1662" i="1"/>
  <c r="B1184" i="1"/>
  <c r="C1183" i="1"/>
  <c r="D1183" i="1" s="1"/>
  <c r="C447" i="1"/>
  <c r="D447" i="1" s="1"/>
  <c r="B448" i="1"/>
  <c r="H210" i="1" l="1"/>
  <c r="F210" i="1" s="1"/>
  <c r="G210" i="1"/>
  <c r="C1662" i="1"/>
  <c r="D1662" i="1" s="1"/>
  <c r="B1663" i="1"/>
  <c r="B1185" i="1"/>
  <c r="C1184" i="1"/>
  <c r="D1184" i="1" s="1"/>
  <c r="C448" i="1"/>
  <c r="D448" i="1" s="1"/>
  <c r="B449" i="1"/>
  <c r="I210" i="1" l="1"/>
  <c r="E211" i="1" s="1"/>
  <c r="C1663" i="1"/>
  <c r="D1663" i="1" s="1"/>
  <c r="B1664" i="1"/>
  <c r="C1185" i="1"/>
  <c r="D1185" i="1" s="1"/>
  <c r="B1186" i="1"/>
  <c r="C449" i="1"/>
  <c r="D449" i="1" s="1"/>
  <c r="B450" i="1"/>
  <c r="H211" i="1" l="1"/>
  <c r="F211" i="1" s="1"/>
  <c r="G211" i="1"/>
  <c r="C1664" i="1"/>
  <c r="D1664" i="1" s="1"/>
  <c r="B1665" i="1"/>
  <c r="B1187" i="1"/>
  <c r="C1186" i="1"/>
  <c r="D1186" i="1" s="1"/>
  <c r="C450" i="1"/>
  <c r="D450" i="1" s="1"/>
  <c r="B451" i="1"/>
  <c r="I211" i="1" l="1"/>
  <c r="C1665" i="1"/>
  <c r="D1665" i="1" s="1"/>
  <c r="B1666" i="1"/>
  <c r="C1187" i="1"/>
  <c r="D1187" i="1" s="1"/>
  <c r="B1188" i="1"/>
  <c r="B452" i="1"/>
  <c r="C451" i="1"/>
  <c r="D451" i="1" s="1"/>
  <c r="E212" i="1" l="1"/>
  <c r="G212" i="1" s="1"/>
  <c r="C1666" i="1"/>
  <c r="D1666" i="1" s="1"/>
  <c r="B1667" i="1"/>
  <c r="C1188" i="1"/>
  <c r="D1188" i="1" s="1"/>
  <c r="B1189" i="1"/>
  <c r="C452" i="1"/>
  <c r="D452" i="1" s="1"/>
  <c r="B453" i="1"/>
  <c r="H212" i="1" l="1"/>
  <c r="F212" i="1" s="1"/>
  <c r="C1667" i="1"/>
  <c r="D1667" i="1" s="1"/>
  <c r="B1668" i="1"/>
  <c r="B1190" i="1"/>
  <c r="C1189" i="1"/>
  <c r="D1189" i="1" s="1"/>
  <c r="C453" i="1"/>
  <c r="D453" i="1" s="1"/>
  <c r="B454" i="1"/>
  <c r="I212" i="1" l="1"/>
  <c r="E213" i="1" s="1"/>
  <c r="H213" i="1" s="1"/>
  <c r="C1668" i="1"/>
  <c r="D1668" i="1" s="1"/>
  <c r="B1669" i="1"/>
  <c r="C1190" i="1"/>
  <c r="D1190" i="1" s="1"/>
  <c r="B1191" i="1"/>
  <c r="C454" i="1"/>
  <c r="D454" i="1" s="1"/>
  <c r="B455" i="1"/>
  <c r="G213" i="1" l="1"/>
  <c r="F213" i="1"/>
  <c r="I213" i="1" s="1"/>
  <c r="E214" i="1" s="1"/>
  <c r="C1669" i="1"/>
  <c r="D1669" i="1" s="1"/>
  <c r="B1670" i="1"/>
  <c r="C1191" i="1"/>
  <c r="D1191" i="1" s="1"/>
  <c r="B1192" i="1"/>
  <c r="C455" i="1"/>
  <c r="D455" i="1" s="1"/>
  <c r="B456" i="1"/>
  <c r="C1670" i="1" l="1"/>
  <c r="D1670" i="1" s="1"/>
  <c r="B1671" i="1"/>
  <c r="C1192" i="1"/>
  <c r="D1192" i="1" s="1"/>
  <c r="B1193" i="1"/>
  <c r="C456" i="1"/>
  <c r="D456" i="1" s="1"/>
  <c r="B457" i="1"/>
  <c r="G214" i="1" l="1"/>
  <c r="H214" i="1"/>
  <c r="C1671" i="1"/>
  <c r="D1671" i="1" s="1"/>
  <c r="B1672" i="1"/>
  <c r="C1193" i="1"/>
  <c r="D1193" i="1" s="1"/>
  <c r="B1194" i="1"/>
  <c r="B458" i="1"/>
  <c r="C457" i="1"/>
  <c r="D457" i="1" s="1"/>
  <c r="F214" i="1" l="1"/>
  <c r="I214" i="1" s="1"/>
  <c r="E215" i="1" s="1"/>
  <c r="C1672" i="1"/>
  <c r="D1672" i="1" s="1"/>
  <c r="B1673" i="1"/>
  <c r="C1194" i="1"/>
  <c r="D1194" i="1" s="1"/>
  <c r="B1195" i="1"/>
  <c r="B459" i="1"/>
  <c r="C458" i="1"/>
  <c r="D458" i="1" s="1"/>
  <c r="H215" i="1" l="1"/>
  <c r="F215" i="1" s="1"/>
  <c r="G215" i="1"/>
  <c r="C1673" i="1"/>
  <c r="D1673" i="1" s="1"/>
  <c r="B1674" i="1"/>
  <c r="C1195" i="1"/>
  <c r="D1195" i="1" s="1"/>
  <c r="B1196" i="1"/>
  <c r="B460" i="1"/>
  <c r="C459" i="1"/>
  <c r="D459" i="1" s="1"/>
  <c r="I215" i="1" l="1"/>
  <c r="E216" i="1" s="1"/>
  <c r="C1674" i="1"/>
  <c r="D1674" i="1" s="1"/>
  <c r="B1675" i="1"/>
  <c r="C1196" i="1"/>
  <c r="D1196" i="1" s="1"/>
  <c r="B1197" i="1"/>
  <c r="B461" i="1"/>
  <c r="C460" i="1"/>
  <c r="D460" i="1" s="1"/>
  <c r="H216" i="1" l="1"/>
  <c r="G216" i="1"/>
  <c r="C1675" i="1"/>
  <c r="D1675" i="1" s="1"/>
  <c r="B1676" i="1"/>
  <c r="B1198" i="1"/>
  <c r="C1197" i="1"/>
  <c r="D1197" i="1" s="1"/>
  <c r="C461" i="1"/>
  <c r="D461" i="1" s="1"/>
  <c r="B462" i="1"/>
  <c r="F216" i="1" l="1"/>
  <c r="I216" i="1" s="1"/>
  <c r="E217" i="1" s="1"/>
  <c r="C1676" i="1"/>
  <c r="D1676" i="1" s="1"/>
  <c r="B1677" i="1"/>
  <c r="C1198" i="1"/>
  <c r="D1198" i="1" s="1"/>
  <c r="B1199" i="1"/>
  <c r="B463" i="1"/>
  <c r="C462" i="1"/>
  <c r="D462" i="1" s="1"/>
  <c r="C1677" i="1" l="1"/>
  <c r="D1677" i="1" s="1"/>
  <c r="B1678" i="1"/>
  <c r="C1199" i="1"/>
  <c r="D1199" i="1" s="1"/>
  <c r="B1200" i="1"/>
  <c r="C463" i="1"/>
  <c r="D463" i="1" s="1"/>
  <c r="B464" i="1"/>
  <c r="G217" i="1" l="1"/>
  <c r="H217" i="1"/>
  <c r="C1678" i="1"/>
  <c r="D1678" i="1" s="1"/>
  <c r="B1679" i="1"/>
  <c r="C1200" i="1"/>
  <c r="D1200" i="1" s="1"/>
  <c r="B1201" i="1"/>
  <c r="B465" i="1"/>
  <c r="C464" i="1"/>
  <c r="D464" i="1" s="1"/>
  <c r="F217" i="1" l="1"/>
  <c r="I217" i="1" s="1"/>
  <c r="E218" i="1" s="1"/>
  <c r="C1679" i="1"/>
  <c r="D1679" i="1" s="1"/>
  <c r="B1680" i="1"/>
  <c r="B1202" i="1"/>
  <c r="C1201" i="1"/>
  <c r="D1201" i="1" s="1"/>
  <c r="C465" i="1"/>
  <c r="D465" i="1" s="1"/>
  <c r="B466" i="1"/>
  <c r="C1680" i="1" l="1"/>
  <c r="D1680" i="1" s="1"/>
  <c r="B1681" i="1"/>
  <c r="C1202" i="1"/>
  <c r="D1202" i="1" s="1"/>
  <c r="B1203" i="1"/>
  <c r="C466" i="1"/>
  <c r="D466" i="1" s="1"/>
  <c r="B467" i="1"/>
  <c r="H218" i="1" l="1"/>
  <c r="G218" i="1"/>
  <c r="C1681" i="1"/>
  <c r="D1681" i="1" s="1"/>
  <c r="B1682" i="1"/>
  <c r="C1203" i="1"/>
  <c r="D1203" i="1" s="1"/>
  <c r="B1204" i="1"/>
  <c r="C467" i="1"/>
  <c r="D467" i="1" s="1"/>
  <c r="B468" i="1"/>
  <c r="F218" i="1" l="1"/>
  <c r="I218" i="1" s="1"/>
  <c r="E219" i="1" s="1"/>
  <c r="C1682" i="1"/>
  <c r="D1682" i="1" s="1"/>
  <c r="B1683" i="1"/>
  <c r="C1204" i="1"/>
  <c r="D1204" i="1" s="1"/>
  <c r="B1205" i="1"/>
  <c r="B469" i="1"/>
  <c r="C468" i="1"/>
  <c r="D468" i="1" s="1"/>
  <c r="C1683" i="1" l="1"/>
  <c r="D1683" i="1" s="1"/>
  <c r="B1684" i="1"/>
  <c r="C1205" i="1"/>
  <c r="D1205" i="1" s="1"/>
  <c r="B1206" i="1"/>
  <c r="C469" i="1"/>
  <c r="D469" i="1" s="1"/>
  <c r="B470" i="1"/>
  <c r="H219" i="1" l="1"/>
  <c r="G219" i="1"/>
  <c r="C1684" i="1"/>
  <c r="D1684" i="1" s="1"/>
  <c r="B1685" i="1"/>
  <c r="C1206" i="1"/>
  <c r="D1206" i="1" s="1"/>
  <c r="B1207" i="1"/>
  <c r="C470" i="1"/>
  <c r="D470" i="1" s="1"/>
  <c r="B471" i="1"/>
  <c r="F219" i="1" l="1"/>
  <c r="I219" i="1" s="1"/>
  <c r="E220" i="1" s="1"/>
  <c r="C1685" i="1"/>
  <c r="D1685" i="1" s="1"/>
  <c r="B1686" i="1"/>
  <c r="C1207" i="1"/>
  <c r="D1207" i="1" s="1"/>
  <c r="B1208" i="1"/>
  <c r="C471" i="1"/>
  <c r="D471" i="1" s="1"/>
  <c r="B472" i="1"/>
  <c r="C1686" i="1" l="1"/>
  <c r="D1686" i="1" s="1"/>
  <c r="B1687" i="1"/>
  <c r="C1208" i="1"/>
  <c r="D1208" i="1" s="1"/>
  <c r="B1209" i="1"/>
  <c r="C472" i="1"/>
  <c r="D472" i="1" s="1"/>
  <c r="B473" i="1"/>
  <c r="H220" i="1" l="1"/>
  <c r="G220" i="1"/>
  <c r="C1687" i="1"/>
  <c r="D1687" i="1" s="1"/>
  <c r="B1688" i="1"/>
  <c r="C1209" i="1"/>
  <c r="D1209" i="1" s="1"/>
  <c r="B1210" i="1"/>
  <c r="C473" i="1"/>
  <c r="D473" i="1" s="1"/>
  <c r="B474" i="1"/>
  <c r="F220" i="1" l="1"/>
  <c r="C1688" i="1"/>
  <c r="D1688" i="1" s="1"/>
  <c r="B1689" i="1"/>
  <c r="C1210" i="1"/>
  <c r="D1210" i="1" s="1"/>
  <c r="B1211" i="1"/>
  <c r="B475" i="1"/>
  <c r="C474" i="1"/>
  <c r="D474" i="1" s="1"/>
  <c r="I220" i="1" l="1"/>
  <c r="E221" i="1" s="1"/>
  <c r="B1690" i="1"/>
  <c r="C1689" i="1"/>
  <c r="D1689" i="1" s="1"/>
  <c r="B1212" i="1"/>
  <c r="C1211" i="1"/>
  <c r="D1211" i="1" s="1"/>
  <c r="B476" i="1"/>
  <c r="C475" i="1"/>
  <c r="D475" i="1" s="1"/>
  <c r="H221" i="1" l="1"/>
  <c r="F221" i="1" s="1"/>
  <c r="G221" i="1"/>
  <c r="C1690" i="1"/>
  <c r="D1690" i="1" s="1"/>
  <c r="B1691" i="1"/>
  <c r="C1212" i="1"/>
  <c r="D1212" i="1" s="1"/>
  <c r="B1213" i="1"/>
  <c r="B477" i="1"/>
  <c r="C476" i="1"/>
  <c r="D476" i="1" s="1"/>
  <c r="I221" i="1" l="1"/>
  <c r="E222" i="1" s="1"/>
  <c r="C1691" i="1"/>
  <c r="D1691" i="1" s="1"/>
  <c r="B1692" i="1"/>
  <c r="C1213" i="1"/>
  <c r="D1213" i="1" s="1"/>
  <c r="B1214" i="1"/>
  <c r="C477" i="1"/>
  <c r="D477" i="1" s="1"/>
  <c r="B478" i="1"/>
  <c r="H222" i="1" l="1"/>
  <c r="G222" i="1"/>
  <c r="C1692" i="1"/>
  <c r="D1692" i="1" s="1"/>
  <c r="B1693" i="1"/>
  <c r="C1214" i="1"/>
  <c r="D1214" i="1" s="1"/>
  <c r="B1215" i="1"/>
  <c r="B479" i="1"/>
  <c r="C478" i="1"/>
  <c r="D478" i="1" s="1"/>
  <c r="F222" i="1" l="1"/>
  <c r="I222" i="1" s="1"/>
  <c r="E223" i="1" s="1"/>
  <c r="C1693" i="1"/>
  <c r="D1693" i="1" s="1"/>
  <c r="B1694" i="1"/>
  <c r="C1215" i="1"/>
  <c r="D1215" i="1" s="1"/>
  <c r="B1216" i="1"/>
  <c r="C479" i="1"/>
  <c r="D479" i="1" s="1"/>
  <c r="B480" i="1"/>
  <c r="C1694" i="1" l="1"/>
  <c r="D1694" i="1" s="1"/>
  <c r="B1695" i="1"/>
  <c r="C1216" i="1"/>
  <c r="D1216" i="1" s="1"/>
  <c r="B1217" i="1"/>
  <c r="B481" i="1"/>
  <c r="C480" i="1"/>
  <c r="D480" i="1" s="1"/>
  <c r="G223" i="1" l="1"/>
  <c r="H223" i="1"/>
  <c r="C1695" i="1"/>
  <c r="D1695" i="1" s="1"/>
  <c r="B1696" i="1"/>
  <c r="B1218" i="1"/>
  <c r="C1217" i="1"/>
  <c r="D1217" i="1" s="1"/>
  <c r="B482" i="1"/>
  <c r="C481" i="1"/>
  <c r="D481" i="1" s="1"/>
  <c r="F223" i="1" l="1"/>
  <c r="I223" i="1" s="1"/>
  <c r="E224" i="1" s="1"/>
  <c r="B1697" i="1"/>
  <c r="C1696" i="1"/>
  <c r="D1696" i="1" s="1"/>
  <c r="C1218" i="1"/>
  <c r="D1218" i="1" s="1"/>
  <c r="B1219" i="1"/>
  <c r="C482" i="1"/>
  <c r="D482" i="1" s="1"/>
  <c r="B483" i="1"/>
  <c r="B1698" i="1" l="1"/>
  <c r="C1697" i="1"/>
  <c r="D1697" i="1" s="1"/>
  <c r="C1219" i="1"/>
  <c r="D1219" i="1" s="1"/>
  <c r="B1220" i="1"/>
  <c r="C483" i="1"/>
  <c r="D483" i="1" s="1"/>
  <c r="B484" i="1"/>
  <c r="G224" i="1" l="1"/>
  <c r="H224" i="1"/>
  <c r="C1698" i="1"/>
  <c r="D1698" i="1" s="1"/>
  <c r="B1699" i="1"/>
  <c r="C1220" i="1"/>
  <c r="D1220" i="1" s="1"/>
  <c r="B1221" i="1"/>
  <c r="C484" i="1"/>
  <c r="D484" i="1" s="1"/>
  <c r="B485" i="1"/>
  <c r="F224" i="1" l="1"/>
  <c r="I224" i="1" s="1"/>
  <c r="E225" i="1" s="1"/>
  <c r="C1699" i="1"/>
  <c r="D1699" i="1" s="1"/>
  <c r="B1700" i="1"/>
  <c r="B1222" i="1"/>
  <c r="C1221" i="1"/>
  <c r="D1221" i="1" s="1"/>
  <c r="C485" i="1"/>
  <c r="D485" i="1" s="1"/>
  <c r="B486" i="1"/>
  <c r="B1701" i="1" l="1"/>
  <c r="C1700" i="1"/>
  <c r="D1700" i="1" s="1"/>
  <c r="C1222" i="1"/>
  <c r="D1222" i="1" s="1"/>
  <c r="B1223" i="1"/>
  <c r="B487" i="1"/>
  <c r="C486" i="1"/>
  <c r="D486" i="1" s="1"/>
  <c r="G225" i="1" l="1"/>
  <c r="H225" i="1"/>
  <c r="B1702" i="1"/>
  <c r="C1701" i="1"/>
  <c r="D1701" i="1" s="1"/>
  <c r="C1223" i="1"/>
  <c r="D1223" i="1" s="1"/>
  <c r="B1224" i="1"/>
  <c r="C487" i="1"/>
  <c r="D487" i="1" s="1"/>
  <c r="B488" i="1"/>
  <c r="F225" i="1" l="1"/>
  <c r="I225" i="1" s="1"/>
  <c r="E226" i="1" s="1"/>
  <c r="B1703" i="1"/>
  <c r="C1702" i="1"/>
  <c r="D1702" i="1" s="1"/>
  <c r="C1224" i="1"/>
  <c r="D1224" i="1" s="1"/>
  <c r="B1225" i="1"/>
  <c r="C488" i="1"/>
  <c r="D488" i="1" s="1"/>
  <c r="B489" i="1"/>
  <c r="C1703" i="1" l="1"/>
  <c r="D1703" i="1" s="1"/>
  <c r="B1704" i="1"/>
  <c r="C1225" i="1"/>
  <c r="D1225" i="1" s="1"/>
  <c r="B1226" i="1"/>
  <c r="B490" i="1"/>
  <c r="C489" i="1"/>
  <c r="D489" i="1" s="1"/>
  <c r="H226" i="1" l="1"/>
  <c r="G226" i="1"/>
  <c r="C1704" i="1"/>
  <c r="D1704" i="1" s="1"/>
  <c r="B1705" i="1"/>
  <c r="C1226" i="1"/>
  <c r="D1226" i="1" s="1"/>
  <c r="B1227" i="1"/>
  <c r="B491" i="1"/>
  <c r="C490" i="1"/>
  <c r="D490" i="1" s="1"/>
  <c r="F226" i="1" l="1"/>
  <c r="I226" i="1" s="1"/>
  <c r="E227" i="1" s="1"/>
  <c r="B1706" i="1"/>
  <c r="C1705" i="1"/>
  <c r="D1705" i="1" s="1"/>
  <c r="B1228" i="1"/>
  <c r="C1227" i="1"/>
  <c r="D1227" i="1" s="1"/>
  <c r="C491" i="1"/>
  <c r="D491" i="1" s="1"/>
  <c r="B492" i="1"/>
  <c r="B1707" i="1" l="1"/>
  <c r="C1706" i="1"/>
  <c r="D1706" i="1" s="1"/>
  <c r="C1228" i="1"/>
  <c r="D1228" i="1" s="1"/>
  <c r="B1229" i="1"/>
  <c r="B493" i="1"/>
  <c r="C492" i="1"/>
  <c r="D492" i="1" s="1"/>
  <c r="H227" i="1" l="1"/>
  <c r="G227" i="1"/>
  <c r="C1707" i="1"/>
  <c r="D1707" i="1" s="1"/>
  <c r="B1708" i="1"/>
  <c r="B1230" i="1"/>
  <c r="C1229" i="1"/>
  <c r="D1229" i="1" s="1"/>
  <c r="C493" i="1"/>
  <c r="D493" i="1" s="1"/>
  <c r="B494" i="1"/>
  <c r="F227" i="1" l="1"/>
  <c r="I227" i="1" s="1"/>
  <c r="E228" i="1" s="1"/>
  <c r="B1709" i="1"/>
  <c r="C1708" i="1"/>
  <c r="D1708" i="1" s="1"/>
  <c r="C1230" i="1"/>
  <c r="D1230" i="1" s="1"/>
  <c r="B1231" i="1"/>
  <c r="B495" i="1"/>
  <c r="C494" i="1"/>
  <c r="D494" i="1" s="1"/>
  <c r="B1710" i="1" l="1"/>
  <c r="C1709" i="1"/>
  <c r="D1709" i="1" s="1"/>
  <c r="C1231" i="1"/>
  <c r="D1231" i="1" s="1"/>
  <c r="B1232" i="1"/>
  <c r="B496" i="1"/>
  <c r="C495" i="1"/>
  <c r="D495" i="1" s="1"/>
  <c r="G228" i="1" l="1"/>
  <c r="H228" i="1"/>
  <c r="C1710" i="1"/>
  <c r="D1710" i="1" s="1"/>
  <c r="B1711" i="1"/>
  <c r="C1232" i="1"/>
  <c r="D1232" i="1" s="1"/>
  <c r="B1233" i="1"/>
  <c r="C496" i="1"/>
  <c r="D496" i="1" s="1"/>
  <c r="B497" i="1"/>
  <c r="F228" i="1" l="1"/>
  <c r="I228" i="1" s="1"/>
  <c r="E229" i="1" s="1"/>
  <c r="C1711" i="1"/>
  <c r="D1711" i="1" s="1"/>
  <c r="B1712" i="1"/>
  <c r="C1233" i="1"/>
  <c r="D1233" i="1" s="1"/>
  <c r="B1234" i="1"/>
  <c r="B498" i="1"/>
  <c r="C497" i="1"/>
  <c r="D497" i="1" s="1"/>
  <c r="C1712" i="1" l="1"/>
  <c r="D1712" i="1" s="1"/>
  <c r="B1713" i="1"/>
  <c r="C1234" i="1"/>
  <c r="D1234" i="1" s="1"/>
  <c r="B1235" i="1"/>
  <c r="C1235" i="1" s="1"/>
  <c r="D1235" i="1" s="1"/>
  <c r="B499" i="1"/>
  <c r="C498" i="1"/>
  <c r="D498" i="1" s="1"/>
  <c r="H229" i="1" l="1"/>
  <c r="G229" i="1"/>
  <c r="B1714" i="1"/>
  <c r="C1713" i="1"/>
  <c r="D1713" i="1" s="1"/>
  <c r="B500" i="1"/>
  <c r="C499" i="1"/>
  <c r="D499" i="1" s="1"/>
  <c r="F229" i="1" l="1"/>
  <c r="I229" i="1" s="1"/>
  <c r="E230" i="1" s="1"/>
  <c r="C1714" i="1"/>
  <c r="D1714" i="1" s="1"/>
  <c r="B1715" i="1"/>
  <c r="B501" i="1"/>
  <c r="C500" i="1"/>
  <c r="D500" i="1" s="1"/>
  <c r="C1715" i="1" l="1"/>
  <c r="D1715" i="1" s="1"/>
  <c r="B1716" i="1"/>
  <c r="C501" i="1"/>
  <c r="D501" i="1" s="1"/>
  <c r="B502" i="1"/>
  <c r="G230" i="1" l="1"/>
  <c r="H230" i="1"/>
  <c r="C1716" i="1"/>
  <c r="D1716" i="1" s="1"/>
  <c r="B1717" i="1"/>
  <c r="C502" i="1"/>
  <c r="D502" i="1" s="1"/>
  <c r="B503" i="1"/>
  <c r="F230" i="1" l="1"/>
  <c r="I230" i="1" s="1"/>
  <c r="E231" i="1" s="1"/>
  <c r="C1717" i="1"/>
  <c r="D1717" i="1" s="1"/>
  <c r="B1718" i="1"/>
  <c r="B504" i="1"/>
  <c r="C503" i="1"/>
  <c r="D503" i="1" s="1"/>
  <c r="C1718" i="1" l="1"/>
  <c r="D1718" i="1" s="1"/>
  <c r="B1719" i="1"/>
  <c r="B505" i="1"/>
  <c r="C504" i="1"/>
  <c r="D504" i="1" s="1"/>
  <c r="H231" i="1" l="1"/>
  <c r="G231" i="1"/>
  <c r="C1719" i="1"/>
  <c r="D1719" i="1" s="1"/>
  <c r="B1720" i="1"/>
  <c r="C505" i="1"/>
  <c r="D505" i="1" s="1"/>
  <c r="B506" i="1"/>
  <c r="F231" i="1" l="1"/>
  <c r="I231" i="1" s="1"/>
  <c r="E232" i="1" s="1"/>
  <c r="C1720" i="1"/>
  <c r="D1720" i="1" s="1"/>
  <c r="B1721" i="1"/>
  <c r="C506" i="1"/>
  <c r="D506" i="1" s="1"/>
  <c r="B507" i="1"/>
  <c r="C1721" i="1" l="1"/>
  <c r="D1721" i="1" s="1"/>
  <c r="B1722" i="1"/>
  <c r="B508" i="1"/>
  <c r="C507" i="1"/>
  <c r="D507" i="1" s="1"/>
  <c r="G232" i="1" l="1"/>
  <c r="H232" i="1"/>
  <c r="C1722" i="1"/>
  <c r="D1722" i="1" s="1"/>
  <c r="B1723" i="1"/>
  <c r="B509" i="1"/>
  <c r="C508" i="1"/>
  <c r="D508" i="1" s="1"/>
  <c r="F232" i="1" l="1"/>
  <c r="I232" i="1" s="1"/>
  <c r="E233" i="1" s="1"/>
  <c r="C1723" i="1"/>
  <c r="D1723" i="1" s="1"/>
  <c r="B1724" i="1"/>
  <c r="C509" i="1"/>
  <c r="D509" i="1" s="1"/>
  <c r="B510" i="1"/>
  <c r="C1724" i="1" l="1"/>
  <c r="D1724" i="1" s="1"/>
  <c r="B1725" i="1"/>
  <c r="B511" i="1"/>
  <c r="C510" i="1"/>
  <c r="D510" i="1" s="1"/>
  <c r="H233" i="1" l="1"/>
  <c r="G233" i="1"/>
  <c r="C1725" i="1"/>
  <c r="D1725" i="1" s="1"/>
  <c r="B1726" i="1"/>
  <c r="B512" i="1"/>
  <c r="C511" i="1"/>
  <c r="D511" i="1" s="1"/>
  <c r="F233" i="1" l="1"/>
  <c r="I233" i="1" s="1"/>
  <c r="E234" i="1" s="1"/>
  <c r="C1726" i="1"/>
  <c r="D1726" i="1" s="1"/>
  <c r="B1727" i="1"/>
  <c r="B513" i="1"/>
  <c r="C512" i="1"/>
  <c r="D512" i="1" s="1"/>
  <c r="C1727" i="1" l="1"/>
  <c r="D1727" i="1" s="1"/>
  <c r="B1728" i="1"/>
  <c r="C513" i="1"/>
  <c r="D513" i="1" s="1"/>
  <c r="B514" i="1"/>
  <c r="G234" i="1" l="1"/>
  <c r="H234" i="1"/>
  <c r="C1728" i="1"/>
  <c r="D1728" i="1" s="1"/>
  <c r="B1729" i="1"/>
  <c r="B515" i="1"/>
  <c r="C514" i="1"/>
  <c r="D514" i="1" s="1"/>
  <c r="F234" i="1" l="1"/>
  <c r="I234" i="1" s="1"/>
  <c r="E235" i="1" s="1"/>
  <c r="C1729" i="1"/>
  <c r="D1729" i="1" s="1"/>
  <c r="B1730" i="1"/>
  <c r="C515" i="1"/>
  <c r="D515" i="1" s="1"/>
  <c r="B516" i="1"/>
  <c r="C1730" i="1" l="1"/>
  <c r="D1730" i="1" s="1"/>
  <c r="B1731" i="1"/>
  <c r="C516" i="1"/>
  <c r="D516" i="1" s="1"/>
  <c r="B517" i="1"/>
  <c r="G235" i="1" l="1"/>
  <c r="H235" i="1"/>
  <c r="C1731" i="1"/>
  <c r="D1731" i="1" s="1"/>
  <c r="B1732" i="1"/>
  <c r="C517" i="1"/>
  <c r="D517" i="1" s="1"/>
  <c r="B518" i="1"/>
  <c r="F235" i="1" l="1"/>
  <c r="I235" i="1" s="1"/>
  <c r="E236" i="1" s="1"/>
  <c r="C1732" i="1"/>
  <c r="D1732" i="1" s="1"/>
  <c r="B1733" i="1"/>
  <c r="C518" i="1"/>
  <c r="D518" i="1" s="1"/>
  <c r="B519" i="1"/>
  <c r="C1733" i="1" l="1"/>
  <c r="D1733" i="1" s="1"/>
  <c r="B1734" i="1"/>
  <c r="C519" i="1"/>
  <c r="D519" i="1" s="1"/>
  <c r="B520" i="1"/>
  <c r="G236" i="1" l="1"/>
  <c r="H236" i="1"/>
  <c r="C1734" i="1"/>
  <c r="D1734" i="1" s="1"/>
  <c r="B1735" i="1"/>
  <c r="B521" i="1"/>
  <c r="C520" i="1"/>
  <c r="D520" i="1" s="1"/>
  <c r="F236" i="1" l="1"/>
  <c r="I236" i="1" s="1"/>
  <c r="E237" i="1" s="1"/>
  <c r="C1735" i="1"/>
  <c r="D1735" i="1" s="1"/>
  <c r="B1736" i="1"/>
  <c r="C521" i="1"/>
  <c r="D521" i="1" s="1"/>
  <c r="B522" i="1"/>
  <c r="C1736" i="1" l="1"/>
  <c r="D1736" i="1" s="1"/>
  <c r="B1737" i="1"/>
  <c r="C522" i="1"/>
  <c r="D522" i="1" s="1"/>
  <c r="B523" i="1"/>
  <c r="H237" i="1" l="1"/>
  <c r="G237" i="1"/>
  <c r="C1737" i="1"/>
  <c r="D1737" i="1" s="1"/>
  <c r="B1738" i="1"/>
  <c r="B524" i="1"/>
  <c r="C523" i="1"/>
  <c r="D523" i="1" s="1"/>
  <c r="F237" i="1" l="1"/>
  <c r="I237" i="1" s="1"/>
  <c r="E238" i="1" s="1"/>
  <c r="C1738" i="1"/>
  <c r="D1738" i="1" s="1"/>
  <c r="B1739" i="1"/>
  <c r="C524" i="1"/>
  <c r="D524" i="1" s="1"/>
  <c r="B525" i="1"/>
  <c r="C1739" i="1" l="1"/>
  <c r="D1739" i="1" s="1"/>
  <c r="B1740" i="1"/>
  <c r="B526" i="1"/>
  <c r="C525" i="1"/>
  <c r="D525" i="1" s="1"/>
  <c r="H238" i="1" l="1"/>
  <c r="G238" i="1"/>
  <c r="C1740" i="1"/>
  <c r="D1740" i="1" s="1"/>
  <c r="B1741" i="1"/>
  <c r="B527" i="1"/>
  <c r="C526" i="1"/>
  <c r="D526" i="1" s="1"/>
  <c r="F238" i="1" l="1"/>
  <c r="I238" i="1" s="1"/>
  <c r="E239" i="1" s="1"/>
  <c r="C1741" i="1"/>
  <c r="D1741" i="1" s="1"/>
  <c r="B1742" i="1"/>
  <c r="C527" i="1"/>
  <c r="D527" i="1" s="1"/>
  <c r="B528" i="1"/>
  <c r="C1742" i="1" l="1"/>
  <c r="D1742" i="1" s="1"/>
  <c r="B1743" i="1"/>
  <c r="C528" i="1"/>
  <c r="D528" i="1" s="1"/>
  <c r="B529" i="1"/>
  <c r="H239" i="1" l="1"/>
  <c r="G239" i="1"/>
  <c r="C1743" i="1"/>
  <c r="D1743" i="1" s="1"/>
  <c r="B1744" i="1"/>
  <c r="C529" i="1"/>
  <c r="D529" i="1" s="1"/>
  <c r="B530" i="1"/>
  <c r="F239" i="1" l="1"/>
  <c r="I239" i="1" s="1"/>
  <c r="E240" i="1" s="1"/>
  <c r="C1744" i="1"/>
  <c r="D1744" i="1" s="1"/>
  <c r="B1745" i="1"/>
  <c r="C530" i="1"/>
  <c r="D530" i="1" s="1"/>
  <c r="B531" i="1"/>
  <c r="C1745" i="1" l="1"/>
  <c r="D1745" i="1" s="1"/>
  <c r="B1746" i="1"/>
  <c r="B532" i="1"/>
  <c r="C531" i="1"/>
  <c r="D531" i="1" s="1"/>
  <c r="G240" i="1" l="1"/>
  <c r="H240" i="1"/>
  <c r="C1746" i="1"/>
  <c r="D1746" i="1" s="1"/>
  <c r="B1747" i="1"/>
  <c r="C532" i="1"/>
  <c r="D532" i="1" s="1"/>
  <c r="B533" i="1"/>
  <c r="F240" i="1" l="1"/>
  <c r="I240" i="1" s="1"/>
  <c r="E241" i="1" s="1"/>
  <c r="C1747" i="1"/>
  <c r="D1747" i="1" s="1"/>
  <c r="B1748" i="1"/>
  <c r="B534" i="1"/>
  <c r="C533" i="1"/>
  <c r="D533" i="1" s="1"/>
  <c r="C1748" i="1" l="1"/>
  <c r="D1748" i="1" s="1"/>
  <c r="B1749" i="1"/>
  <c r="C534" i="1"/>
  <c r="D534" i="1" s="1"/>
  <c r="B535" i="1"/>
  <c r="H241" i="1" l="1"/>
  <c r="G241" i="1"/>
  <c r="C1749" i="1"/>
  <c r="D1749" i="1" s="1"/>
  <c r="B1750" i="1"/>
  <c r="C535" i="1"/>
  <c r="D535" i="1" s="1"/>
  <c r="B536" i="1"/>
  <c r="F241" i="1" l="1"/>
  <c r="I241" i="1" s="1"/>
  <c r="E242" i="1" s="1"/>
  <c r="C1750" i="1"/>
  <c r="D1750" i="1" s="1"/>
  <c r="B1751" i="1"/>
  <c r="C536" i="1"/>
  <c r="D536" i="1" s="1"/>
  <c r="B537" i="1"/>
  <c r="C1751" i="1" l="1"/>
  <c r="D1751" i="1" s="1"/>
  <c r="B1752" i="1"/>
  <c r="B538" i="1"/>
  <c r="C537" i="1"/>
  <c r="D537" i="1" s="1"/>
  <c r="H242" i="1" l="1"/>
  <c r="G242" i="1"/>
  <c r="C1752" i="1"/>
  <c r="D1752" i="1" s="1"/>
  <c r="B1753" i="1"/>
  <c r="C538" i="1"/>
  <c r="D538" i="1" s="1"/>
  <c r="B539" i="1"/>
  <c r="F242" i="1" l="1"/>
  <c r="I242" i="1" s="1"/>
  <c r="E243" i="1" s="1"/>
  <c r="C1753" i="1"/>
  <c r="D1753" i="1" s="1"/>
  <c r="B1754" i="1"/>
  <c r="C539" i="1"/>
  <c r="D539" i="1" s="1"/>
  <c r="B540" i="1"/>
  <c r="C1754" i="1" l="1"/>
  <c r="D1754" i="1" s="1"/>
  <c r="B1755" i="1"/>
  <c r="C540" i="1"/>
  <c r="D540" i="1" s="1"/>
  <c r="B541" i="1"/>
  <c r="H243" i="1" l="1"/>
  <c r="G243" i="1"/>
  <c r="C1755" i="1"/>
  <c r="D1755" i="1" s="1"/>
  <c r="B1756" i="1"/>
  <c r="B542" i="1"/>
  <c r="C541" i="1"/>
  <c r="D541" i="1" s="1"/>
  <c r="F243" i="1" l="1"/>
  <c r="I243" i="1" s="1"/>
  <c r="E244" i="1" s="1"/>
  <c r="C1756" i="1"/>
  <c r="D1756" i="1" s="1"/>
  <c r="B1757" i="1"/>
  <c r="C542" i="1"/>
  <c r="D542" i="1" s="1"/>
  <c r="B543" i="1"/>
  <c r="C1757" i="1" l="1"/>
  <c r="D1757" i="1" s="1"/>
  <c r="B1758" i="1"/>
  <c r="B544" i="1"/>
  <c r="C543" i="1"/>
  <c r="D543" i="1" s="1"/>
  <c r="G244" i="1" l="1"/>
  <c r="H244" i="1"/>
  <c r="C1758" i="1"/>
  <c r="D1758" i="1" s="1"/>
  <c r="B1759" i="1"/>
  <c r="C544" i="1"/>
  <c r="D544" i="1" s="1"/>
  <c r="B545" i="1"/>
  <c r="F244" i="1" l="1"/>
  <c r="I244" i="1" s="1"/>
  <c r="E245" i="1" s="1"/>
  <c r="C1759" i="1"/>
  <c r="D1759" i="1" s="1"/>
  <c r="B1760" i="1"/>
  <c r="C545" i="1"/>
  <c r="D545" i="1" s="1"/>
  <c r="B546" i="1"/>
  <c r="C1760" i="1" l="1"/>
  <c r="D1760" i="1" s="1"/>
  <c r="B1761" i="1"/>
  <c r="B547" i="1"/>
  <c r="C546" i="1"/>
  <c r="D546" i="1" s="1"/>
  <c r="G245" i="1" l="1"/>
  <c r="H245" i="1"/>
  <c r="C1761" i="1"/>
  <c r="D1761" i="1" s="1"/>
  <c r="B1762" i="1"/>
  <c r="B548" i="1"/>
  <c r="C547" i="1"/>
  <c r="D547" i="1" s="1"/>
  <c r="F245" i="1" l="1"/>
  <c r="I245" i="1" s="1"/>
  <c r="E246" i="1" s="1"/>
  <c r="C1762" i="1"/>
  <c r="D1762" i="1" s="1"/>
  <c r="B1763" i="1"/>
  <c r="B549" i="1"/>
  <c r="C548" i="1"/>
  <c r="D548" i="1" s="1"/>
  <c r="C1763" i="1" l="1"/>
  <c r="D1763" i="1" s="1"/>
  <c r="B1764" i="1"/>
  <c r="C549" i="1"/>
  <c r="D549" i="1" s="1"/>
  <c r="B550" i="1"/>
  <c r="G246" i="1" l="1"/>
  <c r="H246" i="1"/>
  <c r="C1764" i="1"/>
  <c r="D1764" i="1" s="1"/>
  <c r="B1765" i="1"/>
  <c r="C550" i="1"/>
  <c r="D550" i="1" s="1"/>
  <c r="B551" i="1"/>
  <c r="F246" i="1" l="1"/>
  <c r="I246" i="1" s="1"/>
  <c r="E247" i="1" s="1"/>
  <c r="C1765" i="1"/>
  <c r="D1765" i="1" s="1"/>
  <c r="B1766" i="1"/>
  <c r="B552" i="1"/>
  <c r="C551" i="1"/>
  <c r="D551" i="1" s="1"/>
  <c r="C1766" i="1" l="1"/>
  <c r="D1766" i="1" s="1"/>
  <c r="B1767" i="1"/>
  <c r="C552" i="1"/>
  <c r="D552" i="1" s="1"/>
  <c r="B553" i="1"/>
  <c r="H247" i="1" l="1"/>
  <c r="G247" i="1"/>
  <c r="C1767" i="1"/>
  <c r="D1767" i="1" s="1"/>
  <c r="B1768" i="1"/>
  <c r="C553" i="1"/>
  <c r="D553" i="1" s="1"/>
  <c r="B554" i="1"/>
  <c r="F247" i="1" l="1"/>
  <c r="I247" i="1" s="1"/>
  <c r="E248" i="1" s="1"/>
  <c r="C1768" i="1"/>
  <c r="D1768" i="1" s="1"/>
  <c r="B1769" i="1"/>
  <c r="B555" i="1"/>
  <c r="C554" i="1"/>
  <c r="D554" i="1" s="1"/>
  <c r="C1769" i="1" l="1"/>
  <c r="D1769" i="1" s="1"/>
  <c r="B1770" i="1"/>
  <c r="B556" i="1"/>
  <c r="C555" i="1"/>
  <c r="D555" i="1" s="1"/>
  <c r="H248" i="1" l="1"/>
  <c r="G248" i="1"/>
  <c r="C1770" i="1"/>
  <c r="D1770" i="1" s="1"/>
  <c r="B1771" i="1"/>
  <c r="B557" i="1"/>
  <c r="C556" i="1"/>
  <c r="D556" i="1" s="1"/>
  <c r="F248" i="1" l="1"/>
  <c r="I248" i="1" s="1"/>
  <c r="E249" i="1" s="1"/>
  <c r="C1771" i="1"/>
  <c r="D1771" i="1" s="1"/>
  <c r="B1772" i="1"/>
  <c r="B558" i="1"/>
  <c r="C557" i="1"/>
  <c r="D557" i="1" s="1"/>
  <c r="C1772" i="1" l="1"/>
  <c r="D1772" i="1" s="1"/>
  <c r="B1773" i="1"/>
  <c r="B559" i="1"/>
  <c r="C558" i="1"/>
  <c r="D558" i="1" s="1"/>
  <c r="H249" i="1" l="1"/>
  <c r="G249" i="1"/>
  <c r="C1773" i="1"/>
  <c r="D1773" i="1" s="1"/>
  <c r="B1774" i="1"/>
  <c r="C559" i="1"/>
  <c r="D559" i="1" s="1"/>
  <c r="B560" i="1"/>
  <c r="F249" i="1" l="1"/>
  <c r="I249" i="1" s="1"/>
  <c r="E250" i="1" s="1"/>
  <c r="C1774" i="1"/>
  <c r="D1774" i="1" s="1"/>
  <c r="B1775" i="1"/>
  <c r="C560" i="1"/>
  <c r="D560" i="1" s="1"/>
  <c r="B561" i="1"/>
  <c r="C1775" i="1" l="1"/>
  <c r="D1775" i="1" s="1"/>
  <c r="B1776" i="1"/>
  <c r="C561" i="1"/>
  <c r="D561" i="1" s="1"/>
  <c r="B562" i="1"/>
  <c r="H250" i="1" l="1"/>
  <c r="G250" i="1"/>
  <c r="C1776" i="1"/>
  <c r="D1776" i="1" s="1"/>
  <c r="B1777" i="1"/>
  <c r="B563" i="1"/>
  <c r="C562" i="1"/>
  <c r="D562" i="1" s="1"/>
  <c r="F250" i="1" l="1"/>
  <c r="I250" i="1" s="1"/>
  <c r="E251" i="1" s="1"/>
  <c r="B1778" i="1"/>
  <c r="C1777" i="1"/>
  <c r="D1777" i="1" s="1"/>
  <c r="C563" i="1"/>
  <c r="D563" i="1" s="1"/>
  <c r="B564" i="1"/>
  <c r="C1778" i="1" l="1"/>
  <c r="D1778" i="1" s="1"/>
  <c r="B1779" i="1"/>
  <c r="B565" i="1"/>
  <c r="C564" i="1"/>
  <c r="D564" i="1" s="1"/>
  <c r="G251" i="1" l="1"/>
  <c r="H251" i="1"/>
  <c r="C1779" i="1"/>
  <c r="D1779" i="1" s="1"/>
  <c r="B1780" i="1"/>
  <c r="C565" i="1"/>
  <c r="D565" i="1" s="1"/>
  <c r="B566" i="1"/>
  <c r="F251" i="1" l="1"/>
  <c r="I251" i="1" s="1"/>
  <c r="E252" i="1" s="1"/>
  <c r="C1780" i="1"/>
  <c r="D1780" i="1" s="1"/>
  <c r="B1781" i="1"/>
  <c r="C566" i="1"/>
  <c r="D566" i="1" s="1"/>
  <c r="B567" i="1"/>
  <c r="C1781" i="1" l="1"/>
  <c r="D1781" i="1" s="1"/>
  <c r="B1782" i="1"/>
  <c r="B568" i="1"/>
  <c r="C567" i="1"/>
  <c r="D567" i="1" s="1"/>
  <c r="H252" i="1" l="1"/>
  <c r="G252" i="1"/>
  <c r="C1782" i="1"/>
  <c r="D1782" i="1" s="1"/>
  <c r="B1783" i="1"/>
  <c r="B569" i="1"/>
  <c r="C568" i="1"/>
  <c r="D568" i="1" s="1"/>
  <c r="F252" i="1" l="1"/>
  <c r="I252" i="1" s="1"/>
  <c r="E253" i="1" s="1"/>
  <c r="C1783" i="1"/>
  <c r="D1783" i="1" s="1"/>
  <c r="B1784" i="1"/>
  <c r="C569" i="1"/>
  <c r="D569" i="1" s="1"/>
  <c r="B570" i="1"/>
  <c r="C1784" i="1" l="1"/>
  <c r="D1784" i="1" s="1"/>
  <c r="B1785" i="1"/>
  <c r="C570" i="1"/>
  <c r="D570" i="1" s="1"/>
  <c r="B571" i="1"/>
  <c r="G253" i="1" l="1"/>
  <c r="H253" i="1"/>
  <c r="C1785" i="1"/>
  <c r="D1785" i="1" s="1"/>
  <c r="B1786" i="1"/>
  <c r="C571" i="1"/>
  <c r="D571" i="1" s="1"/>
  <c r="B572" i="1"/>
  <c r="F253" i="1" l="1"/>
  <c r="I253" i="1" s="1"/>
  <c r="E254" i="1" s="1"/>
  <c r="C1786" i="1"/>
  <c r="D1786" i="1" s="1"/>
  <c r="B1787" i="1"/>
  <c r="B573" i="1"/>
  <c r="C572" i="1"/>
  <c r="D572" i="1" s="1"/>
  <c r="C1787" i="1" l="1"/>
  <c r="D1787" i="1" s="1"/>
  <c r="B1788" i="1"/>
  <c r="B574" i="1"/>
  <c r="C573" i="1"/>
  <c r="D573" i="1" s="1"/>
  <c r="H254" i="1" l="1"/>
  <c r="G254" i="1"/>
  <c r="C1788" i="1"/>
  <c r="D1788" i="1" s="1"/>
  <c r="B1789" i="1"/>
  <c r="C574" i="1"/>
  <c r="D574" i="1" s="1"/>
  <c r="B575" i="1"/>
  <c r="F254" i="1" l="1"/>
  <c r="I254" i="1" s="1"/>
  <c r="E255" i="1" s="1"/>
  <c r="C1789" i="1"/>
  <c r="D1789" i="1" s="1"/>
  <c r="B1790" i="1"/>
  <c r="C575" i="1"/>
  <c r="D575" i="1" s="1"/>
  <c r="B576" i="1"/>
  <c r="C1790" i="1" l="1"/>
  <c r="D1790" i="1" s="1"/>
  <c r="B1791" i="1"/>
  <c r="B577" i="1"/>
  <c r="C576" i="1"/>
  <c r="D576" i="1" s="1"/>
  <c r="H255" i="1" l="1"/>
  <c r="G255" i="1"/>
  <c r="C1791" i="1"/>
  <c r="D1791" i="1" s="1"/>
  <c r="B1792" i="1"/>
  <c r="C577" i="1"/>
  <c r="D577" i="1" s="1"/>
  <c r="B578" i="1"/>
  <c r="F255" i="1" l="1"/>
  <c r="C1792" i="1"/>
  <c r="D1792" i="1" s="1"/>
  <c r="B1793" i="1"/>
  <c r="C578" i="1"/>
  <c r="D578" i="1" s="1"/>
  <c r="B579" i="1"/>
  <c r="I255" i="1" l="1"/>
  <c r="E256" i="1" s="1"/>
  <c r="C1793" i="1"/>
  <c r="D1793" i="1" s="1"/>
  <c r="B1794" i="1"/>
  <c r="B580" i="1"/>
  <c r="C579" i="1"/>
  <c r="D579" i="1" s="1"/>
  <c r="H256" i="1" l="1"/>
  <c r="F256" i="1" s="1"/>
  <c r="G256" i="1"/>
  <c r="C1794" i="1"/>
  <c r="D1794" i="1" s="1"/>
  <c r="B1795" i="1"/>
  <c r="B581" i="1"/>
  <c r="C580" i="1"/>
  <c r="D580" i="1" s="1"/>
  <c r="I256" i="1" l="1"/>
  <c r="E257" i="1" s="1"/>
  <c r="C1795" i="1"/>
  <c r="D1795" i="1" s="1"/>
  <c r="B1796" i="1"/>
  <c r="C581" i="1"/>
  <c r="D581" i="1" s="1"/>
  <c r="B582" i="1"/>
  <c r="H257" i="1" l="1"/>
  <c r="G257" i="1"/>
  <c r="C1796" i="1"/>
  <c r="D1796" i="1" s="1"/>
  <c r="B1797" i="1"/>
  <c r="C582" i="1"/>
  <c r="D582" i="1" s="1"/>
  <c r="B583" i="1"/>
  <c r="F257" i="1" l="1"/>
  <c r="I257" i="1" s="1"/>
  <c r="E258" i="1" s="1"/>
  <c r="C1797" i="1"/>
  <c r="D1797" i="1" s="1"/>
  <c r="B1798" i="1"/>
  <c r="C583" i="1"/>
  <c r="D583" i="1" s="1"/>
  <c r="B584" i="1"/>
  <c r="C1798" i="1" l="1"/>
  <c r="D1798" i="1" s="1"/>
  <c r="B1799" i="1"/>
  <c r="C584" i="1"/>
  <c r="D584" i="1" s="1"/>
  <c r="B585" i="1"/>
  <c r="G258" i="1" l="1"/>
  <c r="H258" i="1"/>
  <c r="C1799" i="1"/>
  <c r="D1799" i="1" s="1"/>
  <c r="B1800" i="1"/>
  <c r="C585" i="1"/>
  <c r="D585" i="1" s="1"/>
  <c r="B586" i="1"/>
  <c r="F258" i="1" l="1"/>
  <c r="I258" i="1" s="1"/>
  <c r="E259" i="1" s="1"/>
  <c r="C1800" i="1"/>
  <c r="D1800" i="1" s="1"/>
  <c r="B1801" i="1"/>
  <c r="C586" i="1"/>
  <c r="D586" i="1" s="1"/>
  <c r="B587" i="1"/>
  <c r="C1801" i="1" l="1"/>
  <c r="D1801" i="1" s="1"/>
  <c r="B1802" i="1"/>
  <c r="B588" i="1"/>
  <c r="C587" i="1"/>
  <c r="D587" i="1" s="1"/>
  <c r="G259" i="1" l="1"/>
  <c r="H259" i="1"/>
  <c r="C1802" i="1"/>
  <c r="D1802" i="1" s="1"/>
  <c r="B1803" i="1"/>
  <c r="C588" i="1"/>
  <c r="D588" i="1" s="1"/>
  <c r="B589" i="1"/>
  <c r="F259" i="1" l="1"/>
  <c r="I259" i="1" s="1"/>
  <c r="E260" i="1" s="1"/>
  <c r="B1804" i="1"/>
  <c r="C1803" i="1"/>
  <c r="D1803" i="1" s="1"/>
  <c r="C589" i="1"/>
  <c r="D589" i="1" s="1"/>
  <c r="B590" i="1"/>
  <c r="C1804" i="1" l="1"/>
  <c r="D1804" i="1" s="1"/>
  <c r="B1805" i="1"/>
  <c r="C590" i="1"/>
  <c r="D590" i="1" s="1"/>
  <c r="B591" i="1"/>
  <c r="H260" i="1" l="1"/>
  <c r="G260" i="1"/>
  <c r="C1805" i="1"/>
  <c r="D1805" i="1" s="1"/>
  <c r="B1806" i="1"/>
  <c r="B592" i="1"/>
  <c r="C591" i="1"/>
  <c r="D591" i="1" s="1"/>
  <c r="F260" i="1" l="1"/>
  <c r="I260" i="1" s="1"/>
  <c r="E261" i="1" s="1"/>
  <c r="C1806" i="1"/>
  <c r="D1806" i="1" s="1"/>
  <c r="B1807" i="1"/>
  <c r="B593" i="1"/>
  <c r="C592" i="1"/>
  <c r="D592" i="1" s="1"/>
  <c r="C1807" i="1" l="1"/>
  <c r="D1807" i="1" s="1"/>
  <c r="B1808" i="1"/>
  <c r="C593" i="1"/>
  <c r="D593" i="1" s="1"/>
  <c r="B594" i="1"/>
  <c r="H261" i="1" l="1"/>
  <c r="G261" i="1"/>
  <c r="C1808" i="1"/>
  <c r="D1808" i="1" s="1"/>
  <c r="B1809" i="1"/>
  <c r="C594" i="1"/>
  <c r="D594" i="1" s="1"/>
  <c r="B595" i="1"/>
  <c r="F261" i="1" l="1"/>
  <c r="C1809" i="1"/>
  <c r="D1809" i="1" s="1"/>
  <c r="B1810" i="1"/>
  <c r="B596" i="1"/>
  <c r="C595" i="1"/>
  <c r="D595" i="1" s="1"/>
  <c r="I261" i="1" l="1"/>
  <c r="E262" i="1" s="1"/>
  <c r="C1810" i="1"/>
  <c r="D1810" i="1" s="1"/>
  <c r="B1811" i="1"/>
  <c r="C596" i="1"/>
  <c r="D596" i="1" s="1"/>
  <c r="B597" i="1"/>
  <c r="G262" i="1" l="1"/>
  <c r="H262" i="1"/>
  <c r="C1811" i="1"/>
  <c r="D1811" i="1" s="1"/>
  <c r="B1812" i="1"/>
  <c r="C597" i="1"/>
  <c r="D597" i="1" s="1"/>
  <c r="B598" i="1"/>
  <c r="F262" i="1" l="1"/>
  <c r="I262" i="1" s="1"/>
  <c r="E263" i="1" s="1"/>
  <c r="C1812" i="1"/>
  <c r="D1812" i="1" s="1"/>
  <c r="B1813" i="1"/>
  <c r="B599" i="1"/>
  <c r="C598" i="1"/>
  <c r="D598" i="1" s="1"/>
  <c r="G263" i="1" l="1"/>
  <c r="H263" i="1"/>
  <c r="C1813" i="1"/>
  <c r="D1813" i="1" s="1"/>
  <c r="B1814" i="1"/>
  <c r="C599" i="1"/>
  <c r="D599" i="1" s="1"/>
  <c r="B600" i="1"/>
  <c r="F263" i="1" l="1"/>
  <c r="I263" i="1" s="1"/>
  <c r="E264" i="1" s="1"/>
  <c r="C1814" i="1"/>
  <c r="D1814" i="1" s="1"/>
  <c r="B1815" i="1"/>
  <c r="C600" i="1"/>
  <c r="D600" i="1" s="1"/>
  <c r="B601" i="1"/>
  <c r="C1815" i="1" l="1"/>
  <c r="D1815" i="1" s="1"/>
  <c r="B1816" i="1"/>
  <c r="B602" i="1"/>
  <c r="C601" i="1"/>
  <c r="D601" i="1" s="1"/>
  <c r="H264" i="1" l="1"/>
  <c r="G264" i="1"/>
  <c r="C1816" i="1"/>
  <c r="D1816" i="1" s="1"/>
  <c r="B1817" i="1"/>
  <c r="B603" i="1"/>
  <c r="C602" i="1"/>
  <c r="D602" i="1" s="1"/>
  <c r="F264" i="1" l="1"/>
  <c r="I264" i="1" s="1"/>
  <c r="E265" i="1" s="1"/>
  <c r="B1818" i="1"/>
  <c r="C1817" i="1"/>
  <c r="D1817" i="1" s="1"/>
  <c r="C603" i="1"/>
  <c r="D603" i="1" s="1"/>
  <c r="B604" i="1"/>
  <c r="C1818" i="1" l="1"/>
  <c r="D1818" i="1" s="1"/>
  <c r="B1819" i="1"/>
  <c r="B605" i="1"/>
  <c r="C604" i="1"/>
  <c r="D604" i="1" s="1"/>
  <c r="H265" i="1" l="1"/>
  <c r="G265" i="1"/>
  <c r="B1820" i="1"/>
  <c r="C1819" i="1"/>
  <c r="D1819" i="1" s="1"/>
  <c r="C605" i="1"/>
  <c r="D605" i="1" s="1"/>
  <c r="B606" i="1"/>
  <c r="F265" i="1" l="1"/>
  <c r="I265" i="1" s="1"/>
  <c r="E266" i="1" s="1"/>
  <c r="B1821" i="1"/>
  <c r="C1820" i="1"/>
  <c r="D1820" i="1" s="1"/>
  <c r="C606" i="1"/>
  <c r="D606" i="1" s="1"/>
  <c r="B607" i="1"/>
  <c r="C1821" i="1" l="1"/>
  <c r="D1821" i="1" s="1"/>
  <c r="B1822" i="1"/>
  <c r="C607" i="1"/>
  <c r="D607" i="1" s="1"/>
  <c r="B608" i="1"/>
  <c r="G266" i="1" l="1"/>
  <c r="H266" i="1"/>
  <c r="B1823" i="1"/>
  <c r="C1822" i="1"/>
  <c r="D1822" i="1" s="1"/>
  <c r="B609" i="1"/>
  <c r="C608" i="1"/>
  <c r="D608" i="1" s="1"/>
  <c r="F266" i="1" l="1"/>
  <c r="I266" i="1" s="1"/>
  <c r="E267" i="1" s="1"/>
  <c r="C1823" i="1"/>
  <c r="D1823" i="1" s="1"/>
  <c r="B1824" i="1"/>
  <c r="B610" i="1"/>
  <c r="C609" i="1"/>
  <c r="D609" i="1" s="1"/>
  <c r="C1824" i="1" l="1"/>
  <c r="D1824" i="1" s="1"/>
  <c r="B1825" i="1"/>
  <c r="C610" i="1"/>
  <c r="D610" i="1" s="1"/>
  <c r="B611" i="1"/>
  <c r="H267" i="1" l="1"/>
  <c r="G267" i="1"/>
  <c r="C1825" i="1"/>
  <c r="D1825" i="1" s="1"/>
  <c r="B1826" i="1"/>
  <c r="C611" i="1"/>
  <c r="D611" i="1" s="1"/>
  <c r="B612" i="1"/>
  <c r="F267" i="1" l="1"/>
  <c r="I267" i="1" s="1"/>
  <c r="E268" i="1" s="1"/>
  <c r="C1826" i="1"/>
  <c r="D1826" i="1" s="1"/>
  <c r="B1827" i="1"/>
  <c r="C612" i="1"/>
  <c r="D612" i="1" s="1"/>
  <c r="B613" i="1"/>
  <c r="C1827" i="1" l="1"/>
  <c r="D1827" i="1" s="1"/>
  <c r="B1828" i="1"/>
  <c r="C613" i="1"/>
  <c r="D613" i="1" s="1"/>
  <c r="B614" i="1"/>
  <c r="H268" i="1" l="1"/>
  <c r="G268" i="1"/>
  <c r="C1828" i="1"/>
  <c r="D1828" i="1" s="1"/>
  <c r="B1829" i="1"/>
  <c r="C614" i="1"/>
  <c r="D614" i="1" s="1"/>
  <c r="B615" i="1"/>
  <c r="F268" i="1" l="1"/>
  <c r="C1829" i="1"/>
  <c r="D1829" i="1" s="1"/>
  <c r="B1830" i="1"/>
  <c r="C615" i="1"/>
  <c r="D615" i="1" s="1"/>
  <c r="B616" i="1"/>
  <c r="I268" i="1" l="1"/>
  <c r="E269" i="1" s="1"/>
  <c r="C1830" i="1"/>
  <c r="D1830" i="1" s="1"/>
  <c r="B1831" i="1"/>
  <c r="B617" i="1"/>
  <c r="C616" i="1"/>
  <c r="D616" i="1" s="1"/>
  <c r="H269" i="1" l="1"/>
  <c r="F269" i="1" s="1"/>
  <c r="G269" i="1"/>
  <c r="B1832" i="1"/>
  <c r="C1831" i="1"/>
  <c r="D1831" i="1" s="1"/>
  <c r="B618" i="1"/>
  <c r="C617" i="1"/>
  <c r="D617" i="1" s="1"/>
  <c r="I269" i="1" l="1"/>
  <c r="E270" i="1" s="1"/>
  <c r="B1833" i="1"/>
  <c r="C1832" i="1"/>
  <c r="D1832" i="1" s="1"/>
  <c r="B619" i="1"/>
  <c r="C618" i="1"/>
  <c r="D618" i="1" s="1"/>
  <c r="H270" i="1" l="1"/>
  <c r="F270" i="1" s="1"/>
  <c r="G270" i="1"/>
  <c r="C1833" i="1"/>
  <c r="D1833" i="1" s="1"/>
  <c r="B1834" i="1"/>
  <c r="C619" i="1"/>
  <c r="D619" i="1" s="1"/>
  <c r="B620" i="1"/>
  <c r="I270" i="1" l="1"/>
  <c r="E271" i="1" s="1"/>
  <c r="C1834" i="1"/>
  <c r="D1834" i="1" s="1"/>
  <c r="B1835" i="1"/>
  <c r="C620" i="1"/>
  <c r="D620" i="1" s="1"/>
  <c r="B621" i="1"/>
  <c r="G271" i="1" l="1"/>
  <c r="H271" i="1"/>
  <c r="C1835" i="1"/>
  <c r="D1835" i="1" s="1"/>
  <c r="B1836" i="1"/>
  <c r="C621" i="1"/>
  <c r="D621" i="1" s="1"/>
  <c r="B622" i="1"/>
  <c r="F271" i="1" l="1"/>
  <c r="I271" i="1" s="1"/>
  <c r="E272" i="1" s="1"/>
  <c r="C1836" i="1"/>
  <c r="D1836" i="1" s="1"/>
  <c r="B1837" i="1"/>
  <c r="B623" i="1"/>
  <c r="C622" i="1"/>
  <c r="D622" i="1" s="1"/>
  <c r="C1837" i="1" l="1"/>
  <c r="D1837" i="1" s="1"/>
  <c r="B1838" i="1"/>
  <c r="B624" i="1"/>
  <c r="C623" i="1"/>
  <c r="D623" i="1" s="1"/>
  <c r="G272" i="1" l="1"/>
  <c r="H272" i="1"/>
  <c r="C1838" i="1"/>
  <c r="D1838" i="1" s="1"/>
  <c r="B1839" i="1"/>
  <c r="C624" i="1"/>
  <c r="D624" i="1" s="1"/>
  <c r="B625" i="1"/>
  <c r="F272" i="1" l="1"/>
  <c r="I272" i="1" s="1"/>
  <c r="E273" i="1" s="1"/>
  <c r="C1839" i="1"/>
  <c r="D1839" i="1" s="1"/>
  <c r="B1840" i="1"/>
  <c r="C625" i="1"/>
  <c r="D625" i="1" s="1"/>
  <c r="B626" i="1"/>
  <c r="C1840" i="1" l="1"/>
  <c r="D1840" i="1" s="1"/>
  <c r="B1841" i="1"/>
  <c r="B627" i="1"/>
  <c r="C626" i="1"/>
  <c r="D626" i="1" s="1"/>
  <c r="H273" i="1" l="1"/>
  <c r="G273" i="1"/>
  <c r="C1841" i="1"/>
  <c r="D1841" i="1" s="1"/>
  <c r="B1842" i="1"/>
  <c r="B628" i="1"/>
  <c r="C627" i="1"/>
  <c r="D627" i="1" s="1"/>
  <c r="F273" i="1" l="1"/>
  <c r="I273" i="1" s="1"/>
  <c r="E274" i="1" s="1"/>
  <c r="C1842" i="1"/>
  <c r="D1842" i="1" s="1"/>
  <c r="B1843" i="1"/>
  <c r="C628" i="1"/>
  <c r="D628" i="1" s="1"/>
  <c r="B629" i="1"/>
  <c r="C1843" i="1" l="1"/>
  <c r="D1843" i="1" s="1"/>
  <c r="B1844" i="1"/>
  <c r="B630" i="1"/>
  <c r="C629" i="1"/>
  <c r="D629" i="1" s="1"/>
  <c r="H274" i="1" l="1"/>
  <c r="G274" i="1"/>
  <c r="C1844" i="1"/>
  <c r="D1844" i="1" s="1"/>
  <c r="B1845" i="1"/>
  <c r="B631" i="1"/>
  <c r="C630" i="1"/>
  <c r="D630" i="1" s="1"/>
  <c r="F274" i="1" l="1"/>
  <c r="I274" i="1" s="1"/>
  <c r="E275" i="1" s="1"/>
  <c r="C1845" i="1"/>
  <c r="D1845" i="1" s="1"/>
  <c r="B1846" i="1"/>
  <c r="C631" i="1"/>
  <c r="D631" i="1" s="1"/>
  <c r="B632" i="1"/>
  <c r="C1846" i="1" l="1"/>
  <c r="D1846" i="1" s="1"/>
  <c r="B1847" i="1"/>
  <c r="C632" i="1"/>
  <c r="D632" i="1" s="1"/>
  <c r="B633" i="1"/>
  <c r="G275" i="1" l="1"/>
  <c r="H275" i="1"/>
  <c r="C1847" i="1"/>
  <c r="D1847" i="1" s="1"/>
  <c r="B1848" i="1"/>
  <c r="B634" i="1"/>
  <c r="C633" i="1"/>
  <c r="D633" i="1" s="1"/>
  <c r="F275" i="1" l="1"/>
  <c r="I275" i="1" s="1"/>
  <c r="E276" i="1" s="1"/>
  <c r="C1848" i="1"/>
  <c r="D1848" i="1" s="1"/>
  <c r="B1849" i="1"/>
  <c r="C634" i="1"/>
  <c r="D634" i="1" s="1"/>
  <c r="B635" i="1"/>
  <c r="C1849" i="1" l="1"/>
  <c r="D1849" i="1" s="1"/>
  <c r="B1850" i="1"/>
  <c r="B636" i="1"/>
  <c r="C635" i="1"/>
  <c r="D635" i="1" s="1"/>
  <c r="H276" i="1" l="1"/>
  <c r="G276" i="1"/>
  <c r="C1850" i="1"/>
  <c r="D1850" i="1" s="1"/>
  <c r="B1851" i="1"/>
  <c r="C636" i="1"/>
  <c r="D636" i="1" s="1"/>
  <c r="B637" i="1"/>
  <c r="F276" i="1" l="1"/>
  <c r="I276" i="1" s="1"/>
  <c r="E277" i="1" s="1"/>
  <c r="C1851" i="1"/>
  <c r="D1851" i="1" s="1"/>
  <c r="B1852" i="1"/>
  <c r="B638" i="1"/>
  <c r="C637" i="1"/>
  <c r="D637" i="1" s="1"/>
  <c r="C1852" i="1" l="1"/>
  <c r="D1852" i="1" s="1"/>
  <c r="B1853" i="1"/>
  <c r="C638" i="1"/>
  <c r="D638" i="1" s="1"/>
  <c r="B639" i="1"/>
  <c r="G277" i="1" l="1"/>
  <c r="H277" i="1"/>
  <c r="C1853" i="1"/>
  <c r="D1853" i="1" s="1"/>
  <c r="B1854" i="1"/>
  <c r="B640" i="1"/>
  <c r="C639" i="1"/>
  <c r="D639" i="1" s="1"/>
  <c r="F277" i="1" l="1"/>
  <c r="I277" i="1" s="1"/>
  <c r="E278" i="1" s="1"/>
  <c r="C1854" i="1"/>
  <c r="D1854" i="1" s="1"/>
  <c r="B1855" i="1"/>
  <c r="C640" i="1"/>
  <c r="D640" i="1" s="1"/>
  <c r="B641" i="1"/>
  <c r="C1855" i="1" l="1"/>
  <c r="D1855" i="1" s="1"/>
  <c r="B1856" i="1"/>
  <c r="B642" i="1"/>
  <c r="C641" i="1"/>
  <c r="D641" i="1" s="1"/>
  <c r="G278" i="1" l="1"/>
  <c r="H278" i="1"/>
  <c r="C1856" i="1"/>
  <c r="D1856" i="1" s="1"/>
  <c r="B1857" i="1"/>
  <c r="B643" i="1"/>
  <c r="C642" i="1"/>
  <c r="D642" i="1" s="1"/>
  <c r="F278" i="1" l="1"/>
  <c r="I278" i="1" s="1"/>
  <c r="E279" i="1" s="1"/>
  <c r="C1857" i="1"/>
  <c r="D1857" i="1" s="1"/>
  <c r="B1858" i="1"/>
  <c r="B644" i="1"/>
  <c r="C643" i="1"/>
  <c r="D643" i="1" s="1"/>
  <c r="C1858" i="1" l="1"/>
  <c r="D1858" i="1" s="1"/>
  <c r="B1859" i="1"/>
  <c r="B645" i="1"/>
  <c r="C644" i="1"/>
  <c r="D644" i="1" s="1"/>
  <c r="H279" i="1" l="1"/>
  <c r="G279" i="1"/>
  <c r="C1859" i="1"/>
  <c r="D1859" i="1" s="1"/>
  <c r="B1860" i="1"/>
  <c r="C645" i="1"/>
  <c r="D645" i="1" s="1"/>
  <c r="B646" i="1"/>
  <c r="F279" i="1" l="1"/>
  <c r="I279" i="1" s="1"/>
  <c r="E280" i="1" s="1"/>
  <c r="C1860" i="1"/>
  <c r="D1860" i="1" s="1"/>
  <c r="B1861" i="1"/>
  <c r="B647" i="1"/>
  <c r="C646" i="1"/>
  <c r="D646" i="1" s="1"/>
  <c r="C1861" i="1" l="1"/>
  <c r="D1861" i="1" s="1"/>
  <c r="B1862" i="1"/>
  <c r="B648" i="1"/>
  <c r="C647" i="1"/>
  <c r="D647" i="1" s="1"/>
  <c r="H280" i="1" l="1"/>
  <c r="G280" i="1"/>
  <c r="C1862" i="1"/>
  <c r="D1862" i="1" s="1"/>
  <c r="B1863" i="1"/>
  <c r="B649" i="1"/>
  <c r="C648" i="1"/>
  <c r="D648" i="1" s="1"/>
  <c r="F280" i="1" l="1"/>
  <c r="I280" i="1" s="1"/>
  <c r="E281" i="1" s="1"/>
  <c r="C1863" i="1"/>
  <c r="D1863" i="1" s="1"/>
  <c r="B1864" i="1"/>
  <c r="B650" i="1"/>
  <c r="C649" i="1"/>
  <c r="D649" i="1" s="1"/>
  <c r="C1864" i="1" l="1"/>
  <c r="D1864" i="1" s="1"/>
  <c r="B1865" i="1"/>
  <c r="B651" i="1"/>
  <c r="C650" i="1"/>
  <c r="D650" i="1" s="1"/>
  <c r="H281" i="1" l="1"/>
  <c r="G281" i="1"/>
  <c r="C1865" i="1"/>
  <c r="D1865" i="1" s="1"/>
  <c r="B1866" i="1"/>
  <c r="B652" i="1"/>
  <c r="C651" i="1"/>
  <c r="D651" i="1" s="1"/>
  <c r="F281" i="1" l="1"/>
  <c r="I281" i="1" s="1"/>
  <c r="E282" i="1" s="1"/>
  <c r="C1866" i="1"/>
  <c r="D1866" i="1" s="1"/>
  <c r="B1867" i="1"/>
  <c r="C652" i="1"/>
  <c r="D652" i="1" s="1"/>
  <c r="B653" i="1"/>
  <c r="C1867" i="1" l="1"/>
  <c r="D1867" i="1" s="1"/>
  <c r="B1868" i="1"/>
  <c r="C653" i="1"/>
  <c r="D653" i="1" s="1"/>
  <c r="B654" i="1"/>
  <c r="H282" i="1" l="1"/>
  <c r="G282" i="1"/>
  <c r="C1868" i="1"/>
  <c r="D1868" i="1" s="1"/>
  <c r="B1869" i="1"/>
  <c r="B655" i="1"/>
  <c r="C654" i="1"/>
  <c r="D654" i="1" s="1"/>
  <c r="F282" i="1" l="1"/>
  <c r="I282" i="1" s="1"/>
  <c r="E283" i="1" s="1"/>
  <c r="C1869" i="1"/>
  <c r="D1869" i="1" s="1"/>
  <c r="B1870" i="1"/>
  <c r="C655" i="1"/>
  <c r="D655" i="1" s="1"/>
  <c r="B656" i="1"/>
  <c r="C1870" i="1" l="1"/>
  <c r="D1870" i="1" s="1"/>
  <c r="B1871" i="1"/>
  <c r="C656" i="1"/>
  <c r="D656" i="1" s="1"/>
  <c r="B657" i="1"/>
  <c r="G283" i="1" l="1"/>
  <c r="H283" i="1"/>
  <c r="C1871" i="1"/>
  <c r="D1871" i="1" s="1"/>
  <c r="B1872" i="1"/>
  <c r="C657" i="1"/>
  <c r="D657" i="1" s="1"/>
  <c r="B658" i="1"/>
  <c r="F283" i="1" l="1"/>
  <c r="I283" i="1" s="1"/>
  <c r="E284" i="1" s="1"/>
  <c r="C1872" i="1"/>
  <c r="D1872" i="1" s="1"/>
  <c r="B1873" i="1"/>
  <c r="B659" i="1"/>
  <c r="C658" i="1"/>
  <c r="D658" i="1" s="1"/>
  <c r="C1873" i="1" l="1"/>
  <c r="D1873" i="1" s="1"/>
  <c r="B1874" i="1"/>
  <c r="B660" i="1"/>
  <c r="C659" i="1"/>
  <c r="D659" i="1" s="1"/>
  <c r="H284" i="1" l="1"/>
  <c r="G284" i="1"/>
  <c r="C1874" i="1"/>
  <c r="D1874" i="1" s="1"/>
  <c r="B1875" i="1"/>
  <c r="B661" i="1"/>
  <c r="C660" i="1"/>
  <c r="D660" i="1" s="1"/>
  <c r="F284" i="1" l="1"/>
  <c r="I284" i="1" s="1"/>
  <c r="E285" i="1" s="1"/>
  <c r="C1875" i="1"/>
  <c r="D1875" i="1" s="1"/>
  <c r="B1876" i="1"/>
  <c r="C661" i="1"/>
  <c r="D661" i="1" s="1"/>
  <c r="B662" i="1"/>
  <c r="C1876" i="1" l="1"/>
  <c r="D1876" i="1" s="1"/>
  <c r="B1877" i="1"/>
  <c r="C662" i="1"/>
  <c r="D662" i="1" s="1"/>
  <c r="B663" i="1"/>
  <c r="G285" i="1" l="1"/>
  <c r="H285" i="1"/>
  <c r="C1877" i="1"/>
  <c r="D1877" i="1" s="1"/>
  <c r="B1878" i="1"/>
  <c r="C663" i="1"/>
  <c r="D663" i="1" s="1"/>
  <c r="B664" i="1"/>
  <c r="F285" i="1" l="1"/>
  <c r="I285" i="1" s="1"/>
  <c r="E286" i="1" s="1"/>
  <c r="C1878" i="1"/>
  <c r="D1878" i="1" s="1"/>
  <c r="B1879" i="1"/>
  <c r="C664" i="1"/>
  <c r="D664" i="1" s="1"/>
  <c r="B665" i="1"/>
  <c r="C1879" i="1" l="1"/>
  <c r="D1879" i="1" s="1"/>
  <c r="B1880" i="1"/>
  <c r="B666" i="1"/>
  <c r="C665" i="1"/>
  <c r="D665" i="1" s="1"/>
  <c r="H286" i="1" l="1"/>
  <c r="G286" i="1"/>
  <c r="C1880" i="1"/>
  <c r="D1880" i="1" s="1"/>
  <c r="B1881" i="1"/>
  <c r="B667" i="1"/>
  <c r="C666" i="1"/>
  <c r="D666" i="1" s="1"/>
  <c r="F286" i="1" l="1"/>
  <c r="I286" i="1" s="1"/>
  <c r="E287" i="1" s="1"/>
  <c r="C1881" i="1"/>
  <c r="D1881" i="1" s="1"/>
  <c r="B1882" i="1"/>
  <c r="C667" i="1"/>
  <c r="D667" i="1" s="1"/>
  <c r="B668" i="1"/>
  <c r="C1882" i="1" l="1"/>
  <c r="D1882" i="1" s="1"/>
  <c r="B1883" i="1"/>
  <c r="B669" i="1"/>
  <c r="C668" i="1"/>
  <c r="D668" i="1" s="1"/>
  <c r="H287" i="1" l="1"/>
  <c r="G287" i="1"/>
  <c r="C1883" i="1"/>
  <c r="D1883" i="1" s="1"/>
  <c r="B1884" i="1"/>
  <c r="C669" i="1"/>
  <c r="D669" i="1" s="1"/>
  <c r="B670" i="1"/>
  <c r="F287" i="1" l="1"/>
  <c r="I287" i="1" s="1"/>
  <c r="E288" i="1" s="1"/>
  <c r="C1884" i="1"/>
  <c r="D1884" i="1" s="1"/>
  <c r="B1885" i="1"/>
  <c r="B671" i="1"/>
  <c r="C670" i="1"/>
  <c r="D670" i="1" s="1"/>
  <c r="C1885" i="1" l="1"/>
  <c r="D1885" i="1" s="1"/>
  <c r="B1886" i="1"/>
  <c r="B672" i="1"/>
  <c r="C671" i="1"/>
  <c r="D671" i="1" s="1"/>
  <c r="G288" i="1" l="1"/>
  <c r="H288" i="1"/>
  <c r="C1886" i="1"/>
  <c r="D1886" i="1" s="1"/>
  <c r="B1887" i="1"/>
  <c r="B673" i="1"/>
  <c r="C672" i="1"/>
  <c r="D672" i="1" s="1"/>
  <c r="F288" i="1" l="1"/>
  <c r="I288" i="1" s="1"/>
  <c r="E289" i="1" s="1"/>
  <c r="C1887" i="1"/>
  <c r="D1887" i="1" s="1"/>
  <c r="B1888" i="1"/>
  <c r="C673" i="1"/>
  <c r="D673" i="1" s="1"/>
  <c r="B674" i="1"/>
  <c r="C1888" i="1" l="1"/>
  <c r="D1888" i="1" s="1"/>
  <c r="B1889" i="1"/>
  <c r="C674" i="1"/>
  <c r="D674" i="1" s="1"/>
  <c r="B675" i="1"/>
  <c r="H289" i="1" l="1"/>
  <c r="G289" i="1"/>
  <c r="C1889" i="1"/>
  <c r="D1889" i="1" s="1"/>
  <c r="B1890" i="1"/>
  <c r="C675" i="1"/>
  <c r="D675" i="1" s="1"/>
  <c r="B676" i="1"/>
  <c r="F289" i="1" l="1"/>
  <c r="I289" i="1" s="1"/>
  <c r="E290" i="1" s="1"/>
  <c r="C1890" i="1"/>
  <c r="D1890" i="1" s="1"/>
  <c r="B1891" i="1"/>
  <c r="B677" i="1"/>
  <c r="C676" i="1"/>
  <c r="D676" i="1" s="1"/>
  <c r="C1891" i="1" l="1"/>
  <c r="D1891" i="1" s="1"/>
  <c r="B1892" i="1"/>
  <c r="C677" i="1"/>
  <c r="D677" i="1" s="1"/>
  <c r="B678" i="1"/>
  <c r="H290" i="1" l="1"/>
  <c r="G290" i="1"/>
  <c r="C1892" i="1"/>
  <c r="D1892" i="1" s="1"/>
  <c r="B1893" i="1"/>
  <c r="B679" i="1"/>
  <c r="C678" i="1"/>
  <c r="D678" i="1" s="1"/>
  <c r="F290" i="1" l="1"/>
  <c r="C1893" i="1"/>
  <c r="D1893" i="1" s="1"/>
  <c r="B1894" i="1"/>
  <c r="C679" i="1"/>
  <c r="D679" i="1" s="1"/>
  <c r="B680" i="1"/>
  <c r="I290" i="1" l="1"/>
  <c r="E291" i="1" s="1"/>
  <c r="C1894" i="1"/>
  <c r="D1894" i="1" s="1"/>
  <c r="B1895" i="1"/>
  <c r="B681" i="1"/>
  <c r="C680" i="1"/>
  <c r="D680" i="1" s="1"/>
  <c r="H291" i="1" l="1"/>
  <c r="F291" i="1" s="1"/>
  <c r="G291" i="1"/>
  <c r="C1895" i="1"/>
  <c r="D1895" i="1" s="1"/>
  <c r="B1896" i="1"/>
  <c r="C681" i="1"/>
  <c r="D681" i="1" s="1"/>
  <c r="B682" i="1"/>
  <c r="I291" i="1" l="1"/>
  <c r="E292" i="1" s="1"/>
  <c r="C1896" i="1"/>
  <c r="D1896" i="1" s="1"/>
  <c r="B1897" i="1"/>
  <c r="C682" i="1"/>
  <c r="D682" i="1" s="1"/>
  <c r="B683" i="1"/>
  <c r="G292" i="1" l="1"/>
  <c r="H292" i="1"/>
  <c r="C1897" i="1"/>
  <c r="D1897" i="1" s="1"/>
  <c r="B1898" i="1"/>
  <c r="B684" i="1"/>
  <c r="C683" i="1"/>
  <c r="D683" i="1" s="1"/>
  <c r="F292" i="1" l="1"/>
  <c r="I292" i="1" s="1"/>
  <c r="E293" i="1" s="1"/>
  <c r="B1899" i="1"/>
  <c r="C1898" i="1"/>
  <c r="D1898" i="1" s="1"/>
  <c r="C684" i="1"/>
  <c r="D684" i="1" s="1"/>
  <c r="B685" i="1"/>
  <c r="C1899" i="1" l="1"/>
  <c r="D1899" i="1" s="1"/>
  <c r="B1900" i="1"/>
  <c r="C685" i="1"/>
  <c r="D685" i="1" s="1"/>
  <c r="B686" i="1"/>
  <c r="G293" i="1" l="1"/>
  <c r="H293" i="1"/>
  <c r="C1900" i="1"/>
  <c r="D1900" i="1" s="1"/>
  <c r="B1901" i="1"/>
  <c r="B687" i="1"/>
  <c r="C686" i="1"/>
  <c r="D686" i="1" s="1"/>
  <c r="F293" i="1" l="1"/>
  <c r="I293" i="1" s="1"/>
  <c r="E294" i="1" s="1"/>
  <c r="C1901" i="1"/>
  <c r="D1901" i="1" s="1"/>
  <c r="B1902" i="1"/>
  <c r="C687" i="1"/>
  <c r="D687" i="1" s="1"/>
  <c r="B688" i="1"/>
  <c r="C1902" i="1" l="1"/>
  <c r="D1902" i="1" s="1"/>
  <c r="B1903" i="1"/>
  <c r="B689" i="1"/>
  <c r="C688" i="1"/>
  <c r="D688" i="1" s="1"/>
  <c r="G294" i="1" l="1"/>
  <c r="H294" i="1"/>
  <c r="C1903" i="1"/>
  <c r="D1903" i="1" s="1"/>
  <c r="B1904" i="1"/>
  <c r="B690" i="1"/>
  <c r="C689" i="1"/>
  <c r="D689" i="1" s="1"/>
  <c r="F294" i="1" l="1"/>
  <c r="I294" i="1" s="1"/>
  <c r="E295" i="1" s="1"/>
  <c r="C1904" i="1"/>
  <c r="D1904" i="1" s="1"/>
  <c r="B1905" i="1"/>
  <c r="B691" i="1"/>
  <c r="C690" i="1"/>
  <c r="D690" i="1" s="1"/>
  <c r="C1905" i="1" l="1"/>
  <c r="D1905" i="1" s="1"/>
  <c r="B1906" i="1"/>
  <c r="C691" i="1"/>
  <c r="D691" i="1" s="1"/>
  <c r="B692" i="1"/>
  <c r="H295" i="1" l="1"/>
  <c r="G295" i="1"/>
  <c r="C1906" i="1"/>
  <c r="D1906" i="1" s="1"/>
  <c r="B1907" i="1"/>
  <c r="C692" i="1"/>
  <c r="D692" i="1" s="1"/>
  <c r="B693" i="1"/>
  <c r="F295" i="1" l="1"/>
  <c r="I295" i="1" s="1"/>
  <c r="E296" i="1" s="1"/>
  <c r="C1907" i="1"/>
  <c r="D1907" i="1" s="1"/>
  <c r="B1908" i="1"/>
  <c r="C693" i="1"/>
  <c r="D693" i="1" s="1"/>
  <c r="B694" i="1"/>
  <c r="C1908" i="1" l="1"/>
  <c r="D1908" i="1" s="1"/>
  <c r="B1909" i="1"/>
  <c r="C694" i="1"/>
  <c r="D694" i="1" s="1"/>
  <c r="B695" i="1"/>
  <c r="H296" i="1" l="1"/>
  <c r="G296" i="1"/>
  <c r="C1909" i="1"/>
  <c r="D1909" i="1" s="1"/>
  <c r="B1910" i="1"/>
  <c r="C695" i="1"/>
  <c r="D695" i="1" s="1"/>
  <c r="B696" i="1"/>
  <c r="F296" i="1" l="1"/>
  <c r="I296" i="1" s="1"/>
  <c r="E297" i="1" s="1"/>
  <c r="C1910" i="1"/>
  <c r="D1910" i="1" s="1"/>
  <c r="B1911" i="1"/>
  <c r="B697" i="1"/>
  <c r="C696" i="1"/>
  <c r="D696" i="1" s="1"/>
  <c r="C1911" i="1" l="1"/>
  <c r="D1911" i="1" s="1"/>
  <c r="B1912" i="1"/>
  <c r="C697" i="1"/>
  <c r="D697" i="1" s="1"/>
  <c r="B698" i="1"/>
  <c r="G297" i="1" l="1"/>
  <c r="H297" i="1"/>
  <c r="C1912" i="1"/>
  <c r="D1912" i="1" s="1"/>
  <c r="B1913" i="1"/>
  <c r="C698" i="1"/>
  <c r="D698" i="1" s="1"/>
  <c r="B699" i="1"/>
  <c r="F297" i="1" l="1"/>
  <c r="I297" i="1" s="1"/>
  <c r="E298" i="1" s="1"/>
  <c r="B1914" i="1"/>
  <c r="C1913" i="1"/>
  <c r="D1913" i="1" s="1"/>
  <c r="B700" i="1"/>
  <c r="C699" i="1"/>
  <c r="D699" i="1" s="1"/>
  <c r="C1914" i="1" l="1"/>
  <c r="D1914" i="1" s="1"/>
  <c r="B1915" i="1"/>
  <c r="C700" i="1"/>
  <c r="D700" i="1" s="1"/>
  <c r="B701" i="1"/>
  <c r="G298" i="1" l="1"/>
  <c r="H298" i="1"/>
  <c r="C1915" i="1"/>
  <c r="D1915" i="1" s="1"/>
  <c r="B1916" i="1"/>
  <c r="B702" i="1"/>
  <c r="C701" i="1"/>
  <c r="D701" i="1" s="1"/>
  <c r="F298" i="1" l="1"/>
  <c r="I298" i="1" s="1"/>
  <c r="E299" i="1" s="1"/>
  <c r="C1916" i="1"/>
  <c r="D1916" i="1" s="1"/>
  <c r="B1917" i="1"/>
  <c r="B703" i="1"/>
  <c r="C702" i="1"/>
  <c r="D702" i="1" s="1"/>
  <c r="C1917" i="1" l="1"/>
  <c r="D1917" i="1" s="1"/>
  <c r="B1918" i="1"/>
  <c r="B704" i="1"/>
  <c r="C703" i="1"/>
  <c r="D703" i="1" s="1"/>
  <c r="H299" i="1" l="1"/>
  <c r="G299" i="1"/>
  <c r="C1918" i="1"/>
  <c r="D1918" i="1" s="1"/>
  <c r="B1919" i="1"/>
  <c r="C704" i="1"/>
  <c r="D704" i="1" s="1"/>
  <c r="B705" i="1"/>
  <c r="F299" i="1" l="1"/>
  <c r="I299" i="1" s="1"/>
  <c r="E300" i="1" s="1"/>
  <c r="C1919" i="1"/>
  <c r="D1919" i="1" s="1"/>
  <c r="B1920" i="1"/>
  <c r="C705" i="1"/>
  <c r="D705" i="1" s="1"/>
  <c r="B706" i="1"/>
  <c r="C1920" i="1" l="1"/>
  <c r="D1920" i="1" s="1"/>
  <c r="B1921" i="1"/>
  <c r="B707" i="1"/>
  <c r="C706" i="1"/>
  <c r="D706" i="1" s="1"/>
  <c r="G300" i="1" l="1"/>
  <c r="H300" i="1"/>
  <c r="C1921" i="1"/>
  <c r="D1921" i="1" s="1"/>
  <c r="B1922" i="1"/>
  <c r="B708" i="1"/>
  <c r="C707" i="1"/>
  <c r="D707" i="1" s="1"/>
  <c r="F300" i="1" l="1"/>
  <c r="I300" i="1" s="1"/>
  <c r="E301" i="1" s="1"/>
  <c r="C1922" i="1"/>
  <c r="D1922" i="1" s="1"/>
  <c r="B1923" i="1"/>
  <c r="C708" i="1"/>
  <c r="D708" i="1" s="1"/>
  <c r="B709" i="1"/>
  <c r="C1923" i="1" l="1"/>
  <c r="D1923" i="1" s="1"/>
  <c r="B1924" i="1"/>
  <c r="C709" i="1"/>
  <c r="D709" i="1" s="1"/>
  <c r="B710" i="1"/>
  <c r="G301" i="1" l="1"/>
  <c r="H301" i="1"/>
  <c r="C1924" i="1"/>
  <c r="D1924" i="1" s="1"/>
  <c r="B1925" i="1"/>
  <c r="B711" i="1"/>
  <c r="C710" i="1"/>
  <c r="D710" i="1" s="1"/>
  <c r="F301" i="1" l="1"/>
  <c r="I301" i="1" s="1"/>
  <c r="E302" i="1" s="1"/>
  <c r="C1925" i="1"/>
  <c r="D1925" i="1" s="1"/>
  <c r="B1926" i="1"/>
  <c r="C711" i="1"/>
  <c r="D711" i="1" s="1"/>
  <c r="B712" i="1"/>
  <c r="C1926" i="1" l="1"/>
  <c r="D1926" i="1" s="1"/>
  <c r="B1927" i="1"/>
  <c r="B713" i="1"/>
  <c r="C712" i="1"/>
  <c r="D712" i="1" s="1"/>
  <c r="G302" i="1" l="1"/>
  <c r="H302" i="1"/>
  <c r="C1927" i="1"/>
  <c r="D1927" i="1" s="1"/>
  <c r="B1928" i="1"/>
  <c r="B714" i="1"/>
  <c r="C713" i="1"/>
  <c r="D713" i="1" s="1"/>
  <c r="F302" i="1" l="1"/>
  <c r="I302" i="1" s="1"/>
  <c r="E303" i="1" s="1"/>
  <c r="C1928" i="1"/>
  <c r="D1928" i="1" s="1"/>
  <c r="B1929" i="1"/>
  <c r="C714" i="1"/>
  <c r="D714" i="1" s="1"/>
  <c r="B715" i="1"/>
  <c r="B1930" i="1" l="1"/>
  <c r="C1929" i="1"/>
  <c r="D1929" i="1" s="1"/>
  <c r="C715" i="1"/>
  <c r="D715" i="1" s="1"/>
  <c r="B716" i="1"/>
  <c r="G303" i="1" l="1"/>
  <c r="H303" i="1"/>
  <c r="C1930" i="1"/>
  <c r="D1930" i="1" s="1"/>
  <c r="B1931" i="1"/>
  <c r="B717" i="1"/>
  <c r="C716" i="1"/>
  <c r="D716" i="1" s="1"/>
  <c r="F303" i="1" l="1"/>
  <c r="I303" i="1" s="1"/>
  <c r="E304" i="1" s="1"/>
  <c r="B1932" i="1"/>
  <c r="C1931" i="1"/>
  <c r="D1931" i="1" s="1"/>
  <c r="B718" i="1"/>
  <c r="C717" i="1"/>
  <c r="D717" i="1" s="1"/>
  <c r="C1932" i="1" l="1"/>
  <c r="D1932" i="1" s="1"/>
  <c r="B1933" i="1"/>
  <c r="B719" i="1"/>
  <c r="C718" i="1"/>
  <c r="D718" i="1" s="1"/>
  <c r="G304" i="1" l="1"/>
  <c r="H304" i="1"/>
  <c r="B1934" i="1"/>
  <c r="C1933" i="1"/>
  <c r="D1933" i="1" s="1"/>
  <c r="C719" i="1"/>
  <c r="D719" i="1" s="1"/>
  <c r="B720" i="1"/>
  <c r="F304" i="1" l="1"/>
  <c r="I304" i="1" s="1"/>
  <c r="E305" i="1" s="1"/>
  <c r="C1934" i="1"/>
  <c r="D1934" i="1" s="1"/>
  <c r="B1935" i="1"/>
  <c r="C720" i="1"/>
  <c r="D720" i="1" s="1"/>
  <c r="B721" i="1"/>
  <c r="C1935" i="1" l="1"/>
  <c r="D1935" i="1" s="1"/>
  <c r="B1936" i="1"/>
  <c r="B722" i="1"/>
  <c r="C721" i="1"/>
  <c r="D721" i="1" s="1"/>
  <c r="H305" i="1" l="1"/>
  <c r="G305" i="1"/>
  <c r="C1936" i="1"/>
  <c r="D1936" i="1" s="1"/>
  <c r="B1937" i="1"/>
  <c r="B723" i="1"/>
  <c r="C722" i="1"/>
  <c r="D722" i="1" s="1"/>
  <c r="F305" i="1" l="1"/>
  <c r="I305" i="1" s="1"/>
  <c r="E306" i="1" s="1"/>
  <c r="C1937" i="1"/>
  <c r="D1937" i="1" s="1"/>
  <c r="B1938" i="1"/>
  <c r="B724" i="1"/>
  <c r="C723" i="1"/>
  <c r="D723" i="1" s="1"/>
  <c r="B1939" i="1" l="1"/>
  <c r="C1938" i="1"/>
  <c r="D1938" i="1" s="1"/>
  <c r="C724" i="1"/>
  <c r="D724" i="1" s="1"/>
  <c r="B725" i="1"/>
  <c r="G306" i="1" l="1"/>
  <c r="H306" i="1"/>
  <c r="C1939" i="1"/>
  <c r="D1939" i="1" s="1"/>
  <c r="B1940" i="1"/>
  <c r="B726" i="1"/>
  <c r="C725" i="1"/>
  <c r="D725" i="1" s="1"/>
  <c r="F306" i="1" l="1"/>
  <c r="I306" i="1" s="1"/>
  <c r="E307" i="1" s="1"/>
  <c r="C1940" i="1"/>
  <c r="D1940" i="1" s="1"/>
  <c r="B1941" i="1"/>
  <c r="C726" i="1"/>
  <c r="D726" i="1" s="1"/>
  <c r="B727" i="1"/>
  <c r="C1941" i="1" l="1"/>
  <c r="D1941" i="1" s="1"/>
  <c r="B1942" i="1"/>
  <c r="C727" i="1"/>
  <c r="D727" i="1" s="1"/>
  <c r="B728" i="1"/>
  <c r="H307" i="1" l="1"/>
  <c r="G307" i="1"/>
  <c r="C1942" i="1"/>
  <c r="D1942" i="1" s="1"/>
  <c r="B1943" i="1"/>
  <c r="C728" i="1"/>
  <c r="D728" i="1" s="1"/>
  <c r="B729" i="1"/>
  <c r="F307" i="1" l="1"/>
  <c r="I307" i="1" s="1"/>
  <c r="E308" i="1" s="1"/>
  <c r="C1943" i="1"/>
  <c r="D1943" i="1" s="1"/>
  <c r="B1944" i="1"/>
  <c r="C729" i="1"/>
  <c r="D729" i="1" s="1"/>
  <c r="B730" i="1"/>
  <c r="C1944" i="1" l="1"/>
  <c r="D1944" i="1" s="1"/>
  <c r="B1945" i="1"/>
  <c r="B731" i="1"/>
  <c r="C730" i="1"/>
  <c r="D730" i="1" s="1"/>
  <c r="G308" i="1" l="1"/>
  <c r="H308" i="1"/>
  <c r="B1946" i="1"/>
  <c r="C1945" i="1"/>
  <c r="D1945" i="1" s="1"/>
  <c r="C731" i="1"/>
  <c r="D731" i="1" s="1"/>
  <c r="B732" i="1"/>
  <c r="F308" i="1" l="1"/>
  <c r="I308" i="1" s="1"/>
  <c r="E309" i="1" s="1"/>
  <c r="C1946" i="1"/>
  <c r="D1946" i="1" s="1"/>
  <c r="B1947" i="1"/>
  <c r="B733" i="1"/>
  <c r="C732" i="1"/>
  <c r="D732" i="1" s="1"/>
  <c r="B1948" i="1" l="1"/>
  <c r="C1947" i="1"/>
  <c r="D1947" i="1" s="1"/>
  <c r="B734" i="1"/>
  <c r="C733" i="1"/>
  <c r="D733" i="1" s="1"/>
  <c r="G309" i="1" l="1"/>
  <c r="H309" i="1"/>
  <c r="C1948" i="1"/>
  <c r="D1948" i="1" s="1"/>
  <c r="B1949" i="1"/>
  <c r="C734" i="1"/>
  <c r="D734" i="1" s="1"/>
  <c r="B735" i="1"/>
  <c r="F309" i="1" l="1"/>
  <c r="B1950" i="1"/>
  <c r="C1949" i="1"/>
  <c r="D1949" i="1" s="1"/>
  <c r="C735" i="1"/>
  <c r="D735" i="1" s="1"/>
  <c r="B736" i="1"/>
  <c r="I309" i="1" l="1"/>
  <c r="E310" i="1" s="1"/>
  <c r="B1951" i="1"/>
  <c r="C1950" i="1"/>
  <c r="D1950" i="1" s="1"/>
  <c r="B737" i="1"/>
  <c r="C736" i="1"/>
  <c r="D736" i="1" s="1"/>
  <c r="G310" i="1" l="1"/>
  <c r="H310" i="1"/>
  <c r="C1951" i="1"/>
  <c r="D1951" i="1" s="1"/>
  <c r="B1952" i="1"/>
  <c r="C737" i="1"/>
  <c r="D737" i="1" s="1"/>
  <c r="B738" i="1"/>
  <c r="F310" i="1" l="1"/>
  <c r="I310" i="1" s="1"/>
  <c r="E311" i="1" s="1"/>
  <c r="C1952" i="1"/>
  <c r="D1952" i="1" s="1"/>
  <c r="B1953" i="1"/>
  <c r="C738" i="1"/>
  <c r="D738" i="1" s="1"/>
  <c r="B739" i="1"/>
  <c r="G311" i="1" l="1"/>
  <c r="H311" i="1"/>
  <c r="C1953" i="1"/>
  <c r="D1953" i="1" s="1"/>
  <c r="B1954" i="1"/>
  <c r="C739" i="1"/>
  <c r="D739" i="1" s="1"/>
  <c r="B740" i="1"/>
  <c r="F311" i="1" l="1"/>
  <c r="I311" i="1" s="1"/>
  <c r="E312" i="1" s="1"/>
  <c r="C1954" i="1"/>
  <c r="D1954" i="1" s="1"/>
  <c r="B1955" i="1"/>
  <c r="C740" i="1"/>
  <c r="D740" i="1" s="1"/>
  <c r="B741" i="1"/>
  <c r="C1955" i="1" l="1"/>
  <c r="D1955" i="1" s="1"/>
  <c r="B1956" i="1"/>
  <c r="C741" i="1"/>
  <c r="D741" i="1" s="1"/>
  <c r="B742" i="1"/>
  <c r="G312" i="1" l="1"/>
  <c r="H312" i="1"/>
  <c r="C1956" i="1"/>
  <c r="D1956" i="1" s="1"/>
  <c r="B1957" i="1"/>
  <c r="C742" i="1"/>
  <c r="D742" i="1" s="1"/>
  <c r="B743" i="1"/>
  <c r="F312" i="1" l="1"/>
  <c r="I312" i="1" s="1"/>
  <c r="E313" i="1" s="1"/>
  <c r="C1957" i="1"/>
  <c r="D1957" i="1" s="1"/>
  <c r="B1958" i="1"/>
  <c r="B744" i="1"/>
  <c r="C743" i="1"/>
  <c r="D743" i="1" s="1"/>
  <c r="C1958" i="1" l="1"/>
  <c r="D1958" i="1" s="1"/>
  <c r="B1959" i="1"/>
  <c r="B745" i="1"/>
  <c r="C744" i="1"/>
  <c r="D744" i="1" s="1"/>
  <c r="G313" i="1" l="1"/>
  <c r="H313" i="1"/>
  <c r="C1959" i="1"/>
  <c r="D1959" i="1" s="1"/>
  <c r="B1960" i="1"/>
  <c r="C745" i="1"/>
  <c r="D745" i="1" s="1"/>
  <c r="B746" i="1"/>
  <c r="F313" i="1" l="1"/>
  <c r="I313" i="1" s="1"/>
  <c r="E314" i="1" s="1"/>
  <c r="C1960" i="1"/>
  <c r="D1960" i="1" s="1"/>
  <c r="B1961" i="1"/>
  <c r="C746" i="1"/>
  <c r="D746" i="1" s="1"/>
  <c r="B747" i="1"/>
  <c r="C1961" i="1" l="1"/>
  <c r="D1961" i="1" s="1"/>
  <c r="B1962" i="1"/>
  <c r="C747" i="1"/>
  <c r="D747" i="1" s="1"/>
  <c r="B748" i="1"/>
  <c r="H314" i="1" l="1"/>
  <c r="G314" i="1"/>
  <c r="C1962" i="1"/>
  <c r="D1962" i="1" s="1"/>
  <c r="B1963" i="1"/>
  <c r="B749" i="1"/>
  <c r="C748" i="1"/>
  <c r="D748" i="1" s="1"/>
  <c r="F314" i="1" l="1"/>
  <c r="C1963" i="1"/>
  <c r="D1963" i="1" s="1"/>
  <c r="B1964" i="1"/>
  <c r="B750" i="1"/>
  <c r="C749" i="1"/>
  <c r="D749" i="1" s="1"/>
  <c r="I314" i="1" l="1"/>
  <c r="E315" i="1" s="1"/>
  <c r="C1964" i="1"/>
  <c r="D1964" i="1" s="1"/>
  <c r="B1965" i="1"/>
  <c r="B751" i="1"/>
  <c r="C750" i="1"/>
  <c r="D750" i="1" s="1"/>
  <c r="G315" i="1" l="1"/>
  <c r="H315" i="1"/>
  <c r="C1965" i="1"/>
  <c r="D1965" i="1" s="1"/>
  <c r="B1966" i="1"/>
  <c r="B752" i="1"/>
  <c r="C751" i="1"/>
  <c r="D751" i="1" s="1"/>
  <c r="F315" i="1" l="1"/>
  <c r="I315" i="1" s="1"/>
  <c r="E316" i="1" s="1"/>
  <c r="C1966" i="1"/>
  <c r="D1966" i="1" s="1"/>
  <c r="B1967" i="1"/>
  <c r="C752" i="1"/>
  <c r="D752" i="1" s="1"/>
  <c r="B753" i="1"/>
  <c r="G316" i="1" l="1"/>
  <c r="H316" i="1"/>
  <c r="C1967" i="1"/>
  <c r="D1967" i="1" s="1"/>
  <c r="B1968" i="1"/>
  <c r="B754" i="1"/>
  <c r="C753" i="1"/>
  <c r="D753" i="1" s="1"/>
  <c r="F316" i="1" l="1"/>
  <c r="C1968" i="1"/>
  <c r="D1968" i="1" s="1"/>
  <c r="B1969" i="1"/>
  <c r="C754" i="1"/>
  <c r="D754" i="1" s="1"/>
  <c r="B755" i="1"/>
  <c r="I316" i="1" l="1"/>
  <c r="E317" i="1" s="1"/>
  <c r="C1969" i="1"/>
  <c r="D1969" i="1" s="1"/>
  <c r="B1970" i="1"/>
  <c r="C755" i="1"/>
  <c r="D755" i="1" s="1"/>
  <c r="B756" i="1"/>
  <c r="H317" i="1" l="1"/>
  <c r="F317" i="1" s="1"/>
  <c r="G317" i="1"/>
  <c r="C1970" i="1"/>
  <c r="D1970" i="1" s="1"/>
  <c r="B1971" i="1"/>
  <c r="C756" i="1"/>
  <c r="D756" i="1" s="1"/>
  <c r="B757" i="1"/>
  <c r="C757" i="1" s="1"/>
  <c r="D757" i="1" s="1"/>
  <c r="I317" i="1" l="1"/>
  <c r="E318" i="1" s="1"/>
  <c r="C1971" i="1"/>
  <c r="D1971" i="1" s="1"/>
  <c r="B1972" i="1"/>
  <c r="G318" i="1" l="1"/>
  <c r="H318" i="1"/>
  <c r="C1972" i="1"/>
  <c r="D1972" i="1" s="1"/>
  <c r="B1973" i="1"/>
  <c r="F318" i="1" l="1"/>
  <c r="C1973" i="1"/>
  <c r="D1973" i="1" s="1"/>
  <c r="B1974" i="1"/>
  <c r="I318" i="1" l="1"/>
  <c r="E319" i="1" s="1"/>
  <c r="C1974" i="1"/>
  <c r="D1974" i="1" s="1"/>
  <c r="B1975" i="1"/>
  <c r="H319" i="1" l="1"/>
  <c r="G319" i="1"/>
  <c r="C1975" i="1"/>
  <c r="D1975" i="1" s="1"/>
  <c r="B1976" i="1"/>
  <c r="F319" i="1" l="1"/>
  <c r="C1976" i="1"/>
  <c r="D1976" i="1" s="1"/>
  <c r="B1977" i="1"/>
  <c r="I319" i="1" l="1"/>
  <c r="E320" i="1" s="1"/>
  <c r="B1978" i="1"/>
  <c r="C1977" i="1"/>
  <c r="D1977" i="1" s="1"/>
  <c r="G320" i="1" l="1"/>
  <c r="H320" i="1"/>
  <c r="C1978" i="1"/>
  <c r="D1978" i="1" s="1"/>
  <c r="B1979" i="1"/>
  <c r="F320" i="1" l="1"/>
  <c r="I320" i="1" s="1"/>
  <c r="E321" i="1" s="1"/>
  <c r="C1979" i="1"/>
  <c r="D1979" i="1" s="1"/>
  <c r="B1980" i="1"/>
  <c r="H321" i="1" l="1"/>
  <c r="G321" i="1"/>
  <c r="C1980" i="1"/>
  <c r="D1980" i="1" s="1"/>
  <c r="B1981" i="1"/>
  <c r="F321" i="1" l="1"/>
  <c r="I321" i="1" s="1"/>
  <c r="E322" i="1" s="1"/>
  <c r="C1981" i="1"/>
  <c r="D1981" i="1" s="1"/>
  <c r="B1982" i="1"/>
  <c r="G322" i="1" l="1"/>
  <c r="H322" i="1"/>
  <c r="F322" i="1" s="1"/>
  <c r="C1982" i="1"/>
  <c r="D1982" i="1" s="1"/>
  <c r="B1983" i="1"/>
  <c r="I322" i="1" l="1"/>
  <c r="E323" i="1" s="1"/>
  <c r="C1983" i="1"/>
  <c r="D1983" i="1" s="1"/>
  <c r="B1984" i="1"/>
  <c r="G323" i="1" l="1"/>
  <c r="H323" i="1"/>
  <c r="C1984" i="1"/>
  <c r="D1984" i="1" s="1"/>
  <c r="B1985" i="1"/>
  <c r="F323" i="1" l="1"/>
  <c r="I323" i="1" s="1"/>
  <c r="E324" i="1" s="1"/>
  <c r="C1985" i="1"/>
  <c r="D1985" i="1" s="1"/>
  <c r="B1986" i="1"/>
  <c r="C1986" i="1" l="1"/>
  <c r="D1986" i="1" s="1"/>
  <c r="B1987" i="1"/>
  <c r="H324" i="1" l="1"/>
  <c r="G324" i="1"/>
  <c r="C1987" i="1"/>
  <c r="D1987" i="1" s="1"/>
  <c r="B1988" i="1"/>
  <c r="F324" i="1" l="1"/>
  <c r="I324" i="1" s="1"/>
  <c r="E325" i="1" s="1"/>
  <c r="C1988" i="1"/>
  <c r="D1988" i="1" s="1"/>
  <c r="B1989" i="1"/>
  <c r="C1989" i="1" l="1"/>
  <c r="D1989" i="1" s="1"/>
  <c r="B1990" i="1"/>
  <c r="G325" i="1" l="1"/>
  <c r="H325" i="1"/>
  <c r="C1990" i="1"/>
  <c r="D1990" i="1" s="1"/>
  <c r="B1991" i="1"/>
  <c r="F325" i="1" l="1"/>
  <c r="I325" i="1" s="1"/>
  <c r="E326" i="1" s="1"/>
  <c r="C1991" i="1"/>
  <c r="D1991" i="1" s="1"/>
  <c r="B1992" i="1"/>
  <c r="C1992" i="1" l="1"/>
  <c r="D1992" i="1" s="1"/>
  <c r="B1993" i="1"/>
  <c r="G326" i="1" l="1"/>
  <c r="H326" i="1"/>
  <c r="C1993" i="1"/>
  <c r="D1993" i="1" s="1"/>
  <c r="B1994" i="1"/>
  <c r="F326" i="1" l="1"/>
  <c r="I326" i="1" s="1"/>
  <c r="E327" i="1" s="1"/>
  <c r="C1994" i="1"/>
  <c r="D1994" i="1" s="1"/>
  <c r="B1995" i="1"/>
  <c r="C1995" i="1" l="1"/>
  <c r="D1995" i="1" s="1"/>
  <c r="B1996" i="1"/>
  <c r="G327" i="1" l="1"/>
  <c r="H327" i="1"/>
  <c r="C1996" i="1"/>
  <c r="D1996" i="1" s="1"/>
  <c r="B1997" i="1"/>
  <c r="F327" i="1" l="1"/>
  <c r="I327" i="1" s="1"/>
  <c r="E328" i="1" s="1"/>
  <c r="C1997" i="1"/>
  <c r="D1997" i="1" s="1"/>
  <c r="B1998" i="1"/>
  <c r="C1998" i="1" l="1"/>
  <c r="D1998" i="1" s="1"/>
  <c r="B1999" i="1"/>
  <c r="H328" i="1" l="1"/>
  <c r="G328" i="1"/>
  <c r="C1999" i="1"/>
  <c r="D1999" i="1" s="1"/>
  <c r="B2000" i="1"/>
  <c r="F328" i="1" l="1"/>
  <c r="I328" i="1" s="1"/>
  <c r="E329" i="1" s="1"/>
  <c r="C2000" i="1"/>
  <c r="D2000" i="1" s="1"/>
  <c r="B2001" i="1"/>
  <c r="C2001" i="1" l="1"/>
  <c r="D2001" i="1" s="1"/>
  <c r="B2002" i="1"/>
  <c r="H329" i="1" l="1"/>
  <c r="G329" i="1"/>
  <c r="C2002" i="1"/>
  <c r="D2002" i="1" s="1"/>
  <c r="B2003" i="1"/>
  <c r="F329" i="1" l="1"/>
  <c r="I329" i="1" s="1"/>
  <c r="E330" i="1" s="1"/>
  <c r="C2003" i="1"/>
  <c r="D2003" i="1" s="1"/>
  <c r="B2004" i="1"/>
  <c r="C2004" i="1" l="1"/>
  <c r="D2004" i="1" s="1"/>
  <c r="B2005" i="1"/>
  <c r="H330" i="1" l="1"/>
  <c r="G330" i="1"/>
  <c r="C2005" i="1"/>
  <c r="D2005" i="1" s="1"/>
  <c r="B2006" i="1"/>
  <c r="F330" i="1" l="1"/>
  <c r="I330" i="1" s="1"/>
  <c r="E331" i="1" s="1"/>
  <c r="C2006" i="1"/>
  <c r="D2006" i="1" s="1"/>
  <c r="B2007" i="1"/>
  <c r="C2007" i="1" l="1"/>
  <c r="D2007" i="1" s="1"/>
  <c r="B2008" i="1"/>
  <c r="H331" i="1" l="1"/>
  <c r="G331" i="1"/>
  <c r="C2008" i="1"/>
  <c r="D2008" i="1" s="1"/>
  <c r="B2009" i="1"/>
  <c r="F331" i="1" l="1"/>
  <c r="I331" i="1" s="1"/>
  <c r="E332" i="1" s="1"/>
  <c r="C2009" i="1"/>
  <c r="D2009" i="1" s="1"/>
  <c r="B2010" i="1"/>
  <c r="C2010" i="1" l="1"/>
  <c r="D2010" i="1" s="1"/>
  <c r="B2011" i="1"/>
  <c r="H332" i="1" l="1"/>
  <c r="G332" i="1"/>
  <c r="C2011" i="1"/>
  <c r="D2011" i="1" s="1"/>
  <c r="B2012" i="1"/>
  <c r="F332" i="1" l="1"/>
  <c r="I332" i="1" s="1"/>
  <c r="E333" i="1" s="1"/>
  <c r="C2012" i="1"/>
  <c r="D2012" i="1" s="1"/>
  <c r="B2013" i="1"/>
  <c r="C2013" i="1" l="1"/>
  <c r="D2013" i="1" s="1"/>
  <c r="B2014" i="1"/>
  <c r="H333" i="1" l="1"/>
  <c r="G333" i="1"/>
  <c r="C2014" i="1"/>
  <c r="D2014" i="1" s="1"/>
  <c r="B2015" i="1"/>
  <c r="F333" i="1" l="1"/>
  <c r="I333" i="1" s="1"/>
  <c r="E334" i="1" s="1"/>
  <c r="C2015" i="1"/>
  <c r="D2015" i="1" s="1"/>
  <c r="B2016" i="1"/>
  <c r="C2016" i="1" l="1"/>
  <c r="D2016" i="1" s="1"/>
  <c r="B2017" i="1"/>
  <c r="H334" i="1" l="1"/>
  <c r="G334" i="1"/>
  <c r="C2017" i="1"/>
  <c r="D2017" i="1" s="1"/>
  <c r="B2018" i="1"/>
  <c r="F334" i="1" l="1"/>
  <c r="C2018" i="1"/>
  <c r="D2018" i="1" s="1"/>
  <c r="B2019" i="1"/>
  <c r="I334" i="1" l="1"/>
  <c r="E335" i="1" s="1"/>
  <c r="C2019" i="1"/>
  <c r="D2019" i="1" s="1"/>
  <c r="B2020" i="1"/>
  <c r="G335" i="1" l="1"/>
  <c r="H335" i="1"/>
  <c r="C2020" i="1"/>
  <c r="D2020" i="1" s="1"/>
  <c r="B2021" i="1"/>
  <c r="F335" i="1" l="1"/>
  <c r="I335" i="1" s="1"/>
  <c r="E336" i="1" s="1"/>
  <c r="C2021" i="1"/>
  <c r="D2021" i="1" s="1"/>
  <c r="B2022" i="1"/>
  <c r="H336" i="1" l="1"/>
  <c r="F336" i="1" s="1"/>
  <c r="G336" i="1"/>
  <c r="C2022" i="1"/>
  <c r="D2022" i="1" s="1"/>
  <c r="B2023" i="1"/>
  <c r="I336" i="1" l="1"/>
  <c r="E337" i="1" s="1"/>
  <c r="C2023" i="1"/>
  <c r="D2023" i="1" s="1"/>
  <c r="B2024" i="1"/>
  <c r="H337" i="1" l="1"/>
  <c r="F337" i="1" s="1"/>
  <c r="G337" i="1"/>
  <c r="C2024" i="1"/>
  <c r="D2024" i="1" s="1"/>
  <c r="B2025" i="1"/>
  <c r="I337" i="1" l="1"/>
  <c r="E338" i="1" s="1"/>
  <c r="C2025" i="1"/>
  <c r="D2025" i="1" s="1"/>
  <c r="B2026" i="1"/>
  <c r="H338" i="1" l="1"/>
  <c r="G338" i="1"/>
  <c r="C2026" i="1"/>
  <c r="D2026" i="1" s="1"/>
  <c r="B2027" i="1"/>
  <c r="F338" i="1" l="1"/>
  <c r="I338" i="1" s="1"/>
  <c r="E339" i="1" s="1"/>
  <c r="C2027" i="1"/>
  <c r="D2027" i="1" s="1"/>
  <c r="B2028" i="1"/>
  <c r="C2028" i="1" l="1"/>
  <c r="D2028" i="1" s="1"/>
  <c r="B2029" i="1"/>
  <c r="G339" i="1" l="1"/>
  <c r="H339" i="1"/>
  <c r="C2029" i="1"/>
  <c r="D2029" i="1" s="1"/>
  <c r="B2030" i="1"/>
  <c r="F339" i="1" l="1"/>
  <c r="I339" i="1" s="1"/>
  <c r="E340" i="1" s="1"/>
  <c r="C2030" i="1"/>
  <c r="D2030" i="1" s="1"/>
  <c r="B2031" i="1"/>
  <c r="C2031" i="1" l="1"/>
  <c r="D2031" i="1" s="1"/>
  <c r="B2032" i="1"/>
  <c r="G340" i="1" l="1"/>
  <c r="H340" i="1"/>
  <c r="C2032" i="1"/>
  <c r="D2032" i="1" s="1"/>
  <c r="B2033" i="1"/>
  <c r="F340" i="1" l="1"/>
  <c r="I340" i="1" s="1"/>
  <c r="E341" i="1" s="1"/>
  <c r="C2033" i="1"/>
  <c r="D2033" i="1" s="1"/>
  <c r="B2034" i="1"/>
  <c r="C2034" i="1" l="1"/>
  <c r="D2034" i="1" s="1"/>
  <c r="B2035" i="1"/>
  <c r="G341" i="1" l="1"/>
  <c r="H341" i="1"/>
  <c r="C2035" i="1"/>
  <c r="D2035" i="1" s="1"/>
  <c r="B2036" i="1"/>
  <c r="F341" i="1" l="1"/>
  <c r="I341" i="1" s="1"/>
  <c r="E342" i="1" s="1"/>
  <c r="C2036" i="1"/>
  <c r="D2036" i="1" s="1"/>
  <c r="B2037" i="1"/>
  <c r="C2037" i="1" l="1"/>
  <c r="D2037" i="1" s="1"/>
  <c r="B2038" i="1"/>
  <c r="G342" i="1" l="1"/>
  <c r="H342" i="1"/>
  <c r="C2038" i="1"/>
  <c r="D2038" i="1" s="1"/>
  <c r="B2039" i="1"/>
  <c r="F342" i="1" l="1"/>
  <c r="I342" i="1" s="1"/>
  <c r="E343" i="1" s="1"/>
  <c r="C2039" i="1"/>
  <c r="D2039" i="1" s="1"/>
  <c r="B2040" i="1"/>
  <c r="C2040" i="1" l="1"/>
  <c r="D2040" i="1" s="1"/>
  <c r="B2041" i="1"/>
  <c r="H343" i="1" l="1"/>
  <c r="G343" i="1"/>
  <c r="B2042" i="1"/>
  <c r="C2041" i="1"/>
  <c r="D2041" i="1" s="1"/>
  <c r="F343" i="1" l="1"/>
  <c r="I343" i="1" s="1"/>
  <c r="E344" i="1" s="1"/>
  <c r="C2042" i="1"/>
  <c r="D2042" i="1" s="1"/>
  <c r="B2043" i="1"/>
  <c r="C2043" i="1" l="1"/>
  <c r="D2043" i="1" s="1"/>
  <c r="B2044" i="1"/>
  <c r="H344" i="1" l="1"/>
  <c r="G344" i="1"/>
  <c r="C2044" i="1"/>
  <c r="D2044" i="1" s="1"/>
  <c r="B2045" i="1"/>
  <c r="F344" i="1" l="1"/>
  <c r="I344" i="1" s="1"/>
  <c r="E345" i="1" s="1"/>
  <c r="C2045" i="1"/>
  <c r="D2045" i="1" s="1"/>
  <c r="B2046" i="1"/>
  <c r="C2046" i="1" l="1"/>
  <c r="D2046" i="1" s="1"/>
  <c r="B2047" i="1"/>
  <c r="H345" i="1" l="1"/>
  <c r="G345" i="1"/>
  <c r="C2047" i="1"/>
  <c r="D2047" i="1" s="1"/>
  <c r="B2048" i="1"/>
  <c r="F345" i="1" l="1"/>
  <c r="I345" i="1" s="1"/>
  <c r="E346" i="1" s="1"/>
  <c r="C2048" i="1"/>
  <c r="D2048" i="1" s="1"/>
  <c r="B2049" i="1"/>
  <c r="C2049" i="1" l="1"/>
  <c r="D2049" i="1" s="1"/>
  <c r="B2050" i="1"/>
  <c r="H346" i="1" l="1"/>
  <c r="G346" i="1"/>
  <c r="C2050" i="1"/>
  <c r="D2050" i="1" s="1"/>
  <c r="B2051" i="1"/>
  <c r="F346" i="1" l="1"/>
  <c r="I346" i="1" s="1"/>
  <c r="E347" i="1" s="1"/>
  <c r="C2051" i="1"/>
  <c r="D2051" i="1" s="1"/>
  <c r="B2052" i="1"/>
  <c r="H347" i="1" l="1"/>
  <c r="C2052" i="1"/>
  <c r="D2052" i="1" s="1"/>
  <c r="B2053" i="1"/>
  <c r="G347" i="1" l="1"/>
  <c r="F347" i="1"/>
  <c r="I347" i="1" s="1"/>
  <c r="E348" i="1" s="1"/>
  <c r="C2053" i="1"/>
  <c r="D2053" i="1" s="1"/>
  <c r="B2054" i="1"/>
  <c r="C2054" i="1" l="1"/>
  <c r="D2054" i="1" s="1"/>
  <c r="B2055" i="1"/>
  <c r="G348" i="1" l="1"/>
  <c r="H348" i="1"/>
  <c r="C2055" i="1"/>
  <c r="D2055" i="1" s="1"/>
  <c r="B2056" i="1"/>
  <c r="F348" i="1" l="1"/>
  <c r="I348" i="1" s="1"/>
  <c r="E349" i="1" s="1"/>
  <c r="C2056" i="1"/>
  <c r="D2056" i="1" s="1"/>
  <c r="B2057" i="1"/>
  <c r="C2057" i="1" l="1"/>
  <c r="D2057" i="1" s="1"/>
  <c r="B2058" i="1"/>
  <c r="H349" i="1" l="1"/>
  <c r="G349" i="1"/>
  <c r="C2058" i="1"/>
  <c r="D2058" i="1" s="1"/>
  <c r="B2059" i="1"/>
  <c r="F349" i="1" l="1"/>
  <c r="I349" i="1" s="1"/>
  <c r="E350" i="1" s="1"/>
  <c r="C2059" i="1"/>
  <c r="D2059" i="1" s="1"/>
  <c r="B2060" i="1"/>
  <c r="C2060" i="1" l="1"/>
  <c r="D2060" i="1" s="1"/>
  <c r="B2061" i="1"/>
  <c r="G350" i="1" l="1"/>
  <c r="H350" i="1"/>
  <c r="C2061" i="1"/>
  <c r="D2061" i="1" s="1"/>
  <c r="B2062" i="1"/>
  <c r="F350" i="1" l="1"/>
  <c r="I350" i="1" s="1"/>
  <c r="E351" i="1" s="1"/>
  <c r="C2062" i="1"/>
  <c r="D2062" i="1" s="1"/>
  <c r="B2063" i="1"/>
  <c r="C2063" i="1" l="1"/>
  <c r="D2063" i="1" s="1"/>
  <c r="B2064" i="1"/>
  <c r="H351" i="1" l="1"/>
  <c r="G351" i="1"/>
  <c r="C2064" i="1"/>
  <c r="D2064" i="1" s="1"/>
  <c r="B2065" i="1"/>
  <c r="F351" i="1" l="1"/>
  <c r="I351" i="1" s="1"/>
  <c r="E352" i="1" s="1"/>
  <c r="B2066" i="1"/>
  <c r="C2065" i="1"/>
  <c r="D2065" i="1" s="1"/>
  <c r="C2066" i="1" l="1"/>
  <c r="D2066" i="1" s="1"/>
  <c r="B2067" i="1"/>
  <c r="G352" i="1" l="1"/>
  <c r="H352" i="1"/>
  <c r="C2067" i="1"/>
  <c r="D2067" i="1" s="1"/>
  <c r="B2068" i="1"/>
  <c r="F352" i="1" l="1"/>
  <c r="I352" i="1" s="1"/>
  <c r="E353" i="1" s="1"/>
  <c r="C2068" i="1"/>
  <c r="D2068" i="1" s="1"/>
  <c r="B2069" i="1"/>
  <c r="B2070" i="1" l="1"/>
  <c r="C2069" i="1"/>
  <c r="D2069" i="1" s="1"/>
  <c r="H353" i="1" l="1"/>
  <c r="G353" i="1"/>
  <c r="C2070" i="1"/>
  <c r="D2070" i="1" s="1"/>
  <c r="B2071" i="1"/>
  <c r="F353" i="1" l="1"/>
  <c r="I353" i="1" s="1"/>
  <c r="E354" i="1" s="1"/>
  <c r="C2071" i="1"/>
  <c r="D2071" i="1" s="1"/>
  <c r="B2072" i="1"/>
  <c r="C2072" i="1" l="1"/>
  <c r="D2072" i="1" s="1"/>
  <c r="B2073" i="1"/>
  <c r="G354" i="1" l="1"/>
  <c r="H354" i="1"/>
  <c r="C2073" i="1"/>
  <c r="D2073" i="1" s="1"/>
  <c r="B2074" i="1"/>
  <c r="F354" i="1" l="1"/>
  <c r="I354" i="1" s="1"/>
  <c r="E355" i="1" s="1"/>
  <c r="C2074" i="1"/>
  <c r="D2074" i="1" s="1"/>
  <c r="B2075" i="1"/>
  <c r="C2075" i="1" l="1"/>
  <c r="D2075" i="1" s="1"/>
  <c r="B2076" i="1"/>
  <c r="H355" i="1" l="1"/>
  <c r="G355" i="1"/>
  <c r="C2076" i="1"/>
  <c r="D2076" i="1" s="1"/>
  <c r="B2077" i="1"/>
  <c r="F355" i="1" l="1"/>
  <c r="I355" i="1" s="1"/>
  <c r="E356" i="1" s="1"/>
  <c r="C2077" i="1"/>
  <c r="D2077" i="1" s="1"/>
  <c r="B2078" i="1"/>
  <c r="C2078" i="1" l="1"/>
  <c r="D2078" i="1" s="1"/>
  <c r="B2079" i="1"/>
  <c r="H356" i="1" l="1"/>
  <c r="G356" i="1"/>
  <c r="C2079" i="1"/>
  <c r="D2079" i="1" s="1"/>
  <c r="B2080" i="1"/>
  <c r="F356" i="1" l="1"/>
  <c r="I356" i="1" s="1"/>
  <c r="E357" i="1" s="1"/>
  <c r="C2080" i="1"/>
  <c r="D2080" i="1" s="1"/>
  <c r="B2081" i="1"/>
  <c r="C2081" i="1" l="1"/>
  <c r="D2081" i="1" s="1"/>
  <c r="B2082" i="1"/>
  <c r="G357" i="1" l="1"/>
  <c r="H357" i="1"/>
  <c r="C2082" i="1"/>
  <c r="D2082" i="1" s="1"/>
  <c r="B2083" i="1"/>
  <c r="F357" i="1" l="1"/>
  <c r="C2083" i="1"/>
  <c r="D2083" i="1" s="1"/>
  <c r="B2084" i="1"/>
  <c r="I357" i="1" l="1"/>
  <c r="E358" i="1" s="1"/>
  <c r="C2084" i="1"/>
  <c r="D2084" i="1" s="1"/>
  <c r="B2085" i="1"/>
  <c r="H358" i="1" l="1"/>
  <c r="F358" i="1" s="1"/>
  <c r="G358" i="1"/>
  <c r="C2085" i="1"/>
  <c r="D2085" i="1" s="1"/>
  <c r="B2086" i="1"/>
  <c r="I358" i="1" l="1"/>
  <c r="E359" i="1" s="1"/>
  <c r="C2086" i="1"/>
  <c r="D2086" i="1" s="1"/>
  <c r="B2087" i="1"/>
  <c r="H359" i="1" l="1"/>
  <c r="G359" i="1"/>
  <c r="C2087" i="1"/>
  <c r="D2087" i="1" s="1"/>
  <c r="B2088" i="1"/>
  <c r="F359" i="1" l="1"/>
  <c r="I359" i="1" s="1"/>
  <c r="E360" i="1" s="1"/>
  <c r="C2088" i="1"/>
  <c r="D2088" i="1" s="1"/>
  <c r="B2089" i="1"/>
  <c r="C2089" i="1" l="1"/>
  <c r="D2089" i="1" s="1"/>
  <c r="B2090" i="1"/>
  <c r="G360" i="1" l="1"/>
  <c r="H360" i="1"/>
  <c r="C2090" i="1"/>
  <c r="D2090" i="1" s="1"/>
  <c r="B2091" i="1"/>
  <c r="F360" i="1" l="1"/>
  <c r="C2091" i="1"/>
  <c r="D2091" i="1" s="1"/>
  <c r="B2092" i="1"/>
  <c r="I360" i="1" l="1"/>
  <c r="E361" i="1" s="1"/>
  <c r="C2092" i="1"/>
  <c r="D2092" i="1" s="1"/>
  <c r="B2093" i="1"/>
  <c r="G361" i="1" l="1"/>
  <c r="H361" i="1"/>
  <c r="F361" i="1" s="1"/>
  <c r="C2093" i="1"/>
  <c r="D2093" i="1" s="1"/>
  <c r="B2094" i="1"/>
  <c r="I361" i="1" l="1"/>
  <c r="E362" i="1" s="1"/>
  <c r="C2094" i="1"/>
  <c r="D2094" i="1" s="1"/>
  <c r="B2095" i="1"/>
  <c r="G362" i="1" l="1"/>
  <c r="H362" i="1"/>
  <c r="C2095" i="1"/>
  <c r="D2095" i="1" s="1"/>
  <c r="B2096" i="1"/>
  <c r="F362" i="1" l="1"/>
  <c r="I362" i="1" s="1"/>
  <c r="E363" i="1" s="1"/>
  <c r="C2096" i="1"/>
  <c r="D2096" i="1" s="1"/>
  <c r="B2097" i="1"/>
  <c r="C2097" i="1" l="1"/>
  <c r="D2097" i="1" s="1"/>
  <c r="B2098" i="1"/>
  <c r="G363" i="1" l="1"/>
  <c r="H363" i="1"/>
  <c r="C2098" i="1"/>
  <c r="D2098" i="1" s="1"/>
  <c r="B2099" i="1"/>
  <c r="F363" i="1" l="1"/>
  <c r="C2099" i="1"/>
  <c r="D2099" i="1" s="1"/>
  <c r="B2100" i="1"/>
  <c r="I363" i="1" l="1"/>
  <c r="E364" i="1" s="1"/>
  <c r="C2100" i="1"/>
  <c r="D2100" i="1" s="1"/>
  <c r="B2101" i="1"/>
  <c r="G364" i="1" l="1"/>
  <c r="H364" i="1"/>
  <c r="F364" i="1" s="1"/>
  <c r="C2101" i="1"/>
  <c r="D2101" i="1" s="1"/>
  <c r="B2102" i="1"/>
  <c r="I364" i="1" l="1"/>
  <c r="E365" i="1" s="1"/>
  <c r="C2102" i="1"/>
  <c r="D2102" i="1" s="1"/>
  <c r="B2103" i="1"/>
  <c r="H365" i="1" l="1"/>
  <c r="G365" i="1"/>
  <c r="C2103" i="1"/>
  <c r="D2103" i="1" s="1"/>
  <c r="B2104" i="1"/>
  <c r="F365" i="1" l="1"/>
  <c r="I365" i="1" s="1"/>
  <c r="E366" i="1" s="1"/>
  <c r="C2104" i="1"/>
  <c r="D2104" i="1" s="1"/>
  <c r="B2105" i="1"/>
  <c r="C2105" i="1" l="1"/>
  <c r="D2105" i="1" s="1"/>
  <c r="B2106" i="1"/>
  <c r="G366" i="1" l="1"/>
  <c r="H366" i="1"/>
  <c r="C2106" i="1"/>
  <c r="D2106" i="1" s="1"/>
  <c r="B2107" i="1"/>
  <c r="F366" i="1" l="1"/>
  <c r="I366" i="1" s="1"/>
  <c r="E367" i="1" s="1"/>
  <c r="C2107" i="1"/>
  <c r="D2107" i="1" s="1"/>
  <c r="B2108" i="1"/>
  <c r="C2108" i="1" l="1"/>
  <c r="D2108" i="1" s="1"/>
  <c r="B2109" i="1"/>
  <c r="H367" i="1" l="1"/>
  <c r="G367" i="1"/>
  <c r="C2109" i="1"/>
  <c r="D2109" i="1" s="1"/>
  <c r="B2110" i="1"/>
  <c r="F367" i="1" l="1"/>
  <c r="I367" i="1" s="1"/>
  <c r="E368" i="1" s="1"/>
  <c r="C2110" i="1"/>
  <c r="D2110" i="1" s="1"/>
  <c r="B2111" i="1"/>
  <c r="C2111" i="1" l="1"/>
  <c r="D2111" i="1" s="1"/>
  <c r="B2112" i="1"/>
  <c r="H368" i="1" l="1"/>
  <c r="G368" i="1"/>
  <c r="C2112" i="1"/>
  <c r="D2112" i="1" s="1"/>
  <c r="B2113" i="1"/>
  <c r="F368" i="1" l="1"/>
  <c r="I368" i="1" s="1"/>
  <c r="E369" i="1" s="1"/>
  <c r="B2114" i="1"/>
  <c r="C2113" i="1"/>
  <c r="D2113" i="1" s="1"/>
  <c r="C2114" i="1" l="1"/>
  <c r="D2114" i="1" s="1"/>
  <c r="B2115" i="1"/>
  <c r="G369" i="1" l="1"/>
  <c r="H369" i="1"/>
  <c r="C2115" i="1"/>
  <c r="D2115" i="1" s="1"/>
  <c r="B2116" i="1"/>
  <c r="F369" i="1" l="1"/>
  <c r="I369" i="1" s="1"/>
  <c r="E370" i="1" s="1"/>
  <c r="C2116" i="1"/>
  <c r="D2116" i="1" s="1"/>
  <c r="B2117" i="1"/>
  <c r="C2117" i="1" l="1"/>
  <c r="D2117" i="1" s="1"/>
  <c r="B2118" i="1"/>
  <c r="H370" i="1" l="1"/>
  <c r="G370" i="1"/>
  <c r="C2118" i="1"/>
  <c r="D2118" i="1" s="1"/>
  <c r="B2119" i="1"/>
  <c r="F370" i="1" l="1"/>
  <c r="I370" i="1" s="1"/>
  <c r="E371" i="1" s="1"/>
  <c r="C2119" i="1"/>
  <c r="D2119" i="1" s="1"/>
  <c r="B2120" i="1"/>
  <c r="C2120" i="1" l="1"/>
  <c r="D2120" i="1" s="1"/>
  <c r="B2121" i="1"/>
  <c r="H371" i="1" l="1"/>
  <c r="G371" i="1"/>
  <c r="C2121" i="1"/>
  <c r="D2121" i="1" s="1"/>
  <c r="B2122" i="1"/>
  <c r="F371" i="1" l="1"/>
  <c r="C2122" i="1"/>
  <c r="D2122" i="1" s="1"/>
  <c r="B2123" i="1"/>
  <c r="I371" i="1" l="1"/>
  <c r="E372" i="1" s="1"/>
  <c r="C2123" i="1"/>
  <c r="D2123" i="1" s="1"/>
  <c r="B2124" i="1"/>
  <c r="H372" i="1" l="1"/>
  <c r="F372" i="1" s="1"/>
  <c r="G372" i="1"/>
  <c r="C2124" i="1"/>
  <c r="D2124" i="1" s="1"/>
  <c r="B2125" i="1"/>
  <c r="I372" i="1" l="1"/>
  <c r="E373" i="1" s="1"/>
  <c r="C2125" i="1"/>
  <c r="D2125" i="1" s="1"/>
  <c r="B2126" i="1"/>
  <c r="H373" i="1" l="1"/>
  <c r="F373" i="1" s="1"/>
  <c r="G373" i="1"/>
  <c r="C2126" i="1"/>
  <c r="D2126" i="1" s="1"/>
  <c r="B2127" i="1"/>
  <c r="I373" i="1" l="1"/>
  <c r="E374" i="1" s="1"/>
  <c r="C2127" i="1"/>
  <c r="D2127" i="1" s="1"/>
  <c r="B2128" i="1"/>
  <c r="H374" i="1" l="1"/>
  <c r="F374" i="1" s="1"/>
  <c r="G374" i="1"/>
  <c r="C2128" i="1"/>
  <c r="D2128" i="1" s="1"/>
  <c r="B2129" i="1"/>
  <c r="I374" i="1" l="1"/>
  <c r="E375" i="1" s="1"/>
  <c r="C2129" i="1"/>
  <c r="D2129" i="1" s="1"/>
  <c r="B2130" i="1"/>
  <c r="G375" i="1" l="1"/>
  <c r="H375" i="1"/>
  <c r="F375" i="1" s="1"/>
  <c r="C2130" i="1"/>
  <c r="D2130" i="1" s="1"/>
  <c r="B2131" i="1"/>
  <c r="I375" i="1" l="1"/>
  <c r="E376" i="1" s="1"/>
  <c r="C2131" i="1"/>
  <c r="D2131" i="1" s="1"/>
  <c r="B2132" i="1"/>
  <c r="G376" i="1" l="1"/>
  <c r="H376" i="1"/>
  <c r="C2132" i="1"/>
  <c r="D2132" i="1" s="1"/>
  <c r="B2133" i="1"/>
  <c r="F376" i="1" l="1"/>
  <c r="I376" i="1" s="1"/>
  <c r="E377" i="1" s="1"/>
  <c r="C2133" i="1"/>
  <c r="D2133" i="1" s="1"/>
  <c r="B2134" i="1"/>
  <c r="C2134" i="1" l="1"/>
  <c r="D2134" i="1" s="1"/>
  <c r="B2135" i="1"/>
  <c r="H377" i="1" l="1"/>
  <c r="G377" i="1"/>
  <c r="C2135" i="1"/>
  <c r="D2135" i="1" s="1"/>
  <c r="B2136" i="1"/>
  <c r="F377" i="1" l="1"/>
  <c r="C2136" i="1"/>
  <c r="D2136" i="1" s="1"/>
  <c r="B2137" i="1"/>
  <c r="I377" i="1" l="1"/>
  <c r="E378" i="1" s="1"/>
  <c r="C2137" i="1"/>
  <c r="D2137" i="1" s="1"/>
  <c r="B2138" i="1"/>
  <c r="H378" i="1" l="1"/>
  <c r="F378" i="1" s="1"/>
  <c r="G378" i="1"/>
  <c r="C2138" i="1"/>
  <c r="D2138" i="1" s="1"/>
  <c r="B2139" i="1"/>
  <c r="I378" i="1" l="1"/>
  <c r="E379" i="1" s="1"/>
  <c r="C2139" i="1"/>
  <c r="D2139" i="1" s="1"/>
  <c r="B2140" i="1"/>
  <c r="H379" i="1" l="1"/>
  <c r="G379" i="1"/>
  <c r="C2140" i="1"/>
  <c r="D2140" i="1" s="1"/>
  <c r="B2141" i="1"/>
  <c r="F379" i="1" l="1"/>
  <c r="C2141" i="1"/>
  <c r="D2141" i="1" s="1"/>
  <c r="B2142" i="1"/>
  <c r="I379" i="1" l="1"/>
  <c r="E380" i="1" s="1"/>
  <c r="C2142" i="1"/>
  <c r="D2142" i="1" s="1"/>
  <c r="B2143" i="1"/>
  <c r="E5" i="2" l="1"/>
  <c r="H380" i="1"/>
  <c r="F380" i="1" s="1"/>
  <c r="G380" i="1"/>
  <c r="C2143" i="1"/>
  <c r="D2143" i="1" s="1"/>
  <c r="B2144" i="1"/>
  <c r="G5" i="2"/>
  <c r="F5" i="2"/>
  <c r="S5" i="2" l="1"/>
  <c r="T5" i="2" s="1"/>
  <c r="N5" i="2"/>
  <c r="O5" i="2" s="1"/>
  <c r="L5" i="2" s="1"/>
  <c r="M5" i="2" s="1"/>
  <c r="H5" i="2"/>
  <c r="I5" i="2" s="1"/>
  <c r="J5" i="2"/>
  <c r="K5" i="2" s="1"/>
  <c r="I380" i="1"/>
  <c r="E381" i="1" s="1"/>
  <c r="C2144" i="1"/>
  <c r="D2144" i="1" s="1"/>
  <c r="B2145" i="1"/>
  <c r="U5" i="2" l="1"/>
  <c r="P5" i="2" s="1"/>
  <c r="Q5" i="2" s="1"/>
  <c r="G381" i="1"/>
  <c r="H381" i="1"/>
  <c r="C2145" i="1"/>
  <c r="D2145" i="1" s="1"/>
  <c r="B2146" i="1"/>
  <c r="F381" i="1" l="1"/>
  <c r="I381" i="1" s="1"/>
  <c r="E382" i="1" s="1"/>
  <c r="C2146" i="1"/>
  <c r="D2146" i="1" s="1"/>
  <c r="B2147" i="1"/>
  <c r="C2147" i="1" l="1"/>
  <c r="D2147" i="1" s="1"/>
  <c r="B2148" i="1"/>
  <c r="G382" i="1" l="1"/>
  <c r="H382" i="1"/>
  <c r="C2148" i="1"/>
  <c r="D2148" i="1" s="1"/>
  <c r="B2149" i="1"/>
  <c r="F382" i="1" l="1"/>
  <c r="I382" i="1" s="1"/>
  <c r="E383" i="1" s="1"/>
  <c r="C2149" i="1"/>
  <c r="D2149" i="1" s="1"/>
  <c r="B2150" i="1"/>
  <c r="C2150" i="1" l="1"/>
  <c r="D2150" i="1" s="1"/>
  <c r="B2151" i="1"/>
  <c r="H383" i="1" l="1"/>
  <c r="G383" i="1"/>
  <c r="C2151" i="1"/>
  <c r="D2151" i="1" s="1"/>
  <c r="B2152" i="1"/>
  <c r="F383" i="1" l="1"/>
  <c r="C2152" i="1"/>
  <c r="D2152" i="1" s="1"/>
  <c r="B2153" i="1"/>
  <c r="I383" i="1" l="1"/>
  <c r="E384" i="1" s="1"/>
  <c r="C2153" i="1"/>
  <c r="D2153" i="1" s="1"/>
  <c r="B2154" i="1"/>
  <c r="G384" i="1" l="1"/>
  <c r="H384" i="1"/>
  <c r="F384" i="1" s="1"/>
  <c r="C2154" i="1"/>
  <c r="D2154" i="1" s="1"/>
  <c r="B2155" i="1"/>
  <c r="I384" i="1" l="1"/>
  <c r="E385" i="1" s="1"/>
  <c r="C2155" i="1"/>
  <c r="D2155" i="1" s="1"/>
  <c r="B2156" i="1"/>
  <c r="H385" i="1" l="1"/>
  <c r="G385" i="1"/>
  <c r="C2156" i="1"/>
  <c r="D2156" i="1" s="1"/>
  <c r="B2157" i="1"/>
  <c r="F385" i="1" l="1"/>
  <c r="I385" i="1" s="1"/>
  <c r="E386" i="1" s="1"/>
  <c r="C2157" i="1"/>
  <c r="D2157" i="1" s="1"/>
  <c r="B2158" i="1"/>
  <c r="C2158" i="1" l="1"/>
  <c r="D2158" i="1" s="1"/>
  <c r="B2159" i="1"/>
  <c r="G386" i="1" l="1"/>
  <c r="H386" i="1"/>
  <c r="C2159" i="1"/>
  <c r="D2159" i="1" s="1"/>
  <c r="B2160" i="1"/>
  <c r="F386" i="1" l="1"/>
  <c r="I386" i="1" s="1"/>
  <c r="E387" i="1" s="1"/>
  <c r="C2160" i="1"/>
  <c r="D2160" i="1" s="1"/>
  <c r="B2161" i="1"/>
  <c r="C2161" i="1" l="1"/>
  <c r="D2161" i="1" s="1"/>
  <c r="B2162" i="1"/>
  <c r="H387" i="1" l="1"/>
  <c r="G387" i="1"/>
  <c r="C2162" i="1"/>
  <c r="D2162" i="1" s="1"/>
  <c r="B2163" i="1"/>
  <c r="F387" i="1" l="1"/>
  <c r="I387" i="1" s="1"/>
  <c r="E388" i="1" s="1"/>
  <c r="C2163" i="1"/>
  <c r="D2163" i="1" s="1"/>
  <c r="B2164" i="1"/>
  <c r="C2164" i="1" l="1"/>
  <c r="D2164" i="1" s="1"/>
  <c r="B2165" i="1"/>
  <c r="H388" i="1" l="1"/>
  <c r="G388" i="1"/>
  <c r="B2166" i="1"/>
  <c r="C2165" i="1"/>
  <c r="D2165" i="1" s="1"/>
  <c r="F388" i="1" l="1"/>
  <c r="I388" i="1" s="1"/>
  <c r="E389" i="1" s="1"/>
  <c r="C2166" i="1"/>
  <c r="D2166" i="1" s="1"/>
  <c r="B2167" i="1"/>
  <c r="C2167" i="1" l="1"/>
  <c r="D2167" i="1" s="1"/>
  <c r="B2168" i="1"/>
  <c r="G389" i="1" l="1"/>
  <c r="H389" i="1"/>
  <c r="C2168" i="1"/>
  <c r="D2168" i="1" s="1"/>
  <c r="B2169" i="1"/>
  <c r="F389" i="1" l="1"/>
  <c r="C2169" i="1"/>
  <c r="D2169" i="1" s="1"/>
  <c r="B2170" i="1"/>
  <c r="I389" i="1" l="1"/>
  <c r="E390" i="1" s="1"/>
  <c r="C2170" i="1"/>
  <c r="D2170" i="1" s="1"/>
  <c r="B2171" i="1"/>
  <c r="G390" i="1" l="1"/>
  <c r="H390" i="1"/>
  <c r="C2171" i="1"/>
  <c r="D2171" i="1" s="1"/>
  <c r="B2172" i="1"/>
  <c r="F390" i="1" l="1"/>
  <c r="I390" i="1" s="1"/>
  <c r="E391" i="1" s="1"/>
  <c r="C2172" i="1"/>
  <c r="D2172" i="1" s="1"/>
  <c r="B2173" i="1"/>
  <c r="H391" i="1" l="1"/>
  <c r="G391" i="1"/>
  <c r="C2173" i="1"/>
  <c r="D2173" i="1" s="1"/>
  <c r="B2174" i="1"/>
  <c r="F391" i="1" l="1"/>
  <c r="I391" i="1" s="1"/>
  <c r="E392" i="1" s="1"/>
  <c r="C2174" i="1"/>
  <c r="D2174" i="1" s="1"/>
  <c r="B2175" i="1"/>
  <c r="C2175" i="1" l="1"/>
  <c r="D2175" i="1" s="1"/>
  <c r="B2176" i="1"/>
  <c r="H392" i="1" l="1"/>
  <c r="G392" i="1"/>
  <c r="C2176" i="1"/>
  <c r="D2176" i="1" s="1"/>
  <c r="B2177" i="1"/>
  <c r="F392" i="1" l="1"/>
  <c r="I392" i="1" s="1"/>
  <c r="E393" i="1" s="1"/>
  <c r="B2178" i="1"/>
  <c r="C2177" i="1"/>
  <c r="D2177" i="1" s="1"/>
  <c r="C2178" i="1" l="1"/>
  <c r="D2178" i="1" s="1"/>
  <c r="B2179" i="1"/>
  <c r="H393" i="1" l="1"/>
  <c r="G393" i="1"/>
  <c r="C2179" i="1"/>
  <c r="D2179" i="1" s="1"/>
  <c r="B2180" i="1"/>
  <c r="F393" i="1" l="1"/>
  <c r="I393" i="1" s="1"/>
  <c r="E394" i="1" s="1"/>
  <c r="C2180" i="1"/>
  <c r="D2180" i="1" s="1"/>
  <c r="B2181" i="1"/>
  <c r="C2181" i="1" l="1"/>
  <c r="D2181" i="1" s="1"/>
  <c r="B2182" i="1"/>
  <c r="H394" i="1" l="1"/>
  <c r="G394" i="1"/>
  <c r="C2182" i="1"/>
  <c r="D2182" i="1" s="1"/>
  <c r="B2183" i="1"/>
  <c r="F394" i="1" l="1"/>
  <c r="I394" i="1" s="1"/>
  <c r="E395" i="1" s="1"/>
  <c r="C2183" i="1"/>
  <c r="D2183" i="1" s="1"/>
  <c r="B2184" i="1"/>
  <c r="C2184" i="1" l="1"/>
  <c r="D2184" i="1" s="1"/>
  <c r="B2185" i="1"/>
  <c r="G395" i="1" l="1"/>
  <c r="H395" i="1"/>
  <c r="C2185" i="1"/>
  <c r="D2185" i="1" s="1"/>
  <c r="B2186" i="1"/>
  <c r="F395" i="1" l="1"/>
  <c r="I395" i="1" s="1"/>
  <c r="E396" i="1" s="1"/>
  <c r="C2186" i="1"/>
  <c r="D2186" i="1" s="1"/>
  <c r="B2187" i="1"/>
  <c r="B2188" i="1" l="1"/>
  <c r="C2187" i="1"/>
  <c r="D2187" i="1" s="1"/>
  <c r="G396" i="1" l="1"/>
  <c r="H396" i="1"/>
  <c r="C2188" i="1"/>
  <c r="D2188" i="1" s="1"/>
  <c r="B2189" i="1"/>
  <c r="F396" i="1" l="1"/>
  <c r="I396" i="1" s="1"/>
  <c r="E397" i="1" s="1"/>
  <c r="B2190" i="1"/>
  <c r="C2189" i="1"/>
  <c r="D2189" i="1" s="1"/>
  <c r="C2190" i="1" l="1"/>
  <c r="D2190" i="1" s="1"/>
  <c r="B2191" i="1"/>
  <c r="H397" i="1" l="1"/>
  <c r="G397" i="1"/>
  <c r="C2191" i="1"/>
  <c r="D2191" i="1" s="1"/>
  <c r="B2192" i="1"/>
  <c r="F397" i="1" l="1"/>
  <c r="I397" i="1" s="1"/>
  <c r="E398" i="1" s="1"/>
  <c r="C2192" i="1"/>
  <c r="D2192" i="1" s="1"/>
  <c r="B2193" i="1"/>
  <c r="C2193" i="1" l="1"/>
  <c r="D2193" i="1" s="1"/>
  <c r="B2194" i="1"/>
  <c r="G398" i="1" l="1"/>
  <c r="H398" i="1"/>
  <c r="C2194" i="1"/>
  <c r="D2194" i="1" s="1"/>
  <c r="B2195" i="1"/>
  <c r="F398" i="1" l="1"/>
  <c r="I398" i="1" s="1"/>
  <c r="E399" i="1" s="1"/>
  <c r="C2195" i="1"/>
  <c r="D2195" i="1" s="1"/>
  <c r="B2196" i="1"/>
  <c r="C2196" i="1" l="1"/>
  <c r="D2196" i="1" s="1"/>
  <c r="B2197" i="1"/>
  <c r="H399" i="1" l="1"/>
  <c r="G399" i="1"/>
  <c r="B2198" i="1"/>
  <c r="C2197" i="1"/>
  <c r="D2197" i="1" s="1"/>
  <c r="F399" i="1" l="1"/>
  <c r="I399" i="1" s="1"/>
  <c r="E400" i="1" s="1"/>
  <c r="C2198" i="1"/>
  <c r="D2198" i="1" s="1"/>
  <c r="B2199" i="1"/>
  <c r="C2199" i="1" l="1"/>
  <c r="D2199" i="1" s="1"/>
  <c r="B2200" i="1"/>
  <c r="G400" i="1" l="1"/>
  <c r="H400" i="1"/>
  <c r="C2200" i="1"/>
  <c r="D2200" i="1" s="1"/>
  <c r="B2201" i="1"/>
  <c r="F400" i="1" l="1"/>
  <c r="I400" i="1" s="1"/>
  <c r="E401" i="1" s="1"/>
  <c r="C2201" i="1"/>
  <c r="D2201" i="1" s="1"/>
  <c r="B2202" i="1"/>
  <c r="C2202" i="1" l="1"/>
  <c r="D2202" i="1" s="1"/>
  <c r="B2203" i="1"/>
  <c r="H401" i="1" l="1"/>
  <c r="G401" i="1"/>
  <c r="C2203" i="1"/>
  <c r="D2203" i="1" s="1"/>
  <c r="B2204" i="1"/>
  <c r="F401" i="1" l="1"/>
  <c r="I401" i="1" s="1"/>
  <c r="E402" i="1" s="1"/>
  <c r="C2204" i="1"/>
  <c r="D2204" i="1" s="1"/>
  <c r="B2205" i="1"/>
  <c r="C2205" i="1" l="1"/>
  <c r="D2205" i="1" s="1"/>
  <c r="B2206" i="1"/>
  <c r="H402" i="1" l="1"/>
  <c r="G402" i="1"/>
  <c r="C2206" i="1"/>
  <c r="D2206" i="1" s="1"/>
  <c r="B2207" i="1"/>
  <c r="F402" i="1" l="1"/>
  <c r="C2207" i="1"/>
  <c r="D2207" i="1" s="1"/>
  <c r="B2208" i="1"/>
  <c r="I402" i="1" l="1"/>
  <c r="E403" i="1" s="1"/>
  <c r="B2209" i="1"/>
  <c r="C2208" i="1"/>
  <c r="D2208" i="1" s="1"/>
  <c r="G403" i="1" l="1"/>
  <c r="H403" i="1"/>
  <c r="F403" i="1" s="1"/>
  <c r="C2209" i="1"/>
  <c r="D2209" i="1" s="1"/>
  <c r="B2210" i="1"/>
  <c r="I403" i="1" l="1"/>
  <c r="E404" i="1" s="1"/>
  <c r="G404" i="1" s="1"/>
  <c r="C2210" i="1"/>
  <c r="D2210" i="1" s="1"/>
  <c r="B2211" i="1"/>
  <c r="H404" i="1" l="1"/>
  <c r="F404" i="1" s="1"/>
  <c r="I404" i="1" s="1"/>
  <c r="E405" i="1" s="1"/>
  <c r="C2211" i="1"/>
  <c r="D2211" i="1" s="1"/>
  <c r="B2212" i="1"/>
  <c r="C2212" i="1" l="1"/>
  <c r="D2212" i="1" s="1"/>
  <c r="B2213" i="1"/>
  <c r="G405" i="1" l="1"/>
  <c r="H405" i="1"/>
  <c r="C2213" i="1"/>
  <c r="D2213" i="1" s="1"/>
  <c r="B2214" i="1"/>
  <c r="F405" i="1" l="1"/>
  <c r="I405" i="1" s="1"/>
  <c r="E406" i="1" s="1"/>
  <c r="C2214" i="1"/>
  <c r="D2214" i="1" s="1"/>
  <c r="B2215" i="1"/>
  <c r="C2215" i="1" l="1"/>
  <c r="D2215" i="1" s="1"/>
  <c r="B2216" i="1"/>
  <c r="H406" i="1" l="1"/>
  <c r="G406" i="1"/>
  <c r="C2216" i="1"/>
  <c r="D2216" i="1" s="1"/>
  <c r="B2217" i="1"/>
  <c r="F406" i="1" l="1"/>
  <c r="I406" i="1" s="1"/>
  <c r="E407" i="1" s="1"/>
  <c r="C2217" i="1"/>
  <c r="D2217" i="1" s="1"/>
  <c r="B2218" i="1"/>
  <c r="C2218" i="1" l="1"/>
  <c r="D2218" i="1" s="1"/>
  <c r="B2219" i="1"/>
  <c r="H407" i="1" l="1"/>
  <c r="G407" i="1"/>
  <c r="C2219" i="1"/>
  <c r="D2219" i="1" s="1"/>
  <c r="B2220" i="1"/>
  <c r="F407" i="1" l="1"/>
  <c r="I407" i="1" s="1"/>
  <c r="E408" i="1" s="1"/>
  <c r="C2220" i="1"/>
  <c r="D2220" i="1" s="1"/>
  <c r="B2221" i="1"/>
  <c r="C2221" i="1" l="1"/>
  <c r="D2221" i="1" s="1"/>
  <c r="B2222" i="1"/>
  <c r="G408" i="1" l="1"/>
  <c r="H408" i="1"/>
  <c r="C2222" i="1"/>
  <c r="D2222" i="1" s="1"/>
  <c r="B2223" i="1"/>
  <c r="F408" i="1" l="1"/>
  <c r="I408" i="1" s="1"/>
  <c r="E409" i="1" s="1"/>
  <c r="C2223" i="1"/>
  <c r="D2223" i="1" s="1"/>
  <c r="B2224" i="1"/>
  <c r="C2224" i="1" l="1"/>
  <c r="D2224" i="1" s="1"/>
  <c r="B2225" i="1"/>
  <c r="H409" i="1" l="1"/>
  <c r="G409" i="1"/>
  <c r="C2225" i="1"/>
  <c r="D2225" i="1" s="1"/>
  <c r="B2226" i="1"/>
  <c r="F409" i="1" l="1"/>
  <c r="I409" i="1" s="1"/>
  <c r="E410" i="1" s="1"/>
  <c r="C2226" i="1"/>
  <c r="D2226" i="1" s="1"/>
  <c r="B2227" i="1"/>
  <c r="H410" i="1" l="1"/>
  <c r="G410" i="1"/>
  <c r="C2227" i="1"/>
  <c r="D2227" i="1" s="1"/>
  <c r="B2228" i="1"/>
  <c r="F410" i="1" l="1"/>
  <c r="I410" i="1" s="1"/>
  <c r="E411" i="1" s="1"/>
  <c r="C2228" i="1"/>
  <c r="D2228" i="1" s="1"/>
  <c r="B2229" i="1"/>
  <c r="C2229" i="1" l="1"/>
  <c r="D2229" i="1" s="1"/>
  <c r="B2230" i="1"/>
  <c r="H411" i="1" l="1"/>
  <c r="G411" i="1"/>
  <c r="C2230" i="1"/>
  <c r="D2230" i="1" s="1"/>
  <c r="B2231" i="1"/>
  <c r="F411" i="1" l="1"/>
  <c r="I411" i="1" s="1"/>
  <c r="E412" i="1" s="1"/>
  <c r="C2231" i="1"/>
  <c r="D2231" i="1" s="1"/>
  <c r="B2232" i="1"/>
  <c r="C2232" i="1" l="1"/>
  <c r="D2232" i="1" s="1"/>
  <c r="B2233" i="1"/>
  <c r="G412" i="1" l="1"/>
  <c r="H412" i="1"/>
  <c r="C2233" i="1"/>
  <c r="D2233" i="1" s="1"/>
  <c r="B2234" i="1"/>
  <c r="F412" i="1" l="1"/>
  <c r="I412" i="1" s="1"/>
  <c r="E413" i="1" s="1"/>
  <c r="C2234" i="1"/>
  <c r="D2234" i="1" s="1"/>
  <c r="B2235" i="1"/>
  <c r="C2235" i="1" l="1"/>
  <c r="D2235" i="1" s="1"/>
  <c r="B2236" i="1"/>
  <c r="H413" i="1" l="1"/>
  <c r="G413" i="1"/>
  <c r="C2236" i="1"/>
  <c r="D2236" i="1" s="1"/>
  <c r="B2237" i="1"/>
  <c r="F413" i="1" l="1"/>
  <c r="I413" i="1" s="1"/>
  <c r="E414" i="1" s="1"/>
  <c r="C2237" i="1"/>
  <c r="D2237" i="1" s="1"/>
  <c r="B2238" i="1"/>
  <c r="H414" i="1" l="1"/>
  <c r="G414" i="1"/>
  <c r="C2238" i="1"/>
  <c r="D2238" i="1" s="1"/>
  <c r="B2239" i="1"/>
  <c r="F414" i="1" l="1"/>
  <c r="C2239" i="1"/>
  <c r="D2239" i="1" s="1"/>
  <c r="B2240" i="1"/>
  <c r="I414" i="1" l="1"/>
  <c r="E415" i="1" s="1"/>
  <c r="C2240" i="1"/>
  <c r="D2240" i="1" s="1"/>
  <c r="B2241" i="1"/>
  <c r="H415" i="1" l="1"/>
  <c r="F415" i="1" s="1"/>
  <c r="G415" i="1"/>
  <c r="C2241" i="1"/>
  <c r="D2241" i="1" s="1"/>
  <c r="B2242" i="1"/>
  <c r="I415" i="1" l="1"/>
  <c r="E416" i="1" s="1"/>
  <c r="C2242" i="1"/>
  <c r="D2242" i="1" s="1"/>
  <c r="B2243" i="1"/>
  <c r="H416" i="1" l="1"/>
  <c r="G416" i="1"/>
  <c r="C2243" i="1"/>
  <c r="D2243" i="1" s="1"/>
  <c r="B2244" i="1"/>
  <c r="F416" i="1" l="1"/>
  <c r="I416" i="1" s="1"/>
  <c r="E417" i="1" s="1"/>
  <c r="C2244" i="1"/>
  <c r="D2244" i="1" s="1"/>
  <c r="B2245" i="1"/>
  <c r="C2245" i="1" l="1"/>
  <c r="D2245" i="1" s="1"/>
  <c r="B2246" i="1"/>
  <c r="G417" i="1" l="1"/>
  <c r="H417" i="1"/>
  <c r="C2246" i="1"/>
  <c r="D2246" i="1" s="1"/>
  <c r="B2247" i="1"/>
  <c r="F417" i="1" l="1"/>
  <c r="I417" i="1" s="1"/>
  <c r="E418" i="1" s="1"/>
  <c r="C2247" i="1"/>
  <c r="D2247" i="1" s="1"/>
  <c r="B2248" i="1"/>
  <c r="C2248" i="1" l="1"/>
  <c r="D2248" i="1" s="1"/>
  <c r="B2249" i="1"/>
  <c r="G418" i="1" l="1"/>
  <c r="H418" i="1"/>
  <c r="C2249" i="1"/>
  <c r="D2249" i="1" s="1"/>
  <c r="B2250" i="1"/>
  <c r="F418" i="1" l="1"/>
  <c r="I418" i="1" s="1"/>
  <c r="E419" i="1" s="1"/>
  <c r="C2250" i="1"/>
  <c r="D2250" i="1" s="1"/>
  <c r="B2251" i="1"/>
  <c r="C2251" i="1" l="1"/>
  <c r="D2251" i="1" s="1"/>
  <c r="B2252" i="1"/>
  <c r="H419" i="1" l="1"/>
  <c r="G419" i="1"/>
  <c r="C2252" i="1"/>
  <c r="D2252" i="1" s="1"/>
  <c r="B2253" i="1"/>
  <c r="F419" i="1" l="1"/>
  <c r="I419" i="1" s="1"/>
  <c r="E420" i="1" s="1"/>
  <c r="C2253" i="1"/>
  <c r="D2253" i="1" s="1"/>
  <c r="B2254" i="1"/>
  <c r="C2254" i="1" l="1"/>
  <c r="D2254" i="1" s="1"/>
  <c r="B2255" i="1"/>
  <c r="H420" i="1" l="1"/>
  <c r="G420" i="1"/>
  <c r="C2255" i="1"/>
  <c r="D2255" i="1" s="1"/>
  <c r="B2256" i="1"/>
  <c r="F420" i="1" l="1"/>
  <c r="I420" i="1" s="1"/>
  <c r="E421" i="1" s="1"/>
  <c r="C2256" i="1"/>
  <c r="D2256" i="1" s="1"/>
  <c r="B2257" i="1"/>
  <c r="C2257" i="1" l="1"/>
  <c r="D2257" i="1" s="1"/>
  <c r="B2258" i="1"/>
  <c r="H421" i="1" l="1"/>
  <c r="G421" i="1"/>
  <c r="C2258" i="1"/>
  <c r="D2258" i="1" s="1"/>
  <c r="B2259" i="1"/>
  <c r="F421" i="1" l="1"/>
  <c r="I421" i="1" s="1"/>
  <c r="E422" i="1" s="1"/>
  <c r="C2259" i="1"/>
  <c r="D2259" i="1" s="1"/>
  <c r="B2260" i="1"/>
  <c r="G422" i="1" l="1"/>
  <c r="H422" i="1"/>
  <c r="C2260" i="1"/>
  <c r="D2260" i="1" s="1"/>
  <c r="B2261" i="1"/>
  <c r="F422" i="1" l="1"/>
  <c r="I422" i="1" s="1"/>
  <c r="E423" i="1" s="1"/>
  <c r="C2261" i="1"/>
  <c r="D2261" i="1" s="1"/>
  <c r="B2262" i="1"/>
  <c r="H423" i="1" l="1"/>
  <c r="G423" i="1"/>
  <c r="C2262" i="1"/>
  <c r="D2262" i="1" s="1"/>
  <c r="B2263" i="1"/>
  <c r="F423" i="1" l="1"/>
  <c r="C2263" i="1"/>
  <c r="D2263" i="1" s="1"/>
  <c r="B2264" i="1"/>
  <c r="I423" i="1" l="1"/>
  <c r="E424" i="1" s="1"/>
  <c r="C2264" i="1"/>
  <c r="D2264" i="1" s="1"/>
  <c r="B2265" i="1"/>
  <c r="H424" i="1" l="1"/>
  <c r="F424" i="1" s="1"/>
  <c r="G424" i="1"/>
  <c r="C2265" i="1"/>
  <c r="D2265" i="1" s="1"/>
  <c r="B2266" i="1"/>
  <c r="I424" i="1" l="1"/>
  <c r="E425" i="1" s="1"/>
  <c r="C2266" i="1"/>
  <c r="D2266" i="1" s="1"/>
  <c r="B2267" i="1"/>
  <c r="G425" i="1" l="1"/>
  <c r="H425" i="1"/>
  <c r="C2267" i="1"/>
  <c r="D2267" i="1" s="1"/>
  <c r="B2268" i="1"/>
  <c r="F425" i="1" l="1"/>
  <c r="I425" i="1" s="1"/>
  <c r="E426" i="1" s="1"/>
  <c r="C2268" i="1"/>
  <c r="D2268" i="1" s="1"/>
  <c r="B2269" i="1"/>
  <c r="H426" i="1" l="1"/>
  <c r="G426" i="1"/>
  <c r="C2269" i="1"/>
  <c r="D2269" i="1" s="1"/>
  <c r="B2270" i="1"/>
  <c r="F426" i="1" l="1"/>
  <c r="C2270" i="1"/>
  <c r="D2270" i="1" s="1"/>
  <c r="B2271" i="1"/>
  <c r="I426" i="1" l="1"/>
  <c r="E427" i="1" s="1"/>
  <c r="C2271" i="1"/>
  <c r="D2271" i="1" s="1"/>
  <c r="B2272" i="1"/>
  <c r="H427" i="1" l="1"/>
  <c r="F427" i="1" s="1"/>
  <c r="G427" i="1"/>
  <c r="B2273" i="1"/>
  <c r="C2272" i="1"/>
  <c r="D2272" i="1" s="1"/>
  <c r="I427" i="1" l="1"/>
  <c r="E428" i="1" s="1"/>
  <c r="C2273" i="1"/>
  <c r="D2273" i="1" s="1"/>
  <c r="B2274" i="1"/>
  <c r="H428" i="1" l="1"/>
  <c r="G428" i="1"/>
  <c r="C2274" i="1"/>
  <c r="D2274" i="1" s="1"/>
  <c r="B2275" i="1"/>
  <c r="F428" i="1" l="1"/>
  <c r="I428" i="1" s="1"/>
  <c r="E429" i="1" s="1"/>
  <c r="C2275" i="1"/>
  <c r="D2275" i="1" s="1"/>
  <c r="B2276" i="1"/>
  <c r="C2276" i="1" l="1"/>
  <c r="D2276" i="1" s="1"/>
  <c r="B2277" i="1"/>
  <c r="G429" i="1" l="1"/>
  <c r="H429" i="1"/>
  <c r="C2277" i="1"/>
  <c r="D2277" i="1" s="1"/>
  <c r="B2278" i="1"/>
  <c r="F429" i="1" l="1"/>
  <c r="I429" i="1" s="1"/>
  <c r="E430" i="1" s="1"/>
  <c r="C2278" i="1"/>
  <c r="D2278" i="1" s="1"/>
  <c r="B2279" i="1"/>
  <c r="C2279" i="1" l="1"/>
  <c r="D2279" i="1" s="1"/>
  <c r="B2280" i="1"/>
  <c r="H430" i="1" l="1"/>
  <c r="G430" i="1"/>
  <c r="C2280" i="1"/>
  <c r="D2280" i="1" s="1"/>
  <c r="B2281" i="1"/>
  <c r="F430" i="1" l="1"/>
  <c r="I430" i="1" s="1"/>
  <c r="E431" i="1" s="1"/>
  <c r="C2281" i="1"/>
  <c r="D2281" i="1" s="1"/>
  <c r="B2282" i="1"/>
  <c r="C2282" i="1" l="1"/>
  <c r="D2282" i="1" s="1"/>
  <c r="B2283" i="1"/>
  <c r="G431" i="1" l="1"/>
  <c r="H431" i="1"/>
  <c r="C2283" i="1"/>
  <c r="D2283" i="1" s="1"/>
  <c r="B2284" i="1"/>
  <c r="F431" i="1" l="1"/>
  <c r="I431" i="1" s="1"/>
  <c r="E432" i="1" s="1"/>
  <c r="C2284" i="1"/>
  <c r="D2284" i="1" s="1"/>
  <c r="B2285" i="1"/>
  <c r="C2285" i="1" l="1"/>
  <c r="D2285" i="1" s="1"/>
  <c r="B2286" i="1"/>
  <c r="H432" i="1" l="1"/>
  <c r="G432" i="1"/>
  <c r="C2286" i="1"/>
  <c r="D2286" i="1" s="1"/>
  <c r="B2287" i="1"/>
  <c r="F432" i="1" l="1"/>
  <c r="I432" i="1" s="1"/>
  <c r="E433" i="1" s="1"/>
  <c r="C2287" i="1"/>
  <c r="D2287" i="1" s="1"/>
  <c r="B2288" i="1"/>
  <c r="C2288" i="1" l="1"/>
  <c r="D2288" i="1" s="1"/>
  <c r="B2289" i="1"/>
  <c r="H433" i="1" l="1"/>
  <c r="G433" i="1"/>
  <c r="C2289" i="1"/>
  <c r="D2289" i="1" s="1"/>
  <c r="B2290" i="1"/>
  <c r="F433" i="1" l="1"/>
  <c r="I433" i="1" s="1"/>
  <c r="E434" i="1" s="1"/>
  <c r="B2291" i="1"/>
  <c r="C2290" i="1"/>
  <c r="D2290" i="1" s="1"/>
  <c r="C2291" i="1" l="1"/>
  <c r="D2291" i="1" s="1"/>
  <c r="B2292" i="1"/>
  <c r="G434" i="1" l="1"/>
  <c r="H434" i="1"/>
  <c r="C2292" i="1"/>
  <c r="D2292" i="1" s="1"/>
  <c r="B2293" i="1"/>
  <c r="F434" i="1" l="1"/>
  <c r="I434" i="1" s="1"/>
  <c r="E435" i="1" s="1"/>
  <c r="C2293" i="1"/>
  <c r="D2293" i="1" s="1"/>
  <c r="B2294" i="1"/>
  <c r="C2294" i="1" l="1"/>
  <c r="D2294" i="1" s="1"/>
  <c r="B2295" i="1"/>
  <c r="G435" i="1" l="1"/>
  <c r="H435" i="1"/>
  <c r="C2295" i="1"/>
  <c r="D2295" i="1" s="1"/>
  <c r="B2296" i="1"/>
  <c r="F435" i="1" l="1"/>
  <c r="C2296" i="1"/>
  <c r="D2296" i="1" s="1"/>
  <c r="B2297" i="1"/>
  <c r="I435" i="1" l="1"/>
  <c r="E436" i="1" s="1"/>
  <c r="C2297" i="1"/>
  <c r="D2297" i="1" s="1"/>
  <c r="B2298" i="1"/>
  <c r="G436" i="1" l="1"/>
  <c r="H436" i="1"/>
  <c r="F436" i="1" s="1"/>
  <c r="C2298" i="1"/>
  <c r="D2298" i="1" s="1"/>
  <c r="B2299" i="1"/>
  <c r="I436" i="1" l="1"/>
  <c r="E437" i="1" s="1"/>
  <c r="C2299" i="1"/>
  <c r="D2299" i="1" s="1"/>
  <c r="B2300" i="1"/>
  <c r="G437" i="1" l="1"/>
  <c r="H437" i="1"/>
  <c r="C2300" i="1"/>
  <c r="D2300" i="1" s="1"/>
  <c r="B2301" i="1"/>
  <c r="F437" i="1" l="1"/>
  <c r="I437" i="1" s="1"/>
  <c r="E438" i="1" s="1"/>
  <c r="C2301" i="1"/>
  <c r="D2301" i="1" s="1"/>
  <c r="B2302" i="1"/>
  <c r="C2302" i="1" l="1"/>
  <c r="D2302" i="1" s="1"/>
  <c r="B2303" i="1"/>
  <c r="G438" i="1" l="1"/>
  <c r="H438" i="1"/>
  <c r="C2303" i="1"/>
  <c r="D2303" i="1" s="1"/>
  <c r="B2304" i="1"/>
  <c r="F438" i="1" l="1"/>
  <c r="I438" i="1" s="1"/>
  <c r="E439" i="1" s="1"/>
  <c r="B2305" i="1"/>
  <c r="C2304" i="1"/>
  <c r="D2304" i="1" s="1"/>
  <c r="C2305" i="1" l="1"/>
  <c r="D2305" i="1" s="1"/>
  <c r="B2306" i="1"/>
  <c r="G439" i="1" l="1"/>
  <c r="H439" i="1"/>
  <c r="C2306" i="1"/>
  <c r="D2306" i="1" s="1"/>
  <c r="B2307" i="1"/>
  <c r="F439" i="1" l="1"/>
  <c r="I439" i="1" s="1"/>
  <c r="E440" i="1" s="1"/>
  <c r="C2307" i="1"/>
  <c r="D2307" i="1" s="1"/>
  <c r="B2308" i="1"/>
  <c r="C2308" i="1" l="1"/>
  <c r="D2308" i="1" s="1"/>
  <c r="B2309" i="1"/>
  <c r="H440" i="1" l="1"/>
  <c r="G440" i="1"/>
  <c r="B2310" i="1"/>
  <c r="C2309" i="1"/>
  <c r="D2309" i="1" s="1"/>
  <c r="F440" i="1" l="1"/>
  <c r="I440" i="1" s="1"/>
  <c r="E441" i="1" s="1"/>
  <c r="C2310" i="1"/>
  <c r="D2310" i="1" s="1"/>
  <c r="B2311" i="1"/>
  <c r="C2311" i="1" l="1"/>
  <c r="D2311" i="1" s="1"/>
  <c r="B2312" i="1"/>
  <c r="G441" i="1" l="1"/>
  <c r="H441" i="1"/>
  <c r="C2312" i="1"/>
  <c r="D2312" i="1" s="1"/>
  <c r="B2313" i="1"/>
  <c r="F441" i="1" l="1"/>
  <c r="I441" i="1" s="1"/>
  <c r="E442" i="1" s="1"/>
  <c r="C2313" i="1"/>
  <c r="D2313" i="1" s="1"/>
  <c r="B2314" i="1"/>
  <c r="B2315" i="1" l="1"/>
  <c r="C2314" i="1"/>
  <c r="D2314" i="1" s="1"/>
  <c r="H442" i="1" l="1"/>
  <c r="G442" i="1"/>
  <c r="C2315" i="1"/>
  <c r="D2315" i="1" s="1"/>
  <c r="B2316" i="1"/>
  <c r="F442" i="1" l="1"/>
  <c r="I442" i="1" s="1"/>
  <c r="E443" i="1" s="1"/>
  <c r="C2316" i="1"/>
  <c r="D2316" i="1" s="1"/>
  <c r="B2317" i="1"/>
  <c r="C2317" i="1" l="1"/>
  <c r="D2317" i="1" s="1"/>
  <c r="B2318" i="1"/>
  <c r="H443" i="1" l="1"/>
  <c r="G443" i="1"/>
  <c r="C2318" i="1"/>
  <c r="D2318" i="1" s="1"/>
  <c r="B2319" i="1"/>
  <c r="F443" i="1" l="1"/>
  <c r="I443" i="1" s="1"/>
  <c r="E444" i="1" s="1"/>
  <c r="C2319" i="1"/>
  <c r="D2319" i="1" s="1"/>
  <c r="B2320" i="1"/>
  <c r="C2320" i="1" l="1"/>
  <c r="D2320" i="1" s="1"/>
  <c r="B2321" i="1"/>
  <c r="H444" i="1" l="1"/>
  <c r="G444" i="1"/>
  <c r="C2321" i="1"/>
  <c r="D2321" i="1" s="1"/>
  <c r="B2322" i="1"/>
  <c r="F444" i="1" l="1"/>
  <c r="I444" i="1" s="1"/>
  <c r="E445" i="1" s="1"/>
  <c r="B2323" i="1"/>
  <c r="C2322" i="1"/>
  <c r="D2322" i="1" s="1"/>
  <c r="C2323" i="1" l="1"/>
  <c r="D2323" i="1" s="1"/>
  <c r="B2324" i="1"/>
  <c r="H445" i="1" l="1"/>
  <c r="G445" i="1"/>
  <c r="C2324" i="1"/>
  <c r="D2324" i="1" s="1"/>
  <c r="B2325" i="1"/>
  <c r="F445" i="1" l="1"/>
  <c r="I445" i="1" s="1"/>
  <c r="E446" i="1" s="1"/>
  <c r="C2325" i="1"/>
  <c r="D2325" i="1" s="1"/>
  <c r="B2326" i="1"/>
  <c r="C2326" i="1" l="1"/>
  <c r="D2326" i="1" s="1"/>
  <c r="B2327" i="1"/>
  <c r="H446" i="1" l="1"/>
  <c r="G446" i="1"/>
  <c r="C2327" i="1"/>
  <c r="D2327" i="1" s="1"/>
  <c r="B2328" i="1"/>
  <c r="F446" i="1" l="1"/>
  <c r="I446" i="1" s="1"/>
  <c r="E447" i="1" s="1"/>
  <c r="C2328" i="1"/>
  <c r="D2328" i="1" s="1"/>
  <c r="B2329" i="1"/>
  <c r="C2329" i="1" l="1"/>
  <c r="D2329" i="1" s="1"/>
  <c r="B2330" i="1"/>
  <c r="H447" i="1" l="1"/>
  <c r="G447" i="1"/>
  <c r="C2330" i="1"/>
  <c r="D2330" i="1" s="1"/>
  <c r="B2331" i="1"/>
  <c r="F447" i="1" l="1"/>
  <c r="I447" i="1" s="1"/>
  <c r="E448" i="1" s="1"/>
  <c r="C2331" i="1"/>
  <c r="D2331" i="1" s="1"/>
  <c r="B2332" i="1"/>
  <c r="C2332" i="1" l="1"/>
  <c r="D2332" i="1" s="1"/>
  <c r="B2333" i="1"/>
  <c r="G448" i="1" l="1"/>
  <c r="H448" i="1"/>
  <c r="C2333" i="1"/>
  <c r="D2333" i="1" s="1"/>
  <c r="B2334" i="1"/>
  <c r="F448" i="1" l="1"/>
  <c r="C2334" i="1"/>
  <c r="D2334" i="1" s="1"/>
  <c r="B2335" i="1"/>
  <c r="I448" i="1" l="1"/>
  <c r="E449" i="1" s="1"/>
  <c r="B2336" i="1"/>
  <c r="C2335" i="1"/>
  <c r="D2335" i="1" s="1"/>
  <c r="G449" i="1" l="1"/>
  <c r="H449" i="1"/>
  <c r="F449" i="1" s="1"/>
  <c r="C2336" i="1"/>
  <c r="D2336" i="1" s="1"/>
  <c r="B2337" i="1"/>
  <c r="I449" i="1" l="1"/>
  <c r="E450" i="1" s="1"/>
  <c r="C2337" i="1"/>
  <c r="D2337" i="1" s="1"/>
  <c r="B2338" i="1"/>
  <c r="G450" i="1" l="1"/>
  <c r="H450" i="1"/>
  <c r="C2338" i="1"/>
  <c r="D2338" i="1" s="1"/>
  <c r="B2339" i="1"/>
  <c r="F450" i="1" l="1"/>
  <c r="B2340" i="1"/>
  <c r="C2339" i="1"/>
  <c r="D2339" i="1" s="1"/>
  <c r="I450" i="1" l="1"/>
  <c r="E451" i="1" s="1"/>
  <c r="B2341" i="1"/>
  <c r="C2340" i="1"/>
  <c r="D2340" i="1" s="1"/>
  <c r="H451" i="1" l="1"/>
  <c r="F451" i="1" s="1"/>
  <c r="G451" i="1"/>
  <c r="C2341" i="1"/>
  <c r="D2341" i="1" s="1"/>
  <c r="B2342" i="1"/>
  <c r="I451" i="1" l="1"/>
  <c r="E452" i="1" s="1"/>
  <c r="C2342" i="1"/>
  <c r="D2342" i="1" s="1"/>
  <c r="B2343" i="1"/>
  <c r="H452" i="1" l="1"/>
  <c r="G452" i="1"/>
  <c r="F452" i="1"/>
  <c r="C2343" i="1"/>
  <c r="D2343" i="1" s="1"/>
  <c r="B2344" i="1"/>
  <c r="I452" i="1" l="1"/>
  <c r="E453" i="1" s="1"/>
  <c r="B2345" i="1"/>
  <c r="C2344" i="1"/>
  <c r="D2344" i="1" s="1"/>
  <c r="H453" i="1" l="1"/>
  <c r="F453" i="1" s="1"/>
  <c r="G453" i="1"/>
  <c r="C2345" i="1"/>
  <c r="D2345" i="1" s="1"/>
  <c r="B2346" i="1"/>
  <c r="I453" i="1" l="1"/>
  <c r="E454" i="1" s="1"/>
  <c r="C2346" i="1"/>
  <c r="D2346" i="1" s="1"/>
  <c r="B2347" i="1"/>
  <c r="H454" i="1" l="1"/>
  <c r="G454" i="1"/>
  <c r="C2347" i="1"/>
  <c r="D2347" i="1" s="1"/>
  <c r="B2348" i="1"/>
  <c r="F454" i="1" l="1"/>
  <c r="I454" i="1" s="1"/>
  <c r="E455" i="1" s="1"/>
  <c r="C2348" i="1"/>
  <c r="D2348" i="1" s="1"/>
  <c r="B2349" i="1"/>
  <c r="C2349" i="1" l="1"/>
  <c r="D2349" i="1" s="1"/>
  <c r="B2350" i="1"/>
  <c r="H455" i="1" l="1"/>
  <c r="G455" i="1"/>
  <c r="C2350" i="1"/>
  <c r="D2350" i="1" s="1"/>
  <c r="B2351" i="1"/>
  <c r="F455" i="1" l="1"/>
  <c r="I455" i="1" s="1"/>
  <c r="E456" i="1" s="1"/>
  <c r="B2352" i="1"/>
  <c r="C2351" i="1"/>
  <c r="D2351" i="1" s="1"/>
  <c r="C2352" i="1" l="1"/>
  <c r="D2352" i="1" s="1"/>
  <c r="B2353" i="1"/>
  <c r="H456" i="1" l="1"/>
  <c r="G456" i="1"/>
  <c r="C2353" i="1"/>
  <c r="D2353" i="1" s="1"/>
  <c r="B2354" i="1"/>
  <c r="F456" i="1" l="1"/>
  <c r="C2354" i="1"/>
  <c r="D2354" i="1" s="1"/>
  <c r="B2355" i="1"/>
  <c r="I456" i="1" l="1"/>
  <c r="E457" i="1" s="1"/>
  <c r="B2356" i="1"/>
  <c r="C2355" i="1"/>
  <c r="D2355" i="1" s="1"/>
  <c r="G457" i="1" l="1"/>
  <c r="H457" i="1"/>
  <c r="F457" i="1" s="1"/>
  <c r="B2357" i="1"/>
  <c r="C2356" i="1"/>
  <c r="D2356" i="1" s="1"/>
  <c r="I457" i="1" l="1"/>
  <c r="E458" i="1" s="1"/>
  <c r="C2357" i="1"/>
  <c r="D2357" i="1" s="1"/>
  <c r="B2358" i="1"/>
  <c r="H458" i="1" l="1"/>
  <c r="G458" i="1"/>
  <c r="C2358" i="1"/>
  <c r="D2358" i="1" s="1"/>
  <c r="B2359" i="1"/>
  <c r="F458" i="1" l="1"/>
  <c r="I458" i="1" s="1"/>
  <c r="E459" i="1" s="1"/>
  <c r="C2359" i="1"/>
  <c r="D2359" i="1" s="1"/>
  <c r="B2360" i="1"/>
  <c r="B2361" i="1" l="1"/>
  <c r="C2360" i="1"/>
  <c r="D2360" i="1" s="1"/>
  <c r="H459" i="1" l="1"/>
  <c r="G459" i="1"/>
  <c r="C2361" i="1"/>
  <c r="D2361" i="1" s="1"/>
  <c r="B2362" i="1"/>
  <c r="F459" i="1" l="1"/>
  <c r="I459" i="1" s="1"/>
  <c r="E460" i="1" s="1"/>
  <c r="C2362" i="1"/>
  <c r="D2362" i="1" s="1"/>
  <c r="B2363" i="1"/>
  <c r="C2363" i="1" l="1"/>
  <c r="D2363" i="1" s="1"/>
  <c r="B2364" i="1"/>
  <c r="H460" i="1" l="1"/>
  <c r="G460" i="1"/>
  <c r="C2364" i="1"/>
  <c r="D2364" i="1" s="1"/>
  <c r="B2365" i="1"/>
  <c r="F460" i="1" l="1"/>
  <c r="C2365" i="1"/>
  <c r="D2365" i="1" s="1"/>
  <c r="B2366" i="1"/>
  <c r="I460" i="1" l="1"/>
  <c r="E461" i="1" s="1"/>
  <c r="C2366" i="1"/>
  <c r="D2366" i="1" s="1"/>
  <c r="B2367" i="1"/>
  <c r="G461" i="1" l="1"/>
  <c r="H461" i="1"/>
  <c r="F461" i="1" s="1"/>
  <c r="B2368" i="1"/>
  <c r="C2367" i="1"/>
  <c r="D2367" i="1" s="1"/>
  <c r="I461" i="1" l="1"/>
  <c r="E462" i="1" s="1"/>
  <c r="C2368" i="1"/>
  <c r="D2368" i="1" s="1"/>
  <c r="B2369" i="1"/>
  <c r="H462" i="1" l="1"/>
  <c r="F462" i="1" s="1"/>
  <c r="G462" i="1"/>
  <c r="C2369" i="1"/>
  <c r="D2369" i="1" s="1"/>
  <c r="B2370" i="1"/>
  <c r="I462" i="1" l="1"/>
  <c r="E463" i="1" s="1"/>
  <c r="B2371" i="1"/>
  <c r="C2370" i="1"/>
  <c r="D2370" i="1" s="1"/>
  <c r="H463" i="1" l="1"/>
  <c r="G463" i="1"/>
  <c r="B2372" i="1"/>
  <c r="C2371" i="1"/>
  <c r="D2371" i="1" s="1"/>
  <c r="F463" i="1" l="1"/>
  <c r="I463" i="1" s="1"/>
  <c r="E464" i="1" s="1"/>
  <c r="C2372" i="1"/>
  <c r="D2372" i="1" s="1"/>
  <c r="B2373" i="1"/>
  <c r="C2373" i="1" l="1"/>
  <c r="D2373" i="1" s="1"/>
  <c r="B2374" i="1"/>
  <c r="G464" i="1" l="1"/>
  <c r="H464" i="1"/>
  <c r="C2374" i="1"/>
  <c r="D2374" i="1" s="1"/>
  <c r="B2375" i="1"/>
  <c r="F464" i="1" l="1"/>
  <c r="I464" i="1" s="1"/>
  <c r="E465" i="1" s="1"/>
  <c r="C2375" i="1"/>
  <c r="D2375" i="1" s="1"/>
  <c r="B2376" i="1"/>
  <c r="B2377" i="1" l="1"/>
  <c r="C2376" i="1"/>
  <c r="D2376" i="1" s="1"/>
  <c r="H465" i="1" l="1"/>
  <c r="G465" i="1"/>
  <c r="C2377" i="1"/>
  <c r="D2377" i="1" s="1"/>
  <c r="B2378" i="1"/>
  <c r="F465" i="1" l="1"/>
  <c r="I465" i="1" s="1"/>
  <c r="E466" i="1" s="1"/>
  <c r="C2378" i="1"/>
  <c r="D2378" i="1" s="1"/>
  <c r="B2379" i="1"/>
  <c r="C2379" i="1" l="1"/>
  <c r="D2379" i="1" s="1"/>
  <c r="B2380" i="1"/>
  <c r="G466" i="1" l="1"/>
  <c r="H466" i="1"/>
  <c r="C2380" i="1"/>
  <c r="D2380" i="1" s="1"/>
  <c r="B2381" i="1"/>
  <c r="F466" i="1" l="1"/>
  <c r="C2381" i="1"/>
  <c r="D2381" i="1" s="1"/>
  <c r="B2382" i="1"/>
  <c r="I466" i="1" l="1"/>
  <c r="E467" i="1" s="1"/>
  <c r="C2382" i="1"/>
  <c r="D2382" i="1" s="1"/>
  <c r="B2383" i="1"/>
  <c r="H467" i="1" l="1"/>
  <c r="F467" i="1" s="1"/>
  <c r="G467" i="1"/>
  <c r="C2383" i="1"/>
  <c r="D2383" i="1" s="1"/>
  <c r="B2384" i="1"/>
  <c r="I467" i="1" l="1"/>
  <c r="E468" i="1" s="1"/>
  <c r="C2384" i="1"/>
  <c r="D2384" i="1" s="1"/>
  <c r="B2385" i="1"/>
  <c r="G468" i="1" l="1"/>
  <c r="H468" i="1"/>
  <c r="C2385" i="1"/>
  <c r="D2385" i="1" s="1"/>
  <c r="B2386" i="1"/>
  <c r="F468" i="1" l="1"/>
  <c r="I468" i="1" s="1"/>
  <c r="E469" i="1" s="1"/>
  <c r="C2386" i="1"/>
  <c r="D2386" i="1" s="1"/>
  <c r="B2387" i="1"/>
  <c r="C2387" i="1" l="1"/>
  <c r="D2387" i="1" s="1"/>
  <c r="B2388" i="1"/>
  <c r="G469" i="1" l="1"/>
  <c r="H469" i="1"/>
  <c r="B2389" i="1"/>
  <c r="C2388" i="1"/>
  <c r="D2388" i="1" s="1"/>
  <c r="F469" i="1" l="1"/>
  <c r="I469" i="1" s="1"/>
  <c r="E470" i="1" s="1"/>
  <c r="C2389" i="1"/>
  <c r="D2389" i="1" s="1"/>
  <c r="B2390" i="1"/>
  <c r="C2390" i="1" l="1"/>
  <c r="D2390" i="1" s="1"/>
  <c r="B2391" i="1"/>
  <c r="H470" i="1" l="1"/>
  <c r="G470" i="1"/>
  <c r="C2391" i="1"/>
  <c r="D2391" i="1" s="1"/>
  <c r="B2392" i="1"/>
  <c r="F470" i="1" l="1"/>
  <c r="C2392" i="1"/>
  <c r="D2392" i="1" s="1"/>
  <c r="B2393" i="1"/>
  <c r="I470" i="1" l="1"/>
  <c r="E471" i="1" s="1"/>
  <c r="C2393" i="1"/>
  <c r="D2393" i="1" s="1"/>
  <c r="B2394" i="1"/>
  <c r="H471" i="1" l="1"/>
  <c r="F471" i="1" s="1"/>
  <c r="G471" i="1"/>
  <c r="C2394" i="1"/>
  <c r="D2394" i="1" s="1"/>
  <c r="B2395" i="1"/>
  <c r="I471" i="1" l="1"/>
  <c r="E472" i="1" s="1"/>
  <c r="C2395" i="1"/>
  <c r="D2395" i="1" s="1"/>
  <c r="B2396" i="1"/>
  <c r="G472" i="1" l="1"/>
  <c r="H472" i="1"/>
  <c r="B2397" i="1"/>
  <c r="C2396" i="1"/>
  <c r="D2396" i="1" s="1"/>
  <c r="F472" i="1" l="1"/>
  <c r="I472" i="1" s="1"/>
  <c r="E473" i="1" s="1"/>
  <c r="C2397" i="1"/>
  <c r="D2397" i="1" s="1"/>
  <c r="B2398" i="1"/>
  <c r="C2398" i="1" l="1"/>
  <c r="D2398" i="1" s="1"/>
  <c r="B2399" i="1"/>
  <c r="G473" i="1" l="1"/>
  <c r="H473" i="1"/>
  <c r="C2399" i="1"/>
  <c r="D2399" i="1" s="1"/>
  <c r="B2400" i="1"/>
  <c r="F473" i="1" l="1"/>
  <c r="C2400" i="1"/>
  <c r="D2400" i="1" s="1"/>
  <c r="B2401" i="1"/>
  <c r="I473" i="1" l="1"/>
  <c r="E474" i="1" s="1"/>
  <c r="C2401" i="1"/>
  <c r="D2401" i="1" s="1"/>
  <c r="B2402" i="1"/>
  <c r="H474" i="1" l="1"/>
  <c r="F474" i="1" s="1"/>
  <c r="G474" i="1"/>
  <c r="C2402" i="1"/>
  <c r="D2402" i="1" s="1"/>
  <c r="B2403" i="1"/>
  <c r="I474" i="1" l="1"/>
  <c r="E475" i="1" s="1"/>
  <c r="C2403" i="1"/>
  <c r="D2403" i="1" s="1"/>
  <c r="B2404" i="1"/>
  <c r="H475" i="1" l="1"/>
  <c r="F475" i="1" s="1"/>
  <c r="G475" i="1"/>
  <c r="C2404" i="1"/>
  <c r="D2404" i="1" s="1"/>
  <c r="B2405" i="1"/>
  <c r="I475" i="1" l="1"/>
  <c r="E476" i="1" s="1"/>
  <c r="C2405" i="1"/>
  <c r="D2405" i="1" s="1"/>
  <c r="B2406" i="1"/>
  <c r="G476" i="1" l="1"/>
  <c r="H476" i="1"/>
  <c r="F476" i="1" s="1"/>
  <c r="C2406" i="1"/>
  <c r="D2406" i="1" s="1"/>
  <c r="B2407" i="1"/>
  <c r="I476" i="1" l="1"/>
  <c r="E477" i="1" s="1"/>
  <c r="C2407" i="1"/>
  <c r="D2407" i="1" s="1"/>
  <c r="B2408" i="1"/>
  <c r="H477" i="1" l="1"/>
  <c r="G477" i="1"/>
  <c r="B2409" i="1"/>
  <c r="C2409" i="1" s="1"/>
  <c r="D2409" i="1" s="1"/>
  <c r="C2408" i="1"/>
  <c r="D2408" i="1" s="1"/>
  <c r="F477" i="1" l="1"/>
  <c r="I477" i="1" s="1"/>
  <c r="E478" i="1" s="1"/>
  <c r="H478" i="1" l="1"/>
  <c r="G478" i="1"/>
  <c r="F478" i="1" l="1"/>
  <c r="I478" i="1" s="1"/>
  <c r="E479" i="1" s="1"/>
  <c r="H479" i="1" l="1"/>
  <c r="G479" i="1"/>
  <c r="F479" i="1" l="1"/>
  <c r="I479" i="1" l="1"/>
  <c r="E480" i="1" s="1"/>
  <c r="G480" i="1" l="1"/>
  <c r="H480" i="1"/>
  <c r="F480" i="1" s="1"/>
  <c r="I480" i="1" l="1"/>
  <c r="E481" i="1" s="1"/>
  <c r="H481" i="1" l="1"/>
  <c r="F481" i="1" s="1"/>
  <c r="G481" i="1"/>
  <c r="I481" i="1" l="1"/>
  <c r="E482" i="1" s="1"/>
  <c r="G482" i="1" l="1"/>
  <c r="H482" i="1"/>
  <c r="F482" i="1" s="1"/>
  <c r="I482" i="1" l="1"/>
  <c r="E483" i="1" s="1"/>
  <c r="H483" i="1" l="1"/>
  <c r="G483" i="1"/>
  <c r="F483" i="1" l="1"/>
  <c r="I483" i="1" l="1"/>
  <c r="E484" i="1" s="1"/>
  <c r="G484" i="1" l="1"/>
  <c r="H484" i="1"/>
  <c r="F484" i="1" s="1"/>
  <c r="I484" i="1" l="1"/>
  <c r="E485" i="1" s="1"/>
  <c r="G485" i="1" l="1"/>
  <c r="H485" i="1"/>
  <c r="F485" i="1" l="1"/>
  <c r="I485" i="1" s="1"/>
  <c r="E486" i="1" s="1"/>
  <c r="G486" i="1" l="1"/>
  <c r="H486" i="1"/>
  <c r="F486" i="1" l="1"/>
  <c r="I486" i="1" s="1"/>
  <c r="E487" i="1" s="1"/>
  <c r="H487" i="1" l="1"/>
  <c r="G487" i="1"/>
  <c r="F487" i="1" l="1"/>
  <c r="I487" i="1" s="1"/>
  <c r="E488" i="1" s="1"/>
  <c r="G488" i="1" l="1"/>
  <c r="H488" i="1"/>
  <c r="F488" i="1" l="1"/>
  <c r="I488" i="1" s="1"/>
  <c r="E489" i="1" s="1"/>
  <c r="H489" i="1" l="1"/>
  <c r="G489" i="1"/>
  <c r="F489" i="1" l="1"/>
  <c r="I489" i="1" s="1"/>
  <c r="E490" i="1" s="1"/>
  <c r="G490" i="1" l="1"/>
  <c r="H490" i="1"/>
  <c r="F490" i="1" l="1"/>
  <c r="I490" i="1" l="1"/>
  <c r="E491" i="1" s="1"/>
  <c r="H491" i="1" l="1"/>
  <c r="G491" i="1"/>
  <c r="F491" i="1"/>
  <c r="I491" i="1" l="1"/>
  <c r="E492" i="1" s="1"/>
  <c r="H492" i="1" l="1"/>
  <c r="F492" i="1" s="1"/>
  <c r="I492" i="1" s="1"/>
  <c r="E493" i="1" s="1"/>
  <c r="G492" i="1"/>
  <c r="H493" i="1" l="1"/>
  <c r="G493" i="1"/>
  <c r="F493" i="1" l="1"/>
  <c r="I493" i="1" l="1"/>
  <c r="E494" i="1" s="1"/>
  <c r="G494" i="1" l="1"/>
  <c r="H494" i="1"/>
  <c r="F494" i="1" l="1"/>
  <c r="I494" i="1" s="1"/>
  <c r="E495" i="1" s="1"/>
  <c r="G495" i="1" l="1"/>
  <c r="H495" i="1"/>
  <c r="F495" i="1" l="1"/>
  <c r="I495" i="1" l="1"/>
  <c r="E496" i="1" s="1"/>
  <c r="H496" i="1" l="1"/>
  <c r="F496" i="1" s="1"/>
  <c r="G496" i="1"/>
  <c r="I496" i="1" l="1"/>
  <c r="E497" i="1" s="1"/>
  <c r="H497" i="1" l="1"/>
  <c r="G497" i="1"/>
  <c r="F497" i="1" l="1"/>
  <c r="I497" i="1" s="1"/>
  <c r="E498" i="1" s="1"/>
  <c r="H498" i="1" l="1"/>
  <c r="G498" i="1"/>
  <c r="F498" i="1" l="1"/>
  <c r="I498" i="1" s="1"/>
  <c r="E499" i="1" s="1"/>
  <c r="G499" i="1" l="1"/>
  <c r="H499" i="1"/>
  <c r="F499" i="1" l="1"/>
  <c r="I499" i="1" s="1"/>
  <c r="E500" i="1" s="1"/>
  <c r="G500" i="1" l="1"/>
  <c r="H500" i="1"/>
  <c r="F500" i="1" l="1"/>
  <c r="I500" i="1" l="1"/>
  <c r="E501" i="1" s="1"/>
  <c r="H501" i="1" l="1"/>
  <c r="F501" i="1" s="1"/>
  <c r="G501" i="1"/>
  <c r="I501" i="1" l="1"/>
  <c r="E502" i="1" s="1"/>
  <c r="G502" i="1" l="1"/>
  <c r="H502" i="1"/>
  <c r="F502" i="1" s="1"/>
  <c r="I502" i="1" s="1"/>
  <c r="E503" i="1" s="1"/>
  <c r="H503" i="1" l="1"/>
  <c r="G503" i="1"/>
  <c r="F503" i="1" l="1"/>
  <c r="I503" i="1" l="1"/>
  <c r="E504" i="1" s="1"/>
  <c r="H504" i="1" l="1"/>
  <c r="F504" i="1" s="1"/>
  <c r="G504" i="1"/>
  <c r="I504" i="1" l="1"/>
  <c r="E505" i="1" s="1"/>
  <c r="H505" i="1" l="1"/>
  <c r="F505" i="1" s="1"/>
  <c r="G505" i="1"/>
  <c r="I505" i="1" l="1"/>
  <c r="E506" i="1" s="1"/>
  <c r="H506" i="1" l="1"/>
  <c r="G506" i="1"/>
  <c r="F506" i="1" l="1"/>
  <c r="I506" i="1" s="1"/>
  <c r="E507" i="1" s="1"/>
  <c r="G507" i="1" l="1"/>
  <c r="H507" i="1"/>
  <c r="F507" i="1" l="1"/>
  <c r="I507" i="1" s="1"/>
  <c r="E508" i="1" s="1"/>
  <c r="G508" i="1" l="1"/>
  <c r="H508" i="1"/>
  <c r="F508" i="1" l="1"/>
  <c r="I508" i="1" s="1"/>
  <c r="E509" i="1" s="1"/>
  <c r="H509" i="1" l="1"/>
  <c r="G509" i="1"/>
  <c r="F509" i="1" l="1"/>
  <c r="I509" i="1" l="1"/>
  <c r="E510" i="1" s="1"/>
  <c r="H510" i="1" l="1"/>
  <c r="F510" i="1" s="1"/>
  <c r="G510" i="1"/>
  <c r="I510" i="1" l="1"/>
  <c r="E511" i="1" s="1"/>
  <c r="H511" i="1" l="1"/>
  <c r="F511" i="1" s="1"/>
  <c r="G511" i="1"/>
  <c r="I511" i="1" l="1"/>
  <c r="E512" i="1" s="1"/>
  <c r="G512" i="1" l="1"/>
  <c r="H512" i="1"/>
  <c r="F512" i="1" l="1"/>
  <c r="I512" i="1" s="1"/>
  <c r="E513" i="1" s="1"/>
  <c r="H513" i="1" l="1"/>
  <c r="G513" i="1"/>
  <c r="F513" i="1" l="1"/>
  <c r="I513" i="1" s="1"/>
  <c r="E514" i="1" s="1"/>
  <c r="H514" i="1" l="1"/>
  <c r="G514" i="1"/>
  <c r="F514" i="1" l="1"/>
  <c r="I514" i="1" l="1"/>
  <c r="E515" i="1" s="1"/>
  <c r="G515" i="1" l="1"/>
  <c r="H515" i="1"/>
  <c r="F515" i="1" s="1"/>
  <c r="I515" i="1" l="1"/>
  <c r="E516" i="1" s="1"/>
  <c r="H516" i="1" l="1"/>
  <c r="G516" i="1"/>
  <c r="F516" i="1" l="1"/>
  <c r="I516" i="1" s="1"/>
  <c r="E517" i="1" s="1"/>
  <c r="H517" i="1" l="1"/>
  <c r="G517" i="1"/>
  <c r="F517" i="1" l="1"/>
  <c r="I517" i="1" l="1"/>
  <c r="E518" i="1" s="1"/>
  <c r="G518" i="1" l="1"/>
  <c r="H518" i="1"/>
  <c r="F518" i="1" l="1"/>
  <c r="I518" i="1" s="1"/>
  <c r="E519" i="1" s="1"/>
  <c r="H519" i="1" l="1"/>
  <c r="G519" i="1"/>
  <c r="F519" i="1" l="1"/>
  <c r="I519" i="1" s="1"/>
  <c r="E520" i="1" s="1"/>
  <c r="H520" i="1" l="1"/>
  <c r="G520" i="1"/>
  <c r="F520" i="1" l="1"/>
  <c r="I520" i="1" l="1"/>
  <c r="E521" i="1" s="1"/>
  <c r="G521" i="1" l="1"/>
  <c r="H521" i="1"/>
  <c r="F521" i="1" l="1"/>
  <c r="I521" i="1" s="1"/>
  <c r="E522" i="1" s="1"/>
  <c r="G522" i="1" l="1"/>
  <c r="H522" i="1"/>
  <c r="F522" i="1" l="1"/>
  <c r="I522" i="1" s="1"/>
  <c r="E523" i="1" s="1"/>
  <c r="G523" i="1" l="1"/>
  <c r="H523" i="1"/>
  <c r="F523" i="1" l="1"/>
  <c r="I523" i="1" s="1"/>
  <c r="E524" i="1" s="1"/>
  <c r="H524" i="1" l="1"/>
  <c r="G524" i="1"/>
  <c r="F524" i="1" l="1"/>
  <c r="I524" i="1" s="1"/>
  <c r="E525" i="1" s="1"/>
  <c r="H525" i="1" l="1"/>
  <c r="G525" i="1"/>
  <c r="F525" i="1" l="1"/>
  <c r="I525" i="1" s="1"/>
  <c r="E526" i="1" s="1"/>
  <c r="H526" i="1" l="1"/>
  <c r="G526" i="1"/>
  <c r="F526" i="1" l="1"/>
  <c r="I526" i="1" s="1"/>
  <c r="E527" i="1" s="1"/>
  <c r="H527" i="1" l="1"/>
  <c r="G527" i="1"/>
  <c r="F527" i="1" l="1"/>
  <c r="I527" i="1" l="1"/>
  <c r="E528" i="1" s="1"/>
  <c r="H528" i="1" l="1"/>
  <c r="G528" i="1"/>
  <c r="F528" i="1" l="1"/>
  <c r="I528" i="1" s="1"/>
  <c r="E529" i="1" s="1"/>
  <c r="H529" i="1" l="1"/>
  <c r="G529" i="1"/>
  <c r="F529" i="1" l="1"/>
  <c r="I529" i="1" l="1"/>
  <c r="E530" i="1" s="1"/>
  <c r="H530" i="1" l="1"/>
  <c r="F530" i="1" s="1"/>
  <c r="G530" i="1"/>
  <c r="I530" i="1" l="1"/>
  <c r="E531" i="1" s="1"/>
  <c r="H531" i="1" l="1"/>
  <c r="F531" i="1" s="1"/>
  <c r="G531" i="1"/>
  <c r="I531" i="1" l="1"/>
  <c r="E532" i="1" s="1"/>
  <c r="G532" i="1" l="1"/>
  <c r="H532" i="1"/>
  <c r="F532" i="1" l="1"/>
  <c r="I532" i="1" s="1"/>
  <c r="E533" i="1" s="1"/>
  <c r="H533" i="1" l="1"/>
  <c r="G533" i="1"/>
  <c r="F533" i="1" l="1"/>
  <c r="I533" i="1" s="1"/>
  <c r="E534" i="1" s="1"/>
  <c r="H534" i="1" l="1"/>
  <c r="G534" i="1"/>
  <c r="F534" i="1" l="1"/>
  <c r="I534" i="1" s="1"/>
  <c r="E535" i="1" s="1"/>
  <c r="G535" i="1" l="1"/>
  <c r="H535" i="1"/>
  <c r="F535" i="1" l="1"/>
  <c r="I535" i="1" l="1"/>
  <c r="E536" i="1" s="1"/>
  <c r="G536" i="1" l="1"/>
  <c r="H536" i="1"/>
  <c r="F536" i="1" s="1"/>
  <c r="I536" i="1" l="1"/>
  <c r="E537" i="1" s="1"/>
  <c r="G537" i="1" l="1"/>
  <c r="H537" i="1"/>
  <c r="F537" i="1" l="1"/>
  <c r="I537" i="1" s="1"/>
  <c r="E538" i="1" s="1"/>
  <c r="H538" i="1" l="1"/>
  <c r="G538" i="1"/>
  <c r="F538" i="1" l="1"/>
  <c r="I538" i="1" s="1"/>
  <c r="E539" i="1" s="1"/>
  <c r="G539" i="1" l="1"/>
  <c r="H539" i="1"/>
  <c r="F539" i="1" l="1"/>
  <c r="I539" i="1" l="1"/>
  <c r="E540" i="1" s="1"/>
  <c r="H540" i="1" l="1"/>
  <c r="F540" i="1" s="1"/>
  <c r="G540" i="1"/>
  <c r="I540" i="1" l="1"/>
  <c r="E541" i="1" s="1"/>
  <c r="G541" i="1" l="1"/>
  <c r="H541" i="1"/>
  <c r="F541" i="1" s="1"/>
  <c r="I541" i="1" l="1"/>
  <c r="E542" i="1" s="1"/>
  <c r="G542" i="1" l="1"/>
  <c r="H542" i="1"/>
  <c r="F542" i="1" l="1"/>
  <c r="I542" i="1" l="1"/>
  <c r="E543" i="1" s="1"/>
  <c r="G543" i="1" l="1"/>
  <c r="H543" i="1"/>
  <c r="F543" i="1" l="1"/>
  <c r="I543" i="1" l="1"/>
  <c r="E544" i="1" s="1"/>
  <c r="H544" i="1" l="1"/>
  <c r="G544" i="1"/>
  <c r="F544" i="1" l="1"/>
  <c r="I544" i="1" s="1"/>
  <c r="E545" i="1" s="1"/>
  <c r="H545" i="1" l="1"/>
  <c r="G545" i="1"/>
  <c r="F545" i="1" l="1"/>
  <c r="I545" i="1" l="1"/>
  <c r="E546" i="1" s="1"/>
  <c r="H546" i="1" l="1"/>
  <c r="G546" i="1"/>
  <c r="F546" i="1" l="1"/>
  <c r="I546" i="1" l="1"/>
  <c r="E547" i="1" s="1"/>
  <c r="H547" i="1" l="1"/>
  <c r="G547" i="1"/>
  <c r="F547" i="1" l="1"/>
  <c r="I547" i="1" s="1"/>
  <c r="E548" i="1" s="1"/>
  <c r="H548" i="1" l="1"/>
  <c r="G548" i="1"/>
  <c r="F548" i="1" l="1"/>
  <c r="I548" i="1" s="1"/>
  <c r="E549" i="1" s="1"/>
  <c r="H549" i="1" l="1"/>
  <c r="G549" i="1"/>
  <c r="F549" i="1" l="1"/>
  <c r="I549" i="1" s="1"/>
  <c r="E550" i="1" s="1"/>
  <c r="H550" i="1" l="1"/>
  <c r="F550" i="1" s="1"/>
  <c r="G550" i="1"/>
  <c r="I550" i="1" l="1"/>
  <c r="E551" i="1" s="1"/>
  <c r="H551" i="1" l="1"/>
  <c r="G551" i="1"/>
  <c r="F551" i="1" l="1"/>
  <c r="I551" i="1" s="1"/>
  <c r="E552" i="1" s="1"/>
  <c r="H552" i="1" l="1"/>
  <c r="G552" i="1"/>
  <c r="F552" i="1" l="1"/>
  <c r="I552" i="1" s="1"/>
  <c r="E553" i="1" s="1"/>
  <c r="H553" i="1" l="1"/>
  <c r="G553" i="1"/>
  <c r="F553" i="1" l="1"/>
  <c r="I553" i="1" s="1"/>
  <c r="E554" i="1" s="1"/>
  <c r="H554" i="1" l="1"/>
  <c r="G554" i="1"/>
  <c r="F554" i="1" l="1"/>
  <c r="I554" i="1" s="1"/>
  <c r="E555" i="1" s="1"/>
  <c r="G555" i="1" l="1"/>
  <c r="H555" i="1"/>
  <c r="F555" i="1" l="1"/>
  <c r="I555" i="1" s="1"/>
  <c r="E556" i="1" s="1"/>
  <c r="H556" i="1" l="1"/>
  <c r="G556" i="1"/>
  <c r="F556" i="1" l="1"/>
  <c r="I556" i="1" l="1"/>
  <c r="E557" i="1" s="1"/>
  <c r="H557" i="1" l="1"/>
  <c r="F557" i="1" s="1"/>
  <c r="G557" i="1"/>
  <c r="I557" i="1" l="1"/>
  <c r="E558" i="1" s="1"/>
  <c r="H558" i="1" l="1"/>
  <c r="G558" i="1"/>
  <c r="F558" i="1" l="1"/>
  <c r="I558" i="1" l="1"/>
  <c r="E559" i="1" s="1"/>
  <c r="G559" i="1" l="1"/>
  <c r="H559" i="1"/>
  <c r="F559" i="1" s="1"/>
  <c r="I559" i="1" l="1"/>
  <c r="E560" i="1" s="1"/>
  <c r="H560" i="1" l="1"/>
  <c r="G560" i="1"/>
  <c r="F560" i="1" l="1"/>
  <c r="I560" i="1" l="1"/>
  <c r="E561" i="1" s="1"/>
  <c r="H561" i="1" l="1"/>
  <c r="F561" i="1" s="1"/>
  <c r="G561" i="1"/>
  <c r="I561" i="1" l="1"/>
  <c r="E562" i="1" s="1"/>
  <c r="H562" i="1" l="1"/>
  <c r="G562" i="1"/>
  <c r="F562" i="1" l="1"/>
  <c r="I562" i="1" s="1"/>
  <c r="E563" i="1" s="1"/>
  <c r="H563" i="1" l="1"/>
  <c r="G563" i="1"/>
  <c r="F563" i="1" l="1"/>
  <c r="I563" i="1" s="1"/>
  <c r="E564" i="1" s="1"/>
  <c r="H564" i="1" l="1"/>
  <c r="G564" i="1"/>
  <c r="F564" i="1" l="1"/>
  <c r="I564" i="1" s="1"/>
  <c r="E565" i="1" s="1"/>
  <c r="H565" i="1" l="1"/>
  <c r="G565" i="1"/>
  <c r="F565" i="1" l="1"/>
  <c r="I565" i="1" s="1"/>
  <c r="E566" i="1" s="1"/>
  <c r="H566" i="1" l="1"/>
  <c r="G566" i="1"/>
  <c r="F566" i="1" l="1"/>
  <c r="I566" i="1" s="1"/>
  <c r="E567" i="1" s="1"/>
  <c r="H567" i="1" l="1"/>
  <c r="G567" i="1"/>
  <c r="F567" i="1" l="1"/>
  <c r="I567" i="1" s="1"/>
  <c r="E568" i="1" s="1"/>
  <c r="G568" i="1" l="1"/>
  <c r="H568" i="1"/>
  <c r="F568" i="1" l="1"/>
  <c r="I568" i="1" l="1"/>
  <c r="E569" i="1" s="1"/>
  <c r="H569" i="1" l="1"/>
  <c r="F569" i="1" s="1"/>
  <c r="G569" i="1"/>
  <c r="I569" i="1" l="1"/>
  <c r="E570" i="1" s="1"/>
  <c r="G570" i="1" l="1"/>
  <c r="H570" i="1"/>
  <c r="F570" i="1" l="1"/>
  <c r="I570" i="1" s="1"/>
  <c r="E571" i="1" s="1"/>
  <c r="H571" i="1" l="1"/>
  <c r="G571" i="1"/>
  <c r="F571" i="1" l="1"/>
  <c r="I571" i="1" s="1"/>
  <c r="E572" i="1" s="1"/>
  <c r="G572" i="1" l="1"/>
  <c r="H572" i="1"/>
  <c r="F572" i="1" l="1"/>
  <c r="I572" i="1" l="1"/>
  <c r="E573" i="1" s="1"/>
  <c r="G573" i="1" l="1"/>
  <c r="H573" i="1"/>
  <c r="F573" i="1" s="1"/>
  <c r="I573" i="1" l="1"/>
  <c r="E574" i="1" s="1"/>
  <c r="H574" i="1" l="1"/>
  <c r="F574" i="1" s="1"/>
  <c r="G574" i="1"/>
  <c r="I574" i="1" l="1"/>
  <c r="E575" i="1" s="1"/>
  <c r="G575" i="1" l="1"/>
  <c r="H575" i="1"/>
  <c r="F575" i="1" s="1"/>
  <c r="I575" i="1" l="1"/>
  <c r="E576" i="1" s="1"/>
  <c r="G576" i="1" l="1"/>
  <c r="H576" i="1"/>
  <c r="F576" i="1" l="1"/>
  <c r="I576" i="1" s="1"/>
  <c r="E577" i="1" s="1"/>
  <c r="H577" i="1" l="1"/>
  <c r="G577" i="1"/>
  <c r="F577" i="1" l="1"/>
  <c r="I577" i="1" s="1"/>
  <c r="E578" i="1" s="1"/>
  <c r="H578" i="1" l="1"/>
  <c r="G578" i="1"/>
  <c r="F578" i="1" l="1"/>
  <c r="I578" i="1" s="1"/>
  <c r="E579" i="1" s="1"/>
  <c r="G579" i="1" l="1"/>
  <c r="H579" i="1"/>
  <c r="F579" i="1" l="1"/>
  <c r="I579" i="1" s="1"/>
  <c r="E580" i="1" s="1"/>
  <c r="G580" i="1" l="1"/>
  <c r="H580" i="1"/>
  <c r="F580" i="1" l="1"/>
  <c r="I580" i="1" s="1"/>
  <c r="E581" i="1" s="1"/>
  <c r="G581" i="1" l="1"/>
  <c r="H581" i="1"/>
  <c r="F581" i="1" l="1"/>
  <c r="I581" i="1" s="1"/>
  <c r="E582" i="1" s="1"/>
  <c r="H582" i="1" l="1"/>
  <c r="G582" i="1"/>
  <c r="F582" i="1" l="1"/>
  <c r="I582" i="1" s="1"/>
  <c r="E583" i="1" s="1"/>
  <c r="H583" i="1" l="1"/>
  <c r="G583" i="1"/>
  <c r="F583" i="1" l="1"/>
  <c r="I583" i="1" s="1"/>
  <c r="E584" i="1" s="1"/>
  <c r="G584" i="1" l="1"/>
  <c r="H584" i="1"/>
  <c r="F584" i="1" l="1"/>
  <c r="I584" i="1" s="1"/>
  <c r="E585" i="1" s="1"/>
  <c r="H585" i="1" l="1"/>
  <c r="G585" i="1"/>
  <c r="F585" i="1" l="1"/>
  <c r="I585" i="1" l="1"/>
  <c r="E586" i="1" s="1"/>
  <c r="H586" i="1" l="1"/>
  <c r="F586" i="1" s="1"/>
  <c r="G586" i="1"/>
  <c r="I586" i="1" l="1"/>
  <c r="E587" i="1" s="1"/>
  <c r="H587" i="1" l="1"/>
  <c r="G587" i="1"/>
  <c r="F587" i="1" l="1"/>
  <c r="I587" i="1" s="1"/>
  <c r="E588" i="1" s="1"/>
  <c r="G588" i="1" l="1"/>
  <c r="H588" i="1"/>
  <c r="F588" i="1" l="1"/>
  <c r="I588" i="1" s="1"/>
  <c r="E589" i="1" s="1"/>
  <c r="G589" i="1" l="1"/>
  <c r="H589" i="1"/>
  <c r="F589" i="1" l="1"/>
  <c r="I589" i="1" l="1"/>
  <c r="E590" i="1" s="1"/>
  <c r="G590" i="1" l="1"/>
  <c r="H590" i="1"/>
  <c r="F590" i="1" s="1"/>
  <c r="I590" i="1" l="1"/>
  <c r="E591" i="1" s="1"/>
  <c r="G591" i="1" l="1"/>
  <c r="H591" i="1"/>
  <c r="F591" i="1" l="1"/>
  <c r="I591" i="1" s="1"/>
  <c r="E592" i="1" s="1"/>
  <c r="G592" i="1" l="1"/>
  <c r="H592" i="1"/>
  <c r="F592" i="1" l="1"/>
  <c r="I592" i="1" s="1"/>
  <c r="E593" i="1" s="1"/>
  <c r="G593" i="1" l="1"/>
  <c r="H593" i="1"/>
  <c r="F593" i="1" l="1"/>
  <c r="I593" i="1" s="1"/>
  <c r="E594" i="1" s="1"/>
  <c r="H594" i="1" l="1"/>
  <c r="G594" i="1"/>
  <c r="F594" i="1" l="1"/>
  <c r="I594" i="1" s="1"/>
  <c r="E595" i="1" s="1"/>
  <c r="G595" i="1" l="1"/>
  <c r="H595" i="1"/>
  <c r="F595" i="1" l="1"/>
  <c r="I595" i="1" s="1"/>
  <c r="E596" i="1" s="1"/>
  <c r="H596" i="1" l="1"/>
  <c r="G596" i="1"/>
  <c r="F596" i="1" l="1"/>
  <c r="I596" i="1" l="1"/>
  <c r="E597" i="1" s="1"/>
  <c r="H597" i="1" l="1"/>
  <c r="F597" i="1" s="1"/>
  <c r="G597" i="1"/>
  <c r="I597" i="1" l="1"/>
  <c r="E598" i="1" s="1"/>
  <c r="G598" i="1" l="1"/>
  <c r="H598" i="1"/>
  <c r="F598" i="1" l="1"/>
  <c r="I598" i="1" s="1"/>
  <c r="E599" i="1" s="1"/>
  <c r="H599" i="1" l="1"/>
  <c r="G599" i="1"/>
  <c r="F599" i="1" l="1"/>
  <c r="I599" i="1" l="1"/>
  <c r="E600" i="1" s="1"/>
  <c r="H600" i="1" l="1"/>
  <c r="F600" i="1" s="1"/>
  <c r="G600" i="1"/>
  <c r="I600" i="1" l="1"/>
  <c r="E601" i="1" s="1"/>
  <c r="G601" i="1" l="1"/>
  <c r="H601" i="1"/>
  <c r="F601" i="1" l="1"/>
  <c r="I601" i="1" s="1"/>
  <c r="E602" i="1" s="1"/>
  <c r="H602" i="1" l="1"/>
  <c r="G602" i="1"/>
  <c r="F602" i="1" l="1"/>
  <c r="I602" i="1" l="1"/>
  <c r="E603" i="1" s="1"/>
  <c r="H603" i="1" l="1"/>
  <c r="F603" i="1" s="1"/>
  <c r="G603" i="1"/>
  <c r="I603" i="1" l="1"/>
  <c r="E604" i="1" s="1"/>
  <c r="H604" i="1" l="1"/>
  <c r="G604" i="1"/>
  <c r="F604" i="1" l="1"/>
  <c r="I604" i="1" l="1"/>
  <c r="E605" i="1" s="1"/>
  <c r="G605" i="1" l="1"/>
  <c r="H605" i="1"/>
  <c r="F605" i="1" l="1"/>
  <c r="I605" i="1" s="1"/>
  <c r="E606" i="1" s="1"/>
  <c r="H606" i="1" l="1"/>
  <c r="G606" i="1"/>
  <c r="F606" i="1" l="1"/>
  <c r="I606" i="1" s="1"/>
  <c r="E607" i="1" s="1"/>
  <c r="H607" i="1" l="1"/>
  <c r="G607" i="1"/>
  <c r="F607" i="1" l="1"/>
  <c r="I607" i="1" l="1"/>
  <c r="E608" i="1" s="1"/>
  <c r="G608" i="1" l="1"/>
  <c r="H608" i="1"/>
  <c r="F608" i="1" s="1"/>
  <c r="I608" i="1" l="1"/>
  <c r="E609" i="1" s="1"/>
  <c r="H609" i="1" l="1"/>
  <c r="G609" i="1"/>
  <c r="F609" i="1" l="1"/>
  <c r="I609" i="1" s="1"/>
  <c r="E610" i="1" s="1"/>
  <c r="H610" i="1" l="1"/>
  <c r="G610" i="1"/>
  <c r="F610" i="1" l="1"/>
  <c r="I610" i="1" s="1"/>
  <c r="E611" i="1" s="1"/>
  <c r="H611" i="1" l="1"/>
  <c r="G611" i="1"/>
  <c r="F611" i="1" l="1"/>
  <c r="I611" i="1" s="1"/>
  <c r="E612" i="1" s="1"/>
  <c r="H612" i="1" l="1"/>
  <c r="G612" i="1"/>
  <c r="F612" i="1" l="1"/>
  <c r="I612" i="1" l="1"/>
  <c r="E613" i="1" s="1"/>
  <c r="G613" i="1" l="1"/>
  <c r="H613" i="1"/>
  <c r="F613" i="1" s="1"/>
  <c r="I613" i="1" l="1"/>
  <c r="E614" i="1" s="1"/>
  <c r="H614" i="1" l="1"/>
  <c r="F614" i="1" s="1"/>
  <c r="I614" i="1" s="1"/>
  <c r="E615" i="1" s="1"/>
  <c r="G614" i="1"/>
  <c r="G615" i="1" l="1"/>
  <c r="H615" i="1"/>
  <c r="F615" i="1" l="1"/>
  <c r="I615" i="1" s="1"/>
  <c r="E616" i="1" s="1"/>
  <c r="G616" i="1" l="1"/>
  <c r="H616" i="1"/>
  <c r="F616" i="1" l="1"/>
  <c r="I616" i="1" l="1"/>
  <c r="E617" i="1" s="1"/>
  <c r="G617" i="1" l="1"/>
  <c r="H617" i="1"/>
  <c r="F617" i="1" l="1"/>
  <c r="I617" i="1" s="1"/>
  <c r="E618" i="1" s="1"/>
  <c r="G618" i="1" l="1"/>
  <c r="H618" i="1"/>
  <c r="F618" i="1" l="1"/>
  <c r="I618" i="1" s="1"/>
  <c r="E619" i="1" s="1"/>
  <c r="H619" i="1" l="1"/>
  <c r="G619" i="1"/>
  <c r="F619" i="1" l="1"/>
  <c r="I619" i="1" s="1"/>
  <c r="E620" i="1" s="1"/>
  <c r="H620" i="1" l="1"/>
  <c r="G620" i="1"/>
  <c r="F620" i="1" l="1"/>
  <c r="I620" i="1" l="1"/>
  <c r="E621" i="1" s="1"/>
  <c r="H621" i="1" l="1"/>
  <c r="F621" i="1" s="1"/>
  <c r="G621" i="1"/>
  <c r="I621" i="1" l="1"/>
  <c r="E622" i="1" s="1"/>
  <c r="G622" i="1" l="1"/>
  <c r="H622" i="1"/>
  <c r="F622" i="1" l="1"/>
  <c r="I622" i="1" l="1"/>
  <c r="E623" i="1" s="1"/>
  <c r="H623" i="1" l="1"/>
  <c r="F623" i="1" s="1"/>
  <c r="G623" i="1"/>
  <c r="I623" i="1" l="1"/>
  <c r="E624" i="1" s="1"/>
  <c r="G624" i="1" l="1"/>
  <c r="H624" i="1"/>
  <c r="F624" i="1" l="1"/>
  <c r="I624" i="1" s="1"/>
  <c r="E625" i="1" s="1"/>
  <c r="H625" i="1" l="1"/>
  <c r="G625" i="1"/>
  <c r="F625" i="1" l="1"/>
  <c r="I625" i="1" s="1"/>
  <c r="E626" i="1" s="1"/>
  <c r="G626" i="1" l="1"/>
  <c r="H626" i="1"/>
  <c r="F626" i="1" l="1"/>
  <c r="I626" i="1" s="1"/>
  <c r="E627" i="1" s="1"/>
  <c r="G627" i="1" l="1"/>
  <c r="H627" i="1"/>
  <c r="F627" i="1" l="1"/>
  <c r="I627" i="1" s="1"/>
  <c r="E628" i="1" s="1"/>
  <c r="G628" i="1" l="1"/>
  <c r="H628" i="1"/>
  <c r="F628" i="1" l="1"/>
  <c r="I628" i="1" s="1"/>
  <c r="E629" i="1" s="1"/>
  <c r="H629" i="1" l="1"/>
  <c r="G629" i="1"/>
  <c r="F629" i="1" l="1"/>
  <c r="I629" i="1" s="1"/>
  <c r="E630" i="1" s="1"/>
  <c r="H630" i="1" l="1"/>
  <c r="G630" i="1"/>
  <c r="F630" i="1" l="1"/>
  <c r="I630" i="1" s="1"/>
  <c r="E631" i="1" s="1"/>
  <c r="G631" i="1" l="1"/>
  <c r="H631" i="1"/>
  <c r="F631" i="1" l="1"/>
  <c r="I631" i="1" s="1"/>
  <c r="E632" i="1" s="1"/>
  <c r="G632" i="1" l="1"/>
  <c r="H632" i="1"/>
  <c r="F632" i="1" l="1"/>
  <c r="I632" i="1" s="1"/>
  <c r="E633" i="1" s="1"/>
  <c r="G633" i="1" l="1"/>
  <c r="H633" i="1"/>
  <c r="F633" i="1" l="1"/>
  <c r="I633" i="1" s="1"/>
  <c r="E634" i="1" s="1"/>
  <c r="H634" i="1" l="1"/>
  <c r="G634" i="1"/>
  <c r="F634" i="1" l="1"/>
  <c r="I634" i="1" s="1"/>
  <c r="E635" i="1" s="1"/>
  <c r="G635" i="1" l="1"/>
  <c r="H635" i="1"/>
  <c r="F635" i="1" l="1"/>
  <c r="I635" i="1" s="1"/>
  <c r="E636" i="1" s="1"/>
  <c r="H636" i="1" l="1"/>
  <c r="G636" i="1"/>
  <c r="F636" i="1" l="1"/>
  <c r="I636" i="1" s="1"/>
  <c r="E637" i="1" s="1"/>
  <c r="G637" i="1" l="1"/>
  <c r="H637" i="1"/>
  <c r="F637" i="1" l="1"/>
  <c r="I637" i="1" s="1"/>
  <c r="E638" i="1" s="1"/>
  <c r="H638" i="1" l="1"/>
  <c r="G638" i="1"/>
  <c r="F638" i="1" l="1"/>
  <c r="I638" i="1" s="1"/>
  <c r="E639" i="1" s="1"/>
  <c r="G639" i="1" l="1"/>
  <c r="H639" i="1"/>
  <c r="F639" i="1" l="1"/>
  <c r="I639" i="1" l="1"/>
  <c r="E640" i="1" s="1"/>
  <c r="G640" i="1" l="1"/>
  <c r="H640" i="1"/>
  <c r="F640" i="1" l="1"/>
  <c r="I640" i="1" s="1"/>
  <c r="E641" i="1" s="1"/>
  <c r="G641" i="1" l="1"/>
  <c r="H641" i="1"/>
  <c r="F641" i="1" l="1"/>
  <c r="I641" i="1" s="1"/>
  <c r="E642" i="1" s="1"/>
  <c r="G642" i="1" l="1"/>
  <c r="H642" i="1"/>
  <c r="F642" i="1" l="1"/>
  <c r="I642" i="1" s="1"/>
  <c r="E643" i="1" s="1"/>
  <c r="G643" i="1" l="1"/>
  <c r="H643" i="1"/>
  <c r="F643" i="1" l="1"/>
  <c r="I643" i="1" l="1"/>
  <c r="E644" i="1" s="1"/>
  <c r="G644" i="1" l="1"/>
  <c r="H644" i="1"/>
  <c r="F644" i="1" l="1"/>
  <c r="I644" i="1" s="1"/>
  <c r="E645" i="1" s="1"/>
  <c r="G645" i="1" l="1"/>
  <c r="H645" i="1"/>
  <c r="F645" i="1" l="1"/>
  <c r="I645" i="1" l="1"/>
  <c r="E646" i="1" s="1"/>
  <c r="H646" i="1" l="1"/>
  <c r="F646" i="1" s="1"/>
  <c r="G646" i="1"/>
  <c r="I646" i="1" l="1"/>
  <c r="E647" i="1" s="1"/>
  <c r="H647" i="1" l="1"/>
  <c r="G647" i="1"/>
  <c r="F647" i="1" l="1"/>
  <c r="I647" i="1" l="1"/>
  <c r="E648" i="1" s="1"/>
  <c r="H648" i="1" l="1"/>
  <c r="F648" i="1" s="1"/>
  <c r="G648" i="1"/>
  <c r="I648" i="1" l="1"/>
  <c r="E649" i="1" s="1"/>
  <c r="H649" i="1" l="1"/>
  <c r="G649" i="1"/>
  <c r="F649" i="1" l="1"/>
  <c r="I649" i="1" s="1"/>
  <c r="E650" i="1" s="1"/>
  <c r="H650" i="1" l="1"/>
  <c r="G650" i="1"/>
  <c r="F650" i="1" l="1"/>
  <c r="I650" i="1" s="1"/>
  <c r="E651" i="1" s="1"/>
  <c r="G651" i="1" l="1"/>
  <c r="H651" i="1"/>
  <c r="F651" i="1" l="1"/>
  <c r="I651" i="1" s="1"/>
  <c r="E652" i="1" s="1"/>
  <c r="H652" i="1" l="1"/>
  <c r="G652" i="1"/>
  <c r="F652" i="1" l="1"/>
  <c r="I652" i="1" l="1"/>
  <c r="E653" i="1" s="1"/>
  <c r="G653" i="1" l="1"/>
  <c r="H653" i="1"/>
  <c r="F653" i="1" l="1"/>
  <c r="I653" i="1" s="1"/>
  <c r="E654" i="1" s="1"/>
  <c r="G654" i="1" l="1"/>
  <c r="H654" i="1"/>
  <c r="F654" i="1" l="1"/>
  <c r="I654" i="1" s="1"/>
  <c r="E655" i="1" s="1"/>
  <c r="G655" i="1" l="1"/>
  <c r="H655" i="1"/>
  <c r="F655" i="1" l="1"/>
  <c r="I655" i="1" s="1"/>
  <c r="E656" i="1" s="1"/>
  <c r="H656" i="1" l="1"/>
  <c r="G656" i="1"/>
  <c r="F656" i="1" l="1"/>
  <c r="I656" i="1" s="1"/>
  <c r="E657" i="1" s="1"/>
  <c r="H657" i="1" l="1"/>
  <c r="G657" i="1"/>
  <c r="F657" i="1" l="1"/>
  <c r="I657" i="1" s="1"/>
  <c r="E658" i="1" s="1"/>
  <c r="G658" i="1" l="1"/>
  <c r="H658" i="1"/>
  <c r="F658" i="1" l="1"/>
  <c r="I658" i="1" s="1"/>
  <c r="E659" i="1" s="1"/>
  <c r="G659" i="1" l="1"/>
  <c r="H659" i="1"/>
  <c r="F659" i="1" l="1"/>
  <c r="I659" i="1" s="1"/>
  <c r="E660" i="1" s="1"/>
  <c r="H660" i="1" l="1"/>
  <c r="G660" i="1"/>
  <c r="F660" i="1" l="1"/>
  <c r="I660" i="1" s="1"/>
  <c r="E661" i="1" s="1"/>
  <c r="H661" i="1" l="1"/>
  <c r="G661" i="1"/>
  <c r="F661" i="1" l="1"/>
  <c r="I661" i="1" s="1"/>
  <c r="E662" i="1" s="1"/>
  <c r="G662" i="1" l="1"/>
  <c r="H662" i="1"/>
  <c r="F662" i="1" l="1"/>
  <c r="I662" i="1" l="1"/>
  <c r="E663" i="1" s="1"/>
  <c r="G663" i="1" l="1"/>
  <c r="H663" i="1"/>
  <c r="F663" i="1" l="1"/>
  <c r="I663" i="1" s="1"/>
  <c r="E664" i="1" s="1"/>
  <c r="H664" i="1" l="1"/>
  <c r="G664" i="1"/>
  <c r="F664" i="1" l="1"/>
  <c r="I664" i="1" s="1"/>
  <c r="E665" i="1" s="1"/>
  <c r="H665" i="1" l="1"/>
  <c r="G665" i="1"/>
  <c r="F665" i="1" l="1"/>
  <c r="I665" i="1" l="1"/>
  <c r="E666" i="1" s="1"/>
  <c r="H666" i="1" l="1"/>
  <c r="F666" i="1" s="1"/>
  <c r="G666" i="1"/>
  <c r="I666" i="1" l="1"/>
  <c r="E667" i="1" s="1"/>
  <c r="H667" i="1" l="1"/>
  <c r="G667" i="1"/>
  <c r="F667" i="1" l="1"/>
  <c r="I667" i="1" s="1"/>
  <c r="E668" i="1" s="1"/>
  <c r="H668" i="1" l="1"/>
  <c r="G668" i="1"/>
  <c r="F668" i="1" l="1"/>
  <c r="I668" i="1" s="1"/>
  <c r="E669" i="1" s="1"/>
  <c r="H669" i="1" l="1"/>
  <c r="G669" i="1"/>
  <c r="F669" i="1" l="1"/>
  <c r="I669" i="1" l="1"/>
  <c r="E670" i="1" s="1"/>
  <c r="H670" i="1" l="1"/>
  <c r="F670" i="1" s="1"/>
  <c r="G670" i="1"/>
  <c r="I670" i="1" l="1"/>
  <c r="E671" i="1" l="1"/>
  <c r="G671" i="1" s="1"/>
  <c r="H671" i="1" l="1"/>
  <c r="F671" i="1" s="1"/>
  <c r="I671" i="1" s="1"/>
  <c r="E672" i="1" s="1"/>
  <c r="G672" i="1" l="1"/>
  <c r="H672" i="1"/>
  <c r="F672" i="1" s="1"/>
  <c r="I672" i="1" l="1"/>
  <c r="E673" i="1" s="1"/>
  <c r="H673" i="1" l="1"/>
  <c r="F673" i="1" s="1"/>
  <c r="G673" i="1"/>
  <c r="I673" i="1" l="1"/>
  <c r="E674" i="1" s="1"/>
  <c r="H674" i="1" l="1"/>
  <c r="F674" i="1" s="1"/>
  <c r="I674" i="1" s="1"/>
  <c r="E675" i="1" s="1"/>
  <c r="G674" i="1"/>
  <c r="H675" i="1" l="1"/>
  <c r="G675" i="1"/>
  <c r="F675" i="1" l="1"/>
  <c r="I675" i="1" s="1"/>
  <c r="E676" i="1" s="1"/>
  <c r="H676" i="1" l="1"/>
  <c r="G676" i="1"/>
  <c r="F676" i="1" l="1"/>
  <c r="I676" i="1" l="1"/>
  <c r="E677" i="1" s="1"/>
  <c r="H677" i="1" l="1"/>
  <c r="F677" i="1" s="1"/>
  <c r="G677" i="1"/>
  <c r="I677" i="1" l="1"/>
  <c r="E678" i="1" s="1"/>
  <c r="H678" i="1" l="1"/>
  <c r="G678" i="1"/>
  <c r="F678" i="1" l="1"/>
  <c r="I678" i="1" l="1"/>
  <c r="E679" i="1" s="1"/>
  <c r="H679" i="1" l="1"/>
  <c r="F679" i="1" s="1"/>
  <c r="G679" i="1"/>
  <c r="I679" i="1" l="1"/>
  <c r="E680" i="1" s="1"/>
  <c r="H680" i="1" l="1"/>
  <c r="G680" i="1"/>
  <c r="F680" i="1" l="1"/>
  <c r="I680" i="1" s="1"/>
  <c r="E681" i="1" s="1"/>
  <c r="H681" i="1" l="1"/>
  <c r="G681" i="1"/>
  <c r="F681" i="1" l="1"/>
  <c r="I681" i="1" l="1"/>
  <c r="E682" i="1" s="1"/>
  <c r="G682" i="1" l="1"/>
  <c r="H682" i="1"/>
  <c r="F682" i="1" s="1"/>
  <c r="I682" i="1" l="1"/>
  <c r="E683" i="1" s="1"/>
  <c r="H683" i="1" l="1"/>
  <c r="G683" i="1"/>
  <c r="F683" i="1" l="1"/>
  <c r="I683" i="1" s="1"/>
  <c r="E684" i="1" s="1"/>
  <c r="G684" i="1" l="1"/>
  <c r="H684" i="1"/>
  <c r="F684" i="1" l="1"/>
  <c r="I684" i="1" s="1"/>
  <c r="E685" i="1" s="1"/>
  <c r="H685" i="1" l="1"/>
  <c r="G685" i="1"/>
  <c r="F685" i="1" l="1"/>
  <c r="I685" i="1" l="1"/>
  <c r="E686" i="1" s="1"/>
  <c r="H686" i="1" l="1"/>
  <c r="F686" i="1" s="1"/>
  <c r="G686" i="1"/>
  <c r="I686" i="1" l="1"/>
  <c r="E687" i="1" s="1"/>
  <c r="H687" i="1" l="1"/>
  <c r="G687" i="1"/>
  <c r="F687" i="1" l="1"/>
  <c r="I687" i="1" l="1"/>
  <c r="E688" i="1" s="1"/>
  <c r="G688" i="1" l="1"/>
  <c r="H688" i="1"/>
  <c r="F688" i="1" l="1"/>
  <c r="I688" i="1" s="1"/>
  <c r="E689" i="1" s="1"/>
  <c r="H689" i="1" l="1"/>
  <c r="G689" i="1"/>
  <c r="F689" i="1" l="1"/>
  <c r="I689" i="1" l="1"/>
  <c r="E690" i="1" s="1"/>
  <c r="G690" i="1" l="1"/>
  <c r="H690" i="1"/>
  <c r="F690" i="1" s="1"/>
  <c r="I690" i="1" l="1"/>
  <c r="E691" i="1" s="1"/>
  <c r="G691" i="1" l="1"/>
  <c r="H691" i="1"/>
  <c r="F691" i="1" l="1"/>
  <c r="I691" i="1" s="1"/>
  <c r="E692" i="1" s="1"/>
  <c r="H692" i="1" l="1"/>
  <c r="G692" i="1"/>
  <c r="F692" i="1" l="1"/>
  <c r="I692" i="1" s="1"/>
  <c r="E693" i="1" s="1"/>
  <c r="H693" i="1" l="1"/>
  <c r="G693" i="1"/>
  <c r="F693" i="1" l="1"/>
  <c r="I693" i="1" s="1"/>
  <c r="E694" i="1" s="1"/>
  <c r="G694" i="1" l="1"/>
  <c r="H694" i="1"/>
  <c r="F694" i="1" l="1"/>
  <c r="I694" i="1" s="1"/>
  <c r="E695" i="1" s="1"/>
  <c r="H695" i="1" l="1"/>
  <c r="G695" i="1"/>
  <c r="F695" i="1" l="1"/>
  <c r="I695" i="1" s="1"/>
  <c r="E696" i="1" s="1"/>
  <c r="H696" i="1" l="1"/>
  <c r="G696" i="1"/>
  <c r="F696" i="1" l="1"/>
  <c r="I696" i="1" s="1"/>
  <c r="E697" i="1" s="1"/>
  <c r="G697" i="1" l="1"/>
  <c r="H697" i="1"/>
  <c r="F697" i="1" l="1"/>
  <c r="I697" i="1" s="1"/>
  <c r="E698" i="1" s="1"/>
  <c r="G698" i="1" l="1"/>
  <c r="H698" i="1"/>
  <c r="F698" i="1" l="1"/>
  <c r="I698" i="1" s="1"/>
  <c r="E699" i="1" s="1"/>
  <c r="G699" i="1" l="1"/>
  <c r="H699" i="1"/>
  <c r="F699" i="1" l="1"/>
  <c r="I699" i="1" s="1"/>
  <c r="E700" i="1" s="1"/>
  <c r="H700" i="1" l="1"/>
  <c r="G700" i="1"/>
  <c r="F700" i="1" l="1"/>
  <c r="I700" i="1" s="1"/>
  <c r="E701" i="1" s="1"/>
  <c r="H701" i="1" l="1"/>
  <c r="G701" i="1"/>
  <c r="F701" i="1" l="1"/>
  <c r="I701" i="1" s="1"/>
  <c r="E702" i="1" s="1"/>
  <c r="H702" i="1" l="1"/>
  <c r="G702" i="1"/>
  <c r="F702" i="1" l="1"/>
  <c r="I702" i="1" s="1"/>
  <c r="E703" i="1" s="1"/>
  <c r="H703" i="1" l="1"/>
  <c r="G703" i="1"/>
  <c r="F703" i="1" l="1"/>
  <c r="I703" i="1" s="1"/>
  <c r="E704" i="1" s="1"/>
  <c r="G704" i="1" l="1"/>
  <c r="H704" i="1"/>
  <c r="F704" i="1" l="1"/>
  <c r="I704" i="1" s="1"/>
  <c r="E705" i="1" s="1"/>
  <c r="H705" i="1" l="1"/>
  <c r="G705" i="1"/>
  <c r="F705" i="1" l="1"/>
  <c r="I705" i="1" s="1"/>
  <c r="E706" i="1" s="1"/>
  <c r="G706" i="1" l="1"/>
  <c r="H706" i="1"/>
  <c r="F706" i="1" l="1"/>
  <c r="I706" i="1" s="1"/>
  <c r="E707" i="1" s="1"/>
  <c r="H707" i="1" l="1"/>
  <c r="G707" i="1"/>
  <c r="F707" i="1" l="1"/>
  <c r="I707" i="1" s="1"/>
  <c r="E708" i="1" s="1"/>
  <c r="H708" i="1" l="1"/>
  <c r="G708" i="1"/>
  <c r="F708" i="1" l="1"/>
  <c r="I708" i="1" s="1"/>
  <c r="E709" i="1" s="1"/>
  <c r="G709" i="1" l="1"/>
  <c r="H709" i="1"/>
  <c r="F709" i="1" l="1"/>
  <c r="I709" i="1" s="1"/>
  <c r="E710" i="1" s="1"/>
  <c r="G710" i="1" l="1"/>
  <c r="H710" i="1"/>
  <c r="F710" i="1" l="1"/>
  <c r="I710" i="1" s="1"/>
  <c r="E711" i="1" s="1"/>
  <c r="H711" i="1" l="1"/>
  <c r="G711" i="1"/>
  <c r="F711" i="1" l="1"/>
  <c r="I711" i="1" l="1"/>
  <c r="E712" i="1" s="1"/>
  <c r="H712" i="1" l="1"/>
  <c r="F712" i="1" s="1"/>
  <c r="G712" i="1"/>
  <c r="I712" i="1" l="1"/>
  <c r="E713" i="1" s="1"/>
  <c r="H713" i="1" l="1"/>
  <c r="G713" i="1"/>
  <c r="F713" i="1" l="1"/>
  <c r="I713" i="1" s="1"/>
  <c r="E714" i="1" s="1"/>
  <c r="H714" i="1" l="1"/>
  <c r="G714" i="1"/>
  <c r="F714" i="1" l="1"/>
  <c r="I714" i="1" s="1"/>
  <c r="E715" i="1" s="1"/>
  <c r="G715" i="1" l="1"/>
  <c r="H715" i="1"/>
  <c r="F715" i="1" l="1"/>
  <c r="I715" i="1" s="1"/>
  <c r="E716" i="1" s="1"/>
  <c r="H716" i="1" l="1"/>
  <c r="G716" i="1"/>
  <c r="F716" i="1" l="1"/>
  <c r="I716" i="1" s="1"/>
  <c r="E717" i="1" s="1"/>
  <c r="G717" i="1" l="1"/>
  <c r="H717" i="1"/>
  <c r="F717" i="1" l="1"/>
  <c r="I717" i="1" s="1"/>
  <c r="E718" i="1" s="1"/>
  <c r="H718" i="1" l="1"/>
  <c r="G718" i="1"/>
  <c r="F718" i="1" l="1"/>
  <c r="I718" i="1" s="1"/>
  <c r="E719" i="1" s="1"/>
  <c r="H719" i="1" l="1"/>
  <c r="G719" i="1"/>
  <c r="F719" i="1" l="1"/>
  <c r="I719" i="1" s="1"/>
  <c r="E720" i="1" s="1"/>
  <c r="H720" i="1" l="1"/>
  <c r="G720" i="1"/>
  <c r="F720" i="1" l="1"/>
  <c r="I720" i="1" s="1"/>
  <c r="E721" i="1" s="1"/>
  <c r="H721" i="1" l="1"/>
  <c r="G721" i="1"/>
  <c r="F721" i="1" l="1"/>
  <c r="I721" i="1" s="1"/>
  <c r="E722" i="1" s="1"/>
  <c r="H722" i="1" l="1"/>
  <c r="G722" i="1"/>
  <c r="F722" i="1" l="1"/>
  <c r="I722" i="1" s="1"/>
  <c r="E723" i="1" s="1"/>
  <c r="H723" i="1" l="1"/>
  <c r="G723" i="1"/>
  <c r="F723" i="1" l="1"/>
  <c r="I723" i="1" s="1"/>
  <c r="E724" i="1" s="1"/>
  <c r="G724" i="1" l="1"/>
  <c r="H724" i="1"/>
  <c r="F724" i="1" l="1"/>
  <c r="I724" i="1" s="1"/>
  <c r="E725" i="1" s="1"/>
  <c r="H725" i="1" l="1"/>
  <c r="G725" i="1"/>
  <c r="F725" i="1" l="1"/>
  <c r="I725" i="1" s="1"/>
  <c r="E726" i="1" s="1"/>
  <c r="H726" i="1" l="1"/>
  <c r="G726" i="1"/>
  <c r="F726" i="1" l="1"/>
  <c r="I726" i="1" s="1"/>
  <c r="E727" i="1" s="1"/>
  <c r="H727" i="1" l="1"/>
  <c r="G727" i="1"/>
  <c r="F727" i="1" l="1"/>
  <c r="I727" i="1" l="1"/>
  <c r="E728" i="1" s="1"/>
  <c r="G728" i="1" l="1"/>
  <c r="H728" i="1"/>
  <c r="F728" i="1" l="1"/>
  <c r="I728" i="1" s="1"/>
  <c r="E729" i="1" s="1"/>
  <c r="G729" i="1" l="1"/>
  <c r="H729" i="1"/>
  <c r="F729" i="1" l="1"/>
  <c r="I729" i="1" s="1"/>
  <c r="E730" i="1" s="1"/>
  <c r="G730" i="1" l="1"/>
  <c r="H730" i="1"/>
  <c r="F730" i="1" l="1"/>
  <c r="I730" i="1" s="1"/>
  <c r="E731" i="1" s="1"/>
  <c r="H731" i="1" l="1"/>
  <c r="G731" i="1"/>
  <c r="F731" i="1" l="1"/>
  <c r="I731" i="1" s="1"/>
  <c r="E732" i="1" s="1"/>
  <c r="G732" i="1" l="1"/>
  <c r="H732" i="1"/>
  <c r="F732" i="1" l="1"/>
  <c r="I732" i="1" s="1"/>
  <c r="E733" i="1" s="1"/>
  <c r="G733" i="1" l="1"/>
  <c r="H733" i="1"/>
  <c r="F733" i="1" l="1"/>
  <c r="I733" i="1" s="1"/>
  <c r="E734" i="1" s="1"/>
  <c r="G734" i="1" l="1"/>
  <c r="H734" i="1"/>
  <c r="F734" i="1" l="1"/>
  <c r="I734" i="1" s="1"/>
  <c r="E735" i="1" s="1"/>
  <c r="H735" i="1" l="1"/>
  <c r="G735" i="1"/>
  <c r="F735" i="1" l="1"/>
  <c r="I735" i="1" s="1"/>
  <c r="E736" i="1" s="1"/>
  <c r="G736" i="1" l="1"/>
  <c r="H736" i="1"/>
  <c r="F736" i="1" l="1"/>
  <c r="I736" i="1" s="1"/>
  <c r="E737" i="1" s="1"/>
  <c r="H737" i="1" l="1"/>
  <c r="G737" i="1"/>
  <c r="F737" i="1" l="1"/>
  <c r="I737" i="1" s="1"/>
  <c r="E738" i="1" s="1"/>
  <c r="G738" i="1" l="1"/>
  <c r="H738" i="1"/>
  <c r="F738" i="1" l="1"/>
  <c r="I738" i="1" s="1"/>
  <c r="E739" i="1" s="1"/>
  <c r="H739" i="1" l="1"/>
  <c r="G739" i="1"/>
  <c r="F739" i="1" l="1"/>
  <c r="I739" i="1" l="1"/>
  <c r="E740" i="1" s="1"/>
  <c r="H740" i="1" l="1"/>
  <c r="F740" i="1" s="1"/>
  <c r="G740" i="1"/>
  <c r="E6" i="2"/>
  <c r="G6" i="2"/>
  <c r="F6" i="2"/>
  <c r="S6" i="2" l="1"/>
  <c r="T6" i="2" s="1"/>
  <c r="N6" i="2"/>
  <c r="O6" i="2" s="1"/>
  <c r="L6" i="2" s="1"/>
  <c r="M6" i="2" s="1"/>
  <c r="H6" i="2"/>
  <c r="I6" i="2" s="1"/>
  <c r="J6" i="2"/>
  <c r="K6" i="2" s="1"/>
  <c r="I740" i="1"/>
  <c r="E741" i="1" s="1"/>
  <c r="U6" i="2" l="1"/>
  <c r="P6" i="2" s="1"/>
  <c r="Q6" i="2" s="1"/>
  <c r="G741" i="1"/>
  <c r="H741" i="1"/>
  <c r="F741" i="1" s="1"/>
  <c r="I741" i="1" l="1"/>
  <c r="E742" i="1" s="1"/>
  <c r="H742" i="1" l="1"/>
  <c r="G742" i="1"/>
  <c r="F742" i="1" l="1"/>
  <c r="I742" i="1" s="1"/>
  <c r="E743" i="1" s="1"/>
  <c r="H743" i="1" l="1"/>
  <c r="G743" i="1"/>
  <c r="F743" i="1" l="1"/>
  <c r="I743" i="1" s="1"/>
  <c r="E744" i="1" s="1"/>
  <c r="H744" i="1" l="1"/>
  <c r="G744" i="1"/>
  <c r="F744" i="1" l="1"/>
  <c r="I744" i="1" s="1"/>
  <c r="E745" i="1" s="1"/>
  <c r="H745" i="1" l="1"/>
  <c r="G745" i="1"/>
  <c r="F745" i="1" l="1"/>
  <c r="I745" i="1" l="1"/>
  <c r="E746" i="1" s="1"/>
  <c r="G746" i="1" l="1"/>
  <c r="H746" i="1"/>
  <c r="F746" i="1" s="1"/>
  <c r="I746" i="1" l="1"/>
  <c r="E747" i="1" s="1"/>
  <c r="H747" i="1" l="1"/>
  <c r="G747" i="1"/>
  <c r="F747" i="1" l="1"/>
  <c r="I747" i="1" l="1"/>
  <c r="E748" i="1" s="1"/>
  <c r="H748" i="1" l="1"/>
  <c r="F748" i="1" s="1"/>
  <c r="G748" i="1"/>
  <c r="I748" i="1" l="1"/>
  <c r="E749" i="1" s="1"/>
  <c r="G749" i="1" l="1"/>
  <c r="H749" i="1"/>
  <c r="F749" i="1" l="1"/>
  <c r="I749" i="1" s="1"/>
  <c r="E750" i="1" s="1"/>
  <c r="G750" i="1" l="1"/>
  <c r="H750" i="1"/>
  <c r="F750" i="1" l="1"/>
  <c r="I750" i="1" s="1"/>
  <c r="E751" i="1" s="1"/>
  <c r="G751" i="1" l="1"/>
  <c r="H751" i="1"/>
  <c r="F751" i="1" l="1"/>
  <c r="I751" i="1" s="1"/>
  <c r="E752" i="1" s="1"/>
  <c r="G752" i="1" l="1"/>
  <c r="H752" i="1"/>
  <c r="F752" i="1" l="1"/>
  <c r="I752" i="1" s="1"/>
  <c r="E753" i="1" s="1"/>
  <c r="G753" i="1" l="1"/>
  <c r="H753" i="1"/>
  <c r="F753" i="1" l="1"/>
  <c r="I753" i="1" l="1"/>
  <c r="E754" i="1" s="1"/>
  <c r="H754" i="1" l="1"/>
  <c r="F754" i="1" s="1"/>
  <c r="G754" i="1"/>
  <c r="I754" i="1" l="1"/>
  <c r="E755" i="1" s="1"/>
  <c r="H755" i="1" l="1"/>
  <c r="G755" i="1"/>
  <c r="F755" i="1"/>
  <c r="I755" i="1" l="1"/>
  <c r="E756" i="1" s="1"/>
  <c r="H756" i="1" l="1"/>
  <c r="F756" i="1" s="1"/>
  <c r="G756" i="1"/>
  <c r="I756" i="1" l="1"/>
  <c r="E757" i="1" s="1"/>
  <c r="H757" i="1" l="1"/>
  <c r="G757" i="1"/>
  <c r="F757" i="1" l="1"/>
  <c r="I757" i="1" s="1"/>
  <c r="E758" i="1" s="1"/>
  <c r="H758" i="1" l="1"/>
  <c r="G758" i="1"/>
  <c r="F758" i="1" l="1"/>
  <c r="I758" i="1" l="1"/>
  <c r="E759" i="1" s="1"/>
  <c r="G759" i="1" l="1"/>
  <c r="H759" i="1"/>
  <c r="F759" i="1" s="1"/>
  <c r="I759" i="1" l="1"/>
  <c r="E760" i="1" s="1"/>
  <c r="H760" i="1" l="1"/>
  <c r="G760" i="1"/>
  <c r="F760" i="1" l="1"/>
  <c r="I760" i="1" s="1"/>
  <c r="E761" i="1" s="1"/>
  <c r="H761" i="1" l="1"/>
  <c r="G761" i="1"/>
  <c r="F761" i="1" l="1"/>
  <c r="I761" i="1" l="1"/>
  <c r="E762" i="1" s="1"/>
  <c r="G762" i="1" l="1"/>
  <c r="H762" i="1"/>
  <c r="F762" i="1" s="1"/>
  <c r="I762" i="1" l="1"/>
  <c r="E763" i="1" s="1"/>
  <c r="H763" i="1" l="1"/>
  <c r="F763" i="1" s="1"/>
  <c r="G763" i="1"/>
  <c r="I763" i="1" l="1"/>
  <c r="E764" i="1" s="1"/>
  <c r="G764" i="1" l="1"/>
  <c r="H764" i="1"/>
  <c r="F764" i="1" s="1"/>
  <c r="I764" i="1" l="1"/>
  <c r="E765" i="1" s="1"/>
  <c r="G765" i="1" l="1"/>
  <c r="H765" i="1"/>
  <c r="F765" i="1" l="1"/>
  <c r="I765" i="1" s="1"/>
  <c r="E766" i="1" s="1"/>
  <c r="G766" i="1" l="1"/>
  <c r="H766" i="1"/>
  <c r="F766" i="1" l="1"/>
  <c r="I766" i="1" l="1"/>
  <c r="E767" i="1" s="1"/>
  <c r="H767" i="1" l="1"/>
  <c r="F767" i="1" s="1"/>
  <c r="G767" i="1"/>
  <c r="I767" i="1" l="1"/>
  <c r="E768" i="1" s="1"/>
  <c r="G768" i="1" l="1"/>
  <c r="H768" i="1"/>
  <c r="F768" i="1" l="1"/>
  <c r="I768" i="1" l="1"/>
  <c r="E769" i="1" s="1"/>
  <c r="H769" i="1" l="1"/>
  <c r="F769" i="1" s="1"/>
  <c r="G769" i="1"/>
  <c r="I769" i="1" l="1"/>
  <c r="E770" i="1" s="1"/>
  <c r="H770" i="1" l="1"/>
  <c r="F770" i="1" s="1"/>
  <c r="G770" i="1"/>
  <c r="I770" i="1" l="1"/>
  <c r="E771" i="1" s="1"/>
  <c r="G771" i="1" l="1"/>
  <c r="H771" i="1"/>
  <c r="F771" i="1" l="1"/>
  <c r="I771" i="1" s="1"/>
  <c r="E772" i="1" s="1"/>
  <c r="H772" i="1" l="1"/>
  <c r="G772" i="1"/>
  <c r="F772" i="1" l="1"/>
  <c r="I772" i="1" l="1"/>
  <c r="E773" i="1" s="1"/>
  <c r="G773" i="1" l="1"/>
  <c r="H773" i="1"/>
  <c r="F773" i="1" s="1"/>
  <c r="I773" i="1" l="1"/>
  <c r="E774" i="1" s="1"/>
  <c r="H774" i="1" l="1"/>
  <c r="G774" i="1"/>
  <c r="F774" i="1" l="1"/>
  <c r="I774" i="1" s="1"/>
  <c r="E775" i="1" s="1"/>
  <c r="G775" i="1" l="1"/>
  <c r="H775" i="1"/>
  <c r="F775" i="1" l="1"/>
  <c r="I775" i="1" l="1"/>
  <c r="E776" i="1" s="1"/>
  <c r="G776" i="1" l="1"/>
  <c r="H776" i="1"/>
  <c r="F776" i="1" s="1"/>
  <c r="I776" i="1" l="1"/>
  <c r="E777" i="1" s="1"/>
  <c r="G777" i="1" l="1"/>
  <c r="H777" i="1"/>
  <c r="F777" i="1" l="1"/>
  <c r="I777" i="1" s="1"/>
  <c r="E778" i="1" s="1"/>
  <c r="H778" i="1" l="1"/>
  <c r="G778" i="1"/>
  <c r="F778" i="1" l="1"/>
  <c r="I778" i="1" s="1"/>
  <c r="E779" i="1" s="1"/>
  <c r="G779" i="1" l="1"/>
  <c r="H779" i="1"/>
  <c r="F779" i="1" l="1"/>
  <c r="I779" i="1" l="1"/>
  <c r="E780" i="1" s="1"/>
  <c r="G780" i="1" l="1"/>
  <c r="H780" i="1"/>
  <c r="F780" i="1" s="1"/>
  <c r="I780" i="1" l="1"/>
  <c r="E781" i="1" s="1"/>
  <c r="G781" i="1" l="1"/>
  <c r="H781" i="1"/>
  <c r="F781" i="1" l="1"/>
  <c r="I781" i="1" l="1"/>
  <c r="E782" i="1" s="1"/>
  <c r="G782" i="1" l="1"/>
  <c r="H782" i="1"/>
  <c r="F782" i="1" s="1"/>
  <c r="I782" i="1" l="1"/>
  <c r="E783" i="1" s="1"/>
  <c r="H783" i="1" l="1"/>
  <c r="F783" i="1" s="1"/>
  <c r="G783" i="1"/>
  <c r="I783" i="1" l="1"/>
  <c r="E784" i="1" s="1"/>
  <c r="G784" i="1" l="1"/>
  <c r="H784" i="1"/>
  <c r="F784" i="1" l="1"/>
  <c r="I784" i="1" l="1"/>
  <c r="E785" i="1" s="1"/>
  <c r="G785" i="1" l="1"/>
  <c r="H785" i="1"/>
  <c r="F785" i="1" s="1"/>
  <c r="I785" i="1" l="1"/>
  <c r="E786" i="1" l="1"/>
  <c r="H786" i="1" s="1"/>
  <c r="F786" i="1" s="1"/>
  <c r="G786" i="1" l="1"/>
  <c r="I786" i="1"/>
  <c r="E787" i="1" s="1"/>
  <c r="H787" i="1" l="1"/>
  <c r="G787" i="1"/>
  <c r="F787" i="1" l="1"/>
  <c r="I787" i="1" l="1"/>
  <c r="E788" i="1" s="1"/>
  <c r="H788" i="1" l="1"/>
  <c r="F788" i="1" s="1"/>
  <c r="G788" i="1"/>
  <c r="I788" i="1" l="1"/>
  <c r="E789" i="1" s="1"/>
  <c r="H789" i="1" l="1"/>
  <c r="F789" i="1" s="1"/>
  <c r="G789" i="1"/>
  <c r="I789" i="1" l="1"/>
  <c r="E790" i="1" s="1"/>
  <c r="H790" i="1" l="1"/>
  <c r="F790" i="1" s="1"/>
  <c r="G790" i="1"/>
  <c r="I790" i="1" l="1"/>
  <c r="E791" i="1" s="1"/>
  <c r="H791" i="1" l="1"/>
  <c r="F791" i="1" s="1"/>
  <c r="G791" i="1"/>
  <c r="I791" i="1" l="1"/>
  <c r="E792" i="1" s="1"/>
  <c r="H792" i="1" l="1"/>
  <c r="F792" i="1" s="1"/>
  <c r="G792" i="1"/>
  <c r="I792" i="1" l="1"/>
  <c r="E793" i="1" s="1"/>
  <c r="G793" i="1" l="1"/>
  <c r="H793" i="1"/>
  <c r="F793" i="1" s="1"/>
  <c r="I793" i="1" l="1"/>
  <c r="E794" i="1" s="1"/>
  <c r="G794" i="1" l="1"/>
  <c r="H794" i="1"/>
  <c r="F794" i="1" l="1"/>
  <c r="I794" i="1" s="1"/>
  <c r="E795" i="1" s="1"/>
  <c r="H795" i="1" l="1"/>
  <c r="F795" i="1" s="1"/>
  <c r="I795" i="1" s="1"/>
  <c r="E796" i="1" s="1"/>
  <c r="G795" i="1"/>
  <c r="H796" i="1" l="1"/>
  <c r="G796" i="1"/>
  <c r="F796" i="1" l="1"/>
  <c r="I796" i="1" s="1"/>
  <c r="E797" i="1" s="1"/>
  <c r="G797" i="1" l="1"/>
  <c r="H797" i="1"/>
  <c r="F797" i="1" l="1"/>
  <c r="I797" i="1" s="1"/>
  <c r="E798" i="1" s="1"/>
  <c r="G798" i="1" l="1"/>
  <c r="H798" i="1"/>
  <c r="F798" i="1" l="1"/>
  <c r="I798" i="1" s="1"/>
  <c r="E799" i="1" s="1"/>
  <c r="H799" i="1" l="1"/>
  <c r="G799" i="1"/>
  <c r="F799" i="1" l="1"/>
  <c r="I799" i="1" l="1"/>
  <c r="E800" i="1" s="1"/>
  <c r="G800" i="1" l="1"/>
  <c r="H800" i="1"/>
  <c r="F800" i="1" s="1"/>
  <c r="I800" i="1" l="1"/>
  <c r="E801" i="1" s="1"/>
  <c r="H801" i="1" l="1"/>
  <c r="F801" i="1" s="1"/>
  <c r="I801" i="1" s="1"/>
  <c r="E802" i="1" s="1"/>
  <c r="G801" i="1"/>
  <c r="G802" i="1" l="1"/>
  <c r="H802" i="1"/>
  <c r="F802" i="1" l="1"/>
  <c r="I802" i="1" s="1"/>
  <c r="E803" i="1" s="1"/>
  <c r="H803" i="1" l="1"/>
  <c r="G803" i="1"/>
  <c r="F803" i="1" l="1"/>
  <c r="I803" i="1" s="1"/>
  <c r="E804" i="1" s="1"/>
  <c r="H804" i="1" l="1"/>
  <c r="G804" i="1"/>
  <c r="F804" i="1" l="1"/>
  <c r="I804" i="1" s="1"/>
  <c r="E805" i="1" s="1"/>
  <c r="H805" i="1" l="1"/>
  <c r="G805" i="1"/>
  <c r="F805" i="1" l="1"/>
  <c r="I805" i="1" l="1"/>
  <c r="E806" i="1" s="1"/>
  <c r="H806" i="1" l="1"/>
  <c r="F806" i="1" s="1"/>
  <c r="G806" i="1"/>
  <c r="I806" i="1" l="1"/>
  <c r="E807" i="1" s="1"/>
  <c r="H807" i="1" l="1"/>
  <c r="F807" i="1" s="1"/>
  <c r="G807" i="1"/>
  <c r="I807" i="1" l="1"/>
  <c r="E808" i="1" s="1"/>
  <c r="H808" i="1" l="1"/>
  <c r="G808" i="1"/>
  <c r="F808" i="1" l="1"/>
  <c r="I808" i="1" l="1"/>
  <c r="E809" i="1" s="1"/>
  <c r="G809" i="1" l="1"/>
  <c r="H809" i="1"/>
  <c r="F809" i="1" s="1"/>
  <c r="I809" i="1" l="1"/>
  <c r="E810" i="1" s="1"/>
  <c r="G810" i="1" l="1"/>
  <c r="H810" i="1"/>
  <c r="F810" i="1" l="1"/>
  <c r="I810" i="1" s="1"/>
  <c r="E811" i="1" s="1"/>
  <c r="H811" i="1" l="1"/>
  <c r="G811" i="1"/>
  <c r="F811" i="1" l="1"/>
  <c r="I811" i="1" l="1"/>
  <c r="E812" i="1" s="1"/>
  <c r="H812" i="1" l="1"/>
  <c r="F812" i="1" s="1"/>
  <c r="G812" i="1"/>
  <c r="I812" i="1" l="1"/>
  <c r="E813" i="1" s="1"/>
  <c r="G813" i="1" l="1"/>
  <c r="H813" i="1"/>
  <c r="F813" i="1" l="1"/>
  <c r="I813" i="1" s="1"/>
  <c r="E814" i="1" s="1"/>
  <c r="H814" i="1" l="1"/>
  <c r="G814" i="1"/>
  <c r="F814" i="1" l="1"/>
  <c r="I814" i="1" l="1"/>
  <c r="E815" i="1" s="1"/>
  <c r="H815" i="1" l="1"/>
  <c r="F815" i="1" s="1"/>
  <c r="G815" i="1"/>
  <c r="I815" i="1" l="1"/>
  <c r="E816" i="1" s="1"/>
  <c r="G816" i="1" l="1"/>
  <c r="H816" i="1"/>
  <c r="F816" i="1" s="1"/>
  <c r="I816" i="1" l="1"/>
  <c r="E817" i="1" s="1"/>
  <c r="H817" i="1" l="1"/>
  <c r="G817" i="1"/>
  <c r="F817" i="1" l="1"/>
  <c r="I817" i="1" s="1"/>
  <c r="E818" i="1" s="1"/>
  <c r="G818" i="1" l="1"/>
  <c r="H818" i="1"/>
  <c r="F818" i="1" l="1"/>
  <c r="I818" i="1" l="1"/>
  <c r="E819" i="1" s="1"/>
  <c r="H819" i="1" l="1"/>
  <c r="F819" i="1" s="1"/>
  <c r="G819" i="1"/>
  <c r="I819" i="1" l="1"/>
  <c r="E820" i="1" s="1"/>
  <c r="G820" i="1" l="1"/>
  <c r="H820" i="1"/>
  <c r="F820" i="1" l="1"/>
  <c r="I820" i="1" s="1"/>
  <c r="E821" i="1" s="1"/>
  <c r="H821" i="1" l="1"/>
  <c r="G821" i="1"/>
  <c r="F821" i="1" l="1"/>
  <c r="I821" i="1" l="1"/>
  <c r="E822" i="1" s="1"/>
  <c r="G822" i="1" l="1"/>
  <c r="H822" i="1"/>
  <c r="F822" i="1" s="1"/>
  <c r="I822" i="1" l="1"/>
  <c r="E823" i="1" s="1"/>
  <c r="H823" i="1" l="1"/>
  <c r="F823" i="1" s="1"/>
  <c r="I823" i="1" s="1"/>
  <c r="E824" i="1" s="1"/>
  <c r="G823" i="1"/>
  <c r="H824" i="1" l="1"/>
  <c r="G824" i="1"/>
  <c r="F824" i="1" l="1"/>
  <c r="I824" i="1" l="1"/>
  <c r="E825" i="1" s="1"/>
  <c r="H825" i="1" l="1"/>
  <c r="G825" i="1"/>
  <c r="F825" i="1"/>
  <c r="I825" i="1" l="1"/>
  <c r="E826" i="1" s="1"/>
  <c r="H826" i="1" l="1"/>
  <c r="F826" i="1" s="1"/>
  <c r="G826" i="1"/>
  <c r="I826" i="1" l="1"/>
  <c r="E827" i="1" s="1"/>
  <c r="H827" i="1" l="1"/>
  <c r="F827" i="1" s="1"/>
  <c r="G827" i="1"/>
  <c r="I827" i="1" l="1"/>
  <c r="E828" i="1" s="1"/>
  <c r="H828" i="1" l="1"/>
  <c r="F828" i="1" s="1"/>
  <c r="G828" i="1"/>
  <c r="I828" i="1" l="1"/>
  <c r="E829" i="1" s="1"/>
  <c r="H829" i="1" l="1"/>
  <c r="G829" i="1"/>
  <c r="F829" i="1" l="1"/>
  <c r="I829" i="1" l="1"/>
  <c r="E830" i="1" s="1"/>
  <c r="H830" i="1" l="1"/>
  <c r="F830" i="1" s="1"/>
  <c r="G830" i="1"/>
  <c r="I830" i="1" l="1"/>
  <c r="E831" i="1" s="1"/>
  <c r="H831" i="1" l="1"/>
  <c r="F831" i="1" s="1"/>
  <c r="G831" i="1"/>
  <c r="I831" i="1" l="1"/>
  <c r="E832" i="1" s="1"/>
  <c r="H832" i="1" l="1"/>
  <c r="F832" i="1" s="1"/>
  <c r="G832" i="1"/>
  <c r="I832" i="1" l="1"/>
  <c r="E833" i="1" s="1"/>
  <c r="H833" i="1" l="1"/>
  <c r="F833" i="1" s="1"/>
  <c r="G833" i="1"/>
  <c r="I833" i="1" l="1"/>
  <c r="E834" i="1" s="1"/>
  <c r="H834" i="1" l="1"/>
  <c r="F834" i="1" s="1"/>
  <c r="G834" i="1"/>
  <c r="I834" i="1" l="1"/>
  <c r="E835" i="1" s="1"/>
  <c r="H835" i="1" l="1"/>
  <c r="F835" i="1" s="1"/>
  <c r="G835" i="1"/>
  <c r="I835" i="1" l="1"/>
  <c r="E836" i="1" s="1"/>
  <c r="G836" i="1" l="1"/>
  <c r="H836" i="1"/>
  <c r="F836" i="1" l="1"/>
  <c r="I836" i="1" s="1"/>
  <c r="E837" i="1" s="1"/>
  <c r="H837" i="1" l="1"/>
  <c r="G837" i="1"/>
  <c r="F837" i="1" l="1"/>
  <c r="I837" i="1" s="1"/>
  <c r="E838" i="1" s="1"/>
  <c r="H838" i="1" l="1"/>
  <c r="G838" i="1"/>
  <c r="F838" i="1" l="1"/>
  <c r="I838" i="1" l="1"/>
  <c r="E839" i="1" s="1"/>
  <c r="H839" i="1" l="1"/>
  <c r="F839" i="1" s="1"/>
  <c r="G839" i="1"/>
  <c r="I839" i="1" l="1"/>
  <c r="E840" i="1" l="1"/>
  <c r="G840" i="1" s="1"/>
  <c r="H840" i="1" l="1"/>
  <c r="F840" i="1" s="1"/>
  <c r="I840" i="1" s="1"/>
  <c r="E841" i="1" s="1"/>
  <c r="H841" i="1" l="1"/>
  <c r="F841" i="1" s="1"/>
  <c r="G841" i="1"/>
  <c r="I841" i="1" l="1"/>
  <c r="E842" i="1" s="1"/>
  <c r="G842" i="1" l="1"/>
  <c r="H842" i="1"/>
  <c r="F842" i="1" l="1"/>
  <c r="I842" i="1" l="1"/>
  <c r="E843" i="1" s="1"/>
  <c r="H843" i="1" l="1"/>
  <c r="G843" i="1"/>
  <c r="F843" i="1" l="1"/>
  <c r="I843" i="1" s="1"/>
  <c r="E844" i="1" s="1"/>
  <c r="H844" i="1" l="1"/>
  <c r="F844" i="1" s="1"/>
  <c r="G844" i="1"/>
  <c r="I844" i="1" l="1"/>
  <c r="E845" i="1" s="1"/>
  <c r="H845" i="1" l="1"/>
  <c r="G845" i="1"/>
  <c r="F845" i="1" l="1"/>
  <c r="I845" i="1" s="1"/>
  <c r="E846" i="1" s="1"/>
  <c r="G846" i="1" l="1"/>
  <c r="H846" i="1"/>
  <c r="F846" i="1" l="1"/>
  <c r="I846" i="1" l="1"/>
  <c r="E847" i="1" s="1"/>
  <c r="G847" i="1" l="1"/>
  <c r="H847" i="1"/>
  <c r="F847" i="1" l="1"/>
  <c r="I847" i="1" s="1"/>
  <c r="E848" i="1" s="1"/>
  <c r="G848" i="1" l="1"/>
  <c r="H848" i="1"/>
  <c r="F848" i="1" l="1"/>
  <c r="I848" i="1" s="1"/>
  <c r="E849" i="1" s="1"/>
  <c r="H849" i="1" l="1"/>
  <c r="G849" i="1"/>
  <c r="F849" i="1" l="1"/>
  <c r="I849" i="1" s="1"/>
  <c r="E850" i="1" s="1"/>
  <c r="H850" i="1" l="1"/>
  <c r="G850" i="1"/>
  <c r="F850" i="1" l="1"/>
  <c r="I850" i="1" s="1"/>
  <c r="E851" i="1" s="1"/>
  <c r="G851" i="1" l="1"/>
  <c r="H851" i="1"/>
  <c r="F851" i="1" l="1"/>
  <c r="I851" i="1" s="1"/>
  <c r="E852" i="1" s="1"/>
  <c r="H852" i="1" l="1"/>
  <c r="G852" i="1"/>
  <c r="F852" i="1" l="1"/>
  <c r="I852" i="1" l="1"/>
  <c r="E853" i="1" s="1"/>
  <c r="H853" i="1" l="1"/>
  <c r="G853" i="1"/>
  <c r="F853" i="1"/>
  <c r="I853" i="1" l="1"/>
  <c r="E854" i="1" s="1"/>
  <c r="H854" i="1" l="1"/>
  <c r="F854" i="1" s="1"/>
  <c r="G854" i="1"/>
  <c r="I854" i="1" l="1"/>
  <c r="E855" i="1" s="1"/>
  <c r="H855" i="1" l="1"/>
  <c r="G855" i="1"/>
  <c r="F855" i="1" l="1"/>
  <c r="I855" i="1" s="1"/>
  <c r="E856" i="1" s="1"/>
  <c r="G856" i="1" l="1"/>
  <c r="H856" i="1"/>
  <c r="F856" i="1" l="1"/>
  <c r="I856" i="1" s="1"/>
  <c r="E857" i="1" s="1"/>
  <c r="H857" i="1" l="1"/>
  <c r="G857" i="1"/>
  <c r="F857" i="1" l="1"/>
  <c r="I857" i="1" s="1"/>
  <c r="E858" i="1" s="1"/>
  <c r="G858" i="1" l="1"/>
  <c r="H858" i="1"/>
  <c r="F858" i="1" l="1"/>
  <c r="I858" i="1" s="1"/>
  <c r="E859" i="1" s="1"/>
  <c r="H859" i="1" l="1"/>
  <c r="G859" i="1"/>
  <c r="F859" i="1" l="1"/>
  <c r="I859" i="1" l="1"/>
  <c r="E860" i="1" s="1"/>
  <c r="H860" i="1" l="1"/>
  <c r="F860" i="1" s="1"/>
  <c r="G860" i="1"/>
  <c r="I860" i="1" l="1"/>
  <c r="E861" i="1" s="1"/>
  <c r="H861" i="1" l="1"/>
  <c r="G861" i="1"/>
  <c r="F861" i="1" l="1"/>
  <c r="I861" i="1" l="1"/>
  <c r="E862" i="1" s="1"/>
  <c r="H862" i="1" l="1"/>
  <c r="F862" i="1" s="1"/>
  <c r="G862" i="1"/>
  <c r="I862" i="1" l="1"/>
  <c r="E863" i="1" s="1"/>
  <c r="H863" i="1" l="1"/>
  <c r="G863" i="1"/>
  <c r="F863" i="1" l="1"/>
  <c r="I863" i="1" s="1"/>
  <c r="E864" i="1" s="1"/>
  <c r="H864" i="1" l="1"/>
  <c r="G864" i="1"/>
  <c r="F864" i="1" l="1"/>
  <c r="I864" i="1" l="1"/>
  <c r="E865" i="1" s="1"/>
  <c r="H865" i="1" l="1"/>
  <c r="F865" i="1" s="1"/>
  <c r="G865" i="1"/>
  <c r="I865" i="1" l="1"/>
  <c r="E866" i="1" s="1"/>
  <c r="H866" i="1" l="1"/>
  <c r="G866" i="1"/>
  <c r="F866" i="1" l="1"/>
  <c r="I866" i="1" l="1"/>
  <c r="E867" i="1" s="1"/>
  <c r="H867" i="1" l="1"/>
  <c r="F867" i="1" s="1"/>
  <c r="G867" i="1"/>
  <c r="I867" i="1" l="1"/>
  <c r="E868" i="1" s="1"/>
  <c r="H868" i="1" l="1"/>
  <c r="F868" i="1" s="1"/>
  <c r="G868" i="1"/>
  <c r="I868" i="1" l="1"/>
  <c r="E869" i="1" s="1"/>
  <c r="G869" i="1" l="1"/>
  <c r="H869" i="1"/>
  <c r="F869" i="1" l="1"/>
  <c r="I869" i="1" l="1"/>
  <c r="E870" i="1" s="1"/>
  <c r="H870" i="1" l="1"/>
  <c r="F870" i="1" s="1"/>
  <c r="G870" i="1"/>
  <c r="I870" i="1" l="1"/>
  <c r="E871" i="1" s="1"/>
  <c r="H871" i="1" l="1"/>
  <c r="G871" i="1"/>
  <c r="F871" i="1" l="1"/>
  <c r="I871" i="1" s="1"/>
  <c r="E872" i="1" s="1"/>
  <c r="H872" i="1" l="1"/>
  <c r="G872" i="1"/>
  <c r="F872" i="1" l="1"/>
  <c r="I872" i="1" s="1"/>
  <c r="E873" i="1" s="1"/>
  <c r="H873" i="1" l="1"/>
  <c r="G873" i="1"/>
  <c r="F873" i="1" l="1"/>
  <c r="I873" i="1" l="1"/>
  <c r="E874" i="1" s="1"/>
  <c r="G874" i="1" l="1"/>
  <c r="H874" i="1"/>
  <c r="F874" i="1" s="1"/>
  <c r="I874" i="1" l="1"/>
  <c r="E875" i="1" s="1"/>
  <c r="H875" i="1" l="1"/>
  <c r="F875" i="1" s="1"/>
  <c r="G875" i="1"/>
  <c r="I875" i="1" l="1"/>
  <c r="E876" i="1" s="1"/>
  <c r="G876" i="1" l="1"/>
  <c r="H876" i="1"/>
  <c r="F876" i="1" s="1"/>
  <c r="I876" i="1" l="1"/>
  <c r="E877" i="1" s="1"/>
  <c r="H877" i="1" l="1"/>
  <c r="G877" i="1"/>
  <c r="F877" i="1" l="1"/>
  <c r="I877" i="1" s="1"/>
  <c r="E878" i="1" s="1"/>
  <c r="H878" i="1" l="1"/>
  <c r="G878" i="1"/>
  <c r="F878" i="1" l="1"/>
  <c r="I878" i="1" l="1"/>
  <c r="E879" i="1" s="1"/>
  <c r="G879" i="1" l="1"/>
  <c r="H879" i="1"/>
  <c r="F879" i="1" s="1"/>
  <c r="I879" i="1" l="1"/>
  <c r="E880" i="1" s="1"/>
  <c r="H880" i="1" l="1"/>
  <c r="G880" i="1"/>
  <c r="F880" i="1" l="1"/>
  <c r="I880" i="1" s="1"/>
  <c r="E881" i="1" s="1"/>
  <c r="G881" i="1" l="1"/>
  <c r="H881" i="1"/>
  <c r="F881" i="1" l="1"/>
  <c r="I881" i="1" s="1"/>
  <c r="E882" i="1" s="1"/>
  <c r="G882" i="1" l="1"/>
  <c r="H882" i="1"/>
  <c r="F882" i="1" l="1"/>
  <c r="I882" i="1" s="1"/>
  <c r="E883" i="1" s="1"/>
  <c r="H883" i="1" l="1"/>
  <c r="G883" i="1"/>
  <c r="F883" i="1" l="1"/>
  <c r="I883" i="1" l="1"/>
  <c r="E884" i="1" s="1"/>
  <c r="H884" i="1" l="1"/>
  <c r="F884" i="1" s="1"/>
  <c r="G884" i="1"/>
  <c r="I884" i="1" l="1"/>
  <c r="E885" i="1" s="1"/>
  <c r="G885" i="1" l="1"/>
  <c r="H885" i="1"/>
  <c r="F885" i="1" s="1"/>
  <c r="I885" i="1" l="1"/>
  <c r="E886" i="1" s="1"/>
  <c r="H886" i="1" l="1"/>
  <c r="G886" i="1"/>
  <c r="F886" i="1" l="1"/>
  <c r="I886" i="1" l="1"/>
  <c r="E887" i="1" s="1"/>
  <c r="H887" i="1" l="1"/>
  <c r="F887" i="1" s="1"/>
  <c r="G887" i="1"/>
  <c r="I887" i="1" l="1"/>
  <c r="E888" i="1" s="1"/>
  <c r="G888" i="1" l="1"/>
  <c r="H888" i="1"/>
  <c r="F888" i="1" s="1"/>
  <c r="I888" i="1" l="1"/>
  <c r="E889" i="1" s="1"/>
  <c r="G889" i="1" l="1"/>
  <c r="H889" i="1"/>
  <c r="F889" i="1" l="1"/>
  <c r="I889" i="1" s="1"/>
  <c r="E890" i="1" s="1"/>
  <c r="G890" i="1" l="1"/>
  <c r="H890" i="1"/>
  <c r="F890" i="1" l="1"/>
  <c r="I890" i="1" s="1"/>
  <c r="E891" i="1" s="1"/>
  <c r="G891" i="1" l="1"/>
  <c r="H891" i="1"/>
  <c r="F891" i="1" l="1"/>
  <c r="I891" i="1" l="1"/>
  <c r="E892" i="1" s="1"/>
  <c r="G892" i="1" l="1"/>
  <c r="H892" i="1"/>
  <c r="F892" i="1" s="1"/>
  <c r="I892" i="1" l="1"/>
  <c r="E893" i="1" s="1"/>
  <c r="H893" i="1" l="1"/>
  <c r="G893" i="1"/>
  <c r="F893" i="1" l="1"/>
  <c r="I893" i="1" s="1"/>
  <c r="E894" i="1" s="1"/>
  <c r="H894" i="1" l="1"/>
  <c r="G894" i="1"/>
  <c r="F894" i="1" l="1"/>
  <c r="I894" i="1" s="1"/>
  <c r="E895" i="1" s="1"/>
  <c r="H895" i="1" l="1"/>
  <c r="G895" i="1"/>
  <c r="F895" i="1" l="1"/>
  <c r="I895" i="1" l="1"/>
  <c r="E896" i="1" s="1"/>
  <c r="G896" i="1" l="1"/>
  <c r="H896" i="1"/>
  <c r="F896" i="1" s="1"/>
  <c r="I896" i="1" l="1"/>
  <c r="E897" i="1" s="1"/>
  <c r="H897" i="1" l="1"/>
  <c r="G897" i="1"/>
  <c r="F897" i="1" l="1"/>
  <c r="I897" i="1" s="1"/>
  <c r="E898" i="1" s="1"/>
  <c r="G898" i="1" l="1"/>
  <c r="H898" i="1"/>
  <c r="F898" i="1" l="1"/>
  <c r="I898" i="1" s="1"/>
  <c r="E899" i="1" s="1"/>
  <c r="H899" i="1" l="1"/>
  <c r="G899" i="1"/>
  <c r="F899" i="1" l="1"/>
  <c r="I899" i="1" s="1"/>
  <c r="E900" i="1" s="1"/>
  <c r="H900" i="1" l="1"/>
  <c r="G900" i="1"/>
  <c r="F900" i="1" l="1"/>
  <c r="I900" i="1" s="1"/>
  <c r="E901" i="1" s="1"/>
  <c r="H901" i="1" l="1"/>
  <c r="G901" i="1"/>
  <c r="F901" i="1" l="1"/>
  <c r="I901" i="1" s="1"/>
  <c r="E902" i="1" s="1"/>
  <c r="H902" i="1" l="1"/>
  <c r="G902" i="1"/>
  <c r="F902" i="1" l="1"/>
  <c r="I902" i="1" s="1"/>
  <c r="E903" i="1" s="1"/>
  <c r="H903" i="1" l="1"/>
  <c r="G903" i="1"/>
  <c r="F903" i="1" l="1"/>
  <c r="I903" i="1" s="1"/>
  <c r="E904" i="1" s="1"/>
  <c r="H904" i="1" l="1"/>
  <c r="G904" i="1"/>
  <c r="F904" i="1" l="1"/>
  <c r="I904" i="1" s="1"/>
  <c r="E905" i="1" s="1"/>
  <c r="G905" i="1" l="1"/>
  <c r="H905" i="1"/>
  <c r="F905" i="1" l="1"/>
  <c r="I905" i="1" l="1"/>
  <c r="E906" i="1" s="1"/>
  <c r="H906" i="1" l="1"/>
  <c r="G906" i="1"/>
  <c r="F906" i="1"/>
  <c r="I906" i="1" l="1"/>
  <c r="E907" i="1" s="1"/>
  <c r="H907" i="1" l="1"/>
  <c r="G907" i="1"/>
  <c r="F907" i="1" l="1"/>
  <c r="I907" i="1" s="1"/>
  <c r="E908" i="1" s="1"/>
  <c r="H908" i="1" l="1"/>
  <c r="G908" i="1"/>
  <c r="F908" i="1" l="1"/>
  <c r="I908" i="1" s="1"/>
  <c r="E909" i="1" s="1"/>
  <c r="H909" i="1" l="1"/>
  <c r="G909" i="1"/>
  <c r="F909" i="1" l="1"/>
  <c r="I909" i="1" s="1"/>
  <c r="E910" i="1" s="1"/>
  <c r="H910" i="1" l="1"/>
  <c r="G910" i="1"/>
  <c r="F910" i="1" l="1"/>
  <c r="I910" i="1" l="1"/>
  <c r="E911" i="1" s="1"/>
  <c r="H911" i="1" l="1"/>
  <c r="F911" i="1" s="1"/>
  <c r="G911" i="1"/>
  <c r="I911" i="1" l="1"/>
  <c r="E912" i="1" s="1"/>
  <c r="H912" i="1" l="1"/>
  <c r="G912" i="1"/>
  <c r="F912" i="1" l="1"/>
  <c r="I912" i="1" s="1"/>
  <c r="E913" i="1" s="1"/>
  <c r="H913" i="1" l="1"/>
  <c r="G913" i="1"/>
  <c r="F913" i="1" l="1"/>
  <c r="I913" i="1" s="1"/>
  <c r="E914" i="1" s="1"/>
  <c r="H914" i="1" l="1"/>
  <c r="G914" i="1"/>
  <c r="F914" i="1" l="1"/>
  <c r="I914" i="1" l="1"/>
  <c r="E915" i="1" s="1"/>
  <c r="H915" i="1" l="1"/>
  <c r="F915" i="1" s="1"/>
  <c r="G915" i="1"/>
  <c r="I915" i="1" l="1"/>
  <c r="E916" i="1" s="1"/>
  <c r="H916" i="1" l="1"/>
  <c r="G916" i="1"/>
  <c r="F916" i="1" l="1"/>
  <c r="I916" i="1" s="1"/>
  <c r="E917" i="1" s="1"/>
  <c r="G917" i="1" l="1"/>
  <c r="H917" i="1"/>
  <c r="F917" i="1" l="1"/>
  <c r="I917" i="1" l="1"/>
  <c r="E918" i="1" s="1"/>
  <c r="G918" i="1" l="1"/>
  <c r="H918" i="1"/>
  <c r="F918" i="1" l="1"/>
  <c r="I918" i="1" l="1"/>
  <c r="E919" i="1" s="1"/>
  <c r="H919" i="1" l="1"/>
  <c r="G919" i="1"/>
  <c r="F919" i="1" l="1"/>
  <c r="I919" i="1" s="1"/>
  <c r="E920" i="1" s="1"/>
  <c r="H920" i="1" l="1"/>
  <c r="F920" i="1" s="1"/>
  <c r="G920" i="1"/>
  <c r="I920" i="1" l="1"/>
  <c r="E921" i="1" s="1"/>
  <c r="H921" i="1" l="1"/>
  <c r="G921" i="1"/>
  <c r="F921" i="1" l="1"/>
  <c r="I921" i="1" s="1"/>
  <c r="E922" i="1" s="1"/>
  <c r="G922" i="1" l="1"/>
  <c r="H922" i="1"/>
  <c r="F922" i="1" l="1"/>
  <c r="I922" i="1" s="1"/>
  <c r="E923" i="1" s="1"/>
  <c r="G923" i="1" l="1"/>
  <c r="H923" i="1"/>
  <c r="F923" i="1" l="1"/>
  <c r="I923" i="1" l="1"/>
  <c r="E924" i="1" s="1"/>
  <c r="H924" i="1" l="1"/>
  <c r="F924" i="1" s="1"/>
  <c r="G924" i="1"/>
  <c r="I924" i="1" l="1"/>
  <c r="E925" i="1" s="1"/>
  <c r="H925" i="1" l="1"/>
  <c r="G925" i="1"/>
  <c r="F925" i="1" l="1"/>
  <c r="I925" i="1" s="1"/>
  <c r="E926" i="1" s="1"/>
  <c r="H926" i="1" l="1"/>
  <c r="G926" i="1"/>
  <c r="F926" i="1" l="1"/>
  <c r="I926" i="1" s="1"/>
  <c r="E927" i="1" s="1"/>
  <c r="G927" i="1" l="1"/>
  <c r="H927" i="1"/>
  <c r="F927" i="1" l="1"/>
  <c r="I927" i="1" s="1"/>
  <c r="E928" i="1" s="1"/>
  <c r="G928" i="1" l="1"/>
  <c r="H928" i="1"/>
  <c r="F928" i="1" l="1"/>
  <c r="I928" i="1" s="1"/>
  <c r="E929" i="1" s="1"/>
  <c r="H929" i="1" l="1"/>
  <c r="G929" i="1"/>
  <c r="F929" i="1" l="1"/>
  <c r="I929" i="1" l="1"/>
  <c r="E930" i="1" s="1"/>
  <c r="G930" i="1" l="1"/>
  <c r="H930" i="1"/>
  <c r="F930" i="1" s="1"/>
  <c r="I930" i="1" l="1"/>
  <c r="E931" i="1" s="1"/>
  <c r="H931" i="1" l="1"/>
  <c r="G931" i="1"/>
  <c r="F931" i="1" l="1"/>
  <c r="I931" i="1" s="1"/>
  <c r="E932" i="1" s="1"/>
  <c r="H932" i="1" l="1"/>
  <c r="G932" i="1"/>
  <c r="F932" i="1" l="1"/>
  <c r="I932" i="1" l="1"/>
  <c r="E933" i="1" s="1"/>
  <c r="H933" i="1" l="1"/>
  <c r="G933" i="1"/>
  <c r="F933" i="1"/>
  <c r="I933" i="1" l="1"/>
  <c r="E934" i="1" l="1"/>
  <c r="G934" i="1" s="1"/>
  <c r="H934" i="1" l="1"/>
  <c r="F934" i="1" s="1"/>
  <c r="I934" i="1" s="1"/>
  <c r="E935" i="1" s="1"/>
  <c r="H935" i="1" l="1"/>
  <c r="G935" i="1"/>
  <c r="F935" i="1"/>
  <c r="I935" i="1" l="1"/>
  <c r="E936" i="1" s="1"/>
  <c r="H936" i="1" l="1"/>
  <c r="G936" i="1"/>
  <c r="F936" i="1" l="1"/>
  <c r="I936" i="1" s="1"/>
  <c r="E937" i="1" s="1"/>
  <c r="G937" i="1" l="1"/>
  <c r="H937" i="1"/>
  <c r="F937" i="1" l="1"/>
  <c r="I937" i="1" s="1"/>
  <c r="E938" i="1" s="1"/>
  <c r="H938" i="1" l="1"/>
  <c r="G938" i="1"/>
  <c r="F938" i="1" l="1"/>
  <c r="I938" i="1" s="1"/>
  <c r="E939" i="1" s="1"/>
  <c r="H939" i="1" l="1"/>
  <c r="G939" i="1"/>
  <c r="F939" i="1" l="1"/>
  <c r="I939" i="1" l="1"/>
  <c r="E940" i="1" s="1"/>
  <c r="H940" i="1" l="1"/>
  <c r="F940" i="1" s="1"/>
  <c r="G940" i="1"/>
  <c r="I940" i="1" l="1"/>
  <c r="E941" i="1" s="1"/>
  <c r="G941" i="1" l="1"/>
  <c r="H941" i="1"/>
  <c r="F941" i="1" s="1"/>
  <c r="I941" i="1" l="1"/>
  <c r="E942" i="1" s="1"/>
  <c r="H942" i="1" l="1"/>
  <c r="G942" i="1"/>
  <c r="F942" i="1"/>
  <c r="I942" i="1" s="1"/>
  <c r="E943" i="1" s="1"/>
  <c r="G943" i="1" l="1"/>
  <c r="H943" i="1"/>
  <c r="F943" i="1" l="1"/>
  <c r="I943" i="1" s="1"/>
  <c r="E944" i="1" s="1"/>
  <c r="G944" i="1" l="1"/>
  <c r="H944" i="1"/>
  <c r="F944" i="1" l="1"/>
  <c r="I944" i="1" s="1"/>
  <c r="E945" i="1" s="1"/>
  <c r="H945" i="1" l="1"/>
  <c r="G945" i="1"/>
  <c r="F945" i="1" l="1"/>
  <c r="I945" i="1" s="1"/>
  <c r="E946" i="1" s="1"/>
  <c r="H946" i="1" l="1"/>
  <c r="G946" i="1"/>
  <c r="F946" i="1" l="1"/>
  <c r="I946" i="1" s="1"/>
  <c r="E947" i="1" s="1"/>
  <c r="H947" i="1" l="1"/>
  <c r="G947" i="1"/>
  <c r="F947" i="1" l="1"/>
  <c r="I947" i="1" s="1"/>
  <c r="E948" i="1" s="1"/>
  <c r="H948" i="1" l="1"/>
  <c r="G948" i="1"/>
  <c r="F948" i="1" l="1"/>
  <c r="I948" i="1" l="1"/>
  <c r="E949" i="1" s="1"/>
  <c r="H949" i="1" l="1"/>
  <c r="G949" i="1"/>
  <c r="F949" i="1"/>
  <c r="I949" i="1" l="1"/>
  <c r="E950" i="1" s="1"/>
  <c r="H950" i="1" l="1"/>
  <c r="G950" i="1"/>
  <c r="F950" i="1" l="1"/>
  <c r="I950" i="1" s="1"/>
  <c r="E951" i="1" s="1"/>
  <c r="H951" i="1" l="1"/>
  <c r="G951" i="1"/>
  <c r="F951" i="1" l="1"/>
  <c r="I951" i="1" s="1"/>
  <c r="E952" i="1" s="1"/>
  <c r="H952" i="1" l="1"/>
  <c r="G952" i="1"/>
  <c r="F952" i="1" l="1"/>
  <c r="I952" i="1" s="1"/>
  <c r="E953" i="1" s="1"/>
  <c r="H953" i="1" l="1"/>
  <c r="G953" i="1"/>
  <c r="F953" i="1" l="1"/>
  <c r="I953" i="1" s="1"/>
  <c r="E954" i="1" s="1"/>
  <c r="G954" i="1" l="1"/>
  <c r="H954" i="1"/>
  <c r="F954" i="1" l="1"/>
  <c r="I954" i="1" s="1"/>
  <c r="E955" i="1" s="1"/>
  <c r="H955" i="1" l="1"/>
  <c r="G955" i="1"/>
  <c r="F955" i="1" l="1"/>
  <c r="I955" i="1" l="1"/>
  <c r="E956" i="1" s="1"/>
  <c r="G956" i="1" l="1"/>
  <c r="H956" i="1"/>
  <c r="F956" i="1" s="1"/>
  <c r="I956" i="1" l="1"/>
  <c r="E957" i="1" s="1"/>
  <c r="G957" i="1" l="1"/>
  <c r="H957" i="1"/>
  <c r="F957" i="1" l="1"/>
  <c r="I957" i="1" s="1"/>
  <c r="E958" i="1" s="1"/>
  <c r="H958" i="1" l="1"/>
  <c r="G958" i="1"/>
  <c r="F958" i="1" l="1"/>
  <c r="I958" i="1" l="1"/>
  <c r="E959" i="1" s="1"/>
  <c r="H959" i="1" l="1"/>
  <c r="G959" i="1"/>
  <c r="F959" i="1"/>
  <c r="I959" i="1" l="1"/>
  <c r="E960" i="1" s="1"/>
  <c r="H960" i="1" l="1"/>
  <c r="F960" i="1" s="1"/>
  <c r="G960" i="1"/>
  <c r="I960" i="1" l="1"/>
  <c r="E961" i="1" s="1"/>
  <c r="H961" i="1" l="1"/>
  <c r="G961" i="1"/>
  <c r="F961" i="1" l="1"/>
  <c r="I961" i="1" s="1"/>
  <c r="E962" i="1" s="1"/>
  <c r="H962" i="1" l="1"/>
  <c r="G962" i="1"/>
  <c r="F962" i="1" l="1"/>
  <c r="I962" i="1" s="1"/>
  <c r="E963" i="1" s="1"/>
  <c r="H963" i="1" l="1"/>
  <c r="G963" i="1"/>
  <c r="F963" i="1" l="1"/>
  <c r="I963" i="1" s="1"/>
  <c r="E964" i="1" s="1"/>
  <c r="G964" i="1" l="1"/>
  <c r="H964" i="1"/>
  <c r="F964" i="1" l="1"/>
  <c r="I964" i="1" l="1"/>
  <c r="E965" i="1" s="1"/>
  <c r="G965" i="1" l="1"/>
  <c r="H965" i="1"/>
  <c r="F965" i="1" s="1"/>
  <c r="I965" i="1" l="1"/>
  <c r="E966" i="1" s="1"/>
  <c r="G966" i="1" l="1"/>
  <c r="H966" i="1"/>
  <c r="F966" i="1" l="1"/>
  <c r="I966" i="1" s="1"/>
  <c r="E967" i="1" s="1"/>
  <c r="H967" i="1" l="1"/>
  <c r="G967" i="1"/>
  <c r="F967" i="1" l="1"/>
  <c r="I967" i="1" s="1"/>
  <c r="E968" i="1" s="1"/>
  <c r="G968" i="1" l="1"/>
  <c r="H968" i="1"/>
  <c r="F968" i="1" l="1"/>
  <c r="I968" i="1" s="1"/>
  <c r="E969" i="1" s="1"/>
  <c r="H969" i="1" l="1"/>
  <c r="G969" i="1"/>
  <c r="F969" i="1" l="1"/>
  <c r="I969" i="1" s="1"/>
  <c r="E970" i="1" s="1"/>
  <c r="H970" i="1" l="1"/>
  <c r="G970" i="1"/>
  <c r="F970" i="1" l="1"/>
  <c r="I970" i="1" l="1"/>
  <c r="E971" i="1" s="1"/>
  <c r="H971" i="1" l="1"/>
  <c r="F971" i="1" s="1"/>
  <c r="G971" i="1"/>
  <c r="I971" i="1" l="1"/>
  <c r="E972" i="1" s="1"/>
  <c r="H972" i="1" l="1"/>
  <c r="G972" i="1"/>
  <c r="F972" i="1" l="1"/>
  <c r="I972" i="1" s="1"/>
  <c r="E973" i="1" s="1"/>
  <c r="H973" i="1" l="1"/>
  <c r="G973" i="1"/>
  <c r="F973" i="1" l="1"/>
  <c r="I973" i="1" l="1"/>
  <c r="E974" i="1" s="1"/>
  <c r="G974" i="1" l="1"/>
  <c r="H974" i="1"/>
  <c r="F974" i="1" s="1"/>
  <c r="I974" i="1" l="1"/>
  <c r="E975" i="1" s="1"/>
  <c r="H975" i="1" l="1"/>
  <c r="G975" i="1"/>
  <c r="F975" i="1" l="1"/>
  <c r="I975" i="1" s="1"/>
  <c r="E976" i="1" s="1"/>
  <c r="G976" i="1" l="1"/>
  <c r="H976" i="1"/>
  <c r="F976" i="1" l="1"/>
  <c r="I976" i="1" l="1"/>
  <c r="E977" i="1" s="1"/>
  <c r="G977" i="1" l="1"/>
  <c r="H977" i="1"/>
  <c r="F977" i="1" s="1"/>
  <c r="I977" i="1" l="1"/>
  <c r="E978" i="1" s="1"/>
  <c r="H978" i="1" l="1"/>
  <c r="G978" i="1"/>
  <c r="F978" i="1" l="1"/>
  <c r="I978" i="1" s="1"/>
  <c r="E979" i="1" s="1"/>
  <c r="H979" i="1" l="1"/>
  <c r="G979" i="1"/>
  <c r="F979" i="1" l="1"/>
  <c r="I979" i="1" s="1"/>
  <c r="E980" i="1" s="1"/>
  <c r="H980" i="1" l="1"/>
  <c r="G980" i="1"/>
  <c r="F980" i="1" l="1"/>
  <c r="I980" i="1" s="1"/>
  <c r="E981" i="1" s="1"/>
  <c r="G981" i="1" l="1"/>
  <c r="H981" i="1"/>
  <c r="F981" i="1" l="1"/>
  <c r="I981" i="1" s="1"/>
  <c r="E982" i="1" s="1"/>
  <c r="H982" i="1" l="1"/>
  <c r="G982" i="1"/>
  <c r="F982" i="1" l="1"/>
  <c r="I982" i="1" s="1"/>
  <c r="E983" i="1" s="1"/>
  <c r="H983" i="1" l="1"/>
  <c r="G983" i="1"/>
  <c r="F983" i="1" l="1"/>
  <c r="I983" i="1" s="1"/>
  <c r="E984" i="1" s="1"/>
  <c r="H984" i="1" l="1"/>
  <c r="G984" i="1"/>
  <c r="F984" i="1" l="1"/>
  <c r="I984" i="1" s="1"/>
  <c r="E985" i="1" s="1"/>
  <c r="H985" i="1" l="1"/>
  <c r="G985" i="1"/>
  <c r="F985" i="1" l="1"/>
  <c r="I985" i="1" l="1"/>
  <c r="E986" i="1" s="1"/>
  <c r="H986" i="1" l="1"/>
  <c r="G986" i="1"/>
  <c r="F986" i="1"/>
  <c r="I986" i="1" l="1"/>
  <c r="E987" i="1" s="1"/>
  <c r="H987" i="1" l="1"/>
  <c r="F987" i="1" s="1"/>
  <c r="I987" i="1" s="1"/>
  <c r="E988" i="1" s="1"/>
  <c r="G987" i="1"/>
  <c r="H988" i="1" l="1"/>
  <c r="G988" i="1"/>
  <c r="F988" i="1" l="1"/>
  <c r="I988" i="1" s="1"/>
  <c r="E989" i="1" s="1"/>
  <c r="H989" i="1" l="1"/>
  <c r="G989" i="1"/>
  <c r="F989" i="1" l="1"/>
  <c r="I989" i="1" s="1"/>
  <c r="E990" i="1" s="1"/>
  <c r="H990" i="1" l="1"/>
  <c r="G990" i="1"/>
  <c r="F990" i="1" l="1"/>
  <c r="I990" i="1" l="1"/>
  <c r="E991" i="1" s="1"/>
  <c r="H991" i="1" l="1"/>
  <c r="F991" i="1" s="1"/>
  <c r="G991" i="1"/>
  <c r="I991" i="1" l="1"/>
  <c r="E992" i="1" s="1"/>
  <c r="G992" i="1" l="1"/>
  <c r="H992" i="1"/>
  <c r="F992" i="1" l="1"/>
  <c r="I992" i="1" s="1"/>
  <c r="E993" i="1" s="1"/>
  <c r="G993" i="1" l="1"/>
  <c r="H993" i="1"/>
  <c r="F993" i="1" l="1"/>
  <c r="I993" i="1" l="1"/>
  <c r="E994" i="1" s="1"/>
  <c r="H994" i="1" l="1"/>
  <c r="G994" i="1"/>
  <c r="F994" i="1"/>
  <c r="I994" i="1" l="1"/>
  <c r="E995" i="1" s="1"/>
  <c r="H995" i="1" l="1"/>
  <c r="G995" i="1"/>
  <c r="F995" i="1" l="1"/>
  <c r="I995" i="1" s="1"/>
  <c r="E996" i="1" s="1"/>
  <c r="H996" i="1" l="1"/>
  <c r="G996" i="1"/>
  <c r="F996" i="1" l="1"/>
  <c r="I996" i="1" s="1"/>
  <c r="E997" i="1" s="1"/>
  <c r="H997" i="1" l="1"/>
  <c r="G997" i="1"/>
  <c r="F997" i="1" l="1"/>
  <c r="I997" i="1" l="1"/>
  <c r="E998" i="1" s="1"/>
  <c r="G998" i="1" l="1"/>
  <c r="H998" i="1"/>
  <c r="F998" i="1" s="1"/>
  <c r="I998" i="1" l="1"/>
  <c r="E999" i="1" s="1"/>
  <c r="G999" i="1" l="1"/>
  <c r="H999" i="1"/>
  <c r="F999" i="1" s="1"/>
  <c r="I999" i="1" l="1"/>
  <c r="E1000" i="1" s="1"/>
  <c r="G1000" i="1" l="1"/>
  <c r="H1000" i="1"/>
  <c r="F1000" i="1" l="1"/>
  <c r="I1000" i="1" s="1"/>
  <c r="E1001" i="1" s="1"/>
  <c r="H1001" i="1" l="1"/>
  <c r="G1001" i="1"/>
  <c r="F1001" i="1" l="1"/>
  <c r="I1001" i="1" l="1"/>
  <c r="E1002" i="1" s="1"/>
  <c r="H1002" i="1" l="1"/>
  <c r="F1002" i="1" s="1"/>
  <c r="G1002" i="1"/>
  <c r="I1002" i="1" l="1"/>
  <c r="E1003" i="1" s="1"/>
  <c r="G1003" i="1" l="1"/>
  <c r="H1003" i="1"/>
  <c r="F1003" i="1" l="1"/>
  <c r="I1003" i="1" s="1"/>
  <c r="E1004" i="1" s="1"/>
  <c r="H1004" i="1" l="1"/>
  <c r="G1004" i="1"/>
  <c r="F1004" i="1" l="1"/>
  <c r="I1004" i="1" s="1"/>
  <c r="E1005" i="1" s="1"/>
  <c r="H1005" i="1" l="1"/>
  <c r="G1005" i="1"/>
  <c r="F1005" i="1" l="1"/>
  <c r="I1005" i="1" s="1"/>
  <c r="E1006" i="1" s="1"/>
  <c r="G1006" i="1" l="1"/>
  <c r="H1006" i="1"/>
  <c r="F1006" i="1" l="1"/>
  <c r="I1006" i="1" l="1"/>
  <c r="E1007" i="1" s="1"/>
  <c r="G1007" i="1" l="1"/>
  <c r="H1007" i="1"/>
  <c r="F1007" i="1" s="1"/>
  <c r="I1007" i="1" l="1"/>
  <c r="E1008" i="1" s="1"/>
  <c r="H1008" i="1" l="1"/>
  <c r="G1008" i="1"/>
  <c r="F1008" i="1" l="1"/>
  <c r="I1008" i="1" s="1"/>
  <c r="E1009" i="1" s="1"/>
  <c r="H1009" i="1" l="1"/>
  <c r="G1009" i="1"/>
  <c r="F1009" i="1" l="1"/>
  <c r="I1009" i="1" s="1"/>
  <c r="E1010" i="1" s="1"/>
  <c r="H1010" i="1" l="1"/>
  <c r="G1010" i="1"/>
  <c r="F1010" i="1" l="1"/>
  <c r="I1010" i="1" l="1"/>
  <c r="E1011" i="1" s="1"/>
  <c r="H1011" i="1" l="1"/>
  <c r="F1011" i="1" s="1"/>
  <c r="G1011" i="1"/>
  <c r="I1011" i="1" l="1"/>
  <c r="E1012" i="1" s="1"/>
  <c r="G1012" i="1" l="1"/>
  <c r="H1012" i="1"/>
  <c r="F1012" i="1" l="1"/>
  <c r="I1012" i="1" s="1"/>
  <c r="E1013" i="1" s="1"/>
  <c r="H1013" i="1" l="1"/>
  <c r="G1013" i="1"/>
  <c r="F1013" i="1" l="1"/>
  <c r="I1013" i="1" s="1"/>
  <c r="E1014" i="1" s="1"/>
  <c r="G1014" i="1" l="1"/>
  <c r="H1014" i="1"/>
  <c r="F1014" i="1" l="1"/>
  <c r="I1014" i="1" s="1"/>
  <c r="E1015" i="1" s="1"/>
  <c r="H1015" i="1" l="1"/>
  <c r="G1015" i="1"/>
  <c r="F1015" i="1" l="1"/>
  <c r="I1015" i="1" s="1"/>
  <c r="E1016" i="1" s="1"/>
  <c r="G1016" i="1" l="1"/>
  <c r="H1016" i="1"/>
  <c r="F1016" i="1" l="1"/>
  <c r="I1016" i="1" s="1"/>
  <c r="E1017" i="1" s="1"/>
  <c r="G1017" i="1" l="1"/>
  <c r="H1017" i="1"/>
  <c r="F1017" i="1" l="1"/>
  <c r="I1017" i="1" s="1"/>
  <c r="E1018" i="1" s="1"/>
  <c r="H1018" i="1" l="1"/>
  <c r="G1018" i="1"/>
  <c r="F1018" i="1" l="1"/>
  <c r="I1018" i="1" l="1"/>
  <c r="E1019" i="1" s="1"/>
  <c r="H1019" i="1" l="1"/>
  <c r="F1019" i="1" s="1"/>
  <c r="G1019" i="1"/>
  <c r="I1019" i="1" l="1"/>
  <c r="E1020" i="1" s="1"/>
  <c r="H1020" i="1" l="1"/>
  <c r="F1020" i="1" s="1"/>
  <c r="G1020" i="1"/>
  <c r="I1020" i="1" l="1"/>
  <c r="E1021" i="1" s="1"/>
  <c r="G1021" i="1" l="1"/>
  <c r="H1021" i="1"/>
  <c r="F1021" i="1" l="1"/>
  <c r="I1021" i="1" s="1"/>
  <c r="E1022" i="1" s="1"/>
  <c r="G1022" i="1" l="1"/>
  <c r="H1022" i="1"/>
  <c r="F1022" i="1" l="1"/>
  <c r="I1022" i="1" s="1"/>
  <c r="E1023" i="1" s="1"/>
  <c r="H1023" i="1" l="1"/>
  <c r="G1023" i="1"/>
  <c r="F1023" i="1" l="1"/>
  <c r="I1023" i="1" l="1"/>
  <c r="E1024" i="1" s="1"/>
  <c r="H1024" i="1" l="1"/>
  <c r="G1024" i="1"/>
  <c r="F1024" i="1"/>
  <c r="I1024" i="1" l="1"/>
  <c r="E1025" i="1" s="1"/>
  <c r="G1025" i="1" l="1"/>
  <c r="H1025" i="1"/>
  <c r="F1025" i="1" s="1"/>
  <c r="I1025" i="1" s="1"/>
  <c r="E1026" i="1" s="1"/>
  <c r="H1026" i="1" l="1"/>
  <c r="G1026" i="1"/>
  <c r="F1026" i="1" l="1"/>
  <c r="I1026" i="1" s="1"/>
  <c r="E1027" i="1" s="1"/>
  <c r="H1027" i="1" l="1"/>
  <c r="G1027" i="1"/>
  <c r="F1027" i="1" l="1"/>
  <c r="I1027" i="1" s="1"/>
  <c r="E1028" i="1" s="1"/>
  <c r="H1028" i="1" l="1"/>
  <c r="G1028" i="1"/>
  <c r="F1028" i="1" l="1"/>
  <c r="I1028" i="1" l="1"/>
  <c r="E1029" i="1" s="1"/>
  <c r="H1029" i="1" l="1"/>
  <c r="G1029" i="1"/>
  <c r="F1029" i="1"/>
  <c r="I1029" i="1" l="1"/>
  <c r="E1030" i="1" s="1"/>
  <c r="H1030" i="1" l="1"/>
  <c r="G1030" i="1"/>
  <c r="F1030" i="1" l="1"/>
  <c r="I1030" i="1" s="1"/>
  <c r="E1031" i="1" s="1"/>
  <c r="G1031" i="1" l="1"/>
  <c r="H1031" i="1"/>
  <c r="F1031" i="1" l="1"/>
  <c r="I1031" i="1" s="1"/>
  <c r="E1032" i="1" s="1"/>
  <c r="G1032" i="1" l="1"/>
  <c r="H1032" i="1"/>
  <c r="F1032" i="1" l="1"/>
  <c r="I1032" i="1" s="1"/>
  <c r="E1033" i="1" s="1"/>
  <c r="H1033" i="1" l="1"/>
  <c r="G1033" i="1"/>
  <c r="F1033" i="1" l="1"/>
  <c r="I1033" i="1" s="1"/>
  <c r="E1034" i="1" s="1"/>
  <c r="G1034" i="1" l="1"/>
  <c r="H1034" i="1"/>
  <c r="F1034" i="1" l="1"/>
  <c r="I1034" i="1" s="1"/>
  <c r="E1035" i="1" s="1"/>
  <c r="H1035" i="1" l="1"/>
  <c r="G1035" i="1"/>
  <c r="F1035" i="1" l="1"/>
  <c r="I1035" i="1" s="1"/>
  <c r="E1036" i="1" s="1"/>
  <c r="G1036" i="1" l="1"/>
  <c r="H1036" i="1"/>
  <c r="F1036" i="1" l="1"/>
  <c r="I1036" i="1" s="1"/>
  <c r="E1037" i="1" s="1"/>
  <c r="H1037" i="1" l="1"/>
  <c r="G1037" i="1"/>
  <c r="F1037" i="1" l="1"/>
  <c r="I1037" i="1" s="1"/>
  <c r="E1038" i="1" s="1"/>
  <c r="H1038" i="1" l="1"/>
  <c r="G1038" i="1"/>
  <c r="F1038" i="1" l="1"/>
  <c r="I1038" i="1" s="1"/>
  <c r="E1039" i="1" s="1"/>
  <c r="H1039" i="1" l="1"/>
  <c r="G1039" i="1"/>
  <c r="F1039" i="1" l="1"/>
  <c r="I1039" i="1" s="1"/>
  <c r="E1040" i="1" s="1"/>
  <c r="H1040" i="1" l="1"/>
  <c r="G1040" i="1"/>
  <c r="F1040" i="1" l="1"/>
  <c r="I1040" i="1" s="1"/>
  <c r="E1041" i="1" s="1"/>
  <c r="G1041" i="1" l="1"/>
  <c r="H1041" i="1"/>
  <c r="F1041" i="1" l="1"/>
  <c r="I1041" i="1" s="1"/>
  <c r="E1042" i="1" s="1"/>
  <c r="G1042" i="1" l="1"/>
  <c r="H1042" i="1"/>
  <c r="F1042" i="1" l="1"/>
  <c r="I1042" i="1" s="1"/>
  <c r="E1043" i="1" s="1"/>
  <c r="H1043" i="1" l="1"/>
  <c r="G1043" i="1"/>
  <c r="F1043" i="1" l="1"/>
  <c r="I1043" i="1" s="1"/>
  <c r="E1044" i="1" s="1"/>
  <c r="H1044" i="1" l="1"/>
  <c r="G1044" i="1"/>
  <c r="F1044" i="1" l="1"/>
  <c r="I1044" i="1" s="1"/>
  <c r="E1045" i="1" s="1"/>
  <c r="H1045" i="1" l="1"/>
  <c r="G1045" i="1"/>
  <c r="F1045" i="1" l="1"/>
  <c r="I1045" i="1" s="1"/>
  <c r="E1046" i="1" s="1"/>
  <c r="H1046" i="1" l="1"/>
  <c r="G1046" i="1"/>
  <c r="F1046" i="1" l="1"/>
  <c r="I1046" i="1" s="1"/>
  <c r="E1047" i="1" s="1"/>
  <c r="H1047" i="1" l="1"/>
  <c r="G1047" i="1"/>
  <c r="F1047" i="1" l="1"/>
  <c r="I1047" i="1" s="1"/>
  <c r="E1048" i="1" s="1"/>
  <c r="G1048" i="1" l="1"/>
  <c r="H1048" i="1"/>
  <c r="F1048" i="1" l="1"/>
  <c r="I1048" i="1" s="1"/>
  <c r="E1049" i="1" s="1"/>
  <c r="G1049" i="1" l="1"/>
  <c r="H1049" i="1"/>
  <c r="F1049" i="1" l="1"/>
  <c r="I1049" i="1" s="1"/>
  <c r="E1050" i="1" s="1"/>
  <c r="H1050" i="1" l="1"/>
  <c r="G1050" i="1"/>
  <c r="F1050" i="1" l="1"/>
  <c r="I1050" i="1" s="1"/>
  <c r="E1051" i="1" s="1"/>
  <c r="G1051" i="1" l="1"/>
  <c r="H1051" i="1"/>
  <c r="F1051" i="1" l="1"/>
  <c r="I1051" i="1" s="1"/>
  <c r="E1052" i="1" s="1"/>
  <c r="G1052" i="1" l="1"/>
  <c r="H1052" i="1"/>
  <c r="F1052" i="1" l="1"/>
  <c r="I1052" i="1" s="1"/>
  <c r="E1053" i="1" s="1"/>
  <c r="H1053" i="1" l="1"/>
  <c r="G1053" i="1"/>
  <c r="F1053" i="1" l="1"/>
  <c r="I1053" i="1" s="1"/>
  <c r="E1054" i="1" s="1"/>
  <c r="G1054" i="1" l="1"/>
  <c r="H1054" i="1"/>
  <c r="F1054" i="1" l="1"/>
  <c r="I1054" i="1" s="1"/>
  <c r="E1055" i="1" s="1"/>
  <c r="G1055" i="1" l="1"/>
  <c r="H1055" i="1"/>
  <c r="F1055" i="1" l="1"/>
  <c r="I1055" i="1" s="1"/>
  <c r="E1056" i="1" s="1"/>
  <c r="H1056" i="1" l="1"/>
  <c r="G1056" i="1"/>
  <c r="F1056" i="1" l="1"/>
  <c r="I1056" i="1" s="1"/>
  <c r="E1057" i="1" s="1"/>
  <c r="G1057" i="1" l="1"/>
  <c r="H1057" i="1"/>
  <c r="F1057" i="1" l="1"/>
  <c r="I1057" i="1" l="1"/>
  <c r="E1058" i="1" s="1"/>
  <c r="G1058" i="1" l="1"/>
  <c r="H1058" i="1"/>
  <c r="F1058" i="1" s="1"/>
  <c r="I1058" i="1" l="1"/>
  <c r="E1059" i="1" s="1"/>
  <c r="H1059" i="1" l="1"/>
  <c r="G1059" i="1"/>
  <c r="F1059" i="1" l="1"/>
  <c r="I1059" i="1" l="1"/>
  <c r="E1060" i="1" s="1"/>
  <c r="H1060" i="1" l="1"/>
  <c r="F1060" i="1" s="1"/>
  <c r="G1060" i="1"/>
  <c r="I1060" i="1" l="1"/>
  <c r="E1061" i="1" s="1"/>
  <c r="G1061" i="1" l="1"/>
  <c r="H1061" i="1"/>
  <c r="F1061" i="1" l="1"/>
  <c r="I1061" i="1" s="1"/>
  <c r="E1062" i="1" s="1"/>
  <c r="G1062" i="1" l="1"/>
  <c r="H1062" i="1"/>
  <c r="F1062" i="1" l="1"/>
  <c r="I1062" i="1" s="1"/>
  <c r="E1063" i="1" s="1"/>
  <c r="H1063" i="1" l="1"/>
  <c r="G1063" i="1"/>
  <c r="F1063" i="1" l="1"/>
  <c r="I1063" i="1" s="1"/>
  <c r="E1064" i="1" s="1"/>
  <c r="H1064" i="1" l="1"/>
  <c r="G1064" i="1"/>
  <c r="F1064" i="1" l="1"/>
  <c r="I1064" i="1" s="1"/>
  <c r="E1065" i="1" s="1"/>
  <c r="G1065" i="1" l="1"/>
  <c r="H1065" i="1"/>
  <c r="F1065" i="1" l="1"/>
  <c r="I1065" i="1" s="1"/>
  <c r="E1066" i="1" s="1"/>
  <c r="G1066" i="1" l="1"/>
  <c r="H1066" i="1"/>
  <c r="F1066" i="1" l="1"/>
  <c r="I1066" i="1" s="1"/>
  <c r="E1067" i="1" s="1"/>
  <c r="H1067" i="1" l="1"/>
  <c r="G1067" i="1"/>
  <c r="F1067" i="1" l="1"/>
  <c r="I1067" i="1" l="1"/>
  <c r="E1068" i="1" s="1"/>
  <c r="H1068" i="1" l="1"/>
  <c r="F1068" i="1" s="1"/>
  <c r="G1068" i="1"/>
  <c r="I1068" i="1" l="1"/>
  <c r="E1069" i="1" s="1"/>
  <c r="G1069" i="1" l="1"/>
  <c r="H1069" i="1"/>
  <c r="F1069" i="1" s="1"/>
  <c r="I1069" i="1" l="1"/>
  <c r="E1070" i="1" s="1"/>
  <c r="H1070" i="1" l="1"/>
  <c r="G1070" i="1"/>
  <c r="F1070" i="1" l="1"/>
  <c r="I1070" i="1" s="1"/>
  <c r="E1071" i="1" s="1"/>
  <c r="G1071" i="1" l="1"/>
  <c r="H1071" i="1"/>
  <c r="F1071" i="1" l="1"/>
  <c r="I1071" i="1" s="1"/>
  <c r="E1072" i="1" s="1"/>
  <c r="H1072" i="1" l="1"/>
  <c r="G1072" i="1"/>
  <c r="F1072" i="1" l="1"/>
  <c r="I1072" i="1" s="1"/>
  <c r="E1073" i="1" s="1"/>
  <c r="H1073" i="1" l="1"/>
  <c r="G1073" i="1"/>
  <c r="F1073" i="1" l="1"/>
  <c r="I1073" i="1" s="1"/>
  <c r="E1074" i="1" s="1"/>
  <c r="G1074" i="1" l="1"/>
  <c r="H1074" i="1"/>
  <c r="F1074" i="1" l="1"/>
  <c r="I1074" i="1" s="1"/>
  <c r="E1075" i="1" s="1"/>
  <c r="H1075" i="1" l="1"/>
  <c r="G1075" i="1"/>
  <c r="F1075" i="1" l="1"/>
  <c r="I1075" i="1" s="1"/>
  <c r="E1076" i="1" s="1"/>
  <c r="H1076" i="1" l="1"/>
  <c r="G1076" i="1"/>
  <c r="F1076" i="1" l="1"/>
  <c r="I1076" i="1" s="1"/>
  <c r="E1077" i="1" s="1"/>
  <c r="G1077" i="1" l="1"/>
  <c r="H1077" i="1"/>
  <c r="F1077" i="1" l="1"/>
  <c r="I1077" i="1" s="1"/>
  <c r="E1078" i="1" s="1"/>
  <c r="H1078" i="1" l="1"/>
  <c r="G1078" i="1"/>
  <c r="F1078" i="1" l="1"/>
  <c r="I1078" i="1" s="1"/>
  <c r="E1079" i="1" s="1"/>
  <c r="G1079" i="1" l="1"/>
  <c r="H1079" i="1"/>
  <c r="F1079" i="1" l="1"/>
  <c r="I1079" i="1" s="1"/>
  <c r="E1080" i="1" s="1"/>
  <c r="H1080" i="1" l="1"/>
  <c r="G1080" i="1"/>
  <c r="F1080" i="1" l="1"/>
  <c r="I1080" i="1" s="1"/>
  <c r="E1081" i="1" s="1"/>
  <c r="H1081" i="1" l="1"/>
  <c r="G1081" i="1"/>
  <c r="F1081" i="1" l="1"/>
  <c r="I1081" i="1" s="1"/>
  <c r="E1082" i="1" s="1"/>
  <c r="H1082" i="1" l="1"/>
  <c r="G1082" i="1"/>
  <c r="F1082" i="1" l="1"/>
  <c r="I1082" i="1" s="1"/>
  <c r="E1083" i="1" s="1"/>
  <c r="G1083" i="1" l="1"/>
  <c r="H1083" i="1"/>
  <c r="F1083" i="1" l="1"/>
  <c r="I1083" i="1" s="1"/>
  <c r="E1084" i="1" s="1"/>
  <c r="H1084" i="1" l="1"/>
  <c r="G1084" i="1"/>
  <c r="F1084" i="1" l="1"/>
  <c r="I1084" i="1" s="1"/>
  <c r="E1085" i="1" s="1"/>
  <c r="H1085" i="1" l="1"/>
  <c r="G1085" i="1"/>
  <c r="F1085" i="1" l="1"/>
  <c r="I1085" i="1" s="1"/>
  <c r="E1086" i="1" s="1"/>
  <c r="H1086" i="1" l="1"/>
  <c r="G1086" i="1"/>
  <c r="F1086" i="1" l="1"/>
  <c r="I1086" i="1" s="1"/>
  <c r="E1087" i="1" s="1"/>
  <c r="H1087" i="1" l="1"/>
  <c r="G1087" i="1"/>
  <c r="F1087" i="1" l="1"/>
  <c r="I1087" i="1" s="1"/>
  <c r="E1088" i="1" s="1"/>
  <c r="H1088" i="1" l="1"/>
  <c r="G1088" i="1"/>
  <c r="F1088" i="1" l="1"/>
  <c r="I1088" i="1" s="1"/>
  <c r="E1089" i="1" s="1"/>
  <c r="H1089" i="1" l="1"/>
  <c r="G1089" i="1"/>
  <c r="F1089" i="1" l="1"/>
  <c r="I1089" i="1" s="1"/>
  <c r="E1090" i="1" s="1"/>
  <c r="H1090" i="1" l="1"/>
  <c r="G1090" i="1"/>
  <c r="F1090" i="1" l="1"/>
  <c r="I1090" i="1" s="1"/>
  <c r="E1091" i="1" s="1"/>
  <c r="H1091" i="1" l="1"/>
  <c r="G1091" i="1"/>
  <c r="F1091" i="1" l="1"/>
  <c r="I1091" i="1" s="1"/>
  <c r="E1092" i="1" s="1"/>
  <c r="H1092" i="1" l="1"/>
  <c r="G1092" i="1"/>
  <c r="F1092" i="1" l="1"/>
  <c r="I1092" i="1" s="1"/>
  <c r="E1093" i="1" s="1"/>
  <c r="H1093" i="1" l="1"/>
  <c r="G1093" i="1"/>
  <c r="F1093" i="1" l="1"/>
  <c r="I1093" i="1" s="1"/>
  <c r="E1094" i="1" s="1"/>
  <c r="H1094" i="1" l="1"/>
  <c r="G1094" i="1"/>
  <c r="F1094" i="1" l="1"/>
  <c r="I1094" i="1" l="1"/>
  <c r="E1095" i="1" s="1"/>
  <c r="H1095" i="1" l="1"/>
  <c r="F1095" i="1" s="1"/>
  <c r="G1095" i="1"/>
  <c r="I1095" i="1" l="1"/>
  <c r="E1096" i="1" s="1"/>
  <c r="H1096" i="1" l="1"/>
  <c r="G1096" i="1"/>
  <c r="F1096" i="1"/>
  <c r="I1096" i="1" l="1"/>
  <c r="E1097" i="1" s="1"/>
  <c r="H1097" i="1" l="1"/>
  <c r="G1097" i="1"/>
  <c r="F1097" i="1" l="1"/>
  <c r="I1097" i="1" s="1"/>
  <c r="E1098" i="1" s="1"/>
  <c r="H1098" i="1" l="1"/>
  <c r="G1098" i="1"/>
  <c r="F1098" i="1" l="1"/>
  <c r="I1098" i="1" l="1"/>
  <c r="E1099" i="1" s="1"/>
  <c r="H1099" i="1" l="1"/>
  <c r="G1099" i="1"/>
  <c r="F1099" i="1"/>
  <c r="I1099" i="1" l="1"/>
  <c r="E1100" i="1" s="1"/>
  <c r="E7" i="2" l="1"/>
  <c r="H1100" i="1"/>
  <c r="G1100" i="1"/>
  <c r="G7" i="2"/>
  <c r="F7" i="2"/>
  <c r="H7" i="2" l="1"/>
  <c r="I7" i="2" s="1"/>
  <c r="S7" i="2"/>
  <c r="T7" i="2" s="1"/>
  <c r="N7" i="2"/>
  <c r="O7" i="2" s="1"/>
  <c r="L7" i="2" s="1"/>
  <c r="M7" i="2" s="1"/>
  <c r="J7" i="2"/>
  <c r="K7" i="2" s="1"/>
  <c r="F1100" i="1"/>
  <c r="I1100" i="1" s="1"/>
  <c r="E1101" i="1" s="1"/>
  <c r="U7" i="2" l="1"/>
  <c r="P7" i="2" s="1"/>
  <c r="Q7" i="2" s="1"/>
  <c r="H1101" i="1"/>
  <c r="G1101" i="1"/>
  <c r="F1101" i="1" l="1"/>
  <c r="I1101" i="1" s="1"/>
  <c r="E1102" i="1" s="1"/>
  <c r="H1102" i="1" l="1"/>
  <c r="G1102" i="1"/>
  <c r="F1102" i="1" l="1"/>
  <c r="I1102" i="1" s="1"/>
  <c r="E1103" i="1" s="1"/>
  <c r="H1103" i="1" l="1"/>
  <c r="G1103" i="1"/>
  <c r="F1103" i="1" l="1"/>
  <c r="I1103" i="1" s="1"/>
  <c r="E1104" i="1" s="1"/>
  <c r="G1104" i="1" l="1"/>
  <c r="H1104" i="1"/>
  <c r="F1104" i="1" l="1"/>
  <c r="I1104" i="1" s="1"/>
  <c r="E1105" i="1" s="1"/>
  <c r="G1105" i="1" l="1"/>
  <c r="H1105" i="1"/>
  <c r="F1105" i="1" l="1"/>
  <c r="I1105" i="1" s="1"/>
  <c r="E1106" i="1" s="1"/>
  <c r="G1106" i="1" l="1"/>
  <c r="H1106" i="1"/>
  <c r="F1106" i="1" l="1"/>
  <c r="I1106" i="1" s="1"/>
  <c r="E1107" i="1" s="1"/>
  <c r="G1107" i="1" l="1"/>
  <c r="H1107" i="1"/>
  <c r="F1107" i="1" l="1"/>
  <c r="I1107" i="1" s="1"/>
  <c r="E1108" i="1" s="1"/>
  <c r="H1108" i="1" l="1"/>
  <c r="G1108" i="1"/>
  <c r="F1108" i="1" l="1"/>
  <c r="I1108" i="1" s="1"/>
  <c r="E1109" i="1" s="1"/>
  <c r="H1109" i="1" l="1"/>
  <c r="G1109" i="1"/>
  <c r="F1109" i="1" l="1"/>
  <c r="I1109" i="1" s="1"/>
  <c r="E1110" i="1" s="1"/>
  <c r="G1110" i="1" l="1"/>
  <c r="H1110" i="1"/>
  <c r="F1110" i="1" l="1"/>
  <c r="I1110" i="1" s="1"/>
  <c r="E1111" i="1" s="1"/>
  <c r="H1111" i="1" l="1"/>
  <c r="G1111" i="1"/>
  <c r="F1111" i="1" l="1"/>
  <c r="I1111" i="1" s="1"/>
  <c r="E1112" i="1" s="1"/>
  <c r="H1112" i="1" l="1"/>
  <c r="G1112" i="1"/>
  <c r="F1112" i="1" l="1"/>
  <c r="I1112" i="1" s="1"/>
  <c r="E1113" i="1" s="1"/>
  <c r="H1113" i="1" l="1"/>
  <c r="G1113" i="1"/>
  <c r="F1113" i="1" l="1"/>
  <c r="I1113" i="1" s="1"/>
  <c r="E1114" i="1" s="1"/>
  <c r="H1114" i="1" l="1"/>
  <c r="G1114" i="1"/>
  <c r="F1114" i="1" l="1"/>
  <c r="I1114" i="1" s="1"/>
  <c r="E1115" i="1" s="1"/>
  <c r="H1115" i="1" l="1"/>
  <c r="G1115" i="1"/>
  <c r="F1115" i="1" l="1"/>
  <c r="I1115" i="1" s="1"/>
  <c r="E1116" i="1" s="1"/>
  <c r="G1116" i="1" l="1"/>
  <c r="H1116" i="1"/>
  <c r="F1116" i="1" l="1"/>
  <c r="I1116" i="1" s="1"/>
  <c r="E1117" i="1" s="1"/>
  <c r="H1117" i="1" l="1"/>
  <c r="G1117" i="1"/>
  <c r="F1117" i="1" l="1"/>
  <c r="I1117" i="1" s="1"/>
  <c r="E1118" i="1" s="1"/>
  <c r="H1118" i="1" l="1"/>
  <c r="G1118" i="1"/>
  <c r="F1118" i="1" l="1"/>
  <c r="I1118" i="1" s="1"/>
  <c r="E1119" i="1" s="1"/>
  <c r="G1119" i="1" l="1"/>
  <c r="H1119" i="1"/>
  <c r="F1119" i="1" l="1"/>
  <c r="I1119" i="1" s="1"/>
  <c r="E1120" i="1" s="1"/>
  <c r="H1120" i="1" l="1"/>
  <c r="G1120" i="1"/>
  <c r="F1120" i="1" l="1"/>
  <c r="I1120" i="1" s="1"/>
  <c r="E1121" i="1" s="1"/>
  <c r="G1121" i="1" l="1"/>
  <c r="H1121" i="1"/>
  <c r="F1121" i="1" l="1"/>
  <c r="I1121" i="1" s="1"/>
  <c r="E1122" i="1" s="1"/>
  <c r="H1122" i="1" l="1"/>
  <c r="G1122" i="1"/>
  <c r="F1122" i="1" l="1"/>
  <c r="I1122" i="1" s="1"/>
  <c r="E1123" i="1" s="1"/>
  <c r="H1123" i="1" l="1"/>
  <c r="G1123" i="1"/>
  <c r="F1123" i="1" l="1"/>
  <c r="I1123" i="1" s="1"/>
  <c r="E1124" i="1" s="1"/>
  <c r="G1124" i="1" l="1"/>
  <c r="H1124" i="1"/>
  <c r="F1124" i="1" l="1"/>
  <c r="I1124" i="1" l="1"/>
  <c r="E1125" i="1" s="1"/>
  <c r="G1125" i="1" l="1"/>
  <c r="H1125" i="1"/>
  <c r="F1125" i="1" l="1"/>
  <c r="I1125" i="1" s="1"/>
  <c r="E1126" i="1" s="1"/>
  <c r="H1126" i="1" l="1"/>
  <c r="G1126" i="1"/>
  <c r="F1126" i="1" l="1"/>
  <c r="I1126" i="1" s="1"/>
  <c r="E1127" i="1" s="1"/>
  <c r="H1127" i="1" l="1"/>
  <c r="G1127" i="1"/>
  <c r="F1127" i="1" l="1"/>
  <c r="I1127" i="1" l="1"/>
  <c r="E1128" i="1" s="1"/>
  <c r="G1128" i="1" l="1"/>
  <c r="H1128" i="1"/>
  <c r="F1128" i="1" l="1"/>
  <c r="I1128" i="1" s="1"/>
  <c r="E1129" i="1" s="1"/>
  <c r="G1129" i="1" l="1"/>
  <c r="H1129" i="1"/>
  <c r="F1129" i="1" l="1"/>
  <c r="I1129" i="1" s="1"/>
  <c r="E1130" i="1" s="1"/>
  <c r="G1130" i="1" l="1"/>
  <c r="H1130" i="1"/>
  <c r="F1130" i="1" l="1"/>
  <c r="I1130" i="1" s="1"/>
  <c r="E1131" i="1" s="1"/>
  <c r="H1131" i="1" l="1"/>
  <c r="G1131" i="1"/>
  <c r="F1131" i="1" l="1"/>
  <c r="I1131" i="1" s="1"/>
  <c r="E1132" i="1" s="1"/>
  <c r="G1132" i="1" l="1"/>
  <c r="H1132" i="1"/>
  <c r="F1132" i="1" l="1"/>
  <c r="I1132" i="1" s="1"/>
  <c r="E1133" i="1" s="1"/>
  <c r="H1133" i="1" l="1"/>
  <c r="G1133" i="1"/>
  <c r="F1133" i="1" l="1"/>
  <c r="I1133" i="1" l="1"/>
  <c r="E1134" i="1" s="1"/>
  <c r="H1134" i="1" l="1"/>
  <c r="G1134" i="1"/>
  <c r="F1134" i="1"/>
  <c r="I1134" i="1" l="1"/>
  <c r="E1135" i="1" s="1"/>
  <c r="G1135" i="1" l="1"/>
  <c r="H1135" i="1"/>
  <c r="F1135" i="1" l="1"/>
  <c r="I1135" i="1" s="1"/>
  <c r="E1136" i="1" s="1"/>
  <c r="G1136" i="1" l="1"/>
  <c r="H1136" i="1"/>
  <c r="F1136" i="1" l="1"/>
  <c r="I1136" i="1" s="1"/>
  <c r="E1137" i="1" s="1"/>
  <c r="H1137" i="1" l="1"/>
  <c r="G1137" i="1"/>
  <c r="F1137" i="1" l="1"/>
  <c r="I1137" i="1" l="1"/>
  <c r="E1138" i="1" s="1"/>
  <c r="G1138" i="1" l="1"/>
  <c r="H1138" i="1"/>
  <c r="F1138" i="1" l="1"/>
  <c r="I1138" i="1" s="1"/>
  <c r="E1139" i="1" s="1"/>
  <c r="G1139" i="1" l="1"/>
  <c r="H1139" i="1"/>
  <c r="F1139" i="1" l="1"/>
  <c r="I1139" i="1" s="1"/>
  <c r="E1140" i="1" s="1"/>
  <c r="H1140" i="1" l="1"/>
  <c r="G1140" i="1"/>
  <c r="F1140" i="1" l="1"/>
  <c r="I1140" i="1" s="1"/>
  <c r="E1141" i="1" s="1"/>
  <c r="H1141" i="1" l="1"/>
  <c r="G1141" i="1"/>
  <c r="F1141" i="1" l="1"/>
  <c r="I1141" i="1" s="1"/>
  <c r="E1142" i="1" s="1"/>
  <c r="H1142" i="1" l="1"/>
  <c r="G1142" i="1"/>
  <c r="F1142" i="1" l="1"/>
  <c r="I1142" i="1" s="1"/>
  <c r="E1143" i="1" s="1"/>
  <c r="H1143" i="1" l="1"/>
  <c r="G1143" i="1"/>
  <c r="F1143" i="1" l="1"/>
  <c r="I1143" i="1" s="1"/>
  <c r="E1144" i="1" s="1"/>
  <c r="G1144" i="1" l="1"/>
  <c r="H1144" i="1"/>
  <c r="F1144" i="1" l="1"/>
  <c r="I1144" i="1" s="1"/>
  <c r="E1145" i="1" s="1"/>
  <c r="H1145" i="1" l="1"/>
  <c r="G1145" i="1"/>
  <c r="F1145" i="1" l="1"/>
  <c r="I1145" i="1" l="1"/>
  <c r="E1146" i="1" s="1"/>
  <c r="G1146" i="1" l="1"/>
  <c r="H1146" i="1"/>
  <c r="F1146" i="1" s="1"/>
  <c r="I1146" i="1" l="1"/>
  <c r="E1147" i="1" s="1"/>
  <c r="H1147" i="1" l="1"/>
  <c r="G1147" i="1"/>
  <c r="F1147" i="1" l="1"/>
  <c r="I1147" i="1" s="1"/>
  <c r="E1148" i="1" s="1"/>
  <c r="H1148" i="1" l="1"/>
  <c r="G1148" i="1"/>
  <c r="F1148" i="1" l="1"/>
  <c r="I1148" i="1" s="1"/>
  <c r="E1149" i="1" s="1"/>
  <c r="H1149" i="1" l="1"/>
  <c r="G1149" i="1"/>
  <c r="F1149" i="1" l="1"/>
  <c r="I1149" i="1" s="1"/>
  <c r="E1150" i="1" s="1"/>
  <c r="H1150" i="1" l="1"/>
  <c r="G1150" i="1"/>
  <c r="F1150" i="1" l="1"/>
  <c r="I1150" i="1" s="1"/>
  <c r="E1151" i="1" s="1"/>
  <c r="G1151" i="1" l="1"/>
  <c r="H1151" i="1"/>
  <c r="F1151" i="1" l="1"/>
  <c r="I1151" i="1" s="1"/>
  <c r="E1152" i="1" s="1"/>
  <c r="G1152" i="1" l="1"/>
  <c r="H1152" i="1"/>
  <c r="F1152" i="1" l="1"/>
  <c r="I1152" i="1" l="1"/>
  <c r="E1153" i="1" s="1"/>
  <c r="G1153" i="1" l="1"/>
  <c r="H1153" i="1"/>
  <c r="F1153" i="1" l="1"/>
  <c r="I1153" i="1" s="1"/>
  <c r="E1154" i="1" s="1"/>
  <c r="H1154" i="1" l="1"/>
  <c r="G1154" i="1"/>
  <c r="F1154" i="1" l="1"/>
  <c r="I1154" i="1" s="1"/>
  <c r="E1155" i="1" s="1"/>
  <c r="G1155" i="1" l="1"/>
  <c r="H1155" i="1"/>
  <c r="F1155" i="1" l="1"/>
  <c r="I1155" i="1" s="1"/>
  <c r="E1156" i="1" s="1"/>
  <c r="H1156" i="1" l="1"/>
  <c r="G1156" i="1"/>
  <c r="F1156" i="1" l="1"/>
  <c r="I1156" i="1" s="1"/>
  <c r="E1157" i="1" s="1"/>
  <c r="H1157" i="1" l="1"/>
  <c r="G1157" i="1"/>
  <c r="F1157" i="1" l="1"/>
  <c r="I1157" i="1" s="1"/>
  <c r="E1158" i="1" s="1"/>
  <c r="H1158" i="1" l="1"/>
  <c r="G1158" i="1"/>
  <c r="F1158" i="1" l="1"/>
  <c r="I1158" i="1" s="1"/>
  <c r="E1159" i="1" s="1"/>
  <c r="H1159" i="1" l="1"/>
  <c r="G1159" i="1"/>
  <c r="F1159" i="1" l="1"/>
  <c r="I1159" i="1" s="1"/>
  <c r="E1160" i="1" s="1"/>
  <c r="H1160" i="1" l="1"/>
  <c r="G1160" i="1"/>
  <c r="F1160" i="1" l="1"/>
  <c r="I1160" i="1" s="1"/>
  <c r="E1161" i="1" s="1"/>
  <c r="G1161" i="1" l="1"/>
  <c r="H1161" i="1"/>
  <c r="F1161" i="1" l="1"/>
  <c r="I1161" i="1" s="1"/>
  <c r="E1162" i="1" s="1"/>
  <c r="H1162" i="1" l="1"/>
  <c r="G1162" i="1"/>
  <c r="F1162" i="1" l="1"/>
  <c r="I1162" i="1" l="1"/>
  <c r="E1163" i="1" s="1"/>
  <c r="H1163" i="1" l="1"/>
  <c r="F1163" i="1" s="1"/>
  <c r="G1163" i="1"/>
  <c r="I1163" i="1" l="1"/>
  <c r="E1164" i="1" s="1"/>
  <c r="H1164" i="1" l="1"/>
  <c r="G1164" i="1"/>
  <c r="F1164" i="1" l="1"/>
  <c r="I1164" i="1" s="1"/>
  <c r="E1165" i="1" s="1"/>
  <c r="H1165" i="1" l="1"/>
  <c r="G1165" i="1"/>
  <c r="F1165" i="1" l="1"/>
  <c r="I1165" i="1" s="1"/>
  <c r="E1166" i="1" s="1"/>
  <c r="H1166" i="1" l="1"/>
  <c r="G1166" i="1"/>
  <c r="F1166" i="1" l="1"/>
  <c r="I1166" i="1" s="1"/>
  <c r="E1167" i="1" s="1"/>
  <c r="G1167" i="1" l="1"/>
  <c r="H1167" i="1"/>
  <c r="F1167" i="1" l="1"/>
  <c r="I1167" i="1" s="1"/>
  <c r="E1168" i="1" s="1"/>
  <c r="H1168" i="1" l="1"/>
  <c r="G1168" i="1"/>
  <c r="F1168" i="1" l="1"/>
  <c r="I1168" i="1" s="1"/>
  <c r="E1169" i="1" s="1"/>
  <c r="H1169" i="1" l="1"/>
  <c r="G1169" i="1"/>
  <c r="F1169" i="1" l="1"/>
  <c r="I1169" i="1" s="1"/>
  <c r="E1170" i="1" s="1"/>
  <c r="G1170" i="1" l="1"/>
  <c r="H1170" i="1"/>
  <c r="F1170" i="1" l="1"/>
  <c r="I1170" i="1" s="1"/>
  <c r="E1171" i="1" s="1"/>
  <c r="H1171" i="1" l="1"/>
  <c r="G1171" i="1"/>
  <c r="F1171" i="1" l="1"/>
  <c r="I1171" i="1" s="1"/>
  <c r="E1172" i="1" s="1"/>
  <c r="H1172" i="1" l="1"/>
  <c r="G1172" i="1"/>
  <c r="F1172" i="1" l="1"/>
  <c r="I1172" i="1" s="1"/>
  <c r="E1173" i="1" s="1"/>
  <c r="G1173" i="1" l="1"/>
  <c r="H1173" i="1"/>
  <c r="F1173" i="1" l="1"/>
  <c r="I1173" i="1" s="1"/>
  <c r="E1174" i="1" s="1"/>
  <c r="H1174" i="1" l="1"/>
  <c r="G1174" i="1"/>
  <c r="F1174" i="1" l="1"/>
  <c r="I1174" i="1" s="1"/>
  <c r="E1175" i="1" s="1"/>
  <c r="H1175" i="1" l="1"/>
  <c r="G1175" i="1"/>
  <c r="F1175" i="1" l="1"/>
  <c r="I1175" i="1" s="1"/>
  <c r="E1176" i="1" s="1"/>
  <c r="H1176" i="1" l="1"/>
  <c r="G1176" i="1"/>
  <c r="F1176" i="1" l="1"/>
  <c r="I1176" i="1" s="1"/>
  <c r="E1177" i="1" s="1"/>
  <c r="H1177" i="1" l="1"/>
  <c r="G1177" i="1"/>
  <c r="F1177" i="1" l="1"/>
  <c r="I1177" i="1" s="1"/>
  <c r="E1178" i="1" s="1"/>
  <c r="G1178" i="1" l="1"/>
  <c r="H1178" i="1"/>
  <c r="F1178" i="1" l="1"/>
  <c r="I1178" i="1" s="1"/>
  <c r="E1179" i="1" s="1"/>
  <c r="G1179" i="1" l="1"/>
  <c r="H1179" i="1"/>
  <c r="F1179" i="1" l="1"/>
  <c r="I1179" i="1" s="1"/>
  <c r="E1180" i="1" s="1"/>
  <c r="H1180" i="1" l="1"/>
  <c r="G1180" i="1"/>
  <c r="F1180" i="1" l="1"/>
  <c r="I1180" i="1" s="1"/>
  <c r="E1181" i="1" s="1"/>
  <c r="H1181" i="1" l="1"/>
  <c r="G1181" i="1"/>
  <c r="F1181" i="1" l="1"/>
  <c r="I1181" i="1" s="1"/>
  <c r="E1182" i="1" s="1"/>
  <c r="H1182" i="1" l="1"/>
  <c r="G1182" i="1"/>
  <c r="F1182" i="1" l="1"/>
  <c r="I1182" i="1" s="1"/>
  <c r="E1183" i="1" s="1"/>
  <c r="H1183" i="1" l="1"/>
  <c r="G1183" i="1"/>
  <c r="F1183" i="1" l="1"/>
  <c r="I1183" i="1" s="1"/>
  <c r="E1184" i="1" s="1"/>
  <c r="H1184" i="1" l="1"/>
  <c r="G1184" i="1"/>
  <c r="F1184" i="1" l="1"/>
  <c r="I1184" i="1" s="1"/>
  <c r="E1185" i="1" s="1"/>
  <c r="H1185" i="1" l="1"/>
  <c r="G1185" i="1"/>
  <c r="F1185" i="1" l="1"/>
  <c r="I1185" i="1" s="1"/>
  <c r="E1186" i="1" s="1"/>
  <c r="G1186" i="1" l="1"/>
  <c r="H1186" i="1"/>
  <c r="F1186" i="1" l="1"/>
  <c r="I1186" i="1" s="1"/>
  <c r="E1187" i="1" s="1"/>
  <c r="H1187" i="1" l="1"/>
  <c r="G1187" i="1"/>
  <c r="F1187" i="1" l="1"/>
  <c r="I1187" i="1" s="1"/>
  <c r="E1188" i="1" s="1"/>
  <c r="G1188" i="1" l="1"/>
  <c r="H1188" i="1"/>
  <c r="F1188" i="1" l="1"/>
  <c r="I1188" i="1" s="1"/>
  <c r="E1189" i="1" s="1"/>
  <c r="H1189" i="1" l="1"/>
  <c r="G1189" i="1"/>
  <c r="F1189" i="1" l="1"/>
  <c r="I1189" i="1" s="1"/>
  <c r="E1190" i="1" s="1"/>
  <c r="H1190" i="1" l="1"/>
  <c r="G1190" i="1"/>
  <c r="F1190" i="1" l="1"/>
  <c r="I1190" i="1" s="1"/>
  <c r="E1191" i="1" s="1"/>
  <c r="G1191" i="1" l="1"/>
  <c r="H1191" i="1"/>
  <c r="F1191" i="1" l="1"/>
  <c r="I1191" i="1" s="1"/>
  <c r="E1192" i="1" s="1"/>
  <c r="G1192" i="1" l="1"/>
  <c r="H1192" i="1"/>
  <c r="F1192" i="1" l="1"/>
  <c r="I1192" i="1" s="1"/>
  <c r="E1193" i="1" s="1"/>
  <c r="H1193" i="1" l="1"/>
  <c r="G1193" i="1"/>
  <c r="F1193" i="1" l="1"/>
  <c r="I1193" i="1" s="1"/>
  <c r="E1194" i="1" s="1"/>
  <c r="G1194" i="1" l="1"/>
  <c r="H1194" i="1"/>
  <c r="F1194" i="1" l="1"/>
  <c r="I1194" i="1" l="1"/>
  <c r="E1195" i="1" s="1"/>
  <c r="H1195" i="1" l="1"/>
  <c r="G1195" i="1"/>
  <c r="F1195" i="1"/>
  <c r="I1195" i="1" l="1"/>
  <c r="E1196" i="1" s="1"/>
  <c r="H1196" i="1" l="1"/>
  <c r="G1196" i="1"/>
  <c r="F1196" i="1" l="1"/>
  <c r="I1196" i="1" s="1"/>
  <c r="E1197" i="1" s="1"/>
  <c r="G1197" i="1" l="1"/>
  <c r="H1197" i="1"/>
  <c r="F1197" i="1" l="1"/>
  <c r="I1197" i="1" s="1"/>
  <c r="E1198" i="1" s="1"/>
  <c r="G1198" i="1" l="1"/>
  <c r="H1198" i="1"/>
  <c r="F1198" i="1" l="1"/>
  <c r="I1198" i="1" l="1"/>
  <c r="E1199" i="1" s="1"/>
  <c r="H1199" i="1" l="1"/>
  <c r="G1199" i="1"/>
  <c r="F1199" i="1"/>
  <c r="I1199" i="1" l="1"/>
  <c r="E1200" i="1" s="1"/>
  <c r="H1200" i="1" l="1"/>
  <c r="G1200" i="1"/>
  <c r="F1200" i="1" l="1"/>
  <c r="I1200" i="1" s="1"/>
  <c r="E1201" i="1" s="1"/>
  <c r="G1201" i="1" l="1"/>
  <c r="H1201" i="1"/>
  <c r="F1201" i="1" l="1"/>
  <c r="I1201" i="1" s="1"/>
  <c r="E1202" i="1" s="1"/>
  <c r="H1202" i="1" l="1"/>
  <c r="G1202" i="1"/>
  <c r="F1202" i="1" l="1"/>
  <c r="I1202" i="1" s="1"/>
  <c r="E1203" i="1" s="1"/>
  <c r="G1203" i="1" l="1"/>
  <c r="H1203" i="1"/>
  <c r="F1203" i="1" l="1"/>
  <c r="I1203" i="1" s="1"/>
  <c r="E1204" i="1" s="1"/>
  <c r="G1204" i="1" l="1"/>
  <c r="H1204" i="1"/>
  <c r="F1204" i="1" l="1"/>
  <c r="I1204" i="1" s="1"/>
  <c r="E1205" i="1" s="1"/>
  <c r="H1205" i="1" l="1"/>
  <c r="G1205" i="1"/>
  <c r="F1205" i="1" l="1"/>
  <c r="I1205" i="1" s="1"/>
  <c r="E1206" i="1" s="1"/>
  <c r="H1206" i="1" l="1"/>
  <c r="G1206" i="1"/>
  <c r="F1206" i="1" l="1"/>
  <c r="I1206" i="1" s="1"/>
  <c r="E1207" i="1" s="1"/>
  <c r="G1207" i="1" l="1"/>
  <c r="H1207" i="1"/>
  <c r="F1207" i="1" l="1"/>
  <c r="I1207" i="1" s="1"/>
  <c r="E1208" i="1" s="1"/>
  <c r="H1208" i="1" l="1"/>
  <c r="G1208" i="1"/>
  <c r="F1208" i="1" l="1"/>
  <c r="I1208" i="1" l="1"/>
  <c r="E1209" i="1" s="1"/>
  <c r="G1209" i="1" l="1"/>
  <c r="H1209" i="1"/>
  <c r="F1209" i="1" l="1"/>
  <c r="I1209" i="1" s="1"/>
  <c r="E1210" i="1" s="1"/>
  <c r="H1210" i="1" l="1"/>
  <c r="G1210" i="1"/>
  <c r="F1210" i="1" l="1"/>
  <c r="I1210" i="1" l="1"/>
  <c r="E1211" i="1" s="1"/>
  <c r="H1211" i="1" l="1"/>
  <c r="G1211" i="1"/>
  <c r="F1211" i="1"/>
  <c r="I1211" i="1" l="1"/>
  <c r="E1212" i="1" s="1"/>
  <c r="H1212" i="1" l="1"/>
  <c r="F1212" i="1" s="1"/>
  <c r="G1212" i="1"/>
  <c r="I1212" i="1" l="1"/>
  <c r="E1213" i="1" s="1"/>
  <c r="H1213" i="1" l="1"/>
  <c r="F1213" i="1" s="1"/>
  <c r="G1213" i="1"/>
  <c r="I1213" i="1" l="1"/>
  <c r="E1214" i="1" s="1"/>
  <c r="G1214" i="1" l="1"/>
  <c r="H1214" i="1"/>
  <c r="F1214" i="1" l="1"/>
  <c r="I1214" i="1" s="1"/>
  <c r="E1215" i="1" s="1"/>
  <c r="G1215" i="1" l="1"/>
  <c r="H1215" i="1"/>
  <c r="F1215" i="1" l="1"/>
  <c r="I1215" i="1" s="1"/>
  <c r="E1216" i="1" s="1"/>
  <c r="G1216" i="1" l="1"/>
  <c r="H1216" i="1"/>
  <c r="F1216" i="1" l="1"/>
  <c r="I1216" i="1" s="1"/>
  <c r="E1217" i="1" s="1"/>
  <c r="G1217" i="1" l="1"/>
  <c r="H1217" i="1"/>
  <c r="F1217" i="1" l="1"/>
  <c r="I1217" i="1" l="1"/>
  <c r="E1218" i="1" s="1"/>
  <c r="H1218" i="1" l="1"/>
  <c r="G1218" i="1"/>
  <c r="F1218" i="1"/>
  <c r="I1218" i="1" l="1"/>
  <c r="E1219" i="1" s="1"/>
  <c r="H1219" i="1" l="1"/>
  <c r="F1219" i="1" s="1"/>
  <c r="I1219" i="1" s="1"/>
  <c r="E1220" i="1" s="1"/>
  <c r="G1219" i="1"/>
  <c r="H1220" i="1" l="1"/>
  <c r="G1220" i="1"/>
  <c r="F1220" i="1" l="1"/>
  <c r="I1220" i="1" l="1"/>
  <c r="E1221" i="1" s="1"/>
  <c r="H1221" i="1" l="1"/>
  <c r="F1221" i="1" s="1"/>
  <c r="G1221" i="1"/>
  <c r="I1221" i="1" l="1"/>
  <c r="E1222" i="1" s="1"/>
  <c r="G1222" i="1" l="1"/>
  <c r="H1222" i="1"/>
  <c r="F1222" i="1" l="1"/>
  <c r="I1222" i="1" s="1"/>
  <c r="E1223" i="1" s="1"/>
  <c r="G1223" i="1" l="1"/>
  <c r="H1223" i="1"/>
  <c r="F1223" i="1" l="1"/>
  <c r="I1223" i="1" s="1"/>
  <c r="E1224" i="1" s="1"/>
  <c r="H1224" i="1" l="1"/>
  <c r="G1224" i="1"/>
  <c r="F1224" i="1" l="1"/>
  <c r="I1224" i="1" s="1"/>
  <c r="E1225" i="1" s="1"/>
  <c r="G1225" i="1" l="1"/>
  <c r="H1225" i="1"/>
  <c r="F1225" i="1" l="1"/>
  <c r="I1225" i="1" s="1"/>
  <c r="E1226" i="1" s="1"/>
  <c r="H1226" i="1" l="1"/>
  <c r="G1226" i="1"/>
  <c r="F1226" i="1" l="1"/>
  <c r="I1226" i="1" s="1"/>
  <c r="E1227" i="1" s="1"/>
  <c r="G1227" i="1" l="1"/>
  <c r="H1227" i="1"/>
  <c r="F1227" i="1" l="1"/>
  <c r="I1227" i="1" s="1"/>
  <c r="E1228" i="1" s="1"/>
  <c r="H1228" i="1" l="1"/>
  <c r="G1228" i="1"/>
  <c r="F1228" i="1" l="1"/>
  <c r="I1228" i="1" l="1"/>
  <c r="E1229" i="1" s="1"/>
  <c r="H1229" i="1" l="1"/>
  <c r="G1229" i="1"/>
  <c r="F1229" i="1"/>
  <c r="I1229" i="1" l="1"/>
  <c r="E1230" i="1" s="1"/>
  <c r="G1230" i="1" l="1"/>
  <c r="H1230" i="1"/>
  <c r="F1230" i="1" l="1"/>
  <c r="I1230" i="1" s="1"/>
  <c r="E1231" i="1" s="1"/>
  <c r="H1231" i="1" l="1"/>
  <c r="G1231" i="1"/>
  <c r="F1231" i="1" l="1"/>
  <c r="I1231" i="1" s="1"/>
  <c r="E1232" i="1" s="1"/>
  <c r="H1232" i="1" l="1"/>
  <c r="G1232" i="1"/>
  <c r="F1232" i="1" l="1"/>
  <c r="I1232" i="1" s="1"/>
  <c r="E1233" i="1" s="1"/>
  <c r="H1233" i="1" l="1"/>
  <c r="G1233" i="1"/>
  <c r="F1233" i="1" l="1"/>
  <c r="I1233" i="1" s="1"/>
  <c r="E1234" i="1" s="1"/>
  <c r="H1234" i="1" l="1"/>
  <c r="G1234" i="1"/>
  <c r="F1234" i="1" l="1"/>
  <c r="I1234" i="1" s="1"/>
  <c r="E1235" i="1" s="1"/>
  <c r="G1235" i="1" l="1"/>
  <c r="H1235" i="1"/>
  <c r="F1235" i="1" l="1"/>
  <c r="I1235" i="1" s="1"/>
  <c r="E1236" i="1" s="1"/>
  <c r="G1236" i="1" l="1"/>
  <c r="H1236" i="1"/>
  <c r="F1236" i="1" l="1"/>
  <c r="I1236" i="1" s="1"/>
  <c r="E1237" i="1" s="1"/>
  <c r="H1237" i="1" l="1"/>
  <c r="G1237" i="1"/>
  <c r="F1237" i="1" l="1"/>
  <c r="I1237" i="1" l="1"/>
  <c r="E1238" i="1" s="1"/>
  <c r="H1238" i="1" l="1"/>
  <c r="G1238" i="1"/>
  <c r="F1238" i="1"/>
  <c r="I1238" i="1" l="1"/>
  <c r="E1239" i="1" s="1"/>
  <c r="G1239" i="1" l="1"/>
  <c r="H1239" i="1"/>
  <c r="F1239" i="1" l="1"/>
  <c r="I1239" i="1" s="1"/>
  <c r="E1240" i="1" s="1"/>
  <c r="H1240" i="1" l="1"/>
  <c r="G1240" i="1"/>
  <c r="F1240" i="1" l="1"/>
  <c r="I1240" i="1" s="1"/>
  <c r="E1241" i="1" s="1"/>
  <c r="H1241" i="1" l="1"/>
  <c r="G1241" i="1"/>
  <c r="F1241" i="1" l="1"/>
  <c r="I1241" i="1" s="1"/>
  <c r="E1242" i="1" s="1"/>
  <c r="H1242" i="1" l="1"/>
  <c r="G1242" i="1"/>
  <c r="F1242" i="1" l="1"/>
  <c r="I1242" i="1" s="1"/>
  <c r="E1243" i="1" s="1"/>
  <c r="H1243" i="1" l="1"/>
  <c r="G1243" i="1"/>
  <c r="F1243" i="1" l="1"/>
  <c r="I1243" i="1" s="1"/>
  <c r="E1244" i="1" s="1"/>
  <c r="H1244" i="1" l="1"/>
  <c r="G1244" i="1"/>
  <c r="F1244" i="1" l="1"/>
  <c r="I1244" i="1" s="1"/>
  <c r="E1245" i="1" s="1"/>
  <c r="G1245" i="1" l="1"/>
  <c r="H1245" i="1"/>
  <c r="F1245" i="1" l="1"/>
  <c r="I1245" i="1" l="1"/>
  <c r="E1246" i="1" s="1"/>
  <c r="H1246" i="1" l="1"/>
  <c r="G1246" i="1"/>
  <c r="F1246" i="1"/>
  <c r="I1246" i="1" l="1"/>
  <c r="E1247" i="1" l="1"/>
  <c r="G1247" i="1" s="1"/>
  <c r="H1247" i="1" l="1"/>
  <c r="F1247" i="1" s="1"/>
  <c r="I1247" i="1" s="1"/>
  <c r="E1248" i="1" s="1"/>
  <c r="H1248" i="1" l="1"/>
  <c r="G1248" i="1"/>
  <c r="F1248" i="1"/>
  <c r="I1248" i="1" s="1"/>
  <c r="E1249" i="1" s="1"/>
  <c r="H1249" i="1" l="1"/>
  <c r="G1249" i="1"/>
  <c r="F1249" i="1" l="1"/>
  <c r="I1249" i="1" s="1"/>
  <c r="E1250" i="1" s="1"/>
  <c r="G1250" i="1" l="1"/>
  <c r="H1250" i="1"/>
  <c r="F1250" i="1" l="1"/>
  <c r="I1250" i="1" s="1"/>
  <c r="E1251" i="1" s="1"/>
  <c r="G1251" i="1" l="1"/>
  <c r="H1251" i="1"/>
  <c r="F1251" i="1" l="1"/>
  <c r="I1251" i="1" s="1"/>
  <c r="E1252" i="1" s="1"/>
  <c r="G1252" i="1" l="1"/>
  <c r="H1252" i="1"/>
  <c r="F1252" i="1" l="1"/>
  <c r="I1252" i="1" s="1"/>
  <c r="E1253" i="1" s="1"/>
  <c r="H1253" i="1" l="1"/>
  <c r="G1253" i="1"/>
  <c r="F1253" i="1" l="1"/>
  <c r="I1253" i="1" s="1"/>
  <c r="E1254" i="1" s="1"/>
  <c r="H1254" i="1" l="1"/>
  <c r="G1254" i="1"/>
  <c r="F1254" i="1" l="1"/>
  <c r="I1254" i="1" s="1"/>
  <c r="E1255" i="1" s="1"/>
  <c r="H1255" i="1" l="1"/>
  <c r="G1255" i="1"/>
  <c r="F1255" i="1" l="1"/>
  <c r="I1255" i="1" l="1"/>
  <c r="E1256" i="1" s="1"/>
  <c r="G1256" i="1" l="1"/>
  <c r="H1256" i="1"/>
  <c r="F1256" i="1" l="1"/>
  <c r="I1256" i="1" s="1"/>
  <c r="E1257" i="1" s="1"/>
  <c r="H1257" i="1" l="1"/>
  <c r="G1257" i="1"/>
  <c r="F1257" i="1" l="1"/>
  <c r="I1257" i="1" s="1"/>
  <c r="E1258" i="1" s="1"/>
  <c r="H1258" i="1" l="1"/>
  <c r="G1258" i="1"/>
  <c r="F1258" i="1" l="1"/>
  <c r="I1258" i="1" s="1"/>
  <c r="E1259" i="1" s="1"/>
  <c r="H1259" i="1" l="1"/>
  <c r="G1259" i="1"/>
  <c r="F1259" i="1" l="1"/>
  <c r="I1259" i="1" l="1"/>
  <c r="E1260" i="1" s="1"/>
  <c r="G1260" i="1" l="1"/>
  <c r="H1260" i="1"/>
  <c r="F1260" i="1" l="1"/>
  <c r="I1260" i="1" l="1"/>
  <c r="E1261" i="1" s="1"/>
  <c r="H1261" i="1" l="1"/>
  <c r="G1261" i="1"/>
  <c r="F1261" i="1" l="1"/>
  <c r="I1261" i="1" s="1"/>
  <c r="E1262" i="1" s="1"/>
  <c r="G1262" i="1" l="1"/>
  <c r="H1262" i="1"/>
  <c r="F1262" i="1" l="1"/>
  <c r="I1262" i="1" s="1"/>
  <c r="E1263" i="1" s="1"/>
  <c r="G1263" i="1" l="1"/>
  <c r="H1263" i="1"/>
  <c r="F1263" i="1" l="1"/>
  <c r="I1263" i="1" s="1"/>
  <c r="E1264" i="1" s="1"/>
  <c r="H1264" i="1" l="1"/>
  <c r="G1264" i="1"/>
  <c r="F1264" i="1" l="1"/>
  <c r="I1264" i="1" s="1"/>
  <c r="E1265" i="1" s="1"/>
  <c r="H1265" i="1" l="1"/>
  <c r="G1265" i="1"/>
  <c r="F1265" i="1" l="1"/>
  <c r="I1265" i="1" s="1"/>
  <c r="E1266" i="1" s="1"/>
  <c r="G1266" i="1" l="1"/>
  <c r="H1266" i="1"/>
  <c r="F1266" i="1" l="1"/>
  <c r="I1266" i="1" s="1"/>
  <c r="E1267" i="1" s="1"/>
  <c r="G1267" i="1" l="1"/>
  <c r="H1267" i="1"/>
  <c r="F1267" i="1" l="1"/>
  <c r="I1267" i="1" s="1"/>
  <c r="E1268" i="1" s="1"/>
  <c r="G1268" i="1" l="1"/>
  <c r="H1268" i="1"/>
  <c r="F1268" i="1" l="1"/>
  <c r="I1268" i="1" s="1"/>
  <c r="E1269" i="1" s="1"/>
  <c r="H1269" i="1" l="1"/>
  <c r="G1269" i="1"/>
  <c r="F1269" i="1" l="1"/>
  <c r="I1269" i="1" s="1"/>
  <c r="E1270" i="1" s="1"/>
  <c r="G1270" i="1" l="1"/>
  <c r="H1270" i="1"/>
  <c r="F1270" i="1" l="1"/>
  <c r="I1270" i="1" s="1"/>
  <c r="E1271" i="1" s="1"/>
  <c r="G1271" i="1" l="1"/>
  <c r="H1271" i="1"/>
  <c r="F1271" i="1" l="1"/>
  <c r="I1271" i="1" s="1"/>
  <c r="E1272" i="1" s="1"/>
  <c r="G1272" i="1" l="1"/>
  <c r="H1272" i="1"/>
  <c r="F1272" i="1" l="1"/>
  <c r="I1272" i="1" s="1"/>
  <c r="E1273" i="1" s="1"/>
  <c r="H1273" i="1" l="1"/>
  <c r="G1273" i="1"/>
  <c r="F1273" i="1" l="1"/>
  <c r="I1273" i="1" s="1"/>
  <c r="E1274" i="1" s="1"/>
  <c r="H1274" i="1" l="1"/>
  <c r="G1274" i="1"/>
  <c r="F1274" i="1" l="1"/>
  <c r="I1274" i="1" s="1"/>
  <c r="E1275" i="1" s="1"/>
  <c r="G1275" i="1" l="1"/>
  <c r="H1275" i="1"/>
  <c r="F1275" i="1" l="1"/>
  <c r="I1275" i="1" s="1"/>
  <c r="E1276" i="1" s="1"/>
  <c r="G1276" i="1" l="1"/>
  <c r="H1276" i="1"/>
  <c r="F1276" i="1" l="1"/>
  <c r="I1276" i="1" s="1"/>
  <c r="E1277" i="1" s="1"/>
  <c r="G1277" i="1" l="1"/>
  <c r="H1277" i="1"/>
  <c r="F1277" i="1" l="1"/>
  <c r="I1277" i="1" s="1"/>
  <c r="E1278" i="1" s="1"/>
  <c r="H1278" i="1" l="1"/>
  <c r="G1278" i="1"/>
  <c r="F1278" i="1" l="1"/>
  <c r="I1278" i="1" l="1"/>
  <c r="E1279" i="1" s="1"/>
  <c r="H1279" i="1" l="1"/>
  <c r="F1279" i="1" s="1"/>
  <c r="G1279" i="1"/>
  <c r="I1279" i="1" l="1"/>
  <c r="E1280" i="1" s="1"/>
  <c r="H1280" i="1" l="1"/>
  <c r="G1280" i="1"/>
  <c r="F1280" i="1" l="1"/>
  <c r="I1280" i="1" s="1"/>
  <c r="E1281" i="1" s="1"/>
  <c r="G1281" i="1" l="1"/>
  <c r="H1281" i="1"/>
  <c r="F1281" i="1" l="1"/>
  <c r="I1281" i="1" s="1"/>
  <c r="E1282" i="1" s="1"/>
  <c r="G1282" i="1" l="1"/>
  <c r="H1282" i="1"/>
  <c r="F1282" i="1" l="1"/>
  <c r="I1282" i="1" l="1"/>
  <c r="E1283" i="1" s="1"/>
  <c r="G1283" i="1" l="1"/>
  <c r="H1283" i="1"/>
  <c r="F1283" i="1" l="1"/>
  <c r="I1283" i="1" s="1"/>
  <c r="E1284" i="1" s="1"/>
  <c r="H1284" i="1" l="1"/>
  <c r="G1284" i="1"/>
  <c r="F1284" i="1" l="1"/>
  <c r="I1284" i="1" s="1"/>
  <c r="E1285" i="1" s="1"/>
  <c r="H1285" i="1" l="1"/>
  <c r="G1285" i="1"/>
  <c r="F1285" i="1" l="1"/>
  <c r="I1285" i="1" s="1"/>
  <c r="E1286" i="1" s="1"/>
  <c r="G1286" i="1" l="1"/>
  <c r="H1286" i="1"/>
  <c r="F1286" i="1" l="1"/>
  <c r="I1286" i="1" l="1"/>
  <c r="E1287" i="1" s="1"/>
  <c r="G1287" i="1" l="1"/>
  <c r="H1287" i="1"/>
  <c r="F1287" i="1" l="1"/>
  <c r="I1287" i="1" l="1"/>
  <c r="E1288" i="1" s="1"/>
  <c r="G1288" i="1" l="1"/>
  <c r="H1288" i="1"/>
  <c r="F1288" i="1" l="1"/>
  <c r="I1288" i="1" s="1"/>
  <c r="E1289" i="1" s="1"/>
  <c r="H1289" i="1" l="1"/>
  <c r="G1289" i="1"/>
  <c r="F1289" i="1"/>
  <c r="I1289" i="1" l="1"/>
  <c r="E1290" i="1" s="1"/>
  <c r="H1290" i="1" l="1"/>
  <c r="G1290" i="1"/>
  <c r="F1290" i="1" l="1"/>
  <c r="I1290" i="1" s="1"/>
  <c r="E1291" i="1" s="1"/>
  <c r="H1291" i="1" l="1"/>
  <c r="G1291" i="1"/>
  <c r="F1291" i="1" l="1"/>
  <c r="I1291" i="1" s="1"/>
  <c r="E1292" i="1" s="1"/>
  <c r="H1292" i="1" l="1"/>
  <c r="G1292" i="1"/>
  <c r="F1292" i="1" l="1"/>
  <c r="I1292" i="1" l="1"/>
  <c r="E1293" i="1" s="1"/>
  <c r="H1293" i="1" l="1"/>
  <c r="F1293" i="1" s="1"/>
  <c r="G1293" i="1"/>
  <c r="I1293" i="1" l="1"/>
  <c r="E1294" i="1" s="1"/>
  <c r="H1294" i="1" l="1"/>
  <c r="G1294" i="1"/>
  <c r="F1294" i="1" l="1"/>
  <c r="I1294" i="1" l="1"/>
  <c r="E1295" i="1" s="1"/>
  <c r="H1295" i="1" l="1"/>
  <c r="G1295" i="1"/>
  <c r="F1295" i="1"/>
  <c r="I1295" i="1" l="1"/>
  <c r="E1296" i="1" l="1"/>
  <c r="G1296" i="1" l="1"/>
  <c r="H1296" i="1"/>
  <c r="F1296" i="1" s="1"/>
  <c r="I1296" i="1" s="1"/>
  <c r="E1297" i="1" s="1"/>
  <c r="G1297" i="1" l="1"/>
  <c r="H1297" i="1"/>
  <c r="F1297" i="1" s="1"/>
  <c r="I1297" i="1" l="1"/>
  <c r="E1298" i="1" s="1"/>
  <c r="G1298" i="1" l="1"/>
  <c r="H1298" i="1"/>
  <c r="F1298" i="1" l="1"/>
  <c r="I1298" i="1" s="1"/>
  <c r="E1299" i="1" s="1"/>
  <c r="H1299" i="1" l="1"/>
  <c r="G1299" i="1"/>
  <c r="F1299" i="1" l="1"/>
  <c r="I1299" i="1" l="1"/>
  <c r="E1300" i="1" s="1"/>
  <c r="G1300" i="1" l="1"/>
  <c r="H1300" i="1"/>
  <c r="F1300" i="1" l="1"/>
  <c r="I1300" i="1" l="1"/>
  <c r="E1301" i="1" s="1"/>
  <c r="H1301" i="1" l="1"/>
  <c r="G1301" i="1"/>
  <c r="F1301" i="1" l="1"/>
  <c r="I1301" i="1" s="1"/>
  <c r="E1302" i="1" s="1"/>
  <c r="G1302" i="1" l="1"/>
  <c r="H1302" i="1"/>
  <c r="F1302" i="1" l="1"/>
  <c r="I1302" i="1" s="1"/>
  <c r="E1303" i="1" s="1"/>
  <c r="G1303" i="1" l="1"/>
  <c r="H1303" i="1"/>
  <c r="F1303" i="1" l="1"/>
  <c r="I1303" i="1" s="1"/>
  <c r="E1304" i="1" s="1"/>
  <c r="H1304" i="1" l="1"/>
  <c r="G1304" i="1"/>
  <c r="F1304" i="1" l="1"/>
  <c r="I1304" i="1" s="1"/>
  <c r="E1305" i="1" s="1"/>
  <c r="H1305" i="1" l="1"/>
  <c r="G1305" i="1"/>
  <c r="F1305" i="1" l="1"/>
  <c r="I1305" i="1" s="1"/>
  <c r="E1306" i="1" s="1"/>
  <c r="G1306" i="1" l="1"/>
  <c r="H1306" i="1"/>
  <c r="F1306" i="1" l="1"/>
  <c r="I1306" i="1" s="1"/>
  <c r="E1307" i="1" s="1"/>
  <c r="G1307" i="1" l="1"/>
  <c r="H1307" i="1"/>
  <c r="F1307" i="1" l="1"/>
  <c r="I1307" i="1" s="1"/>
  <c r="E1308" i="1" s="1"/>
  <c r="G1308" i="1" l="1"/>
  <c r="H1308" i="1"/>
  <c r="F1308" i="1" l="1"/>
  <c r="I1308" i="1" s="1"/>
  <c r="E1309" i="1" s="1"/>
  <c r="H1309" i="1" l="1"/>
  <c r="G1309" i="1"/>
  <c r="F1309" i="1" l="1"/>
  <c r="I1309" i="1" s="1"/>
  <c r="E1310" i="1" s="1"/>
  <c r="G1310" i="1" l="1"/>
  <c r="H1310" i="1"/>
  <c r="F1310" i="1" l="1"/>
  <c r="I1310" i="1" s="1"/>
  <c r="E1311" i="1" s="1"/>
  <c r="H1311" i="1" l="1"/>
  <c r="G1311" i="1"/>
  <c r="F1311" i="1" l="1"/>
  <c r="I1311" i="1" s="1"/>
  <c r="E1312" i="1" s="1"/>
  <c r="G1312" i="1" l="1"/>
  <c r="H1312" i="1"/>
  <c r="F1312" i="1" l="1"/>
  <c r="I1312" i="1" l="1"/>
  <c r="E1313" i="1" s="1"/>
  <c r="H1313" i="1" l="1"/>
  <c r="F1313" i="1" s="1"/>
  <c r="G1313" i="1"/>
  <c r="I1313" i="1" l="1"/>
  <c r="E1314" i="1" l="1"/>
  <c r="G1314" i="1" s="1"/>
  <c r="H1314" i="1" l="1"/>
  <c r="F1314" i="1" s="1"/>
  <c r="I1314" i="1" s="1"/>
  <c r="E1315" i="1" s="1"/>
  <c r="H1315" i="1" l="1"/>
  <c r="G1315" i="1"/>
  <c r="F1315" i="1"/>
  <c r="I1315" i="1" s="1"/>
  <c r="E1316" i="1" s="1"/>
  <c r="G1316" i="1" l="1"/>
  <c r="H1316" i="1"/>
  <c r="F1316" i="1" l="1"/>
  <c r="I1316" i="1" s="1"/>
  <c r="E1317" i="1" s="1"/>
  <c r="H1317" i="1" l="1"/>
  <c r="G1317" i="1"/>
  <c r="F1317" i="1" l="1"/>
  <c r="I1317" i="1" s="1"/>
  <c r="E1318" i="1" s="1"/>
  <c r="H1318" i="1" l="1"/>
  <c r="G1318" i="1"/>
  <c r="F1318" i="1" l="1"/>
  <c r="I1318" i="1" l="1"/>
  <c r="E1319" i="1" s="1"/>
  <c r="G1319" i="1" l="1"/>
  <c r="H1319" i="1"/>
  <c r="F1319" i="1" l="1"/>
  <c r="I1319" i="1" s="1"/>
  <c r="E1320" i="1" s="1"/>
  <c r="G1320" i="1" l="1"/>
  <c r="H1320" i="1"/>
  <c r="F1320" i="1" l="1"/>
  <c r="I1320" i="1" s="1"/>
  <c r="E1321" i="1" s="1"/>
  <c r="G1321" i="1" l="1"/>
  <c r="H1321" i="1"/>
  <c r="F1321" i="1" l="1"/>
  <c r="I1321" i="1" s="1"/>
  <c r="E1322" i="1" s="1"/>
  <c r="H1322" i="1" l="1"/>
  <c r="G1322" i="1"/>
  <c r="F1322" i="1" l="1"/>
  <c r="I1322" i="1" s="1"/>
  <c r="E1323" i="1" s="1"/>
  <c r="H1323" i="1" l="1"/>
  <c r="G1323" i="1"/>
  <c r="F1323" i="1" l="1"/>
  <c r="I1323" i="1" s="1"/>
  <c r="E1324" i="1" s="1"/>
  <c r="H1324" i="1" l="1"/>
  <c r="G1324" i="1"/>
  <c r="F1324" i="1" l="1"/>
  <c r="I1324" i="1" s="1"/>
  <c r="E1325" i="1" s="1"/>
  <c r="H1325" i="1" l="1"/>
  <c r="G1325" i="1"/>
  <c r="F1325" i="1" l="1"/>
  <c r="I1325" i="1" s="1"/>
  <c r="E1326" i="1" s="1"/>
  <c r="H1326" i="1" l="1"/>
  <c r="G1326" i="1"/>
  <c r="F1326" i="1" l="1"/>
  <c r="I1326" i="1" l="1"/>
  <c r="E1327" i="1" s="1"/>
  <c r="G1327" i="1" l="1"/>
  <c r="H1327" i="1"/>
  <c r="F1327" i="1" s="1"/>
  <c r="I1327" i="1" l="1"/>
  <c r="E1328" i="1" s="1"/>
  <c r="H1328" i="1" l="1"/>
  <c r="G1328" i="1"/>
  <c r="F1328" i="1"/>
  <c r="I1328" i="1" l="1"/>
  <c r="E1329" i="1" s="1"/>
  <c r="H1329" i="1" l="1"/>
  <c r="G1329" i="1"/>
  <c r="F1329" i="1" l="1"/>
  <c r="I1329" i="1" s="1"/>
  <c r="E1330" i="1" s="1"/>
  <c r="H1330" i="1" l="1"/>
  <c r="G1330" i="1"/>
  <c r="F1330" i="1" l="1"/>
  <c r="I1330" i="1" s="1"/>
  <c r="E1331" i="1" s="1"/>
  <c r="G1331" i="1" l="1"/>
  <c r="H1331" i="1"/>
  <c r="F1331" i="1" l="1"/>
  <c r="I1331" i="1" s="1"/>
  <c r="E1332" i="1" s="1"/>
  <c r="H1332" i="1" l="1"/>
  <c r="G1332" i="1"/>
  <c r="F1332" i="1" l="1"/>
  <c r="I1332" i="1" s="1"/>
  <c r="E1333" i="1" s="1"/>
  <c r="H1333" i="1" l="1"/>
  <c r="G1333" i="1"/>
  <c r="F1333" i="1" l="1"/>
  <c r="I1333" i="1" s="1"/>
  <c r="E1334" i="1" s="1"/>
  <c r="H1334" i="1" l="1"/>
  <c r="G1334" i="1"/>
  <c r="F1334" i="1" l="1"/>
  <c r="I1334" i="1" s="1"/>
  <c r="E1335" i="1" s="1"/>
  <c r="G1335" i="1" l="1"/>
  <c r="H1335" i="1"/>
  <c r="F1335" i="1" l="1"/>
  <c r="I1335" i="1" s="1"/>
  <c r="E1336" i="1" s="1"/>
  <c r="H1336" i="1" l="1"/>
  <c r="G1336" i="1"/>
  <c r="F1336" i="1" l="1"/>
  <c r="I1336" i="1" l="1"/>
  <c r="E1337" i="1" s="1"/>
  <c r="G1337" i="1" l="1"/>
  <c r="H1337" i="1"/>
  <c r="F1337" i="1" l="1"/>
  <c r="I1337" i="1" s="1"/>
  <c r="E1338" i="1" s="1"/>
  <c r="H1338" i="1" l="1"/>
  <c r="G1338" i="1"/>
  <c r="F1338" i="1" l="1"/>
  <c r="I1338" i="1" s="1"/>
  <c r="E1339" i="1" s="1"/>
  <c r="H1339" i="1" l="1"/>
  <c r="G1339" i="1"/>
  <c r="F1339" i="1" l="1"/>
  <c r="I1339" i="1" l="1"/>
  <c r="E1340" i="1" s="1"/>
  <c r="H1340" i="1" l="1"/>
  <c r="F1340" i="1" s="1"/>
  <c r="G1340" i="1"/>
  <c r="I1340" i="1" l="1"/>
  <c r="E1341" i="1" s="1"/>
  <c r="G1341" i="1" l="1"/>
  <c r="H1341" i="1"/>
  <c r="F1341" i="1" l="1"/>
  <c r="I1341" i="1" s="1"/>
  <c r="E1342" i="1" s="1"/>
  <c r="G1342" i="1" l="1"/>
  <c r="H1342" i="1"/>
  <c r="F1342" i="1" l="1"/>
  <c r="I1342" i="1" s="1"/>
  <c r="E1343" i="1" s="1"/>
  <c r="G1343" i="1" l="1"/>
  <c r="H1343" i="1"/>
  <c r="F1343" i="1" l="1"/>
  <c r="I1343" i="1" s="1"/>
  <c r="E1344" i="1" s="1"/>
  <c r="H1344" i="1" l="1"/>
  <c r="G1344" i="1"/>
  <c r="F1344" i="1" l="1"/>
  <c r="I1344" i="1" l="1"/>
  <c r="E1345" i="1" s="1"/>
  <c r="H1345" i="1" l="1"/>
  <c r="G1345" i="1"/>
  <c r="F1345" i="1"/>
  <c r="I1345" i="1" l="1"/>
  <c r="E1346" i="1" s="1"/>
  <c r="H1346" i="1" l="1"/>
  <c r="G1346" i="1"/>
  <c r="F1346" i="1" l="1"/>
  <c r="I1346" i="1" s="1"/>
  <c r="E1347" i="1" s="1"/>
  <c r="H1347" i="1" l="1"/>
  <c r="G1347" i="1"/>
  <c r="F1347" i="1" l="1"/>
  <c r="I1347" i="1" s="1"/>
  <c r="E1348" i="1" s="1"/>
  <c r="H1348" i="1" l="1"/>
  <c r="G1348" i="1"/>
  <c r="F1348" i="1" l="1"/>
  <c r="I1348" i="1" s="1"/>
  <c r="E1349" i="1" s="1"/>
  <c r="H1349" i="1" l="1"/>
  <c r="G1349" i="1"/>
  <c r="F1349" i="1" l="1"/>
  <c r="I1349" i="1" s="1"/>
  <c r="E1350" i="1" s="1"/>
  <c r="H1350" i="1" l="1"/>
  <c r="G1350" i="1"/>
  <c r="F1350" i="1" l="1"/>
  <c r="I1350" i="1" s="1"/>
  <c r="E1351" i="1" s="1"/>
  <c r="G1351" i="1" l="1"/>
  <c r="H1351" i="1"/>
  <c r="F1351" i="1" l="1"/>
  <c r="I1351" i="1" s="1"/>
  <c r="E1352" i="1" s="1"/>
  <c r="H1352" i="1" l="1"/>
  <c r="G1352" i="1"/>
  <c r="F1352" i="1" l="1"/>
  <c r="I1352" i="1" s="1"/>
  <c r="E1353" i="1" s="1"/>
  <c r="H1353" i="1" l="1"/>
  <c r="G1353" i="1"/>
  <c r="F1353" i="1" l="1"/>
  <c r="I1353" i="1" s="1"/>
  <c r="E1354" i="1" s="1"/>
  <c r="G1354" i="1" l="1"/>
  <c r="H1354" i="1"/>
  <c r="F1354" i="1" l="1"/>
  <c r="I1354" i="1" s="1"/>
  <c r="E1355" i="1" s="1"/>
  <c r="G1355" i="1" l="1"/>
  <c r="H1355" i="1"/>
  <c r="F1355" i="1" l="1"/>
  <c r="I1355" i="1" s="1"/>
  <c r="E1356" i="1" s="1"/>
  <c r="G1356" i="1" l="1"/>
  <c r="H1356" i="1"/>
  <c r="F1356" i="1" l="1"/>
  <c r="I1356" i="1" s="1"/>
  <c r="E1357" i="1" s="1"/>
  <c r="H1357" i="1" l="1"/>
  <c r="G1357" i="1"/>
  <c r="F1357" i="1" l="1"/>
  <c r="I1357" i="1" s="1"/>
  <c r="E1358" i="1" s="1"/>
  <c r="G1358" i="1" l="1"/>
  <c r="H1358" i="1"/>
  <c r="F1358" i="1" l="1"/>
  <c r="I1358" i="1" s="1"/>
  <c r="E1359" i="1" s="1"/>
  <c r="H1359" i="1" l="1"/>
  <c r="G1359" i="1"/>
  <c r="F1359" i="1" l="1"/>
  <c r="I1359" i="1" s="1"/>
  <c r="E1360" i="1" s="1"/>
  <c r="G1360" i="1" l="1"/>
  <c r="H1360" i="1"/>
  <c r="F1360" i="1" l="1"/>
  <c r="I1360" i="1" s="1"/>
  <c r="E1361" i="1" s="1"/>
  <c r="H1361" i="1" l="1"/>
  <c r="G1361" i="1"/>
  <c r="F1361" i="1" l="1"/>
  <c r="I1361" i="1" l="1"/>
  <c r="E1362" i="1" s="1"/>
  <c r="G1362" i="1" l="1"/>
  <c r="H1362" i="1"/>
  <c r="F1362" i="1" l="1"/>
  <c r="I1362" i="1" s="1"/>
  <c r="E1363" i="1" s="1"/>
  <c r="G1363" i="1" l="1"/>
  <c r="H1363" i="1"/>
  <c r="F1363" i="1" l="1"/>
  <c r="I1363" i="1" s="1"/>
  <c r="E1364" i="1" s="1"/>
  <c r="G1364" i="1" l="1"/>
  <c r="H1364" i="1"/>
  <c r="F1364" i="1" l="1"/>
  <c r="I1364" i="1" s="1"/>
  <c r="E1365" i="1" s="1"/>
  <c r="H1365" i="1" l="1"/>
  <c r="G1365" i="1"/>
  <c r="F1365" i="1" l="1"/>
  <c r="I1365" i="1" s="1"/>
  <c r="E1366" i="1" s="1"/>
  <c r="H1366" i="1" l="1"/>
  <c r="G1366" i="1"/>
  <c r="F1366" i="1" l="1"/>
  <c r="I1366" i="1" s="1"/>
  <c r="E1367" i="1" s="1"/>
  <c r="H1367" i="1" l="1"/>
  <c r="G1367" i="1"/>
  <c r="F1367" i="1" l="1"/>
  <c r="I1367" i="1" s="1"/>
  <c r="E1368" i="1" s="1"/>
  <c r="G1368" i="1" l="1"/>
  <c r="H1368" i="1"/>
  <c r="F1368" i="1" l="1"/>
  <c r="I1368" i="1" s="1"/>
  <c r="E1369" i="1" s="1"/>
  <c r="H1369" i="1" l="1"/>
  <c r="G1369" i="1"/>
  <c r="F1369" i="1" l="1"/>
  <c r="I1369" i="1" s="1"/>
  <c r="E1370" i="1" s="1"/>
  <c r="H1370" i="1" l="1"/>
  <c r="G1370" i="1"/>
  <c r="F1370" i="1" l="1"/>
  <c r="I1370" i="1" s="1"/>
  <c r="E1371" i="1" s="1"/>
  <c r="H1371" i="1" l="1"/>
  <c r="G1371" i="1"/>
  <c r="F1371" i="1" l="1"/>
  <c r="I1371" i="1" l="1"/>
  <c r="E1372" i="1" s="1"/>
  <c r="H1372" i="1" l="1"/>
  <c r="G1372" i="1"/>
  <c r="F1372" i="1"/>
  <c r="I1372" i="1" l="1"/>
  <c r="E1373" i="1" s="1"/>
  <c r="H1373" i="1" l="1"/>
  <c r="G1373" i="1"/>
  <c r="F1373" i="1" l="1"/>
  <c r="I1373" i="1" s="1"/>
  <c r="E1374" i="1" s="1"/>
  <c r="H1374" i="1" l="1"/>
  <c r="G1374" i="1"/>
  <c r="F1374" i="1" l="1"/>
  <c r="I1374" i="1" s="1"/>
  <c r="E1375" i="1" s="1"/>
  <c r="G1375" i="1" l="1"/>
  <c r="H1375" i="1"/>
  <c r="F1375" i="1" l="1"/>
  <c r="I1375" i="1" s="1"/>
  <c r="E1376" i="1" s="1"/>
  <c r="H1376" i="1" l="1"/>
  <c r="G1376" i="1"/>
  <c r="F1376" i="1" l="1"/>
  <c r="I1376" i="1" s="1"/>
  <c r="E1377" i="1" s="1"/>
  <c r="G1377" i="1" l="1"/>
  <c r="H1377" i="1"/>
  <c r="F1377" i="1" l="1"/>
  <c r="I1377" i="1" l="1"/>
  <c r="E1378" i="1" s="1"/>
  <c r="G1378" i="1" l="1"/>
  <c r="H1378" i="1"/>
  <c r="F1378" i="1" l="1"/>
  <c r="I1378" i="1" s="1"/>
  <c r="E1379" i="1" s="1"/>
  <c r="H1379" i="1" l="1"/>
  <c r="G1379" i="1"/>
  <c r="F1379" i="1" l="1"/>
  <c r="I1379" i="1" s="1"/>
  <c r="E1380" i="1" s="1"/>
  <c r="H1380" i="1" l="1"/>
  <c r="G1380" i="1"/>
  <c r="F1380" i="1" l="1"/>
  <c r="I1380" i="1" s="1"/>
  <c r="E1381" i="1" s="1"/>
  <c r="G1381" i="1" l="1"/>
  <c r="H1381" i="1"/>
  <c r="F1381" i="1" l="1"/>
  <c r="I1381" i="1" s="1"/>
  <c r="E1382" i="1" s="1"/>
  <c r="H1382" i="1" l="1"/>
  <c r="G1382" i="1"/>
  <c r="F1382" i="1" l="1"/>
  <c r="I1382" i="1" s="1"/>
  <c r="E1383" i="1" s="1"/>
  <c r="H1383" i="1" l="1"/>
  <c r="G1383" i="1"/>
  <c r="F1383" i="1" l="1"/>
  <c r="I1383" i="1" s="1"/>
  <c r="E1384" i="1" s="1"/>
  <c r="H1384" i="1" l="1"/>
  <c r="G1384" i="1"/>
  <c r="F1384" i="1" l="1"/>
  <c r="I1384" i="1" s="1"/>
  <c r="E1385" i="1" s="1"/>
  <c r="G1385" i="1" l="1"/>
  <c r="H1385" i="1"/>
  <c r="F1385" i="1" l="1"/>
  <c r="I1385" i="1" l="1"/>
  <c r="E1386" i="1" s="1"/>
  <c r="H1386" i="1" l="1"/>
  <c r="F1386" i="1" s="1"/>
  <c r="G1386" i="1"/>
  <c r="I1386" i="1" l="1"/>
  <c r="E1387" i="1" s="1"/>
  <c r="H1387" i="1" l="1"/>
  <c r="G1387" i="1"/>
  <c r="F1387" i="1" l="1"/>
  <c r="I1387" i="1" s="1"/>
  <c r="E1388" i="1" s="1"/>
  <c r="G1388" i="1" l="1"/>
  <c r="H1388" i="1"/>
  <c r="F1388" i="1" l="1"/>
  <c r="I1388" i="1" l="1"/>
  <c r="E1389" i="1" s="1"/>
  <c r="G1389" i="1" l="1"/>
  <c r="H1389" i="1"/>
  <c r="F1389" i="1" l="1"/>
  <c r="I1389" i="1" s="1"/>
  <c r="E1390" i="1" s="1"/>
  <c r="H1390" i="1" l="1"/>
  <c r="G1390" i="1"/>
  <c r="F1390" i="1" l="1"/>
  <c r="I1390" i="1" s="1"/>
  <c r="E1391" i="1" s="1"/>
  <c r="H1391" i="1" l="1"/>
  <c r="G1391" i="1"/>
  <c r="F1391" i="1" l="1"/>
  <c r="I1391" i="1" l="1"/>
  <c r="E1392" i="1" s="1"/>
  <c r="H1392" i="1" l="1"/>
  <c r="F1392" i="1" s="1"/>
  <c r="G1392" i="1"/>
  <c r="I1392" i="1" l="1"/>
  <c r="E1393" i="1" s="1"/>
  <c r="G1393" i="1" l="1"/>
  <c r="H1393" i="1"/>
  <c r="F1393" i="1" l="1"/>
  <c r="I1393" i="1" s="1"/>
  <c r="E1394" i="1" s="1"/>
  <c r="H1394" i="1" l="1"/>
  <c r="G1394" i="1"/>
  <c r="F1394" i="1" l="1"/>
  <c r="I1394" i="1" s="1"/>
  <c r="E1395" i="1" s="1"/>
  <c r="H1395" i="1" l="1"/>
  <c r="G1395" i="1"/>
  <c r="F1395" i="1" l="1"/>
  <c r="I1395" i="1" s="1"/>
  <c r="E1396" i="1" s="1"/>
  <c r="G1396" i="1" l="1"/>
  <c r="H1396" i="1"/>
  <c r="F1396" i="1" l="1"/>
  <c r="I1396" i="1" s="1"/>
  <c r="E1397" i="1" s="1"/>
  <c r="G1397" i="1" l="1"/>
  <c r="H1397" i="1"/>
  <c r="F1397" i="1" l="1"/>
  <c r="I1397" i="1" s="1"/>
  <c r="E1398" i="1" s="1"/>
  <c r="G1398" i="1" l="1"/>
  <c r="H1398" i="1"/>
  <c r="F1398" i="1" l="1"/>
  <c r="I1398" i="1" s="1"/>
  <c r="E1399" i="1" s="1"/>
  <c r="H1399" i="1" l="1"/>
  <c r="G1399" i="1"/>
  <c r="F1399" i="1" l="1"/>
  <c r="I1399" i="1" s="1"/>
  <c r="E1400" i="1" s="1"/>
  <c r="G1400" i="1" l="1"/>
  <c r="H1400" i="1"/>
  <c r="F1400" i="1" l="1"/>
  <c r="I1400" i="1" s="1"/>
  <c r="E1401" i="1" s="1"/>
  <c r="H1401" i="1" l="1"/>
  <c r="G1401" i="1"/>
  <c r="F1401" i="1" l="1"/>
  <c r="I1401" i="1" s="1"/>
  <c r="E1402" i="1" s="1"/>
  <c r="H1402" i="1" l="1"/>
  <c r="G1402" i="1"/>
  <c r="F1402" i="1" l="1"/>
  <c r="I1402" i="1" s="1"/>
  <c r="E1403" i="1" s="1"/>
  <c r="H1403" i="1" l="1"/>
  <c r="G1403" i="1"/>
  <c r="F1403" i="1" l="1"/>
  <c r="I1403" i="1" s="1"/>
  <c r="E1404" i="1" s="1"/>
  <c r="H1404" i="1" l="1"/>
  <c r="G1404" i="1"/>
  <c r="F1404" i="1" l="1"/>
  <c r="I1404" i="1" s="1"/>
  <c r="E1405" i="1" s="1"/>
  <c r="G1405" i="1" l="1"/>
  <c r="H1405" i="1"/>
  <c r="F1405" i="1" l="1"/>
  <c r="I1405" i="1" l="1"/>
  <c r="E1406" i="1" s="1"/>
  <c r="H1406" i="1" l="1"/>
  <c r="G1406" i="1"/>
  <c r="F1406" i="1"/>
  <c r="I1406" i="1" l="1"/>
  <c r="E1407" i="1" s="1"/>
  <c r="H1407" i="1" l="1"/>
  <c r="G1407" i="1"/>
  <c r="F1407" i="1"/>
  <c r="I1407" i="1" l="1"/>
  <c r="E1408" i="1" s="1"/>
  <c r="G1408" i="1" l="1"/>
  <c r="H1408" i="1"/>
  <c r="F1408" i="1" l="1"/>
  <c r="I1408" i="1" s="1"/>
  <c r="E1409" i="1" s="1"/>
  <c r="G1409" i="1" l="1"/>
  <c r="H1409" i="1"/>
  <c r="F1409" i="1" l="1"/>
  <c r="I1409" i="1" s="1"/>
  <c r="E1410" i="1" s="1"/>
  <c r="G1410" i="1" l="1"/>
  <c r="H1410" i="1"/>
  <c r="F1410" i="1" l="1"/>
  <c r="I1410" i="1" s="1"/>
  <c r="E1411" i="1" s="1"/>
  <c r="G1411" i="1" l="1"/>
  <c r="H1411" i="1"/>
  <c r="F1411" i="1" l="1"/>
  <c r="I1411" i="1" s="1"/>
  <c r="E1412" i="1" s="1"/>
  <c r="G1412" i="1" l="1"/>
  <c r="H1412" i="1"/>
  <c r="F1412" i="1" l="1"/>
  <c r="I1412" i="1" s="1"/>
  <c r="E1413" i="1" s="1"/>
  <c r="H1413" i="1" l="1"/>
  <c r="G1413" i="1"/>
  <c r="F1413" i="1" l="1"/>
  <c r="I1413" i="1" s="1"/>
  <c r="E1414" i="1" s="1"/>
  <c r="G1414" i="1" l="1"/>
  <c r="H1414" i="1"/>
  <c r="F1414" i="1" l="1"/>
  <c r="I1414" i="1" s="1"/>
  <c r="E1415" i="1" s="1"/>
  <c r="G1415" i="1" l="1"/>
  <c r="H1415" i="1"/>
  <c r="F1415" i="1" l="1"/>
  <c r="I1415" i="1" s="1"/>
  <c r="E1416" i="1" s="1"/>
  <c r="G1416" i="1" l="1"/>
  <c r="H1416" i="1"/>
  <c r="F1416" i="1" l="1"/>
  <c r="I1416" i="1" s="1"/>
  <c r="E1417" i="1" s="1"/>
  <c r="G1417" i="1" l="1"/>
  <c r="H1417" i="1"/>
  <c r="F1417" i="1" l="1"/>
  <c r="I1417" i="1" s="1"/>
  <c r="E1418" i="1" s="1"/>
  <c r="G1418" i="1" l="1"/>
  <c r="H1418" i="1"/>
  <c r="F1418" i="1" l="1"/>
  <c r="I1418" i="1" s="1"/>
  <c r="E1419" i="1" s="1"/>
  <c r="G1419" i="1" l="1"/>
  <c r="H1419" i="1"/>
  <c r="F1419" i="1" l="1"/>
  <c r="I1419" i="1" s="1"/>
  <c r="E1420" i="1" s="1"/>
  <c r="H1420" i="1" l="1"/>
  <c r="G1420" i="1"/>
  <c r="F1420" i="1" l="1"/>
  <c r="I1420" i="1" s="1"/>
  <c r="E1421" i="1" s="1"/>
  <c r="G1421" i="1" l="1"/>
  <c r="H1421" i="1"/>
  <c r="F1421" i="1" l="1"/>
  <c r="I1421" i="1" s="1"/>
  <c r="E1422" i="1" s="1"/>
  <c r="H1422" i="1" l="1"/>
  <c r="G1422" i="1"/>
  <c r="F1422" i="1" l="1"/>
  <c r="I1422" i="1" s="1"/>
  <c r="E1423" i="1" s="1"/>
  <c r="H1423" i="1" l="1"/>
  <c r="G1423" i="1"/>
  <c r="F1423" i="1" l="1"/>
  <c r="I1423" i="1" s="1"/>
  <c r="E1424" i="1" s="1"/>
  <c r="G1424" i="1" l="1"/>
  <c r="H1424" i="1"/>
  <c r="F1424" i="1" l="1"/>
  <c r="I1424" i="1" s="1"/>
  <c r="E1425" i="1" s="1"/>
  <c r="H1425" i="1" l="1"/>
  <c r="G1425" i="1"/>
  <c r="F1425" i="1" l="1"/>
  <c r="I1425" i="1" s="1"/>
  <c r="E1426" i="1" s="1"/>
  <c r="H1426" i="1" l="1"/>
  <c r="G1426" i="1"/>
  <c r="F1426" i="1" l="1"/>
  <c r="I1426" i="1" s="1"/>
  <c r="E1427" i="1" s="1"/>
  <c r="G1427" i="1" l="1"/>
  <c r="H1427" i="1"/>
  <c r="F1427" i="1" l="1"/>
  <c r="I1427" i="1" s="1"/>
  <c r="E1428" i="1" s="1"/>
  <c r="H1428" i="1" l="1"/>
  <c r="G1428" i="1"/>
  <c r="F1428" i="1" l="1"/>
  <c r="I1428" i="1" s="1"/>
  <c r="E1429" i="1" s="1"/>
  <c r="G1429" i="1" l="1"/>
  <c r="H1429" i="1"/>
  <c r="F1429" i="1" l="1"/>
  <c r="I1429" i="1" l="1"/>
  <c r="E1430" i="1" s="1"/>
  <c r="H1430" i="1" l="1"/>
  <c r="G1430" i="1"/>
  <c r="F1430" i="1"/>
  <c r="I1430" i="1" l="1"/>
  <c r="E1431" i="1" s="1"/>
  <c r="H1431" i="1" l="1"/>
  <c r="G1431" i="1"/>
  <c r="F1431" i="1" l="1"/>
  <c r="I1431" i="1" s="1"/>
  <c r="E1432" i="1" s="1"/>
  <c r="G1432" i="1" l="1"/>
  <c r="H1432" i="1"/>
  <c r="F1432" i="1" l="1"/>
  <c r="I1432" i="1" s="1"/>
  <c r="E1433" i="1" s="1"/>
  <c r="H1433" i="1" l="1"/>
  <c r="G1433" i="1"/>
  <c r="F1433" i="1" l="1"/>
  <c r="I1433" i="1" s="1"/>
  <c r="E1434" i="1" s="1"/>
  <c r="H1434" i="1" l="1"/>
  <c r="G1434" i="1"/>
  <c r="F1434" i="1" l="1"/>
  <c r="I1434" i="1" s="1"/>
  <c r="E1435" i="1" s="1"/>
  <c r="H1435" i="1" l="1"/>
  <c r="G1435" i="1"/>
  <c r="F1435" i="1" l="1"/>
  <c r="I1435" i="1" s="1"/>
  <c r="E1436" i="1" s="1"/>
  <c r="H1436" i="1" l="1"/>
  <c r="G1436" i="1"/>
  <c r="F1436" i="1" l="1"/>
  <c r="I1436" i="1" s="1"/>
  <c r="E1437" i="1" s="1"/>
  <c r="G1437" i="1" l="1"/>
  <c r="H1437" i="1"/>
  <c r="F1437" i="1" l="1"/>
  <c r="I1437" i="1" s="1"/>
  <c r="E1438" i="1" s="1"/>
  <c r="G1438" i="1" l="1"/>
  <c r="H1438" i="1"/>
  <c r="F1438" i="1" l="1"/>
  <c r="I1438" i="1" l="1"/>
  <c r="E1439" i="1" s="1"/>
  <c r="H1439" i="1" l="1"/>
  <c r="G1439" i="1"/>
  <c r="F1439" i="1"/>
  <c r="I1439" i="1" l="1"/>
  <c r="E1440" i="1" s="1"/>
  <c r="H1440" i="1" l="1"/>
  <c r="G1440" i="1"/>
  <c r="F1440" i="1" l="1"/>
  <c r="I1440" i="1" s="1"/>
  <c r="E1441" i="1" s="1"/>
  <c r="G1441" i="1" l="1"/>
  <c r="H1441" i="1"/>
  <c r="F1441" i="1" l="1"/>
  <c r="I1441" i="1" l="1"/>
  <c r="E1442" i="1" s="1"/>
  <c r="H1442" i="1" l="1"/>
  <c r="G1442" i="1"/>
  <c r="F1442" i="1"/>
  <c r="I1442" i="1" l="1"/>
  <c r="E1443" i="1" s="1"/>
  <c r="G1443" i="1" l="1"/>
  <c r="H1443" i="1"/>
  <c r="F1443" i="1" l="1"/>
  <c r="I1443" i="1" s="1"/>
  <c r="E1444" i="1" s="1"/>
  <c r="H1444" i="1" l="1"/>
  <c r="G1444" i="1"/>
  <c r="F1444" i="1" l="1"/>
  <c r="I1444" i="1" s="1"/>
  <c r="E1445" i="1" s="1"/>
  <c r="H1445" i="1" l="1"/>
  <c r="G1445" i="1"/>
  <c r="F1445" i="1" l="1"/>
  <c r="I1445" i="1" s="1"/>
  <c r="E1446" i="1" s="1"/>
  <c r="G1446" i="1" l="1"/>
  <c r="H1446" i="1"/>
  <c r="F1446" i="1" l="1"/>
  <c r="I1446" i="1" s="1"/>
  <c r="E1447" i="1" s="1"/>
  <c r="G1447" i="1" l="1"/>
  <c r="H1447" i="1"/>
  <c r="F1447" i="1" l="1"/>
  <c r="I1447" i="1" s="1"/>
  <c r="E1448" i="1" s="1"/>
  <c r="H1448" i="1" l="1"/>
  <c r="G1448" i="1"/>
  <c r="F1448" i="1" l="1"/>
  <c r="I1448" i="1" s="1"/>
  <c r="E1449" i="1" s="1"/>
  <c r="H1449" i="1" l="1"/>
  <c r="G1449" i="1"/>
  <c r="F1449" i="1" l="1"/>
  <c r="I1449" i="1" s="1"/>
  <c r="E1450" i="1" s="1"/>
  <c r="G1450" i="1" l="1"/>
  <c r="H1450" i="1"/>
  <c r="F1450" i="1" l="1"/>
  <c r="I1450" i="1" s="1"/>
  <c r="E1451" i="1" s="1"/>
  <c r="H1451" i="1" l="1"/>
  <c r="G1451" i="1"/>
  <c r="F1451" i="1" l="1"/>
  <c r="I1451" i="1" s="1"/>
  <c r="E1452" i="1" s="1"/>
  <c r="H1452" i="1" l="1"/>
  <c r="G1452" i="1"/>
  <c r="F1452" i="1" l="1"/>
  <c r="I1452" i="1" s="1"/>
  <c r="E1453" i="1" s="1"/>
  <c r="G1453" i="1" l="1"/>
  <c r="H1453" i="1"/>
  <c r="F1453" i="1" l="1"/>
  <c r="I1453" i="1" s="1"/>
  <c r="E1454" i="1" s="1"/>
  <c r="G1454" i="1" l="1"/>
  <c r="H1454" i="1"/>
  <c r="F1454" i="1" l="1"/>
  <c r="I1454" i="1" s="1"/>
  <c r="E1455" i="1" s="1"/>
  <c r="H1455" i="1" l="1"/>
  <c r="G1455" i="1"/>
  <c r="F1455" i="1" l="1"/>
  <c r="I1455" i="1" s="1"/>
  <c r="E1456" i="1" s="1"/>
  <c r="H1456" i="1" l="1"/>
  <c r="G1456" i="1"/>
  <c r="F1456" i="1" l="1"/>
  <c r="I1456" i="1" s="1"/>
  <c r="E1457" i="1" s="1"/>
  <c r="G1457" i="1" l="1"/>
  <c r="H1457" i="1"/>
  <c r="F1457" i="1" l="1"/>
  <c r="I1457" i="1" s="1"/>
  <c r="E1458" i="1" s="1"/>
  <c r="H1458" i="1" l="1"/>
  <c r="G1458" i="1"/>
  <c r="F1458" i="1" l="1"/>
  <c r="I1458" i="1" s="1"/>
  <c r="E1459" i="1" s="1"/>
  <c r="G1459" i="1" l="1"/>
  <c r="H1459" i="1"/>
  <c r="F1459" i="1" l="1"/>
  <c r="I1459" i="1" s="1"/>
  <c r="E1460" i="1" s="1"/>
  <c r="H1460" i="1" l="1"/>
  <c r="E8" i="2"/>
  <c r="G1460" i="1"/>
  <c r="G8" i="2"/>
  <c r="F8" i="2"/>
  <c r="N8" i="2" l="1"/>
  <c r="O8" i="2" s="1"/>
  <c r="L8" i="2" s="1"/>
  <c r="M8" i="2" s="1"/>
  <c r="H8" i="2"/>
  <c r="I8" i="2" s="1"/>
  <c r="S8" i="2"/>
  <c r="T8" i="2" s="1"/>
  <c r="J8" i="2"/>
  <c r="K8" i="2" s="1"/>
  <c r="F1460" i="1"/>
  <c r="I1460" i="1" s="1"/>
  <c r="E1461" i="1" s="1"/>
  <c r="U8" i="2" l="1"/>
  <c r="P8" i="2" s="1"/>
  <c r="Q8" i="2" s="1"/>
  <c r="H1461" i="1"/>
  <c r="G1461" i="1"/>
  <c r="F1461" i="1" l="1"/>
  <c r="I1461" i="1" s="1"/>
  <c r="E1462" i="1" s="1"/>
  <c r="H1462" i="1" l="1"/>
  <c r="G1462" i="1"/>
  <c r="F1462" i="1" l="1"/>
  <c r="I1462" i="1" s="1"/>
  <c r="E1463" i="1" s="1"/>
  <c r="H1463" i="1" l="1"/>
  <c r="G1463" i="1"/>
  <c r="F1463" i="1" l="1"/>
  <c r="I1463" i="1" s="1"/>
  <c r="E1464" i="1" s="1"/>
  <c r="H1464" i="1" l="1"/>
  <c r="G1464" i="1"/>
  <c r="F1464" i="1" l="1"/>
  <c r="I1464" i="1" s="1"/>
  <c r="E1465" i="1" s="1"/>
  <c r="H1465" i="1" l="1"/>
  <c r="G1465" i="1"/>
  <c r="F1465" i="1" l="1"/>
  <c r="I1465" i="1" s="1"/>
  <c r="E1466" i="1" s="1"/>
  <c r="G1466" i="1" l="1"/>
  <c r="H1466" i="1"/>
  <c r="F1466" i="1" l="1"/>
  <c r="I1466" i="1" l="1"/>
  <c r="E1467" i="1" s="1"/>
  <c r="H1467" i="1" l="1"/>
  <c r="G1467" i="1"/>
  <c r="F1467" i="1"/>
  <c r="I1467" i="1" l="1"/>
  <c r="E1468" i="1" s="1"/>
  <c r="G1468" i="1" l="1"/>
  <c r="H1468" i="1"/>
  <c r="F1468" i="1" l="1"/>
  <c r="I1468" i="1" s="1"/>
  <c r="E1469" i="1" s="1"/>
  <c r="H1469" i="1" l="1"/>
  <c r="G1469" i="1"/>
  <c r="F1469" i="1" l="1"/>
  <c r="I1469" i="1" s="1"/>
  <c r="E1470" i="1" s="1"/>
  <c r="H1470" i="1" l="1"/>
  <c r="G1470" i="1"/>
  <c r="F1470" i="1" l="1"/>
  <c r="I1470" i="1" l="1"/>
  <c r="E1471" i="1" s="1"/>
  <c r="H1471" i="1" l="1"/>
  <c r="G1471" i="1"/>
  <c r="F1471" i="1"/>
  <c r="I1471" i="1" l="1"/>
  <c r="E1472" i="1" s="1"/>
  <c r="H1472" i="1" l="1"/>
  <c r="G1472" i="1"/>
  <c r="F1472" i="1" l="1"/>
  <c r="I1472" i="1" s="1"/>
  <c r="E1473" i="1" s="1"/>
  <c r="H1473" i="1" l="1"/>
  <c r="G1473" i="1"/>
  <c r="F1473" i="1" l="1"/>
  <c r="I1473" i="1" s="1"/>
  <c r="E1474" i="1" s="1"/>
  <c r="H1474" i="1" l="1"/>
  <c r="G1474" i="1"/>
  <c r="F1474" i="1" l="1"/>
  <c r="I1474" i="1" s="1"/>
  <c r="E1475" i="1" s="1"/>
  <c r="G1475" i="1" l="1"/>
  <c r="H1475" i="1"/>
  <c r="F1475" i="1" l="1"/>
  <c r="I1475" i="1" s="1"/>
  <c r="E1476" i="1" s="1"/>
  <c r="H1476" i="1" l="1"/>
  <c r="G1476" i="1"/>
  <c r="F1476" i="1" l="1"/>
  <c r="I1476" i="1" s="1"/>
  <c r="E1477" i="1" s="1"/>
  <c r="G1477" i="1" l="1"/>
  <c r="H1477" i="1"/>
  <c r="F1477" i="1" l="1"/>
  <c r="I1477" i="1" s="1"/>
  <c r="E1478" i="1" s="1"/>
  <c r="H1478" i="1" l="1"/>
  <c r="G1478" i="1"/>
  <c r="F1478" i="1" l="1"/>
  <c r="I1478" i="1" s="1"/>
  <c r="E1479" i="1" s="1"/>
  <c r="H1479" i="1" l="1"/>
  <c r="G1479" i="1"/>
  <c r="F1479" i="1" l="1"/>
  <c r="I1479" i="1" s="1"/>
  <c r="E1480" i="1" s="1"/>
  <c r="H1480" i="1" l="1"/>
  <c r="G1480" i="1"/>
  <c r="F1480" i="1" l="1"/>
  <c r="I1480" i="1" s="1"/>
  <c r="E1481" i="1" s="1"/>
  <c r="H1481" i="1" l="1"/>
  <c r="G1481" i="1"/>
  <c r="F1481" i="1" l="1"/>
  <c r="I1481" i="1" s="1"/>
  <c r="E1482" i="1" s="1"/>
  <c r="H1482" i="1" l="1"/>
  <c r="G1482" i="1"/>
  <c r="F1482" i="1" l="1"/>
  <c r="I1482" i="1" l="1"/>
  <c r="E1483" i="1" s="1"/>
  <c r="H1483" i="1" l="1"/>
  <c r="G1483" i="1"/>
  <c r="F1483" i="1"/>
  <c r="I1483" i="1" l="1"/>
  <c r="E1484" i="1" s="1"/>
  <c r="H1484" i="1" l="1"/>
  <c r="G1484" i="1"/>
  <c r="F1484" i="1" l="1"/>
  <c r="I1484" i="1" s="1"/>
  <c r="E1485" i="1" s="1"/>
  <c r="H1485" i="1" l="1"/>
  <c r="G1485" i="1"/>
  <c r="F1485" i="1" l="1"/>
  <c r="I1485" i="1" s="1"/>
  <c r="E1486" i="1" s="1"/>
  <c r="H1486" i="1" l="1"/>
  <c r="G1486" i="1"/>
  <c r="F1486" i="1" l="1"/>
  <c r="I1486" i="1" s="1"/>
  <c r="E1487" i="1" s="1"/>
  <c r="H1487" i="1" l="1"/>
  <c r="G1487" i="1"/>
  <c r="F1487" i="1" l="1"/>
  <c r="I1487" i="1" s="1"/>
  <c r="E1488" i="1" s="1"/>
  <c r="H1488" i="1" l="1"/>
  <c r="G1488" i="1"/>
  <c r="F1488" i="1" l="1"/>
  <c r="I1488" i="1" s="1"/>
  <c r="E1489" i="1" s="1"/>
  <c r="G1489" i="1" l="1"/>
  <c r="H1489" i="1"/>
  <c r="F1489" i="1" l="1"/>
  <c r="I1489" i="1" s="1"/>
  <c r="E1490" i="1" s="1"/>
  <c r="G1490" i="1" l="1"/>
  <c r="H1490" i="1"/>
  <c r="F1490" i="1" l="1"/>
  <c r="I1490" i="1" s="1"/>
  <c r="E1491" i="1" s="1"/>
  <c r="H1491" i="1" l="1"/>
  <c r="G1491" i="1"/>
  <c r="F1491" i="1" l="1"/>
  <c r="I1491" i="1" s="1"/>
  <c r="E1492" i="1" s="1"/>
  <c r="G1492" i="1" l="1"/>
  <c r="H1492" i="1"/>
  <c r="F1492" i="1" l="1"/>
  <c r="I1492" i="1" s="1"/>
  <c r="E1493" i="1" s="1"/>
  <c r="H1493" i="1" l="1"/>
  <c r="G1493" i="1"/>
  <c r="F1493" i="1" l="1"/>
  <c r="I1493" i="1" s="1"/>
  <c r="E1494" i="1" s="1"/>
  <c r="H1494" i="1" l="1"/>
  <c r="G1494" i="1"/>
  <c r="F1494" i="1" l="1"/>
  <c r="I1494" i="1" s="1"/>
  <c r="E1495" i="1" s="1"/>
  <c r="G1495" i="1" l="1"/>
  <c r="H1495" i="1"/>
  <c r="F1495" i="1" l="1"/>
  <c r="I1495" i="1" s="1"/>
  <c r="E1496" i="1" s="1"/>
  <c r="H1496" i="1" l="1"/>
  <c r="G1496" i="1"/>
  <c r="F1496" i="1" l="1"/>
  <c r="I1496" i="1" s="1"/>
  <c r="E1497" i="1" s="1"/>
  <c r="H1497" i="1" l="1"/>
  <c r="G1497" i="1"/>
  <c r="F1497" i="1" l="1"/>
  <c r="I1497" i="1" s="1"/>
  <c r="E1498" i="1" s="1"/>
  <c r="G1498" i="1" l="1"/>
  <c r="H1498" i="1"/>
  <c r="F1498" i="1" l="1"/>
  <c r="I1498" i="1" s="1"/>
  <c r="E1499" i="1" s="1"/>
  <c r="G1499" i="1" l="1"/>
  <c r="H1499" i="1"/>
  <c r="F1499" i="1" l="1"/>
  <c r="I1499" i="1" s="1"/>
  <c r="E1500" i="1" s="1"/>
  <c r="H1500" i="1" l="1"/>
  <c r="G1500" i="1"/>
  <c r="F1500" i="1" l="1"/>
  <c r="I1500" i="1" l="1"/>
  <c r="E1501" i="1" s="1"/>
  <c r="H1501" i="1" l="1"/>
  <c r="G1501" i="1"/>
  <c r="F1501" i="1"/>
  <c r="I1501" i="1" l="1"/>
  <c r="E1502" i="1" s="1"/>
  <c r="G1502" i="1" l="1"/>
  <c r="H1502" i="1"/>
  <c r="F1502" i="1" l="1"/>
  <c r="I1502" i="1" s="1"/>
  <c r="E1503" i="1" s="1"/>
  <c r="H1503" i="1" l="1"/>
  <c r="G1503" i="1"/>
  <c r="F1503" i="1" l="1"/>
  <c r="I1503" i="1" s="1"/>
  <c r="E1504" i="1" s="1"/>
  <c r="G1504" i="1" l="1"/>
  <c r="H1504" i="1"/>
  <c r="F1504" i="1" l="1"/>
  <c r="I1504" i="1" s="1"/>
  <c r="E1505" i="1" s="1"/>
  <c r="H1505" i="1" l="1"/>
  <c r="G1505" i="1"/>
  <c r="F1505" i="1" l="1"/>
  <c r="I1505" i="1" s="1"/>
  <c r="E1506" i="1" s="1"/>
  <c r="H1506" i="1" l="1"/>
  <c r="G1506" i="1"/>
  <c r="F1506" i="1" l="1"/>
  <c r="I1506" i="1" s="1"/>
  <c r="E1507" i="1" s="1"/>
  <c r="H1507" i="1" l="1"/>
  <c r="G1507" i="1"/>
  <c r="F1507" i="1" l="1"/>
  <c r="I1507" i="1" s="1"/>
  <c r="E1508" i="1" s="1"/>
  <c r="G1508" i="1" l="1"/>
  <c r="H1508" i="1"/>
  <c r="F1508" i="1" l="1"/>
  <c r="I1508" i="1" s="1"/>
  <c r="E1509" i="1" s="1"/>
  <c r="H1509" i="1" l="1"/>
  <c r="G1509" i="1"/>
  <c r="F1509" i="1" l="1"/>
  <c r="I1509" i="1" s="1"/>
  <c r="E1510" i="1" s="1"/>
  <c r="H1510" i="1" l="1"/>
  <c r="G1510" i="1"/>
  <c r="F1510" i="1" l="1"/>
  <c r="I1510" i="1" l="1"/>
  <c r="E1511" i="1" s="1"/>
  <c r="H1511" i="1" l="1"/>
  <c r="F1511" i="1" s="1"/>
  <c r="G1511" i="1"/>
  <c r="I1511" i="1" l="1"/>
  <c r="E1512" i="1" s="1"/>
  <c r="H1512" i="1" l="1"/>
  <c r="G1512" i="1"/>
  <c r="F1512" i="1" l="1"/>
  <c r="I1512" i="1" s="1"/>
  <c r="E1513" i="1" s="1"/>
  <c r="H1513" i="1" l="1"/>
  <c r="G1513" i="1"/>
  <c r="F1513" i="1" l="1"/>
  <c r="I1513" i="1" s="1"/>
  <c r="E1514" i="1" s="1"/>
  <c r="H1514" i="1" l="1"/>
  <c r="G1514" i="1"/>
  <c r="F1514" i="1" l="1"/>
  <c r="I1514" i="1" s="1"/>
  <c r="E1515" i="1" s="1"/>
  <c r="H1515" i="1" l="1"/>
  <c r="G1515" i="1"/>
  <c r="F1515" i="1" l="1"/>
  <c r="I1515" i="1" s="1"/>
  <c r="E1516" i="1" s="1"/>
  <c r="H1516" i="1" l="1"/>
  <c r="G1516" i="1"/>
  <c r="F1516" i="1" l="1"/>
  <c r="I1516" i="1" s="1"/>
  <c r="E1517" i="1" s="1"/>
  <c r="H1517" i="1" l="1"/>
  <c r="G1517" i="1"/>
  <c r="F1517" i="1" l="1"/>
  <c r="I1517" i="1" l="1"/>
  <c r="E1518" i="1" s="1"/>
  <c r="G1518" i="1" l="1"/>
  <c r="H1518" i="1"/>
  <c r="F1518" i="1" l="1"/>
  <c r="I1518" i="1" s="1"/>
  <c r="E1519" i="1" s="1"/>
  <c r="H1519" i="1" l="1"/>
  <c r="G1519" i="1"/>
  <c r="F1519" i="1" l="1"/>
  <c r="I1519" i="1" s="1"/>
  <c r="E1520" i="1" s="1"/>
  <c r="H1520" i="1" l="1"/>
  <c r="G1520" i="1"/>
  <c r="F1520" i="1" l="1"/>
  <c r="I1520" i="1" s="1"/>
  <c r="E1521" i="1" s="1"/>
  <c r="G1521" i="1" l="1"/>
  <c r="H1521" i="1"/>
  <c r="F1521" i="1" l="1"/>
  <c r="I1521" i="1" s="1"/>
  <c r="E1522" i="1" s="1"/>
  <c r="H1522" i="1" l="1"/>
  <c r="G1522" i="1"/>
  <c r="F1522" i="1" l="1"/>
  <c r="I1522" i="1" s="1"/>
  <c r="E1523" i="1" s="1"/>
  <c r="H1523" i="1" l="1"/>
  <c r="G1523" i="1"/>
  <c r="F1523" i="1" l="1"/>
  <c r="I1523" i="1" l="1"/>
  <c r="E1524" i="1" s="1"/>
  <c r="H1524" i="1" l="1"/>
  <c r="G1524" i="1"/>
  <c r="F1524" i="1"/>
  <c r="I1524" i="1" l="1"/>
  <c r="E1525" i="1" s="1"/>
  <c r="G1525" i="1" l="1"/>
  <c r="H1525" i="1"/>
  <c r="F1525" i="1" l="1"/>
  <c r="I1525" i="1" s="1"/>
  <c r="E1526" i="1" s="1"/>
  <c r="H1526" i="1" l="1"/>
  <c r="G1526" i="1"/>
  <c r="F1526" i="1" l="1"/>
  <c r="I1526" i="1" l="1"/>
  <c r="E1527" i="1" s="1"/>
  <c r="G1527" i="1" l="1"/>
  <c r="H1527" i="1"/>
  <c r="F1527" i="1" l="1"/>
  <c r="I1527" i="1" l="1"/>
  <c r="E1528" i="1" s="1"/>
  <c r="H1528" i="1" l="1"/>
  <c r="G1528" i="1"/>
  <c r="F1528" i="1" l="1"/>
  <c r="I1528" i="1" l="1"/>
  <c r="E1529" i="1" s="1"/>
  <c r="G1529" i="1" l="1"/>
  <c r="H1529" i="1"/>
  <c r="F1529" i="1" l="1"/>
  <c r="I1529" i="1" s="1"/>
  <c r="E1530" i="1" s="1"/>
  <c r="G1530" i="1" l="1"/>
  <c r="H1530" i="1"/>
  <c r="F1530" i="1" l="1"/>
  <c r="I1530" i="1" s="1"/>
  <c r="E1531" i="1" s="1"/>
  <c r="G1531" i="1" l="1"/>
  <c r="H1531" i="1"/>
  <c r="F1531" i="1" l="1"/>
  <c r="I1531" i="1" s="1"/>
  <c r="E1532" i="1" s="1"/>
  <c r="G1532" i="1" l="1"/>
  <c r="H1532" i="1"/>
  <c r="F1532" i="1" l="1"/>
  <c r="I1532" i="1" s="1"/>
  <c r="E1533" i="1" s="1"/>
  <c r="G1533" i="1" l="1"/>
  <c r="H1533" i="1"/>
  <c r="F1533" i="1" l="1"/>
  <c r="I1533" i="1" s="1"/>
  <c r="E1534" i="1" s="1"/>
  <c r="H1534" i="1" l="1"/>
  <c r="G1534" i="1"/>
  <c r="F1534" i="1" l="1"/>
  <c r="I1534" i="1" l="1"/>
  <c r="E1535" i="1" s="1"/>
  <c r="G1535" i="1" l="1"/>
  <c r="H1535" i="1"/>
  <c r="F1535" i="1" l="1"/>
  <c r="I1535" i="1" s="1"/>
  <c r="E1536" i="1" s="1"/>
  <c r="H1536" i="1" l="1"/>
  <c r="G1536" i="1"/>
  <c r="F1536" i="1" l="1"/>
  <c r="I1536" i="1" l="1"/>
  <c r="E1537" i="1" s="1"/>
  <c r="H1537" i="1" l="1"/>
  <c r="F1537" i="1" s="1"/>
  <c r="G1537" i="1"/>
  <c r="I1537" i="1" l="1"/>
  <c r="E1538" i="1" s="1"/>
  <c r="H1538" i="1" l="1"/>
  <c r="G1538" i="1"/>
  <c r="F1538" i="1"/>
  <c r="I1538" i="1" l="1"/>
  <c r="E1539" i="1" s="1"/>
  <c r="G1539" i="1" l="1"/>
  <c r="H1539" i="1"/>
  <c r="F1539" i="1" s="1"/>
  <c r="I1539" i="1" l="1"/>
  <c r="E1540" i="1" s="1"/>
  <c r="H1540" i="1" l="1"/>
  <c r="G1540" i="1"/>
  <c r="F1540" i="1" l="1"/>
  <c r="I1540" i="1" l="1"/>
  <c r="E1541" i="1" s="1"/>
  <c r="H1541" i="1" l="1"/>
  <c r="G1541" i="1"/>
  <c r="F1541" i="1"/>
  <c r="I1541" i="1" l="1"/>
  <c r="E1542" i="1" s="1"/>
  <c r="G1542" i="1" l="1"/>
  <c r="H1542" i="1"/>
  <c r="F1542" i="1" l="1"/>
  <c r="I1542" i="1" s="1"/>
  <c r="E1543" i="1" s="1"/>
  <c r="H1543" i="1" l="1"/>
  <c r="G1543" i="1"/>
  <c r="F1543" i="1" l="1"/>
  <c r="I1543" i="1" s="1"/>
  <c r="E1544" i="1" s="1"/>
  <c r="H1544" i="1" l="1"/>
  <c r="G1544" i="1"/>
  <c r="F1544" i="1" l="1"/>
  <c r="I1544" i="1" s="1"/>
  <c r="E1545" i="1" s="1"/>
  <c r="H1545" i="1" l="1"/>
  <c r="G1545" i="1"/>
  <c r="F1545" i="1" l="1"/>
  <c r="I1545" i="1" s="1"/>
  <c r="E1546" i="1" s="1"/>
  <c r="H1546" i="1" l="1"/>
  <c r="G1546" i="1"/>
  <c r="F1546" i="1" l="1"/>
  <c r="I1546" i="1" s="1"/>
  <c r="E1547" i="1" s="1"/>
  <c r="H1547" i="1" l="1"/>
  <c r="G1547" i="1"/>
  <c r="F1547" i="1" l="1"/>
  <c r="I1547" i="1" s="1"/>
  <c r="E1548" i="1" s="1"/>
  <c r="H1548" i="1" l="1"/>
  <c r="G1548" i="1"/>
  <c r="F1548" i="1" l="1"/>
  <c r="I1548" i="1" s="1"/>
  <c r="E1549" i="1" s="1"/>
  <c r="G1549" i="1" l="1"/>
  <c r="H1549" i="1"/>
  <c r="F1549" i="1" l="1"/>
  <c r="I1549" i="1" l="1"/>
  <c r="E1550" i="1" s="1"/>
  <c r="H1550" i="1" l="1"/>
  <c r="G1550" i="1"/>
  <c r="F1550" i="1"/>
  <c r="I1550" i="1" l="1"/>
  <c r="E1551" i="1" s="1"/>
  <c r="H1551" i="1" l="1"/>
  <c r="G1551" i="1"/>
  <c r="F1551" i="1"/>
  <c r="I1551" i="1" l="1"/>
  <c r="E1552" i="1" s="1"/>
  <c r="G1552" i="1" l="1"/>
  <c r="H1552" i="1"/>
  <c r="F1552" i="1" l="1"/>
  <c r="I1552" i="1" l="1"/>
  <c r="E1553" i="1" s="1"/>
  <c r="G1553" i="1" l="1"/>
  <c r="H1553" i="1"/>
  <c r="F1553" i="1" l="1"/>
  <c r="I1553" i="1" s="1"/>
  <c r="E1554" i="1" s="1"/>
  <c r="G1554" i="1" l="1"/>
  <c r="H1554" i="1"/>
  <c r="F1554" i="1" l="1"/>
  <c r="I1554" i="1" s="1"/>
  <c r="E1555" i="1" s="1"/>
  <c r="H1555" i="1" l="1"/>
  <c r="G1555" i="1"/>
  <c r="F1555" i="1" l="1"/>
  <c r="I1555" i="1" s="1"/>
  <c r="E1556" i="1" s="1"/>
  <c r="H1556" i="1" l="1"/>
  <c r="G1556" i="1"/>
  <c r="F1556" i="1" l="1"/>
  <c r="I1556" i="1" l="1"/>
  <c r="E1557" i="1" s="1"/>
  <c r="G1557" i="1" l="1"/>
  <c r="H1557" i="1"/>
  <c r="F1557" i="1" l="1"/>
  <c r="I1557" i="1" s="1"/>
  <c r="E1558" i="1" s="1"/>
  <c r="H1558" i="1" l="1"/>
  <c r="G1558" i="1"/>
  <c r="F1558" i="1" l="1"/>
  <c r="I1558" i="1" s="1"/>
  <c r="E1559" i="1" s="1"/>
  <c r="H1559" i="1" l="1"/>
  <c r="G1559" i="1"/>
  <c r="F1559" i="1" l="1"/>
  <c r="I1559" i="1" s="1"/>
  <c r="E1560" i="1" s="1"/>
  <c r="H1560" i="1" l="1"/>
  <c r="G1560" i="1"/>
  <c r="F1560" i="1" l="1"/>
  <c r="I1560" i="1" s="1"/>
  <c r="E1561" i="1" s="1"/>
  <c r="G1561" i="1" l="1"/>
  <c r="H1561" i="1"/>
  <c r="F1561" i="1" l="1"/>
  <c r="I1561" i="1" s="1"/>
  <c r="E1562" i="1" s="1"/>
  <c r="H1562" i="1" l="1"/>
  <c r="G1562" i="1"/>
  <c r="F1562" i="1" l="1"/>
  <c r="I1562" i="1" s="1"/>
  <c r="E1563" i="1" s="1"/>
  <c r="H1563" i="1" l="1"/>
  <c r="G1563" i="1"/>
  <c r="F1563" i="1" l="1"/>
  <c r="I1563" i="1" s="1"/>
  <c r="E1564" i="1" s="1"/>
  <c r="G1564" i="1" l="1"/>
  <c r="H1564" i="1"/>
  <c r="F1564" i="1" l="1"/>
  <c r="I1564" i="1" s="1"/>
  <c r="E1565" i="1" s="1"/>
  <c r="G1565" i="1" l="1"/>
  <c r="H1565" i="1"/>
  <c r="F1565" i="1" l="1"/>
  <c r="I1565" i="1" s="1"/>
  <c r="E1566" i="1" s="1"/>
  <c r="H1566" i="1" l="1"/>
  <c r="G1566" i="1"/>
  <c r="F1566" i="1" l="1"/>
  <c r="I1566" i="1" s="1"/>
  <c r="E1567" i="1" s="1"/>
  <c r="H1567" i="1" l="1"/>
  <c r="G1567" i="1"/>
  <c r="F1567" i="1" l="1"/>
  <c r="I1567" i="1" s="1"/>
  <c r="E1568" i="1" s="1"/>
  <c r="G1568" i="1" l="1"/>
  <c r="H1568" i="1"/>
  <c r="F1568" i="1" l="1"/>
  <c r="I1568" i="1" s="1"/>
  <c r="E1569" i="1" s="1"/>
  <c r="H1569" i="1" l="1"/>
  <c r="G1569" i="1"/>
  <c r="F1569" i="1" l="1"/>
  <c r="I1569" i="1" s="1"/>
  <c r="E1570" i="1" s="1"/>
  <c r="H1570" i="1" l="1"/>
  <c r="G1570" i="1"/>
  <c r="F1570" i="1" l="1"/>
  <c r="I1570" i="1" s="1"/>
  <c r="E1571" i="1" s="1"/>
  <c r="H1571" i="1" l="1"/>
  <c r="G1571" i="1"/>
  <c r="F1571" i="1" l="1"/>
  <c r="I1571" i="1" s="1"/>
  <c r="E1572" i="1" s="1"/>
  <c r="G1572" i="1" l="1"/>
  <c r="H1572" i="1"/>
  <c r="F1572" i="1" l="1"/>
  <c r="I1572" i="1" s="1"/>
  <c r="E1573" i="1" s="1"/>
  <c r="G1573" i="1" l="1"/>
  <c r="H1573" i="1"/>
  <c r="F1573" i="1" l="1"/>
  <c r="I1573" i="1" s="1"/>
  <c r="E1574" i="1" s="1"/>
  <c r="G1574" i="1" l="1"/>
  <c r="H1574" i="1"/>
  <c r="F1574" i="1" l="1"/>
  <c r="I1574" i="1" l="1"/>
  <c r="E1575" i="1" s="1"/>
  <c r="H1575" i="1" l="1"/>
  <c r="F1575" i="1" s="1"/>
  <c r="G1575" i="1"/>
  <c r="I1575" i="1" l="1"/>
  <c r="E1576" i="1" s="1"/>
  <c r="H1576" i="1" l="1"/>
  <c r="G1576" i="1"/>
  <c r="F1576" i="1" l="1"/>
  <c r="I1576" i="1" l="1"/>
  <c r="E1577" i="1" s="1"/>
  <c r="H1577" i="1" l="1"/>
  <c r="F1577" i="1" s="1"/>
  <c r="G1577" i="1"/>
  <c r="I1577" i="1" l="1"/>
  <c r="E1578" i="1" s="1"/>
  <c r="H1578" i="1" l="1"/>
  <c r="G1578" i="1"/>
  <c r="F1578" i="1" l="1"/>
  <c r="I1578" i="1" s="1"/>
  <c r="E1579" i="1" s="1"/>
  <c r="G1579" i="1" l="1"/>
  <c r="H1579" i="1"/>
  <c r="F1579" i="1" l="1"/>
  <c r="I1579" i="1" s="1"/>
  <c r="E1580" i="1" s="1"/>
  <c r="H1580" i="1" l="1"/>
  <c r="G1580" i="1"/>
  <c r="F1580" i="1" l="1"/>
  <c r="I1580" i="1" s="1"/>
  <c r="E1581" i="1" s="1"/>
  <c r="H1581" i="1" l="1"/>
  <c r="G1581" i="1"/>
  <c r="F1581" i="1" l="1"/>
  <c r="I1581" i="1" s="1"/>
  <c r="E1582" i="1" s="1"/>
  <c r="H1582" i="1" l="1"/>
  <c r="G1582" i="1"/>
  <c r="F1582" i="1" l="1"/>
  <c r="I1582" i="1" s="1"/>
  <c r="E1583" i="1" s="1"/>
  <c r="H1583" i="1" l="1"/>
  <c r="G1583" i="1"/>
  <c r="F1583" i="1" l="1"/>
  <c r="I1583" i="1" s="1"/>
  <c r="E1584" i="1" s="1"/>
  <c r="H1584" i="1" l="1"/>
  <c r="G1584" i="1"/>
  <c r="F1584" i="1" l="1"/>
  <c r="I1584" i="1" s="1"/>
  <c r="E1585" i="1" s="1"/>
  <c r="G1585" i="1" l="1"/>
  <c r="H1585" i="1"/>
  <c r="F1585" i="1" l="1"/>
  <c r="I1585" i="1" l="1"/>
  <c r="E1586" i="1" s="1"/>
  <c r="G1586" i="1" l="1"/>
  <c r="H1586" i="1"/>
  <c r="F1586" i="1" l="1"/>
  <c r="I1586" i="1" l="1"/>
  <c r="E1587" i="1" s="1"/>
  <c r="G1587" i="1" l="1"/>
  <c r="H1587" i="1"/>
  <c r="F1587" i="1" l="1"/>
  <c r="I1587" i="1" s="1"/>
  <c r="E1588" i="1" s="1"/>
  <c r="G1588" i="1" l="1"/>
  <c r="H1588" i="1"/>
  <c r="F1588" i="1" s="1"/>
  <c r="I1588" i="1" l="1"/>
  <c r="E1589" i="1" s="1"/>
  <c r="H1589" i="1" l="1"/>
  <c r="G1589" i="1"/>
  <c r="F1589" i="1"/>
  <c r="I1589" i="1" l="1"/>
  <c r="E1590" i="1" s="1"/>
  <c r="H1590" i="1" l="1"/>
  <c r="G1590" i="1"/>
  <c r="F1590" i="1" l="1"/>
  <c r="I1590" i="1" s="1"/>
  <c r="E1591" i="1" s="1"/>
  <c r="H1591" i="1" l="1"/>
  <c r="G1591" i="1"/>
  <c r="F1591" i="1" l="1"/>
  <c r="I1591" i="1" s="1"/>
  <c r="E1592" i="1" s="1"/>
  <c r="G1592" i="1" l="1"/>
  <c r="H1592" i="1"/>
  <c r="F1592" i="1" l="1"/>
  <c r="I1592" i="1" s="1"/>
  <c r="E1593" i="1" s="1"/>
  <c r="H1593" i="1" l="1"/>
  <c r="G1593" i="1"/>
  <c r="F1593" i="1" l="1"/>
  <c r="I1593" i="1" s="1"/>
  <c r="E1594" i="1" s="1"/>
  <c r="H1594" i="1" l="1"/>
  <c r="G1594" i="1"/>
  <c r="F1594" i="1" l="1"/>
  <c r="I1594" i="1" s="1"/>
  <c r="E1595" i="1" s="1"/>
  <c r="H1595" i="1" l="1"/>
  <c r="G1595" i="1"/>
  <c r="F1595" i="1" l="1"/>
  <c r="I1595" i="1" l="1"/>
  <c r="E1596" i="1" s="1"/>
  <c r="G1596" i="1" l="1"/>
  <c r="H1596" i="1"/>
  <c r="F1596" i="1" l="1"/>
  <c r="I1596" i="1" s="1"/>
  <c r="E1597" i="1" s="1"/>
  <c r="H1597" i="1" l="1"/>
  <c r="G1597" i="1"/>
  <c r="F1597" i="1" l="1"/>
  <c r="I1597" i="1" l="1"/>
  <c r="E1598" i="1" s="1"/>
  <c r="H1598" i="1" l="1"/>
  <c r="G1598" i="1"/>
  <c r="F1598" i="1"/>
  <c r="I1598" i="1" l="1"/>
  <c r="E1599" i="1" s="1"/>
  <c r="H1599" i="1" l="1"/>
  <c r="G1599" i="1"/>
  <c r="F1599" i="1" l="1"/>
  <c r="I1599" i="1" s="1"/>
  <c r="E1600" i="1" s="1"/>
  <c r="H1600" i="1" l="1"/>
  <c r="G1600" i="1"/>
  <c r="F1600" i="1" l="1"/>
  <c r="I1600" i="1" l="1"/>
  <c r="E1601" i="1" s="1"/>
  <c r="G1601" i="1" l="1"/>
  <c r="H1601" i="1"/>
  <c r="F1601" i="1" l="1"/>
  <c r="I1601" i="1" l="1"/>
  <c r="E1602" i="1" s="1"/>
  <c r="H1602" i="1" l="1"/>
  <c r="G1602" i="1"/>
  <c r="F1602" i="1" l="1"/>
  <c r="I1602" i="1" s="1"/>
  <c r="E1603" i="1" s="1"/>
  <c r="G1603" i="1" l="1"/>
  <c r="H1603" i="1"/>
  <c r="F1603" i="1" l="1"/>
  <c r="I1603" i="1" s="1"/>
  <c r="E1604" i="1" s="1"/>
  <c r="G1604" i="1" l="1"/>
  <c r="H1604" i="1"/>
  <c r="F1604" i="1" l="1"/>
  <c r="I1604" i="1" s="1"/>
  <c r="E1605" i="1" s="1"/>
  <c r="H1605" i="1" l="1"/>
  <c r="G1605" i="1"/>
  <c r="F1605" i="1" l="1"/>
  <c r="I1605" i="1" s="1"/>
  <c r="E1606" i="1" s="1"/>
  <c r="H1606" i="1" l="1"/>
  <c r="G1606" i="1"/>
  <c r="F1606" i="1" l="1"/>
  <c r="I1606" i="1" l="1"/>
  <c r="E1607" i="1" s="1"/>
  <c r="G1607" i="1" l="1"/>
  <c r="H1607" i="1"/>
  <c r="F1607" i="1" l="1"/>
  <c r="I1607" i="1" l="1"/>
  <c r="E1608" i="1" s="1"/>
  <c r="H1608" i="1" l="1"/>
  <c r="G1608" i="1"/>
  <c r="F1608" i="1" l="1"/>
  <c r="I1608" i="1" s="1"/>
  <c r="E1609" i="1" s="1"/>
  <c r="G1609" i="1" l="1"/>
  <c r="H1609" i="1"/>
  <c r="F1609" i="1" s="1"/>
  <c r="I1609" i="1" l="1"/>
  <c r="E1610" i="1" s="1"/>
  <c r="H1610" i="1" l="1"/>
  <c r="G1610" i="1"/>
  <c r="F1610" i="1"/>
  <c r="I1610" i="1" s="1"/>
  <c r="E1611" i="1" s="1"/>
  <c r="G1611" i="1" l="1"/>
  <c r="H1611" i="1"/>
  <c r="F1611" i="1" l="1"/>
  <c r="I1611" i="1" s="1"/>
  <c r="E1612" i="1" s="1"/>
  <c r="H1612" i="1" l="1"/>
  <c r="G1612" i="1"/>
  <c r="F1612" i="1" l="1"/>
  <c r="I1612" i="1" s="1"/>
  <c r="E1613" i="1" s="1"/>
  <c r="H1613" i="1" l="1"/>
  <c r="G1613" i="1"/>
  <c r="F1613" i="1" l="1"/>
  <c r="I1613" i="1" s="1"/>
  <c r="E1614" i="1" s="1"/>
  <c r="H1614" i="1" l="1"/>
  <c r="G1614" i="1"/>
  <c r="F1614" i="1" l="1"/>
  <c r="I1614" i="1" s="1"/>
  <c r="E1615" i="1" s="1"/>
  <c r="H1615" i="1" l="1"/>
  <c r="G1615" i="1"/>
  <c r="F1615" i="1" l="1"/>
  <c r="I1615" i="1" s="1"/>
  <c r="E1616" i="1" s="1"/>
  <c r="H1616" i="1" l="1"/>
  <c r="G1616" i="1"/>
  <c r="F1616" i="1" l="1"/>
  <c r="I1616" i="1" s="1"/>
  <c r="E1617" i="1" s="1"/>
  <c r="H1617" i="1" l="1"/>
  <c r="G1617" i="1"/>
  <c r="F1617" i="1" l="1"/>
  <c r="I1617" i="1" s="1"/>
  <c r="E1618" i="1" s="1"/>
  <c r="H1618" i="1" l="1"/>
  <c r="G1618" i="1"/>
  <c r="F1618" i="1" l="1"/>
  <c r="I1618" i="1" s="1"/>
  <c r="E1619" i="1" s="1"/>
  <c r="G1619" i="1" l="1"/>
  <c r="H1619" i="1"/>
  <c r="F1619" i="1" l="1"/>
  <c r="I1619" i="1" s="1"/>
  <c r="E1620" i="1" s="1"/>
  <c r="H1620" i="1" l="1"/>
  <c r="G1620" i="1"/>
  <c r="F1620" i="1" l="1"/>
  <c r="I1620" i="1" s="1"/>
  <c r="E1621" i="1" s="1"/>
  <c r="H1621" i="1" l="1"/>
  <c r="G1621" i="1"/>
  <c r="F1621" i="1" l="1"/>
  <c r="I1621" i="1" s="1"/>
  <c r="E1622" i="1" s="1"/>
  <c r="G1622" i="1" l="1"/>
  <c r="H1622" i="1"/>
  <c r="F1622" i="1" l="1"/>
  <c r="I1622" i="1" s="1"/>
  <c r="E1623" i="1" s="1"/>
  <c r="H1623" i="1" l="1"/>
  <c r="G1623" i="1"/>
  <c r="F1623" i="1" l="1"/>
  <c r="I1623" i="1" s="1"/>
  <c r="E1624" i="1" s="1"/>
  <c r="G1624" i="1" l="1"/>
  <c r="H1624" i="1"/>
  <c r="F1624" i="1" l="1"/>
  <c r="I1624" i="1" s="1"/>
  <c r="E1625" i="1" s="1"/>
  <c r="G1625" i="1" l="1"/>
  <c r="H1625" i="1"/>
  <c r="F1625" i="1" l="1"/>
  <c r="I1625" i="1" s="1"/>
  <c r="E1626" i="1" s="1"/>
  <c r="H1626" i="1" l="1"/>
  <c r="G1626" i="1"/>
  <c r="F1626" i="1" l="1"/>
  <c r="I1626" i="1" s="1"/>
  <c r="E1627" i="1" s="1"/>
  <c r="H1627" i="1" l="1"/>
  <c r="G1627" i="1"/>
  <c r="F1627" i="1" l="1"/>
  <c r="I1627" i="1" l="1"/>
  <c r="E1628" i="1" s="1"/>
  <c r="H1628" i="1" l="1"/>
  <c r="G1628" i="1"/>
  <c r="F1628" i="1"/>
  <c r="I1628" i="1" l="1"/>
  <c r="E1629" i="1" s="1"/>
  <c r="H1629" i="1" l="1"/>
  <c r="G1629" i="1"/>
  <c r="F1629" i="1" l="1"/>
  <c r="I1629" i="1" s="1"/>
  <c r="E1630" i="1" s="1"/>
  <c r="H1630" i="1" l="1"/>
  <c r="G1630" i="1"/>
  <c r="F1630" i="1" l="1"/>
  <c r="I1630" i="1" l="1"/>
  <c r="E1631" i="1" s="1"/>
  <c r="G1631" i="1" l="1"/>
  <c r="H1631" i="1"/>
  <c r="F1631" i="1" l="1"/>
  <c r="I1631" i="1" l="1"/>
  <c r="E1632" i="1" s="1"/>
  <c r="H1632" i="1" l="1"/>
  <c r="G1632" i="1"/>
  <c r="F1632" i="1" l="1"/>
  <c r="I1632" i="1" l="1"/>
  <c r="E1633" i="1" s="1"/>
  <c r="G1633" i="1" l="1"/>
  <c r="H1633" i="1"/>
  <c r="F1633" i="1" l="1"/>
  <c r="I1633" i="1" s="1"/>
  <c r="E1634" i="1" s="1"/>
  <c r="H1634" i="1" l="1"/>
  <c r="G1634" i="1"/>
  <c r="F1634" i="1" l="1"/>
  <c r="I1634" i="1" s="1"/>
  <c r="E1635" i="1" s="1"/>
  <c r="H1635" i="1" l="1"/>
  <c r="F1635" i="1" s="1"/>
  <c r="G1635" i="1"/>
  <c r="I1635" i="1" l="1"/>
  <c r="E1636" i="1" s="1"/>
  <c r="H1636" i="1" l="1"/>
  <c r="G1636" i="1"/>
  <c r="F1636" i="1" l="1"/>
  <c r="I1636" i="1" l="1"/>
  <c r="E1637" i="1" s="1"/>
  <c r="G1637" i="1" l="1"/>
  <c r="H1637" i="1"/>
  <c r="F1637" i="1" l="1"/>
  <c r="I1637" i="1" l="1"/>
  <c r="E1638" i="1" s="1"/>
  <c r="H1638" i="1" l="1"/>
  <c r="G1638" i="1"/>
  <c r="F1638" i="1" l="1"/>
  <c r="I1638" i="1" l="1"/>
  <c r="E1639" i="1" s="1"/>
  <c r="H1639" i="1" l="1"/>
  <c r="G1639" i="1"/>
  <c r="F1639" i="1" l="1"/>
  <c r="I1639" i="1" l="1"/>
  <c r="E1640" i="1" s="1"/>
  <c r="G1640" i="1" l="1"/>
  <c r="H1640" i="1"/>
  <c r="F1640" i="1" l="1"/>
  <c r="I1640" i="1" l="1"/>
  <c r="E1641" i="1" s="1"/>
  <c r="H1641" i="1" l="1"/>
  <c r="G1641" i="1"/>
  <c r="F1641" i="1" l="1"/>
  <c r="I1641" i="1" l="1"/>
  <c r="E1642" i="1" s="1"/>
  <c r="H1642" i="1" l="1"/>
  <c r="G1642" i="1"/>
  <c r="F1642" i="1" l="1"/>
  <c r="I1642" i="1" l="1"/>
  <c r="E1643" i="1" s="1"/>
  <c r="H1643" i="1" l="1"/>
  <c r="G1643" i="1"/>
  <c r="F1643" i="1" l="1"/>
  <c r="I1643" i="1" s="1"/>
  <c r="E1644" i="1" s="1"/>
  <c r="G1644" i="1" l="1"/>
  <c r="H1644" i="1"/>
  <c r="F1644" i="1" l="1"/>
  <c r="I1644" i="1" l="1"/>
  <c r="E1645" i="1" s="1"/>
  <c r="H1645" i="1" l="1"/>
  <c r="G1645" i="1"/>
  <c r="F1645" i="1" l="1"/>
  <c r="I1645" i="1" l="1"/>
  <c r="E1646" i="1" s="1"/>
  <c r="G1646" i="1" l="1"/>
  <c r="H1646" i="1"/>
  <c r="F1646" i="1" l="1"/>
  <c r="I1646" i="1" s="1"/>
  <c r="E1647" i="1" s="1"/>
  <c r="G1647" i="1" l="1"/>
  <c r="H1647" i="1"/>
  <c r="F1647" i="1" l="1"/>
  <c r="I1647" i="1" s="1"/>
  <c r="E1648" i="1" s="1"/>
  <c r="H1648" i="1" l="1"/>
  <c r="G1648" i="1"/>
  <c r="F1648" i="1" l="1"/>
  <c r="I1648" i="1" l="1"/>
  <c r="E1649" i="1" s="1"/>
  <c r="G1649" i="1" l="1"/>
  <c r="H1649" i="1"/>
  <c r="F1649" i="1" l="1"/>
  <c r="I1649" i="1" l="1"/>
  <c r="E1650" i="1" s="1"/>
  <c r="G1650" i="1" l="1"/>
  <c r="H1650" i="1"/>
  <c r="F1650" i="1" l="1"/>
  <c r="I1650" i="1" s="1"/>
  <c r="E1651" i="1" s="1"/>
  <c r="H1651" i="1" l="1"/>
  <c r="G1651" i="1"/>
  <c r="F1651" i="1" l="1"/>
  <c r="I1651" i="1" s="1"/>
  <c r="E1652" i="1" s="1"/>
  <c r="H1652" i="1" l="1"/>
  <c r="G1652" i="1"/>
  <c r="F1652" i="1" l="1"/>
  <c r="I1652" i="1" s="1"/>
  <c r="E1653" i="1" s="1"/>
  <c r="G1653" i="1" l="1"/>
  <c r="H1653" i="1"/>
  <c r="F1653" i="1" l="1"/>
  <c r="I1653" i="1" s="1"/>
  <c r="E1654" i="1" s="1"/>
  <c r="H1654" i="1" l="1"/>
  <c r="G1654" i="1"/>
  <c r="F1654" i="1" l="1"/>
  <c r="I1654" i="1" s="1"/>
  <c r="E1655" i="1" s="1"/>
  <c r="G1655" i="1" l="1"/>
  <c r="H1655" i="1"/>
  <c r="F1655" i="1" l="1"/>
  <c r="I1655" i="1" s="1"/>
  <c r="E1656" i="1" s="1"/>
  <c r="H1656" i="1" l="1"/>
  <c r="G1656" i="1"/>
  <c r="F1656" i="1" l="1"/>
  <c r="I1656" i="1" l="1"/>
  <c r="E1657" i="1" s="1"/>
  <c r="H1657" i="1" l="1"/>
  <c r="G1657" i="1"/>
  <c r="F1657" i="1" l="1"/>
  <c r="I1657" i="1" s="1"/>
  <c r="E1658" i="1" s="1"/>
  <c r="H1658" i="1" l="1"/>
  <c r="G1658" i="1"/>
  <c r="F1658" i="1" l="1"/>
  <c r="I1658" i="1" s="1"/>
  <c r="E1659" i="1" s="1"/>
  <c r="H1659" i="1" l="1"/>
  <c r="G1659" i="1"/>
  <c r="F1659" i="1"/>
  <c r="I1659" i="1" l="1"/>
  <c r="E1660" i="1" s="1"/>
  <c r="H1660" i="1" l="1"/>
  <c r="G1660" i="1"/>
  <c r="F1660" i="1" l="1"/>
  <c r="I1660" i="1" s="1"/>
  <c r="E1661" i="1" s="1"/>
  <c r="H1661" i="1" l="1"/>
  <c r="G1661" i="1"/>
  <c r="F1661" i="1" l="1"/>
  <c r="I1661" i="1" s="1"/>
  <c r="E1662" i="1" s="1"/>
  <c r="G1662" i="1" l="1"/>
  <c r="H1662" i="1"/>
  <c r="F1662" i="1" l="1"/>
  <c r="I1662" i="1" s="1"/>
  <c r="E1663" i="1" s="1"/>
  <c r="H1663" i="1" l="1"/>
  <c r="G1663" i="1"/>
  <c r="F1663" i="1" l="1"/>
  <c r="I1663" i="1" s="1"/>
  <c r="E1664" i="1" s="1"/>
  <c r="H1664" i="1" l="1"/>
  <c r="G1664" i="1"/>
  <c r="F1664" i="1" l="1"/>
  <c r="I1664" i="1" s="1"/>
  <c r="E1665" i="1" s="1"/>
  <c r="G1665" i="1" l="1"/>
  <c r="H1665" i="1"/>
  <c r="F1665" i="1" l="1"/>
  <c r="I1665" i="1" s="1"/>
  <c r="E1666" i="1" s="1"/>
  <c r="G1666" i="1" l="1"/>
  <c r="H1666" i="1"/>
  <c r="F1666" i="1" l="1"/>
  <c r="I1666" i="1" s="1"/>
  <c r="E1667" i="1" s="1"/>
  <c r="G1667" i="1" l="1"/>
  <c r="H1667" i="1"/>
  <c r="F1667" i="1" l="1"/>
  <c r="I1667" i="1" l="1"/>
  <c r="E1668" i="1" s="1"/>
  <c r="H1668" i="1" l="1"/>
  <c r="G1668" i="1"/>
  <c r="F1668" i="1"/>
  <c r="I1668" i="1" l="1"/>
  <c r="E1669" i="1" s="1"/>
  <c r="H1669" i="1" l="1"/>
  <c r="G1669" i="1"/>
  <c r="F1669" i="1" l="1"/>
  <c r="I1669" i="1" s="1"/>
  <c r="E1670" i="1" s="1"/>
  <c r="G1670" i="1" l="1"/>
  <c r="H1670" i="1"/>
  <c r="F1670" i="1" l="1"/>
  <c r="I1670" i="1" l="1"/>
  <c r="E1671" i="1" s="1"/>
  <c r="G1671" i="1" l="1"/>
  <c r="H1671" i="1"/>
  <c r="F1671" i="1" l="1"/>
  <c r="I1671" i="1" s="1"/>
  <c r="E1672" i="1" s="1"/>
  <c r="G1672" i="1" l="1"/>
  <c r="H1672" i="1"/>
  <c r="F1672" i="1" l="1"/>
  <c r="I1672" i="1" s="1"/>
  <c r="E1673" i="1" s="1"/>
  <c r="H1673" i="1" l="1"/>
  <c r="G1673" i="1"/>
  <c r="F1673" i="1" l="1"/>
  <c r="I1673" i="1" s="1"/>
  <c r="E1674" i="1" s="1"/>
  <c r="H1674" i="1" l="1"/>
  <c r="G1674" i="1"/>
  <c r="F1674" i="1" l="1"/>
  <c r="I1674" i="1" s="1"/>
  <c r="E1675" i="1" s="1"/>
  <c r="H1675" i="1" l="1"/>
  <c r="G1675" i="1"/>
  <c r="F1675" i="1" l="1"/>
  <c r="I1675" i="1" l="1"/>
  <c r="E1676" i="1" s="1"/>
  <c r="H1676" i="1" l="1"/>
  <c r="F1676" i="1" s="1"/>
  <c r="G1676" i="1"/>
  <c r="I1676" i="1" l="1"/>
  <c r="E1677" i="1" s="1"/>
  <c r="H1677" i="1" l="1"/>
  <c r="F1677" i="1" s="1"/>
  <c r="G1677" i="1"/>
  <c r="I1677" i="1" l="1"/>
  <c r="E1678" i="1" s="1"/>
  <c r="G1678" i="1" l="1"/>
  <c r="H1678" i="1"/>
  <c r="F1678" i="1" l="1"/>
  <c r="I1678" i="1" s="1"/>
  <c r="E1679" i="1" s="1"/>
  <c r="G1679" i="1" l="1"/>
  <c r="H1679" i="1"/>
  <c r="F1679" i="1" l="1"/>
  <c r="I1679" i="1" s="1"/>
  <c r="E1680" i="1" s="1"/>
  <c r="H1680" i="1" l="1"/>
  <c r="G1680" i="1"/>
  <c r="F1680" i="1" l="1"/>
  <c r="I1680" i="1" s="1"/>
  <c r="E1681" i="1" s="1"/>
  <c r="G1681" i="1" l="1"/>
  <c r="H1681" i="1"/>
  <c r="F1681" i="1" l="1"/>
  <c r="I1681" i="1" l="1"/>
  <c r="E1682" i="1" s="1"/>
  <c r="H1682" i="1" l="1"/>
  <c r="G1682" i="1"/>
  <c r="F1682" i="1"/>
  <c r="I1682" i="1" l="1"/>
  <c r="E1683" i="1" s="1"/>
  <c r="G1683" i="1" l="1"/>
  <c r="H1683" i="1"/>
  <c r="F1683" i="1" s="1"/>
  <c r="I1683" i="1" l="1"/>
  <c r="E1684" i="1" s="1"/>
  <c r="G1684" i="1" l="1"/>
  <c r="H1684" i="1"/>
  <c r="F1684" i="1" l="1"/>
  <c r="I1684" i="1" s="1"/>
  <c r="E1685" i="1" s="1"/>
  <c r="G1685" i="1" l="1"/>
  <c r="H1685" i="1"/>
  <c r="F1685" i="1" l="1"/>
  <c r="I1685" i="1" s="1"/>
  <c r="E1686" i="1" s="1"/>
  <c r="G1686" i="1" l="1"/>
  <c r="H1686" i="1"/>
  <c r="F1686" i="1" l="1"/>
  <c r="I1686" i="1" s="1"/>
  <c r="E1687" i="1" s="1"/>
  <c r="H1687" i="1" l="1"/>
  <c r="G1687" i="1"/>
  <c r="F1687" i="1" l="1"/>
  <c r="I1687" i="1" s="1"/>
  <c r="E1688" i="1" s="1"/>
  <c r="G1688" i="1" l="1"/>
  <c r="H1688" i="1"/>
  <c r="F1688" i="1" l="1"/>
  <c r="I1688" i="1" l="1"/>
  <c r="E1689" i="1" s="1"/>
  <c r="H1689" i="1" l="1"/>
  <c r="F1689" i="1" s="1"/>
  <c r="G1689" i="1"/>
  <c r="I1689" i="1" l="1"/>
  <c r="E1690" i="1" s="1"/>
  <c r="H1690" i="1" l="1"/>
  <c r="F1690" i="1" s="1"/>
  <c r="G1690" i="1"/>
  <c r="I1690" i="1" l="1"/>
  <c r="E1691" i="1" s="1"/>
  <c r="H1691" i="1" l="1"/>
  <c r="F1691" i="1" s="1"/>
  <c r="G1691" i="1"/>
  <c r="I1691" i="1" l="1"/>
  <c r="E1692" i="1" s="1"/>
  <c r="H1692" i="1" l="1"/>
  <c r="G1692" i="1"/>
  <c r="F1692" i="1" l="1"/>
  <c r="I1692" i="1" l="1"/>
  <c r="E1693" i="1" s="1"/>
  <c r="G1693" i="1" l="1"/>
  <c r="H1693" i="1"/>
  <c r="F1693" i="1" l="1"/>
  <c r="I1693" i="1" s="1"/>
  <c r="E1694" i="1" s="1"/>
  <c r="H1694" i="1" l="1"/>
  <c r="G1694" i="1"/>
  <c r="F1694" i="1" l="1"/>
  <c r="I1694" i="1" s="1"/>
  <c r="E1695" i="1" s="1"/>
  <c r="G1695" i="1" l="1"/>
  <c r="H1695" i="1"/>
  <c r="F1695" i="1" l="1"/>
  <c r="I1695" i="1" s="1"/>
  <c r="E1696" i="1" s="1"/>
  <c r="G1696" i="1" l="1"/>
  <c r="H1696" i="1"/>
  <c r="F1696" i="1" l="1"/>
  <c r="I1696" i="1" s="1"/>
  <c r="E1697" i="1" s="1"/>
  <c r="H1697" i="1" l="1"/>
  <c r="G1697" i="1"/>
  <c r="F1697" i="1" l="1"/>
  <c r="I1697" i="1" l="1"/>
  <c r="E1698" i="1" s="1"/>
  <c r="G1698" i="1" l="1"/>
  <c r="H1698" i="1"/>
  <c r="F1698" i="1" l="1"/>
  <c r="I1698" i="1" s="1"/>
  <c r="E1699" i="1" s="1"/>
  <c r="G1699" i="1" l="1"/>
  <c r="H1699" i="1"/>
  <c r="F1699" i="1" l="1"/>
  <c r="I1699" i="1" s="1"/>
  <c r="E1700" i="1" s="1"/>
  <c r="H1700" i="1" l="1"/>
  <c r="G1700" i="1"/>
  <c r="F1700" i="1" l="1"/>
  <c r="I1700" i="1" s="1"/>
  <c r="E1701" i="1" s="1"/>
  <c r="H1701" i="1" l="1"/>
  <c r="G1701" i="1"/>
  <c r="F1701" i="1" l="1"/>
  <c r="I1701" i="1" l="1"/>
  <c r="E1702" i="1" s="1"/>
  <c r="H1702" i="1" l="1"/>
  <c r="G1702" i="1"/>
  <c r="F1702" i="1"/>
  <c r="I1702" i="1" l="1"/>
  <c r="E1703" i="1" s="1"/>
  <c r="H1703" i="1" l="1"/>
  <c r="G1703" i="1"/>
  <c r="F1703" i="1" l="1"/>
  <c r="I1703" i="1" s="1"/>
  <c r="E1704" i="1" s="1"/>
  <c r="H1704" i="1" l="1"/>
  <c r="G1704" i="1"/>
  <c r="F1704" i="1" l="1"/>
  <c r="I1704" i="1" s="1"/>
  <c r="E1705" i="1" s="1"/>
  <c r="G1705" i="1" l="1"/>
  <c r="H1705" i="1"/>
  <c r="F1705" i="1" l="1"/>
  <c r="I1705" i="1" s="1"/>
  <c r="E1706" i="1" s="1"/>
  <c r="H1706" i="1" l="1"/>
  <c r="G1706" i="1"/>
  <c r="F1706" i="1" l="1"/>
  <c r="I1706" i="1" s="1"/>
  <c r="E1707" i="1" s="1"/>
  <c r="G1707" i="1" l="1"/>
  <c r="H1707" i="1"/>
  <c r="F1707" i="1" l="1"/>
  <c r="I1707" i="1" l="1"/>
  <c r="E1708" i="1" s="1"/>
  <c r="H1708" i="1" l="1"/>
  <c r="G1708" i="1"/>
  <c r="F1708" i="1"/>
  <c r="I1708" i="1" l="1"/>
  <c r="E1709" i="1" s="1"/>
  <c r="H1709" i="1" l="1"/>
  <c r="G1709" i="1"/>
  <c r="F1709" i="1"/>
  <c r="I1709" i="1" l="1"/>
  <c r="E1710" i="1" s="1"/>
  <c r="H1710" i="1" l="1"/>
  <c r="G1710" i="1"/>
  <c r="F1710" i="1"/>
  <c r="I1710" i="1" l="1"/>
  <c r="E1711" i="1" s="1"/>
  <c r="H1711" i="1" l="1"/>
  <c r="F1711" i="1" s="1"/>
  <c r="G1711" i="1"/>
  <c r="I1711" i="1" l="1"/>
  <c r="E1712" i="1" s="1"/>
  <c r="H1712" i="1" l="1"/>
  <c r="G1712" i="1"/>
  <c r="F1712" i="1" l="1"/>
  <c r="I1712" i="1" l="1"/>
  <c r="E1713" i="1" s="1"/>
  <c r="H1713" i="1" l="1"/>
  <c r="F1713" i="1" s="1"/>
  <c r="G1713" i="1"/>
  <c r="I1713" i="1" l="1"/>
  <c r="E1714" i="1" s="1"/>
  <c r="H1714" i="1" l="1"/>
  <c r="F1714" i="1" s="1"/>
  <c r="G1714" i="1"/>
  <c r="I1714" i="1" l="1"/>
  <c r="E1715" i="1" s="1"/>
  <c r="H1715" i="1" l="1"/>
  <c r="G1715" i="1"/>
  <c r="F1715" i="1" l="1"/>
  <c r="I1715" i="1" l="1"/>
  <c r="E1716" i="1" s="1"/>
  <c r="H1716" i="1" l="1"/>
  <c r="G1716" i="1"/>
  <c r="F1716" i="1"/>
  <c r="I1716" i="1" l="1"/>
  <c r="E1717" i="1" s="1"/>
  <c r="G1717" i="1" l="1"/>
  <c r="H1717" i="1"/>
  <c r="F1717" i="1" l="1"/>
  <c r="I1717" i="1" l="1"/>
  <c r="E1718" i="1" s="1"/>
  <c r="H1718" i="1" l="1"/>
  <c r="G1718" i="1"/>
  <c r="F1718" i="1" l="1"/>
  <c r="I1718" i="1" l="1"/>
  <c r="E1719" i="1" s="1"/>
  <c r="H1719" i="1" l="1"/>
  <c r="G1719" i="1"/>
  <c r="F1719" i="1" l="1"/>
  <c r="I1719" i="1" l="1"/>
  <c r="E1720" i="1" s="1"/>
  <c r="H1720" i="1" l="1"/>
  <c r="G1720" i="1"/>
  <c r="F1720" i="1" l="1"/>
  <c r="I1720" i="1" l="1"/>
  <c r="E1721" i="1" s="1"/>
  <c r="H1721" i="1" l="1"/>
  <c r="G1721" i="1"/>
  <c r="F1721" i="1" l="1"/>
  <c r="I1721" i="1" l="1"/>
  <c r="E1722" i="1" s="1"/>
  <c r="H1722" i="1" l="1"/>
  <c r="G1722" i="1"/>
  <c r="F1722" i="1" l="1"/>
  <c r="I1722" i="1" s="1"/>
  <c r="E1723" i="1" s="1"/>
  <c r="G1723" i="1" l="1"/>
  <c r="H1723" i="1"/>
  <c r="F1723" i="1" l="1"/>
  <c r="I1723" i="1" s="1"/>
  <c r="E1724" i="1" s="1"/>
  <c r="H1724" i="1" l="1"/>
  <c r="G1724" i="1"/>
  <c r="F1724" i="1" l="1"/>
  <c r="I1724" i="1" l="1"/>
  <c r="E1725" i="1" s="1"/>
  <c r="H1725" i="1" l="1"/>
  <c r="G1725" i="1"/>
  <c r="F1725" i="1" l="1"/>
  <c r="I1725" i="1" s="1"/>
  <c r="E1726" i="1" s="1"/>
  <c r="H1726" i="1" l="1"/>
  <c r="G1726" i="1"/>
  <c r="F1726" i="1" l="1"/>
  <c r="I1726" i="1" s="1"/>
  <c r="E1727" i="1" s="1"/>
  <c r="H1727" i="1" l="1"/>
  <c r="G1727" i="1"/>
  <c r="F1727" i="1" l="1"/>
  <c r="I1727" i="1" s="1"/>
  <c r="E1728" i="1" s="1"/>
  <c r="H1728" i="1" l="1"/>
  <c r="G1728" i="1"/>
  <c r="F1728" i="1" l="1"/>
  <c r="I1728" i="1" s="1"/>
  <c r="E1729" i="1" s="1"/>
  <c r="H1729" i="1" l="1"/>
  <c r="G1729" i="1"/>
  <c r="F1729" i="1"/>
  <c r="I1729" i="1" l="1"/>
  <c r="E1730" i="1" s="1"/>
  <c r="H1730" i="1" l="1"/>
  <c r="G1730" i="1"/>
  <c r="F1730" i="1" l="1"/>
  <c r="I1730" i="1" l="1"/>
  <c r="E1731" i="1" s="1"/>
  <c r="H1731" i="1" l="1"/>
  <c r="G1731" i="1"/>
  <c r="F1731" i="1"/>
  <c r="I1731" i="1" l="1"/>
  <c r="E1732" i="1" s="1"/>
  <c r="H1732" i="1" l="1"/>
  <c r="F1732" i="1" s="1"/>
  <c r="G1732" i="1"/>
  <c r="I1732" i="1" l="1"/>
  <c r="E1733" i="1" s="1"/>
  <c r="H1733" i="1" l="1"/>
  <c r="G1733" i="1"/>
  <c r="F1733" i="1"/>
  <c r="I1733" i="1" l="1"/>
  <c r="E1734" i="1" s="1"/>
  <c r="H1734" i="1" l="1"/>
  <c r="G1734" i="1"/>
  <c r="F1734" i="1" l="1"/>
  <c r="I1734" i="1" l="1"/>
  <c r="E1735" i="1" s="1"/>
  <c r="H1735" i="1" l="1"/>
  <c r="G1735" i="1"/>
  <c r="F1735" i="1"/>
  <c r="I1735" i="1" l="1"/>
  <c r="E1736" i="1" s="1"/>
  <c r="H1736" i="1" l="1"/>
  <c r="G1736" i="1"/>
  <c r="F1736" i="1"/>
  <c r="I1736" i="1" l="1"/>
  <c r="E1737" i="1" s="1"/>
  <c r="G1737" i="1" l="1"/>
  <c r="H1737" i="1"/>
  <c r="F1737" i="1" s="1"/>
  <c r="I1737" i="1" l="1"/>
  <c r="E1738" i="1" s="1"/>
  <c r="H1738" i="1" l="1"/>
  <c r="F1738" i="1" s="1"/>
  <c r="G1738" i="1"/>
  <c r="I1738" i="1" l="1"/>
  <c r="E1739" i="1" s="1"/>
  <c r="G1739" i="1" l="1"/>
  <c r="H1739" i="1"/>
  <c r="F1739" i="1" l="1"/>
  <c r="I1739" i="1" s="1"/>
  <c r="E1740" i="1" s="1"/>
  <c r="G1740" i="1" l="1"/>
  <c r="H1740" i="1"/>
  <c r="F1740" i="1" l="1"/>
  <c r="I1740" i="1" s="1"/>
  <c r="E1741" i="1" s="1"/>
  <c r="H1741" i="1" l="1"/>
  <c r="G1741" i="1"/>
  <c r="F1741" i="1" l="1"/>
  <c r="I1741" i="1" l="1"/>
  <c r="E1742" i="1" s="1"/>
  <c r="H1742" i="1" l="1"/>
  <c r="G1742" i="1"/>
  <c r="F1742" i="1"/>
  <c r="I1742" i="1" l="1"/>
  <c r="E1743" i="1" s="1"/>
  <c r="H1743" i="1" l="1"/>
  <c r="G1743" i="1"/>
  <c r="F1743" i="1" l="1"/>
  <c r="I1743" i="1" s="1"/>
  <c r="E1744" i="1" s="1"/>
  <c r="H1744" i="1" l="1"/>
  <c r="G1744" i="1"/>
  <c r="F1744" i="1" l="1"/>
  <c r="I1744" i="1" l="1"/>
  <c r="E1745" i="1" s="1"/>
  <c r="H1745" i="1" l="1"/>
  <c r="F1745" i="1" s="1"/>
  <c r="G1745" i="1"/>
  <c r="I1745" i="1" l="1"/>
  <c r="E1746" i="1" s="1"/>
  <c r="H1746" i="1" l="1"/>
  <c r="G1746" i="1"/>
  <c r="F1746" i="1" l="1"/>
  <c r="I1746" i="1" s="1"/>
  <c r="E1747" i="1" s="1"/>
  <c r="G1747" i="1" l="1"/>
  <c r="H1747" i="1"/>
  <c r="F1747" i="1" l="1"/>
  <c r="I1747" i="1" s="1"/>
  <c r="E1748" i="1" s="1"/>
  <c r="G1748" i="1" l="1"/>
  <c r="H1748" i="1"/>
  <c r="F1748" i="1" l="1"/>
  <c r="I1748" i="1" s="1"/>
  <c r="E1749" i="1" s="1"/>
  <c r="H1749" i="1" l="1"/>
  <c r="G1749" i="1"/>
  <c r="F1749" i="1" l="1"/>
  <c r="I1749" i="1" l="1"/>
  <c r="E1750" i="1" s="1"/>
  <c r="H1750" i="1" l="1"/>
  <c r="G1750" i="1"/>
  <c r="F1750" i="1"/>
  <c r="I1750" i="1" l="1"/>
  <c r="E1751" i="1" s="1"/>
  <c r="H1751" i="1" l="1"/>
  <c r="G1751" i="1"/>
  <c r="F1751" i="1"/>
  <c r="I1751" i="1" l="1"/>
  <c r="E1752" i="1" s="1"/>
  <c r="G1752" i="1" l="1"/>
  <c r="H1752" i="1"/>
  <c r="F1752" i="1" l="1"/>
  <c r="I1752" i="1" l="1"/>
  <c r="E1753" i="1" s="1"/>
  <c r="H1753" i="1" l="1"/>
  <c r="G1753" i="1"/>
  <c r="F1753" i="1" l="1"/>
  <c r="I1753" i="1" s="1"/>
  <c r="E1754" i="1" s="1"/>
  <c r="G1754" i="1" l="1"/>
  <c r="H1754" i="1"/>
  <c r="F1754" i="1" l="1"/>
  <c r="I1754" i="1" l="1"/>
  <c r="E1755" i="1" s="1"/>
  <c r="H1755" i="1" l="1"/>
  <c r="G1755" i="1"/>
  <c r="F1755" i="1" l="1"/>
  <c r="I1755" i="1" l="1"/>
  <c r="E1756" i="1" s="1"/>
  <c r="H1756" i="1" l="1"/>
  <c r="G1756" i="1"/>
  <c r="F1756" i="1" l="1"/>
  <c r="I1756" i="1" l="1"/>
  <c r="E1757" i="1" s="1"/>
  <c r="H1757" i="1" l="1"/>
  <c r="G1757" i="1"/>
  <c r="F1757" i="1" l="1"/>
  <c r="I1757" i="1" s="1"/>
  <c r="E1758" i="1" s="1"/>
  <c r="H1758" i="1" l="1"/>
  <c r="G1758" i="1"/>
  <c r="F1758" i="1" l="1"/>
  <c r="I1758" i="1" s="1"/>
  <c r="E1759" i="1" s="1"/>
  <c r="H1759" i="1" l="1"/>
  <c r="G1759" i="1"/>
  <c r="F1759" i="1" l="1"/>
  <c r="I1759" i="1" l="1"/>
  <c r="E1760" i="1" s="1"/>
  <c r="H1760" i="1" l="1"/>
  <c r="G1760" i="1"/>
  <c r="F1760" i="1" l="1"/>
  <c r="I1760" i="1" s="1"/>
  <c r="E1761" i="1" s="1"/>
  <c r="H1761" i="1" l="1"/>
  <c r="G1761" i="1"/>
  <c r="F1761" i="1" l="1"/>
  <c r="I1761" i="1" s="1"/>
  <c r="E1762" i="1" s="1"/>
  <c r="H1762" i="1" l="1"/>
  <c r="G1762" i="1"/>
  <c r="F1762" i="1"/>
  <c r="I1762" i="1" l="1"/>
  <c r="E1763" i="1" s="1"/>
  <c r="G1763" i="1" l="1"/>
  <c r="H1763" i="1"/>
  <c r="F1763" i="1" s="1"/>
  <c r="I1763" i="1" s="1"/>
  <c r="E1764" i="1" s="1"/>
  <c r="H1764" i="1" l="1"/>
  <c r="G1764" i="1"/>
  <c r="F1764" i="1" l="1"/>
  <c r="I1764" i="1" s="1"/>
  <c r="E1765" i="1" s="1"/>
  <c r="G1765" i="1" l="1"/>
  <c r="H1765" i="1"/>
  <c r="F1765" i="1" l="1"/>
  <c r="I1765" i="1" l="1"/>
  <c r="E1766" i="1" s="1"/>
  <c r="G1766" i="1" l="1"/>
  <c r="H1766" i="1"/>
  <c r="F1766" i="1" l="1"/>
  <c r="I1766" i="1" s="1"/>
  <c r="E1767" i="1" s="1"/>
  <c r="H1767" i="1" l="1"/>
  <c r="G1767" i="1"/>
  <c r="F1767" i="1" l="1"/>
  <c r="I1767" i="1" s="1"/>
  <c r="E1768" i="1" s="1"/>
  <c r="H1768" i="1" l="1"/>
  <c r="G1768" i="1"/>
  <c r="F1768" i="1" l="1"/>
  <c r="I1768" i="1" l="1"/>
  <c r="E1769" i="1" s="1"/>
  <c r="H1769" i="1" l="1"/>
  <c r="G1769" i="1"/>
  <c r="F1769" i="1"/>
  <c r="I1769" i="1" l="1"/>
  <c r="E1770" i="1" s="1"/>
  <c r="H1770" i="1" l="1"/>
  <c r="G1770" i="1"/>
  <c r="F1770" i="1" l="1"/>
  <c r="I1770" i="1" s="1"/>
  <c r="E1771" i="1" s="1"/>
  <c r="G1771" i="1" l="1"/>
  <c r="H1771" i="1"/>
  <c r="F1771" i="1" l="1"/>
  <c r="I1771" i="1" s="1"/>
  <c r="E1772" i="1" s="1"/>
  <c r="H1772" i="1" l="1"/>
  <c r="G1772" i="1"/>
  <c r="F1772" i="1" l="1"/>
  <c r="I1772" i="1" s="1"/>
  <c r="E1773" i="1" s="1"/>
  <c r="G1773" i="1" l="1"/>
  <c r="H1773" i="1"/>
  <c r="F1773" i="1" l="1"/>
  <c r="I1773" i="1" s="1"/>
  <c r="E1774" i="1" s="1"/>
  <c r="G1774" i="1" l="1"/>
  <c r="H1774" i="1"/>
  <c r="F1774" i="1" l="1"/>
  <c r="I1774" i="1" l="1"/>
  <c r="E1775" i="1" s="1"/>
  <c r="G1775" i="1" l="1"/>
  <c r="H1775" i="1"/>
  <c r="F1775" i="1" s="1"/>
  <c r="I1775" i="1" l="1"/>
  <c r="E1776" i="1" s="1"/>
  <c r="H1776" i="1" l="1"/>
  <c r="G1776" i="1"/>
  <c r="F1776" i="1" l="1"/>
  <c r="I1776" i="1" s="1"/>
  <c r="E1777" i="1" s="1"/>
  <c r="H1777" i="1" l="1"/>
  <c r="G1777" i="1"/>
  <c r="F1777" i="1" l="1"/>
  <c r="I1777" i="1" s="1"/>
  <c r="E1778" i="1" s="1"/>
  <c r="H1778" i="1" l="1"/>
  <c r="G1778" i="1"/>
  <c r="F1778" i="1" l="1"/>
  <c r="I1778" i="1" l="1"/>
  <c r="E1779" i="1" s="1"/>
  <c r="H1779" i="1" l="1"/>
  <c r="G1779" i="1"/>
  <c r="F1779" i="1"/>
  <c r="I1779" i="1" l="1"/>
  <c r="E1780" i="1" s="1"/>
  <c r="H1780" i="1" l="1"/>
  <c r="G1780" i="1"/>
  <c r="F1780" i="1" l="1"/>
  <c r="I1780" i="1" s="1"/>
  <c r="E1781" i="1" s="1"/>
  <c r="G1781" i="1" l="1"/>
  <c r="H1781" i="1"/>
  <c r="F1781" i="1" l="1"/>
  <c r="I1781" i="1" s="1"/>
  <c r="E1782" i="1" s="1"/>
  <c r="H1782" i="1" l="1"/>
  <c r="G1782" i="1"/>
  <c r="F1782" i="1" l="1"/>
  <c r="I1782" i="1" l="1"/>
  <c r="E1783" i="1" s="1"/>
  <c r="H1783" i="1" l="1"/>
  <c r="G1783" i="1"/>
  <c r="F1783" i="1"/>
  <c r="I1783" i="1" l="1"/>
  <c r="E1784" i="1" s="1"/>
  <c r="G1784" i="1" l="1"/>
  <c r="H1784" i="1"/>
  <c r="F1784" i="1" l="1"/>
  <c r="I1784" i="1" s="1"/>
  <c r="E1785" i="1" s="1"/>
  <c r="H1785" i="1" l="1"/>
  <c r="G1785" i="1"/>
  <c r="F1785" i="1" l="1"/>
  <c r="I1785" i="1" s="1"/>
  <c r="E1786" i="1" s="1"/>
  <c r="H1786" i="1" l="1"/>
  <c r="G1786" i="1"/>
  <c r="F1786" i="1" l="1"/>
  <c r="I1786" i="1" s="1"/>
  <c r="E1787" i="1" s="1"/>
  <c r="G1787" i="1" l="1"/>
  <c r="H1787" i="1"/>
  <c r="F1787" i="1" l="1"/>
  <c r="I1787" i="1" s="1"/>
  <c r="E1788" i="1" s="1"/>
  <c r="H1788" i="1" l="1"/>
  <c r="G1788" i="1"/>
  <c r="F1788" i="1" l="1"/>
  <c r="I1788" i="1" l="1"/>
  <c r="E1789" i="1" s="1"/>
  <c r="H1789" i="1" l="1"/>
  <c r="G1789" i="1"/>
  <c r="F1789" i="1"/>
  <c r="I1789" i="1" l="1"/>
  <c r="E1790" i="1" s="1"/>
  <c r="G1790" i="1" l="1"/>
  <c r="H1790" i="1"/>
  <c r="F1790" i="1" l="1"/>
  <c r="I1790" i="1" s="1"/>
  <c r="E1791" i="1" s="1"/>
  <c r="H1791" i="1" l="1"/>
  <c r="G1791" i="1"/>
  <c r="F1791" i="1" l="1"/>
  <c r="I1791" i="1" l="1"/>
  <c r="E1792" i="1" s="1"/>
  <c r="H1792" i="1" l="1"/>
  <c r="G1792" i="1"/>
  <c r="F1792" i="1"/>
  <c r="I1792" i="1" l="1"/>
  <c r="E1793" i="1" s="1"/>
  <c r="H1793" i="1" l="1"/>
  <c r="G1793" i="1"/>
  <c r="F1793" i="1" l="1"/>
  <c r="I1793" i="1" s="1"/>
  <c r="E1794" i="1" s="1"/>
  <c r="H1794" i="1" l="1"/>
  <c r="G1794" i="1"/>
  <c r="F1794" i="1" l="1"/>
  <c r="I1794" i="1" s="1"/>
  <c r="E1795" i="1" s="1"/>
  <c r="G1795" i="1" l="1"/>
  <c r="H1795" i="1"/>
  <c r="F1795" i="1" l="1"/>
  <c r="I1795" i="1" s="1"/>
  <c r="E1796" i="1" s="1"/>
  <c r="H1796" i="1" l="1"/>
  <c r="G1796" i="1"/>
  <c r="F1796" i="1" l="1"/>
  <c r="I1796" i="1" s="1"/>
  <c r="E1797" i="1" s="1"/>
  <c r="H1797" i="1" l="1"/>
  <c r="G1797" i="1"/>
  <c r="F1797" i="1" l="1"/>
  <c r="I1797" i="1" l="1"/>
  <c r="E1798" i="1" s="1"/>
  <c r="G1798" i="1" l="1"/>
  <c r="H1798" i="1"/>
  <c r="F1798" i="1" l="1"/>
  <c r="I1798" i="1" s="1"/>
  <c r="E1799" i="1" s="1"/>
  <c r="G1799" i="1" l="1"/>
  <c r="H1799" i="1"/>
  <c r="F1799" i="1" l="1"/>
  <c r="I1799" i="1" s="1"/>
  <c r="E1800" i="1" s="1"/>
  <c r="H1800" i="1" l="1"/>
  <c r="G1800" i="1"/>
  <c r="F1800" i="1" l="1"/>
  <c r="I1800" i="1" l="1"/>
  <c r="E1801" i="1" s="1"/>
  <c r="H1801" i="1" l="1"/>
  <c r="G1801" i="1"/>
  <c r="F1801" i="1"/>
  <c r="I1801" i="1" l="1"/>
  <c r="E1802" i="1" s="1"/>
  <c r="H1802" i="1" l="1"/>
  <c r="F1802" i="1" s="1"/>
  <c r="G1802" i="1"/>
  <c r="I1802" i="1" l="1"/>
  <c r="E1803" i="1" s="1"/>
  <c r="H1803" i="1" l="1"/>
  <c r="G1803" i="1"/>
  <c r="F1803" i="1" l="1"/>
  <c r="I1803" i="1" l="1"/>
  <c r="E1804" i="1" s="1"/>
  <c r="G1804" i="1" l="1"/>
  <c r="H1804" i="1"/>
  <c r="F1804" i="1" l="1"/>
  <c r="I1804" i="1" s="1"/>
  <c r="E1805" i="1" s="1"/>
  <c r="H1805" i="1" l="1"/>
  <c r="G1805" i="1"/>
  <c r="F1805" i="1" l="1"/>
  <c r="I1805" i="1" s="1"/>
  <c r="E1806" i="1" s="1"/>
  <c r="G1806" i="1" l="1"/>
  <c r="H1806" i="1"/>
  <c r="F1806" i="1" l="1"/>
  <c r="I1806" i="1" s="1"/>
  <c r="E1807" i="1" s="1"/>
  <c r="H1807" i="1" l="1"/>
  <c r="G1807" i="1"/>
  <c r="F1807" i="1" l="1"/>
  <c r="I1807" i="1" s="1"/>
  <c r="E1808" i="1" s="1"/>
  <c r="H1808" i="1" l="1"/>
  <c r="G1808" i="1"/>
  <c r="F1808" i="1" l="1"/>
  <c r="I1808" i="1" s="1"/>
  <c r="E1809" i="1" s="1"/>
  <c r="H1809" i="1" l="1"/>
  <c r="G1809" i="1"/>
  <c r="F1809" i="1" l="1"/>
  <c r="I1809" i="1" l="1"/>
  <c r="E1810" i="1" s="1"/>
  <c r="H1810" i="1" l="1"/>
  <c r="F1810" i="1" s="1"/>
  <c r="G1810" i="1"/>
  <c r="I1810" i="1" l="1"/>
  <c r="E1811" i="1" s="1"/>
  <c r="G1811" i="1" l="1"/>
  <c r="H1811" i="1"/>
  <c r="F1811" i="1" l="1"/>
  <c r="I1811" i="1" s="1"/>
  <c r="E1812" i="1" s="1"/>
  <c r="H1812" i="1" l="1"/>
  <c r="G1812" i="1"/>
  <c r="F1812" i="1" l="1"/>
  <c r="I1812" i="1" s="1"/>
  <c r="E1813" i="1" s="1"/>
  <c r="H1813" i="1" l="1"/>
  <c r="G1813" i="1"/>
  <c r="F1813" i="1" l="1"/>
  <c r="I1813" i="1" l="1"/>
  <c r="E1814" i="1" s="1"/>
  <c r="H1814" i="1" l="1"/>
  <c r="G1814" i="1"/>
  <c r="F1814" i="1"/>
  <c r="I1814" i="1" l="1"/>
  <c r="E1815" i="1" s="1"/>
  <c r="G1815" i="1" l="1"/>
  <c r="H1815" i="1"/>
  <c r="F1815" i="1" l="1"/>
  <c r="I1815" i="1" s="1"/>
  <c r="E1816" i="1" s="1"/>
  <c r="H1816" i="1" l="1"/>
  <c r="G1816" i="1"/>
  <c r="F1816" i="1" l="1"/>
  <c r="I1816" i="1" s="1"/>
  <c r="E1817" i="1" s="1"/>
  <c r="G1817" i="1" l="1"/>
  <c r="H1817" i="1"/>
  <c r="F1817" i="1" l="1"/>
  <c r="I1817" i="1" s="1"/>
  <c r="E1818" i="1" s="1"/>
  <c r="H1818" i="1" l="1"/>
  <c r="G1818" i="1"/>
  <c r="F1818" i="1" l="1"/>
  <c r="I1818" i="1" s="1"/>
  <c r="E1819" i="1" s="1"/>
  <c r="G1819" i="1" l="1"/>
  <c r="H1819" i="1"/>
  <c r="F1819" i="1" l="1"/>
  <c r="I1819" i="1" s="1"/>
  <c r="E1820" i="1" s="1"/>
  <c r="H1820" i="1" l="1"/>
  <c r="G1820" i="1"/>
  <c r="F1820" i="1" l="1"/>
  <c r="I1820" i="1" s="1"/>
  <c r="E1821" i="1" s="1"/>
  <c r="G1821" i="1" l="1"/>
  <c r="H1821" i="1"/>
  <c r="F1821" i="1" l="1"/>
  <c r="I1821" i="1" s="1"/>
  <c r="E1822" i="1" s="1"/>
  <c r="G1822" i="1" l="1"/>
  <c r="H1822" i="1"/>
  <c r="F1822" i="1" l="1"/>
  <c r="I1822" i="1" l="1"/>
  <c r="E1823" i="1" s="1"/>
  <c r="G1823" i="1" l="1"/>
  <c r="H1823" i="1"/>
  <c r="F1823" i="1" l="1"/>
  <c r="I1823" i="1" l="1"/>
  <c r="E1824" i="1" s="1"/>
  <c r="H1824" i="1" l="1"/>
  <c r="G1824" i="1"/>
  <c r="F1824" i="1" l="1"/>
  <c r="I1824" i="1" l="1"/>
  <c r="E1825" i="1" s="1"/>
  <c r="G1825" i="1" l="1"/>
  <c r="H1825" i="1"/>
  <c r="F1825" i="1" l="1"/>
  <c r="I1825" i="1" s="1"/>
  <c r="E1826" i="1" s="1"/>
  <c r="H1826" i="1" l="1"/>
  <c r="G1826" i="1"/>
  <c r="F1826" i="1" l="1"/>
  <c r="I1826" i="1" s="1"/>
  <c r="E1827" i="1" s="1"/>
  <c r="H1827" i="1" l="1"/>
  <c r="F1827" i="1" s="1"/>
  <c r="G1827" i="1"/>
  <c r="I1827" i="1" l="1"/>
  <c r="E1828" i="1" s="1"/>
  <c r="H1828" i="1" l="1"/>
  <c r="G1828" i="1"/>
  <c r="F1828" i="1" l="1"/>
  <c r="I1828" i="1" l="1"/>
  <c r="E1829" i="1" s="1"/>
  <c r="H1829" i="1" l="1"/>
  <c r="F1829" i="1" s="1"/>
  <c r="G1829" i="1"/>
  <c r="I1829" i="1" l="1"/>
  <c r="E1830" i="1" s="1"/>
  <c r="G1830" i="1" l="1"/>
  <c r="H1830" i="1"/>
  <c r="F1830" i="1" l="1"/>
  <c r="I1830" i="1" s="1"/>
  <c r="E1831" i="1" s="1"/>
  <c r="H1831" i="1" l="1"/>
  <c r="G1831" i="1"/>
  <c r="F1831" i="1" l="1"/>
  <c r="I1831" i="1" s="1"/>
  <c r="E1832" i="1" s="1"/>
  <c r="G1832" i="1" l="1"/>
  <c r="H1832" i="1"/>
  <c r="F1832" i="1" l="1"/>
  <c r="I1832" i="1" l="1"/>
  <c r="E1833" i="1" s="1"/>
  <c r="G1833" i="1" l="1"/>
  <c r="H1833" i="1"/>
  <c r="F1833" i="1" s="1"/>
  <c r="I1833" i="1" l="1"/>
  <c r="E1834" i="1" s="1"/>
  <c r="G1834" i="1" l="1"/>
  <c r="H1834" i="1"/>
  <c r="F1834" i="1" l="1"/>
  <c r="I1834" i="1" s="1"/>
  <c r="E1835" i="1" s="1"/>
  <c r="H1835" i="1" l="1"/>
  <c r="G1835" i="1"/>
  <c r="F1835" i="1" l="1"/>
  <c r="I1835" i="1" s="1"/>
  <c r="E1836" i="1" s="1"/>
  <c r="G1836" i="1" l="1"/>
  <c r="H1836" i="1"/>
  <c r="F1836" i="1" l="1"/>
  <c r="I1836" i="1" s="1"/>
  <c r="E1837" i="1" s="1"/>
  <c r="G1837" i="1" l="1"/>
  <c r="H1837" i="1"/>
  <c r="F1837" i="1" l="1"/>
  <c r="I1837" i="1" s="1"/>
  <c r="E1838" i="1" s="1"/>
  <c r="H1838" i="1" l="1"/>
  <c r="G1838" i="1"/>
  <c r="F1838" i="1" l="1"/>
  <c r="I1838" i="1" l="1"/>
  <c r="E1839" i="1" s="1"/>
  <c r="G1839" i="1" l="1"/>
  <c r="H1839" i="1"/>
  <c r="F1839" i="1" s="1"/>
  <c r="I1839" i="1" l="1"/>
  <c r="E1840" i="1" s="1"/>
  <c r="H1840" i="1" l="1"/>
  <c r="G1840" i="1"/>
  <c r="F1840" i="1" l="1"/>
  <c r="I1840" i="1" l="1"/>
  <c r="E1841" i="1" s="1"/>
  <c r="G1841" i="1" l="1"/>
  <c r="H1841" i="1"/>
  <c r="F1841" i="1" l="1"/>
  <c r="I1841" i="1" l="1"/>
  <c r="E1842" i="1" s="1"/>
  <c r="H1842" i="1" l="1"/>
  <c r="G1842" i="1"/>
  <c r="F1842" i="1" l="1"/>
  <c r="I1842" i="1" s="1"/>
  <c r="E1843" i="1" s="1"/>
  <c r="G1843" i="1" l="1"/>
  <c r="H1843" i="1"/>
  <c r="F1843" i="1" s="1"/>
  <c r="I1843" i="1" l="1"/>
  <c r="E1844" i="1" s="1"/>
  <c r="H1844" i="1" l="1"/>
  <c r="G1844" i="1"/>
  <c r="F1844" i="1"/>
  <c r="I1844" i="1" l="1"/>
  <c r="E1845" i="1" s="1"/>
  <c r="H1845" i="1" l="1"/>
  <c r="G1845" i="1"/>
  <c r="F1845" i="1" l="1"/>
  <c r="I1845" i="1" l="1"/>
  <c r="E1846" i="1" s="1"/>
  <c r="G1846" i="1" l="1"/>
  <c r="H1846" i="1"/>
  <c r="F1846" i="1" l="1"/>
  <c r="I1846" i="1" s="1"/>
  <c r="E1847" i="1" s="1"/>
  <c r="H1847" i="1" l="1"/>
  <c r="G1847" i="1"/>
  <c r="F1847" i="1" l="1"/>
  <c r="I1847" i="1" l="1"/>
  <c r="E1848" i="1" s="1"/>
  <c r="H1848" i="1" l="1"/>
  <c r="F1848" i="1" s="1"/>
  <c r="G1848" i="1"/>
  <c r="I1848" i="1" l="1"/>
  <c r="E1849" i="1" s="1"/>
  <c r="H1849" i="1" l="1"/>
  <c r="G1849" i="1"/>
  <c r="F1849" i="1" l="1"/>
  <c r="I1849" i="1" s="1"/>
  <c r="E1850" i="1" s="1"/>
  <c r="H1850" i="1" l="1"/>
  <c r="G1850" i="1"/>
  <c r="F1850" i="1" l="1"/>
  <c r="I1850" i="1" l="1"/>
  <c r="E1851" i="1" s="1"/>
  <c r="H1851" i="1" l="1"/>
  <c r="G1851" i="1"/>
  <c r="F1851" i="1"/>
  <c r="I1851" i="1" l="1"/>
  <c r="E1852" i="1" s="1"/>
  <c r="G1852" i="1" l="1"/>
  <c r="H1852" i="1"/>
  <c r="F1852" i="1" l="1"/>
  <c r="I1852" i="1" l="1"/>
  <c r="E1853" i="1" s="1"/>
  <c r="H1853" i="1" l="1"/>
  <c r="G1853" i="1"/>
  <c r="F1853" i="1" l="1"/>
  <c r="I1853" i="1" s="1"/>
  <c r="E1854" i="1" s="1"/>
  <c r="H1854" i="1" l="1"/>
  <c r="G1854" i="1"/>
  <c r="F1854" i="1"/>
  <c r="I1854" i="1" l="1"/>
  <c r="E1855" i="1" s="1"/>
  <c r="G1855" i="1" l="1"/>
  <c r="H1855" i="1"/>
  <c r="F1855" i="1" l="1"/>
  <c r="I1855" i="1" s="1"/>
  <c r="E1856" i="1" s="1"/>
  <c r="H1856" i="1" l="1"/>
  <c r="G1856" i="1"/>
  <c r="F1856" i="1" l="1"/>
  <c r="I1856" i="1" s="1"/>
  <c r="E1857" i="1" s="1"/>
  <c r="H1857" i="1" l="1"/>
  <c r="G1857" i="1"/>
  <c r="F1857" i="1" l="1"/>
  <c r="I1857" i="1" s="1"/>
  <c r="E1858" i="1" s="1"/>
  <c r="H1858" i="1" l="1"/>
  <c r="G1858" i="1"/>
  <c r="F1858" i="1" l="1"/>
  <c r="I1858" i="1" l="1"/>
  <c r="E1859" i="1" s="1"/>
  <c r="G1859" i="1" l="1"/>
  <c r="H1859" i="1"/>
  <c r="F1859" i="1" s="1"/>
  <c r="I1859" i="1" l="1"/>
  <c r="E1860" i="1" s="1"/>
  <c r="G1860" i="1" l="1"/>
  <c r="H1860" i="1"/>
  <c r="F1860" i="1" l="1"/>
  <c r="I1860" i="1" l="1"/>
  <c r="E1861" i="1" s="1"/>
  <c r="H1861" i="1" l="1"/>
  <c r="G1861" i="1"/>
  <c r="F1861" i="1"/>
  <c r="I1861" i="1" l="1"/>
  <c r="E1862" i="1" s="1"/>
  <c r="H1862" i="1" l="1"/>
  <c r="F1862" i="1" s="1"/>
  <c r="G1862" i="1"/>
  <c r="I1862" i="1" l="1"/>
  <c r="E1863" i="1" s="1"/>
  <c r="H1863" i="1" l="1"/>
  <c r="F1863" i="1" s="1"/>
  <c r="G1863" i="1"/>
  <c r="I1863" i="1" l="1"/>
  <c r="E1864" i="1" s="1"/>
  <c r="H1864" i="1" l="1"/>
  <c r="G1864" i="1"/>
  <c r="F1864" i="1" l="1"/>
  <c r="I1864" i="1" l="1"/>
  <c r="E1865" i="1" s="1"/>
  <c r="H1865" i="1" l="1"/>
  <c r="G1865" i="1"/>
  <c r="F1865" i="1"/>
  <c r="I1865" i="1" l="1"/>
  <c r="E1866" i="1" s="1"/>
  <c r="G1866" i="1" l="1"/>
  <c r="H1866" i="1"/>
  <c r="F1866" i="1" l="1"/>
  <c r="I1866" i="1" l="1"/>
  <c r="E1867" i="1" s="1"/>
  <c r="H1867" i="1" l="1"/>
  <c r="G1867" i="1"/>
  <c r="F1867" i="1"/>
  <c r="I1867" i="1" l="1"/>
  <c r="E1868" i="1" s="1"/>
  <c r="H1868" i="1" l="1"/>
  <c r="G1868" i="1"/>
  <c r="F1868" i="1" l="1"/>
  <c r="I1868" i="1" l="1"/>
  <c r="E1869" i="1" s="1"/>
  <c r="H1869" i="1" l="1"/>
  <c r="F1869" i="1" s="1"/>
  <c r="G1869" i="1"/>
  <c r="I1869" i="1" l="1"/>
  <c r="E1870" i="1" s="1"/>
  <c r="H1870" i="1" l="1"/>
  <c r="G1870" i="1"/>
  <c r="F1870" i="1"/>
  <c r="I1870" i="1" l="1"/>
  <c r="E1871" i="1" s="1"/>
  <c r="H1871" i="1" l="1"/>
  <c r="G1871" i="1"/>
  <c r="F1871" i="1" l="1"/>
  <c r="I1871" i="1" s="1"/>
  <c r="E1872" i="1" s="1"/>
  <c r="G1872" i="1" l="1"/>
  <c r="H1872" i="1"/>
  <c r="F1872" i="1" l="1"/>
  <c r="I1872" i="1" l="1"/>
  <c r="E1873" i="1" s="1"/>
  <c r="G1873" i="1" l="1"/>
  <c r="H1873" i="1"/>
  <c r="F1873" i="1" l="1"/>
  <c r="I1873" i="1" s="1"/>
  <c r="E1874" i="1" s="1"/>
  <c r="H1874" i="1" l="1"/>
  <c r="G1874" i="1"/>
  <c r="F1874" i="1" l="1"/>
  <c r="I1874" i="1" l="1"/>
  <c r="E1875" i="1" s="1"/>
  <c r="G1875" i="1" l="1"/>
  <c r="H1875" i="1"/>
  <c r="F1875" i="1" s="1"/>
  <c r="I1875" i="1" l="1"/>
  <c r="E1876" i="1" s="1"/>
  <c r="H1876" i="1" l="1"/>
  <c r="F1876" i="1" s="1"/>
  <c r="G1876" i="1"/>
  <c r="I1876" i="1" l="1"/>
  <c r="E1877" i="1" s="1"/>
  <c r="H1877" i="1" l="1"/>
  <c r="G1877" i="1"/>
  <c r="F1877" i="1" l="1"/>
  <c r="I1877" i="1" s="1"/>
  <c r="E1878" i="1" s="1"/>
  <c r="H1878" i="1" l="1"/>
  <c r="G1878" i="1"/>
  <c r="F1878" i="1" l="1"/>
  <c r="I1878" i="1" s="1"/>
  <c r="E1879" i="1" s="1"/>
  <c r="H1879" i="1" l="1"/>
  <c r="G1879" i="1"/>
  <c r="F1879" i="1" l="1"/>
  <c r="I1879" i="1" s="1"/>
  <c r="E1880" i="1" s="1"/>
  <c r="H1880" i="1" l="1"/>
  <c r="G1880" i="1"/>
  <c r="F1880" i="1" l="1"/>
  <c r="I1880" i="1" l="1"/>
  <c r="E1881" i="1" s="1"/>
  <c r="H1881" i="1" l="1"/>
  <c r="G1881" i="1"/>
  <c r="F1881" i="1"/>
  <c r="I1881" i="1" l="1"/>
  <c r="E1882" i="1" s="1"/>
  <c r="G1882" i="1" l="1"/>
  <c r="H1882" i="1"/>
  <c r="F1882" i="1" l="1"/>
  <c r="I1882" i="1" l="1"/>
  <c r="E1883" i="1" s="1"/>
  <c r="H1883" i="1" l="1"/>
  <c r="G1883" i="1"/>
  <c r="F1883" i="1" l="1"/>
  <c r="I1883" i="1" s="1"/>
  <c r="E1884" i="1" s="1"/>
  <c r="H1884" i="1" l="1"/>
  <c r="G1884" i="1"/>
  <c r="F1884" i="1"/>
  <c r="I1884" i="1" l="1"/>
  <c r="E1885" i="1" s="1"/>
  <c r="H1885" i="1" l="1"/>
  <c r="G1885" i="1"/>
  <c r="F1885" i="1" l="1"/>
  <c r="I1885" i="1" l="1"/>
  <c r="E1886" i="1" s="1"/>
  <c r="H1886" i="1" l="1"/>
  <c r="G1886" i="1"/>
  <c r="F1886" i="1"/>
  <c r="I1886" i="1" l="1"/>
  <c r="E1887" i="1" s="1"/>
  <c r="G1887" i="1" l="1"/>
  <c r="H1887" i="1"/>
  <c r="F1887" i="1" l="1"/>
  <c r="I1887" i="1" s="1"/>
  <c r="E1888" i="1" s="1"/>
  <c r="H1888" i="1" l="1"/>
  <c r="G1888" i="1"/>
  <c r="F1888" i="1" l="1"/>
  <c r="I1888" i="1" s="1"/>
  <c r="E1889" i="1" s="1"/>
  <c r="H1889" i="1" l="1"/>
  <c r="G1889" i="1"/>
  <c r="F1889" i="1" l="1"/>
  <c r="I1889" i="1" s="1"/>
  <c r="E1890" i="1" s="1"/>
  <c r="G1890" i="1" l="1"/>
  <c r="H1890" i="1"/>
  <c r="F1890" i="1" l="1"/>
  <c r="I1890" i="1" l="1"/>
  <c r="E1891" i="1" s="1"/>
  <c r="G1891" i="1" l="1"/>
  <c r="H1891" i="1"/>
  <c r="F1891" i="1" l="1"/>
  <c r="I1891" i="1" s="1"/>
  <c r="E1892" i="1" s="1"/>
  <c r="G1892" i="1" l="1"/>
  <c r="H1892" i="1"/>
  <c r="F1892" i="1" s="1"/>
  <c r="I1892" i="1" s="1"/>
  <c r="E1893" i="1" s="1"/>
  <c r="H1893" i="1" l="1"/>
  <c r="G1893" i="1"/>
  <c r="F1893" i="1" l="1"/>
  <c r="I1893" i="1" l="1"/>
  <c r="E1894" i="1" s="1"/>
  <c r="H1894" i="1" l="1"/>
  <c r="G1894" i="1"/>
  <c r="F1894" i="1"/>
  <c r="I1894" i="1" l="1"/>
  <c r="E1895" i="1" s="1"/>
  <c r="H1895" i="1" l="1"/>
  <c r="G1895" i="1"/>
  <c r="F1895" i="1" l="1"/>
  <c r="I1895" i="1" s="1"/>
  <c r="E1896" i="1" s="1"/>
  <c r="G1896" i="1" l="1"/>
  <c r="H1896" i="1"/>
  <c r="F1896" i="1" l="1"/>
  <c r="I1896" i="1" l="1"/>
  <c r="E1897" i="1" s="1"/>
  <c r="G1897" i="1" l="1"/>
  <c r="H1897" i="1"/>
  <c r="F1897" i="1" l="1"/>
  <c r="I1897" i="1" l="1"/>
  <c r="E1898" i="1" s="1"/>
  <c r="H1898" i="1" l="1"/>
  <c r="G1898" i="1"/>
  <c r="F1898" i="1" l="1"/>
  <c r="I1898" i="1" s="1"/>
  <c r="E1899" i="1" s="1"/>
  <c r="H1899" i="1" l="1"/>
  <c r="F1899" i="1" s="1"/>
  <c r="G1899" i="1"/>
  <c r="I1899" i="1" l="1"/>
  <c r="E1900" i="1" s="1"/>
  <c r="G1900" i="1" l="1"/>
  <c r="H1900" i="1"/>
  <c r="F1900" i="1" l="1"/>
  <c r="I1900" i="1" l="1"/>
  <c r="E1901" i="1" s="1"/>
  <c r="H1901" i="1" l="1"/>
  <c r="G1901" i="1"/>
  <c r="F1901" i="1"/>
  <c r="I1901" i="1" l="1"/>
  <c r="E1902" i="1" s="1"/>
  <c r="H1902" i="1" l="1"/>
  <c r="G1902" i="1"/>
  <c r="F1902" i="1" l="1"/>
  <c r="I1902" i="1" l="1"/>
  <c r="E1903" i="1" s="1"/>
  <c r="H1903" i="1" l="1"/>
  <c r="F1903" i="1" s="1"/>
  <c r="G1903" i="1"/>
  <c r="I1903" i="1" l="1"/>
  <c r="E1904" i="1" s="1"/>
  <c r="H1904" i="1" l="1"/>
  <c r="G1904" i="1"/>
  <c r="F1904" i="1" l="1"/>
  <c r="I1904" i="1" s="1"/>
  <c r="E1905" i="1" s="1"/>
  <c r="H1905" i="1" l="1"/>
  <c r="G1905" i="1"/>
  <c r="F1905" i="1" l="1"/>
  <c r="I1905" i="1" l="1"/>
  <c r="E1906" i="1" s="1"/>
  <c r="H1906" i="1" l="1"/>
  <c r="G1906" i="1"/>
  <c r="F1906" i="1"/>
  <c r="I1906" i="1" l="1"/>
  <c r="E1907" i="1" s="1"/>
  <c r="G1907" i="1" l="1"/>
  <c r="H1907" i="1"/>
  <c r="F1907" i="1" l="1"/>
  <c r="I1907" i="1" s="1"/>
  <c r="E1908" i="1" s="1"/>
  <c r="G1908" i="1" l="1"/>
  <c r="H1908" i="1"/>
  <c r="F1908" i="1" l="1"/>
  <c r="I1908" i="1" l="1"/>
  <c r="E1909" i="1" s="1"/>
  <c r="H1909" i="1" l="1"/>
  <c r="G1909" i="1"/>
  <c r="F1909" i="1"/>
  <c r="I1909" i="1" l="1"/>
  <c r="E1910" i="1" s="1"/>
  <c r="G1910" i="1" l="1"/>
  <c r="H1910" i="1"/>
  <c r="F1910" i="1" l="1"/>
  <c r="I1910" i="1" s="1"/>
  <c r="E1911" i="1" s="1"/>
  <c r="H1911" i="1" l="1"/>
  <c r="G1911" i="1"/>
  <c r="F1911" i="1" l="1"/>
  <c r="I1911" i="1" l="1"/>
  <c r="E1912" i="1" s="1"/>
  <c r="G1912" i="1" l="1"/>
  <c r="H1912" i="1"/>
  <c r="F1912" i="1" l="1"/>
  <c r="I1912" i="1" s="1"/>
  <c r="E1913" i="1" s="1"/>
  <c r="G1913" i="1" l="1"/>
  <c r="H1913" i="1"/>
  <c r="F1913" i="1" l="1"/>
  <c r="I1913" i="1" s="1"/>
  <c r="E1914" i="1" s="1"/>
  <c r="G1914" i="1" l="1"/>
  <c r="H1914" i="1"/>
  <c r="F1914" i="1" l="1"/>
  <c r="I1914" i="1" s="1"/>
  <c r="E1915" i="1" s="1"/>
  <c r="H1915" i="1" l="1"/>
  <c r="G1915" i="1"/>
  <c r="F1915" i="1" l="1"/>
  <c r="I1915" i="1" s="1"/>
  <c r="E1916" i="1" s="1"/>
  <c r="G1916" i="1" l="1"/>
  <c r="H1916" i="1"/>
  <c r="F1916" i="1" l="1"/>
  <c r="I1916" i="1" s="1"/>
  <c r="E1917" i="1" s="1"/>
  <c r="G1917" i="1" l="1"/>
  <c r="H1917" i="1"/>
  <c r="F1917" i="1" l="1"/>
  <c r="I1917" i="1" s="1"/>
  <c r="E1918" i="1" s="1"/>
  <c r="H1918" i="1" l="1"/>
  <c r="G1918" i="1"/>
  <c r="F1918" i="1" l="1"/>
  <c r="I1918" i="1" l="1"/>
  <c r="E1919" i="1" s="1"/>
  <c r="G1919" i="1" l="1"/>
  <c r="H1919" i="1"/>
  <c r="F1919" i="1" s="1"/>
  <c r="I1919" i="1" l="1"/>
  <c r="E1920" i="1" s="1"/>
  <c r="H1920" i="1" l="1"/>
  <c r="F1920" i="1" s="1"/>
  <c r="I1920" i="1" s="1"/>
  <c r="E1921" i="1" s="1"/>
  <c r="G1920" i="1"/>
  <c r="G1921" i="1" l="1"/>
  <c r="H1921" i="1"/>
  <c r="F1921" i="1" l="1"/>
  <c r="I1921" i="1" s="1"/>
  <c r="E1922" i="1" s="1"/>
  <c r="H1922" i="1" l="1"/>
  <c r="G1922" i="1"/>
  <c r="F1922" i="1" l="1"/>
  <c r="I1922" i="1" s="1"/>
  <c r="E1923" i="1" s="1"/>
  <c r="H1923" i="1" l="1"/>
  <c r="G1923" i="1"/>
  <c r="F1923" i="1" l="1"/>
  <c r="I1923" i="1" s="1"/>
  <c r="E1924" i="1" s="1"/>
  <c r="H1924" i="1" l="1"/>
  <c r="G1924" i="1"/>
  <c r="F1924" i="1" l="1"/>
  <c r="I1924" i="1" s="1"/>
  <c r="E1925" i="1" s="1"/>
  <c r="G1925" i="1" l="1"/>
  <c r="H1925" i="1"/>
  <c r="F1925" i="1" l="1"/>
  <c r="I1925" i="1" s="1"/>
  <c r="E1926" i="1" s="1"/>
  <c r="G1926" i="1" l="1"/>
  <c r="H1926" i="1"/>
  <c r="F1926" i="1" l="1"/>
  <c r="I1926" i="1" s="1"/>
  <c r="E1927" i="1" s="1"/>
  <c r="H1927" i="1" l="1"/>
  <c r="G1927" i="1"/>
  <c r="F1927" i="1" l="1"/>
  <c r="I1927" i="1" s="1"/>
  <c r="E1928" i="1" s="1"/>
  <c r="H1928" i="1" l="1"/>
  <c r="G1928" i="1"/>
  <c r="F1928" i="1" l="1"/>
  <c r="I1928" i="1" s="1"/>
  <c r="E1929" i="1" s="1"/>
  <c r="H1929" i="1" l="1"/>
  <c r="G1929" i="1"/>
  <c r="F1929" i="1" l="1"/>
  <c r="I1929" i="1" l="1"/>
  <c r="E1930" i="1" s="1"/>
  <c r="H1930" i="1" l="1"/>
  <c r="G1930" i="1"/>
  <c r="F1930" i="1"/>
  <c r="I1930" i="1" l="1"/>
  <c r="E1931" i="1" s="1"/>
  <c r="G1931" i="1" l="1"/>
  <c r="H1931" i="1"/>
  <c r="F1931" i="1" l="1"/>
  <c r="I1931" i="1" s="1"/>
  <c r="E1932" i="1" s="1"/>
  <c r="H1932" i="1" l="1"/>
  <c r="G1932" i="1"/>
  <c r="F1932" i="1" l="1"/>
  <c r="I1932" i="1" s="1"/>
  <c r="E1933" i="1" s="1"/>
  <c r="G1933" i="1" l="1"/>
  <c r="H1933" i="1"/>
  <c r="F1933" i="1" l="1"/>
  <c r="I1933" i="1" l="1"/>
  <c r="E1934" i="1" s="1"/>
  <c r="G1934" i="1" l="1"/>
  <c r="H1934" i="1"/>
  <c r="F1934" i="1" l="1"/>
  <c r="I1934" i="1" s="1"/>
  <c r="E1935" i="1" s="1"/>
  <c r="H1935" i="1" l="1"/>
  <c r="G1935" i="1"/>
  <c r="F1935" i="1" l="1"/>
  <c r="I1935" i="1" s="1"/>
  <c r="E1936" i="1" s="1"/>
  <c r="H1936" i="1" l="1"/>
  <c r="G1936" i="1"/>
  <c r="F1936" i="1" l="1"/>
  <c r="I1936" i="1" s="1"/>
  <c r="E1937" i="1" s="1"/>
  <c r="H1937" i="1" l="1"/>
  <c r="G1937" i="1"/>
  <c r="F1937" i="1" l="1"/>
  <c r="I1937" i="1" s="1"/>
  <c r="E1938" i="1" s="1"/>
  <c r="H1938" i="1" l="1"/>
  <c r="G1938" i="1"/>
  <c r="F1938" i="1" l="1"/>
  <c r="I1938" i="1" s="1"/>
  <c r="E1939" i="1" s="1"/>
  <c r="H1939" i="1" l="1"/>
  <c r="G1939" i="1"/>
  <c r="F1939" i="1" l="1"/>
  <c r="I1939" i="1" s="1"/>
  <c r="E1940" i="1" s="1"/>
  <c r="G1940" i="1" l="1"/>
  <c r="H1940" i="1"/>
  <c r="F1940" i="1" l="1"/>
  <c r="I1940" i="1" s="1"/>
  <c r="E1941" i="1" s="1"/>
  <c r="H1941" i="1" l="1"/>
  <c r="G1941" i="1"/>
  <c r="F1941" i="1" l="1"/>
  <c r="I1941" i="1" s="1"/>
  <c r="E1942" i="1" s="1"/>
  <c r="H1942" i="1" l="1"/>
  <c r="G1942" i="1"/>
  <c r="F1942" i="1" l="1"/>
  <c r="I1942" i="1" l="1"/>
  <c r="E1943" i="1" s="1"/>
  <c r="H1943" i="1" l="1"/>
  <c r="G1943" i="1"/>
  <c r="F1943" i="1"/>
  <c r="I1943" i="1" l="1"/>
  <c r="E1944" i="1" s="1"/>
  <c r="G1944" i="1" l="1"/>
  <c r="H1944" i="1"/>
  <c r="F1944" i="1" l="1"/>
  <c r="I1944" i="1" s="1"/>
  <c r="E1945" i="1" s="1"/>
  <c r="H1945" i="1" l="1"/>
  <c r="G1945" i="1"/>
  <c r="F1945" i="1" l="1"/>
  <c r="I1945" i="1" s="1"/>
  <c r="E1946" i="1" s="1"/>
  <c r="H1946" i="1" l="1"/>
  <c r="G1946" i="1"/>
  <c r="F1946" i="1" l="1"/>
  <c r="I1946" i="1" s="1"/>
  <c r="E1947" i="1" s="1"/>
  <c r="H1947" i="1" l="1"/>
  <c r="G1947" i="1"/>
  <c r="F1947" i="1" l="1"/>
  <c r="I1947" i="1" l="1"/>
  <c r="E1948" i="1" s="1"/>
  <c r="H1948" i="1" l="1"/>
  <c r="F1948" i="1" s="1"/>
  <c r="G1948" i="1"/>
  <c r="I1948" i="1" l="1"/>
  <c r="E1949" i="1" s="1"/>
  <c r="G1949" i="1" l="1"/>
  <c r="H1949" i="1"/>
  <c r="F1949" i="1" l="1"/>
  <c r="I1949" i="1" s="1"/>
  <c r="E1950" i="1" s="1"/>
  <c r="G1950" i="1" l="1"/>
  <c r="H1950" i="1"/>
  <c r="F1950" i="1" l="1"/>
  <c r="I1950" i="1" s="1"/>
  <c r="E1951" i="1" s="1"/>
  <c r="G1951" i="1" l="1"/>
  <c r="H1951" i="1"/>
  <c r="F1951" i="1" l="1"/>
  <c r="I1951" i="1" s="1"/>
  <c r="E1952" i="1" s="1"/>
  <c r="G1952" i="1" l="1"/>
  <c r="H1952" i="1"/>
  <c r="F1952" i="1" l="1"/>
  <c r="I1952" i="1" s="1"/>
  <c r="E1953" i="1" s="1"/>
  <c r="G1953" i="1" l="1"/>
  <c r="H1953" i="1"/>
  <c r="F1953" i="1" l="1"/>
  <c r="I1953" i="1" l="1"/>
  <c r="E1954" i="1" s="1"/>
  <c r="G1954" i="1" l="1"/>
  <c r="H1954" i="1"/>
  <c r="F1954" i="1" l="1"/>
  <c r="I1954" i="1" l="1"/>
  <c r="E1955" i="1" s="1"/>
  <c r="G1955" i="1" l="1"/>
  <c r="H1955" i="1"/>
  <c r="F1955" i="1" l="1"/>
  <c r="I1955" i="1" l="1"/>
  <c r="E1956" i="1" s="1"/>
  <c r="H1956" i="1" l="1"/>
  <c r="G1956" i="1"/>
  <c r="F1956" i="1" l="1"/>
  <c r="I1956" i="1" l="1"/>
  <c r="E1957" i="1" s="1"/>
  <c r="H1957" i="1" l="1"/>
  <c r="G1957" i="1"/>
  <c r="F1957" i="1" l="1"/>
  <c r="I1957" i="1" s="1"/>
  <c r="E1958" i="1" s="1"/>
  <c r="G1958" i="1" l="1"/>
  <c r="H1958" i="1"/>
  <c r="F1958" i="1" l="1"/>
  <c r="I1958" i="1" s="1"/>
  <c r="E1959" i="1" s="1"/>
  <c r="H1959" i="1" l="1"/>
  <c r="G1959" i="1"/>
  <c r="F1959" i="1" l="1"/>
  <c r="I1959" i="1" s="1"/>
  <c r="E1960" i="1" s="1"/>
  <c r="H1960" i="1" l="1"/>
  <c r="G1960" i="1"/>
  <c r="F1960" i="1"/>
  <c r="I1960" i="1" l="1"/>
  <c r="E1961" i="1" s="1"/>
  <c r="H1961" i="1" l="1"/>
  <c r="G1961" i="1"/>
  <c r="F1961" i="1" l="1"/>
  <c r="I1961" i="1" l="1"/>
  <c r="E1962" i="1" s="1"/>
  <c r="H1962" i="1" l="1"/>
  <c r="F1962" i="1" s="1"/>
  <c r="G1962" i="1"/>
  <c r="I1962" i="1" l="1"/>
  <c r="E1963" i="1" s="1"/>
  <c r="H1963" i="1" l="1"/>
  <c r="G1963" i="1"/>
  <c r="F1963" i="1"/>
  <c r="I1963" i="1" l="1"/>
  <c r="E1964" i="1" s="1"/>
  <c r="G1964" i="1" l="1"/>
  <c r="H1964" i="1"/>
  <c r="F1964" i="1" l="1"/>
  <c r="I1964" i="1" s="1"/>
  <c r="E1965" i="1" s="1"/>
  <c r="H1965" i="1" l="1"/>
  <c r="G1965" i="1"/>
  <c r="F1965" i="1" l="1"/>
  <c r="I1965" i="1" s="1"/>
  <c r="E1966" i="1" s="1"/>
  <c r="H1966" i="1" l="1"/>
  <c r="G1966" i="1"/>
  <c r="F1966" i="1" l="1"/>
  <c r="I1966" i="1" s="1"/>
  <c r="E1967" i="1" s="1"/>
  <c r="H1967" i="1" l="1"/>
  <c r="G1967" i="1"/>
  <c r="F1967" i="1" l="1"/>
  <c r="I1967" i="1" l="1"/>
  <c r="E1968" i="1" s="1"/>
  <c r="H1968" i="1" l="1"/>
  <c r="G1968" i="1"/>
  <c r="F1968" i="1"/>
  <c r="I1968" i="1" l="1"/>
  <c r="E1969" i="1" s="1"/>
  <c r="H1969" i="1" l="1"/>
  <c r="G1969" i="1"/>
  <c r="F1969" i="1" l="1"/>
  <c r="I1969" i="1" s="1"/>
  <c r="E1970" i="1" s="1"/>
  <c r="H1970" i="1" l="1"/>
  <c r="G1970" i="1"/>
  <c r="F1970" i="1" l="1"/>
  <c r="I1970" i="1" l="1"/>
  <c r="E1971" i="1" s="1"/>
  <c r="H1971" i="1" l="1"/>
  <c r="F1971" i="1" s="1"/>
  <c r="G1971" i="1"/>
  <c r="I1971" i="1" l="1"/>
  <c r="E1972" i="1" s="1"/>
  <c r="G1972" i="1" l="1"/>
  <c r="H1972" i="1"/>
  <c r="F1972" i="1" l="1"/>
  <c r="I1972" i="1" s="1"/>
  <c r="E1973" i="1" s="1"/>
  <c r="G1973" i="1" l="1"/>
  <c r="H1973" i="1"/>
  <c r="F1973" i="1" l="1"/>
  <c r="I1973" i="1" s="1"/>
  <c r="E1974" i="1" s="1"/>
  <c r="H1974" i="1" l="1"/>
  <c r="G1974" i="1"/>
  <c r="F1974" i="1" l="1"/>
  <c r="I1974" i="1" l="1"/>
  <c r="E1975" i="1" s="1"/>
  <c r="H1975" i="1" l="1"/>
  <c r="G1975" i="1"/>
  <c r="F1975" i="1"/>
  <c r="I1975" i="1" l="1"/>
  <c r="E1976" i="1" s="1"/>
  <c r="G1976" i="1" l="1"/>
  <c r="H1976" i="1"/>
  <c r="F1976" i="1" l="1"/>
  <c r="I1976" i="1" s="1"/>
  <c r="E1977" i="1" s="1"/>
  <c r="G1977" i="1" l="1"/>
  <c r="H1977" i="1"/>
  <c r="F1977" i="1" l="1"/>
  <c r="I1977" i="1" s="1"/>
  <c r="E1978" i="1" s="1"/>
  <c r="H1978" i="1" l="1"/>
  <c r="G1978" i="1"/>
  <c r="F1978" i="1" l="1"/>
  <c r="I1978" i="1" s="1"/>
  <c r="E1979" i="1" s="1"/>
  <c r="H1979" i="1" l="1"/>
  <c r="G1979" i="1"/>
  <c r="F1979" i="1" l="1"/>
  <c r="I1979" i="1" s="1"/>
  <c r="E1980" i="1" s="1"/>
  <c r="G1980" i="1" l="1"/>
  <c r="H1980" i="1"/>
  <c r="F1980" i="1" l="1"/>
  <c r="I1980" i="1" s="1"/>
  <c r="E1981" i="1" s="1"/>
  <c r="H1981" i="1" l="1"/>
  <c r="G1981" i="1"/>
  <c r="F1981" i="1" l="1"/>
  <c r="I1981" i="1" l="1"/>
  <c r="E1982" i="1" s="1"/>
  <c r="H1982" i="1" l="1"/>
  <c r="F1982" i="1" s="1"/>
  <c r="G1982" i="1"/>
  <c r="I1982" i="1" l="1"/>
  <c r="E1983" i="1" s="1"/>
  <c r="H1983" i="1" l="1"/>
  <c r="G1983" i="1"/>
  <c r="F1983" i="1"/>
  <c r="I1983" i="1" l="1"/>
  <c r="E1984" i="1" s="1"/>
  <c r="H1984" i="1" l="1"/>
  <c r="F1984" i="1" s="1"/>
  <c r="G1984" i="1"/>
  <c r="I1984" i="1" l="1"/>
  <c r="E1985" i="1" s="1"/>
  <c r="H1985" i="1" l="1"/>
  <c r="G1985" i="1"/>
  <c r="F1985" i="1" l="1"/>
  <c r="I1985" i="1" l="1"/>
  <c r="E1986" i="1" s="1"/>
  <c r="G1986" i="1" l="1"/>
  <c r="H1986" i="1"/>
  <c r="F1986" i="1" l="1"/>
  <c r="I1986" i="1" s="1"/>
  <c r="E1987" i="1" s="1"/>
  <c r="H1987" i="1" l="1"/>
  <c r="G1987" i="1"/>
  <c r="F1987" i="1" l="1"/>
  <c r="I1987" i="1" s="1"/>
  <c r="E1988" i="1" s="1"/>
  <c r="G1988" i="1" l="1"/>
  <c r="H1988" i="1"/>
  <c r="F1988" i="1" l="1"/>
  <c r="I1988" i="1" s="1"/>
  <c r="E1989" i="1" s="1"/>
  <c r="H1989" i="1" l="1"/>
  <c r="G1989" i="1"/>
  <c r="F1989" i="1" l="1"/>
  <c r="I1989" i="1" s="1"/>
  <c r="E1990" i="1" s="1"/>
  <c r="H1990" i="1" l="1"/>
  <c r="G1990" i="1"/>
  <c r="F1990" i="1" l="1"/>
  <c r="I1990" i="1" s="1"/>
  <c r="E1991" i="1" s="1"/>
  <c r="H1991" i="1" l="1"/>
  <c r="G1991" i="1"/>
  <c r="F1991" i="1" l="1"/>
  <c r="I1991" i="1" s="1"/>
  <c r="E1992" i="1" s="1"/>
  <c r="H1992" i="1" l="1"/>
  <c r="G1992" i="1"/>
  <c r="F1992" i="1" l="1"/>
  <c r="I1992" i="1" s="1"/>
  <c r="E1993" i="1" s="1"/>
  <c r="H1993" i="1" l="1"/>
  <c r="G1993" i="1"/>
  <c r="F1993" i="1" l="1"/>
  <c r="I1993" i="1" s="1"/>
  <c r="E1994" i="1" s="1"/>
  <c r="H1994" i="1" l="1"/>
  <c r="G1994" i="1"/>
  <c r="F1994" i="1" l="1"/>
  <c r="I1994" i="1" s="1"/>
  <c r="E1995" i="1" s="1"/>
  <c r="H1995" i="1" l="1"/>
  <c r="G1995" i="1"/>
  <c r="F1995" i="1" l="1"/>
  <c r="I1995" i="1" s="1"/>
  <c r="E1996" i="1" s="1"/>
  <c r="G1996" i="1" l="1"/>
  <c r="H1996" i="1"/>
  <c r="F1996" i="1" l="1"/>
  <c r="I1996" i="1" l="1"/>
  <c r="E1997" i="1" s="1"/>
  <c r="H1997" i="1" l="1"/>
  <c r="G1997" i="1"/>
  <c r="F1997" i="1"/>
  <c r="I1997" i="1" l="1"/>
  <c r="E1998" i="1" s="1"/>
  <c r="G1998" i="1" l="1"/>
  <c r="H1998" i="1"/>
  <c r="F1998" i="1" l="1"/>
  <c r="I1998" i="1" s="1"/>
  <c r="E1999" i="1" s="1"/>
  <c r="H1999" i="1" l="1"/>
  <c r="G1999" i="1"/>
  <c r="F1999" i="1" l="1"/>
  <c r="I1999" i="1" s="1"/>
  <c r="E2000" i="1" s="1"/>
  <c r="H2000" i="1" l="1"/>
  <c r="G2000" i="1"/>
  <c r="F2000" i="1" l="1"/>
  <c r="I2000" i="1" l="1"/>
  <c r="E2001" i="1" s="1"/>
  <c r="H2001" i="1" l="1"/>
  <c r="F2001" i="1" s="1"/>
  <c r="G2001" i="1"/>
  <c r="I2001" i="1" l="1"/>
  <c r="E2002" i="1" s="1"/>
  <c r="G2002" i="1" l="1"/>
  <c r="H2002" i="1"/>
  <c r="F2002" i="1" l="1"/>
  <c r="I2002" i="1" l="1"/>
  <c r="E2003" i="1" s="1"/>
  <c r="G2003" i="1" l="1"/>
  <c r="H2003" i="1"/>
  <c r="F2003" i="1" l="1"/>
  <c r="I2003" i="1" s="1"/>
  <c r="E2004" i="1" s="1"/>
  <c r="H2004" i="1" l="1"/>
  <c r="G2004" i="1"/>
  <c r="F2004" i="1"/>
  <c r="I2004" i="1" l="1"/>
  <c r="E2005" i="1" s="1"/>
  <c r="H2005" i="1" l="1"/>
  <c r="G2005" i="1"/>
  <c r="F2005" i="1" l="1"/>
  <c r="I2005" i="1" l="1"/>
  <c r="E2006" i="1" s="1"/>
  <c r="G2006" i="1" l="1"/>
  <c r="H2006" i="1"/>
  <c r="F2006" i="1" l="1"/>
  <c r="I2006" i="1" s="1"/>
  <c r="E2007" i="1" s="1"/>
  <c r="H2007" i="1" l="1"/>
  <c r="G2007" i="1"/>
  <c r="F2007" i="1" l="1"/>
  <c r="I2007" i="1" l="1"/>
  <c r="E2008" i="1" s="1"/>
  <c r="H2008" i="1" l="1"/>
  <c r="G2008" i="1"/>
  <c r="F2008" i="1"/>
  <c r="I2008" i="1" l="1"/>
  <c r="E2009" i="1" s="1"/>
  <c r="H2009" i="1" l="1"/>
  <c r="G2009" i="1"/>
  <c r="F2009" i="1" l="1"/>
  <c r="I2009" i="1" s="1"/>
  <c r="E2010" i="1" s="1"/>
  <c r="H2010" i="1" l="1"/>
  <c r="G2010" i="1"/>
  <c r="F2010" i="1" l="1"/>
  <c r="I2010" i="1" s="1"/>
  <c r="E2011" i="1" s="1"/>
  <c r="G2011" i="1" l="1"/>
  <c r="H2011" i="1"/>
  <c r="F2011" i="1" l="1"/>
  <c r="I2011" i="1" s="1"/>
  <c r="E2012" i="1" s="1"/>
  <c r="H2012" i="1" l="1"/>
  <c r="G2012" i="1"/>
  <c r="F2012" i="1" l="1"/>
  <c r="I2012" i="1" l="1"/>
  <c r="E2013" i="1" s="1"/>
  <c r="H2013" i="1" l="1"/>
  <c r="G2013" i="1"/>
  <c r="F2013" i="1"/>
  <c r="I2013" i="1" l="1"/>
  <c r="E2014" i="1" s="1"/>
  <c r="H2014" i="1" l="1"/>
  <c r="G2014" i="1"/>
  <c r="F2014" i="1" l="1"/>
  <c r="I2014" i="1" l="1"/>
  <c r="E2015" i="1" s="1"/>
  <c r="H2015" i="1" l="1"/>
  <c r="F2015" i="1" s="1"/>
  <c r="G2015" i="1"/>
  <c r="I2015" i="1" l="1"/>
  <c r="E2016" i="1" s="1"/>
  <c r="H2016" i="1" l="1"/>
  <c r="G2016" i="1"/>
  <c r="F2016" i="1"/>
  <c r="I2016" i="1" l="1"/>
  <c r="E2017" i="1" s="1"/>
  <c r="H2017" i="1" l="1"/>
  <c r="G2017" i="1"/>
  <c r="F2017" i="1" l="1"/>
  <c r="I2017" i="1" l="1"/>
  <c r="E2018" i="1" s="1"/>
  <c r="H2018" i="1" l="1"/>
  <c r="G2018" i="1"/>
  <c r="F2018" i="1"/>
  <c r="I2018" i="1" l="1"/>
  <c r="E2019" i="1" s="1"/>
  <c r="G2019" i="1" l="1"/>
  <c r="H2019" i="1"/>
  <c r="F2019" i="1" l="1"/>
  <c r="I2019" i="1" s="1"/>
  <c r="E2020" i="1" s="1"/>
  <c r="G2020" i="1" l="1"/>
  <c r="H2020" i="1"/>
  <c r="F2020" i="1" l="1"/>
  <c r="I2020" i="1" l="1"/>
  <c r="E2021" i="1" s="1"/>
  <c r="G2021" i="1" l="1"/>
  <c r="H2021" i="1"/>
  <c r="F2021" i="1" s="1"/>
  <c r="I2021" i="1" l="1"/>
  <c r="E2022" i="1" s="1"/>
  <c r="G2022" i="1" l="1"/>
  <c r="H2022" i="1"/>
  <c r="F2022" i="1" l="1"/>
  <c r="I2022" i="1" s="1"/>
  <c r="E2023" i="1" s="1"/>
  <c r="H2023" i="1" l="1"/>
  <c r="G2023" i="1"/>
  <c r="F2023" i="1" l="1"/>
  <c r="I2023" i="1" s="1"/>
  <c r="E2024" i="1" s="1"/>
  <c r="H2024" i="1" l="1"/>
  <c r="G2024" i="1"/>
  <c r="F2024" i="1" l="1"/>
  <c r="I2024" i="1" s="1"/>
  <c r="E2025" i="1" s="1"/>
  <c r="G2025" i="1" l="1"/>
  <c r="H2025" i="1"/>
  <c r="F2025" i="1" l="1"/>
  <c r="I2025" i="1" s="1"/>
  <c r="E2026" i="1" s="1"/>
  <c r="H2026" i="1" l="1"/>
  <c r="G2026" i="1"/>
  <c r="F2026" i="1" l="1"/>
  <c r="I2026" i="1" s="1"/>
  <c r="E2027" i="1" s="1"/>
  <c r="H2027" i="1" l="1"/>
  <c r="G2027" i="1"/>
  <c r="F2027" i="1" l="1"/>
  <c r="I2027" i="1" l="1"/>
  <c r="E2028" i="1" s="1"/>
  <c r="G2028" i="1" l="1"/>
  <c r="H2028" i="1"/>
  <c r="F2028" i="1" l="1"/>
  <c r="I2028" i="1" s="1"/>
  <c r="E2029" i="1" s="1"/>
  <c r="H2029" i="1" l="1"/>
  <c r="G2029" i="1"/>
  <c r="F2029" i="1" l="1"/>
  <c r="I2029" i="1" s="1"/>
  <c r="E2030" i="1" s="1"/>
  <c r="H2030" i="1" l="1"/>
  <c r="G2030" i="1"/>
  <c r="F2030" i="1" l="1"/>
  <c r="I2030" i="1" s="1"/>
  <c r="E2031" i="1" s="1"/>
  <c r="H2031" i="1" l="1"/>
  <c r="G2031" i="1"/>
  <c r="F2031" i="1" l="1"/>
  <c r="I2031" i="1" s="1"/>
  <c r="E2032" i="1" s="1"/>
  <c r="H2032" i="1" l="1"/>
  <c r="G2032" i="1"/>
  <c r="F2032" i="1" l="1"/>
  <c r="I2032" i="1" s="1"/>
  <c r="E2033" i="1" s="1"/>
  <c r="H2033" i="1" l="1"/>
  <c r="G2033" i="1"/>
  <c r="F2033" i="1" l="1"/>
  <c r="I2033" i="1" s="1"/>
  <c r="E2034" i="1" s="1"/>
  <c r="G2034" i="1" l="1"/>
  <c r="H2034" i="1"/>
  <c r="F2034" i="1" l="1"/>
  <c r="I2034" i="1" s="1"/>
  <c r="E2035" i="1" s="1"/>
  <c r="H2035" i="1" l="1"/>
  <c r="G2035" i="1"/>
  <c r="F2035" i="1" l="1"/>
  <c r="I2035" i="1" s="1"/>
  <c r="E2036" i="1" s="1"/>
  <c r="H2036" i="1" l="1"/>
  <c r="G2036" i="1"/>
  <c r="F2036" i="1" l="1"/>
  <c r="I2036" i="1" s="1"/>
  <c r="E2037" i="1" s="1"/>
  <c r="G2037" i="1" l="1"/>
  <c r="H2037" i="1"/>
  <c r="F2037" i="1" l="1"/>
  <c r="I2037" i="1" s="1"/>
  <c r="E2038" i="1" s="1"/>
  <c r="H2038" i="1" l="1"/>
  <c r="G2038" i="1"/>
  <c r="F2038" i="1" l="1"/>
  <c r="I2038" i="1" s="1"/>
  <c r="E2039" i="1" s="1"/>
  <c r="H2039" i="1" l="1"/>
  <c r="G2039" i="1"/>
  <c r="F2039" i="1" l="1"/>
  <c r="I2039" i="1" s="1"/>
  <c r="E2040" i="1" s="1"/>
  <c r="H2040" i="1" l="1"/>
  <c r="G2040" i="1"/>
  <c r="F2040" i="1" l="1"/>
  <c r="I2040" i="1" s="1"/>
  <c r="E2041" i="1" s="1"/>
  <c r="H2041" i="1" l="1"/>
  <c r="G2041" i="1"/>
  <c r="F2041" i="1" l="1"/>
  <c r="I2041" i="1" s="1"/>
  <c r="E2042" i="1" s="1"/>
  <c r="G2042" i="1" l="1"/>
  <c r="H2042" i="1"/>
  <c r="F2042" i="1" l="1"/>
  <c r="I2042" i="1" l="1"/>
  <c r="E2043" i="1" s="1"/>
  <c r="G2043" i="1" l="1"/>
  <c r="H2043" i="1"/>
  <c r="F2043" i="1" l="1"/>
  <c r="I2043" i="1" l="1"/>
  <c r="E2044" i="1" s="1"/>
  <c r="H2044" i="1" l="1"/>
  <c r="G2044" i="1"/>
  <c r="F2044" i="1" l="1"/>
  <c r="I2044" i="1" s="1"/>
  <c r="E2045" i="1" s="1"/>
  <c r="G2045" i="1" l="1"/>
  <c r="H2045" i="1"/>
  <c r="F2045" i="1" s="1"/>
  <c r="I2045" i="1" l="1"/>
  <c r="E2046" i="1" s="1"/>
  <c r="H2046" i="1" l="1"/>
  <c r="G2046" i="1"/>
  <c r="F2046" i="1" l="1"/>
  <c r="I2046" i="1" s="1"/>
  <c r="E2047" i="1" s="1"/>
  <c r="G2047" i="1" l="1"/>
  <c r="H2047" i="1"/>
  <c r="F2047" i="1" l="1"/>
  <c r="I2047" i="1" s="1"/>
  <c r="E2048" i="1" s="1"/>
  <c r="H2048" i="1" l="1"/>
  <c r="G2048" i="1"/>
  <c r="F2048" i="1" l="1"/>
  <c r="I2048" i="1" l="1"/>
  <c r="E2049" i="1" s="1"/>
  <c r="G2049" i="1" l="1"/>
  <c r="H2049" i="1"/>
  <c r="F2049" i="1" l="1"/>
  <c r="I2049" i="1" l="1"/>
  <c r="E2050" i="1" s="1"/>
  <c r="H2050" i="1" l="1"/>
  <c r="G2050" i="1"/>
  <c r="F2050" i="1" l="1"/>
  <c r="I2050" i="1" s="1"/>
  <c r="E2051" i="1" s="1"/>
  <c r="H2051" i="1" l="1"/>
  <c r="G2051" i="1"/>
  <c r="F2051" i="1"/>
  <c r="I2051" i="1" l="1"/>
  <c r="E2052" i="1" s="1"/>
  <c r="G2052" i="1" l="1"/>
  <c r="H2052" i="1"/>
  <c r="F2052" i="1" l="1"/>
  <c r="I2052" i="1" l="1"/>
  <c r="E2053" i="1" s="1"/>
  <c r="H2053" i="1" l="1"/>
  <c r="F2053" i="1" s="1"/>
  <c r="G2053" i="1"/>
  <c r="I2053" i="1" l="1"/>
  <c r="E2054" i="1" s="1"/>
  <c r="H2054" i="1" l="1"/>
  <c r="G2054" i="1"/>
  <c r="F2054" i="1" l="1"/>
  <c r="I2054" i="1" l="1"/>
  <c r="E2055" i="1" s="1"/>
  <c r="G2055" i="1" l="1"/>
  <c r="H2055" i="1"/>
  <c r="F2055" i="1" l="1"/>
  <c r="I2055" i="1" l="1"/>
  <c r="E2056" i="1" s="1"/>
  <c r="H2056" i="1" l="1"/>
  <c r="G2056" i="1"/>
  <c r="F2056" i="1" l="1"/>
  <c r="I2056" i="1" s="1"/>
  <c r="E2057" i="1" s="1"/>
  <c r="H2057" i="1" l="1"/>
  <c r="G2057" i="1"/>
  <c r="F2057" i="1"/>
  <c r="I2057" i="1" l="1"/>
  <c r="E2058" i="1" s="1"/>
  <c r="G2058" i="1" l="1"/>
  <c r="H2058" i="1"/>
  <c r="F2058" i="1" s="1"/>
  <c r="I2058" i="1" l="1"/>
  <c r="E2059" i="1" s="1"/>
  <c r="H2059" i="1" l="1"/>
  <c r="G2059" i="1"/>
  <c r="F2059" i="1"/>
  <c r="I2059" i="1" l="1"/>
  <c r="E2060" i="1" s="1"/>
  <c r="H2060" i="1" l="1"/>
  <c r="G2060" i="1"/>
  <c r="F2060" i="1" l="1"/>
  <c r="I2060" i="1" s="1"/>
  <c r="E2061" i="1" s="1"/>
  <c r="G2061" i="1" l="1"/>
  <c r="H2061" i="1"/>
  <c r="F2061" i="1" l="1"/>
  <c r="I2061" i="1" s="1"/>
  <c r="E2062" i="1" s="1"/>
  <c r="H2062" i="1" l="1"/>
  <c r="G2062" i="1"/>
  <c r="F2062" i="1" l="1"/>
  <c r="I2062" i="1" s="1"/>
  <c r="E2063" i="1" s="1"/>
  <c r="H2063" i="1" l="1"/>
  <c r="G2063" i="1"/>
  <c r="F2063" i="1" l="1"/>
  <c r="I2063" i="1" s="1"/>
  <c r="E2064" i="1" s="1"/>
  <c r="H2064" i="1" l="1"/>
  <c r="G2064" i="1"/>
  <c r="F2064" i="1" l="1"/>
  <c r="I2064" i="1" s="1"/>
  <c r="E2065" i="1" s="1"/>
  <c r="H2065" i="1" l="1"/>
  <c r="G2065" i="1"/>
  <c r="F2065" i="1" l="1"/>
  <c r="I2065" i="1" s="1"/>
  <c r="E2066" i="1" s="1"/>
  <c r="H2066" i="1" l="1"/>
  <c r="G2066" i="1"/>
  <c r="F2066" i="1" l="1"/>
  <c r="I2066" i="1" s="1"/>
  <c r="E2067" i="1" s="1"/>
  <c r="G2067" i="1" l="1"/>
  <c r="H2067" i="1"/>
  <c r="F2067" i="1" l="1"/>
  <c r="I2067" i="1" s="1"/>
  <c r="E2068" i="1" s="1"/>
  <c r="H2068" i="1" l="1"/>
  <c r="G2068" i="1"/>
  <c r="F2068" i="1" l="1"/>
  <c r="I2068" i="1" s="1"/>
  <c r="E2069" i="1" s="1"/>
  <c r="H2069" i="1" l="1"/>
  <c r="G2069" i="1"/>
  <c r="F2069" i="1" l="1"/>
  <c r="I2069" i="1" s="1"/>
  <c r="E2070" i="1" s="1"/>
  <c r="H2070" i="1" l="1"/>
  <c r="G2070" i="1"/>
  <c r="F2070" i="1" l="1"/>
  <c r="I2070" i="1" s="1"/>
  <c r="E2071" i="1" s="1"/>
  <c r="G2071" i="1" l="1"/>
  <c r="H2071" i="1"/>
  <c r="F2071" i="1" l="1"/>
  <c r="I2071" i="1" l="1"/>
  <c r="E2072" i="1" s="1"/>
  <c r="G2072" i="1" l="1"/>
  <c r="H2072" i="1"/>
  <c r="F2072" i="1" l="1"/>
  <c r="I2072" i="1" s="1"/>
  <c r="E2073" i="1" s="1"/>
  <c r="G2073" i="1" l="1"/>
  <c r="H2073" i="1"/>
  <c r="F2073" i="1" l="1"/>
  <c r="I2073" i="1" s="1"/>
  <c r="E2074" i="1" s="1"/>
  <c r="H2074" i="1" l="1"/>
  <c r="G2074" i="1"/>
  <c r="F2074" i="1" l="1"/>
  <c r="I2074" i="1" l="1"/>
  <c r="E2075" i="1" s="1"/>
  <c r="H2075" i="1" l="1"/>
  <c r="G2075" i="1"/>
  <c r="F2075" i="1"/>
  <c r="I2075" i="1" l="1"/>
  <c r="E2076" i="1" s="1"/>
  <c r="G2076" i="1" l="1"/>
  <c r="H2076" i="1"/>
  <c r="F2076" i="1" l="1"/>
  <c r="I2076" i="1" s="1"/>
  <c r="E2077" i="1" s="1"/>
  <c r="H2077" i="1" l="1"/>
  <c r="G2077" i="1"/>
  <c r="F2077" i="1" l="1"/>
  <c r="I2077" i="1" l="1"/>
  <c r="E2078" i="1" s="1"/>
  <c r="H2078" i="1" l="1"/>
  <c r="F2078" i="1" s="1"/>
  <c r="G2078" i="1"/>
  <c r="I2078" i="1" l="1"/>
  <c r="E2079" i="1" s="1"/>
  <c r="G2079" i="1" l="1"/>
  <c r="H2079" i="1"/>
  <c r="F2079" i="1" l="1"/>
  <c r="I2079" i="1" s="1"/>
  <c r="E2080" i="1" s="1"/>
  <c r="H2080" i="1" l="1"/>
  <c r="G2080" i="1"/>
  <c r="F2080" i="1" l="1"/>
  <c r="I2080" i="1" s="1"/>
  <c r="E2081" i="1" s="1"/>
  <c r="H2081" i="1" l="1"/>
  <c r="G2081" i="1"/>
  <c r="F2081" i="1" l="1"/>
  <c r="I2081" i="1" l="1"/>
  <c r="E2082" i="1" s="1"/>
  <c r="H2082" i="1" l="1"/>
  <c r="G2082" i="1"/>
  <c r="F2082" i="1"/>
  <c r="I2082" i="1" l="1"/>
  <c r="E2083" i="1" s="1"/>
  <c r="G2083" i="1" l="1"/>
  <c r="H2083" i="1"/>
  <c r="F2083" i="1" l="1"/>
  <c r="I2083" i="1" s="1"/>
  <c r="E2084" i="1" s="1"/>
  <c r="G2084" i="1" l="1"/>
  <c r="H2084" i="1"/>
  <c r="F2084" i="1" l="1"/>
  <c r="I2084" i="1" s="1"/>
  <c r="E2085" i="1" s="1"/>
  <c r="G2085" i="1" l="1"/>
  <c r="H2085" i="1"/>
  <c r="F2085" i="1" l="1"/>
  <c r="I2085" i="1" s="1"/>
  <c r="E2086" i="1" s="1"/>
  <c r="G2086" i="1" l="1"/>
  <c r="H2086" i="1"/>
  <c r="F2086" i="1" l="1"/>
  <c r="I2086" i="1" s="1"/>
  <c r="E2087" i="1" s="1"/>
  <c r="H2087" i="1" l="1"/>
  <c r="G2087" i="1"/>
  <c r="F2087" i="1" l="1"/>
  <c r="I2087" i="1" s="1"/>
  <c r="E2088" i="1" s="1"/>
  <c r="H2088" i="1" l="1"/>
  <c r="G2088" i="1"/>
  <c r="F2088" i="1" l="1"/>
  <c r="I2088" i="1" s="1"/>
  <c r="E2089" i="1" s="1"/>
  <c r="H2089" i="1" l="1"/>
  <c r="G2089" i="1"/>
  <c r="F2089" i="1" l="1"/>
  <c r="I2089" i="1" s="1"/>
  <c r="E2090" i="1" s="1"/>
  <c r="H2090" i="1" l="1"/>
  <c r="G2090" i="1"/>
  <c r="F2090" i="1" l="1"/>
  <c r="I2090" i="1" l="1"/>
  <c r="E2091" i="1" s="1"/>
  <c r="G2091" i="1" l="1"/>
  <c r="H2091" i="1"/>
  <c r="F2091" i="1" l="1"/>
  <c r="I2091" i="1" l="1"/>
  <c r="E2092" i="1" s="1"/>
  <c r="G2092" i="1" l="1"/>
  <c r="H2092" i="1"/>
  <c r="F2092" i="1" l="1"/>
  <c r="I2092" i="1" s="1"/>
  <c r="E2093" i="1" s="1"/>
  <c r="H2093" i="1" l="1"/>
  <c r="F2093" i="1" s="1"/>
  <c r="G2093" i="1"/>
  <c r="I2093" i="1" l="1"/>
  <c r="E2094" i="1" s="1"/>
  <c r="G2094" i="1" l="1"/>
  <c r="H2094" i="1"/>
  <c r="F2094" i="1" l="1"/>
  <c r="I2094" i="1" s="1"/>
  <c r="E2095" i="1" s="1"/>
  <c r="H2095" i="1" l="1"/>
  <c r="G2095" i="1"/>
  <c r="F2095" i="1" l="1"/>
  <c r="I2095" i="1" s="1"/>
  <c r="E2096" i="1" s="1"/>
  <c r="H2096" i="1" l="1"/>
  <c r="G2096" i="1"/>
  <c r="F2096" i="1" l="1"/>
  <c r="I2096" i="1" l="1"/>
  <c r="E2097" i="1" s="1"/>
  <c r="G2097" i="1" l="1"/>
  <c r="H2097" i="1"/>
  <c r="F2097" i="1" l="1"/>
  <c r="I2097" i="1" l="1"/>
  <c r="E2098" i="1" s="1"/>
  <c r="G2098" i="1" l="1"/>
  <c r="H2098" i="1"/>
  <c r="F2098" i="1" l="1"/>
  <c r="I2098" i="1" s="1"/>
  <c r="E2099" i="1" s="1"/>
  <c r="H2099" i="1" l="1"/>
  <c r="F2099" i="1" s="1"/>
  <c r="G2099" i="1"/>
  <c r="I2099" i="1" l="1"/>
  <c r="E2100" i="1" s="1"/>
  <c r="H2100" i="1" l="1"/>
  <c r="G2100" i="1"/>
  <c r="F2100" i="1" l="1"/>
  <c r="I2100" i="1" l="1"/>
  <c r="E2101" i="1" s="1"/>
  <c r="H2101" i="1" l="1"/>
  <c r="F2101" i="1" s="1"/>
  <c r="G2101" i="1"/>
  <c r="I2101" i="1" l="1"/>
  <c r="E2102" i="1" s="1"/>
  <c r="H2102" i="1" l="1"/>
  <c r="G2102" i="1"/>
  <c r="F2102" i="1" l="1"/>
  <c r="I2102" i="1" s="1"/>
  <c r="E2103" i="1" s="1"/>
  <c r="H2103" i="1" l="1"/>
  <c r="G2103" i="1"/>
  <c r="F2103" i="1" l="1"/>
  <c r="I2103" i="1" s="1"/>
  <c r="E2104" i="1" s="1"/>
  <c r="H2104" i="1" l="1"/>
  <c r="G2104" i="1"/>
  <c r="F2104" i="1" l="1"/>
  <c r="I2104" i="1" s="1"/>
  <c r="E2105" i="1" s="1"/>
  <c r="H2105" i="1" l="1"/>
  <c r="G2105" i="1"/>
  <c r="F2105" i="1" l="1"/>
  <c r="I2105" i="1" s="1"/>
  <c r="E2106" i="1" s="1"/>
  <c r="H2106" i="1" l="1"/>
  <c r="G2106" i="1"/>
  <c r="F2106" i="1" l="1"/>
  <c r="I2106" i="1" s="1"/>
  <c r="E2107" i="1" s="1"/>
  <c r="G2107" i="1" l="1"/>
  <c r="H2107" i="1"/>
  <c r="F2107" i="1" l="1"/>
  <c r="I2107" i="1" l="1"/>
  <c r="E2108" i="1" s="1"/>
  <c r="H2108" i="1" l="1"/>
  <c r="F2108" i="1" s="1"/>
  <c r="G2108" i="1"/>
  <c r="I2108" i="1" l="1"/>
  <c r="E2109" i="1" s="1"/>
  <c r="G2109" i="1" l="1"/>
  <c r="H2109" i="1"/>
  <c r="F2109" i="1" l="1"/>
  <c r="I2109" i="1" s="1"/>
  <c r="E2110" i="1" s="1"/>
  <c r="H2110" i="1" l="1"/>
  <c r="G2110" i="1"/>
  <c r="F2110" i="1" l="1"/>
  <c r="I2110" i="1" s="1"/>
  <c r="E2111" i="1" s="1"/>
  <c r="H2111" i="1" l="1"/>
  <c r="G2111" i="1"/>
  <c r="F2111" i="1" l="1"/>
  <c r="I2111" i="1" s="1"/>
  <c r="E2112" i="1" s="1"/>
  <c r="H2112" i="1" l="1"/>
  <c r="G2112" i="1"/>
  <c r="F2112" i="1" l="1"/>
  <c r="I2112" i="1" s="1"/>
  <c r="E2113" i="1" s="1"/>
  <c r="H2113" i="1" l="1"/>
  <c r="G2113" i="1"/>
  <c r="F2113" i="1" l="1"/>
  <c r="I2113" i="1" s="1"/>
  <c r="E2114" i="1" s="1"/>
  <c r="H2114" i="1" l="1"/>
  <c r="G2114" i="1"/>
  <c r="F2114" i="1" l="1"/>
  <c r="I2114" i="1" s="1"/>
  <c r="E2115" i="1" s="1"/>
  <c r="G2115" i="1" l="1"/>
  <c r="H2115" i="1"/>
  <c r="F2115" i="1" l="1"/>
  <c r="I2115" i="1" s="1"/>
  <c r="E2116" i="1" s="1"/>
  <c r="H2116" i="1" l="1"/>
  <c r="G2116" i="1"/>
  <c r="F2116" i="1" l="1"/>
  <c r="I2116" i="1" s="1"/>
  <c r="E2117" i="1" s="1"/>
  <c r="H2117" i="1" l="1"/>
  <c r="G2117" i="1"/>
  <c r="F2117" i="1" l="1"/>
  <c r="I2117" i="1" l="1"/>
  <c r="E2118" i="1" s="1"/>
  <c r="H2118" i="1" l="1"/>
  <c r="F2118" i="1" s="1"/>
  <c r="G2118" i="1"/>
  <c r="I2118" i="1" l="1"/>
  <c r="E2119" i="1" s="1"/>
  <c r="H2119" i="1" l="1"/>
  <c r="G2119" i="1"/>
  <c r="F2119" i="1" l="1"/>
  <c r="I2119" i="1" l="1"/>
  <c r="E2120" i="1" s="1"/>
  <c r="H2120" i="1" l="1"/>
  <c r="F2120" i="1" s="1"/>
  <c r="G2120" i="1"/>
  <c r="I2120" i="1" l="1"/>
  <c r="E2121" i="1" s="1"/>
  <c r="H2121" i="1" l="1"/>
  <c r="G2121" i="1"/>
  <c r="F2121" i="1"/>
  <c r="I2121" i="1" l="1"/>
  <c r="E2122" i="1" s="1"/>
  <c r="H2122" i="1" l="1"/>
  <c r="G2122" i="1"/>
  <c r="F2122" i="1" l="1"/>
  <c r="I2122" i="1" s="1"/>
  <c r="E2123" i="1" s="1"/>
  <c r="G2123" i="1" l="1"/>
  <c r="H2123" i="1"/>
  <c r="F2123" i="1" l="1"/>
  <c r="I2123" i="1" l="1"/>
  <c r="E2124" i="1" s="1"/>
  <c r="G2124" i="1" l="1"/>
  <c r="H2124" i="1"/>
  <c r="F2124" i="1" l="1"/>
  <c r="I2124" i="1" l="1"/>
  <c r="E2125" i="1" s="1"/>
  <c r="G2125" i="1" l="1"/>
  <c r="H2125" i="1"/>
  <c r="F2125" i="1" l="1"/>
  <c r="I2125" i="1" l="1"/>
  <c r="E2126" i="1" s="1"/>
  <c r="G2126" i="1" l="1"/>
  <c r="H2126" i="1"/>
  <c r="F2126" i="1" l="1"/>
  <c r="I2126" i="1" s="1"/>
  <c r="E2127" i="1" s="1"/>
  <c r="H2127" i="1" l="1"/>
  <c r="G2127" i="1"/>
  <c r="F2127" i="1" l="1"/>
  <c r="I2127" i="1" s="1"/>
  <c r="E2128" i="1" s="1"/>
  <c r="G2128" i="1" l="1"/>
  <c r="H2128" i="1"/>
  <c r="F2128" i="1" s="1"/>
  <c r="I2128" i="1" l="1"/>
  <c r="E2129" i="1" s="1"/>
  <c r="H2129" i="1" l="1"/>
  <c r="G2129" i="1"/>
  <c r="F2129" i="1" l="1"/>
  <c r="I2129" i="1" s="1"/>
  <c r="E2130" i="1" s="1"/>
  <c r="H2130" i="1" l="1"/>
  <c r="G2130" i="1"/>
  <c r="F2130" i="1" l="1"/>
  <c r="I2130" i="1" s="1"/>
  <c r="E2131" i="1" s="1"/>
  <c r="G2131" i="1" l="1"/>
  <c r="H2131" i="1"/>
  <c r="F2131" i="1" l="1"/>
  <c r="I2131" i="1" s="1"/>
  <c r="E2132" i="1" s="1"/>
  <c r="G2132" i="1" l="1"/>
  <c r="H2132" i="1"/>
  <c r="F2132" i="1" l="1"/>
  <c r="I2132" i="1" s="1"/>
  <c r="E2133" i="1" s="1"/>
  <c r="H2133" i="1" l="1"/>
  <c r="G2133" i="1"/>
  <c r="F2133" i="1" l="1"/>
  <c r="I2133" i="1" s="1"/>
  <c r="E2134" i="1" s="1"/>
  <c r="H2134" i="1" l="1"/>
  <c r="G2134" i="1"/>
  <c r="F2134" i="1" l="1"/>
  <c r="I2134" i="1" l="1"/>
  <c r="E2135" i="1" s="1"/>
  <c r="H2135" i="1" l="1"/>
  <c r="G2135" i="1"/>
  <c r="F2135" i="1"/>
  <c r="I2135" i="1" l="1"/>
  <c r="E2136" i="1" s="1"/>
  <c r="H2136" i="1" l="1"/>
  <c r="G2136" i="1"/>
  <c r="F2136" i="1" l="1"/>
  <c r="I2136" i="1" s="1"/>
  <c r="E2137" i="1" s="1"/>
  <c r="H2137" i="1" l="1"/>
  <c r="G2137" i="1"/>
  <c r="F2137" i="1" l="1"/>
  <c r="I2137" i="1" s="1"/>
  <c r="E2138" i="1" s="1"/>
  <c r="H2138" i="1" l="1"/>
  <c r="G2138" i="1"/>
  <c r="F2138" i="1" l="1"/>
  <c r="I2138" i="1" l="1"/>
  <c r="E2139" i="1" s="1"/>
  <c r="G2139" i="1" l="1"/>
  <c r="H2139" i="1"/>
  <c r="F2139" i="1" l="1"/>
  <c r="I2139" i="1" s="1"/>
  <c r="E2140" i="1" s="1"/>
  <c r="G2140" i="1" l="1"/>
  <c r="H2140" i="1"/>
  <c r="F2140" i="1" l="1"/>
  <c r="I2140" i="1" l="1"/>
  <c r="E2141" i="1" s="1"/>
  <c r="G2141" i="1" l="1"/>
  <c r="H2141" i="1"/>
  <c r="F2141" i="1" s="1"/>
  <c r="I2141" i="1" l="1"/>
  <c r="E2142" i="1" s="1"/>
  <c r="G2142" i="1" l="1"/>
  <c r="H2142" i="1"/>
  <c r="F2142" i="1" l="1"/>
  <c r="I2142" i="1" s="1"/>
  <c r="E2143" i="1" s="1"/>
  <c r="G2143" i="1" l="1"/>
  <c r="H2143" i="1"/>
  <c r="F2143" i="1" l="1"/>
  <c r="I2143" i="1" s="1"/>
  <c r="E2144" i="1" s="1"/>
  <c r="H2144" i="1" l="1"/>
  <c r="G2144" i="1"/>
  <c r="F2144" i="1" l="1"/>
  <c r="I2144" i="1" s="1"/>
  <c r="E2145" i="1" s="1"/>
  <c r="H2145" i="1" l="1"/>
  <c r="G2145" i="1"/>
  <c r="F2145" i="1" l="1"/>
  <c r="I2145" i="1" s="1"/>
  <c r="E2146" i="1" s="1"/>
  <c r="H2146" i="1" l="1"/>
  <c r="G2146" i="1"/>
  <c r="F2146" i="1" l="1"/>
  <c r="I2146" i="1" l="1"/>
  <c r="E2147" i="1" s="1"/>
  <c r="H2147" i="1" l="1"/>
  <c r="F2147" i="1" s="1"/>
  <c r="G2147" i="1"/>
  <c r="I2147" i="1" l="1"/>
  <c r="E2148" i="1" s="1"/>
  <c r="H2148" i="1" l="1"/>
  <c r="F2148" i="1" s="1"/>
  <c r="G2148" i="1"/>
  <c r="I2148" i="1" l="1"/>
  <c r="E2149" i="1" s="1"/>
  <c r="H2149" i="1" l="1"/>
  <c r="F2149" i="1" s="1"/>
  <c r="G2149" i="1"/>
  <c r="I2149" i="1" l="1"/>
  <c r="E2150" i="1" s="1"/>
  <c r="G2150" i="1" l="1"/>
  <c r="H2150" i="1"/>
  <c r="F2150" i="1" l="1"/>
  <c r="I2150" i="1" s="1"/>
  <c r="E2151" i="1" s="1"/>
  <c r="H2151" i="1" l="1"/>
  <c r="G2151" i="1"/>
  <c r="F2151" i="1" l="1"/>
  <c r="I2151" i="1" s="1"/>
  <c r="E2152" i="1" s="1"/>
  <c r="G2152" i="1" l="1"/>
  <c r="H2152" i="1"/>
  <c r="F2152" i="1" l="1"/>
  <c r="I2152" i="1" s="1"/>
  <c r="E2153" i="1" s="1"/>
  <c r="H2153" i="1" l="1"/>
  <c r="G2153" i="1"/>
  <c r="F2153" i="1" l="1"/>
  <c r="I2153" i="1" s="1"/>
  <c r="E2154" i="1" s="1"/>
  <c r="H2154" i="1" l="1"/>
  <c r="G2154" i="1"/>
  <c r="F2154" i="1" l="1"/>
  <c r="I2154" i="1" l="1"/>
  <c r="E2155" i="1" s="1"/>
  <c r="H2155" i="1" l="1"/>
  <c r="F2155" i="1" s="1"/>
  <c r="G2155" i="1"/>
  <c r="I2155" i="1" l="1"/>
  <c r="E2156" i="1" s="1"/>
  <c r="G2156" i="1" l="1"/>
  <c r="H2156" i="1"/>
  <c r="F2156" i="1" s="1"/>
  <c r="I2156" i="1" l="1"/>
  <c r="E2157" i="1" s="1"/>
  <c r="G2157" i="1" l="1"/>
  <c r="H2157" i="1"/>
  <c r="F2157" i="1" l="1"/>
  <c r="I2157" i="1" s="1"/>
  <c r="E2158" i="1" s="1"/>
  <c r="H2158" i="1" l="1"/>
  <c r="G2158" i="1"/>
  <c r="F2158" i="1" l="1"/>
  <c r="I2158" i="1" s="1"/>
  <c r="E2159" i="1" s="1"/>
  <c r="G2159" i="1" l="1"/>
  <c r="H2159" i="1"/>
  <c r="F2159" i="1" l="1"/>
  <c r="I2159" i="1" l="1"/>
  <c r="E2160" i="1" s="1"/>
  <c r="H2160" i="1" l="1"/>
  <c r="F2160" i="1" s="1"/>
  <c r="G2160" i="1"/>
  <c r="I2160" i="1" l="1"/>
  <c r="E2161" i="1" s="1"/>
  <c r="G2161" i="1" l="1"/>
  <c r="H2161" i="1"/>
  <c r="F2161" i="1" l="1"/>
  <c r="I2161" i="1" s="1"/>
  <c r="E2162" i="1" s="1"/>
  <c r="H2162" i="1" l="1"/>
  <c r="G2162" i="1"/>
  <c r="F2162" i="1" l="1"/>
  <c r="I2162" i="1" l="1"/>
  <c r="E2163" i="1" s="1"/>
  <c r="H2163" i="1" l="1"/>
  <c r="G2163" i="1"/>
  <c r="F2163" i="1"/>
  <c r="I2163" i="1" l="1"/>
  <c r="E2164" i="1" s="1"/>
  <c r="G2164" i="1" l="1"/>
  <c r="H2164" i="1"/>
  <c r="F2164" i="1" l="1"/>
  <c r="I2164" i="1" s="1"/>
  <c r="E2165" i="1" s="1"/>
  <c r="H2165" i="1" l="1"/>
  <c r="G2165" i="1"/>
  <c r="F2165" i="1" l="1"/>
  <c r="I2165" i="1" s="1"/>
  <c r="E2166" i="1" s="1"/>
  <c r="G2166" i="1" l="1"/>
  <c r="H2166" i="1"/>
  <c r="F2166" i="1" l="1"/>
  <c r="I2166" i="1" s="1"/>
  <c r="E2167" i="1" s="1"/>
  <c r="H2167" i="1" l="1"/>
  <c r="G2167" i="1"/>
  <c r="F2167" i="1" l="1"/>
  <c r="I2167" i="1" s="1"/>
  <c r="E2168" i="1" s="1"/>
  <c r="G2168" i="1" l="1"/>
  <c r="H2168" i="1"/>
  <c r="F2168" i="1" l="1"/>
  <c r="I2168" i="1" l="1"/>
  <c r="E2169" i="1" s="1"/>
  <c r="G2169" i="1" l="1"/>
  <c r="H2169" i="1"/>
  <c r="F2169" i="1" l="1"/>
  <c r="I2169" i="1" l="1"/>
  <c r="E2170" i="1" s="1"/>
  <c r="H2170" i="1" l="1"/>
  <c r="G2170" i="1"/>
  <c r="F2170" i="1" l="1"/>
  <c r="I2170" i="1" s="1"/>
  <c r="E2171" i="1" s="1"/>
  <c r="G2171" i="1" l="1"/>
  <c r="H2171" i="1"/>
  <c r="F2171" i="1" s="1"/>
  <c r="I2171" i="1" l="1"/>
  <c r="E2172" i="1" s="1"/>
  <c r="G2172" i="1" l="1"/>
  <c r="H2172" i="1"/>
  <c r="F2172" i="1" l="1"/>
  <c r="I2172" i="1" l="1"/>
  <c r="E2173" i="1" s="1"/>
  <c r="H2173" i="1" l="1"/>
  <c r="F2173" i="1" s="1"/>
  <c r="G2173" i="1"/>
  <c r="I2173" i="1" l="1"/>
  <c r="E2174" i="1" s="1"/>
  <c r="H2174" i="1" l="1"/>
  <c r="G2174" i="1"/>
  <c r="F2174" i="1" l="1"/>
  <c r="I2174" i="1" s="1"/>
  <c r="E2175" i="1" s="1"/>
  <c r="H2175" i="1" l="1"/>
  <c r="G2175" i="1"/>
  <c r="F2175" i="1" l="1"/>
  <c r="I2175" i="1" s="1"/>
  <c r="E2176" i="1" s="1"/>
  <c r="G2176" i="1" l="1"/>
  <c r="H2176" i="1"/>
  <c r="F2176" i="1" l="1"/>
  <c r="I2176" i="1" s="1"/>
  <c r="E2177" i="1" s="1"/>
  <c r="H2177" i="1" l="1"/>
  <c r="G2177" i="1"/>
  <c r="F2177" i="1" l="1"/>
  <c r="I2177" i="1" s="1"/>
  <c r="E2178" i="1" s="1"/>
  <c r="H2178" i="1" l="1"/>
  <c r="G2178" i="1"/>
  <c r="F2178" i="1" l="1"/>
  <c r="I2178" i="1" l="1"/>
  <c r="E2179" i="1" s="1"/>
  <c r="H2179" i="1" l="1"/>
  <c r="G2179" i="1"/>
  <c r="F2179" i="1"/>
  <c r="I2179" i="1" l="1"/>
  <c r="E2180" i="1" s="1"/>
  <c r="E9" i="2" l="1"/>
  <c r="H2180" i="1"/>
  <c r="G2180" i="1"/>
  <c r="G9" i="2"/>
  <c r="F9" i="2"/>
  <c r="N9" i="2" l="1"/>
  <c r="O9" i="2" s="1"/>
  <c r="L9" i="2" s="1"/>
  <c r="M9" i="2" s="1"/>
  <c r="H9" i="2"/>
  <c r="I9" i="2" s="1"/>
  <c r="S9" i="2"/>
  <c r="T9" i="2" s="1"/>
  <c r="J9" i="2"/>
  <c r="K9" i="2" s="1"/>
  <c r="F2180" i="1"/>
  <c r="I2180" i="1" s="1"/>
  <c r="E2181" i="1" s="1"/>
  <c r="U9" i="2" l="1"/>
  <c r="P9" i="2" s="1"/>
  <c r="Q9" i="2" s="1"/>
  <c r="H2181" i="1"/>
  <c r="G2181" i="1"/>
  <c r="F2181" i="1" l="1"/>
  <c r="I2181" i="1" l="1"/>
  <c r="E2182" i="1" s="1"/>
  <c r="H2182" i="1" l="1"/>
  <c r="F2182" i="1" s="1"/>
  <c r="G2182" i="1"/>
  <c r="I2182" i="1" l="1"/>
  <c r="E2183" i="1" l="1"/>
  <c r="G2183" i="1" s="1"/>
  <c r="H2183" i="1" l="1"/>
  <c r="F2183" i="1" s="1"/>
  <c r="I2183" i="1" s="1"/>
  <c r="E2184" i="1" s="1"/>
  <c r="H2184" i="1" l="1"/>
  <c r="F2184" i="1" s="1"/>
  <c r="I2184" i="1" s="1"/>
  <c r="E2185" i="1" s="1"/>
  <c r="G2184" i="1"/>
  <c r="H2185" i="1" l="1"/>
  <c r="G2185" i="1"/>
  <c r="F2185" i="1" l="1"/>
  <c r="I2185" i="1" s="1"/>
  <c r="E2186" i="1" s="1"/>
  <c r="H2186" i="1" l="1"/>
  <c r="G2186" i="1"/>
  <c r="F2186" i="1" l="1"/>
  <c r="I2186" i="1" l="1"/>
  <c r="E2187" i="1" s="1"/>
  <c r="H2187" i="1" l="1"/>
  <c r="F2187" i="1" s="1"/>
  <c r="G2187" i="1"/>
  <c r="I2187" i="1" l="1"/>
  <c r="E2188" i="1" s="1"/>
  <c r="H2188" i="1" l="1"/>
  <c r="G2188" i="1"/>
  <c r="F2188" i="1"/>
  <c r="I2188" i="1" l="1"/>
  <c r="E2189" i="1" s="1"/>
  <c r="H2189" i="1" l="1"/>
  <c r="G2189" i="1"/>
  <c r="F2189" i="1" l="1"/>
  <c r="I2189" i="1" l="1"/>
  <c r="E2190" i="1" s="1"/>
  <c r="G2190" i="1" l="1"/>
  <c r="H2190" i="1"/>
  <c r="F2190" i="1" l="1"/>
  <c r="I2190" i="1" l="1"/>
  <c r="E2191" i="1" s="1"/>
  <c r="H2191" i="1" l="1"/>
  <c r="G2191" i="1"/>
  <c r="F2191" i="1" l="1"/>
  <c r="I2191" i="1" s="1"/>
  <c r="E2192" i="1" s="1"/>
  <c r="H2192" i="1" l="1"/>
  <c r="F2192" i="1" s="1"/>
  <c r="G2192" i="1"/>
  <c r="I2192" i="1" l="1"/>
  <c r="E2193" i="1" s="1"/>
  <c r="H2193" i="1" l="1"/>
  <c r="G2193" i="1"/>
  <c r="F2193" i="1"/>
  <c r="I2193" i="1" l="1"/>
  <c r="E2194" i="1" s="1"/>
  <c r="H2194" i="1" l="1"/>
  <c r="F2194" i="1" s="1"/>
  <c r="G2194" i="1"/>
  <c r="I2194" i="1" l="1"/>
  <c r="E2195" i="1" s="1"/>
  <c r="G2195" i="1" l="1"/>
  <c r="H2195" i="1"/>
  <c r="F2195" i="1" s="1"/>
  <c r="I2195" i="1" l="1"/>
  <c r="E2196" i="1" s="1"/>
  <c r="H2196" i="1" l="1"/>
  <c r="G2196" i="1"/>
  <c r="F2196" i="1" l="1"/>
  <c r="I2196" i="1" s="1"/>
  <c r="E2197" i="1" s="1"/>
  <c r="G2197" i="1" l="1"/>
  <c r="H2197" i="1"/>
  <c r="F2197" i="1" l="1"/>
  <c r="I2197" i="1" s="1"/>
  <c r="E2198" i="1" s="1"/>
  <c r="H2198" i="1" l="1"/>
  <c r="G2198" i="1"/>
  <c r="F2198" i="1" l="1"/>
  <c r="I2198" i="1" s="1"/>
  <c r="E2199" i="1" s="1"/>
  <c r="H2199" i="1" l="1"/>
  <c r="G2199" i="1"/>
  <c r="F2199" i="1" l="1"/>
  <c r="I2199" i="1" l="1"/>
  <c r="E2200" i="1" s="1"/>
  <c r="H2200" i="1" l="1"/>
  <c r="G2200" i="1"/>
  <c r="F2200" i="1"/>
  <c r="I2200" i="1" l="1"/>
  <c r="E2201" i="1" s="1"/>
  <c r="G2201" i="1" l="1"/>
  <c r="H2201" i="1"/>
  <c r="F2201" i="1" l="1"/>
  <c r="I2201" i="1" l="1"/>
  <c r="E2202" i="1" s="1"/>
  <c r="G2202" i="1" l="1"/>
  <c r="H2202" i="1"/>
  <c r="F2202" i="1" l="1"/>
  <c r="I2202" i="1" s="1"/>
  <c r="E2203" i="1" s="1"/>
  <c r="H2203" i="1" l="1"/>
  <c r="G2203" i="1"/>
  <c r="F2203" i="1"/>
  <c r="I2203" i="1" l="1"/>
  <c r="E2204" i="1" s="1"/>
  <c r="G2204" i="1" l="1"/>
  <c r="H2204" i="1"/>
  <c r="F2204" i="1" l="1"/>
  <c r="I2204" i="1" s="1"/>
  <c r="E2205" i="1" s="1"/>
  <c r="H2205" i="1" l="1"/>
  <c r="G2205" i="1"/>
  <c r="F2205" i="1" l="1"/>
  <c r="I2205" i="1" s="1"/>
  <c r="E2206" i="1" s="1"/>
  <c r="H2206" i="1" l="1"/>
  <c r="G2206" i="1"/>
  <c r="F2206" i="1" l="1"/>
  <c r="I2206" i="1" s="1"/>
  <c r="E2207" i="1" s="1"/>
  <c r="H2207" i="1" l="1"/>
  <c r="G2207" i="1"/>
  <c r="F2207" i="1" l="1"/>
  <c r="I2207" i="1" s="1"/>
  <c r="E2208" i="1" s="1"/>
  <c r="H2208" i="1" l="1"/>
  <c r="G2208" i="1"/>
  <c r="F2208" i="1" l="1"/>
  <c r="I2208" i="1" s="1"/>
  <c r="E2209" i="1" s="1"/>
  <c r="H2209" i="1" l="1"/>
  <c r="G2209" i="1"/>
  <c r="F2209" i="1" l="1"/>
  <c r="I2209" i="1" s="1"/>
  <c r="E2210" i="1" s="1"/>
  <c r="H2210" i="1" l="1"/>
  <c r="G2210" i="1"/>
  <c r="F2210" i="1" l="1"/>
  <c r="I2210" i="1" l="1"/>
  <c r="E2211" i="1" s="1"/>
  <c r="G2211" i="1" l="1"/>
  <c r="H2211" i="1"/>
  <c r="F2211" i="1" l="1"/>
  <c r="I2211" i="1" s="1"/>
  <c r="E2212" i="1" s="1"/>
  <c r="H2212" i="1" l="1"/>
  <c r="G2212" i="1"/>
  <c r="F2212" i="1" l="1"/>
  <c r="I2212" i="1" s="1"/>
  <c r="E2213" i="1" s="1"/>
  <c r="G2213" i="1" l="1"/>
  <c r="H2213" i="1"/>
  <c r="F2213" i="1" l="1"/>
  <c r="I2213" i="1" l="1"/>
  <c r="E2214" i="1" s="1"/>
  <c r="G2214" i="1" l="1"/>
  <c r="H2214" i="1"/>
  <c r="F2214" i="1" s="1"/>
  <c r="I2214" i="1" l="1"/>
  <c r="E2215" i="1" s="1"/>
  <c r="H2215" i="1" l="1"/>
  <c r="F2215" i="1" s="1"/>
  <c r="G2215" i="1"/>
  <c r="I2215" i="1" l="1"/>
  <c r="E2216" i="1" s="1"/>
  <c r="H2216" i="1" l="1"/>
  <c r="G2216" i="1"/>
  <c r="F2216" i="1" l="1"/>
  <c r="I2216" i="1" s="1"/>
  <c r="E2217" i="1" s="1"/>
  <c r="H2217" i="1" l="1"/>
  <c r="G2217" i="1"/>
  <c r="F2217" i="1" l="1"/>
  <c r="I2217" i="1" s="1"/>
  <c r="E2218" i="1" s="1"/>
  <c r="G2218" i="1" l="1"/>
  <c r="H2218" i="1"/>
  <c r="F2218" i="1" l="1"/>
  <c r="I2218" i="1" l="1"/>
  <c r="E2219" i="1" s="1"/>
  <c r="H2219" i="1" l="1"/>
  <c r="G2219" i="1"/>
  <c r="F2219" i="1"/>
  <c r="I2219" i="1" l="1"/>
  <c r="E2220" i="1" s="1"/>
  <c r="H2220" i="1" l="1"/>
  <c r="G2220" i="1"/>
  <c r="F2220" i="1" l="1"/>
  <c r="I2220" i="1" s="1"/>
  <c r="E2221" i="1" s="1"/>
  <c r="G2221" i="1" l="1"/>
  <c r="H2221" i="1"/>
  <c r="F2221" i="1" l="1"/>
  <c r="I2221" i="1" s="1"/>
  <c r="E2222" i="1" s="1"/>
  <c r="H2222" i="1" l="1"/>
  <c r="G2222" i="1"/>
  <c r="F2222" i="1" l="1"/>
  <c r="I2222" i="1" s="1"/>
  <c r="E2223" i="1" s="1"/>
  <c r="H2223" i="1" l="1"/>
  <c r="G2223" i="1"/>
  <c r="F2223" i="1" l="1"/>
  <c r="I2223" i="1" s="1"/>
  <c r="E2224" i="1" s="1"/>
  <c r="H2224" i="1" l="1"/>
  <c r="G2224" i="1"/>
  <c r="F2224" i="1" l="1"/>
  <c r="I2224" i="1" l="1"/>
  <c r="E2225" i="1" s="1"/>
  <c r="H2225" i="1" l="1"/>
  <c r="G2225" i="1"/>
  <c r="F2225" i="1"/>
  <c r="I2225" i="1" l="1"/>
  <c r="E2226" i="1" s="1"/>
  <c r="G2226" i="1" l="1"/>
  <c r="H2226" i="1"/>
  <c r="F2226" i="1" s="1"/>
  <c r="I2226" i="1" l="1"/>
  <c r="E2227" i="1" s="1"/>
  <c r="H2227" i="1" l="1"/>
  <c r="G2227" i="1"/>
  <c r="F2227" i="1"/>
  <c r="I2227" i="1" l="1"/>
  <c r="E2228" i="1" s="1"/>
  <c r="H2228" i="1" l="1"/>
  <c r="G2228" i="1"/>
  <c r="F2228" i="1"/>
  <c r="I2228" i="1" l="1"/>
  <c r="E2229" i="1" l="1"/>
  <c r="G2229" i="1" l="1"/>
  <c r="H2229" i="1"/>
  <c r="F2229" i="1" s="1"/>
  <c r="I2229" i="1" l="1"/>
  <c r="E2230" i="1" s="1"/>
  <c r="H2230" i="1" s="1"/>
  <c r="F2230" i="1" s="1"/>
  <c r="G2230" i="1" l="1"/>
  <c r="I2230" i="1"/>
  <c r="E2231" i="1" s="1"/>
  <c r="G2231" i="1" l="1"/>
  <c r="H2231" i="1"/>
  <c r="F2231" i="1" l="1"/>
  <c r="I2231" i="1" s="1"/>
  <c r="E2232" i="1" s="1"/>
  <c r="H2232" i="1" l="1"/>
  <c r="G2232" i="1"/>
  <c r="F2232" i="1" l="1"/>
  <c r="I2232" i="1" l="1"/>
  <c r="E2233" i="1" s="1"/>
  <c r="H2233" i="1" l="1"/>
  <c r="G2233" i="1"/>
  <c r="F2233" i="1"/>
  <c r="I2233" i="1" l="1"/>
  <c r="E2234" i="1" s="1"/>
  <c r="H2234" i="1" l="1"/>
  <c r="F2234" i="1" s="1"/>
  <c r="G2234" i="1"/>
  <c r="I2234" i="1" l="1"/>
  <c r="E2235" i="1" s="1"/>
  <c r="G2235" i="1" l="1"/>
  <c r="H2235" i="1"/>
  <c r="F2235" i="1" l="1"/>
  <c r="I2235" i="1" s="1"/>
  <c r="E2236" i="1" s="1"/>
  <c r="H2236" i="1" l="1"/>
  <c r="G2236" i="1"/>
  <c r="F2236" i="1" l="1"/>
  <c r="I2236" i="1" l="1"/>
  <c r="E2237" i="1" s="1"/>
  <c r="H2237" i="1" l="1"/>
  <c r="F2237" i="1" s="1"/>
  <c r="G2237" i="1"/>
  <c r="I2237" i="1" l="1"/>
  <c r="E2238" i="1" s="1"/>
  <c r="H2238" i="1" l="1"/>
  <c r="G2238" i="1"/>
  <c r="F2238" i="1" l="1"/>
  <c r="I2238" i="1" l="1"/>
  <c r="E2239" i="1" s="1"/>
  <c r="G2239" i="1" l="1"/>
  <c r="H2239" i="1"/>
  <c r="F2239" i="1" l="1"/>
  <c r="I2239" i="1" s="1"/>
  <c r="E2240" i="1" s="1"/>
  <c r="H2240" i="1" l="1"/>
  <c r="G2240" i="1"/>
  <c r="F2240" i="1" l="1"/>
  <c r="I2240" i="1" s="1"/>
  <c r="E2241" i="1" s="1"/>
  <c r="H2241" i="1" l="1"/>
  <c r="G2241" i="1"/>
  <c r="F2241" i="1" l="1"/>
  <c r="I2241" i="1" s="1"/>
  <c r="E2242" i="1" s="1"/>
  <c r="H2242" i="1" l="1"/>
  <c r="G2242" i="1"/>
  <c r="F2242" i="1" l="1"/>
  <c r="I2242" i="1" s="1"/>
  <c r="E2243" i="1" s="1"/>
  <c r="H2243" i="1" l="1"/>
  <c r="G2243" i="1"/>
  <c r="F2243" i="1" l="1"/>
  <c r="I2243" i="1" s="1"/>
  <c r="E2244" i="1" s="1"/>
  <c r="G2244" i="1" l="1"/>
  <c r="H2244" i="1"/>
  <c r="F2244" i="1" l="1"/>
  <c r="I2244" i="1" s="1"/>
  <c r="E2245" i="1" s="1"/>
  <c r="H2245" i="1" l="1"/>
  <c r="G2245" i="1"/>
  <c r="F2245" i="1" l="1"/>
  <c r="I2245" i="1" s="1"/>
  <c r="E2246" i="1" s="1"/>
  <c r="H2246" i="1" l="1"/>
  <c r="G2246" i="1"/>
  <c r="F2246" i="1" l="1"/>
  <c r="I2246" i="1" l="1"/>
  <c r="E2247" i="1" s="1"/>
  <c r="H2247" i="1" l="1"/>
  <c r="G2247" i="1"/>
  <c r="F2247" i="1"/>
  <c r="I2247" i="1" l="1"/>
  <c r="E2248" i="1" s="1"/>
  <c r="G2248" i="1" l="1"/>
  <c r="H2248" i="1"/>
  <c r="F2248" i="1" l="1"/>
  <c r="I2248" i="1" s="1"/>
  <c r="E2249" i="1" s="1"/>
  <c r="H2249" i="1" l="1"/>
  <c r="G2249" i="1"/>
  <c r="F2249" i="1" l="1"/>
  <c r="I2249" i="1" l="1"/>
  <c r="E2250" i="1" s="1"/>
  <c r="G2250" i="1" l="1"/>
  <c r="H2250" i="1"/>
  <c r="F2250" i="1" l="1"/>
  <c r="I2250" i="1" l="1"/>
  <c r="E2251" i="1" s="1"/>
  <c r="G2251" i="1" l="1"/>
  <c r="H2251" i="1"/>
  <c r="F2251" i="1" l="1"/>
  <c r="I2251" i="1" s="1"/>
  <c r="E2252" i="1" s="1"/>
  <c r="H2252" i="1" l="1"/>
  <c r="F2252" i="1" s="1"/>
  <c r="G2252" i="1"/>
  <c r="I2252" i="1" l="1"/>
  <c r="E2253" i="1" l="1"/>
  <c r="G2253" i="1" l="1"/>
  <c r="H2253" i="1"/>
  <c r="F2253" i="1" s="1"/>
  <c r="I2253" i="1" s="1"/>
  <c r="E2254" i="1" s="1"/>
  <c r="H2254" i="1" l="1"/>
  <c r="F2254" i="1" s="1"/>
  <c r="I2254" i="1" s="1"/>
  <c r="E2255" i="1" s="1"/>
  <c r="G2254" i="1"/>
  <c r="H2255" i="1" l="1"/>
  <c r="G2255" i="1"/>
  <c r="F2255" i="1" l="1"/>
  <c r="I2255" i="1" s="1"/>
  <c r="E2256" i="1" s="1"/>
  <c r="H2256" i="1" l="1"/>
  <c r="G2256" i="1"/>
  <c r="F2256" i="1" l="1"/>
  <c r="I2256" i="1" s="1"/>
  <c r="E2257" i="1" s="1"/>
  <c r="H2257" i="1" l="1"/>
  <c r="G2257" i="1"/>
  <c r="F2257" i="1" l="1"/>
  <c r="I2257" i="1" l="1"/>
  <c r="E2258" i="1" s="1"/>
  <c r="G2258" i="1" l="1"/>
  <c r="H2258" i="1"/>
  <c r="F2258" i="1" l="1"/>
  <c r="I2258" i="1" s="1"/>
  <c r="E2259" i="1" s="1"/>
  <c r="H2259" i="1" l="1"/>
  <c r="G2259" i="1"/>
  <c r="F2259" i="1" l="1"/>
  <c r="I2259" i="1" s="1"/>
  <c r="E2260" i="1" s="1"/>
  <c r="H2260" i="1" l="1"/>
  <c r="G2260" i="1"/>
  <c r="F2260" i="1" l="1"/>
  <c r="I2260" i="1" s="1"/>
  <c r="E2261" i="1" s="1"/>
  <c r="H2261" i="1" l="1"/>
  <c r="G2261" i="1"/>
  <c r="F2261" i="1" l="1"/>
  <c r="I2261" i="1" s="1"/>
  <c r="E2262" i="1" s="1"/>
  <c r="G2262" i="1" l="1"/>
  <c r="H2262" i="1"/>
  <c r="F2262" i="1" l="1"/>
  <c r="I2262" i="1" s="1"/>
  <c r="E2263" i="1" s="1"/>
  <c r="H2263" i="1" l="1"/>
  <c r="G2263" i="1"/>
  <c r="F2263" i="1" l="1"/>
  <c r="I2263" i="1" s="1"/>
  <c r="E2264" i="1" s="1"/>
  <c r="G2264" i="1" l="1"/>
  <c r="H2264" i="1"/>
  <c r="F2264" i="1" l="1"/>
  <c r="I2264" i="1" s="1"/>
  <c r="E2265" i="1" s="1"/>
  <c r="H2265" i="1" l="1"/>
  <c r="G2265" i="1"/>
  <c r="F2265" i="1" l="1"/>
  <c r="I2265" i="1" s="1"/>
  <c r="E2266" i="1" s="1"/>
  <c r="G2266" i="1" l="1"/>
  <c r="H2266" i="1"/>
  <c r="F2266" i="1" l="1"/>
  <c r="I2266" i="1" s="1"/>
  <c r="E2267" i="1" s="1"/>
  <c r="G2267" i="1" l="1"/>
  <c r="H2267" i="1"/>
  <c r="F2267" i="1" l="1"/>
  <c r="I2267" i="1" s="1"/>
  <c r="E2268" i="1" s="1"/>
  <c r="G2268" i="1" l="1"/>
  <c r="H2268" i="1"/>
  <c r="F2268" i="1" l="1"/>
  <c r="I2268" i="1" s="1"/>
  <c r="E2269" i="1" s="1"/>
  <c r="H2269" i="1" l="1"/>
  <c r="G2269" i="1"/>
  <c r="F2269" i="1" l="1"/>
  <c r="I2269" i="1" s="1"/>
  <c r="E2270" i="1" s="1"/>
  <c r="H2270" i="1" l="1"/>
  <c r="G2270" i="1"/>
  <c r="F2270" i="1" l="1"/>
  <c r="I2270" i="1" s="1"/>
  <c r="E2271" i="1" s="1"/>
  <c r="H2271" i="1" l="1"/>
  <c r="G2271" i="1"/>
  <c r="F2271" i="1" l="1"/>
  <c r="I2271" i="1" l="1"/>
  <c r="E2272" i="1" s="1"/>
  <c r="H2272" i="1" l="1"/>
  <c r="G2272" i="1"/>
  <c r="F2272" i="1"/>
  <c r="I2272" i="1" l="1"/>
  <c r="E2273" i="1" s="1"/>
  <c r="H2273" i="1" l="1"/>
  <c r="G2273" i="1"/>
  <c r="F2273" i="1" l="1"/>
  <c r="I2273" i="1" l="1"/>
  <c r="E2274" i="1" s="1"/>
  <c r="G2274" i="1" l="1"/>
  <c r="H2274" i="1"/>
  <c r="F2274" i="1" l="1"/>
  <c r="I2274" i="1" s="1"/>
  <c r="E2275" i="1" s="1"/>
  <c r="G2275" i="1" l="1"/>
  <c r="H2275" i="1"/>
  <c r="F2275" i="1" l="1"/>
  <c r="I2275" i="1" s="1"/>
  <c r="E2276" i="1" s="1"/>
  <c r="H2276" i="1" l="1"/>
  <c r="G2276" i="1"/>
  <c r="F2276" i="1" l="1"/>
  <c r="I2276" i="1" s="1"/>
  <c r="E2277" i="1" s="1"/>
  <c r="H2277" i="1" l="1"/>
  <c r="G2277" i="1"/>
  <c r="F2277" i="1" l="1"/>
  <c r="I2277" i="1" s="1"/>
  <c r="E2278" i="1" s="1"/>
  <c r="H2278" i="1" l="1"/>
  <c r="G2278" i="1"/>
  <c r="F2278" i="1" l="1"/>
  <c r="I2278" i="1" l="1"/>
  <c r="E2279" i="1" s="1"/>
  <c r="G2279" i="1" l="1"/>
  <c r="H2279" i="1"/>
  <c r="F2279" i="1" l="1"/>
  <c r="I2279" i="1" l="1"/>
  <c r="E2280" i="1" s="1"/>
  <c r="H2280" i="1" l="1"/>
  <c r="G2280" i="1"/>
  <c r="F2280" i="1" l="1"/>
  <c r="I2280" i="1" s="1"/>
  <c r="E2281" i="1" s="1"/>
  <c r="G2281" i="1" l="1"/>
  <c r="H2281" i="1"/>
  <c r="F2281" i="1" s="1"/>
  <c r="I2281" i="1" l="1"/>
  <c r="E2282" i="1" s="1"/>
  <c r="H2282" i="1" l="1"/>
  <c r="G2282" i="1"/>
  <c r="F2282" i="1" l="1"/>
  <c r="I2282" i="1" s="1"/>
  <c r="E2283" i="1" s="1"/>
  <c r="G2283" i="1" l="1"/>
  <c r="H2283" i="1"/>
  <c r="F2283" i="1" l="1"/>
  <c r="I2283" i="1" s="1"/>
  <c r="E2284" i="1" s="1"/>
  <c r="H2284" i="1" l="1"/>
  <c r="G2284" i="1"/>
  <c r="F2284" i="1" l="1"/>
  <c r="I2284" i="1" s="1"/>
  <c r="E2285" i="1" s="1"/>
  <c r="H2285" i="1" l="1"/>
  <c r="G2285" i="1"/>
  <c r="F2285" i="1" l="1"/>
  <c r="I2285" i="1" s="1"/>
  <c r="E2286" i="1" s="1"/>
  <c r="H2286" i="1" l="1"/>
  <c r="G2286" i="1"/>
  <c r="F2286" i="1" l="1"/>
  <c r="I2286" i="1" s="1"/>
  <c r="E2287" i="1" s="1"/>
  <c r="H2287" i="1" l="1"/>
  <c r="G2287" i="1"/>
  <c r="F2287" i="1" l="1"/>
  <c r="I2287" i="1" s="1"/>
  <c r="E2288" i="1" s="1"/>
  <c r="H2288" i="1" l="1"/>
  <c r="G2288" i="1"/>
  <c r="F2288" i="1" l="1"/>
  <c r="I2288" i="1" l="1"/>
  <c r="E2289" i="1" s="1"/>
  <c r="H2289" i="1" l="1"/>
  <c r="F2289" i="1" s="1"/>
  <c r="G2289" i="1"/>
  <c r="I2289" i="1" l="1"/>
  <c r="E2290" i="1" s="1"/>
  <c r="G2290" i="1" l="1"/>
  <c r="H2290" i="1"/>
  <c r="F2290" i="1" l="1"/>
  <c r="I2290" i="1" s="1"/>
  <c r="E2291" i="1" s="1"/>
  <c r="H2291" i="1" l="1"/>
  <c r="G2291" i="1"/>
  <c r="F2291" i="1" l="1"/>
  <c r="I2291" i="1" s="1"/>
  <c r="E2292" i="1" s="1"/>
  <c r="H2292" i="1" l="1"/>
  <c r="G2292" i="1"/>
  <c r="F2292" i="1" l="1"/>
  <c r="I2292" i="1" l="1"/>
  <c r="E2293" i="1" s="1"/>
  <c r="H2293" i="1" l="1"/>
  <c r="G2293" i="1"/>
  <c r="F2293" i="1"/>
  <c r="I2293" i="1" l="1"/>
  <c r="E2294" i="1" s="1"/>
  <c r="H2294" i="1" l="1"/>
  <c r="G2294" i="1"/>
  <c r="F2294" i="1" l="1"/>
  <c r="I2294" i="1" l="1"/>
  <c r="E2295" i="1" s="1"/>
  <c r="H2295" i="1" l="1"/>
  <c r="F2295" i="1" s="1"/>
  <c r="G2295" i="1"/>
  <c r="I2295" i="1" l="1"/>
  <c r="E2296" i="1" s="1"/>
  <c r="H2296" i="1" l="1"/>
  <c r="G2296" i="1"/>
  <c r="F2296" i="1" l="1"/>
  <c r="I2296" i="1" l="1"/>
  <c r="E2297" i="1" s="1"/>
  <c r="H2297" i="1" l="1"/>
  <c r="G2297" i="1"/>
  <c r="F2297" i="1"/>
  <c r="I2297" i="1" l="1"/>
  <c r="E2298" i="1" s="1"/>
  <c r="H2298" i="1" l="1"/>
  <c r="G2298" i="1"/>
  <c r="F2298" i="1" l="1"/>
  <c r="I2298" i="1" l="1"/>
  <c r="E2299" i="1" s="1"/>
  <c r="H2299" i="1" l="1"/>
  <c r="G2299" i="1"/>
  <c r="F2299" i="1"/>
  <c r="I2299" i="1" l="1"/>
  <c r="E2300" i="1" l="1"/>
  <c r="H2300" i="1" l="1"/>
  <c r="F2300" i="1" s="1"/>
  <c r="I2300" i="1" s="1"/>
  <c r="E2301" i="1" s="1"/>
  <c r="G2300" i="1"/>
  <c r="H2301" i="1" l="1"/>
  <c r="F2301" i="1" s="1"/>
  <c r="G2301" i="1"/>
  <c r="I2301" i="1" l="1"/>
  <c r="E2302" i="1" s="1"/>
  <c r="H2302" i="1" l="1"/>
  <c r="F2302" i="1" s="1"/>
  <c r="G2302" i="1"/>
  <c r="I2302" i="1" l="1"/>
  <c r="E2303" i="1" s="1"/>
  <c r="H2303" i="1" l="1"/>
  <c r="G2303" i="1"/>
  <c r="F2303" i="1"/>
  <c r="I2303" i="1" l="1"/>
  <c r="E2304" i="1" s="1"/>
  <c r="G2304" i="1" l="1"/>
  <c r="H2304" i="1"/>
  <c r="F2304" i="1" l="1"/>
  <c r="I2304" i="1" s="1"/>
  <c r="E2305" i="1" s="1"/>
  <c r="G2305" i="1" l="1"/>
  <c r="H2305" i="1"/>
  <c r="F2305" i="1" l="1"/>
  <c r="I2305" i="1" s="1"/>
  <c r="E2306" i="1" s="1"/>
  <c r="G2306" i="1" l="1"/>
  <c r="H2306" i="1"/>
  <c r="F2306" i="1" l="1"/>
  <c r="I2306" i="1" s="1"/>
  <c r="E2307" i="1" s="1"/>
  <c r="H2307" i="1" l="1"/>
  <c r="G2307" i="1"/>
  <c r="F2307" i="1" l="1"/>
  <c r="I2307" i="1" l="1"/>
  <c r="E2308" i="1" s="1"/>
  <c r="G2308" i="1" l="1"/>
  <c r="H2308" i="1"/>
  <c r="F2308" i="1" l="1"/>
  <c r="I2308" i="1" s="1"/>
  <c r="E2309" i="1" s="1"/>
  <c r="G2309" i="1" l="1"/>
  <c r="H2309" i="1"/>
  <c r="F2309" i="1" l="1"/>
  <c r="I2309" i="1" l="1"/>
  <c r="E2310" i="1" s="1"/>
  <c r="H2310" i="1" l="1"/>
  <c r="G2310" i="1"/>
  <c r="F2310" i="1"/>
  <c r="I2310" i="1" l="1"/>
  <c r="E2311" i="1" s="1"/>
  <c r="H2311" i="1" l="1"/>
  <c r="G2311" i="1"/>
  <c r="F2311" i="1" l="1"/>
  <c r="I2311" i="1" s="1"/>
  <c r="E2312" i="1" s="1"/>
  <c r="G2312" i="1" l="1"/>
  <c r="H2312" i="1"/>
  <c r="F2312" i="1" l="1"/>
  <c r="I2312" i="1" l="1"/>
  <c r="E2313" i="1" s="1"/>
  <c r="H2313" i="1" l="1"/>
  <c r="G2313" i="1"/>
  <c r="F2313" i="1"/>
  <c r="I2313" i="1" l="1"/>
  <c r="E2314" i="1" s="1"/>
  <c r="G2314" i="1" l="1"/>
  <c r="H2314" i="1"/>
  <c r="F2314" i="1" l="1"/>
  <c r="I2314" i="1" s="1"/>
  <c r="E2315" i="1" s="1"/>
  <c r="G2315" i="1" l="1"/>
  <c r="H2315" i="1"/>
  <c r="F2315" i="1" l="1"/>
  <c r="I2315" i="1" s="1"/>
  <c r="E2316" i="1" s="1"/>
  <c r="H2316" i="1" l="1"/>
  <c r="G2316" i="1"/>
  <c r="F2316" i="1" l="1"/>
  <c r="I2316" i="1" s="1"/>
  <c r="E2317" i="1" s="1"/>
  <c r="H2317" i="1" l="1"/>
  <c r="G2317" i="1"/>
  <c r="F2317" i="1" l="1"/>
  <c r="I2317" i="1" s="1"/>
  <c r="E2318" i="1" s="1"/>
  <c r="G2318" i="1" l="1"/>
  <c r="H2318" i="1"/>
  <c r="F2318" i="1" l="1"/>
  <c r="I2318" i="1" l="1"/>
  <c r="E2319" i="1" s="1"/>
  <c r="H2319" i="1" l="1"/>
  <c r="G2319" i="1"/>
  <c r="F2319" i="1"/>
  <c r="I2319" i="1" l="1"/>
  <c r="E2320" i="1" s="1"/>
  <c r="G2320" i="1" l="1"/>
  <c r="H2320" i="1"/>
  <c r="F2320" i="1" l="1"/>
  <c r="I2320" i="1" s="1"/>
  <c r="E2321" i="1" s="1"/>
  <c r="H2321" i="1" l="1"/>
  <c r="G2321" i="1"/>
  <c r="F2321" i="1" l="1"/>
  <c r="I2321" i="1" l="1"/>
  <c r="E2322" i="1" s="1"/>
  <c r="H2322" i="1" l="1"/>
  <c r="G2322" i="1"/>
  <c r="F2322" i="1"/>
  <c r="I2322" i="1" l="1"/>
  <c r="E2323" i="1" s="1"/>
  <c r="H2323" i="1" l="1"/>
  <c r="G2323" i="1"/>
  <c r="F2323" i="1" l="1"/>
  <c r="I2323" i="1" s="1"/>
  <c r="E2324" i="1" s="1"/>
  <c r="G2324" i="1" l="1"/>
  <c r="H2324" i="1"/>
  <c r="F2324" i="1" l="1"/>
  <c r="I2324" i="1" l="1"/>
  <c r="E2325" i="1" s="1"/>
  <c r="H2325" i="1" l="1"/>
  <c r="F2325" i="1" s="1"/>
  <c r="G2325" i="1"/>
  <c r="I2325" i="1" l="1"/>
  <c r="E2326" i="1" l="1"/>
  <c r="G2326" i="1" s="1"/>
  <c r="H2326" i="1" l="1"/>
  <c r="F2326" i="1" s="1"/>
  <c r="I2326" i="1" s="1"/>
  <c r="E2327" i="1" s="1"/>
  <c r="H2327" i="1" l="1"/>
  <c r="F2327" i="1" s="1"/>
  <c r="G2327" i="1"/>
  <c r="I2327" i="1" l="1"/>
  <c r="E2328" i="1" s="1"/>
  <c r="G2328" i="1" l="1"/>
  <c r="H2328" i="1"/>
  <c r="F2328" i="1" l="1"/>
  <c r="I2328" i="1" l="1"/>
  <c r="E2329" i="1" s="1"/>
  <c r="H2329" i="1" l="1"/>
  <c r="F2329" i="1" s="1"/>
  <c r="G2329" i="1"/>
  <c r="I2329" i="1" l="1"/>
  <c r="E2330" i="1" s="1"/>
  <c r="G2330" i="1" l="1"/>
  <c r="H2330" i="1"/>
  <c r="F2330" i="1" l="1"/>
  <c r="I2330" i="1" l="1"/>
  <c r="E2331" i="1" s="1"/>
  <c r="G2331" i="1" l="1"/>
  <c r="H2331" i="1"/>
  <c r="F2331" i="1" l="1"/>
  <c r="I2331" i="1" s="1"/>
  <c r="E2332" i="1" s="1"/>
  <c r="G2332" i="1" l="1"/>
  <c r="H2332" i="1"/>
  <c r="F2332" i="1" l="1"/>
  <c r="I2332" i="1" s="1"/>
  <c r="E2333" i="1" s="1"/>
  <c r="H2333" i="1" l="1"/>
  <c r="G2333" i="1"/>
  <c r="F2333" i="1" l="1"/>
  <c r="I2333" i="1" l="1"/>
  <c r="E2334" i="1" s="1"/>
  <c r="G2334" i="1" l="1"/>
  <c r="H2334" i="1"/>
  <c r="F2334" i="1" l="1"/>
  <c r="I2334" i="1" l="1"/>
  <c r="E2335" i="1" s="1"/>
  <c r="G2335" i="1" l="1"/>
  <c r="H2335" i="1"/>
  <c r="F2335" i="1" l="1"/>
  <c r="I2335" i="1" s="1"/>
  <c r="E2336" i="1" s="1"/>
  <c r="H2336" i="1" l="1"/>
  <c r="G2336" i="1"/>
  <c r="F2336" i="1"/>
  <c r="I2336" i="1" l="1"/>
  <c r="E2337" i="1" l="1"/>
  <c r="G2337" i="1" l="1"/>
  <c r="H2337" i="1"/>
  <c r="F2337" i="1" s="1"/>
  <c r="I2337" i="1" s="1"/>
  <c r="E2338" i="1" s="1"/>
  <c r="H2338" i="1" l="1"/>
  <c r="G2338" i="1"/>
  <c r="F2338" i="1"/>
  <c r="I2338" i="1" s="1"/>
  <c r="E2339" i="1" s="1"/>
  <c r="H2339" i="1" l="1"/>
  <c r="G2339" i="1"/>
  <c r="F2339" i="1" l="1"/>
  <c r="I2339" i="1" l="1"/>
  <c r="E2340" i="1" s="1"/>
  <c r="H2340" i="1" l="1"/>
  <c r="G2340" i="1"/>
  <c r="F2340" i="1"/>
  <c r="I2340" i="1" l="1"/>
  <c r="E2341" i="1" s="1"/>
  <c r="H2341" i="1" l="1"/>
  <c r="G2341" i="1"/>
  <c r="F2341" i="1" l="1"/>
  <c r="I2341" i="1" l="1"/>
  <c r="E2342" i="1" s="1"/>
  <c r="G2342" i="1" l="1"/>
  <c r="H2342" i="1"/>
  <c r="F2342" i="1" l="1"/>
  <c r="I2342" i="1" s="1"/>
  <c r="E2343" i="1" s="1"/>
  <c r="G2343" i="1" l="1"/>
  <c r="H2343" i="1"/>
  <c r="F2343" i="1" l="1"/>
  <c r="I2343" i="1" s="1"/>
  <c r="E2344" i="1" s="1"/>
  <c r="H2344" i="1" l="1"/>
  <c r="G2344" i="1"/>
  <c r="F2344" i="1" l="1"/>
  <c r="I2344" i="1" s="1"/>
  <c r="E2345" i="1" s="1"/>
  <c r="H2345" i="1" l="1"/>
  <c r="G2345" i="1"/>
  <c r="F2345" i="1" l="1"/>
  <c r="I2345" i="1" l="1"/>
  <c r="E2346" i="1" s="1"/>
  <c r="H2346" i="1" l="1"/>
  <c r="G2346" i="1"/>
  <c r="F2346" i="1"/>
  <c r="I2346" i="1" l="1"/>
  <c r="E2347" i="1" s="1"/>
  <c r="G2347" i="1" l="1"/>
  <c r="H2347" i="1"/>
  <c r="F2347" i="1" s="1"/>
  <c r="I2347" i="1" l="1"/>
  <c r="E2348" i="1" s="1"/>
  <c r="G2348" i="1" l="1"/>
  <c r="H2348" i="1"/>
  <c r="F2348" i="1" l="1"/>
  <c r="I2348" i="1" s="1"/>
  <c r="E2349" i="1" s="1"/>
  <c r="G2349" i="1" l="1"/>
  <c r="H2349" i="1"/>
  <c r="F2349" i="1" l="1"/>
  <c r="I2349" i="1" s="1"/>
  <c r="E2350" i="1" s="1"/>
  <c r="G2350" i="1" l="1"/>
  <c r="H2350" i="1"/>
  <c r="F2350" i="1" l="1"/>
  <c r="I2350" i="1" l="1"/>
  <c r="E2351" i="1" s="1"/>
  <c r="G2351" i="1" l="1"/>
  <c r="H2351" i="1"/>
  <c r="F2351" i="1" l="1"/>
  <c r="I2351" i="1" s="1"/>
  <c r="E2352" i="1" s="1"/>
  <c r="H2352" i="1" l="1"/>
  <c r="G2352" i="1"/>
  <c r="F2352" i="1" l="1"/>
  <c r="I2352" i="1" l="1"/>
  <c r="E2353" i="1" s="1"/>
  <c r="H2353" i="1" l="1"/>
  <c r="F2353" i="1" s="1"/>
  <c r="G2353" i="1"/>
  <c r="I2353" i="1" l="1"/>
  <c r="E2354" i="1" s="1"/>
  <c r="G2354" i="1" l="1"/>
  <c r="H2354" i="1"/>
  <c r="F2354" i="1" l="1"/>
  <c r="I2354" i="1" s="1"/>
  <c r="E2355" i="1" s="1"/>
  <c r="H2355" i="1" l="1"/>
  <c r="G2355" i="1"/>
  <c r="F2355" i="1" l="1"/>
  <c r="I2355" i="1" l="1"/>
  <c r="E2356" i="1" s="1"/>
  <c r="G2356" i="1" l="1"/>
  <c r="H2356" i="1"/>
  <c r="F2356" i="1" l="1"/>
  <c r="I2356" i="1" l="1"/>
  <c r="E2357" i="1" s="1"/>
  <c r="G2357" i="1" l="1"/>
  <c r="H2357" i="1"/>
  <c r="F2357" i="1" l="1"/>
  <c r="I2357" i="1" s="1"/>
  <c r="E2358" i="1" s="1"/>
  <c r="H2358" i="1" l="1"/>
  <c r="G2358" i="1"/>
  <c r="F2358" i="1"/>
  <c r="I2358" i="1" l="1"/>
  <c r="E2359" i="1" s="1"/>
  <c r="G2359" i="1" l="1"/>
  <c r="H2359" i="1"/>
  <c r="F2359" i="1" l="1"/>
  <c r="I2359" i="1" s="1"/>
  <c r="E2360" i="1" s="1"/>
  <c r="H2360" i="1" l="1"/>
  <c r="G2360" i="1"/>
  <c r="F2360" i="1" l="1"/>
  <c r="I2360" i="1" l="1"/>
  <c r="E2361" i="1" s="1"/>
  <c r="H2361" i="1" l="1"/>
  <c r="G2361" i="1"/>
  <c r="F2361" i="1"/>
  <c r="I2361" i="1" l="1"/>
  <c r="E2362" i="1" s="1"/>
  <c r="G2362" i="1" l="1"/>
  <c r="H2362" i="1"/>
  <c r="F2362" i="1" s="1"/>
  <c r="I2362" i="1" l="1"/>
  <c r="E2363" i="1" s="1"/>
  <c r="H2363" i="1" l="1"/>
  <c r="G2363" i="1"/>
  <c r="F2363" i="1" l="1"/>
  <c r="I2363" i="1" s="1"/>
  <c r="E2364" i="1" s="1"/>
  <c r="G2364" i="1" l="1"/>
  <c r="H2364" i="1"/>
  <c r="F2364" i="1" l="1"/>
  <c r="I2364" i="1" s="1"/>
  <c r="E2365" i="1" s="1"/>
  <c r="H2365" i="1" l="1"/>
  <c r="G2365" i="1"/>
  <c r="F2365" i="1" l="1"/>
  <c r="I2365" i="1" s="1"/>
  <c r="E2366" i="1" s="1"/>
  <c r="G2366" i="1" l="1"/>
  <c r="H2366" i="1"/>
  <c r="F2366" i="1" l="1"/>
  <c r="I2366" i="1" s="1"/>
  <c r="E2367" i="1" s="1"/>
  <c r="G2367" i="1" l="1"/>
  <c r="H2367" i="1"/>
  <c r="F2367" i="1" l="1"/>
  <c r="I2367" i="1" s="1"/>
  <c r="E2368" i="1" s="1"/>
  <c r="H2368" i="1" l="1"/>
  <c r="G2368" i="1"/>
  <c r="F2368" i="1" l="1"/>
  <c r="I2368" i="1" s="1"/>
  <c r="E2369" i="1" s="1"/>
  <c r="H2369" i="1" l="1"/>
  <c r="G2369" i="1"/>
  <c r="F2369" i="1" l="1"/>
  <c r="I2369" i="1" s="1"/>
  <c r="E2370" i="1" s="1"/>
  <c r="G2370" i="1" l="1"/>
  <c r="H2370" i="1"/>
  <c r="F2370" i="1" l="1"/>
  <c r="I2370" i="1" l="1"/>
  <c r="E2371" i="1" s="1"/>
  <c r="G2371" i="1" l="1"/>
  <c r="H2371" i="1"/>
  <c r="F2371" i="1" s="1"/>
  <c r="I2371" i="1" l="1"/>
  <c r="E2372" i="1" s="1"/>
  <c r="G2372" i="1" l="1"/>
  <c r="H2372" i="1"/>
  <c r="F2372" i="1" l="1"/>
  <c r="I2372" i="1" s="1"/>
  <c r="E2373" i="1" s="1"/>
  <c r="G2373" i="1" l="1"/>
  <c r="H2373" i="1"/>
  <c r="F2373" i="1" l="1"/>
  <c r="I2373" i="1" l="1"/>
  <c r="E2374" i="1" s="1"/>
  <c r="G2374" i="1" l="1"/>
  <c r="H2374" i="1"/>
  <c r="F2374" i="1" s="1"/>
  <c r="I2374" i="1" l="1"/>
  <c r="E2375" i="1" s="1"/>
  <c r="H2375" i="1" l="1"/>
  <c r="G2375" i="1"/>
  <c r="F2375" i="1" l="1"/>
  <c r="I2375" i="1" l="1"/>
  <c r="E2376" i="1" s="1"/>
  <c r="H2376" i="1" l="1"/>
  <c r="F2376" i="1" s="1"/>
  <c r="G2376" i="1"/>
  <c r="I2376" i="1" l="1"/>
  <c r="E2377" i="1" s="1"/>
  <c r="G2377" i="1" l="1"/>
  <c r="H2377" i="1"/>
  <c r="F2377" i="1" s="1"/>
  <c r="I2377" i="1" l="1"/>
  <c r="E2378" i="1" s="1"/>
  <c r="H2378" i="1" l="1"/>
  <c r="G2378" i="1"/>
  <c r="F2378" i="1" l="1"/>
  <c r="I2378" i="1" l="1"/>
  <c r="E2379" i="1" s="1"/>
  <c r="H2379" i="1" l="1"/>
  <c r="G2379" i="1"/>
  <c r="F2379" i="1"/>
  <c r="I2379" i="1" l="1"/>
  <c r="E2380" i="1" s="1"/>
  <c r="G2380" i="1" l="1"/>
  <c r="H2380" i="1"/>
  <c r="F2380" i="1" l="1"/>
  <c r="I2380" i="1" s="1"/>
  <c r="E2381" i="1" s="1"/>
  <c r="H2381" i="1" l="1"/>
  <c r="G2381" i="1"/>
  <c r="F2381" i="1" l="1"/>
  <c r="I2381" i="1" s="1"/>
  <c r="E2382" i="1" s="1"/>
  <c r="H2382" i="1" l="1"/>
  <c r="G2382" i="1"/>
  <c r="F2382" i="1" l="1"/>
  <c r="I2382" i="1" s="1"/>
  <c r="E2383" i="1" s="1"/>
  <c r="H2383" i="1" l="1"/>
  <c r="G2383" i="1"/>
  <c r="F2383" i="1" l="1"/>
  <c r="I2383" i="1" l="1"/>
  <c r="E2384" i="1" s="1"/>
  <c r="H2384" i="1" l="1"/>
  <c r="F2384" i="1" s="1"/>
  <c r="G2384" i="1"/>
  <c r="I2384" i="1" l="1"/>
  <c r="E2385" i="1" s="1"/>
  <c r="H2385" i="1" l="1"/>
  <c r="G2385" i="1"/>
  <c r="F2385" i="1" l="1"/>
  <c r="I2385" i="1" s="1"/>
  <c r="E2386" i="1" s="1"/>
  <c r="G2386" i="1" l="1"/>
  <c r="H2386" i="1"/>
  <c r="F2386" i="1" l="1"/>
  <c r="I2386" i="1" l="1"/>
  <c r="E2387" i="1" s="1"/>
  <c r="G2387" i="1" l="1"/>
  <c r="H2387" i="1"/>
  <c r="F2387" i="1" l="1"/>
  <c r="I2387" i="1" s="1"/>
  <c r="E2388" i="1" s="1"/>
  <c r="G2388" i="1" l="1"/>
  <c r="H2388" i="1"/>
  <c r="F2388" i="1" l="1"/>
  <c r="I2388" i="1" s="1"/>
  <c r="E2389" i="1" s="1"/>
  <c r="G2389" i="1" l="1"/>
  <c r="H2389" i="1"/>
  <c r="F2389" i="1" l="1"/>
  <c r="I2389" i="1" s="1"/>
  <c r="E2390" i="1" s="1"/>
  <c r="H2390" i="1" l="1"/>
  <c r="G2390" i="1"/>
  <c r="F2390" i="1" l="1"/>
  <c r="I2390" i="1" l="1"/>
  <c r="E2391" i="1" s="1"/>
  <c r="H2391" i="1" l="1"/>
  <c r="F2391" i="1" s="1"/>
  <c r="G2391" i="1"/>
  <c r="I2391" i="1" l="1"/>
  <c r="E2392" i="1" s="1"/>
  <c r="H2392" i="1" l="1"/>
  <c r="F2392" i="1" s="1"/>
  <c r="G2392" i="1"/>
  <c r="I2392" i="1" l="1"/>
  <c r="E2393" i="1" s="1"/>
  <c r="H2393" i="1" l="1"/>
  <c r="G2393" i="1"/>
  <c r="F2393" i="1"/>
  <c r="I2393" i="1" l="1"/>
  <c r="E2394" i="1" s="1"/>
  <c r="H2394" i="1" l="1"/>
  <c r="G2394" i="1"/>
  <c r="F2394" i="1"/>
  <c r="I2394" i="1" l="1"/>
  <c r="E2395" i="1" s="1"/>
  <c r="G2395" i="1" l="1"/>
  <c r="H2395" i="1"/>
  <c r="F2395" i="1" l="1"/>
  <c r="I2395" i="1" s="1"/>
  <c r="E2396" i="1" s="1"/>
  <c r="G2396" i="1" l="1"/>
  <c r="H2396" i="1"/>
  <c r="F2396" i="1" l="1"/>
  <c r="I2396" i="1" s="1"/>
  <c r="E2397" i="1" s="1"/>
  <c r="H2397" i="1" l="1"/>
  <c r="G2397" i="1"/>
  <c r="F2397" i="1" l="1"/>
  <c r="I2397" i="1" s="1"/>
  <c r="E2398" i="1" s="1"/>
  <c r="H2398" i="1" l="1"/>
  <c r="G2398" i="1"/>
  <c r="F2398" i="1" l="1"/>
  <c r="I2398" i="1" s="1"/>
  <c r="E2399" i="1" s="1"/>
  <c r="H2399" i="1" l="1"/>
  <c r="G2399" i="1"/>
  <c r="F2399" i="1" l="1"/>
  <c r="I2399" i="1" s="1"/>
  <c r="E2400" i="1" s="1"/>
  <c r="H2400" i="1" l="1"/>
  <c r="G2400" i="1"/>
  <c r="F2400" i="1" l="1"/>
  <c r="I2400" i="1" l="1"/>
  <c r="E2401" i="1" s="1"/>
  <c r="H2401" i="1" l="1"/>
  <c r="F2401" i="1" s="1"/>
  <c r="G2401" i="1"/>
  <c r="I2401" i="1" l="1"/>
  <c r="E2402" i="1" s="1"/>
  <c r="H2402" i="1" l="1"/>
  <c r="G2402" i="1"/>
  <c r="F2402" i="1" l="1"/>
  <c r="I2402" i="1" s="1"/>
  <c r="E2403" i="1" s="1"/>
  <c r="H2403" i="1" l="1"/>
  <c r="G2403" i="1"/>
  <c r="F2403" i="1" l="1"/>
  <c r="I2403" i="1" s="1"/>
  <c r="E2404" i="1" s="1"/>
  <c r="G2404" i="1" l="1"/>
  <c r="H2404" i="1"/>
  <c r="F2404" i="1" l="1"/>
  <c r="I2404" i="1" s="1"/>
  <c r="E2405" i="1" s="1"/>
  <c r="H2405" i="1" l="1"/>
  <c r="G2405" i="1"/>
  <c r="F2405" i="1" l="1"/>
  <c r="I2405" i="1" l="1"/>
  <c r="E2406" i="1" s="1"/>
  <c r="G2406" i="1" l="1"/>
  <c r="H2406" i="1"/>
  <c r="F2406" i="1" s="1"/>
  <c r="I2406" i="1" l="1"/>
  <c r="E2407" i="1" s="1"/>
  <c r="H2407" i="1" l="1"/>
  <c r="F2407" i="1" s="1"/>
  <c r="G2407" i="1"/>
  <c r="I2407" i="1" l="1"/>
  <c r="E2408" i="1" l="1"/>
  <c r="G2408" i="1" l="1"/>
  <c r="H2408" i="1"/>
  <c r="F2408" i="1" s="1"/>
  <c r="I2408" i="1" s="1"/>
  <c r="E2409" i="1" s="1"/>
  <c r="H2409" i="1" l="1"/>
  <c r="F2409" i="1" s="1"/>
  <c r="I2409" i="1" s="1"/>
  <c r="E2410" i="1" s="1"/>
  <c r="G2409" i="1"/>
  <c r="H2410" i="1" l="1"/>
  <c r="G2410" i="1"/>
  <c r="F2410" i="1" l="1"/>
  <c r="I2410" i="1" s="1"/>
  <c r="E2411" i="1" s="1"/>
  <c r="H2411" i="1" l="1"/>
  <c r="G2411" i="1"/>
  <c r="F2411" i="1" l="1"/>
  <c r="I2411" i="1" s="1"/>
  <c r="E2412" i="1" s="1"/>
  <c r="G2412" i="1" l="1"/>
  <c r="H2412" i="1"/>
  <c r="F2412" i="1" l="1"/>
  <c r="I2412" i="1" l="1"/>
  <c r="E2413" i="1" s="1"/>
  <c r="H2413" i="1" l="1"/>
  <c r="G2413" i="1"/>
  <c r="F2413" i="1"/>
  <c r="I2413" i="1" l="1"/>
  <c r="E2414" i="1" s="1"/>
  <c r="G2414" i="1" l="1"/>
  <c r="H2414" i="1"/>
  <c r="F2414" i="1" l="1"/>
  <c r="I2414" i="1" l="1"/>
  <c r="E2415" i="1" s="1"/>
  <c r="H2415" i="1" l="1"/>
  <c r="F2415" i="1" s="1"/>
  <c r="G2415" i="1"/>
  <c r="I2415" i="1" l="1"/>
  <c r="E2416" i="1" s="1"/>
  <c r="H2416" i="1" l="1"/>
  <c r="G2416" i="1"/>
  <c r="F2416" i="1" l="1"/>
  <c r="I2416" i="1" s="1"/>
  <c r="E2417" i="1" s="1"/>
  <c r="G2417" i="1" l="1"/>
  <c r="H2417" i="1"/>
  <c r="F2417" i="1" l="1"/>
  <c r="I2417" i="1" s="1"/>
  <c r="E2418" i="1" s="1"/>
  <c r="G2418" i="1" l="1"/>
  <c r="H2418" i="1"/>
  <c r="F2418" i="1" l="1"/>
  <c r="I2418" i="1" s="1"/>
  <c r="E2419" i="1" s="1"/>
  <c r="G2419" i="1" l="1"/>
  <c r="H2419" i="1"/>
  <c r="F2419" i="1" l="1"/>
  <c r="I2419" i="1" s="1"/>
  <c r="E2420" i="1" s="1"/>
  <c r="H2420" i="1" l="1"/>
  <c r="G2420" i="1"/>
  <c r="F2420" i="1" l="1"/>
  <c r="I2420" i="1" s="1"/>
  <c r="E2421" i="1" s="1"/>
  <c r="H2421" i="1" l="1"/>
  <c r="G2421" i="1"/>
  <c r="F2421" i="1" l="1"/>
  <c r="I2421" i="1" l="1"/>
  <c r="E2422" i="1" s="1"/>
  <c r="H2422" i="1" l="1"/>
  <c r="F2422" i="1" s="1"/>
  <c r="G2422" i="1"/>
  <c r="I2422" i="1" l="1"/>
  <c r="E2423" i="1" s="1"/>
  <c r="H2423" i="1" l="1"/>
  <c r="G2423" i="1"/>
  <c r="F2423" i="1" l="1"/>
  <c r="I2423" i="1" l="1"/>
  <c r="E2424" i="1" s="1"/>
  <c r="G2424" i="1" l="1"/>
  <c r="H2424" i="1"/>
  <c r="F2424" i="1" l="1"/>
  <c r="I2424" i="1" l="1"/>
  <c r="E2425" i="1" s="1"/>
  <c r="H2425" i="1" l="1"/>
  <c r="G2425" i="1"/>
  <c r="F2425" i="1" l="1"/>
  <c r="I2425" i="1" l="1"/>
  <c r="E2426" i="1" s="1"/>
  <c r="G2426" i="1" l="1"/>
  <c r="H2426" i="1"/>
  <c r="F2426" i="1" l="1"/>
  <c r="I2426" i="1" l="1"/>
  <c r="E2427" i="1" s="1"/>
  <c r="H2427" i="1" l="1"/>
  <c r="G2427" i="1"/>
  <c r="F2427" i="1" l="1"/>
  <c r="I2427" i="1" s="1"/>
  <c r="E2428" i="1" s="1"/>
  <c r="H2428" i="1" l="1"/>
  <c r="G2428" i="1"/>
  <c r="F2428" i="1" l="1"/>
  <c r="I2428" i="1" s="1"/>
  <c r="E2429" i="1" s="1"/>
  <c r="H2429" i="1" l="1"/>
  <c r="G2429" i="1"/>
  <c r="F2429" i="1" l="1"/>
  <c r="I2429" i="1" s="1"/>
  <c r="E2430" i="1" s="1"/>
  <c r="G2430" i="1" l="1"/>
  <c r="H2430" i="1"/>
  <c r="F2430" i="1" l="1"/>
  <c r="I2430" i="1" l="1"/>
  <c r="E2431" i="1" s="1"/>
  <c r="G2431" i="1" l="1"/>
  <c r="H2431" i="1"/>
  <c r="F2431" i="1" l="1"/>
  <c r="I2431" i="1" l="1"/>
  <c r="E2432" i="1" s="1"/>
  <c r="H2432" i="1" l="1"/>
  <c r="G2432" i="1"/>
  <c r="F2432" i="1" l="1"/>
  <c r="I2432" i="1" l="1"/>
  <c r="E2433" i="1" s="1"/>
  <c r="G2433" i="1" l="1"/>
  <c r="H2433" i="1"/>
  <c r="F2433" i="1" l="1"/>
  <c r="I2433" i="1" s="1"/>
  <c r="E2434" i="1" s="1"/>
  <c r="H2434" i="1" l="1"/>
  <c r="G2434" i="1"/>
  <c r="F2434" i="1" l="1"/>
  <c r="I2434" i="1" s="1"/>
  <c r="E2435" i="1" s="1"/>
  <c r="G2435" i="1" l="1"/>
  <c r="H2435" i="1"/>
  <c r="F2435" i="1" l="1"/>
  <c r="I2435" i="1" s="1"/>
  <c r="E2436" i="1" s="1"/>
  <c r="G2436" i="1" l="1"/>
  <c r="H2436" i="1"/>
  <c r="F2436" i="1" l="1"/>
  <c r="I2436" i="1" l="1"/>
  <c r="E2437" i="1" s="1"/>
  <c r="G2437" i="1" l="1"/>
  <c r="H2437" i="1"/>
  <c r="F2437" i="1" l="1"/>
  <c r="I2437" i="1" l="1"/>
  <c r="E2438" i="1" s="1"/>
  <c r="H2438" i="1" l="1"/>
  <c r="G2438" i="1"/>
  <c r="F2438" i="1" l="1"/>
  <c r="I2438" i="1" s="1"/>
  <c r="E2439" i="1" s="1"/>
  <c r="H2439" i="1" l="1"/>
  <c r="G2439" i="1"/>
  <c r="F2439" i="1" l="1"/>
  <c r="I2439" i="1" s="1"/>
  <c r="E2440" i="1" s="1"/>
  <c r="H2440" i="1" l="1"/>
  <c r="G2440" i="1"/>
  <c r="F2440" i="1" l="1"/>
  <c r="I2440" i="1" s="1"/>
  <c r="E2441" i="1" s="1"/>
  <c r="H2441" i="1" l="1"/>
  <c r="G2441" i="1"/>
  <c r="F2441" i="1" l="1"/>
  <c r="I2441" i="1" s="1"/>
  <c r="E2442" i="1" s="1"/>
  <c r="H2442" i="1" l="1"/>
  <c r="G2442" i="1"/>
  <c r="F2442" i="1" l="1"/>
  <c r="I2442" i="1" l="1"/>
  <c r="E2443" i="1" s="1"/>
  <c r="H2443" i="1" l="1"/>
  <c r="G2443" i="1"/>
  <c r="F2443" i="1" l="1"/>
  <c r="I2443" i="1" l="1"/>
  <c r="E2444" i="1" s="1"/>
  <c r="H2444" i="1" l="1"/>
  <c r="G2444" i="1"/>
  <c r="F2444" i="1" l="1"/>
  <c r="I2444" i="1" l="1"/>
  <c r="E2445" i="1" s="1"/>
  <c r="H2445" i="1" l="1"/>
  <c r="G2445" i="1"/>
  <c r="F2445" i="1" l="1"/>
  <c r="I2445" i="1" s="1"/>
  <c r="E2446" i="1" s="1"/>
  <c r="H2446" i="1" l="1"/>
  <c r="G2446" i="1"/>
  <c r="F2446" i="1" l="1"/>
  <c r="I2446" i="1" s="1"/>
  <c r="E2447" i="1" s="1"/>
  <c r="H2447" i="1" l="1"/>
  <c r="G2447" i="1"/>
  <c r="F2447" i="1" l="1"/>
  <c r="I2447" i="1" s="1"/>
  <c r="E2448" i="1" s="1"/>
  <c r="H2448" i="1" l="1"/>
  <c r="G2448" i="1"/>
  <c r="F2448" i="1" l="1"/>
  <c r="I2448" i="1" s="1"/>
  <c r="E2449" i="1" s="1"/>
  <c r="H2449" i="1" l="1"/>
  <c r="F2449" i="1" s="1"/>
  <c r="G2449" i="1"/>
  <c r="I2449" i="1" l="1"/>
  <c r="E2450" i="1" s="1"/>
  <c r="H2450" i="1" l="1"/>
  <c r="G2450" i="1"/>
  <c r="F2450" i="1" l="1"/>
  <c r="I2450" i="1" s="1"/>
  <c r="E2451" i="1" s="1"/>
  <c r="H2451" i="1" l="1"/>
  <c r="G2451" i="1"/>
  <c r="F2451" i="1" l="1"/>
  <c r="I2451" i="1" s="1"/>
  <c r="E2452" i="1" s="1"/>
  <c r="G2452" i="1" l="1"/>
  <c r="H2452" i="1"/>
  <c r="F2452" i="1" l="1"/>
  <c r="I2452" i="1" s="1"/>
  <c r="E2453" i="1" s="1"/>
  <c r="G2453" i="1" l="1"/>
  <c r="H2453" i="1"/>
  <c r="F2453" i="1" l="1"/>
  <c r="I2453" i="1" l="1"/>
  <c r="E2454" i="1" s="1"/>
  <c r="H2454" i="1" l="1"/>
  <c r="G2454" i="1"/>
  <c r="F2454" i="1"/>
  <c r="I2454" i="1" l="1"/>
  <c r="E2455" i="1" s="1"/>
  <c r="G2455" i="1" l="1"/>
  <c r="H2455" i="1"/>
  <c r="F2455" i="1" l="1"/>
  <c r="I2455" i="1" s="1"/>
  <c r="E2456" i="1" s="1"/>
  <c r="H2456" i="1" l="1"/>
  <c r="G2456" i="1"/>
  <c r="F2456" i="1" l="1"/>
  <c r="I2456" i="1" s="1"/>
  <c r="E2457" i="1" s="1"/>
  <c r="G2457" i="1" l="1"/>
  <c r="H2457" i="1"/>
  <c r="F2457" i="1" l="1"/>
  <c r="I2457" i="1" s="1"/>
  <c r="E2458" i="1" s="1"/>
  <c r="H2458" i="1" l="1"/>
  <c r="G2458" i="1"/>
  <c r="F2458" i="1" l="1"/>
  <c r="I2458" i="1" s="1"/>
  <c r="E2459" i="1" s="1"/>
  <c r="G2459" i="1" l="1"/>
  <c r="H2459" i="1"/>
  <c r="F2459" i="1" l="1"/>
  <c r="I2459" i="1" s="1"/>
  <c r="E2460" i="1" s="1"/>
  <c r="H2460" i="1" l="1"/>
  <c r="G2460" i="1"/>
  <c r="F2460" i="1" l="1"/>
  <c r="I2460" i="1" l="1"/>
  <c r="E2461" i="1" s="1"/>
  <c r="G2461" i="1" l="1"/>
  <c r="H2461" i="1"/>
  <c r="F2461" i="1" s="1"/>
  <c r="I2461" i="1" l="1"/>
  <c r="E2462" i="1" s="1"/>
  <c r="G2462" i="1" l="1"/>
  <c r="H2462" i="1"/>
  <c r="F2462" i="1" s="1"/>
  <c r="I2462" i="1" s="1"/>
  <c r="E2463" i="1" s="1"/>
  <c r="H2463" i="1" l="1"/>
  <c r="G2463" i="1"/>
  <c r="F2463" i="1" l="1"/>
  <c r="I2463" i="1" s="1"/>
  <c r="E2464" i="1" s="1"/>
  <c r="H2464" i="1" l="1"/>
  <c r="G2464" i="1"/>
  <c r="F2464" i="1" l="1"/>
  <c r="I2464" i="1" s="1"/>
  <c r="E2465" i="1" s="1"/>
  <c r="H2465" i="1" l="1"/>
  <c r="G2465" i="1"/>
  <c r="F2465" i="1" l="1"/>
  <c r="I2465" i="1" l="1"/>
  <c r="E2466" i="1" s="1"/>
  <c r="G2466" i="1" l="1"/>
  <c r="H2466" i="1"/>
  <c r="F2466" i="1" l="1"/>
  <c r="I2466" i="1" s="1"/>
  <c r="E2467" i="1" s="1"/>
  <c r="H2467" i="1" l="1"/>
  <c r="G2467" i="1"/>
  <c r="F2467" i="1" l="1"/>
  <c r="I2467" i="1" l="1"/>
  <c r="E2468" i="1" s="1"/>
  <c r="G2468" i="1" l="1"/>
  <c r="H2468" i="1"/>
  <c r="F2468" i="1" s="1"/>
  <c r="I2468" i="1" l="1"/>
  <c r="E2469" i="1" s="1"/>
  <c r="H2469" i="1" l="1"/>
  <c r="F2469" i="1" s="1"/>
  <c r="I2469" i="1" s="1"/>
  <c r="E2470" i="1" s="1"/>
  <c r="G2469" i="1"/>
  <c r="H2470" i="1" l="1"/>
  <c r="G2470" i="1"/>
  <c r="F2470" i="1" l="1"/>
  <c r="I2470" i="1" l="1"/>
  <c r="E2471" i="1" s="1"/>
  <c r="H2471" i="1" l="1"/>
  <c r="F2471" i="1" s="1"/>
  <c r="G2471" i="1"/>
  <c r="I2471" i="1" l="1"/>
  <c r="E2472" i="1" s="1"/>
  <c r="G2472" i="1" l="1"/>
  <c r="H2472" i="1"/>
  <c r="F2472" i="1" s="1"/>
  <c r="I2472" i="1" l="1"/>
  <c r="E2473" i="1" s="1"/>
  <c r="H2473" i="1" l="1"/>
  <c r="G2473" i="1"/>
  <c r="F2473" i="1" l="1"/>
  <c r="I2473" i="1" l="1"/>
  <c r="E2474" i="1" s="1"/>
  <c r="G2474" i="1" l="1"/>
  <c r="H2474" i="1"/>
  <c r="F2474" i="1" l="1"/>
  <c r="I2474" i="1" l="1"/>
  <c r="E2475" i="1" s="1"/>
  <c r="G2475" i="1" l="1"/>
  <c r="H2475" i="1"/>
  <c r="F2475" i="1" l="1"/>
  <c r="I2475" i="1" s="1"/>
  <c r="E2476" i="1" s="1"/>
  <c r="H2476" i="1" l="1"/>
  <c r="F2476" i="1" s="1"/>
  <c r="G2476" i="1"/>
  <c r="I2476" i="1" l="1"/>
  <c r="E2477" i="1" s="1"/>
  <c r="G2477" i="1" l="1"/>
  <c r="H2477" i="1"/>
  <c r="F2477" i="1" s="1"/>
  <c r="I2477" i="1" s="1"/>
  <c r="E2478" i="1" s="1"/>
  <c r="H2478" i="1" l="1"/>
  <c r="G2478" i="1"/>
  <c r="F2478" i="1" l="1"/>
  <c r="I2478" i="1" s="1"/>
  <c r="E2479" i="1" s="1"/>
  <c r="H2479" i="1" l="1"/>
  <c r="G2479" i="1"/>
  <c r="F2479" i="1" l="1"/>
  <c r="I2479" i="1" l="1"/>
  <c r="E2480" i="1" s="1"/>
  <c r="G2480" i="1" l="1"/>
  <c r="H2480" i="1"/>
  <c r="F2480" i="1" l="1"/>
  <c r="I2480" i="1" s="1"/>
  <c r="E2481" i="1" s="1"/>
  <c r="H2481" i="1" l="1"/>
  <c r="G2481" i="1"/>
  <c r="F2481" i="1" l="1"/>
  <c r="I2481" i="1" s="1"/>
  <c r="E2482" i="1" s="1"/>
  <c r="H2482" i="1" l="1"/>
  <c r="G2482" i="1"/>
  <c r="F2482" i="1" l="1"/>
  <c r="I2482" i="1" s="1"/>
  <c r="E2483" i="1" s="1"/>
  <c r="H2483" i="1" l="1"/>
  <c r="G2483" i="1"/>
  <c r="F2483" i="1" l="1"/>
  <c r="I2483" i="1" s="1"/>
  <c r="E2484" i="1" s="1"/>
  <c r="G2484" i="1" l="1"/>
  <c r="H2484" i="1"/>
  <c r="F2484" i="1" l="1"/>
  <c r="I2484" i="1" l="1"/>
  <c r="E2485" i="1" s="1"/>
  <c r="G2485" i="1" l="1"/>
  <c r="H2485" i="1"/>
  <c r="F2485" i="1" l="1"/>
  <c r="I2485" i="1" l="1"/>
  <c r="E2486" i="1" s="1"/>
  <c r="G2486" i="1" l="1"/>
  <c r="H2486" i="1"/>
  <c r="F2486" i="1" l="1"/>
  <c r="I2486" i="1" s="1"/>
  <c r="E2487" i="1" s="1"/>
  <c r="G2487" i="1" l="1"/>
  <c r="H2487" i="1"/>
  <c r="F2487" i="1" l="1"/>
  <c r="I2487" i="1" s="1"/>
  <c r="E2488" i="1" s="1"/>
  <c r="H2488" i="1" l="1"/>
  <c r="G2488" i="1"/>
  <c r="F2488" i="1" l="1"/>
  <c r="I2488" i="1" s="1"/>
  <c r="E2489" i="1" s="1"/>
  <c r="H2489" i="1" l="1"/>
  <c r="G2489" i="1"/>
  <c r="F2489" i="1" l="1"/>
  <c r="I2489" i="1" l="1"/>
  <c r="E2490" i="1" s="1"/>
  <c r="G2490" i="1" l="1"/>
  <c r="H2490" i="1"/>
  <c r="F2490" i="1" l="1"/>
  <c r="I2490" i="1" s="1"/>
  <c r="E2491" i="1" s="1"/>
  <c r="G2491" i="1" l="1"/>
  <c r="H2491" i="1"/>
  <c r="F2491" i="1" l="1"/>
  <c r="I2491" i="1" l="1"/>
  <c r="E2492" i="1" s="1"/>
  <c r="G2492" i="1" l="1"/>
  <c r="H2492" i="1"/>
  <c r="F2492" i="1" s="1"/>
  <c r="I2492" i="1" l="1"/>
  <c r="E2493" i="1" s="1"/>
  <c r="H2493" i="1" l="1"/>
  <c r="F2493" i="1" s="1"/>
  <c r="G2493" i="1"/>
  <c r="I2493" i="1" l="1"/>
  <c r="E2494" i="1" s="1"/>
  <c r="H2494" i="1" l="1"/>
  <c r="F2494" i="1" s="1"/>
  <c r="G2494" i="1"/>
  <c r="I2494" i="1" l="1"/>
  <c r="E2495" i="1" s="1"/>
  <c r="H2495" i="1" l="1"/>
  <c r="F2495" i="1" s="1"/>
  <c r="G2495" i="1"/>
  <c r="I2495" i="1" l="1"/>
  <c r="E2496" i="1" s="1"/>
  <c r="H2496" i="1" l="1"/>
  <c r="F2496" i="1" s="1"/>
  <c r="G2496" i="1"/>
  <c r="I2496" i="1" l="1"/>
  <c r="E2497" i="1" s="1"/>
  <c r="H2497" i="1" l="1"/>
  <c r="F2497" i="1" s="1"/>
  <c r="G2497" i="1"/>
  <c r="I2497" i="1" l="1"/>
  <c r="E2498" i="1" s="1"/>
  <c r="G2498" i="1" l="1"/>
  <c r="H2498" i="1"/>
  <c r="F2498" i="1" l="1"/>
  <c r="I2498" i="1" l="1"/>
  <c r="E2499" i="1" s="1"/>
  <c r="G2499" i="1" l="1"/>
  <c r="H2499" i="1"/>
  <c r="F2499" i="1" l="1"/>
  <c r="I2499" i="1" l="1"/>
  <c r="E2500" i="1" s="1"/>
  <c r="H2500" i="1" l="1"/>
  <c r="G2500" i="1"/>
  <c r="F2500" i="1" l="1"/>
  <c r="I2500" i="1" s="1"/>
  <c r="E2501" i="1" s="1"/>
  <c r="H2501" i="1" l="1"/>
  <c r="F2501" i="1" s="1"/>
  <c r="G2501" i="1"/>
  <c r="I2501" i="1" l="1"/>
  <c r="E2502" i="1" s="1"/>
  <c r="H2502" i="1" l="1"/>
  <c r="F2502" i="1" s="1"/>
  <c r="G2502" i="1"/>
  <c r="I2502" i="1" l="1"/>
  <c r="E2503" i="1" l="1"/>
  <c r="G2503" i="1" s="1"/>
  <c r="H2503" i="1" l="1"/>
  <c r="F2503" i="1" s="1"/>
  <c r="I2503" i="1" l="1"/>
  <c r="E2504" i="1" s="1"/>
  <c r="H2504" i="1" s="1"/>
  <c r="F2504" i="1" s="1"/>
  <c r="G2504" i="1" l="1"/>
  <c r="I2504" i="1"/>
  <c r="E2505" i="1" s="1"/>
  <c r="H2505" i="1" l="1"/>
  <c r="G2505" i="1"/>
  <c r="F2505" i="1"/>
  <c r="I2505" i="1" l="1"/>
  <c r="E2506" i="1" s="1"/>
  <c r="G2506" i="1" l="1"/>
  <c r="H2506" i="1"/>
  <c r="F2506" i="1" l="1"/>
  <c r="I2506" i="1" l="1"/>
  <c r="E2507" i="1" s="1"/>
  <c r="G2507" i="1" l="1"/>
  <c r="H2507" i="1"/>
  <c r="F2507" i="1" s="1"/>
  <c r="I2507" i="1" l="1"/>
  <c r="E2508" i="1" s="1"/>
  <c r="G2508" i="1" l="1"/>
  <c r="H2508" i="1"/>
  <c r="F2508" i="1" l="1"/>
  <c r="I2508" i="1" s="1"/>
  <c r="E2509" i="1" s="1"/>
  <c r="H2509" i="1" l="1"/>
  <c r="G2509" i="1"/>
  <c r="F2509" i="1" l="1"/>
  <c r="I2509" i="1" l="1"/>
  <c r="E2510" i="1" s="1"/>
  <c r="H2510" i="1" l="1"/>
  <c r="G2510" i="1"/>
  <c r="F2510" i="1"/>
  <c r="I2510" i="1" l="1"/>
  <c r="E2511" i="1" s="1"/>
  <c r="H2511" i="1" l="1"/>
  <c r="G2511" i="1"/>
  <c r="F2511" i="1"/>
  <c r="I2511" i="1" l="1"/>
  <c r="E2512" i="1" s="1"/>
  <c r="G2512" i="1" l="1"/>
  <c r="H2512" i="1"/>
  <c r="F2512" i="1" l="1"/>
  <c r="I2512" i="1" l="1"/>
  <c r="E2513" i="1" s="1"/>
  <c r="G2513" i="1" l="1"/>
  <c r="H2513" i="1"/>
  <c r="F2513" i="1" s="1"/>
  <c r="I2513" i="1" l="1"/>
  <c r="E2514" i="1" s="1"/>
  <c r="G2514" i="1" l="1"/>
  <c r="H2514" i="1"/>
  <c r="F2514" i="1" l="1"/>
  <c r="I2514" i="1" s="1"/>
  <c r="E2515" i="1" s="1"/>
  <c r="H2515" i="1" l="1"/>
  <c r="G2515" i="1"/>
  <c r="F2515" i="1" l="1"/>
  <c r="I2515" i="1" s="1"/>
  <c r="E2516" i="1" s="1"/>
  <c r="G2516" i="1" l="1"/>
  <c r="H2516" i="1"/>
  <c r="F2516" i="1" l="1"/>
  <c r="I2516" i="1" l="1"/>
  <c r="E2517" i="1" s="1"/>
  <c r="G2517" i="1" l="1"/>
  <c r="H2517" i="1"/>
  <c r="F2517" i="1" l="1"/>
  <c r="I2517" i="1" s="1"/>
  <c r="E2518" i="1" s="1"/>
  <c r="H2518" i="1" l="1"/>
  <c r="G2518" i="1"/>
  <c r="F2518" i="1" l="1"/>
  <c r="I2518" i="1" l="1"/>
  <c r="E2519" i="1" s="1"/>
  <c r="H2519" i="1" l="1"/>
  <c r="G2519" i="1"/>
  <c r="F2519" i="1"/>
  <c r="I2519" i="1" l="1"/>
  <c r="E2520" i="1" s="1"/>
  <c r="G2520" i="1" l="1"/>
  <c r="H2520" i="1"/>
  <c r="F2520" i="1" l="1"/>
  <c r="I2520" i="1" s="1"/>
  <c r="E2521" i="1" s="1"/>
  <c r="H2521" i="1" l="1"/>
  <c r="G2521" i="1"/>
  <c r="F2521" i="1" l="1"/>
  <c r="I2521" i="1" l="1"/>
  <c r="E2522" i="1" s="1"/>
  <c r="G2522" i="1" l="1"/>
  <c r="H2522" i="1"/>
  <c r="F2522" i="1" l="1"/>
  <c r="I2522" i="1" l="1"/>
  <c r="E2523" i="1" s="1"/>
  <c r="H2523" i="1" l="1"/>
  <c r="G2523" i="1"/>
  <c r="F2523" i="1" l="1"/>
  <c r="I2523" i="1" s="1"/>
  <c r="E2524" i="1" s="1"/>
  <c r="H2524" i="1" l="1"/>
  <c r="F2524" i="1" s="1"/>
  <c r="G2524" i="1"/>
  <c r="I2524" i="1" l="1"/>
  <c r="E2525" i="1" s="1"/>
  <c r="G2525" i="1" l="1"/>
  <c r="H2525" i="1"/>
  <c r="F2525" i="1" l="1"/>
  <c r="I2525" i="1" l="1"/>
  <c r="E2526" i="1" s="1"/>
  <c r="G2526" i="1" l="1"/>
  <c r="H2526" i="1"/>
  <c r="F2526" i="1" s="1"/>
  <c r="I2526" i="1" l="1"/>
  <c r="E2527" i="1" s="1"/>
  <c r="G2527" i="1" l="1"/>
  <c r="H2527" i="1"/>
  <c r="F2527" i="1" l="1"/>
  <c r="I2527" i="1" l="1"/>
  <c r="E2528" i="1" s="1"/>
  <c r="H2528" i="1" l="1"/>
  <c r="F2528" i="1" s="1"/>
  <c r="G2528" i="1"/>
  <c r="I2528" i="1" l="1"/>
  <c r="E2529" i="1" s="1"/>
  <c r="G2529" i="1" l="1"/>
  <c r="H2529" i="1"/>
  <c r="F2529" i="1" l="1"/>
  <c r="I2529" i="1" l="1"/>
  <c r="E2530" i="1" s="1"/>
  <c r="H2530" i="1" l="1"/>
  <c r="G2530" i="1"/>
  <c r="F2530" i="1"/>
  <c r="I2530" i="1" l="1"/>
  <c r="E2531" i="1" s="1"/>
  <c r="H2531" i="1" l="1"/>
  <c r="F2531" i="1" s="1"/>
  <c r="G2531" i="1"/>
  <c r="I2531" i="1" l="1"/>
  <c r="E2532" i="1" s="1"/>
  <c r="H2532" i="1" l="1"/>
  <c r="G2532" i="1"/>
  <c r="F2532" i="1" l="1"/>
  <c r="I2532" i="1" l="1"/>
  <c r="E2533" i="1" s="1"/>
  <c r="H2533" i="1" l="1"/>
  <c r="F2533" i="1" s="1"/>
  <c r="G2533" i="1"/>
  <c r="I2533" i="1" l="1"/>
  <c r="E2534" i="1" s="1"/>
  <c r="H2534" i="1" l="1"/>
  <c r="F2534" i="1" s="1"/>
  <c r="G2534" i="1"/>
  <c r="I2534" i="1" l="1"/>
  <c r="E2535" i="1" s="1"/>
  <c r="H2535" i="1" l="1"/>
  <c r="G2535" i="1"/>
  <c r="F2535" i="1" l="1"/>
  <c r="I2535" i="1" l="1"/>
  <c r="E2536" i="1" s="1"/>
  <c r="G2536" i="1" l="1"/>
  <c r="H2536" i="1"/>
  <c r="F2536" i="1" l="1"/>
  <c r="I2536" i="1" l="1"/>
  <c r="E2537" i="1" s="1"/>
  <c r="G2537" i="1" l="1"/>
  <c r="H2537" i="1"/>
  <c r="F2537" i="1" l="1"/>
  <c r="I2537" i="1" s="1"/>
  <c r="E2538" i="1" s="1"/>
  <c r="H2538" i="1" l="1"/>
  <c r="F2538" i="1" s="1"/>
  <c r="G2538" i="1"/>
  <c r="I2538" i="1" l="1"/>
  <c r="E2539" i="1" s="1"/>
  <c r="G2539" i="1" l="1"/>
  <c r="H2539" i="1"/>
  <c r="F2539" i="1" s="1"/>
  <c r="I2539" i="1" s="1"/>
  <c r="E2540" i="1" s="1"/>
  <c r="H2540" i="1" l="1"/>
  <c r="G2540" i="1"/>
  <c r="F2540" i="1" l="1"/>
  <c r="I2540" i="1" l="1"/>
  <c r="E2541" i="1" s="1"/>
  <c r="H2541" i="1" l="1"/>
  <c r="G2541" i="1"/>
  <c r="F2541" i="1"/>
  <c r="I2541" i="1" l="1"/>
  <c r="E2542" i="1" s="1"/>
  <c r="H2542" i="1" l="1"/>
  <c r="F2542" i="1" s="1"/>
  <c r="G2542" i="1"/>
  <c r="I2542" i="1" l="1"/>
  <c r="E2543" i="1" s="1"/>
  <c r="H2543" i="1" l="1"/>
  <c r="G2543" i="1"/>
  <c r="F2543" i="1" l="1"/>
  <c r="I2543" i="1" s="1"/>
  <c r="E2544" i="1" s="1"/>
  <c r="G2544" i="1" l="1"/>
  <c r="H2544" i="1"/>
  <c r="F2544" i="1" l="1"/>
  <c r="I2544" i="1" l="1"/>
  <c r="E2545" i="1" s="1"/>
  <c r="H2545" i="1" l="1"/>
  <c r="F2545" i="1" s="1"/>
  <c r="G2545" i="1"/>
  <c r="I2545" i="1" l="1"/>
  <c r="E2546" i="1" s="1"/>
  <c r="G2546" i="1" l="1"/>
  <c r="H2546" i="1"/>
  <c r="F2546" i="1" l="1"/>
  <c r="I2546" i="1" s="1"/>
  <c r="E2547" i="1" s="1"/>
  <c r="G2547" i="1" l="1"/>
  <c r="H2547" i="1"/>
  <c r="F2547" i="1" l="1"/>
  <c r="I2547" i="1" s="1"/>
  <c r="E2548" i="1" s="1"/>
  <c r="H2548" i="1" l="1"/>
  <c r="G2548" i="1"/>
  <c r="F2548" i="1" l="1"/>
  <c r="I2548" i="1" s="1"/>
  <c r="E2549" i="1" s="1"/>
  <c r="H2549" i="1" l="1"/>
  <c r="G2549" i="1"/>
  <c r="F2549" i="1" l="1"/>
  <c r="I2549" i="1" l="1"/>
  <c r="E2550" i="1" s="1"/>
  <c r="G2550" i="1" l="1"/>
  <c r="H2550" i="1"/>
  <c r="F2550" i="1" s="1"/>
  <c r="I2550" i="1" l="1"/>
  <c r="E2551" i="1" s="1"/>
  <c r="H2551" i="1" l="1"/>
  <c r="F2551" i="1" s="1"/>
  <c r="I2551" i="1" s="1"/>
  <c r="E2552" i="1" s="1"/>
  <c r="G2551" i="1"/>
  <c r="H2552" i="1" l="1"/>
  <c r="G2552" i="1"/>
  <c r="F2552" i="1" l="1"/>
  <c r="I2552" i="1" l="1"/>
  <c r="E2553" i="1" s="1"/>
  <c r="H2553" i="1" l="1"/>
  <c r="G2553" i="1"/>
  <c r="F2553" i="1"/>
  <c r="I2553" i="1" l="1"/>
  <c r="E2554" i="1" s="1"/>
  <c r="H2554" i="1" l="1"/>
  <c r="G2554" i="1"/>
  <c r="F2554" i="1"/>
  <c r="I2554" i="1" l="1"/>
  <c r="E2555" i="1" s="1"/>
  <c r="G2555" i="1" l="1"/>
  <c r="H2555" i="1"/>
  <c r="F2555" i="1" l="1"/>
  <c r="I2555" i="1" l="1"/>
  <c r="E2556" i="1" s="1"/>
  <c r="H2556" i="1" l="1"/>
  <c r="G2556" i="1"/>
  <c r="F2556" i="1"/>
  <c r="I2556" i="1" l="1"/>
  <c r="E2557" i="1" s="1"/>
  <c r="H2557" i="1" l="1"/>
  <c r="G2557" i="1"/>
  <c r="F2557" i="1" l="1"/>
  <c r="I2557" i="1" s="1"/>
  <c r="E2558" i="1" s="1"/>
  <c r="H2558" i="1" l="1"/>
  <c r="G2558" i="1"/>
  <c r="F2558" i="1" l="1"/>
  <c r="I2558" i="1" l="1"/>
  <c r="E2559" i="1" s="1"/>
  <c r="H2559" i="1" l="1"/>
  <c r="G2559" i="1"/>
  <c r="F2559" i="1"/>
  <c r="I2559" i="1" l="1"/>
  <c r="E2560" i="1" s="1"/>
  <c r="H2560" i="1" l="1"/>
  <c r="G2560" i="1"/>
  <c r="F2560" i="1" l="1"/>
  <c r="I2560" i="1" s="1"/>
  <c r="E2561" i="1" s="1"/>
  <c r="G2561" i="1" l="1"/>
  <c r="H2561" i="1"/>
  <c r="F2561" i="1" l="1"/>
  <c r="I2561" i="1" l="1"/>
  <c r="E2562" i="1" s="1"/>
  <c r="H2562" i="1" l="1"/>
  <c r="G2562" i="1"/>
  <c r="F2562" i="1"/>
  <c r="I2562" i="1" l="1"/>
  <c r="E2563" i="1" s="1"/>
  <c r="H2563" i="1" l="1"/>
  <c r="G2563" i="1"/>
  <c r="F2563" i="1"/>
  <c r="I2563" i="1" l="1"/>
  <c r="E2564" i="1" s="1"/>
  <c r="H2564" i="1" l="1"/>
  <c r="G2564" i="1"/>
  <c r="F2564" i="1" l="1"/>
  <c r="I2564" i="1" s="1"/>
  <c r="E2565" i="1" s="1"/>
  <c r="H2565" i="1" l="1"/>
  <c r="G2565" i="1"/>
  <c r="F2565" i="1" l="1"/>
  <c r="I2565" i="1" s="1"/>
  <c r="E2566" i="1" s="1"/>
  <c r="G2566" i="1" l="1"/>
  <c r="H2566" i="1"/>
  <c r="F2566" i="1" l="1"/>
  <c r="I2566" i="1" l="1"/>
  <c r="E2567" i="1" s="1"/>
  <c r="H2567" i="1" l="1"/>
  <c r="G2567" i="1"/>
  <c r="F2567" i="1"/>
  <c r="I2567" i="1" l="1"/>
  <c r="E2568" i="1" s="1"/>
  <c r="H2568" i="1" l="1"/>
  <c r="F2568" i="1" s="1"/>
  <c r="G2568" i="1"/>
  <c r="I2568" i="1" l="1"/>
  <c r="E2569" i="1" s="1"/>
  <c r="H2569" i="1" l="1"/>
  <c r="F2569" i="1" s="1"/>
  <c r="G2569" i="1"/>
  <c r="I2569" i="1" l="1"/>
  <c r="E2570" i="1" s="1"/>
  <c r="H2570" i="1" l="1"/>
  <c r="G2570" i="1"/>
  <c r="F2570" i="1" l="1"/>
  <c r="I2570" i="1" s="1"/>
  <c r="E2571" i="1" s="1"/>
  <c r="G2571" i="1" l="1"/>
  <c r="H2571" i="1"/>
  <c r="F2571" i="1" l="1"/>
  <c r="I2571" i="1" s="1"/>
  <c r="E2572" i="1" s="1"/>
  <c r="H2572" i="1" l="1"/>
  <c r="G2572" i="1"/>
  <c r="F2572" i="1" l="1"/>
  <c r="I2572" i="1" l="1"/>
  <c r="E2573" i="1" s="1"/>
  <c r="G2573" i="1" l="1"/>
  <c r="H2573" i="1"/>
  <c r="F2573" i="1" l="1"/>
  <c r="I2573" i="1" s="1"/>
  <c r="E2574" i="1" s="1"/>
  <c r="H2574" i="1" l="1"/>
  <c r="G2574" i="1"/>
  <c r="F2574" i="1" l="1"/>
  <c r="I2574" i="1" s="1"/>
  <c r="E2575" i="1" s="1"/>
  <c r="H2575" i="1" l="1"/>
  <c r="G2575" i="1"/>
  <c r="F2575" i="1" l="1"/>
  <c r="I2575" i="1" s="1"/>
  <c r="E2576" i="1" s="1"/>
  <c r="G2576" i="1" l="1"/>
  <c r="H2576" i="1"/>
  <c r="F2576" i="1" l="1"/>
  <c r="I2576" i="1" s="1"/>
  <c r="E2577" i="1" s="1"/>
  <c r="G2577" i="1" l="1"/>
  <c r="H2577" i="1"/>
  <c r="F2577" i="1" l="1"/>
  <c r="I2577" i="1" s="1"/>
  <c r="E2578" i="1" s="1"/>
  <c r="G2578" i="1" l="1"/>
  <c r="H2578" i="1"/>
  <c r="F2578" i="1" l="1"/>
  <c r="I2578" i="1" s="1"/>
  <c r="E2579" i="1" s="1"/>
  <c r="G2579" i="1" l="1"/>
  <c r="H2579" i="1"/>
  <c r="F2579" i="1" l="1"/>
  <c r="I2579" i="1" s="1"/>
  <c r="E2580" i="1" s="1"/>
  <c r="G2580" i="1" l="1"/>
  <c r="H2580" i="1"/>
  <c r="F2580" i="1" l="1"/>
  <c r="I2580" i="1" s="1"/>
  <c r="E2581" i="1" s="1"/>
  <c r="H2581" i="1" l="1"/>
  <c r="G2581" i="1"/>
  <c r="F2581" i="1" l="1"/>
  <c r="I2581" i="1" l="1"/>
  <c r="E2582" i="1" s="1"/>
  <c r="H2582" i="1" l="1"/>
  <c r="F2582" i="1" s="1"/>
  <c r="G2582" i="1"/>
  <c r="I2582" i="1" l="1"/>
  <c r="E2583" i="1" s="1"/>
  <c r="H2583" i="1" l="1"/>
  <c r="G2583" i="1"/>
  <c r="F2583" i="1" l="1"/>
  <c r="I2583" i="1" s="1"/>
  <c r="E2584" i="1" s="1"/>
  <c r="H2584" i="1" l="1"/>
  <c r="G2584" i="1"/>
  <c r="F2584" i="1" l="1"/>
  <c r="I2584" i="1" s="1"/>
  <c r="E2585" i="1" s="1"/>
  <c r="H2585" i="1" l="1"/>
  <c r="G2585" i="1"/>
  <c r="F2585" i="1" l="1"/>
  <c r="I2585" i="1" s="1"/>
  <c r="E2586" i="1" s="1"/>
  <c r="H2586" i="1" l="1"/>
  <c r="G2586" i="1"/>
  <c r="F2586" i="1" l="1"/>
  <c r="I2586" i="1" s="1"/>
  <c r="E2587" i="1" s="1"/>
  <c r="H2587" i="1" l="1"/>
  <c r="G2587" i="1"/>
  <c r="F2587" i="1" l="1"/>
  <c r="I2587" i="1" s="1"/>
  <c r="E2588" i="1" s="1"/>
  <c r="H2588" i="1" l="1"/>
  <c r="G2588" i="1"/>
  <c r="F2588" i="1" l="1"/>
  <c r="I2588" i="1" l="1"/>
  <c r="E2589" i="1" s="1"/>
  <c r="H2589" i="1" l="1"/>
  <c r="G2589" i="1"/>
  <c r="F2589" i="1"/>
  <c r="I2589" i="1" l="1"/>
  <c r="E2590" i="1" s="1"/>
  <c r="G2590" i="1" l="1"/>
  <c r="H2590" i="1"/>
  <c r="F2590" i="1" l="1"/>
  <c r="I2590" i="1" l="1"/>
  <c r="E2591" i="1" s="1"/>
  <c r="G2591" i="1" l="1"/>
  <c r="H2591" i="1"/>
  <c r="F2591" i="1" s="1"/>
  <c r="I2591" i="1" l="1"/>
  <c r="E2592" i="1" s="1"/>
  <c r="H2592" i="1" l="1"/>
  <c r="G2592" i="1"/>
  <c r="F2592" i="1" l="1"/>
  <c r="I2592" i="1" s="1"/>
  <c r="E2593" i="1" s="1"/>
  <c r="H2593" i="1" l="1"/>
  <c r="G2593" i="1"/>
  <c r="F2593" i="1" l="1"/>
  <c r="I2593" i="1" s="1"/>
  <c r="E2594" i="1" s="1"/>
  <c r="H2594" i="1" l="1"/>
  <c r="G2594" i="1"/>
  <c r="F2594" i="1" l="1"/>
  <c r="I2594" i="1" s="1"/>
  <c r="E2595" i="1" s="1"/>
  <c r="H2595" i="1" l="1"/>
  <c r="G2595" i="1"/>
  <c r="F2595" i="1" l="1"/>
  <c r="I2595" i="1" l="1"/>
  <c r="E2596" i="1" s="1"/>
  <c r="H2596" i="1" l="1"/>
  <c r="G2596" i="1"/>
  <c r="F2596" i="1"/>
  <c r="I2596" i="1" l="1"/>
  <c r="E2597" i="1" s="1"/>
  <c r="H2597" i="1" l="1"/>
  <c r="F2597" i="1" s="1"/>
  <c r="I2597" i="1" s="1"/>
  <c r="E2598" i="1" s="1"/>
  <c r="G2597" i="1"/>
  <c r="G2598" i="1" l="1"/>
  <c r="H2598" i="1"/>
  <c r="F2598" i="1" l="1"/>
  <c r="I2598" i="1" s="1"/>
  <c r="E2599" i="1" s="1"/>
  <c r="H2599" i="1" l="1"/>
  <c r="G2599" i="1"/>
  <c r="F2599" i="1" l="1"/>
  <c r="I2599" i="1" s="1"/>
  <c r="E2600" i="1" s="1"/>
  <c r="H2600" i="1" l="1"/>
  <c r="G2600" i="1"/>
  <c r="F2600" i="1" l="1"/>
  <c r="I2600" i="1" l="1"/>
  <c r="E2601" i="1" s="1"/>
  <c r="H2601" i="1" l="1"/>
  <c r="G2601" i="1"/>
  <c r="F2601" i="1"/>
  <c r="I2601" i="1" l="1"/>
  <c r="E2602" i="1" s="1"/>
  <c r="H2602" i="1" l="1"/>
  <c r="G2602" i="1"/>
  <c r="F2602" i="1" l="1"/>
  <c r="I2602" i="1" s="1"/>
  <c r="E2603" i="1" s="1"/>
  <c r="H2603" i="1" l="1"/>
  <c r="G2603" i="1"/>
  <c r="F2603" i="1" l="1"/>
  <c r="I2603" i="1" s="1"/>
  <c r="E2604" i="1" s="1"/>
  <c r="H2604" i="1" l="1"/>
  <c r="G2604" i="1"/>
  <c r="F2604" i="1" l="1"/>
  <c r="I2604" i="1" s="1"/>
  <c r="E2605" i="1" s="1"/>
  <c r="H2605" i="1" l="1"/>
  <c r="G2605" i="1"/>
  <c r="F2605" i="1" l="1"/>
  <c r="I2605" i="1" l="1"/>
  <c r="E2606" i="1" s="1"/>
  <c r="G2606" i="1" l="1"/>
  <c r="H2606" i="1"/>
  <c r="F2606" i="1" l="1"/>
  <c r="I2606" i="1" l="1"/>
  <c r="E2607" i="1" s="1"/>
  <c r="H2607" i="1" l="1"/>
  <c r="G2607" i="1"/>
  <c r="F2607" i="1" l="1"/>
  <c r="I2607" i="1" s="1"/>
  <c r="E2608" i="1" s="1"/>
  <c r="H2608" i="1" l="1"/>
  <c r="F2608" i="1" s="1"/>
  <c r="G2608" i="1"/>
  <c r="I2608" i="1" l="1"/>
  <c r="E2609" i="1" s="1"/>
  <c r="H2609" i="1" l="1"/>
  <c r="G2609" i="1"/>
  <c r="F2609" i="1" l="1"/>
  <c r="I2609" i="1" s="1"/>
  <c r="E2610" i="1" s="1"/>
  <c r="G2610" i="1" l="1"/>
  <c r="H2610" i="1"/>
  <c r="F2610" i="1" l="1"/>
  <c r="I2610" i="1" s="1"/>
  <c r="E2611" i="1" s="1"/>
  <c r="G2611" i="1" l="1"/>
  <c r="H2611" i="1"/>
  <c r="F2611" i="1" l="1"/>
  <c r="I2611" i="1" s="1"/>
  <c r="E2612" i="1" s="1"/>
  <c r="H2612" i="1" l="1"/>
  <c r="G2612" i="1"/>
  <c r="F2612" i="1" l="1"/>
  <c r="I2612" i="1" l="1"/>
  <c r="E2613" i="1" s="1"/>
  <c r="H2613" i="1" l="1"/>
  <c r="G2613" i="1"/>
  <c r="F2613" i="1"/>
  <c r="I2613" i="1" l="1"/>
  <c r="E2614" i="1" s="1"/>
  <c r="H2614" i="1" l="1"/>
  <c r="G2614" i="1"/>
  <c r="F2614" i="1" l="1"/>
  <c r="I2614" i="1" s="1"/>
  <c r="E2615" i="1" s="1"/>
  <c r="H2615" i="1" l="1"/>
  <c r="G2615" i="1"/>
  <c r="F2615" i="1" l="1"/>
  <c r="I2615" i="1" s="1"/>
  <c r="E2616" i="1" s="1"/>
  <c r="H2616" i="1" l="1"/>
  <c r="G2616" i="1"/>
  <c r="F2616" i="1" l="1"/>
  <c r="I2616" i="1" l="1"/>
  <c r="E2617" i="1" s="1"/>
  <c r="G2617" i="1" l="1"/>
  <c r="H2617" i="1"/>
  <c r="F2617" i="1" s="1"/>
  <c r="I2617" i="1" l="1"/>
  <c r="E2618" i="1" s="1"/>
  <c r="G2618" i="1" l="1"/>
  <c r="H2618" i="1"/>
  <c r="F2618" i="1" l="1"/>
  <c r="I2618" i="1" l="1"/>
  <c r="E2619" i="1" s="1"/>
  <c r="H2619" i="1" l="1"/>
  <c r="F2619" i="1" s="1"/>
  <c r="G2619" i="1"/>
  <c r="I2619" i="1" l="1"/>
  <c r="E2620" i="1" s="1"/>
  <c r="G2620" i="1" l="1"/>
  <c r="H2620" i="1"/>
  <c r="F2620" i="1" l="1"/>
  <c r="I2620" i="1" s="1"/>
  <c r="E2621" i="1" s="1"/>
  <c r="H2621" i="1" l="1"/>
  <c r="G2621" i="1"/>
  <c r="F2621" i="1" l="1"/>
  <c r="I2621" i="1" s="1"/>
  <c r="E2622" i="1" s="1"/>
  <c r="G2622" i="1" l="1"/>
  <c r="H2622" i="1"/>
  <c r="F2622" i="1" l="1"/>
  <c r="I2622" i="1" s="1"/>
  <c r="E2623" i="1" s="1"/>
  <c r="H2623" i="1" l="1"/>
  <c r="G2623" i="1"/>
  <c r="F2623" i="1" l="1"/>
  <c r="I2623" i="1" s="1"/>
  <c r="E2624" i="1" s="1"/>
  <c r="H2624" i="1" l="1"/>
  <c r="G2624" i="1"/>
  <c r="F2624" i="1" l="1"/>
  <c r="I2624" i="1" l="1"/>
  <c r="E2625" i="1" s="1"/>
  <c r="H2625" i="1" l="1"/>
  <c r="F2625" i="1" s="1"/>
  <c r="G2625" i="1"/>
  <c r="I2625" i="1" l="1"/>
  <c r="E2626" i="1" s="1"/>
  <c r="H2626" i="1" l="1"/>
  <c r="F2626" i="1" s="1"/>
  <c r="G2626" i="1"/>
  <c r="I2626" i="1" l="1"/>
  <c r="E2627" i="1" s="1"/>
  <c r="H2627" i="1" l="1"/>
  <c r="G2627" i="1"/>
  <c r="F2627" i="1" l="1"/>
  <c r="I2627" i="1" l="1"/>
  <c r="E2628" i="1" s="1"/>
  <c r="G2628" i="1" l="1"/>
  <c r="H2628" i="1"/>
  <c r="F2628" i="1" s="1"/>
  <c r="I2628" i="1" l="1"/>
  <c r="E2629" i="1" s="1"/>
  <c r="H2629" i="1" l="1"/>
  <c r="G2629" i="1"/>
  <c r="F2629" i="1" l="1"/>
  <c r="I2629" i="1" l="1"/>
  <c r="E2630" i="1" s="1"/>
  <c r="H2630" i="1" l="1"/>
  <c r="F2630" i="1" s="1"/>
  <c r="G2630" i="1"/>
  <c r="I2630" i="1" l="1"/>
  <c r="E2631" i="1" s="1"/>
  <c r="H2631" i="1" l="1"/>
  <c r="G2631" i="1"/>
  <c r="F2631" i="1"/>
  <c r="I2631" i="1" l="1"/>
  <c r="E2632" i="1" s="1"/>
  <c r="H2632" i="1" l="1"/>
  <c r="G2632" i="1"/>
  <c r="F2632" i="1"/>
  <c r="I2632" i="1" l="1"/>
  <c r="E2633" i="1" s="1"/>
  <c r="H2633" i="1" l="1"/>
  <c r="G2633" i="1"/>
  <c r="F2633" i="1" l="1"/>
  <c r="I2633" i="1" s="1"/>
  <c r="E2634" i="1" s="1"/>
  <c r="H2634" i="1" l="1"/>
  <c r="G2634" i="1"/>
  <c r="F2634" i="1" l="1"/>
  <c r="I2634" i="1" s="1"/>
  <c r="E2635" i="1" s="1"/>
  <c r="H2635" i="1" l="1"/>
  <c r="G2635" i="1"/>
  <c r="F2635" i="1" l="1"/>
  <c r="I2635" i="1" l="1"/>
  <c r="E2636" i="1" s="1"/>
  <c r="H2636" i="1" l="1"/>
  <c r="G2636" i="1"/>
  <c r="F2636" i="1"/>
  <c r="I2636" i="1" l="1"/>
  <c r="E2637" i="1" s="1"/>
  <c r="H2637" i="1" l="1"/>
  <c r="G2637" i="1"/>
  <c r="F2637" i="1" l="1"/>
  <c r="I2637" i="1" s="1"/>
  <c r="E2638" i="1" s="1"/>
  <c r="H2638" i="1" l="1"/>
  <c r="G2638" i="1"/>
  <c r="F2638" i="1" l="1"/>
  <c r="I2638" i="1" s="1"/>
  <c r="E2639" i="1" s="1"/>
  <c r="H2639" i="1" l="1"/>
  <c r="G2639" i="1"/>
  <c r="F2639" i="1" l="1"/>
  <c r="I2639" i="1" s="1"/>
  <c r="E2640" i="1" s="1"/>
  <c r="H2640" i="1" l="1"/>
  <c r="G2640" i="1"/>
  <c r="F2640" i="1" l="1"/>
  <c r="I2640" i="1" s="1"/>
  <c r="E2641" i="1" s="1"/>
  <c r="G2641" i="1" l="1"/>
  <c r="H2641" i="1"/>
  <c r="F2641" i="1" l="1"/>
  <c r="I2641" i="1" s="1"/>
  <c r="E2642" i="1" s="1"/>
  <c r="H2642" i="1" l="1"/>
  <c r="G2642" i="1"/>
  <c r="F2642" i="1" l="1"/>
  <c r="I2642" i="1" s="1"/>
  <c r="E2643" i="1" s="1"/>
  <c r="H2643" i="1" l="1"/>
  <c r="G2643" i="1"/>
  <c r="F2643" i="1" l="1"/>
  <c r="I2643" i="1" s="1"/>
  <c r="E2644" i="1" s="1"/>
  <c r="G2644" i="1" l="1"/>
  <c r="H2644" i="1"/>
  <c r="F2644" i="1" l="1"/>
  <c r="I2644" i="1" l="1"/>
  <c r="E2645" i="1" s="1"/>
  <c r="H2645" i="1" l="1"/>
  <c r="F2645" i="1" s="1"/>
  <c r="G2645" i="1"/>
  <c r="I2645" i="1" l="1"/>
  <c r="E2646" i="1" s="1"/>
  <c r="G2646" i="1" l="1"/>
  <c r="H2646" i="1"/>
  <c r="F2646" i="1" s="1"/>
  <c r="I2646" i="1" l="1"/>
  <c r="E2647" i="1" s="1"/>
  <c r="G2647" i="1" l="1"/>
  <c r="H2647" i="1"/>
  <c r="F2647" i="1" l="1"/>
  <c r="I2647" i="1" s="1"/>
  <c r="E2648" i="1" s="1"/>
  <c r="H2648" i="1" l="1"/>
  <c r="G2648" i="1"/>
  <c r="F2648" i="1" l="1"/>
  <c r="I2648" i="1" s="1"/>
  <c r="E2649" i="1" s="1"/>
  <c r="H2649" i="1" l="1"/>
  <c r="G2649" i="1"/>
  <c r="F2649" i="1" l="1"/>
  <c r="I2649" i="1" s="1"/>
  <c r="E2650" i="1" s="1"/>
  <c r="G2650" i="1" l="1"/>
  <c r="H2650" i="1"/>
  <c r="F2650" i="1" l="1"/>
  <c r="I2650" i="1" s="1"/>
  <c r="E2651" i="1" s="1"/>
  <c r="H2651" i="1" l="1"/>
  <c r="G2651" i="1"/>
  <c r="F2651" i="1" l="1"/>
  <c r="I2651" i="1" s="1"/>
  <c r="E2652" i="1" s="1"/>
  <c r="H2652" i="1" l="1"/>
  <c r="G2652" i="1"/>
  <c r="F2652" i="1" l="1"/>
  <c r="I2652" i="1" s="1"/>
  <c r="E2653" i="1" s="1"/>
  <c r="H2653" i="1" l="1"/>
  <c r="G2653" i="1"/>
  <c r="F2653" i="1" l="1"/>
  <c r="I2653" i="1" l="1"/>
  <c r="E2654" i="1" s="1"/>
  <c r="G2654" i="1" l="1"/>
  <c r="H2654" i="1"/>
  <c r="F2654" i="1" l="1"/>
  <c r="I2654" i="1" l="1"/>
  <c r="E2655" i="1" s="1"/>
  <c r="H2655" i="1" l="1"/>
  <c r="G2655" i="1"/>
  <c r="F2655" i="1" l="1"/>
  <c r="I2655" i="1" s="1"/>
  <c r="E2656" i="1" s="1"/>
  <c r="G2656" i="1" l="1"/>
  <c r="H2656" i="1"/>
  <c r="F2656" i="1" s="1"/>
  <c r="I2656" i="1" l="1"/>
  <c r="E2657" i="1" s="1"/>
  <c r="H2657" i="1" l="1"/>
  <c r="G2657" i="1"/>
  <c r="F2657" i="1" l="1"/>
  <c r="I2657" i="1" l="1"/>
  <c r="E2658" i="1" s="1"/>
  <c r="H2658" i="1" l="1"/>
  <c r="G2658" i="1"/>
  <c r="F2658" i="1"/>
  <c r="I2658" i="1" l="1"/>
  <c r="E2659" i="1" s="1"/>
  <c r="H2659" i="1" l="1"/>
  <c r="F2659" i="1" s="1"/>
  <c r="G2659" i="1"/>
  <c r="I2659" i="1" l="1"/>
  <c r="E2660" i="1" s="1"/>
  <c r="H2660" i="1" l="1"/>
  <c r="G2660" i="1"/>
  <c r="F2660" i="1" l="1"/>
  <c r="I2660" i="1" s="1"/>
  <c r="E2661" i="1" s="1"/>
  <c r="H2661" i="1" l="1"/>
  <c r="G2661" i="1"/>
  <c r="F2661" i="1" l="1"/>
  <c r="I2661" i="1" s="1"/>
  <c r="E2662" i="1" s="1"/>
  <c r="H2662" i="1" l="1"/>
  <c r="G2662" i="1"/>
  <c r="F2662" i="1" l="1"/>
  <c r="I2662" i="1" s="1"/>
  <c r="E2663" i="1" s="1"/>
  <c r="G2663" i="1" l="1"/>
  <c r="H2663" i="1"/>
  <c r="F2663" i="1" l="1"/>
  <c r="I2663" i="1" l="1"/>
  <c r="E2664" i="1" s="1"/>
  <c r="H2664" i="1" l="1"/>
  <c r="F2664" i="1" s="1"/>
  <c r="G2664" i="1"/>
  <c r="I2664" i="1" l="1"/>
  <c r="E2665" i="1" l="1"/>
  <c r="G2665" i="1" l="1"/>
  <c r="H2665" i="1"/>
  <c r="F2665" i="1" s="1"/>
  <c r="I2665" i="1" s="1"/>
  <c r="E2666" i="1" s="1"/>
  <c r="H2666" i="1" l="1"/>
  <c r="G2666" i="1"/>
  <c r="F2666" i="1"/>
  <c r="I2666" i="1" s="1"/>
  <c r="E2667" i="1" s="1"/>
  <c r="H2667" i="1" l="1"/>
  <c r="G2667" i="1"/>
  <c r="F2667" i="1" l="1"/>
  <c r="I2667" i="1" s="1"/>
  <c r="E2668" i="1" s="1"/>
  <c r="H2668" i="1" l="1"/>
  <c r="G2668" i="1"/>
  <c r="F2668" i="1" l="1"/>
  <c r="I2668" i="1" s="1"/>
  <c r="E2669" i="1" s="1"/>
  <c r="H2669" i="1" l="1"/>
  <c r="G2669" i="1"/>
  <c r="F2669" i="1" l="1"/>
  <c r="I2669" i="1" s="1"/>
  <c r="E2670" i="1" s="1"/>
  <c r="G2670" i="1" l="1"/>
  <c r="H2670" i="1"/>
  <c r="F2670" i="1" l="1"/>
  <c r="I2670" i="1" s="1"/>
  <c r="E2671" i="1" s="1"/>
  <c r="G2671" i="1" l="1"/>
  <c r="H2671" i="1"/>
  <c r="F2671" i="1" l="1"/>
  <c r="I2671" i="1" s="1"/>
  <c r="E2672" i="1" s="1"/>
  <c r="H2672" i="1" l="1"/>
  <c r="G2672" i="1"/>
  <c r="F2672" i="1" l="1"/>
  <c r="I2672" i="1" s="1"/>
  <c r="E2673" i="1" s="1"/>
  <c r="H2673" i="1" l="1"/>
  <c r="G2673" i="1"/>
  <c r="F2673" i="1" l="1"/>
  <c r="I2673" i="1" s="1"/>
  <c r="E2674" i="1" s="1"/>
  <c r="H2674" i="1" l="1"/>
  <c r="G2674" i="1"/>
  <c r="F2674" i="1" l="1"/>
  <c r="I2674" i="1" l="1"/>
  <c r="E2675" i="1" s="1"/>
  <c r="H2675" i="1" l="1"/>
  <c r="G2675" i="1"/>
  <c r="F2675" i="1"/>
  <c r="I2675" i="1" l="1"/>
  <c r="E2676" i="1" s="1"/>
  <c r="G2676" i="1" l="1"/>
  <c r="H2676" i="1"/>
  <c r="F2676" i="1" l="1"/>
  <c r="I2676" i="1" s="1"/>
  <c r="E2677" i="1" s="1"/>
  <c r="H2677" i="1" l="1"/>
  <c r="G2677" i="1"/>
  <c r="F2677" i="1" l="1"/>
  <c r="I2677" i="1" s="1"/>
  <c r="E2678" i="1" s="1"/>
  <c r="G2678" i="1" l="1"/>
  <c r="H2678" i="1"/>
  <c r="F2678" i="1" l="1"/>
  <c r="I2678" i="1" s="1"/>
  <c r="E2679" i="1" s="1"/>
  <c r="H2679" i="1" l="1"/>
  <c r="G2679" i="1"/>
  <c r="F2679" i="1" l="1"/>
  <c r="I2679" i="1" s="1"/>
  <c r="E2680" i="1" s="1"/>
  <c r="H2680" i="1" l="1"/>
  <c r="G2680" i="1"/>
  <c r="F2680" i="1" l="1"/>
  <c r="I2680" i="1" s="1"/>
  <c r="E2681" i="1" s="1"/>
  <c r="H2681" i="1" l="1"/>
  <c r="G2681" i="1"/>
  <c r="F2681" i="1" l="1"/>
  <c r="I2681" i="1" s="1"/>
  <c r="E2682" i="1" s="1"/>
  <c r="H2682" i="1" l="1"/>
  <c r="G2682" i="1"/>
  <c r="F2682" i="1" l="1"/>
  <c r="I2682" i="1" s="1"/>
  <c r="E2683" i="1" s="1"/>
  <c r="H2683" i="1" l="1"/>
  <c r="G2683" i="1"/>
  <c r="F2683" i="1" l="1"/>
  <c r="I2683" i="1" s="1"/>
  <c r="E2684" i="1" s="1"/>
  <c r="H2684" i="1" l="1"/>
  <c r="G2684" i="1"/>
  <c r="F2684" i="1" l="1"/>
  <c r="I2684" i="1" s="1"/>
  <c r="E2685" i="1" s="1"/>
  <c r="H2685" i="1" l="1"/>
  <c r="G2685" i="1"/>
  <c r="F2685" i="1" l="1"/>
  <c r="I2685" i="1" s="1"/>
  <c r="E2686" i="1" s="1"/>
  <c r="H2686" i="1" l="1"/>
  <c r="G2686" i="1"/>
  <c r="F2686" i="1" l="1"/>
  <c r="I2686" i="1" s="1"/>
  <c r="E2687" i="1" s="1"/>
  <c r="G2687" i="1" l="1"/>
  <c r="H2687" i="1"/>
  <c r="F2687" i="1" l="1"/>
  <c r="I2687" i="1" s="1"/>
  <c r="E2688" i="1" s="1"/>
  <c r="H2688" i="1" l="1"/>
  <c r="G2688" i="1"/>
  <c r="F2688" i="1" l="1"/>
  <c r="I2688" i="1" s="1"/>
  <c r="E2689" i="1" s="1"/>
  <c r="H2689" i="1" l="1"/>
  <c r="G2689" i="1"/>
  <c r="F2689" i="1" l="1"/>
  <c r="I2689" i="1" s="1"/>
  <c r="E2690" i="1" s="1"/>
  <c r="H2690" i="1" l="1"/>
  <c r="G2690" i="1"/>
  <c r="F2690" i="1" l="1"/>
  <c r="I2690" i="1" s="1"/>
  <c r="E2691" i="1" s="1"/>
  <c r="H2691" i="1" l="1"/>
  <c r="G2691" i="1"/>
  <c r="F2691" i="1" l="1"/>
  <c r="I2691" i="1" s="1"/>
  <c r="E2692" i="1" s="1"/>
  <c r="H2692" i="1" l="1"/>
  <c r="G2692" i="1"/>
  <c r="F2692" i="1" l="1"/>
  <c r="I2692" i="1" s="1"/>
  <c r="E2693" i="1" s="1"/>
  <c r="G2693" i="1" l="1"/>
  <c r="H2693" i="1"/>
  <c r="F2693" i="1" l="1"/>
  <c r="I2693" i="1" s="1"/>
  <c r="E2694" i="1" s="1"/>
  <c r="H2694" i="1" l="1"/>
  <c r="G2694" i="1"/>
  <c r="F2694" i="1" l="1"/>
  <c r="I2694" i="1" s="1"/>
  <c r="E2695" i="1" s="1"/>
  <c r="H2695" i="1" l="1"/>
  <c r="G2695" i="1"/>
  <c r="F2695" i="1" l="1"/>
  <c r="I2695" i="1" l="1"/>
  <c r="E2696" i="1" s="1"/>
  <c r="H2696" i="1" l="1"/>
  <c r="F2696" i="1" s="1"/>
  <c r="G2696" i="1"/>
  <c r="I2696" i="1" l="1"/>
  <c r="E2697" i="1" s="1"/>
  <c r="H2697" i="1" l="1"/>
  <c r="F2697" i="1" s="1"/>
  <c r="G2697" i="1"/>
  <c r="I2697" i="1" l="1"/>
  <c r="E2698" i="1" s="1"/>
  <c r="H2698" i="1" l="1"/>
  <c r="F2698" i="1" s="1"/>
  <c r="G2698" i="1"/>
  <c r="I2698" i="1" l="1"/>
  <c r="E2699" i="1" s="1"/>
  <c r="H2699" i="1" l="1"/>
  <c r="G2699" i="1"/>
  <c r="F2699" i="1" l="1"/>
  <c r="I2699" i="1" l="1"/>
  <c r="E2700" i="1" s="1"/>
  <c r="H2700" i="1" l="1"/>
  <c r="F2700" i="1" s="1"/>
  <c r="G2700" i="1"/>
  <c r="I2700" i="1" l="1"/>
  <c r="E2701" i="1" s="1"/>
  <c r="H2701" i="1" l="1"/>
  <c r="F2701" i="1" s="1"/>
  <c r="G2701" i="1"/>
  <c r="I2701" i="1" l="1"/>
  <c r="E2702" i="1" s="1"/>
  <c r="H2702" i="1" l="1"/>
  <c r="F2702" i="1" s="1"/>
  <c r="G2702" i="1"/>
  <c r="I2702" i="1" l="1"/>
  <c r="E2703" i="1" s="1"/>
  <c r="G2703" i="1" l="1"/>
  <c r="H2703" i="1"/>
  <c r="F2703" i="1" s="1"/>
  <c r="I2703" i="1" s="1"/>
  <c r="E2704" i="1" s="1"/>
  <c r="G2704" i="1" l="1"/>
  <c r="H2704" i="1"/>
  <c r="F2704" i="1" l="1"/>
  <c r="I2704" i="1" s="1"/>
  <c r="E2705" i="1" s="1"/>
  <c r="H2705" i="1" l="1"/>
  <c r="G2705" i="1"/>
  <c r="F2705" i="1" l="1"/>
  <c r="I2705" i="1" s="1"/>
  <c r="E2706" i="1" s="1"/>
  <c r="H2706" i="1" l="1"/>
  <c r="G2706" i="1"/>
  <c r="F2706" i="1" l="1"/>
  <c r="I2706" i="1" l="1"/>
  <c r="E2707" i="1" s="1"/>
  <c r="H2707" i="1" l="1"/>
  <c r="F2707" i="1" s="1"/>
  <c r="G2707" i="1"/>
  <c r="I2707" i="1" l="1"/>
  <c r="E2708" i="1" s="1"/>
  <c r="H2708" i="1" l="1"/>
  <c r="G2708" i="1"/>
  <c r="F2708" i="1" l="1"/>
  <c r="I2708" i="1" s="1"/>
  <c r="E2709" i="1" s="1"/>
  <c r="G2709" i="1" l="1"/>
  <c r="H2709" i="1"/>
  <c r="F2709" i="1" l="1"/>
  <c r="I2709" i="1" s="1"/>
  <c r="E2710" i="1" s="1"/>
  <c r="H2710" i="1" l="1"/>
  <c r="G2710" i="1"/>
  <c r="F2710" i="1" l="1"/>
  <c r="I2710" i="1" s="1"/>
  <c r="E2711" i="1" s="1"/>
  <c r="G2711" i="1" l="1"/>
  <c r="H2711" i="1"/>
  <c r="F2711" i="1" l="1"/>
  <c r="I2711" i="1" s="1"/>
  <c r="E2712" i="1" s="1"/>
  <c r="H2712" i="1" l="1"/>
  <c r="G2712" i="1"/>
  <c r="F2712" i="1" l="1"/>
  <c r="I2712" i="1" s="1"/>
  <c r="E2713" i="1" s="1"/>
  <c r="H2713" i="1" l="1"/>
  <c r="G2713" i="1"/>
  <c r="F2713" i="1" l="1"/>
  <c r="I2713" i="1" l="1"/>
  <c r="E2714" i="1" s="1"/>
  <c r="H2714" i="1" l="1"/>
  <c r="G2714" i="1"/>
  <c r="F2714" i="1"/>
  <c r="I2714" i="1" l="1"/>
  <c r="E2715" i="1" s="1"/>
  <c r="H2715" i="1" l="1"/>
  <c r="F2715" i="1" s="1"/>
  <c r="G2715" i="1"/>
  <c r="I2715" i="1" l="1"/>
  <c r="E2716" i="1" s="1"/>
  <c r="H2716" i="1" l="1"/>
  <c r="G2716" i="1"/>
  <c r="F2716" i="1" l="1"/>
  <c r="I2716" i="1" s="1"/>
  <c r="E2717" i="1" s="1"/>
  <c r="H2717" i="1" l="1"/>
  <c r="G2717" i="1"/>
  <c r="F2717" i="1" l="1"/>
  <c r="I2717" i="1" s="1"/>
  <c r="E2718" i="1" s="1"/>
  <c r="H2718" i="1" l="1"/>
  <c r="G2718" i="1"/>
  <c r="F2718" i="1" l="1"/>
  <c r="I2718" i="1" l="1"/>
  <c r="E2719" i="1" s="1"/>
  <c r="H2719" i="1" l="1"/>
  <c r="G2719" i="1"/>
  <c r="F2719" i="1"/>
  <c r="I2719" i="1" l="1"/>
  <c r="E2720" i="1" s="1"/>
  <c r="H2720" i="1" l="1"/>
  <c r="G2720" i="1"/>
  <c r="F2720" i="1" l="1"/>
  <c r="I2720" i="1" s="1"/>
  <c r="E2721" i="1" s="1"/>
  <c r="G2721" i="1" l="1"/>
  <c r="H2721" i="1"/>
  <c r="F2721" i="1" l="1"/>
  <c r="I2721" i="1" l="1"/>
  <c r="E2722" i="1" s="1"/>
  <c r="H2722" i="1" l="1"/>
  <c r="G2722" i="1"/>
  <c r="F2722" i="1"/>
  <c r="I2722" i="1" l="1"/>
  <c r="E2723" i="1" s="1"/>
  <c r="H2723" i="1" l="1"/>
  <c r="F2723" i="1" s="1"/>
  <c r="G2723" i="1"/>
  <c r="I2723" i="1" l="1"/>
  <c r="E2724" i="1" s="1"/>
  <c r="H2724" i="1" l="1"/>
  <c r="G2724" i="1"/>
  <c r="F2724" i="1" l="1"/>
  <c r="I2724" i="1" l="1"/>
  <c r="E2725" i="1" s="1"/>
  <c r="H2725" i="1" l="1"/>
  <c r="F2725" i="1" s="1"/>
  <c r="G2725" i="1"/>
  <c r="I2725" i="1" l="1"/>
  <c r="E2726" i="1" s="1"/>
  <c r="H2726" i="1" l="1"/>
  <c r="F2726" i="1" s="1"/>
  <c r="G2726" i="1"/>
  <c r="I2726" i="1" l="1"/>
  <c r="E2727" i="1" s="1"/>
  <c r="H2727" i="1" l="1"/>
  <c r="G2727" i="1"/>
  <c r="F2727" i="1" l="1"/>
  <c r="I2727" i="1" l="1"/>
  <c r="E2728" i="1" s="1"/>
  <c r="H2728" i="1" l="1"/>
  <c r="G2728" i="1"/>
  <c r="F2728" i="1"/>
  <c r="I2728" i="1" l="1"/>
  <c r="E2729" i="1" s="1"/>
  <c r="H2729" i="1" l="1"/>
  <c r="G2729" i="1"/>
  <c r="F2729" i="1" l="1"/>
  <c r="I2729" i="1" l="1"/>
  <c r="E2730" i="1" s="1"/>
  <c r="H2730" i="1" l="1"/>
  <c r="F2730" i="1" s="1"/>
  <c r="G2730" i="1"/>
  <c r="I2730" i="1" l="1"/>
  <c r="E2731" i="1" s="1"/>
  <c r="H2731" i="1" l="1"/>
  <c r="G2731" i="1"/>
  <c r="F2731" i="1" l="1"/>
  <c r="I2731" i="1" l="1"/>
  <c r="E2732" i="1" s="1"/>
  <c r="H2732" i="1" l="1"/>
  <c r="F2732" i="1" s="1"/>
  <c r="G2732" i="1"/>
  <c r="I2732" i="1" l="1"/>
  <c r="E2733" i="1" s="1"/>
  <c r="H2733" i="1" l="1"/>
  <c r="F2733" i="1" s="1"/>
  <c r="G2733" i="1"/>
  <c r="I2733" i="1" l="1"/>
  <c r="E2734" i="1" s="1"/>
  <c r="H2734" i="1" l="1"/>
  <c r="G2734" i="1"/>
  <c r="F2734" i="1" l="1"/>
  <c r="I2734" i="1" s="1"/>
  <c r="E2735" i="1" s="1"/>
  <c r="H2735" i="1" l="1"/>
  <c r="G2735" i="1"/>
  <c r="F2735" i="1" l="1"/>
  <c r="I2735" i="1" s="1"/>
  <c r="E2736" i="1" s="1"/>
  <c r="H2736" i="1" l="1"/>
  <c r="G2736" i="1"/>
  <c r="F2736" i="1" l="1"/>
  <c r="I2736" i="1" s="1"/>
  <c r="E2737" i="1" s="1"/>
  <c r="H2737" i="1" l="1"/>
  <c r="G2737" i="1"/>
  <c r="F2737" i="1" l="1"/>
  <c r="I2737" i="1" s="1"/>
  <c r="E2738" i="1" s="1"/>
  <c r="H2738" i="1" l="1"/>
  <c r="G2738" i="1"/>
  <c r="F2738" i="1" l="1"/>
  <c r="I2738" i="1" s="1"/>
  <c r="E2739" i="1" s="1"/>
  <c r="G2739" i="1" l="1"/>
  <c r="H2739" i="1"/>
  <c r="F2739" i="1" l="1"/>
  <c r="I2739" i="1" s="1"/>
  <c r="E2740" i="1" s="1"/>
  <c r="H2740" i="1" l="1"/>
  <c r="G2740" i="1"/>
  <c r="F2740" i="1" l="1"/>
  <c r="I2740" i="1" s="1"/>
  <c r="E2741" i="1" s="1"/>
  <c r="G2741" i="1" l="1"/>
  <c r="H2741" i="1"/>
  <c r="F2741" i="1" l="1"/>
  <c r="I2741" i="1" s="1"/>
  <c r="E2742" i="1" s="1"/>
  <c r="H2742" i="1" l="1"/>
  <c r="G2742" i="1"/>
  <c r="F2742" i="1" l="1"/>
  <c r="I2742" i="1" s="1"/>
  <c r="E2743" i="1" s="1"/>
  <c r="G2743" i="1" l="1"/>
  <c r="H2743" i="1"/>
  <c r="F2743" i="1" l="1"/>
  <c r="I2743" i="1" s="1"/>
  <c r="E2744" i="1" s="1"/>
  <c r="H2744" i="1" l="1"/>
  <c r="G2744" i="1"/>
  <c r="F2744" i="1" l="1"/>
  <c r="I2744" i="1" s="1"/>
  <c r="E2745" i="1" s="1"/>
  <c r="H2745" i="1" l="1"/>
  <c r="G2745" i="1"/>
  <c r="F2745" i="1" l="1"/>
  <c r="I2745" i="1" s="1"/>
  <c r="E2746" i="1" s="1"/>
  <c r="H2746" i="1" l="1"/>
  <c r="G2746" i="1"/>
  <c r="F2746" i="1" l="1"/>
  <c r="I2746" i="1" s="1"/>
  <c r="E2747" i="1" s="1"/>
  <c r="G2747" i="1" l="1"/>
  <c r="H2747" i="1"/>
  <c r="F2747" i="1" l="1"/>
  <c r="I2747" i="1" s="1"/>
  <c r="E2748" i="1" s="1"/>
  <c r="G2748" i="1" l="1"/>
  <c r="H2748" i="1"/>
  <c r="F2748" i="1" l="1"/>
  <c r="I2748" i="1" s="1"/>
  <c r="E2749" i="1" s="1"/>
  <c r="H2749" i="1" l="1"/>
  <c r="G2749" i="1"/>
  <c r="F2749" i="1" l="1"/>
  <c r="I2749" i="1" s="1"/>
  <c r="E2750" i="1" s="1"/>
  <c r="H2750" i="1" l="1"/>
  <c r="G2750" i="1"/>
  <c r="F2750" i="1" l="1"/>
  <c r="I2750" i="1" s="1"/>
  <c r="E2751" i="1" s="1"/>
  <c r="H2751" i="1" l="1"/>
  <c r="G2751" i="1"/>
  <c r="F2751" i="1" l="1"/>
  <c r="I2751" i="1" s="1"/>
  <c r="E2752" i="1" s="1"/>
  <c r="H2752" i="1" l="1"/>
  <c r="G2752" i="1"/>
  <c r="F2752" i="1" l="1"/>
  <c r="I2752" i="1" s="1"/>
  <c r="E2753" i="1" s="1"/>
  <c r="H2753" i="1" l="1"/>
  <c r="G2753" i="1"/>
  <c r="F2753" i="1" l="1"/>
  <c r="I2753" i="1" s="1"/>
  <c r="E2754" i="1" s="1"/>
  <c r="G2754" i="1" l="1"/>
  <c r="H2754" i="1"/>
  <c r="F2754" i="1" l="1"/>
  <c r="I2754" i="1" s="1"/>
  <c r="E2755" i="1" s="1"/>
  <c r="G2755" i="1" l="1"/>
  <c r="H2755" i="1"/>
  <c r="F2755" i="1" l="1"/>
  <c r="I2755" i="1" s="1"/>
  <c r="E2756" i="1" s="1"/>
  <c r="G2756" i="1" l="1"/>
  <c r="H2756" i="1"/>
  <c r="F2756" i="1" l="1"/>
  <c r="I2756" i="1" s="1"/>
  <c r="E2757" i="1" s="1"/>
  <c r="H2757" i="1" l="1"/>
  <c r="G2757" i="1"/>
  <c r="F2757" i="1" l="1"/>
  <c r="I2757" i="1" s="1"/>
  <c r="E2758" i="1" s="1"/>
  <c r="H2758" i="1" l="1"/>
  <c r="G2758" i="1"/>
  <c r="F2758" i="1" l="1"/>
  <c r="I2758" i="1" l="1"/>
  <c r="E2759" i="1" s="1"/>
  <c r="H2759" i="1" l="1"/>
  <c r="F2759" i="1" s="1"/>
  <c r="G2759" i="1"/>
  <c r="I2759" i="1" l="1"/>
  <c r="E2760" i="1" s="1"/>
  <c r="H2760" i="1" l="1"/>
  <c r="G2760" i="1"/>
  <c r="F2760" i="1" l="1"/>
  <c r="I2760" i="1" s="1"/>
  <c r="E2761" i="1" s="1"/>
  <c r="H2761" i="1" l="1"/>
  <c r="G2761" i="1"/>
  <c r="F2761" i="1" l="1"/>
  <c r="I2761" i="1" s="1"/>
  <c r="E2762" i="1" s="1"/>
  <c r="H2762" i="1" l="1"/>
  <c r="G2762" i="1"/>
  <c r="F2762" i="1" l="1"/>
  <c r="I2762" i="1" s="1"/>
  <c r="E2763" i="1" s="1"/>
  <c r="H2763" i="1" l="1"/>
  <c r="G2763" i="1"/>
  <c r="F2763" i="1" l="1"/>
  <c r="I2763" i="1" s="1"/>
  <c r="E2764" i="1" s="1"/>
  <c r="G2764" i="1" l="1"/>
  <c r="H2764" i="1"/>
  <c r="F2764" i="1" l="1"/>
  <c r="I2764" i="1" s="1"/>
  <c r="E2765" i="1" s="1"/>
  <c r="H2765" i="1" l="1"/>
  <c r="G2765" i="1"/>
  <c r="F2765" i="1" l="1"/>
  <c r="I2765" i="1" s="1"/>
  <c r="E2766" i="1" s="1"/>
  <c r="H2766" i="1" l="1"/>
  <c r="G2766" i="1"/>
  <c r="F2766" i="1" l="1"/>
  <c r="I2766" i="1" s="1"/>
  <c r="E2767" i="1" s="1"/>
  <c r="G2767" i="1" l="1"/>
  <c r="H2767" i="1"/>
  <c r="F2767" i="1" l="1"/>
  <c r="I2767" i="1" s="1"/>
  <c r="E2768" i="1" s="1"/>
  <c r="H2768" i="1" l="1"/>
  <c r="G2768" i="1"/>
  <c r="F2768" i="1" l="1"/>
  <c r="I2768" i="1" s="1"/>
  <c r="E2769" i="1" s="1"/>
  <c r="H2769" i="1" l="1"/>
  <c r="G2769" i="1"/>
  <c r="F2769" i="1" l="1"/>
  <c r="I2769" i="1" s="1"/>
  <c r="E2770" i="1" s="1"/>
  <c r="H2770" i="1" l="1"/>
  <c r="G2770" i="1"/>
  <c r="F2770" i="1" l="1"/>
  <c r="I2770" i="1" s="1"/>
  <c r="E2771" i="1" s="1"/>
  <c r="H2771" i="1" l="1"/>
  <c r="G2771" i="1"/>
  <c r="F2771" i="1" l="1"/>
  <c r="I2771" i="1" s="1"/>
  <c r="E2772" i="1" s="1"/>
  <c r="G2772" i="1" l="1"/>
  <c r="H2772" i="1"/>
  <c r="F2772" i="1" l="1"/>
  <c r="I2772" i="1" s="1"/>
  <c r="E2773" i="1" s="1"/>
  <c r="H2773" i="1" l="1"/>
  <c r="G2773" i="1"/>
  <c r="F2773" i="1" l="1"/>
  <c r="I2773" i="1" s="1"/>
  <c r="E2774" i="1" s="1"/>
  <c r="H2774" i="1" l="1"/>
  <c r="G2774" i="1"/>
  <c r="F2774" i="1" l="1"/>
  <c r="I2774" i="1" s="1"/>
  <c r="E2775" i="1" s="1"/>
  <c r="H2775" i="1" l="1"/>
  <c r="G2775" i="1"/>
  <c r="F2775" i="1" l="1"/>
  <c r="I2775" i="1" s="1"/>
  <c r="E2776" i="1" s="1"/>
  <c r="G2776" i="1" l="1"/>
  <c r="H2776" i="1"/>
  <c r="F2776" i="1" l="1"/>
  <c r="I2776" i="1" s="1"/>
  <c r="E2777" i="1" s="1"/>
  <c r="G2777" i="1" l="1"/>
  <c r="H2777" i="1"/>
  <c r="F2777" i="1" l="1"/>
  <c r="I2777" i="1" s="1"/>
  <c r="E2778" i="1" s="1"/>
  <c r="H2778" i="1" l="1"/>
  <c r="G2778" i="1"/>
  <c r="F2778" i="1" l="1"/>
  <c r="I2778" i="1" s="1"/>
  <c r="E2779" i="1" s="1"/>
  <c r="H2779" i="1" l="1"/>
  <c r="G2779" i="1"/>
  <c r="F2779" i="1" l="1"/>
  <c r="I2779" i="1" s="1"/>
  <c r="E2780" i="1" s="1"/>
  <c r="G2780" i="1" l="1"/>
  <c r="H2780" i="1"/>
  <c r="F2780" i="1" l="1"/>
  <c r="I2780" i="1" s="1"/>
  <c r="E2781" i="1" s="1"/>
  <c r="H2781" i="1" l="1"/>
  <c r="G2781" i="1"/>
  <c r="F2781" i="1" l="1"/>
  <c r="I2781" i="1" s="1"/>
  <c r="E2782" i="1" s="1"/>
  <c r="G2782" i="1" l="1"/>
  <c r="H2782" i="1"/>
  <c r="F2782" i="1" l="1"/>
  <c r="I2782" i="1" s="1"/>
  <c r="E2783" i="1" s="1"/>
  <c r="H2783" i="1" l="1"/>
  <c r="G2783" i="1"/>
  <c r="F2783" i="1" l="1"/>
  <c r="I2783" i="1" s="1"/>
  <c r="E2784" i="1" s="1"/>
  <c r="G2784" i="1" l="1"/>
  <c r="H2784" i="1"/>
  <c r="F2784" i="1" l="1"/>
  <c r="I2784" i="1" s="1"/>
  <c r="E2785" i="1" s="1"/>
  <c r="H2785" i="1" l="1"/>
  <c r="G2785" i="1"/>
  <c r="F2785" i="1" l="1"/>
  <c r="I2785" i="1" s="1"/>
  <c r="E2786" i="1" s="1"/>
  <c r="H2786" i="1" l="1"/>
  <c r="G2786" i="1"/>
  <c r="F2786" i="1" l="1"/>
  <c r="I2786" i="1" s="1"/>
  <c r="E2787" i="1" s="1"/>
  <c r="H2787" i="1" l="1"/>
  <c r="G2787" i="1"/>
  <c r="F2787" i="1" l="1"/>
  <c r="I2787" i="1" s="1"/>
  <c r="E2788" i="1" s="1"/>
  <c r="G2788" i="1" l="1"/>
  <c r="H2788" i="1"/>
  <c r="F2788" i="1" l="1"/>
  <c r="I2788" i="1" s="1"/>
  <c r="E2789" i="1" s="1"/>
  <c r="G2789" i="1" l="1"/>
  <c r="H2789" i="1"/>
  <c r="F2789" i="1" l="1"/>
  <c r="I2789" i="1" s="1"/>
  <c r="E2790" i="1" s="1"/>
  <c r="G2790" i="1" l="1"/>
  <c r="H2790" i="1"/>
  <c r="F2790" i="1" l="1"/>
  <c r="I2790" i="1" s="1"/>
  <c r="E2791" i="1" s="1"/>
  <c r="G2791" i="1" l="1"/>
  <c r="H2791" i="1"/>
  <c r="F2791" i="1" l="1"/>
  <c r="I2791" i="1" s="1"/>
  <c r="E2792" i="1" s="1"/>
  <c r="G2792" i="1" l="1"/>
  <c r="H2792" i="1"/>
  <c r="F2792" i="1" l="1"/>
  <c r="I2792" i="1" s="1"/>
  <c r="E2793" i="1" s="1"/>
  <c r="H2793" i="1" l="1"/>
  <c r="G2793" i="1"/>
  <c r="F2793" i="1" l="1"/>
  <c r="I2793" i="1" s="1"/>
  <c r="E2794" i="1" s="1"/>
  <c r="G2794" i="1" l="1"/>
  <c r="H2794" i="1"/>
  <c r="F2794" i="1" l="1"/>
  <c r="I2794" i="1" s="1"/>
  <c r="E2795" i="1" s="1"/>
  <c r="G2795" i="1" l="1"/>
  <c r="H2795" i="1"/>
  <c r="F2795" i="1" l="1"/>
  <c r="I2795" i="1" l="1"/>
  <c r="E2796" i="1" s="1"/>
  <c r="H2796" i="1" l="1"/>
  <c r="F2796" i="1" s="1"/>
  <c r="G2796" i="1"/>
  <c r="I2796" i="1" l="1"/>
  <c r="E2797" i="1" s="1"/>
  <c r="H2797" i="1" l="1"/>
  <c r="F2797" i="1" s="1"/>
  <c r="G2797" i="1"/>
  <c r="I2797" i="1" l="1"/>
  <c r="E2798" i="1" l="1"/>
  <c r="H2798" i="1" s="1"/>
  <c r="F2798" i="1" s="1"/>
  <c r="G2798" i="1" l="1"/>
  <c r="I2798" i="1"/>
  <c r="E2799" i="1" s="1"/>
  <c r="H2799" i="1" l="1"/>
  <c r="G2799" i="1"/>
  <c r="F2799" i="1" l="1"/>
  <c r="I2799" i="1" l="1"/>
  <c r="E2800" i="1" s="1"/>
  <c r="H2800" i="1" l="1"/>
  <c r="G2800" i="1"/>
  <c r="F2800" i="1"/>
  <c r="I2800" i="1" l="1"/>
  <c r="E2801" i="1" s="1"/>
  <c r="H2801" i="1" l="1"/>
  <c r="G2801" i="1"/>
  <c r="F2801" i="1" l="1"/>
  <c r="I2801" i="1" s="1"/>
  <c r="E2802" i="1" s="1"/>
  <c r="H2802" i="1" l="1"/>
  <c r="G2802" i="1"/>
  <c r="F2802" i="1" l="1"/>
  <c r="I2802" i="1" s="1"/>
  <c r="E2803" i="1" s="1"/>
  <c r="H2803" i="1" l="1"/>
  <c r="G2803" i="1"/>
  <c r="F2803" i="1" l="1"/>
  <c r="I2803" i="1" s="1"/>
  <c r="E2804" i="1" s="1"/>
  <c r="H2804" i="1" l="1"/>
  <c r="G2804" i="1"/>
  <c r="F2804" i="1" l="1"/>
  <c r="I2804" i="1" s="1"/>
  <c r="E2805" i="1" s="1"/>
  <c r="G2805" i="1" l="1"/>
  <c r="H2805" i="1"/>
  <c r="F2805" i="1" l="1"/>
  <c r="I2805" i="1" l="1"/>
  <c r="E2806" i="1" s="1"/>
  <c r="G2806" i="1" l="1"/>
  <c r="H2806" i="1"/>
  <c r="F2806" i="1" l="1"/>
  <c r="I2806" i="1" s="1"/>
  <c r="E2807" i="1" s="1"/>
  <c r="G2807" i="1" l="1"/>
  <c r="H2807" i="1"/>
  <c r="F2807" i="1" l="1"/>
  <c r="I2807" i="1" s="1"/>
  <c r="E2808" i="1" s="1"/>
  <c r="G2808" i="1" l="1"/>
  <c r="H2808" i="1"/>
  <c r="F2808" i="1" l="1"/>
  <c r="I2808" i="1" l="1"/>
  <c r="E2809" i="1" s="1"/>
  <c r="H2809" i="1" l="1"/>
  <c r="G2809" i="1"/>
  <c r="F2809" i="1"/>
  <c r="I2809" i="1" l="1"/>
  <c r="E2810" i="1" s="1"/>
  <c r="G2810" i="1" l="1"/>
  <c r="H2810" i="1"/>
  <c r="F2810" i="1" s="1"/>
  <c r="I2810" i="1" l="1"/>
  <c r="E2811" i="1" s="1"/>
  <c r="G2811" i="1" l="1"/>
  <c r="H2811" i="1"/>
  <c r="F2811" i="1" l="1"/>
  <c r="I2811" i="1" s="1"/>
  <c r="E2812" i="1" s="1"/>
  <c r="G2812" i="1" l="1"/>
  <c r="H2812" i="1"/>
  <c r="F2812" i="1" l="1"/>
  <c r="I2812" i="1" s="1"/>
  <c r="E2813" i="1" s="1"/>
  <c r="H2813" i="1" l="1"/>
  <c r="G2813" i="1"/>
  <c r="F2813" i="1" l="1"/>
  <c r="I2813" i="1" l="1"/>
  <c r="E2814" i="1" s="1"/>
  <c r="H2814" i="1" l="1"/>
  <c r="F2814" i="1" s="1"/>
  <c r="G2814" i="1"/>
  <c r="I2814" i="1" l="1"/>
  <c r="E2815" i="1" s="1"/>
  <c r="H2815" i="1" l="1"/>
  <c r="F2815" i="1" s="1"/>
  <c r="G2815" i="1"/>
  <c r="I2815" i="1" l="1"/>
  <c r="E2816" i="1" s="1"/>
  <c r="G2816" i="1" l="1"/>
  <c r="H2816" i="1"/>
  <c r="F2816" i="1" l="1"/>
  <c r="I2816" i="1" l="1"/>
  <c r="E2817" i="1" s="1"/>
  <c r="H2817" i="1" l="1"/>
  <c r="F2817" i="1" s="1"/>
  <c r="G2817" i="1"/>
  <c r="I2817" i="1" l="1"/>
  <c r="E2818" i="1" s="1"/>
  <c r="H2818" i="1" l="1"/>
  <c r="G2818" i="1"/>
  <c r="F2818" i="1" l="1"/>
  <c r="I2818" i="1" s="1"/>
  <c r="E2819" i="1" s="1"/>
  <c r="H2819" i="1" l="1"/>
  <c r="G2819" i="1"/>
  <c r="F2819" i="1" l="1"/>
  <c r="I2819" i="1" l="1"/>
  <c r="E2820" i="1" s="1"/>
  <c r="G2820" i="1" l="1"/>
  <c r="H2820" i="1"/>
  <c r="F2820" i="1" s="1"/>
  <c r="I2820" i="1" l="1"/>
  <c r="E2821" i="1" s="1"/>
  <c r="H2821" i="1" l="1"/>
  <c r="G2821" i="1"/>
  <c r="F2821" i="1" l="1"/>
  <c r="I2821" i="1" l="1"/>
  <c r="E2822" i="1" s="1"/>
  <c r="G2822" i="1" l="1"/>
  <c r="H2822" i="1"/>
  <c r="F2822" i="1" l="1"/>
  <c r="I2822" i="1" l="1"/>
  <c r="E2823" i="1" s="1"/>
  <c r="H2823" i="1" l="1"/>
  <c r="G2823" i="1"/>
  <c r="F2823" i="1" l="1"/>
  <c r="I2823" i="1" s="1"/>
  <c r="E2824" i="1" s="1"/>
  <c r="G2824" i="1" l="1"/>
  <c r="H2824" i="1"/>
  <c r="F2824" i="1" s="1"/>
  <c r="I2824" i="1" l="1"/>
  <c r="E2825" i="1" s="1"/>
  <c r="G2825" i="1" l="1"/>
  <c r="H2825" i="1"/>
  <c r="F2825" i="1" l="1"/>
  <c r="I2825" i="1" l="1"/>
  <c r="E2826" i="1" s="1"/>
  <c r="G2826" i="1" l="1"/>
  <c r="H2826" i="1"/>
  <c r="F2826" i="1" s="1"/>
  <c r="I2826" i="1" l="1"/>
  <c r="E2827" i="1" s="1"/>
  <c r="G2827" i="1" l="1"/>
  <c r="H2827" i="1"/>
  <c r="F2827" i="1" s="1"/>
  <c r="I2827" i="1" l="1"/>
  <c r="E2828" i="1" s="1"/>
  <c r="H2828" i="1" l="1"/>
  <c r="F2828" i="1" s="1"/>
  <c r="G2828" i="1"/>
  <c r="I2828" i="1" l="1"/>
  <c r="E2829" i="1" s="1"/>
  <c r="G2829" i="1" l="1"/>
  <c r="H2829" i="1"/>
  <c r="F2829" i="1" l="1"/>
  <c r="I2829" i="1" l="1"/>
  <c r="E2830" i="1" s="1"/>
  <c r="H2830" i="1" l="1"/>
  <c r="G2830" i="1"/>
  <c r="F2830" i="1"/>
  <c r="I2830" i="1" l="1"/>
  <c r="E2831" i="1" s="1"/>
  <c r="H2831" i="1" l="1"/>
  <c r="F2831" i="1" s="1"/>
  <c r="G2831" i="1"/>
  <c r="I2831" i="1" l="1"/>
  <c r="E2832" i="1" s="1"/>
  <c r="H2832" i="1" l="1"/>
  <c r="F2832" i="1" s="1"/>
  <c r="G2832" i="1"/>
  <c r="I2832" i="1" l="1"/>
  <c r="E2833" i="1" s="1"/>
  <c r="H2833" i="1" l="1"/>
  <c r="F2833" i="1" s="1"/>
  <c r="G2833" i="1"/>
  <c r="I2833" i="1" l="1"/>
  <c r="E2834" i="1" s="1"/>
  <c r="H2834" i="1" l="1"/>
  <c r="F2834" i="1" s="1"/>
  <c r="I2834" i="1" s="1"/>
  <c r="E2835" i="1" s="1"/>
  <c r="G2834" i="1"/>
  <c r="G2835" i="1" l="1"/>
  <c r="H2835" i="1"/>
  <c r="F2835" i="1" l="1"/>
  <c r="I2835" i="1" l="1"/>
  <c r="E2836" i="1" s="1"/>
  <c r="H2836" i="1" l="1"/>
  <c r="G2836" i="1"/>
  <c r="F2836" i="1"/>
  <c r="I2836" i="1" l="1"/>
  <c r="E2837" i="1" s="1"/>
  <c r="G2837" i="1" l="1"/>
  <c r="H2837" i="1"/>
  <c r="F2837" i="1" l="1"/>
  <c r="I2837" i="1" l="1"/>
  <c r="E2838" i="1" s="1"/>
  <c r="H2838" i="1" l="1"/>
  <c r="G2838" i="1"/>
  <c r="F2838" i="1" l="1"/>
  <c r="I2838" i="1" s="1"/>
  <c r="E2839" i="1" s="1"/>
  <c r="H2839" i="1" l="1"/>
  <c r="G2839" i="1"/>
  <c r="F2839" i="1"/>
  <c r="I2839" i="1" l="1"/>
  <c r="E2840" i="1" s="1"/>
  <c r="G2840" i="1" l="1"/>
  <c r="H2840" i="1"/>
  <c r="F2840" i="1" s="1"/>
  <c r="I2840" i="1" s="1"/>
  <c r="E2841" i="1" s="1"/>
  <c r="H2841" i="1" l="1"/>
  <c r="G2841" i="1"/>
  <c r="F2841" i="1" l="1"/>
  <c r="I2841" i="1" l="1"/>
  <c r="E2842" i="1" s="1"/>
  <c r="H2842" i="1" l="1"/>
  <c r="G2842" i="1"/>
  <c r="F2842" i="1"/>
  <c r="I2842" i="1" l="1"/>
  <c r="E2843" i="1" s="1"/>
  <c r="H2843" i="1" l="1"/>
  <c r="G2843" i="1"/>
  <c r="F2843" i="1" l="1"/>
  <c r="I2843" i="1" l="1"/>
  <c r="E2844" i="1" s="1"/>
  <c r="H2844" i="1" l="1"/>
  <c r="F2844" i="1" s="1"/>
  <c r="G2844" i="1"/>
  <c r="I2844" i="1" l="1"/>
  <c r="E2845" i="1" s="1"/>
  <c r="H2845" i="1" l="1"/>
  <c r="F2845" i="1" s="1"/>
  <c r="G2845" i="1"/>
  <c r="I2845" i="1" l="1"/>
  <c r="E2846" i="1" s="1"/>
  <c r="H2846" i="1" l="1"/>
  <c r="G2846" i="1"/>
  <c r="F2846" i="1" l="1"/>
  <c r="I2846" i="1" s="1"/>
  <c r="E2847" i="1" s="1"/>
  <c r="G2847" i="1" l="1"/>
  <c r="H2847" i="1"/>
  <c r="F2847" i="1" l="1"/>
  <c r="I2847" i="1" l="1"/>
  <c r="E2848" i="1" s="1"/>
  <c r="G2848" i="1" l="1"/>
  <c r="H2848" i="1"/>
  <c r="F2848" i="1" l="1"/>
  <c r="I2848" i="1" l="1"/>
  <c r="E2849" i="1" s="1"/>
  <c r="H2849" i="1" l="1"/>
  <c r="G2849" i="1"/>
  <c r="F2849" i="1" l="1"/>
  <c r="I2849" i="1" l="1"/>
  <c r="E2850" i="1" s="1"/>
  <c r="G2850" i="1" l="1"/>
  <c r="H2850" i="1"/>
  <c r="F2850" i="1" l="1"/>
  <c r="I2850" i="1" l="1"/>
  <c r="E2851" i="1" s="1"/>
  <c r="G2851" i="1" l="1"/>
  <c r="H2851" i="1"/>
  <c r="F2851" i="1" l="1"/>
  <c r="I2851" i="1" l="1"/>
  <c r="E2852" i="1" s="1"/>
  <c r="H2852" i="1" l="1"/>
  <c r="G2852" i="1"/>
  <c r="F2852" i="1" l="1"/>
  <c r="I2852" i="1" l="1"/>
  <c r="E2853" i="1" s="1"/>
  <c r="H2853" i="1" l="1"/>
  <c r="G2853" i="1"/>
  <c r="F2853" i="1" l="1"/>
  <c r="I2853" i="1" s="1"/>
  <c r="E2854" i="1" s="1"/>
  <c r="H2854" i="1" l="1"/>
  <c r="G2854" i="1"/>
  <c r="F2854" i="1" l="1"/>
  <c r="I2854" i="1" l="1"/>
  <c r="E2855" i="1" s="1"/>
  <c r="H2855" i="1" l="1"/>
  <c r="G2855" i="1"/>
  <c r="F2855" i="1" l="1"/>
  <c r="I2855" i="1" s="1"/>
  <c r="E2856" i="1" s="1"/>
  <c r="H2856" i="1" l="1"/>
  <c r="G2856" i="1"/>
  <c r="F2856" i="1" l="1"/>
  <c r="I2856" i="1" s="1"/>
  <c r="E2857" i="1" s="1"/>
  <c r="H2857" i="1" l="1"/>
  <c r="G2857" i="1"/>
  <c r="F2857" i="1" l="1"/>
  <c r="I2857" i="1" s="1"/>
  <c r="E2858" i="1" s="1"/>
  <c r="H2858" i="1" l="1"/>
  <c r="G2858" i="1"/>
  <c r="F2858" i="1" l="1"/>
  <c r="I2858" i="1" l="1"/>
  <c r="E2859" i="1" s="1"/>
  <c r="H2859" i="1" l="1"/>
  <c r="G2859" i="1"/>
  <c r="F2859" i="1" l="1"/>
  <c r="I2859" i="1" s="1"/>
  <c r="E2860" i="1" s="1"/>
  <c r="H2860" i="1" l="1"/>
  <c r="G2860" i="1"/>
  <c r="F2860" i="1" l="1"/>
  <c r="I2860" i="1" l="1"/>
  <c r="E2861" i="1" s="1"/>
  <c r="H2861" i="1" l="1"/>
  <c r="G2861" i="1"/>
  <c r="F2861" i="1" l="1"/>
  <c r="I2861" i="1" l="1"/>
  <c r="E2862" i="1" s="1"/>
  <c r="H2862" i="1" l="1"/>
  <c r="G2862" i="1"/>
  <c r="F2862" i="1" l="1"/>
  <c r="I2862" i="1" s="1"/>
  <c r="E2863" i="1" s="1"/>
  <c r="H2863" i="1" l="1"/>
  <c r="G2863" i="1"/>
  <c r="F2863" i="1" l="1"/>
  <c r="I2863" i="1" s="1"/>
  <c r="E2864" i="1" s="1"/>
  <c r="H2864" i="1" l="1"/>
  <c r="G2864" i="1"/>
  <c r="F2864" i="1" l="1"/>
  <c r="I2864" i="1" s="1"/>
  <c r="E2865" i="1" s="1"/>
  <c r="H2865" i="1" l="1"/>
  <c r="G2865" i="1"/>
  <c r="F2865" i="1" l="1"/>
  <c r="I2865" i="1" s="1"/>
  <c r="E2866" i="1" s="1"/>
  <c r="H2866" i="1" l="1"/>
  <c r="G2866" i="1"/>
  <c r="F2866" i="1"/>
  <c r="I2866" i="1" l="1"/>
  <c r="E2867" i="1" s="1"/>
  <c r="H2867" i="1" l="1"/>
  <c r="G2867" i="1"/>
  <c r="F2867" i="1" l="1"/>
  <c r="I2867" i="1" s="1"/>
  <c r="E2868" i="1" s="1"/>
  <c r="H2868" i="1" l="1"/>
  <c r="G2868" i="1"/>
  <c r="F2868" i="1" l="1"/>
  <c r="I2868" i="1" s="1"/>
  <c r="E2869" i="1" s="1"/>
  <c r="H2869" i="1" l="1"/>
  <c r="G2869" i="1"/>
  <c r="F2869" i="1" l="1"/>
  <c r="I2869" i="1" s="1"/>
  <c r="E2870" i="1" s="1"/>
  <c r="H2870" i="1" l="1"/>
  <c r="G2870" i="1"/>
  <c r="F2870" i="1" l="1"/>
  <c r="I2870" i="1" s="1"/>
  <c r="E2871" i="1" s="1"/>
  <c r="G2871" i="1" l="1"/>
  <c r="H2871" i="1"/>
  <c r="F2871" i="1" l="1"/>
  <c r="I2871" i="1" l="1"/>
  <c r="E2872" i="1" s="1"/>
  <c r="H2872" i="1" l="1"/>
  <c r="F2872" i="1" s="1"/>
  <c r="G2872" i="1"/>
  <c r="I2872" i="1" l="1"/>
  <c r="E2873" i="1" s="1"/>
  <c r="H2873" i="1" l="1"/>
  <c r="G2873" i="1"/>
  <c r="F2873" i="1" l="1"/>
  <c r="I2873" i="1" s="1"/>
  <c r="E2874" i="1" s="1"/>
  <c r="H2874" i="1" l="1"/>
  <c r="G2874" i="1"/>
  <c r="F2874" i="1" l="1"/>
  <c r="I2874" i="1" s="1"/>
  <c r="E2875" i="1" s="1"/>
  <c r="H2875" i="1" l="1"/>
  <c r="G2875" i="1"/>
  <c r="F2875" i="1" l="1"/>
  <c r="I2875" i="1" s="1"/>
  <c r="E2876" i="1" s="1"/>
  <c r="G2876" i="1" l="1"/>
  <c r="H2876" i="1"/>
  <c r="F2876" i="1" l="1"/>
  <c r="I2876" i="1" s="1"/>
  <c r="E2877" i="1" s="1"/>
  <c r="H2877" i="1" l="1"/>
  <c r="G2877" i="1"/>
  <c r="F2877" i="1" l="1"/>
  <c r="I2877" i="1" s="1"/>
  <c r="E2878" i="1" s="1"/>
  <c r="H2878" i="1" l="1"/>
  <c r="G2878" i="1"/>
  <c r="F2878" i="1" l="1"/>
  <c r="I2878" i="1" s="1"/>
  <c r="E2879" i="1" s="1"/>
  <c r="H2879" i="1" l="1"/>
  <c r="G2879" i="1"/>
  <c r="F2879" i="1" l="1"/>
  <c r="I2879" i="1" s="1"/>
  <c r="E2880" i="1" s="1"/>
  <c r="H2880" i="1" l="1"/>
  <c r="G2880" i="1"/>
  <c r="F2880" i="1" l="1"/>
  <c r="I2880" i="1" s="1"/>
  <c r="E2881" i="1" s="1"/>
  <c r="H2881" i="1" l="1"/>
  <c r="G2881" i="1"/>
  <c r="F2881" i="1" l="1"/>
  <c r="I2881" i="1" s="1"/>
  <c r="E2882" i="1" s="1"/>
  <c r="H2882" i="1" l="1"/>
  <c r="G2882" i="1"/>
  <c r="F2882" i="1" l="1"/>
  <c r="I2882" i="1" s="1"/>
  <c r="E2883" i="1" s="1"/>
  <c r="H2883" i="1" l="1"/>
  <c r="G2883" i="1"/>
  <c r="F2883" i="1" l="1"/>
  <c r="I2883" i="1" s="1"/>
  <c r="E2884" i="1" s="1"/>
  <c r="H2884" i="1" l="1"/>
  <c r="G2884" i="1"/>
  <c r="F2884" i="1" l="1"/>
  <c r="I2884" i="1" s="1"/>
  <c r="E2885" i="1" s="1"/>
  <c r="H2885" i="1" l="1"/>
  <c r="G2885" i="1"/>
  <c r="F2885" i="1" l="1"/>
  <c r="I2885" i="1" s="1"/>
  <c r="E2886" i="1" s="1"/>
  <c r="H2886" i="1" l="1"/>
  <c r="G2886" i="1"/>
  <c r="F2886" i="1" l="1"/>
  <c r="I2886" i="1" s="1"/>
  <c r="E2887" i="1" s="1"/>
  <c r="G2887" i="1" l="1"/>
  <c r="H2887" i="1"/>
  <c r="F2887" i="1" l="1"/>
  <c r="I2887" i="1" l="1"/>
  <c r="E2888" i="1" s="1"/>
  <c r="H2888" i="1" l="1"/>
  <c r="F2888" i="1" s="1"/>
  <c r="G2888" i="1"/>
  <c r="I2888" i="1" l="1"/>
  <c r="E2889" i="1" s="1"/>
  <c r="G2889" i="1" l="1"/>
  <c r="H2889" i="1"/>
  <c r="F2889" i="1" l="1"/>
  <c r="I2889" i="1" s="1"/>
  <c r="E2890" i="1" s="1"/>
  <c r="G2890" i="1" l="1"/>
  <c r="H2890" i="1"/>
  <c r="F2890" i="1" l="1"/>
  <c r="I2890" i="1" s="1"/>
  <c r="E2891" i="1" s="1"/>
  <c r="H2891" i="1" l="1"/>
  <c r="G2891" i="1"/>
  <c r="F2891" i="1" l="1"/>
  <c r="I2891" i="1" s="1"/>
  <c r="E2892" i="1" s="1"/>
  <c r="H2892" i="1" l="1"/>
  <c r="G2892" i="1"/>
  <c r="F2892" i="1" l="1"/>
  <c r="I2892" i="1" s="1"/>
  <c r="E2893" i="1" s="1"/>
  <c r="H2893" i="1" l="1"/>
  <c r="G2893" i="1"/>
  <c r="F2893" i="1" l="1"/>
  <c r="I2893" i="1" s="1"/>
  <c r="E2894" i="1" s="1"/>
  <c r="G2894" i="1" l="1"/>
  <c r="H2894" i="1"/>
  <c r="F2894" i="1" l="1"/>
  <c r="I2894" i="1" s="1"/>
  <c r="E2895" i="1" s="1"/>
  <c r="H2895" i="1" l="1"/>
  <c r="G2895" i="1"/>
  <c r="F2895" i="1" l="1"/>
  <c r="I2895" i="1" l="1"/>
  <c r="E2896" i="1" s="1"/>
  <c r="G2896" i="1" l="1"/>
  <c r="H2896" i="1"/>
  <c r="F2896" i="1" l="1"/>
  <c r="I2896" i="1" s="1"/>
  <c r="E2897" i="1" s="1"/>
  <c r="G2897" i="1" l="1"/>
  <c r="H2897" i="1"/>
  <c r="F2897" i="1" l="1"/>
  <c r="I2897" i="1" s="1"/>
  <c r="E2898" i="1" s="1"/>
  <c r="H2898" i="1" l="1"/>
  <c r="G2898" i="1"/>
  <c r="F2898" i="1" l="1"/>
  <c r="I2898" i="1" s="1"/>
  <c r="E2899" i="1" s="1"/>
  <c r="G2899" i="1" l="1"/>
  <c r="H2899" i="1"/>
  <c r="F2899" i="1" l="1"/>
  <c r="I2899" i="1" s="1"/>
  <c r="E2900" i="1" s="1"/>
  <c r="E10" i="2" l="1"/>
  <c r="H2900" i="1"/>
  <c r="G2900" i="1"/>
  <c r="F10" i="2"/>
  <c r="G10" i="2"/>
  <c r="S10" i="2" l="1"/>
  <c r="T10" i="2" s="1"/>
  <c r="N10" i="2"/>
  <c r="O10" i="2" s="1"/>
  <c r="L10" i="2" s="1"/>
  <c r="M10" i="2" s="1"/>
  <c r="H10" i="2"/>
  <c r="I10" i="2" s="1"/>
  <c r="J10" i="2"/>
  <c r="K10" i="2" s="1"/>
  <c r="F2900" i="1"/>
  <c r="I2900" i="1" s="1"/>
  <c r="E2901" i="1" s="1"/>
  <c r="U10" i="2" l="1"/>
  <c r="P10" i="2" s="1"/>
  <c r="Q10" i="2" s="1"/>
  <c r="H2901" i="1"/>
  <c r="G2901" i="1"/>
  <c r="F2901" i="1" l="1"/>
  <c r="I2901" i="1" l="1"/>
  <c r="E2902" i="1" s="1"/>
  <c r="H2902" i="1" l="1"/>
  <c r="F2902" i="1" s="1"/>
  <c r="G2902" i="1"/>
  <c r="I2902" i="1" l="1"/>
  <c r="E2903" i="1" s="1"/>
  <c r="H2903" i="1" l="1"/>
  <c r="G2903" i="1"/>
  <c r="F2903" i="1"/>
  <c r="I2903" i="1" l="1"/>
  <c r="E2904" i="1" s="1"/>
  <c r="H2904" i="1" l="1"/>
  <c r="F2904" i="1" s="1"/>
  <c r="G2904" i="1"/>
  <c r="I2904" i="1" l="1"/>
  <c r="E2905" i="1" s="1"/>
  <c r="H2905" i="1" l="1"/>
  <c r="F2905" i="1" s="1"/>
  <c r="G2905" i="1"/>
  <c r="I2905" i="1" l="1"/>
  <c r="E2906" i="1" s="1"/>
  <c r="H2906" i="1" l="1"/>
  <c r="G2906" i="1"/>
  <c r="F2906" i="1" l="1"/>
  <c r="I2906" i="1" l="1"/>
  <c r="E2907" i="1" s="1"/>
  <c r="G2907" i="1" l="1"/>
  <c r="H2907" i="1"/>
  <c r="F2907" i="1" l="1"/>
  <c r="I2907" i="1" s="1"/>
  <c r="E2908" i="1" s="1"/>
  <c r="H2908" i="1" l="1"/>
  <c r="G2908" i="1"/>
  <c r="F2908" i="1" l="1"/>
  <c r="I2908" i="1" l="1"/>
  <c r="E2909" i="1" s="1"/>
  <c r="H2909" i="1" l="1"/>
  <c r="F2909" i="1" s="1"/>
  <c r="G2909" i="1"/>
  <c r="I2909" i="1" l="1"/>
  <c r="E2910" i="1" s="1"/>
  <c r="G2910" i="1" l="1"/>
  <c r="H2910" i="1"/>
  <c r="F2910" i="1" l="1"/>
  <c r="I2910" i="1" l="1"/>
  <c r="E2911" i="1" s="1"/>
  <c r="G2911" i="1" l="1"/>
  <c r="H2911" i="1"/>
  <c r="F2911" i="1" l="1"/>
  <c r="I2911" i="1" l="1"/>
  <c r="E2912" i="1" s="1"/>
  <c r="H2912" i="1" l="1"/>
  <c r="G2912" i="1"/>
  <c r="F2912" i="1" l="1"/>
  <c r="I2912" i="1" l="1"/>
  <c r="E2913" i="1" s="1"/>
  <c r="H2913" i="1" l="1"/>
  <c r="G2913" i="1"/>
  <c r="F2913" i="1" l="1"/>
  <c r="I2913" i="1" s="1"/>
  <c r="E2914" i="1" s="1"/>
  <c r="H2914" i="1" l="1"/>
  <c r="G2914" i="1"/>
  <c r="F2914" i="1" l="1"/>
  <c r="I2914" i="1" l="1"/>
  <c r="E2915" i="1" s="1"/>
  <c r="H2915" i="1" l="1"/>
  <c r="G2915" i="1"/>
  <c r="F2915" i="1" l="1"/>
  <c r="I2915" i="1" s="1"/>
  <c r="E2916" i="1" s="1"/>
  <c r="H2916" i="1" l="1"/>
  <c r="G2916" i="1"/>
  <c r="F2916" i="1" l="1"/>
  <c r="I2916" i="1" s="1"/>
  <c r="E2917" i="1" s="1"/>
  <c r="H2917" i="1" l="1"/>
  <c r="G2917" i="1"/>
  <c r="F2917" i="1" l="1"/>
  <c r="I2917" i="1" s="1"/>
  <c r="E2918" i="1" s="1"/>
  <c r="H2918" i="1" l="1"/>
  <c r="F2918" i="1" s="1"/>
  <c r="G2918" i="1"/>
  <c r="I2918" i="1" l="1"/>
  <c r="E2919" i="1" s="1"/>
  <c r="G2919" i="1" l="1"/>
  <c r="H2919" i="1"/>
  <c r="F2919" i="1" s="1"/>
  <c r="I2919" i="1" s="1"/>
  <c r="E2920" i="1" s="1"/>
  <c r="H2920" i="1" l="1"/>
  <c r="G2920" i="1"/>
  <c r="F2920" i="1" l="1"/>
  <c r="I2920" i="1" l="1"/>
  <c r="E2921" i="1" s="1"/>
  <c r="H2921" i="1" l="1"/>
  <c r="F2921" i="1" s="1"/>
  <c r="G2921" i="1"/>
  <c r="I2921" i="1" l="1"/>
  <c r="E2922" i="1" s="1"/>
  <c r="G2922" i="1" l="1"/>
  <c r="H2922" i="1"/>
  <c r="F2922" i="1" l="1"/>
  <c r="I2922" i="1" s="1"/>
  <c r="E2923" i="1" s="1"/>
  <c r="G2923" i="1" l="1"/>
  <c r="H2923" i="1"/>
  <c r="F2923" i="1" l="1"/>
  <c r="I2923" i="1" l="1"/>
  <c r="E2924" i="1" s="1"/>
  <c r="H2924" i="1" l="1"/>
  <c r="F2924" i="1" s="1"/>
  <c r="G2924" i="1"/>
  <c r="I2924" i="1" l="1"/>
  <c r="E2925" i="1" s="1"/>
  <c r="H2925" i="1" l="1"/>
  <c r="F2925" i="1" s="1"/>
  <c r="G2925" i="1"/>
  <c r="I2925" i="1" l="1"/>
  <c r="E2926" i="1" s="1"/>
  <c r="H2926" i="1" l="1"/>
  <c r="F2926" i="1" s="1"/>
  <c r="G2926" i="1"/>
  <c r="I2926" i="1" l="1"/>
  <c r="E2927" i="1" s="1"/>
  <c r="H2927" i="1" l="1"/>
  <c r="F2927" i="1" s="1"/>
  <c r="G2927" i="1"/>
  <c r="I2927" i="1" l="1"/>
  <c r="E2928" i="1" s="1"/>
  <c r="H2928" i="1" l="1"/>
  <c r="F2928" i="1" s="1"/>
  <c r="G2928" i="1"/>
  <c r="I2928" i="1" l="1"/>
  <c r="E2929" i="1" s="1"/>
  <c r="H2929" i="1" l="1"/>
  <c r="F2929" i="1" s="1"/>
  <c r="G2929" i="1"/>
  <c r="I2929" i="1" l="1"/>
  <c r="E2930" i="1" s="1"/>
  <c r="H2930" i="1" l="1"/>
  <c r="G2930" i="1"/>
  <c r="F2930" i="1"/>
  <c r="I2930" i="1" l="1"/>
  <c r="E2931" i="1" s="1"/>
  <c r="H2931" i="1" l="1"/>
  <c r="G2931" i="1"/>
  <c r="F2931" i="1"/>
  <c r="I2931" i="1" l="1"/>
  <c r="E2932" i="1" s="1"/>
  <c r="H2932" i="1" l="1"/>
  <c r="F2932" i="1" s="1"/>
  <c r="G2932" i="1"/>
  <c r="I2932" i="1" l="1"/>
  <c r="E2933" i="1" s="1"/>
  <c r="H2933" i="1" l="1"/>
  <c r="G2933" i="1"/>
  <c r="F2933" i="1"/>
  <c r="I2933" i="1" l="1"/>
  <c r="E2934" i="1" s="1"/>
  <c r="H2934" i="1" l="1"/>
  <c r="F2934" i="1" s="1"/>
  <c r="G2934" i="1"/>
  <c r="I2934" i="1" l="1"/>
  <c r="E2935" i="1" s="1"/>
  <c r="H2935" i="1" l="1"/>
  <c r="F2935" i="1" s="1"/>
  <c r="G2935" i="1"/>
  <c r="I2935" i="1" l="1"/>
  <c r="E2936" i="1" s="1"/>
  <c r="H2936" i="1" l="1"/>
  <c r="G2936" i="1"/>
  <c r="F2936" i="1" l="1"/>
  <c r="I2936" i="1" l="1"/>
  <c r="E2937" i="1" s="1"/>
  <c r="H2937" i="1" l="1"/>
  <c r="F2937" i="1" s="1"/>
  <c r="G2937" i="1"/>
  <c r="I2937" i="1" l="1"/>
  <c r="E2938" i="1" s="1"/>
  <c r="G2938" i="1" l="1"/>
  <c r="H2938" i="1"/>
  <c r="F2938" i="1" s="1"/>
  <c r="I2938" i="1" l="1"/>
  <c r="E2939" i="1" s="1"/>
  <c r="H2939" i="1" l="1"/>
  <c r="G2939" i="1"/>
  <c r="F2939" i="1"/>
  <c r="I2939" i="1" l="1"/>
  <c r="E2940" i="1" s="1"/>
  <c r="H2940" i="1" l="1"/>
  <c r="G2940" i="1"/>
  <c r="F2940" i="1"/>
  <c r="I2940" i="1" l="1"/>
  <c r="E2941" i="1" s="1"/>
  <c r="H2941" i="1" l="1"/>
  <c r="G2941" i="1"/>
  <c r="F2941" i="1" l="1"/>
  <c r="I2941" i="1" l="1"/>
  <c r="E2942" i="1" s="1"/>
  <c r="G2942" i="1" l="1"/>
  <c r="H2942" i="1"/>
  <c r="F2942" i="1" s="1"/>
  <c r="I2942" i="1" l="1"/>
  <c r="E2943" i="1" s="1"/>
  <c r="H2943" i="1" l="1"/>
  <c r="G2943" i="1"/>
  <c r="F2943" i="1"/>
  <c r="I2943" i="1" l="1"/>
  <c r="E2944" i="1" s="1"/>
  <c r="G2944" i="1" l="1"/>
  <c r="H2944" i="1"/>
  <c r="F2944" i="1" l="1"/>
  <c r="I2944" i="1" l="1"/>
  <c r="E2945" i="1" s="1"/>
  <c r="G2945" i="1" l="1"/>
  <c r="H2945" i="1"/>
  <c r="F2945" i="1" l="1"/>
  <c r="I2945" i="1" l="1"/>
  <c r="E2946" i="1" s="1"/>
  <c r="H2946" i="1" l="1"/>
  <c r="G2946" i="1"/>
  <c r="F2946" i="1" l="1"/>
  <c r="I2946" i="1" l="1"/>
  <c r="E2947" i="1" s="1"/>
  <c r="H2947" i="1" l="1"/>
  <c r="G2947" i="1"/>
  <c r="F2947" i="1" l="1"/>
  <c r="I2947" i="1" s="1"/>
  <c r="E2948" i="1" s="1"/>
  <c r="H2948" i="1" l="1"/>
  <c r="G2948" i="1"/>
  <c r="F2948" i="1" l="1"/>
  <c r="I2948" i="1" l="1"/>
  <c r="E2949" i="1" s="1"/>
  <c r="H2949" i="1" l="1"/>
  <c r="G2949" i="1"/>
  <c r="F2949" i="1" l="1"/>
  <c r="I2949" i="1" l="1"/>
  <c r="E2950" i="1" s="1"/>
  <c r="H2950" i="1" l="1"/>
  <c r="G2950" i="1"/>
  <c r="F2950" i="1" l="1"/>
  <c r="I2950" i="1" l="1"/>
  <c r="E2951" i="1" s="1"/>
  <c r="H2951" i="1" l="1"/>
  <c r="G2951" i="1"/>
  <c r="F2951" i="1" l="1"/>
  <c r="I2951" i="1" l="1"/>
  <c r="E2952" i="1" s="1"/>
  <c r="H2952" i="1" l="1"/>
  <c r="G2952" i="1"/>
  <c r="F2952" i="1" l="1"/>
  <c r="I2952" i="1" l="1"/>
  <c r="E2953" i="1" s="1"/>
  <c r="G2953" i="1" l="1"/>
  <c r="H2953" i="1"/>
  <c r="F2953" i="1" l="1"/>
  <c r="I2953" i="1" l="1"/>
  <c r="E2954" i="1" s="1"/>
  <c r="H2954" i="1" l="1"/>
  <c r="G2954" i="1"/>
  <c r="F2954" i="1" l="1"/>
  <c r="I2954" i="1" l="1"/>
  <c r="E2955" i="1" s="1"/>
  <c r="H2955" i="1" l="1"/>
  <c r="G2955" i="1"/>
  <c r="F2955" i="1" l="1"/>
  <c r="I2955" i="1" l="1"/>
  <c r="E2956" i="1" s="1"/>
  <c r="H2956" i="1" l="1"/>
  <c r="G2956" i="1"/>
  <c r="F2956" i="1" l="1"/>
  <c r="I2956" i="1" l="1"/>
  <c r="E2957" i="1" s="1"/>
  <c r="H2957" i="1" l="1"/>
  <c r="G2957" i="1"/>
  <c r="F2957" i="1" l="1"/>
  <c r="I2957" i="1" l="1"/>
  <c r="E2958" i="1" s="1"/>
  <c r="G2958" i="1" l="1"/>
  <c r="H2958" i="1"/>
  <c r="F2958" i="1" l="1"/>
  <c r="I2958" i="1" l="1"/>
  <c r="E2959" i="1" s="1"/>
  <c r="H2959" i="1" l="1"/>
  <c r="G2959" i="1"/>
  <c r="F2959" i="1" l="1"/>
  <c r="I2959" i="1" s="1"/>
  <c r="E2960" i="1" s="1"/>
  <c r="H2960" i="1" l="1"/>
  <c r="G2960" i="1"/>
  <c r="F2960" i="1" l="1"/>
  <c r="I2960" i="1" l="1"/>
  <c r="E2961" i="1" s="1"/>
  <c r="G2961" i="1" l="1"/>
  <c r="H2961" i="1"/>
  <c r="F2961" i="1" l="1"/>
  <c r="I2961" i="1" l="1"/>
  <c r="E2962" i="1" s="1"/>
  <c r="G2962" i="1" l="1"/>
  <c r="H2962" i="1"/>
  <c r="F2962" i="1" l="1"/>
  <c r="I2962" i="1" s="1"/>
  <c r="E2963" i="1" s="1"/>
  <c r="H2963" i="1" l="1"/>
  <c r="G2963" i="1"/>
  <c r="F2963" i="1" l="1"/>
  <c r="I2963" i="1" l="1"/>
  <c r="E2964" i="1" s="1"/>
  <c r="G2964" i="1" l="1"/>
  <c r="H2964" i="1"/>
  <c r="F2964" i="1" l="1"/>
  <c r="I2964" i="1" s="1"/>
  <c r="E2965" i="1" s="1"/>
  <c r="H2965" i="1" l="1"/>
  <c r="G2965" i="1"/>
  <c r="F2965" i="1" l="1"/>
  <c r="I2965" i="1" l="1"/>
  <c r="E2966" i="1" s="1"/>
  <c r="G2966" i="1" l="1"/>
  <c r="H2966" i="1"/>
  <c r="F2966" i="1" l="1"/>
  <c r="I2966" i="1" s="1"/>
  <c r="E2967" i="1" s="1"/>
  <c r="H2967" i="1" l="1"/>
  <c r="G2967" i="1"/>
  <c r="F2967" i="1" l="1"/>
  <c r="I2967" i="1" l="1"/>
  <c r="E2968" i="1" s="1"/>
  <c r="G2968" i="1" l="1"/>
  <c r="H2968" i="1"/>
  <c r="F2968" i="1" l="1"/>
  <c r="I2968" i="1" l="1"/>
  <c r="E2969" i="1" s="1"/>
  <c r="H2969" i="1" l="1"/>
  <c r="G2969" i="1"/>
  <c r="F2969" i="1" l="1"/>
  <c r="I2969" i="1" s="1"/>
  <c r="E2970" i="1" s="1"/>
  <c r="H2970" i="1" l="1"/>
  <c r="G2970" i="1"/>
  <c r="F2970" i="1" l="1"/>
  <c r="I2970" i="1" s="1"/>
  <c r="E2971" i="1" s="1"/>
  <c r="H2971" i="1" l="1"/>
  <c r="G2971" i="1"/>
  <c r="F2971" i="1" l="1"/>
  <c r="I2971" i="1" s="1"/>
  <c r="E2972" i="1" s="1"/>
  <c r="H2972" i="1" l="1"/>
  <c r="G2972" i="1"/>
  <c r="F2972" i="1" l="1"/>
  <c r="I2972" i="1" s="1"/>
</calcChain>
</file>

<file path=xl/sharedStrings.xml><?xml version="1.0" encoding="utf-8"?>
<sst xmlns="http://schemas.openxmlformats.org/spreadsheetml/2006/main" count="153" uniqueCount="120">
  <si>
    <t>CAS TEST F01</t>
  </si>
  <si>
    <t>Delta T</t>
  </si>
  <si>
    <t>Theta 0</t>
  </si>
  <si>
    <t>s</t>
  </si>
  <si>
    <t>°C</t>
  </si>
  <si>
    <t>Emissivité Feu</t>
  </si>
  <si>
    <t>Boltzman</t>
  </si>
  <si>
    <t>x10^-8</t>
  </si>
  <si>
    <t>Temps</t>
  </si>
  <si>
    <t>ti</t>
  </si>
  <si>
    <t>(sec)</t>
  </si>
  <si>
    <t>Theta g</t>
  </si>
  <si>
    <t>Temp. gaz</t>
  </si>
  <si>
    <t>(°C)</t>
  </si>
  <si>
    <t>(min)</t>
  </si>
  <si>
    <t>Temp. acier</t>
  </si>
  <si>
    <t>Theta m</t>
  </si>
  <si>
    <t>Coef de transfert de chaleur par convection</t>
  </si>
  <si>
    <t xml:space="preserve">Chaleur </t>
  </si>
  <si>
    <t>specif. ca</t>
  </si>
  <si>
    <t>(J/(kg.K)</t>
  </si>
  <si>
    <t>RhoA</t>
  </si>
  <si>
    <t>kg/m3</t>
  </si>
  <si>
    <t>Profilé</t>
  </si>
  <si>
    <t>h</t>
  </si>
  <si>
    <t>b</t>
  </si>
  <si>
    <t>tf</t>
  </si>
  <si>
    <t>tw</t>
  </si>
  <si>
    <t>r</t>
  </si>
  <si>
    <t>mm</t>
  </si>
  <si>
    <t>exposition</t>
  </si>
  <si>
    <t>côtés</t>
  </si>
  <si>
    <t>périmetre exposé</t>
  </si>
  <si>
    <t>Aa</t>
  </si>
  <si>
    <t>Am/V</t>
  </si>
  <si>
    <t>mm2</t>
  </si>
  <si>
    <t>hw</t>
  </si>
  <si>
    <t>1/m</t>
  </si>
  <si>
    <t>périmètre exposé box</t>
  </si>
  <si>
    <t>Am/Vb</t>
  </si>
  <si>
    <t>ksh</t>
  </si>
  <si>
    <t>Delta</t>
  </si>
  <si>
    <t>Theta</t>
  </si>
  <si>
    <t>hnetr</t>
  </si>
  <si>
    <t>Flux radiatif</t>
  </si>
  <si>
    <t>Galvanisé</t>
  </si>
  <si>
    <t>oui</t>
  </si>
  <si>
    <t>non</t>
  </si>
  <si>
    <t xml:space="preserve">Facteur de forme </t>
  </si>
  <si>
    <t>Durée</t>
  </si>
  <si>
    <t>Theta Gaz</t>
  </si>
  <si>
    <t>Theta acier</t>
  </si>
  <si>
    <t>Longueur</t>
  </si>
  <si>
    <t>Charge</t>
  </si>
  <si>
    <t>kN/m</t>
  </si>
  <si>
    <t>m</t>
  </si>
  <si>
    <t>Moment maxi</t>
  </si>
  <si>
    <t>kNm</t>
  </si>
  <si>
    <t>Wpl</t>
  </si>
  <si>
    <t>GammaM</t>
  </si>
  <si>
    <t>cm3</t>
  </si>
  <si>
    <t>MRd</t>
  </si>
  <si>
    <t>Fy</t>
  </si>
  <si>
    <t>MPa</t>
  </si>
  <si>
    <t>(kNm)</t>
  </si>
  <si>
    <t>Critère</t>
  </si>
  <si>
    <t>VRd</t>
  </si>
  <si>
    <t>(kN)</t>
  </si>
  <si>
    <t>Effort tranchant maxi</t>
  </si>
  <si>
    <t>kN</t>
  </si>
  <si>
    <t>Av</t>
  </si>
  <si>
    <t>cm2</t>
  </si>
  <si>
    <t>ky</t>
  </si>
  <si>
    <t>kE</t>
  </si>
  <si>
    <t>Welded</t>
  </si>
  <si>
    <t>Protection</t>
  </si>
  <si>
    <t>Board</t>
  </si>
  <si>
    <t>Spray</t>
  </si>
  <si>
    <t>Intumescent</t>
  </si>
  <si>
    <t>Masse volumique RhoP</t>
  </si>
  <si>
    <t>LambdaP</t>
  </si>
  <si>
    <t>Cp</t>
  </si>
  <si>
    <t>W/mK</t>
  </si>
  <si>
    <t>J/kgK</t>
  </si>
  <si>
    <t>Ap/V</t>
  </si>
  <si>
    <t>p</t>
  </si>
  <si>
    <t>Epaisseur dp</t>
  </si>
  <si>
    <t>Phi</t>
  </si>
  <si>
    <t>Ecreter valeurs négatives ?</t>
  </si>
  <si>
    <t>MStat</t>
  </si>
  <si>
    <t>F</t>
  </si>
  <si>
    <t>W</t>
  </si>
  <si>
    <t>Classe de l'âme</t>
  </si>
  <si>
    <t>c/t</t>
  </si>
  <si>
    <t>Alpha</t>
  </si>
  <si>
    <t>Limite classe 2</t>
  </si>
  <si>
    <t>Limite classe 3</t>
  </si>
  <si>
    <t>Normal</t>
  </si>
  <si>
    <t>Incendie</t>
  </si>
  <si>
    <t>Epsilon</t>
  </si>
  <si>
    <t>Wel</t>
  </si>
  <si>
    <t>Psi</t>
  </si>
  <si>
    <t>Classe</t>
  </si>
  <si>
    <t>72 Epsilon / Eta</t>
  </si>
  <si>
    <t>Eta</t>
  </si>
  <si>
    <t>kTau</t>
  </si>
  <si>
    <t>LambdaWfi(0)</t>
  </si>
  <si>
    <t>VbRd</t>
  </si>
  <si>
    <t>Critere</t>
  </si>
  <si>
    <t>LambdaFi</t>
  </si>
  <si>
    <t>Xw,fi</t>
  </si>
  <si>
    <t>MbRd</t>
  </si>
  <si>
    <t>LambdaLT</t>
  </si>
  <si>
    <t>PhiLT</t>
  </si>
  <si>
    <t>KhiLT</t>
  </si>
  <si>
    <t>Déversement</t>
  </si>
  <si>
    <t>Mcr</t>
  </si>
  <si>
    <t>MRk</t>
  </si>
  <si>
    <t>AlphaLT</t>
  </si>
  <si>
    <t>h/b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</si>
</sst>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0.0000"/>
    <numFmt numFmtId="165" formatCode="0.000"/>
    <numFmt numFmtId="166" formatCode="0.0"/>
    <numFmt numFmtId="167" formatCode="0.00000"/>
  </numFmts>
  <fonts count="4" x14ac:knownFonts="1">
    <font>
      <sz val="11"/>
      <color theme="1"/>
      <name val="Calibri"/>
      <family val="2"/>
      <scheme val="minor"/>
    </font>
    <font>
      <b/>
      <sz val="11"/>
      <color theme="0" tint="-4.9989318521683403E-2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theme="1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9" tint="-0.49998474074526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-0.249977111117893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98">
    <xf numFmtId="0" fontId="0" fillId="0" borderId="0" xfId="0"/>
    <xf numFmtId="0" fontId="1" fillId="2" borderId="0" xfId="0" applyFont="1" applyFill="1"/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4" borderId="2" xfId="0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0" fontId="0" fillId="5" borderId="2" xfId="0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2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0" fillId="6" borderId="2" xfId="0" applyFill="1" applyBorder="1" applyAlignment="1">
      <alignment horizontal="center" vertical="center"/>
    </xf>
    <xf numFmtId="0" fontId="0" fillId="6" borderId="3" xfId="0" applyFill="1" applyBorder="1" applyAlignment="1">
      <alignment horizontal="center" vertical="center"/>
    </xf>
    <xf numFmtId="0" fontId="0" fillId="6" borderId="4" xfId="0" applyFill="1" applyBorder="1" applyAlignment="1">
      <alignment horizontal="center" vertical="center"/>
    </xf>
    <xf numFmtId="0" fontId="0" fillId="7" borderId="2" xfId="0" applyFill="1" applyBorder="1" applyAlignment="1">
      <alignment horizontal="center" vertical="center"/>
    </xf>
    <xf numFmtId="0" fontId="0" fillId="7" borderId="3" xfId="0" applyFill="1" applyBorder="1" applyAlignment="1">
      <alignment horizontal="center" vertical="center"/>
    </xf>
    <xf numFmtId="0" fontId="0" fillId="7" borderId="4" xfId="0" applyFill="1" applyBorder="1" applyAlignment="1">
      <alignment horizontal="center" vertical="center"/>
    </xf>
    <xf numFmtId="0" fontId="0" fillId="8" borderId="2" xfId="0" applyFill="1" applyBorder="1" applyAlignment="1">
      <alignment horizontal="center" vertical="center"/>
    </xf>
    <xf numFmtId="0" fontId="0" fillId="8" borderId="3" xfId="0" applyFill="1" applyBorder="1" applyAlignment="1">
      <alignment horizontal="center" vertical="center"/>
    </xf>
    <xf numFmtId="0" fontId="0" fillId="8" borderId="4" xfId="0" applyFill="1" applyBorder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0" fontId="0" fillId="0" borderId="0" xfId="0" applyFill="1" applyBorder="1" applyAlignment="1">
      <alignment horizontal="right" vertical="center"/>
    </xf>
    <xf numFmtId="0" fontId="2" fillId="9" borderId="1" xfId="0" applyFont="1" applyFill="1" applyBorder="1" applyAlignment="1">
      <alignment horizontal="center" vertical="center"/>
    </xf>
    <xf numFmtId="166" fontId="0" fillId="7" borderId="1" xfId="0" applyNumberFormat="1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2" fontId="0" fillId="7" borderId="1" xfId="0" applyNumberFormat="1" applyFill="1" applyBorder="1" applyAlignment="1">
      <alignment horizontal="center" vertical="center"/>
    </xf>
    <xf numFmtId="165" fontId="0" fillId="7" borderId="1" xfId="0" applyNumberFormat="1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2" fontId="0" fillId="0" borderId="6" xfId="0" applyNumberFormat="1" applyBorder="1" applyAlignment="1">
      <alignment horizontal="center" vertical="center"/>
    </xf>
    <xf numFmtId="2" fontId="0" fillId="0" borderId="6" xfId="0" applyNumberFormat="1" applyBorder="1" applyAlignment="1">
      <alignment horizontal="center"/>
    </xf>
    <xf numFmtId="166" fontId="0" fillId="0" borderId="6" xfId="0" applyNumberForma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167" fontId="0" fillId="0" borderId="0" xfId="0" applyNumberFormat="1" applyAlignment="1">
      <alignment horizontal="center" vertical="center"/>
    </xf>
    <xf numFmtId="0" fontId="2" fillId="4" borderId="1" xfId="0" applyFont="1" applyFill="1" applyBorder="1"/>
    <xf numFmtId="0" fontId="3" fillId="3" borderId="1" xfId="0" applyFont="1" applyFill="1" applyBorder="1" applyAlignment="1">
      <alignment horizontal="center"/>
    </xf>
    <xf numFmtId="2" fontId="0" fillId="6" borderId="1" xfId="0" applyNumberFormat="1" applyFill="1" applyBorder="1" applyAlignment="1">
      <alignment horizontal="center" vertical="center"/>
    </xf>
    <xf numFmtId="0" fontId="0" fillId="10" borderId="2" xfId="0" applyFill="1" applyBorder="1" applyAlignment="1">
      <alignment horizontal="center" vertical="center"/>
    </xf>
    <xf numFmtId="0" fontId="0" fillId="10" borderId="4" xfId="0" applyFill="1" applyBorder="1" applyAlignment="1">
      <alignment horizontal="center" vertical="center"/>
    </xf>
    <xf numFmtId="0" fontId="0" fillId="11" borderId="2" xfId="0" applyFill="1" applyBorder="1" applyAlignment="1">
      <alignment horizontal="center" vertical="center"/>
    </xf>
    <xf numFmtId="0" fontId="0" fillId="11" borderId="8" xfId="0" applyFill="1" applyBorder="1"/>
    <xf numFmtId="0" fontId="0" fillId="11" borderId="9" xfId="0" applyFill="1" applyBorder="1"/>
    <xf numFmtId="0" fontId="0" fillId="11" borderId="4" xfId="0" applyFill="1" applyBorder="1" applyAlignment="1">
      <alignment horizontal="center" vertical="center"/>
    </xf>
    <xf numFmtId="0" fontId="0" fillId="11" borderId="10" xfId="0" applyFill="1" applyBorder="1" applyAlignment="1">
      <alignment horizontal="center" vertical="center"/>
    </xf>
    <xf numFmtId="0" fontId="0" fillId="11" borderId="11" xfId="0" applyFill="1" applyBorder="1" applyAlignment="1">
      <alignment horizontal="center" vertical="center"/>
    </xf>
    <xf numFmtId="0" fontId="0" fillId="12" borderId="8" xfId="0" applyFill="1" applyBorder="1" applyAlignment="1">
      <alignment horizontal="center" vertical="center"/>
    </xf>
    <xf numFmtId="0" fontId="0" fillId="12" borderId="9" xfId="0" applyFill="1" applyBorder="1" applyAlignment="1">
      <alignment horizontal="center" vertical="center"/>
    </xf>
    <xf numFmtId="0" fontId="0" fillId="12" borderId="10" xfId="0" applyFill="1" applyBorder="1" applyAlignment="1">
      <alignment horizontal="center" vertical="center"/>
    </xf>
    <xf numFmtId="0" fontId="0" fillId="12" borderId="11" xfId="0" applyFill="1" applyBorder="1"/>
    <xf numFmtId="0" fontId="0" fillId="13" borderId="8" xfId="0" applyFill="1" applyBorder="1" applyAlignment="1">
      <alignment horizontal="center" vertical="center"/>
    </xf>
    <xf numFmtId="0" fontId="0" fillId="13" borderId="9" xfId="0" applyFill="1" applyBorder="1" applyAlignment="1">
      <alignment horizontal="center" vertical="center"/>
    </xf>
    <xf numFmtId="0" fontId="0" fillId="13" borderId="10" xfId="0" applyFill="1" applyBorder="1" applyAlignment="1">
      <alignment horizontal="center" vertical="center"/>
    </xf>
    <xf numFmtId="0" fontId="0" fillId="13" borderId="11" xfId="0" applyFill="1" applyBorder="1"/>
    <xf numFmtId="0" fontId="0" fillId="0" borderId="0" xfId="0" applyAlignment="1">
      <alignment horizontal="right"/>
    </xf>
    <xf numFmtId="0" fontId="0" fillId="0" borderId="1" xfId="0" applyBorder="1" applyAlignment="1">
      <alignment horizontal="center" vertical="center"/>
    </xf>
    <xf numFmtId="165" fontId="0" fillId="0" borderId="1" xfId="0" applyNumberFormat="1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0" fontId="0" fillId="3" borderId="1" xfId="0" applyFill="1" applyBorder="1" applyAlignment="1">
      <alignment horizontal="center"/>
    </xf>
    <xf numFmtId="165" fontId="0" fillId="3" borderId="1" xfId="0" applyNumberFormat="1" applyFill="1" applyBorder="1" applyAlignment="1">
      <alignment horizontal="center" vertical="center"/>
    </xf>
    <xf numFmtId="2" fontId="0" fillId="4" borderId="1" xfId="0" applyNumberFormat="1" applyFill="1" applyBorder="1" applyAlignment="1">
      <alignment horizontal="center" vertical="center"/>
    </xf>
    <xf numFmtId="164" fontId="0" fillId="4" borderId="1" xfId="0" applyNumberFormat="1" applyFill="1" applyBorder="1" applyAlignment="1">
      <alignment horizontal="center" vertical="center"/>
    </xf>
    <xf numFmtId="1" fontId="0" fillId="4" borderId="1" xfId="0" applyNumberFormat="1" applyFill="1" applyBorder="1" applyAlignment="1">
      <alignment horizontal="center" vertical="center"/>
    </xf>
    <xf numFmtId="0" fontId="0" fillId="14" borderId="8" xfId="0" applyFill="1" applyBorder="1" applyAlignment="1">
      <alignment horizontal="center" vertical="center"/>
    </xf>
    <xf numFmtId="0" fontId="0" fillId="14" borderId="12" xfId="0" applyFill="1" applyBorder="1" applyAlignment="1">
      <alignment horizontal="center" vertical="center"/>
    </xf>
    <xf numFmtId="0" fontId="0" fillId="14" borderId="9" xfId="0" applyFill="1" applyBorder="1"/>
    <xf numFmtId="2" fontId="0" fillId="0" borderId="8" xfId="0" applyNumberFormat="1" applyBorder="1" applyAlignment="1">
      <alignment horizontal="center" vertical="center"/>
    </xf>
    <xf numFmtId="165" fontId="0" fillId="0" borderId="9" xfId="0" applyNumberFormat="1" applyBorder="1" applyAlignment="1">
      <alignment horizontal="center" vertical="center"/>
    </xf>
    <xf numFmtId="2" fontId="0" fillId="0" borderId="14" xfId="0" applyNumberFormat="1" applyBorder="1" applyAlignment="1">
      <alignment horizontal="center" vertical="center"/>
    </xf>
    <xf numFmtId="165" fontId="0" fillId="0" borderId="15" xfId="0" applyNumberFormat="1" applyBorder="1" applyAlignment="1">
      <alignment horizontal="center" vertical="center"/>
    </xf>
    <xf numFmtId="2" fontId="0" fillId="0" borderId="10" xfId="0" applyNumberFormat="1" applyBorder="1" applyAlignment="1">
      <alignment horizontal="center" vertical="center"/>
    </xf>
    <xf numFmtId="165" fontId="0" fillId="0" borderId="11" xfId="0" applyNumberFormat="1" applyBorder="1" applyAlignment="1">
      <alignment horizontal="center" vertical="center"/>
    </xf>
    <xf numFmtId="165" fontId="0" fillId="0" borderId="8" xfId="0" applyNumberFormat="1" applyBorder="1" applyAlignment="1">
      <alignment horizontal="center" vertical="center"/>
    </xf>
    <xf numFmtId="165" fontId="0" fillId="0" borderId="14" xfId="0" applyNumberFormat="1" applyBorder="1" applyAlignment="1">
      <alignment horizontal="center" vertical="center"/>
    </xf>
    <xf numFmtId="165" fontId="0" fillId="0" borderId="10" xfId="0" applyNumberFormat="1" applyBorder="1" applyAlignment="1">
      <alignment horizontal="center" vertical="center"/>
    </xf>
    <xf numFmtId="167" fontId="0" fillId="0" borderId="12" xfId="0" applyNumberFormat="1" applyBorder="1" applyAlignment="1">
      <alignment horizontal="center" vertical="center"/>
    </xf>
    <xf numFmtId="164" fontId="0" fillId="0" borderId="12" xfId="0" applyNumberFormat="1" applyBorder="1" applyAlignment="1">
      <alignment horizontal="center" vertical="center"/>
    </xf>
    <xf numFmtId="164" fontId="0" fillId="0" borderId="9" xfId="0" applyNumberFormat="1" applyBorder="1" applyAlignment="1">
      <alignment horizontal="center" vertical="center"/>
    </xf>
    <xf numFmtId="167" fontId="0" fillId="0" borderId="0" xfId="0" applyNumberFormat="1" applyBorder="1" applyAlignment="1">
      <alignment horizontal="center" vertical="center"/>
    </xf>
    <xf numFmtId="164" fontId="0" fillId="0" borderId="0" xfId="0" applyNumberFormat="1" applyBorder="1" applyAlignment="1">
      <alignment horizontal="center" vertical="center"/>
    </xf>
    <xf numFmtId="164" fontId="0" fillId="0" borderId="15" xfId="0" applyNumberFormat="1" applyBorder="1" applyAlignment="1">
      <alignment horizontal="center" vertical="center"/>
    </xf>
    <xf numFmtId="167" fontId="0" fillId="0" borderId="13" xfId="0" applyNumberFormat="1" applyBorder="1" applyAlignment="1">
      <alignment horizontal="center" vertical="center"/>
    </xf>
    <xf numFmtId="164" fontId="0" fillId="0" borderId="13" xfId="0" applyNumberFormat="1" applyBorder="1" applyAlignment="1">
      <alignment horizontal="center" vertical="center"/>
    </xf>
    <xf numFmtId="164" fontId="0" fillId="0" borderId="11" xfId="0" applyNumberFormat="1" applyBorder="1" applyAlignment="1">
      <alignment horizontal="center" vertical="center"/>
    </xf>
    <xf numFmtId="0" fontId="0" fillId="14" borderId="14" xfId="0" applyFill="1" applyBorder="1" applyAlignment="1">
      <alignment horizontal="center" vertical="center"/>
    </xf>
    <xf numFmtId="0" fontId="0" fillId="14" borderId="0" xfId="0" applyFill="1" applyBorder="1" applyAlignment="1">
      <alignment horizontal="center" vertical="center"/>
    </xf>
    <xf numFmtId="0" fontId="0" fillId="14" borderId="15" xfId="0" applyFill="1" applyBorder="1" applyAlignment="1">
      <alignment horizontal="center" vertical="center"/>
    </xf>
    <xf numFmtId="0" fontId="0" fillId="12" borderId="11" xfId="0" applyFill="1" applyBorder="1" applyAlignment="1">
      <alignment horizontal="center" vertical="center"/>
    </xf>
    <xf numFmtId="0" fontId="0" fillId="15" borderId="8" xfId="0" applyFill="1" applyBorder="1" applyAlignment="1">
      <alignment horizontal="center" vertical="center"/>
    </xf>
    <xf numFmtId="0" fontId="0" fillId="15" borderId="9" xfId="0" applyFill="1" applyBorder="1" applyAlignment="1">
      <alignment horizontal="center" vertical="center"/>
    </xf>
    <xf numFmtId="0" fontId="0" fillId="15" borderId="10" xfId="0" applyFill="1" applyBorder="1" applyAlignment="1">
      <alignment horizontal="center" vertical="center"/>
    </xf>
    <xf numFmtId="0" fontId="0" fillId="15" borderId="11" xfId="0" applyFill="1" applyBorder="1" applyAlignment="1">
      <alignment horizontal="center" vertical="center"/>
    </xf>
    <xf numFmtId="0" fontId="0" fillId="12" borderId="12" xfId="0" applyFill="1" applyBorder="1" applyAlignment="1">
      <alignment horizontal="center" vertical="center"/>
    </xf>
    <xf numFmtId="0" fontId="0" fillId="12" borderId="13" xfId="0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B2:Q2972"/>
  <sheetViews>
    <sheetView workbookViewId="0">
      <pane ySplit="19" topLeftCell="A368" activePane="bottomLeft" state="frozen"/>
      <selection pane="bottomLeft" activeCell="M18" sqref="M18"/>
    </sheetView>
  </sheetViews>
  <sheetFormatPr baseColWidth="10" defaultRowHeight="15" x14ac:dyDescent="0.25"/>
  <cols>
    <col min="8" max="8" width="12" bestFit="1" customWidth="1"/>
  </cols>
  <sheetData>
    <row r="2" spans="2:17" x14ac:dyDescent="0.25">
      <c r="B2" s="1" t="s">
        <v>0</v>
      </c>
      <c r="C2" s="1"/>
      <c r="D2" s="1"/>
      <c r="E2" s="1"/>
      <c r="F2" s="1"/>
      <c r="G2" s="1"/>
      <c r="H2" s="1"/>
      <c r="I2" s="1"/>
      <c r="J2" s="1"/>
      <c r="M2" s="26">
        <v>3</v>
      </c>
      <c r="N2" s="32" t="s">
        <v>46</v>
      </c>
      <c r="P2" s="39" t="s">
        <v>77</v>
      </c>
    </row>
    <row r="3" spans="2:17" x14ac:dyDescent="0.25">
      <c r="M3" s="26">
        <v>4</v>
      </c>
      <c r="N3" s="32" t="s">
        <v>47</v>
      </c>
      <c r="P3" s="39" t="s">
        <v>78</v>
      </c>
    </row>
    <row r="4" spans="2:17" x14ac:dyDescent="0.25">
      <c r="C4" s="2" t="s">
        <v>1</v>
      </c>
      <c r="D4" s="4">
        <v>5</v>
      </c>
      <c r="E4" t="s">
        <v>3</v>
      </c>
      <c r="H4" s="2" t="s">
        <v>23</v>
      </c>
      <c r="I4" s="4" t="s">
        <v>74</v>
      </c>
      <c r="P4" s="39" t="s">
        <v>76</v>
      </c>
    </row>
    <row r="5" spans="2:17" x14ac:dyDescent="0.25">
      <c r="C5" s="2" t="s">
        <v>2</v>
      </c>
      <c r="D5" s="4">
        <v>20</v>
      </c>
      <c r="E5" t="s">
        <v>4</v>
      </c>
      <c r="H5" s="2" t="s">
        <v>24</v>
      </c>
      <c r="I5" s="4">
        <v>500</v>
      </c>
      <c r="J5" t="s">
        <v>29</v>
      </c>
      <c r="L5" s="25" t="s">
        <v>30</v>
      </c>
      <c r="M5" s="4">
        <v>3</v>
      </c>
      <c r="N5" t="s">
        <v>31</v>
      </c>
    </row>
    <row r="6" spans="2:17" x14ac:dyDescent="0.25">
      <c r="C6" s="2" t="s">
        <v>5</v>
      </c>
      <c r="D6" s="4">
        <v>1</v>
      </c>
      <c r="H6" s="2" t="s">
        <v>25</v>
      </c>
      <c r="I6" s="4">
        <v>200</v>
      </c>
      <c r="J6" t="s">
        <v>29</v>
      </c>
      <c r="L6" s="25" t="s">
        <v>32</v>
      </c>
      <c r="M6" s="27">
        <f>2*(h+2*b-tw+(PI()-3)*rr)-IF(Expo=3,b,0)</f>
        <v>1584</v>
      </c>
      <c r="N6" t="s">
        <v>29</v>
      </c>
    </row>
    <row r="7" spans="2:17" x14ac:dyDescent="0.25">
      <c r="C7" s="2" t="s">
        <v>6</v>
      </c>
      <c r="D7" s="4">
        <v>5.67</v>
      </c>
      <c r="E7" t="s">
        <v>7</v>
      </c>
      <c r="H7" s="2" t="s">
        <v>26</v>
      </c>
      <c r="I7" s="4">
        <v>12</v>
      </c>
      <c r="J7" t="s">
        <v>29</v>
      </c>
      <c r="L7" s="25" t="s">
        <v>33</v>
      </c>
      <c r="M7" s="27">
        <f>2*b*tf+hw*tw+(4-PI())*rr^2</f>
        <v>8608</v>
      </c>
      <c r="N7" t="s">
        <v>35</v>
      </c>
    </row>
    <row r="8" spans="2:17" x14ac:dyDescent="0.25">
      <c r="C8" s="2" t="s">
        <v>17</v>
      </c>
      <c r="D8" s="4">
        <v>25</v>
      </c>
      <c r="H8" s="2" t="s">
        <v>27</v>
      </c>
      <c r="I8" s="4">
        <v>8</v>
      </c>
      <c r="J8" t="s">
        <v>29</v>
      </c>
      <c r="L8" s="25" t="s">
        <v>34</v>
      </c>
      <c r="M8" s="29">
        <f>p/Aa*1000</f>
        <v>184.01486988847586</v>
      </c>
      <c r="N8" t="s">
        <v>37</v>
      </c>
      <c r="O8" s="2" t="s">
        <v>85</v>
      </c>
      <c r="P8" s="31">
        <f>IF(Protection=pBoard,2*h+b,p)</f>
        <v>1200</v>
      </c>
      <c r="Q8" t="s">
        <v>29</v>
      </c>
    </row>
    <row r="9" spans="2:17" x14ac:dyDescent="0.25">
      <c r="C9" s="2" t="s">
        <v>21</v>
      </c>
      <c r="D9" s="4">
        <v>7850</v>
      </c>
      <c r="E9" t="s">
        <v>22</v>
      </c>
      <c r="H9" s="2" t="s">
        <v>28</v>
      </c>
      <c r="I9" s="4">
        <v>0</v>
      </c>
      <c r="J9" t="s">
        <v>29</v>
      </c>
      <c r="L9" s="25" t="s">
        <v>38</v>
      </c>
      <c r="M9" s="27">
        <f>2*(h+b)-IF(Expo=3,b,0)</f>
        <v>1200</v>
      </c>
      <c r="N9" t="s">
        <v>29</v>
      </c>
      <c r="O9" s="2" t="s">
        <v>33</v>
      </c>
      <c r="P9" s="31">
        <f>Aa</f>
        <v>8608</v>
      </c>
      <c r="Q9" t="s">
        <v>35</v>
      </c>
    </row>
    <row r="10" spans="2:17" x14ac:dyDescent="0.25">
      <c r="C10" s="2" t="s">
        <v>48</v>
      </c>
      <c r="D10" s="4">
        <v>1</v>
      </c>
      <c r="H10" s="2" t="s">
        <v>36</v>
      </c>
      <c r="I10" s="28">
        <f>h-2*tf</f>
        <v>476</v>
      </c>
      <c r="J10" t="s">
        <v>29</v>
      </c>
      <c r="L10" s="25" t="s">
        <v>39</v>
      </c>
      <c r="M10" s="29">
        <f>pb/Aa*1000</f>
        <v>139.40520446096656</v>
      </c>
      <c r="N10" t="s">
        <v>37</v>
      </c>
      <c r="O10" s="2" t="s">
        <v>84</v>
      </c>
      <c r="P10" s="41">
        <f>P8/Aa*1000</f>
        <v>139.40520446096656</v>
      </c>
      <c r="Q10" t="s">
        <v>37</v>
      </c>
    </row>
    <row r="11" spans="2:17" x14ac:dyDescent="0.25">
      <c r="C11" s="2"/>
      <c r="D11" s="3"/>
      <c r="H11" s="2" t="s">
        <v>45</v>
      </c>
      <c r="I11" s="4" t="s">
        <v>47</v>
      </c>
      <c r="L11" s="25" t="s">
        <v>40</v>
      </c>
      <c r="M11" s="30">
        <f>0.9*MassiveteBox/Massivete</f>
        <v>0.68181818181818177</v>
      </c>
    </row>
    <row r="12" spans="2:17" x14ac:dyDescent="0.25">
      <c r="C12" s="2"/>
      <c r="D12" s="3"/>
      <c r="H12" s="2"/>
      <c r="I12" s="2"/>
      <c r="J12" s="2"/>
      <c r="K12" s="2"/>
      <c r="L12" s="2"/>
      <c r="M12" s="2"/>
    </row>
    <row r="13" spans="2:17" x14ac:dyDescent="0.25">
      <c r="C13" s="2"/>
      <c r="D13" s="3"/>
      <c r="H13" s="2"/>
      <c r="I13" s="2"/>
      <c r="J13" s="2"/>
      <c r="K13" s="2"/>
      <c r="L13" s="2" t="s">
        <v>75</v>
      </c>
      <c r="M13" s="40" t="s">
        <v>76</v>
      </c>
    </row>
    <row r="14" spans="2:17" x14ac:dyDescent="0.25">
      <c r="C14" s="2"/>
      <c r="D14" s="3"/>
      <c r="H14" s="2"/>
      <c r="I14" s="2"/>
      <c r="J14" s="2"/>
      <c r="K14" s="2"/>
      <c r="L14" s="2" t="s">
        <v>79</v>
      </c>
      <c r="M14" s="4">
        <v>800</v>
      </c>
      <c r="N14" t="s">
        <v>22</v>
      </c>
    </row>
    <row r="15" spans="2:17" x14ac:dyDescent="0.25">
      <c r="C15" s="2"/>
      <c r="D15" s="3"/>
      <c r="L15" s="25" t="s">
        <v>80</v>
      </c>
      <c r="M15" s="4">
        <v>0.2</v>
      </c>
      <c r="N15" t="s">
        <v>82</v>
      </c>
    </row>
    <row r="16" spans="2:17" x14ac:dyDescent="0.25">
      <c r="C16" s="2"/>
      <c r="D16" s="3"/>
      <c r="L16" s="25" t="s">
        <v>81</v>
      </c>
      <c r="M16" s="4">
        <v>1700</v>
      </c>
      <c r="N16" t="s">
        <v>83</v>
      </c>
    </row>
    <row r="17" spans="2:14" x14ac:dyDescent="0.25">
      <c r="B17" s="5" t="s">
        <v>8</v>
      </c>
      <c r="C17" s="5" t="s">
        <v>8</v>
      </c>
      <c r="D17" s="8" t="s">
        <v>12</v>
      </c>
      <c r="E17" s="15" t="s">
        <v>15</v>
      </c>
      <c r="F17" s="18"/>
      <c r="G17" s="18" t="s">
        <v>44</v>
      </c>
      <c r="H17" s="21" t="s">
        <v>18</v>
      </c>
      <c r="I17" s="18" t="s">
        <v>41</v>
      </c>
      <c r="L17" s="25" t="s">
        <v>86</v>
      </c>
      <c r="M17" s="4">
        <v>25</v>
      </c>
      <c r="N17" t="s">
        <v>29</v>
      </c>
    </row>
    <row r="18" spans="2:14" x14ac:dyDescent="0.25">
      <c r="B18" s="6" t="s">
        <v>9</v>
      </c>
      <c r="C18" s="6" t="s">
        <v>9</v>
      </c>
      <c r="D18" s="9" t="s">
        <v>11</v>
      </c>
      <c r="E18" s="16" t="s">
        <v>16</v>
      </c>
      <c r="F18" s="19" t="s">
        <v>87</v>
      </c>
      <c r="G18" s="19" t="s">
        <v>43</v>
      </c>
      <c r="H18" s="22" t="s">
        <v>19</v>
      </c>
      <c r="I18" s="19" t="s">
        <v>42</v>
      </c>
      <c r="L18" s="25" t="s">
        <v>88</v>
      </c>
      <c r="M18" s="4" t="s">
        <v>46</v>
      </c>
    </row>
    <row r="19" spans="2:14" x14ac:dyDescent="0.25">
      <c r="B19" s="7" t="s">
        <v>10</v>
      </c>
      <c r="C19" s="7" t="s">
        <v>14</v>
      </c>
      <c r="D19" s="10" t="s">
        <v>13</v>
      </c>
      <c r="E19" s="17" t="s">
        <v>13</v>
      </c>
      <c r="F19" s="20"/>
      <c r="G19" s="20"/>
      <c r="H19" s="23" t="s">
        <v>20</v>
      </c>
      <c r="I19" s="20" t="s">
        <v>13</v>
      </c>
    </row>
    <row r="20" spans="2:14" x14ac:dyDescent="0.25">
      <c r="B20" s="3">
        <v>0</v>
      </c>
      <c r="C20" s="14">
        <f>B20/60</f>
        <v>0</v>
      </c>
      <c r="D20" s="11">
        <f>20+345*LOG(8*C20+1,10)</f>
        <v>20</v>
      </c>
      <c r="E20" s="3">
        <f>Theta0</f>
        <v>20</v>
      </c>
      <c r="F20" s="38">
        <f t="shared" ref="F20:F83" si="0">Cp*RhoP/(RhoA*H20)*dp/1000*MassivP</f>
        <v>1.3728759117546963</v>
      </c>
      <c r="G20" s="14">
        <f t="shared" ref="G20:G83" si="1">Phi*EpsilonF*Botzman/10^8*J20*((D20+273)^4-(E20+273)^4)</f>
        <v>0</v>
      </c>
      <c r="H20" s="24">
        <f>IF(E20&lt;600,425+0.773*E20-1.69/1000*E20^2+2.22/1000^2*E20^3,IF(E20&lt;735,666+13002/(738-E20),IF(E20&lt;900,545+17820/(E20-731),650)))</f>
        <v>439.80176</v>
      </c>
      <c r="I20" s="12">
        <f>LambdaP*MassivP/(dp/1000)/(H20*RhoA)/(1+F20/3)*(D20-E20)*DeltaT-(EXP(F20/10)-1)*0</f>
        <v>0</v>
      </c>
      <c r="J20" s="3"/>
    </row>
    <row r="21" spans="2:14" x14ac:dyDescent="0.25">
      <c r="B21" s="3">
        <f t="shared" ref="B21:B84" si="2">B20+DeltaT</f>
        <v>5</v>
      </c>
      <c r="C21" s="14">
        <f t="shared" ref="C21:C84" si="3">B21/60</f>
        <v>8.3333333333333329E-2</v>
      </c>
      <c r="D21" s="11">
        <f t="shared" ref="D21:D84" si="4">20+345*LOG(8*C21+1,10)</f>
        <v>96.537818617642927</v>
      </c>
      <c r="E21" s="24">
        <f t="shared" ref="E21:E84" si="5">E20+IF(Limit=Oui,MAX(0,I20),I20)</f>
        <v>20</v>
      </c>
      <c r="F21" s="38">
        <f t="shared" si="0"/>
        <v>1.3728759117546963</v>
      </c>
      <c r="G21" s="14">
        <f t="shared" si="1"/>
        <v>0</v>
      </c>
      <c r="H21" s="24">
        <f>IF(E21&lt;600,425+0.773*E21-1.69/1000*E21^2+2.22/1000^2*E21^3,IF(E21&lt;735,666+13002/(738-E21),IF(E21&lt;900,545+17820/(E21-731),650)))</f>
        <v>439.80176</v>
      </c>
      <c r="I21" s="12">
        <f t="shared" ref="I21:I84" si="6">LambdaP*MassivP/(dp/1000)/(H21*RhoA)/(1+F21/3)*(D21-E21)*DeltaT-(EXP(F21/10)-1)*(D21-D20)</f>
        <v>-11.178344236698996</v>
      </c>
      <c r="J21" s="3"/>
    </row>
    <row r="22" spans="2:14" x14ac:dyDescent="0.25">
      <c r="B22" s="3">
        <f t="shared" si="2"/>
        <v>10</v>
      </c>
      <c r="C22" s="14">
        <f t="shared" si="3"/>
        <v>0.16666666666666666</v>
      </c>
      <c r="D22" s="11">
        <f t="shared" si="4"/>
        <v>146.95199092663501</v>
      </c>
      <c r="E22" s="24">
        <f t="shared" si="5"/>
        <v>20</v>
      </c>
      <c r="F22" s="38">
        <f t="shared" si="0"/>
        <v>1.3728759117546963</v>
      </c>
      <c r="G22" s="14">
        <f t="shared" si="1"/>
        <v>0</v>
      </c>
      <c r="H22" s="24">
        <f t="shared" ref="H22:H29" si="7">IF(E22&lt;600,425+0.773*E22-1.69/1000*E22^2+2.22/1000^2*E22^3,IF(E22&lt;735,666+13002/(738-E22),IF(E22&lt;900,545+17820/(E22-731),650)))</f>
        <v>439.80176</v>
      </c>
      <c r="I22" s="12">
        <f t="shared" si="6"/>
        <v>-7.2781780005808026</v>
      </c>
      <c r="J22" s="3"/>
    </row>
    <row r="23" spans="2:14" x14ac:dyDescent="0.25">
      <c r="B23" s="3">
        <f t="shared" si="2"/>
        <v>15</v>
      </c>
      <c r="C23" s="14">
        <f t="shared" si="3"/>
        <v>0.25</v>
      </c>
      <c r="D23" s="11">
        <f t="shared" si="4"/>
        <v>184.60683287828354</v>
      </c>
      <c r="E23" s="24">
        <f t="shared" si="5"/>
        <v>20</v>
      </c>
      <c r="F23" s="38">
        <f t="shared" si="0"/>
        <v>1.3728759117546963</v>
      </c>
      <c r="G23" s="14">
        <f t="shared" si="1"/>
        <v>0</v>
      </c>
      <c r="H23" s="24">
        <f t="shared" si="7"/>
        <v>439.80176</v>
      </c>
      <c r="I23" s="12">
        <f t="shared" si="6"/>
        <v>-5.3588161602803908</v>
      </c>
      <c r="J23" s="3"/>
    </row>
    <row r="24" spans="2:14" x14ac:dyDescent="0.25">
      <c r="B24" s="3">
        <f t="shared" si="2"/>
        <v>20</v>
      </c>
      <c r="C24" s="14">
        <f t="shared" si="3"/>
        <v>0.33333333333333331</v>
      </c>
      <c r="D24" s="11">
        <f t="shared" si="4"/>
        <v>214.67364350130407</v>
      </c>
      <c r="E24" s="24">
        <f t="shared" si="5"/>
        <v>20</v>
      </c>
      <c r="F24" s="38">
        <f t="shared" si="0"/>
        <v>1.3728759117546963</v>
      </c>
      <c r="G24" s="14">
        <f t="shared" si="1"/>
        <v>0</v>
      </c>
      <c r="H24" s="24">
        <f t="shared" si="7"/>
        <v>439.80176</v>
      </c>
      <c r="I24" s="12">
        <f t="shared" si="6"/>
        <v>-4.2088604684268818</v>
      </c>
      <c r="J24" s="3"/>
    </row>
    <row r="25" spans="2:14" x14ac:dyDescent="0.25">
      <c r="B25" s="3">
        <f t="shared" si="2"/>
        <v>25</v>
      </c>
      <c r="C25" s="14">
        <f t="shared" si="3"/>
        <v>0.41666666666666669</v>
      </c>
      <c r="D25" s="11">
        <f t="shared" si="4"/>
        <v>239.70362366757516</v>
      </c>
      <c r="E25" s="24">
        <f t="shared" si="5"/>
        <v>20</v>
      </c>
      <c r="F25" s="38">
        <f t="shared" si="0"/>
        <v>1.3728759117546963</v>
      </c>
      <c r="G25" s="14">
        <f t="shared" si="1"/>
        <v>0</v>
      </c>
      <c r="H25" s="24">
        <f t="shared" si="7"/>
        <v>439.80176</v>
      </c>
      <c r="I25" s="12">
        <f t="shared" si="6"/>
        <v>-3.4399155804498123</v>
      </c>
      <c r="J25" s="3"/>
    </row>
    <row r="26" spans="2:14" x14ac:dyDescent="0.25">
      <c r="B26" s="3">
        <f t="shared" si="2"/>
        <v>30</v>
      </c>
      <c r="C26" s="14">
        <f t="shared" si="3"/>
        <v>0.5</v>
      </c>
      <c r="D26" s="11">
        <f t="shared" si="4"/>
        <v>261.1446514959265</v>
      </c>
      <c r="E26" s="24">
        <f t="shared" si="5"/>
        <v>20</v>
      </c>
      <c r="F26" s="38">
        <f t="shared" si="0"/>
        <v>1.3728759117546963</v>
      </c>
      <c r="G26" s="14">
        <f t="shared" si="1"/>
        <v>0</v>
      </c>
      <c r="H26" s="24">
        <f t="shared" si="7"/>
        <v>439.80176</v>
      </c>
      <c r="I26" s="12">
        <f t="shared" si="6"/>
        <v>-2.8880143640571743</v>
      </c>
      <c r="J26" s="3"/>
    </row>
    <row r="27" spans="2:14" x14ac:dyDescent="0.25">
      <c r="B27" s="3">
        <f t="shared" si="2"/>
        <v>35</v>
      </c>
      <c r="C27" s="14">
        <f t="shared" si="3"/>
        <v>0.58333333333333337</v>
      </c>
      <c r="D27" s="11">
        <f t="shared" si="4"/>
        <v>279.89804499722095</v>
      </c>
      <c r="E27" s="24">
        <f t="shared" si="5"/>
        <v>20</v>
      </c>
      <c r="F27" s="38">
        <f t="shared" si="0"/>
        <v>1.3728759117546963</v>
      </c>
      <c r="G27" s="14">
        <f t="shared" si="1"/>
        <v>0</v>
      </c>
      <c r="H27" s="24">
        <f t="shared" si="7"/>
        <v>439.80176</v>
      </c>
      <c r="I27" s="12">
        <f t="shared" si="6"/>
        <v>-2.4717273976893592</v>
      </c>
      <c r="J27" s="3"/>
    </row>
    <row r="28" spans="2:14" x14ac:dyDescent="0.25">
      <c r="B28" s="3">
        <f t="shared" si="2"/>
        <v>40</v>
      </c>
      <c r="C28" s="14">
        <f t="shared" si="3"/>
        <v>0.66666666666666663</v>
      </c>
      <c r="D28" s="11">
        <f t="shared" si="4"/>
        <v>296.56315945044241</v>
      </c>
      <c r="E28" s="24">
        <f t="shared" si="5"/>
        <v>20</v>
      </c>
      <c r="F28" s="38">
        <f t="shared" si="0"/>
        <v>1.3728759117546963</v>
      </c>
      <c r="G28" s="14">
        <f t="shared" si="1"/>
        <v>0</v>
      </c>
      <c r="H28" s="24">
        <f t="shared" si="7"/>
        <v>439.80176</v>
      </c>
      <c r="I28" s="12">
        <f t="shared" si="6"/>
        <v>-2.1459543190621151</v>
      </c>
      <c r="J28" s="3"/>
    </row>
    <row r="29" spans="2:14" x14ac:dyDescent="0.25">
      <c r="B29" s="3">
        <f t="shared" si="2"/>
        <v>45</v>
      </c>
      <c r="C29" s="14">
        <f t="shared" si="3"/>
        <v>0.75</v>
      </c>
      <c r="D29" s="11">
        <f t="shared" si="4"/>
        <v>311.55882380491857</v>
      </c>
      <c r="E29" s="24">
        <f t="shared" si="5"/>
        <v>20</v>
      </c>
      <c r="F29" s="38">
        <f t="shared" si="0"/>
        <v>1.3728759117546963</v>
      </c>
      <c r="G29" s="14">
        <f t="shared" si="1"/>
        <v>0</v>
      </c>
      <c r="H29" s="24">
        <f t="shared" si="7"/>
        <v>439.80176</v>
      </c>
      <c r="I29" s="12">
        <f t="shared" si="6"/>
        <v>-1.883665141092697</v>
      </c>
      <c r="J29" s="3"/>
    </row>
    <row r="30" spans="2:14" x14ac:dyDescent="0.25">
      <c r="B30" s="3">
        <f t="shared" si="2"/>
        <v>50</v>
      </c>
      <c r="C30" s="14">
        <f t="shared" si="3"/>
        <v>0.83333333333333337</v>
      </c>
      <c r="D30" s="11">
        <f t="shared" si="4"/>
        <v>325.18927054778601</v>
      </c>
      <c r="E30" s="24">
        <f t="shared" si="5"/>
        <v>20</v>
      </c>
      <c r="F30" s="38">
        <f t="shared" si="0"/>
        <v>1.3728759117546963</v>
      </c>
      <c r="G30" s="14">
        <f t="shared" si="1"/>
        <v>0</v>
      </c>
      <c r="H30" s="24">
        <f t="shared" ref="H30:H42" si="8">IF(E30&lt;600,425+0.773*E30-1.69/1000*E30^2+2.22/1000^2*E30^3,IF(E30&lt;735,666+13002/(738-E30),IF(E30&lt;900,545+17820/(E30-731),650)))</f>
        <v>439.80176</v>
      </c>
      <c r="I30" s="12">
        <f t="shared" si="6"/>
        <v>-1.6676589657183838</v>
      </c>
      <c r="J30" s="3"/>
    </row>
    <row r="31" spans="2:14" x14ac:dyDescent="0.25">
      <c r="B31" s="3">
        <f t="shared" si="2"/>
        <v>55</v>
      </c>
      <c r="C31" s="14">
        <f t="shared" si="3"/>
        <v>0.91666666666666663</v>
      </c>
      <c r="D31" s="11">
        <f t="shared" si="4"/>
        <v>337.68247011356942</v>
      </c>
      <c r="E31" s="24">
        <f t="shared" si="5"/>
        <v>20</v>
      </c>
      <c r="F31" s="38">
        <f t="shared" si="0"/>
        <v>1.3728759117546963</v>
      </c>
      <c r="G31" s="14">
        <f t="shared" si="1"/>
        <v>0</v>
      </c>
      <c r="H31" s="24">
        <f t="shared" si="8"/>
        <v>439.80176</v>
      </c>
      <c r="I31" s="12">
        <f t="shared" si="6"/>
        <v>-1.486460613992252</v>
      </c>
      <c r="J31" s="3"/>
    </row>
    <row r="32" spans="2:14" x14ac:dyDescent="0.25">
      <c r="B32" s="3">
        <f t="shared" si="2"/>
        <v>60</v>
      </c>
      <c r="C32" s="14">
        <f t="shared" si="3"/>
        <v>1</v>
      </c>
      <c r="D32" s="11">
        <f t="shared" si="4"/>
        <v>349.21366575656708</v>
      </c>
      <c r="E32" s="24">
        <f t="shared" si="5"/>
        <v>20</v>
      </c>
      <c r="F32" s="38">
        <f t="shared" si="0"/>
        <v>1.3728759117546963</v>
      </c>
      <c r="G32" s="14">
        <f t="shared" si="1"/>
        <v>0</v>
      </c>
      <c r="H32" s="24">
        <f t="shared" si="8"/>
        <v>439.80176</v>
      </c>
      <c r="I32" s="12">
        <f t="shared" si="6"/>
        <v>-1.3321166773456137</v>
      </c>
      <c r="J32" s="3"/>
    </row>
    <row r="33" spans="2:10" x14ac:dyDescent="0.25">
      <c r="B33" s="3">
        <f t="shared" si="2"/>
        <v>65</v>
      </c>
      <c r="C33" s="14">
        <f t="shared" si="3"/>
        <v>1.0833333333333333</v>
      </c>
      <c r="D33" s="11">
        <f t="shared" si="4"/>
        <v>359.92047639685626</v>
      </c>
      <c r="E33" s="24">
        <f t="shared" si="5"/>
        <v>20</v>
      </c>
      <c r="F33" s="38">
        <f t="shared" si="0"/>
        <v>1.3728759117546963</v>
      </c>
      <c r="G33" s="14">
        <f t="shared" si="1"/>
        <v>0</v>
      </c>
      <c r="H33" s="24">
        <f t="shared" si="8"/>
        <v>439.80176</v>
      </c>
      <c r="I33" s="12">
        <f t="shared" si="6"/>
        <v>-1.1989379423530695</v>
      </c>
      <c r="J33" s="3"/>
    </row>
    <row r="34" spans="2:10" x14ac:dyDescent="0.25">
      <c r="B34" s="3">
        <f t="shared" si="2"/>
        <v>70</v>
      </c>
      <c r="C34" s="14">
        <f t="shared" si="3"/>
        <v>1.1666666666666667</v>
      </c>
      <c r="D34" s="11">
        <f t="shared" si="4"/>
        <v>369.91295149454055</v>
      </c>
      <c r="E34" s="24">
        <f t="shared" si="5"/>
        <v>20</v>
      </c>
      <c r="F34" s="38">
        <f t="shared" si="0"/>
        <v>1.3728759117546963</v>
      </c>
      <c r="G34" s="14">
        <f t="shared" si="1"/>
        <v>0</v>
      </c>
      <c r="H34" s="24">
        <f t="shared" si="8"/>
        <v>439.80176</v>
      </c>
      <c r="I34" s="12">
        <f t="shared" si="6"/>
        <v>-1.0827453997502252</v>
      </c>
      <c r="J34" s="3"/>
    </row>
    <row r="35" spans="2:10" x14ac:dyDescent="0.25">
      <c r="B35" s="3">
        <f t="shared" si="2"/>
        <v>75</v>
      </c>
      <c r="C35" s="14">
        <f t="shared" si="3"/>
        <v>1.25</v>
      </c>
      <c r="D35" s="11">
        <f t="shared" si="4"/>
        <v>379.28047637958758</v>
      </c>
      <c r="E35" s="24">
        <f t="shared" si="5"/>
        <v>20</v>
      </c>
      <c r="F35" s="38">
        <f t="shared" si="0"/>
        <v>1.3728759117546963</v>
      </c>
      <c r="G35" s="14">
        <f t="shared" si="1"/>
        <v>0</v>
      </c>
      <c r="H35" s="24">
        <f t="shared" si="8"/>
        <v>439.80176</v>
      </c>
      <c r="I35" s="12">
        <f t="shared" si="6"/>
        <v>-0.98039911215875153</v>
      </c>
      <c r="J35" s="3"/>
    </row>
    <row r="36" spans="2:10" x14ac:dyDescent="0.25">
      <c r="B36" s="3">
        <f t="shared" si="2"/>
        <v>80</v>
      </c>
      <c r="C36" s="14">
        <f t="shared" si="3"/>
        <v>1.3333333333333333</v>
      </c>
      <c r="D36" s="11">
        <f t="shared" si="4"/>
        <v>388.0966424225615</v>
      </c>
      <c r="E36" s="24">
        <f t="shared" si="5"/>
        <v>20</v>
      </c>
      <c r="F36" s="38">
        <f t="shared" si="0"/>
        <v>1.3728759117546963</v>
      </c>
      <c r="G36" s="14">
        <f t="shared" si="1"/>
        <v>0</v>
      </c>
      <c r="H36" s="24">
        <f t="shared" si="8"/>
        <v>439.80176</v>
      </c>
      <c r="I36" s="12">
        <f t="shared" si="6"/>
        <v>-0.88949332763415445</v>
      </c>
      <c r="J36" s="3"/>
    </row>
    <row r="37" spans="2:10" x14ac:dyDescent="0.25">
      <c r="B37" s="3">
        <f t="shared" si="2"/>
        <v>85</v>
      </c>
      <c r="C37" s="14">
        <f t="shared" si="3"/>
        <v>1.4166666666666667</v>
      </c>
      <c r="D37" s="11">
        <f t="shared" si="4"/>
        <v>396.42276192482967</v>
      </c>
      <c r="E37" s="24">
        <f t="shared" si="5"/>
        <v>20</v>
      </c>
      <c r="F37" s="38">
        <f t="shared" si="0"/>
        <v>1.3728759117546963</v>
      </c>
      <c r="G37" s="14">
        <f t="shared" si="1"/>
        <v>0</v>
      </c>
      <c r="H37" s="24">
        <f t="shared" si="8"/>
        <v>439.80176</v>
      </c>
      <c r="I37" s="12">
        <f t="shared" si="6"/>
        <v>-0.80815314453793508</v>
      </c>
      <c r="J37" s="3"/>
    </row>
    <row r="38" spans="2:10" x14ac:dyDescent="0.25">
      <c r="B38" s="3">
        <f t="shared" si="2"/>
        <v>90</v>
      </c>
      <c r="C38" s="14">
        <f t="shared" si="3"/>
        <v>1.5</v>
      </c>
      <c r="D38" s="11">
        <f t="shared" si="4"/>
        <v>404.31045654585864</v>
      </c>
      <c r="E38" s="24">
        <f t="shared" si="5"/>
        <v>20</v>
      </c>
      <c r="F38" s="38">
        <f t="shared" si="0"/>
        <v>1.3728759117546963</v>
      </c>
      <c r="G38" s="14">
        <f t="shared" si="1"/>
        <v>0</v>
      </c>
      <c r="H38" s="24">
        <f t="shared" si="8"/>
        <v>439.80176</v>
      </c>
      <c r="I38" s="12">
        <f t="shared" si="6"/>
        <v>-0.73489530694219407</v>
      </c>
      <c r="J38" s="3"/>
    </row>
    <row r="39" spans="2:10" x14ac:dyDescent="0.25">
      <c r="B39" s="3">
        <f t="shared" si="2"/>
        <v>95</v>
      </c>
      <c r="C39" s="14">
        <f t="shared" si="3"/>
        <v>1.5833333333333333</v>
      </c>
      <c r="D39" s="11">
        <f t="shared" si="4"/>
        <v>411.80359769002513</v>
      </c>
      <c r="E39" s="24">
        <f t="shared" si="5"/>
        <v>20</v>
      </c>
      <c r="F39" s="38">
        <f t="shared" si="0"/>
        <v>1.3728759117546963</v>
      </c>
      <c r="G39" s="14">
        <f t="shared" si="1"/>
        <v>0</v>
      </c>
      <c r="H39" s="24">
        <f t="shared" si="8"/>
        <v>439.80176</v>
      </c>
      <c r="I39" s="12">
        <f t="shared" si="6"/>
        <v>-0.66853069019835898</v>
      </c>
      <c r="J39" s="3"/>
    </row>
    <row r="40" spans="2:10" x14ac:dyDescent="0.25">
      <c r="B40" s="3">
        <f t="shared" si="2"/>
        <v>100</v>
      </c>
      <c r="C40" s="14">
        <f t="shared" si="3"/>
        <v>1.6666666666666667</v>
      </c>
      <c r="D40" s="11">
        <f t="shared" si="4"/>
        <v>418.93978429667379</v>
      </c>
      <c r="E40" s="24">
        <f t="shared" si="5"/>
        <v>20</v>
      </c>
      <c r="F40" s="38">
        <f t="shared" si="0"/>
        <v>1.3728759117546963</v>
      </c>
      <c r="G40" s="14">
        <f t="shared" si="1"/>
        <v>0</v>
      </c>
      <c r="H40" s="24">
        <f t="shared" si="8"/>
        <v>439.80176</v>
      </c>
      <c r="I40" s="12">
        <f t="shared" si="6"/>
        <v>-0.60809458862582888</v>
      </c>
      <c r="J40" s="3"/>
    </row>
    <row r="41" spans="2:10" x14ac:dyDescent="0.25">
      <c r="B41" s="3">
        <f t="shared" si="2"/>
        <v>105</v>
      </c>
      <c r="C41" s="14">
        <f t="shared" si="3"/>
        <v>1.75</v>
      </c>
      <c r="D41" s="11">
        <f t="shared" si="4"/>
        <v>425.75148437421001</v>
      </c>
      <c r="E41" s="24">
        <f t="shared" si="5"/>
        <v>20</v>
      </c>
      <c r="F41" s="38">
        <f t="shared" si="0"/>
        <v>1.3728759117546963</v>
      </c>
      <c r="G41" s="14">
        <f t="shared" si="1"/>
        <v>0</v>
      </c>
      <c r="H41" s="24">
        <f t="shared" si="8"/>
        <v>439.80176</v>
      </c>
      <c r="I41" s="12">
        <f t="shared" si="6"/>
        <v>-0.55279596785456275</v>
      </c>
      <c r="J41" s="3"/>
    </row>
    <row r="42" spans="2:10" x14ac:dyDescent="0.25">
      <c r="B42" s="3">
        <f t="shared" si="2"/>
        <v>110</v>
      </c>
      <c r="C42" s="14">
        <f t="shared" si="3"/>
        <v>1.8333333333333333</v>
      </c>
      <c r="D42" s="11">
        <f t="shared" si="4"/>
        <v>432.26692810953892</v>
      </c>
      <c r="E42" s="24">
        <f t="shared" si="5"/>
        <v>20</v>
      </c>
      <c r="F42" s="38">
        <f t="shared" si="0"/>
        <v>1.3728759117546963</v>
      </c>
      <c r="G42" s="14">
        <f t="shared" si="1"/>
        <v>0</v>
      </c>
      <c r="H42" s="24">
        <f t="shared" si="8"/>
        <v>439.80176</v>
      </c>
      <c r="I42" s="12">
        <f t="shared" si="6"/>
        <v>-0.50197991752041204</v>
      </c>
      <c r="J42" s="3"/>
    </row>
    <row r="43" spans="2:10" x14ac:dyDescent="0.25">
      <c r="B43" s="3">
        <f t="shared" si="2"/>
        <v>115</v>
      </c>
      <c r="C43" s="14">
        <f t="shared" si="3"/>
        <v>1.9166666666666667</v>
      </c>
      <c r="D43" s="11">
        <f t="shared" si="4"/>
        <v>438.51081473155358</v>
      </c>
      <c r="E43" s="24">
        <f t="shared" si="5"/>
        <v>20</v>
      </c>
      <c r="F43" s="38">
        <f t="shared" si="0"/>
        <v>1.3728759117546963</v>
      </c>
      <c r="G43" s="14">
        <f t="shared" si="1"/>
        <v>0</v>
      </c>
      <c r="H43" s="24">
        <f t="shared" ref="H43:H44" si="9">IF(E43&lt;600,425+0.773*E43-1.69/1000*E43^2+2.22/1000^2*E43^3,IF(E43&lt;735,666+13002/(738-E43),IF(E43&lt;900,545+17820/(E43-731),650)))</f>
        <v>439.80176</v>
      </c>
      <c r="I43" s="12">
        <f t="shared" si="6"/>
        <v>-0.45509946042804006</v>
      </c>
      <c r="J43" s="3"/>
    </row>
    <row r="44" spans="2:10" x14ac:dyDescent="0.25">
      <c r="B44" s="3">
        <f t="shared" si="2"/>
        <v>120</v>
      </c>
      <c r="C44" s="14">
        <f t="shared" si="3"/>
        <v>2</v>
      </c>
      <c r="D44" s="11">
        <f t="shared" si="4"/>
        <v>444.50487787550446</v>
      </c>
      <c r="E44" s="24">
        <f t="shared" si="5"/>
        <v>20</v>
      </c>
      <c r="F44" s="38">
        <f t="shared" si="0"/>
        <v>1.3728759117546963</v>
      </c>
      <c r="G44" s="14">
        <f t="shared" si="1"/>
        <v>0</v>
      </c>
      <c r="H44" s="24">
        <f t="shared" si="9"/>
        <v>439.80176</v>
      </c>
      <c r="I44" s="12">
        <f t="shared" si="6"/>
        <v>-0.41169410335947143</v>
      </c>
      <c r="J44" s="3"/>
    </row>
    <row r="45" spans="2:10" x14ac:dyDescent="0.25">
      <c r="B45" s="3">
        <f t="shared" si="2"/>
        <v>125</v>
      </c>
      <c r="C45" s="14">
        <f t="shared" si="3"/>
        <v>2.0833333333333335</v>
      </c>
      <c r="D45" s="11">
        <f t="shared" si="4"/>
        <v>450.26834213398865</v>
      </c>
      <c r="E45" s="24">
        <f t="shared" si="5"/>
        <v>20</v>
      </c>
      <c r="F45" s="38">
        <f t="shared" si="0"/>
        <v>1.3728759117546963</v>
      </c>
      <c r="G45" s="14">
        <f t="shared" si="1"/>
        <v>0</v>
      </c>
      <c r="H45" s="24">
        <f t="shared" ref="H45:H108" si="10">IF(E45&lt;600,425+0.773*E45-1.69/1000*E45^2+2.22/1000^2*E45^3,IF(E45&lt;735,666+13002/(738-E45),IF(E45&lt;900,545+17820/(E45-731),650)))</f>
        <v>439.80176</v>
      </c>
      <c r="I45" s="12">
        <f t="shared" si="6"/>
        <v>-0.37137331842358379</v>
      </c>
      <c r="J45" s="3"/>
    </row>
    <row r="46" spans="2:10" x14ac:dyDescent="0.25">
      <c r="B46" s="3">
        <f t="shared" si="2"/>
        <v>130</v>
      </c>
      <c r="C46" s="14">
        <f t="shared" si="3"/>
        <v>2.1666666666666665</v>
      </c>
      <c r="D46" s="11">
        <f t="shared" si="4"/>
        <v>455.81829499723057</v>
      </c>
      <c r="E46" s="24">
        <f t="shared" si="5"/>
        <v>20</v>
      </c>
      <c r="F46" s="38">
        <f t="shared" si="0"/>
        <v>1.3728759117546963</v>
      </c>
      <c r="G46" s="14">
        <f t="shared" si="1"/>
        <v>0</v>
      </c>
      <c r="H46" s="24">
        <f t="shared" si="10"/>
        <v>439.80176</v>
      </c>
      <c r="I46" s="12">
        <f t="shared" si="6"/>
        <v>-0.33380367977715725</v>
      </c>
      <c r="J46" s="3"/>
    </row>
    <row r="47" spans="2:10" x14ac:dyDescent="0.25">
      <c r="B47" s="3">
        <f t="shared" si="2"/>
        <v>135</v>
      </c>
      <c r="C47" s="14">
        <f t="shared" si="3"/>
        <v>2.25</v>
      </c>
      <c r="D47" s="11">
        <f t="shared" si="4"/>
        <v>461.16999232872598</v>
      </c>
      <c r="E47" s="24">
        <f t="shared" si="5"/>
        <v>20</v>
      </c>
      <c r="F47" s="38">
        <f t="shared" si="0"/>
        <v>1.3728759117546963</v>
      </c>
      <c r="G47" s="14">
        <f t="shared" si="1"/>
        <v>0</v>
      </c>
      <c r="H47" s="24">
        <f t="shared" si="10"/>
        <v>439.80176</v>
      </c>
      <c r="I47" s="12">
        <f t="shared" si="6"/>
        <v>-0.29869874433314131</v>
      </c>
      <c r="J47" s="3"/>
    </row>
    <row r="48" spans="2:10" x14ac:dyDescent="0.25">
      <c r="B48" s="3">
        <f t="shared" si="2"/>
        <v>140</v>
      </c>
      <c r="C48" s="14">
        <f t="shared" si="3"/>
        <v>2.3333333333333335</v>
      </c>
      <c r="D48" s="11">
        <f t="shared" si="4"/>
        <v>466.33711113825615</v>
      </c>
      <c r="E48" s="24">
        <f t="shared" si="5"/>
        <v>20</v>
      </c>
      <c r="F48" s="38">
        <f t="shared" si="0"/>
        <v>1.3728759117546963</v>
      </c>
      <c r="G48" s="14">
        <f t="shared" si="1"/>
        <v>0</v>
      </c>
      <c r="H48" s="24">
        <f t="shared" si="10"/>
        <v>439.80176</v>
      </c>
      <c r="I48" s="12">
        <f t="shared" si="6"/>
        <v>-0.26581101605660212</v>
      </c>
      <c r="J48" s="3"/>
    </row>
    <row r="49" spans="2:10" x14ac:dyDescent="0.25">
      <c r="B49" s="3">
        <f t="shared" si="2"/>
        <v>145</v>
      </c>
      <c r="C49" s="14">
        <f t="shared" si="3"/>
        <v>2.4166666666666665</v>
      </c>
      <c r="D49" s="11">
        <f t="shared" si="4"/>
        <v>471.33196020043101</v>
      </c>
      <c r="E49" s="14">
        <f t="shared" si="5"/>
        <v>20</v>
      </c>
      <c r="F49" s="38">
        <f t="shared" si="0"/>
        <v>1.3728759117546963</v>
      </c>
      <c r="G49" s="14">
        <f t="shared" si="1"/>
        <v>0</v>
      </c>
      <c r="H49" s="24">
        <f t="shared" si="10"/>
        <v>439.80176</v>
      </c>
      <c r="I49" s="12">
        <f t="shared" si="6"/>
        <v>-0.23492550921683242</v>
      </c>
      <c r="J49" s="3"/>
    </row>
    <row r="50" spans="2:10" x14ac:dyDescent="0.25">
      <c r="B50" s="3">
        <f t="shared" si="2"/>
        <v>150</v>
      </c>
      <c r="C50" s="14">
        <f t="shared" si="3"/>
        <v>2.5</v>
      </c>
      <c r="D50" s="11">
        <f t="shared" si="4"/>
        <v>476.16565668320209</v>
      </c>
      <c r="E50" s="14">
        <f t="shared" si="5"/>
        <v>20</v>
      </c>
      <c r="F50" s="38">
        <f t="shared" si="0"/>
        <v>1.3728759117546963</v>
      </c>
      <c r="G50" s="14">
        <f t="shared" si="1"/>
        <v>0</v>
      </c>
      <c r="H50" s="24">
        <f t="shared" si="10"/>
        <v>439.80176</v>
      </c>
      <c r="I50" s="12">
        <f t="shared" si="6"/>
        <v>-0.20585455076557424</v>
      </c>
      <c r="J50" s="3"/>
    </row>
    <row r="51" spans="2:10" x14ac:dyDescent="0.25">
      <c r="B51" s="3">
        <f t="shared" si="2"/>
        <v>155</v>
      </c>
      <c r="C51" s="14">
        <f t="shared" si="3"/>
        <v>2.5833333333333335</v>
      </c>
      <c r="D51" s="11">
        <f t="shared" si="4"/>
        <v>480.84827516350163</v>
      </c>
      <c r="E51" s="14">
        <f t="shared" si="5"/>
        <v>20</v>
      </c>
      <c r="F51" s="38">
        <f t="shared" si="0"/>
        <v>1.3728759117546963</v>
      </c>
      <c r="G51" s="14">
        <f t="shared" si="1"/>
        <v>0</v>
      </c>
      <c r="H51" s="24">
        <f t="shared" si="10"/>
        <v>439.80176</v>
      </c>
      <c r="I51" s="12">
        <f t="shared" si="6"/>
        <v>-0.17843355176189979</v>
      </c>
      <c r="J51" s="3"/>
    </row>
    <row r="52" spans="2:10" x14ac:dyDescent="0.25">
      <c r="B52" s="3">
        <f t="shared" si="2"/>
        <v>160</v>
      </c>
      <c r="C52" s="14">
        <f t="shared" si="3"/>
        <v>2.6666666666666665</v>
      </c>
      <c r="D52" s="11">
        <f t="shared" si="4"/>
        <v>485.3889740535015</v>
      </c>
      <c r="E52" s="14">
        <f t="shared" si="5"/>
        <v>20</v>
      </c>
      <c r="F52" s="38">
        <f t="shared" si="0"/>
        <v>1.3728759117546963</v>
      </c>
      <c r="G52" s="14">
        <f t="shared" si="1"/>
        <v>0</v>
      </c>
      <c r="H52" s="24">
        <f t="shared" si="10"/>
        <v>439.80176</v>
      </c>
      <c r="I52" s="12">
        <f t="shared" si="6"/>
        <v>-0.15251754307496901</v>
      </c>
      <c r="J52" s="3"/>
    </row>
    <row r="53" spans="2:10" x14ac:dyDescent="0.25">
      <c r="B53" s="3">
        <f t="shared" si="2"/>
        <v>165</v>
      </c>
      <c r="C53" s="14">
        <f t="shared" si="3"/>
        <v>2.75</v>
      </c>
      <c r="D53" s="11">
        <f t="shared" si="4"/>
        <v>489.79610342606952</v>
      </c>
      <c r="E53" s="14">
        <f t="shared" si="5"/>
        <v>20</v>
      </c>
      <c r="F53" s="38">
        <f t="shared" si="0"/>
        <v>1.3728759117546963</v>
      </c>
      <c r="G53" s="14">
        <f t="shared" si="1"/>
        <v>0</v>
      </c>
      <c r="H53" s="24">
        <f t="shared" si="10"/>
        <v>439.80176</v>
      </c>
      <c r="I53" s="12">
        <f t="shared" si="6"/>
        <v>-0.12797831864892473</v>
      </c>
      <c r="J53" s="3"/>
    </row>
    <row r="54" spans="2:10" x14ac:dyDescent="0.25">
      <c r="B54" s="3">
        <f t="shared" si="2"/>
        <v>170</v>
      </c>
      <c r="C54" s="14">
        <f t="shared" si="3"/>
        <v>2.8333333333333335</v>
      </c>
      <c r="D54" s="11">
        <f t="shared" si="4"/>
        <v>494.07729742979745</v>
      </c>
      <c r="E54" s="14">
        <f t="shared" si="5"/>
        <v>20</v>
      </c>
      <c r="F54" s="38">
        <f t="shared" si="0"/>
        <v>1.3728759117546963</v>
      </c>
      <c r="G54" s="14">
        <f t="shared" si="1"/>
        <v>0</v>
      </c>
      <c r="H54" s="24">
        <f t="shared" si="10"/>
        <v>439.80176</v>
      </c>
      <c r="I54" s="12">
        <f t="shared" si="6"/>
        <v>-0.10470206533272597</v>
      </c>
      <c r="J54" s="3"/>
    </row>
    <row r="55" spans="2:10" x14ac:dyDescent="0.25">
      <c r="B55" s="3">
        <f t="shared" si="2"/>
        <v>175</v>
      </c>
      <c r="C55" s="14">
        <f t="shared" si="3"/>
        <v>2.9166666666666665</v>
      </c>
      <c r="D55" s="11">
        <f t="shared" si="4"/>
        <v>498.23955386327367</v>
      </c>
      <c r="E55" s="14">
        <f t="shared" si="5"/>
        <v>20</v>
      </c>
      <c r="F55" s="38">
        <f t="shared" si="0"/>
        <v>1.3728759117546963</v>
      </c>
      <c r="G55" s="14">
        <f t="shared" si="1"/>
        <v>0</v>
      </c>
      <c r="H55" s="24">
        <f t="shared" si="10"/>
        <v>439.80176</v>
      </c>
      <c r="I55" s="12">
        <f t="shared" si="6"/>
        <v>-8.2587385086382969E-2</v>
      </c>
      <c r="J55" s="3"/>
    </row>
    <row r="56" spans="2:10" x14ac:dyDescent="0.25">
      <c r="B56" s="3">
        <f t="shared" si="2"/>
        <v>180</v>
      </c>
      <c r="C56" s="14">
        <f t="shared" si="3"/>
        <v>3</v>
      </c>
      <c r="D56" s="11">
        <f t="shared" si="4"/>
        <v>502.28930299185294</v>
      </c>
      <c r="E56" s="14">
        <f t="shared" si="5"/>
        <v>20</v>
      </c>
      <c r="F56" s="38">
        <f t="shared" si="0"/>
        <v>1.3728759117546963</v>
      </c>
      <c r="G56" s="14">
        <f t="shared" si="1"/>
        <v>0</v>
      </c>
      <c r="H56" s="24">
        <f t="shared" si="10"/>
        <v>439.80176</v>
      </c>
      <c r="I56" s="12">
        <f t="shared" si="6"/>
        <v>-6.1543635674534136E-2</v>
      </c>
      <c r="J56" s="3"/>
    </row>
    <row r="57" spans="2:10" x14ac:dyDescent="0.25">
      <c r="B57" s="3">
        <f t="shared" si="2"/>
        <v>185</v>
      </c>
      <c r="C57" s="14">
        <f t="shared" si="3"/>
        <v>3.0833333333333335</v>
      </c>
      <c r="D57" s="11">
        <f t="shared" si="4"/>
        <v>506.23246730622265</v>
      </c>
      <c r="E57" s="14">
        <f t="shared" si="5"/>
        <v>20</v>
      </c>
      <c r="F57" s="38">
        <f t="shared" si="0"/>
        <v>1.3728759117546963</v>
      </c>
      <c r="G57" s="14">
        <f t="shared" si="1"/>
        <v>0</v>
      </c>
      <c r="H57" s="24">
        <f t="shared" si="10"/>
        <v>439.80176</v>
      </c>
      <c r="I57" s="12">
        <f t="shared" si="6"/>
        <v>-4.148953146264267E-2</v>
      </c>
      <c r="J57" s="3"/>
    </row>
    <row r="58" spans="2:10" x14ac:dyDescent="0.25">
      <c r="B58" s="3">
        <f t="shared" si="2"/>
        <v>190</v>
      </c>
      <c r="C58" s="14">
        <f t="shared" si="3"/>
        <v>3.1666666666666665</v>
      </c>
      <c r="D58" s="11">
        <f t="shared" si="4"/>
        <v>510.07451361691875</v>
      </c>
      <c r="E58" s="14">
        <f t="shared" si="5"/>
        <v>20</v>
      </c>
      <c r="F58" s="38">
        <f t="shared" si="0"/>
        <v>1.3728759117546963</v>
      </c>
      <c r="G58" s="14">
        <f t="shared" si="1"/>
        <v>0</v>
      </c>
      <c r="H58" s="24">
        <f t="shared" si="10"/>
        <v>439.80176</v>
      </c>
      <c r="I58" s="12">
        <f t="shared" si="6"/>
        <v>-2.2351957866303951E-2</v>
      </c>
      <c r="J58" s="3"/>
    </row>
    <row r="59" spans="2:10" x14ac:dyDescent="0.25">
      <c r="B59" s="3">
        <f t="shared" si="2"/>
        <v>195</v>
      </c>
      <c r="C59" s="14">
        <f t="shared" si="3"/>
        <v>3.25</v>
      </c>
      <c r="D59" s="11">
        <f t="shared" si="4"/>
        <v>513.82049863485054</v>
      </c>
      <c r="E59" s="14">
        <f t="shared" si="5"/>
        <v>20</v>
      </c>
      <c r="F59" s="38">
        <f t="shared" si="0"/>
        <v>1.3728759117546963</v>
      </c>
      <c r="G59" s="14">
        <f t="shared" si="1"/>
        <v>0</v>
      </c>
      <c r="H59" s="24">
        <f t="shared" si="10"/>
        <v>439.80176</v>
      </c>
      <c r="I59" s="12">
        <f t="shared" si="6"/>
        <v>-4.0649622589221668E-3</v>
      </c>
      <c r="J59" s="3"/>
    </row>
    <row r="60" spans="2:10" x14ac:dyDescent="0.25">
      <c r="B60" s="3">
        <f t="shared" si="2"/>
        <v>200</v>
      </c>
      <c r="C60" s="14">
        <f t="shared" si="3"/>
        <v>3.3333333333333335</v>
      </c>
      <c r="D60" s="11">
        <f t="shared" si="4"/>
        <v>517.47510899146187</v>
      </c>
      <c r="E60" s="14">
        <f t="shared" si="5"/>
        <v>20</v>
      </c>
      <c r="F60" s="38">
        <f t="shared" si="0"/>
        <v>1.3728759117546963</v>
      </c>
      <c r="G60" s="14">
        <f t="shared" si="1"/>
        <v>0</v>
      </c>
      <c r="H60" s="24">
        <f t="shared" si="10"/>
        <v>439.80176</v>
      </c>
      <c r="I60" s="12">
        <f t="shared" si="6"/>
        <v>1.343110862540875E-2</v>
      </c>
      <c r="J60" s="3"/>
    </row>
    <row r="61" spans="2:10" x14ac:dyDescent="0.25">
      <c r="B61" s="3">
        <f t="shared" si="2"/>
        <v>205</v>
      </c>
      <c r="C61" s="14">
        <f t="shared" si="3"/>
        <v>3.4166666666666665</v>
      </c>
      <c r="D61" s="11">
        <f t="shared" si="4"/>
        <v>521.04269649314733</v>
      </c>
      <c r="E61" s="14">
        <f t="shared" si="5"/>
        <v>20.013431108625408</v>
      </c>
      <c r="F61" s="38">
        <f t="shared" si="0"/>
        <v>1.3728462267937296</v>
      </c>
      <c r="G61" s="14">
        <f t="shared" si="1"/>
        <v>0</v>
      </c>
      <c r="H61" s="24">
        <f t="shared" si="10"/>
        <v>439.81126980366469</v>
      </c>
      <c r="I61" s="12">
        <f t="shared" si="6"/>
        <v>3.0179379765083891E-2</v>
      </c>
      <c r="J61" s="3"/>
    </row>
    <row r="62" spans="2:10" x14ac:dyDescent="0.25">
      <c r="B62" s="3">
        <f t="shared" si="2"/>
        <v>210</v>
      </c>
      <c r="C62" s="14">
        <f t="shared" si="3"/>
        <v>3.5</v>
      </c>
      <c r="D62" s="11">
        <f t="shared" si="4"/>
        <v>524.52730927513983</v>
      </c>
      <c r="E62" s="14">
        <f t="shared" si="5"/>
        <v>20.043610488390492</v>
      </c>
      <c r="F62" s="38">
        <f t="shared" si="0"/>
        <v>1.3727795364738999</v>
      </c>
      <c r="G62" s="14">
        <f t="shared" si="1"/>
        <v>0</v>
      </c>
      <c r="H62" s="24">
        <f t="shared" si="10"/>
        <v>439.83263605619732</v>
      </c>
      <c r="I62" s="12">
        <f t="shared" si="6"/>
        <v>4.6225211564214108E-2</v>
      </c>
      <c r="J62" s="3"/>
    </row>
    <row r="63" spans="2:10" x14ac:dyDescent="0.25">
      <c r="B63" s="3">
        <f t="shared" si="2"/>
        <v>215</v>
      </c>
      <c r="C63" s="14">
        <f t="shared" si="3"/>
        <v>3.5833333333333335</v>
      </c>
      <c r="D63" s="11">
        <f t="shared" si="4"/>
        <v>527.93271941421131</v>
      </c>
      <c r="E63" s="14">
        <f t="shared" si="5"/>
        <v>20.089835699954705</v>
      </c>
      <c r="F63" s="38">
        <f t="shared" si="0"/>
        <v>1.3726774178307293</v>
      </c>
      <c r="G63" s="14">
        <f t="shared" si="1"/>
        <v>0</v>
      </c>
      <c r="H63" s="24">
        <f t="shared" si="10"/>
        <v>439.86535686258105</v>
      </c>
      <c r="I63" s="12">
        <f t="shared" si="6"/>
        <v>6.1612840576355077E-2</v>
      </c>
      <c r="J63" s="3"/>
    </row>
    <row r="64" spans="2:10" x14ac:dyDescent="0.25">
      <c r="B64" s="3">
        <f t="shared" si="2"/>
        <v>220</v>
      </c>
      <c r="C64" s="14">
        <f t="shared" si="3"/>
        <v>3.6666666666666665</v>
      </c>
      <c r="D64" s="11">
        <f t="shared" si="4"/>
        <v>531.2624474724937</v>
      </c>
      <c r="E64" s="14">
        <f t="shared" si="5"/>
        <v>20.15144854053106</v>
      </c>
      <c r="F64" s="38">
        <f t="shared" si="0"/>
        <v>1.3725413614129836</v>
      </c>
      <c r="G64" s="14">
        <f t="shared" si="1"/>
        <v>0</v>
      </c>
      <c r="H64" s="24">
        <f t="shared" si="10"/>
        <v>439.90895955932132</v>
      </c>
      <c r="I64" s="12">
        <f t="shared" si="6"/>
        <v>7.6382735183490813E-2</v>
      </c>
      <c r="J64" s="3"/>
    </row>
    <row r="65" spans="2:10" x14ac:dyDescent="0.25">
      <c r="B65" s="3">
        <f t="shared" si="2"/>
        <v>225</v>
      </c>
      <c r="C65" s="14">
        <f t="shared" si="3"/>
        <v>3.75</v>
      </c>
      <c r="D65" s="11">
        <f t="shared" si="4"/>
        <v>534.51978437282401</v>
      </c>
      <c r="E65" s="14">
        <f t="shared" si="5"/>
        <v>20.22783127571455</v>
      </c>
      <c r="F65" s="38">
        <f t="shared" si="0"/>
        <v>1.3723727779997892</v>
      </c>
      <c r="G65" s="14">
        <f t="shared" si="1"/>
        <v>0</v>
      </c>
      <c r="H65" s="24">
        <f t="shared" si="10"/>
        <v>439.96299834170338</v>
      </c>
      <c r="I65" s="12">
        <f t="shared" si="6"/>
        <v>9.0571994958228541E-2</v>
      </c>
      <c r="J65" s="3"/>
    </row>
    <row r="66" spans="2:10" x14ac:dyDescent="0.25">
      <c r="B66" s="3">
        <f t="shared" si="2"/>
        <v>230</v>
      </c>
      <c r="C66" s="14">
        <f t="shared" si="3"/>
        <v>3.8333333333333335</v>
      </c>
      <c r="D66" s="11">
        <f t="shared" si="4"/>
        <v>537.70781094636891</v>
      </c>
      <c r="E66" s="14">
        <f t="shared" si="5"/>
        <v>20.318403270672778</v>
      </c>
      <c r="F66" s="38">
        <f t="shared" si="0"/>
        <v>1.3721730046385547</v>
      </c>
      <c r="G66" s="14">
        <f t="shared" si="1"/>
        <v>0</v>
      </c>
      <c r="H66" s="24">
        <f t="shared" si="10"/>
        <v>440.02705213572244</v>
      </c>
      <c r="I66" s="12">
        <f t="shared" si="6"/>
        <v>0.10421469990596111</v>
      </c>
      <c r="J66" s="3"/>
    </row>
    <row r="67" spans="2:10" x14ac:dyDescent="0.25">
      <c r="B67" s="3">
        <f t="shared" si="2"/>
        <v>235</v>
      </c>
      <c r="C67" s="14">
        <f t="shared" si="3"/>
        <v>3.9166666666666665</v>
      </c>
      <c r="D67" s="11">
        <f t="shared" si="4"/>
        <v>540.82941544357084</v>
      </c>
      <c r="E67" s="24">
        <f t="shared" si="5"/>
        <v>20.422617970578738</v>
      </c>
      <c r="F67" s="38">
        <f t="shared" si="0"/>
        <v>1.3719433100865448</v>
      </c>
      <c r="G67" s="14">
        <f t="shared" si="1"/>
        <v>0</v>
      </c>
      <c r="H67" s="24">
        <f t="shared" si="10"/>
        <v>440.1007226845486</v>
      </c>
      <c r="I67" s="12">
        <f t="shared" si="6"/>
        <v>0.11734221680572693</v>
      </c>
      <c r="J67" s="3"/>
    </row>
    <row r="68" spans="2:10" x14ac:dyDescent="0.25">
      <c r="B68" s="3">
        <f t="shared" si="2"/>
        <v>240</v>
      </c>
      <c r="C68" s="14">
        <f t="shared" si="3"/>
        <v>4</v>
      </c>
      <c r="D68" s="11">
        <f t="shared" si="4"/>
        <v>543.88730925787115</v>
      </c>
      <c r="E68" s="24">
        <f t="shared" si="5"/>
        <v>20.539960187384466</v>
      </c>
      <c r="F68" s="38">
        <f t="shared" si="0"/>
        <v>1.3716848997272701</v>
      </c>
      <c r="G68" s="14">
        <f t="shared" si="1"/>
        <v>0</v>
      </c>
      <c r="H68" s="24">
        <f t="shared" si="10"/>
        <v>440.1836328236692</v>
      </c>
      <c r="I68" s="12">
        <f t="shared" si="6"/>
        <v>0.12998346870006627</v>
      </c>
      <c r="J68" s="3"/>
    </row>
    <row r="69" spans="2:10" x14ac:dyDescent="0.25">
      <c r="B69" s="3">
        <f t="shared" si="2"/>
        <v>245</v>
      </c>
      <c r="C69" s="14">
        <f t="shared" si="3"/>
        <v>4.083333333333333</v>
      </c>
      <c r="D69" s="11">
        <f t="shared" si="4"/>
        <v>546.88404107672807</v>
      </c>
      <c r="E69" s="24">
        <f t="shared" si="5"/>
        <v>20.669943656084531</v>
      </c>
      <c r="F69" s="38">
        <f t="shared" si="0"/>
        <v>1.3713989200230357</v>
      </c>
      <c r="G69" s="14">
        <f t="shared" si="1"/>
        <v>0</v>
      </c>
      <c r="H69" s="24">
        <f t="shared" si="10"/>
        <v>440.27542492244208</v>
      </c>
      <c r="I69" s="12">
        <f t="shared" si="6"/>
        <v>0.14216517262685591</v>
      </c>
      <c r="J69" s="3"/>
    </row>
    <row r="70" spans="2:10" x14ac:dyDescent="0.25">
      <c r="B70" s="3">
        <f t="shared" si="2"/>
        <v>250</v>
      </c>
      <c r="C70" s="14">
        <f t="shared" si="3"/>
        <v>4.166666666666667</v>
      </c>
      <c r="D70" s="11">
        <f t="shared" si="4"/>
        <v>549.82200964500078</v>
      </c>
      <c r="E70" s="24">
        <f t="shared" si="5"/>
        <v>20.812108828711388</v>
      </c>
      <c r="F70" s="38">
        <f t="shared" si="0"/>
        <v>1.3710864625567021</v>
      </c>
      <c r="G70" s="14">
        <f t="shared" si="1"/>
        <v>0</v>
      </c>
      <c r="H70" s="24">
        <f t="shared" si="10"/>
        <v>440.37575947282744</v>
      </c>
      <c r="I70" s="12">
        <f t="shared" si="6"/>
        <v>0.15391204989376811</v>
      </c>
      <c r="J70" s="3"/>
    </row>
    <row r="71" spans="2:10" x14ac:dyDescent="0.25">
      <c r="B71" s="3">
        <f t="shared" si="2"/>
        <v>255</v>
      </c>
      <c r="C71" s="14">
        <f t="shared" si="3"/>
        <v>4.25</v>
      </c>
      <c r="D71" s="11">
        <f t="shared" si="4"/>
        <v>552.70347530084507</v>
      </c>
      <c r="E71" s="24">
        <f t="shared" si="5"/>
        <v>20.966020878605157</v>
      </c>
      <c r="F71" s="38">
        <f t="shared" si="0"/>
        <v>1.3707485677086755</v>
      </c>
      <c r="G71" s="14">
        <f t="shared" si="1"/>
        <v>0</v>
      </c>
      <c r="H71" s="24">
        <f t="shared" si="10"/>
        <v>440.48431380863127</v>
      </c>
      <c r="I71" s="12">
        <f t="shared" si="6"/>
        <v>0.16524701254279545</v>
      </c>
      <c r="J71" s="3"/>
    </row>
    <row r="72" spans="2:10" x14ac:dyDescent="0.25">
      <c r="B72" s="3">
        <f t="shared" si="2"/>
        <v>260</v>
      </c>
      <c r="C72" s="14">
        <f t="shared" si="3"/>
        <v>4.333333333333333</v>
      </c>
      <c r="D72" s="11">
        <f t="shared" si="4"/>
        <v>555.53057042311366</v>
      </c>
      <c r="E72" s="24">
        <f t="shared" si="5"/>
        <v>21.131267891147953</v>
      </c>
      <c r="F72" s="38">
        <f t="shared" si="0"/>
        <v>1.3703862280091683</v>
      </c>
      <c r="G72" s="14">
        <f t="shared" si="1"/>
        <v>0</v>
      </c>
      <c r="H72" s="24">
        <f t="shared" si="10"/>
        <v>440.60078094077329</v>
      </c>
      <c r="I72" s="12">
        <f t="shared" si="6"/>
        <v>0.17619132910592811</v>
      </c>
      <c r="J72" s="3"/>
    </row>
    <row r="73" spans="2:10" x14ac:dyDescent="0.25">
      <c r="B73" s="3">
        <f t="shared" si="2"/>
        <v>265</v>
      </c>
      <c r="C73" s="14">
        <f t="shared" si="3"/>
        <v>4.416666666666667</v>
      </c>
      <c r="D73" s="11">
        <f t="shared" si="4"/>
        <v>558.30530891123158</v>
      </c>
      <c r="E73" s="24">
        <f t="shared" si="5"/>
        <v>21.307459220253882</v>
      </c>
      <c r="F73" s="38">
        <f t="shared" si="0"/>
        <v>1.3700003912006744</v>
      </c>
      <c r="G73" s="14">
        <f t="shared" si="1"/>
        <v>0</v>
      </c>
      <c r="H73" s="24">
        <f t="shared" si="10"/>
        <v>440.72486849595208</v>
      </c>
      <c r="I73" s="12">
        <f t="shared" si="6"/>
        <v>0.18676477229924693</v>
      </c>
      <c r="J73" s="3"/>
    </row>
    <row r="74" spans="2:10" x14ac:dyDescent="0.25">
      <c r="B74" s="3">
        <f t="shared" si="2"/>
        <v>270</v>
      </c>
      <c r="C74" s="14">
        <f t="shared" si="3"/>
        <v>4.5</v>
      </c>
      <c r="D74" s="11">
        <f t="shared" si="4"/>
        <v>561.02959480311324</v>
      </c>
      <c r="E74" s="24">
        <f t="shared" si="5"/>
        <v>21.494223992553131</v>
      </c>
      <c r="F74" s="38">
        <f t="shared" si="0"/>
        <v>1.3695919630412317</v>
      </c>
      <c r="G74" s="14">
        <f t="shared" si="1"/>
        <v>0</v>
      </c>
      <c r="H74" s="24">
        <f t="shared" si="10"/>
        <v>440.85629774766937</v>
      </c>
      <c r="I74" s="12">
        <f t="shared" si="6"/>
        <v>0.1969857509222645</v>
      </c>
      <c r="J74" s="3"/>
    </row>
    <row r="75" spans="2:10" x14ac:dyDescent="0.25">
      <c r="B75" s="3">
        <f t="shared" si="2"/>
        <v>275</v>
      </c>
      <c r="C75" s="14">
        <f t="shared" si="3"/>
        <v>4.583333333333333</v>
      </c>
      <c r="D75" s="11">
        <f t="shared" si="4"/>
        <v>563.70523012349622</v>
      </c>
      <c r="E75" s="24">
        <f t="shared" si="5"/>
        <v>21.691209743475394</v>
      </c>
      <c r="F75" s="38">
        <f t="shared" si="0"/>
        <v>1.3691618098752913</v>
      </c>
      <c r="G75" s="14">
        <f t="shared" si="1"/>
        <v>0</v>
      </c>
      <c r="H75" s="24">
        <f t="shared" si="10"/>
        <v>440.99480272993878</v>
      </c>
      <c r="I75" s="12">
        <f t="shared" si="6"/>
        <v>0.20687142790740792</v>
      </c>
      <c r="J75" s="3"/>
    </row>
    <row r="76" spans="2:10" x14ac:dyDescent="0.25">
      <c r="B76" s="3">
        <f t="shared" si="2"/>
        <v>280</v>
      </c>
      <c r="C76" s="14">
        <f t="shared" si="3"/>
        <v>4.666666666666667</v>
      </c>
      <c r="D76" s="11">
        <f t="shared" si="4"/>
        <v>566.33392204371251</v>
      </c>
      <c r="E76" s="24">
        <f t="shared" si="5"/>
        <v>21.898081171382803</v>
      </c>
      <c r="F76" s="38">
        <f t="shared" si="0"/>
        <v>1.3687107609957976</v>
      </c>
      <c r="G76" s="14">
        <f t="shared" si="1"/>
        <v>0</v>
      </c>
      <c r="H76" s="24">
        <f t="shared" si="10"/>
        <v>441.14012942517803</v>
      </c>
      <c r="I76" s="12">
        <f t="shared" si="6"/>
        <v>0.21643782619674262</v>
      </c>
      <c r="J76" s="3"/>
    </row>
    <row r="77" spans="2:10" x14ac:dyDescent="0.25">
      <c r="B77" s="3">
        <f t="shared" si="2"/>
        <v>285</v>
      </c>
      <c r="C77" s="14">
        <f t="shared" si="3"/>
        <v>4.75</v>
      </c>
      <c r="D77" s="11">
        <f t="shared" si="4"/>
        <v>568.91728942414215</v>
      </c>
      <c r="E77" s="24">
        <f t="shared" si="5"/>
        <v>22.114518997579545</v>
      </c>
      <c r="F77" s="38">
        <f t="shared" si="0"/>
        <v>1.3682396108182686</v>
      </c>
      <c r="G77" s="14">
        <f t="shared" si="1"/>
        <v>0</v>
      </c>
      <c r="H77" s="24">
        <f t="shared" si="10"/>
        <v>441.29203501879664</v>
      </c>
      <c r="I77" s="12">
        <f t="shared" si="6"/>
        <v>0.22569992389259264</v>
      </c>
      <c r="J77" s="3"/>
    </row>
    <row r="78" spans="2:10" x14ac:dyDescent="0.25">
      <c r="B78" s="3">
        <f t="shared" si="2"/>
        <v>290</v>
      </c>
      <c r="C78" s="14">
        <f t="shared" si="3"/>
        <v>4.833333333333333</v>
      </c>
      <c r="D78" s="11">
        <f t="shared" si="4"/>
        <v>571.45686880213952</v>
      </c>
      <c r="E78" s="24">
        <f t="shared" si="5"/>
        <v>22.340218921472136</v>
      </c>
      <c r="F78" s="38">
        <f t="shared" si="0"/>
        <v>1.3677491208852797</v>
      </c>
      <c r="G78" s="14">
        <f t="shared" si="1"/>
        <v>0</v>
      </c>
      <c r="H78" s="24">
        <f t="shared" si="10"/>
        <v>441.45028721386643</v>
      </c>
      <c r="I78" s="12">
        <f t="shared" si="6"/>
        <v>0.23467173993547485</v>
      </c>
      <c r="J78" s="3"/>
    </row>
    <row r="79" spans="2:10" x14ac:dyDescent="0.25">
      <c r="B79" s="3">
        <f t="shared" si="2"/>
        <v>295</v>
      </c>
      <c r="C79" s="14">
        <f t="shared" si="3"/>
        <v>4.916666666666667</v>
      </c>
      <c r="D79" s="11">
        <f t="shared" si="4"/>
        <v>573.95411988089165</v>
      </c>
      <c r="E79" s="24">
        <f t="shared" si="5"/>
        <v>22.574890661407611</v>
      </c>
      <c r="F79" s="38">
        <f t="shared" si="0"/>
        <v>1.3672400217176279</v>
      </c>
      <c r="G79" s="14">
        <f t="shared" si="1"/>
        <v>0</v>
      </c>
      <c r="H79" s="24">
        <f t="shared" si="10"/>
        <v>441.6146636000243</v>
      </c>
      <c r="I79" s="12">
        <f t="shared" si="6"/>
        <v>0.243366411398097</v>
      </c>
      <c r="J79" s="3"/>
    </row>
    <row r="80" spans="2:10" x14ac:dyDescent="0.25">
      <c r="B80" s="3">
        <f t="shared" si="2"/>
        <v>300</v>
      </c>
      <c r="C80" s="14">
        <f t="shared" si="3"/>
        <v>5</v>
      </c>
      <c r="D80" s="11">
        <f t="shared" si="4"/>
        <v>576.4104305683087</v>
      </c>
      <c r="E80" s="24">
        <f t="shared" si="5"/>
        <v>22.818257072805707</v>
      </c>
      <c r="F80" s="38">
        <f t="shared" si="0"/>
        <v>1.366713014526644</v>
      </c>
      <c r="G80" s="14">
        <f t="shared" si="1"/>
        <v>0</v>
      </c>
      <c r="H80" s="24">
        <f t="shared" si="10"/>
        <v>441.78495107141549</v>
      </c>
      <c r="I80" s="12">
        <f t="shared" si="6"/>
        <v>0.25179626334171251</v>
      </c>
      <c r="J80" s="3"/>
    </row>
    <row r="81" spans="2:10" x14ac:dyDescent="0.25">
      <c r="B81" s="3">
        <f t="shared" si="2"/>
        <v>305</v>
      </c>
      <c r="C81" s="14">
        <f t="shared" si="3"/>
        <v>5.083333333333333</v>
      </c>
      <c r="D81" s="11">
        <f t="shared" si="4"/>
        <v>578.82712160949586</v>
      </c>
      <c r="E81" s="24">
        <f t="shared" si="5"/>
        <v>23.070053336147421</v>
      </c>
      <c r="F81" s="38">
        <f t="shared" si="0"/>
        <v>1.3661687728005181</v>
      </c>
      <c r="G81" s="14">
        <f t="shared" si="1"/>
        <v>0</v>
      </c>
      <c r="H81" s="24">
        <f t="shared" si="10"/>
        <v>441.96094528906593</v>
      </c>
      <c r="I81" s="12">
        <f t="shared" si="6"/>
        <v>0.25997287206216035</v>
      </c>
      <c r="J81" s="3"/>
    </row>
    <row r="82" spans="2:10" x14ac:dyDescent="0.25">
      <c r="B82" s="3">
        <f t="shared" si="2"/>
        <v>310</v>
      </c>
      <c r="C82" s="14">
        <f t="shared" si="3"/>
        <v>5.166666666666667</v>
      </c>
      <c r="D82" s="11">
        <f t="shared" si="4"/>
        <v>581.2054508515215</v>
      </c>
      <c r="E82" s="24">
        <f t="shared" si="5"/>
        <v>23.330026208209581</v>
      </c>
      <c r="F82" s="38">
        <f t="shared" si="0"/>
        <v>1.3656079437761126</v>
      </c>
      <c r="G82" s="14">
        <f t="shared" si="1"/>
        <v>0</v>
      </c>
      <c r="H82" s="24">
        <f t="shared" si="10"/>
        <v>442.14245018357207</v>
      </c>
      <c r="I82" s="12">
        <f t="shared" si="6"/>
        <v>0.26790712244758336</v>
      </c>
      <c r="J82" s="3"/>
    </row>
    <row r="83" spans="2:10" x14ac:dyDescent="0.25">
      <c r="B83" s="3">
        <f t="shared" si="2"/>
        <v>315</v>
      </c>
      <c r="C83" s="14">
        <f t="shared" si="3"/>
        <v>5.25</v>
      </c>
      <c r="D83" s="11">
        <f t="shared" si="4"/>
        <v>583.5466171749573</v>
      </c>
      <c r="E83" s="24">
        <f t="shared" si="5"/>
        <v>23.597933330657163</v>
      </c>
      <c r="F83" s="38">
        <f t="shared" si="0"/>
        <v>1.3650311498065026</v>
      </c>
      <c r="G83" s="14">
        <f t="shared" si="1"/>
        <v>0</v>
      </c>
      <c r="H83" s="24">
        <f t="shared" si="10"/>
        <v>442.32927749444383</v>
      </c>
      <c r="I83" s="12">
        <f t="shared" si="6"/>
        <v>0.27560926008191428</v>
      </c>
      <c r="J83" s="3"/>
    </row>
    <row r="84" spans="2:10" x14ac:dyDescent="0.25">
      <c r="B84" s="3">
        <f t="shared" si="2"/>
        <v>320</v>
      </c>
      <c r="C84" s="14">
        <f t="shared" si="3"/>
        <v>5.333333333333333</v>
      </c>
      <c r="D84" s="11">
        <f t="shared" si="4"/>
        <v>585.85176412295505</v>
      </c>
      <c r="E84" s="24">
        <f t="shared" si="5"/>
        <v>23.873542590739078</v>
      </c>
      <c r="F84" s="38">
        <f t="shared" ref="F84:F147" si="11">Cp*RhoP/(RhoA*H84)*dp/1000*MassivP</f>
        <v>1.3644389896334266</v>
      </c>
      <c r="G84" s="14">
        <f t="shared" ref="G84:G147" si="12">Phi*EpsilonF*Botzman/10^8*J84*((D84+273)^4-(E84+273)^4)</f>
        <v>0</v>
      </c>
      <c r="H84" s="24">
        <f t="shared" si="10"/>
        <v>442.52124634281859</v>
      </c>
      <c r="I84" s="12">
        <f t="shared" si="6"/>
        <v>0.2830889386503368</v>
      </c>
      <c r="J84" s="3"/>
    </row>
    <row r="85" spans="2:10" x14ac:dyDescent="0.25">
      <c r="B85" s="3">
        <f t="shared" ref="B85:B148" si="13">B84+DeltaT</f>
        <v>325</v>
      </c>
      <c r="C85" s="14">
        <f t="shared" ref="C85:C148" si="14">B85/60</f>
        <v>5.416666666666667</v>
      </c>
      <c r="D85" s="11">
        <f t="shared" ref="D85:D148" si="15">20+345*LOG(8*C85+1,10)</f>
        <v>588.12198325536099</v>
      </c>
      <c r="E85" s="24">
        <f t="shared" ref="E85:E148" si="16">E84+IF(Limit=Oui,MAX(0,I84),I84)</f>
        <v>24.156631529389415</v>
      </c>
      <c r="F85" s="38">
        <f t="shared" si="11"/>
        <v>1.3638320395728678</v>
      </c>
      <c r="G85" s="14">
        <f t="shared" si="12"/>
        <v>0</v>
      </c>
      <c r="H85" s="24">
        <f t="shared" si="10"/>
        <v>442.7181828346101</v>
      </c>
      <c r="I85" s="12">
        <f t="shared" ref="I85:I148" si="17">LambdaP*MassivP/(dp/1000)/(H85*RhoA)/(1+F85/3)*(D85-E85)*DeltaT-(EXP(F85/10)-1)*(D85-D84)</f>
        <v>0.29035526313667409</v>
      </c>
      <c r="J85" s="3"/>
    </row>
    <row r="86" spans="2:10" x14ac:dyDescent="0.25">
      <c r="B86" s="3">
        <f t="shared" si="13"/>
        <v>330</v>
      </c>
      <c r="C86" s="14">
        <f t="shared" si="14"/>
        <v>5.5</v>
      </c>
      <c r="D86" s="11">
        <f t="shared" si="15"/>
        <v>590.35831725249352</v>
      </c>
      <c r="E86" s="24">
        <f t="shared" si="16"/>
        <v>24.44698679252609</v>
      </c>
      <c r="F86" s="38">
        <f t="shared" si="11"/>
        <v>1.3632108546211499</v>
      </c>
      <c r="G86" s="14">
        <f t="shared" si="12"/>
        <v>0</v>
      </c>
      <c r="H86" s="24">
        <f t="shared" si="10"/>
        <v>442.9199196914555</v>
      </c>
      <c r="I86" s="12">
        <f t="shared" si="17"/>
        <v>0.29741682924512491</v>
      </c>
      <c r="J86" s="3"/>
    </row>
    <row r="87" spans="2:10" x14ac:dyDescent="0.25">
      <c r="B87" s="3">
        <f t="shared" si="13"/>
        <v>335</v>
      </c>
      <c r="C87" s="14">
        <f t="shared" si="14"/>
        <v>5.583333333333333</v>
      </c>
      <c r="D87" s="11">
        <f t="shared" si="15"/>
        <v>592.56176279067665</v>
      </c>
      <c r="E87" s="24">
        <f t="shared" si="16"/>
        <v>24.744403621771216</v>
      </c>
      <c r="F87" s="38">
        <f t="shared" si="11"/>
        <v>1.3625759694882067</v>
      </c>
      <c r="G87" s="14">
        <f t="shared" si="12"/>
        <v>0</v>
      </c>
      <c r="H87" s="24">
        <f t="shared" si="10"/>
        <v>443.12629590708929</v>
      </c>
      <c r="I87" s="12">
        <f t="shared" si="17"/>
        <v>0.30428175942800095</v>
      </c>
      <c r="J87" s="3"/>
    </row>
    <row r="88" spans="2:10" x14ac:dyDescent="0.25">
      <c r="B88" s="3">
        <f t="shared" si="13"/>
        <v>340</v>
      </c>
      <c r="C88" s="14">
        <f t="shared" si="14"/>
        <v>5.666666666666667</v>
      </c>
      <c r="D88" s="11">
        <f t="shared" si="15"/>
        <v>594.73327320937915</v>
      </c>
      <c r="E88" s="24">
        <f t="shared" si="16"/>
        <v>25.048685381199217</v>
      </c>
      <c r="F88" s="38">
        <f t="shared" si="11"/>
        <v>1.3619278995640123</v>
      </c>
      <c r="G88" s="14">
        <f t="shared" si="12"/>
        <v>0</v>
      </c>
      <c r="H88" s="24">
        <f t="shared" si="10"/>
        <v>443.33715642701031</v>
      </c>
      <c r="I88" s="12">
        <f t="shared" si="17"/>
        <v>0.31095773585794495</v>
      </c>
      <c r="J88" s="3"/>
    </row>
    <row r="89" spans="2:10" x14ac:dyDescent="0.25">
      <c r="B89" s="3">
        <f t="shared" si="13"/>
        <v>345</v>
      </c>
      <c r="C89" s="14">
        <f t="shared" si="14"/>
        <v>5.75</v>
      </c>
      <c r="D89" s="11">
        <f t="shared" si="15"/>
        <v>596.87376098782249</v>
      </c>
      <c r="E89" s="24">
        <f t="shared" si="16"/>
        <v>25.359643117057161</v>
      </c>
      <c r="F89" s="38">
        <f t="shared" si="11"/>
        <v>1.3612671418235884</v>
      </c>
      <c r="G89" s="14">
        <f t="shared" si="12"/>
        <v>0</v>
      </c>
      <c r="H89" s="24">
        <f t="shared" si="10"/>
        <v>443.55235184951516</v>
      </c>
      <c r="I89" s="12">
        <f t="shared" si="17"/>
        <v>0.31745203064496796</v>
      </c>
      <c r="J89" s="3"/>
    </row>
    <row r="90" spans="2:10" x14ac:dyDescent="0.25">
      <c r="B90" s="3">
        <f t="shared" si="13"/>
        <v>350</v>
      </c>
      <c r="C90" s="14">
        <f t="shared" si="14"/>
        <v>5.833333333333333</v>
      </c>
      <c r="D90" s="11">
        <f t="shared" si="15"/>
        <v>598.98410004716266</v>
      </c>
      <c r="E90" s="24">
        <f t="shared" si="16"/>
        <v>25.677095147702129</v>
      </c>
      <c r="F90" s="38">
        <f t="shared" si="11"/>
        <v>1.36059417567548</v>
      </c>
      <c r="G90" s="14">
        <f t="shared" si="12"/>
        <v>0</v>
      </c>
      <c r="H90" s="24">
        <f t="shared" si="10"/>
        <v>443.77173814635893</v>
      </c>
      <c r="I90" s="12">
        <f t="shared" si="17"/>
        <v>0.32377153356461374</v>
      </c>
      <c r="J90" s="3"/>
    </row>
    <row r="91" spans="2:10" x14ac:dyDescent="0.25">
      <c r="B91" s="3">
        <f t="shared" si="13"/>
        <v>355</v>
      </c>
      <c r="C91" s="14">
        <f t="shared" si="14"/>
        <v>5.916666666666667</v>
      </c>
      <c r="D91" s="11">
        <f t="shared" si="15"/>
        <v>601.0651278927827</v>
      </c>
      <c r="E91" s="24">
        <f t="shared" si="16"/>
        <v>26.000866681266743</v>
      </c>
      <c r="F91" s="38">
        <f t="shared" si="11"/>
        <v>1.3599094637581381</v>
      </c>
      <c r="G91" s="14">
        <f t="shared" si="12"/>
        <v>0</v>
      </c>
      <c r="H91" s="24">
        <f t="shared" si="10"/>
        <v>443.99517640146786</v>
      </c>
      <c r="I91" s="12">
        <f t="shared" si="17"/>
        <v>0.32992277753511096</v>
      </c>
      <c r="J91" s="3"/>
    </row>
    <row r="92" spans="2:10" x14ac:dyDescent="0.25">
      <c r="B92" s="3">
        <f t="shared" si="13"/>
        <v>360</v>
      </c>
      <c r="C92" s="14">
        <f t="shared" si="14"/>
        <v>6</v>
      </c>
      <c r="D92" s="11">
        <f t="shared" si="15"/>
        <v>603.11764760983715</v>
      </c>
      <c r="E92" s="24">
        <f t="shared" si="16"/>
        <v>26.330789458801853</v>
      </c>
      <c r="F92" s="38">
        <f t="shared" si="11"/>
        <v>1.3592134526882287</v>
      </c>
      <c r="G92" s="14">
        <f t="shared" si="12"/>
        <v>0</v>
      </c>
      <c r="H92" s="24">
        <f t="shared" si="10"/>
        <v>444.22253256627829</v>
      </c>
      <c r="I92" s="12">
        <f t="shared" si="17"/>
        <v>0.33591196205567742</v>
      </c>
      <c r="J92" s="3"/>
    </row>
    <row r="93" spans="2:10" x14ac:dyDescent="0.25">
      <c r="B93" s="3">
        <f t="shared" si="13"/>
        <v>365</v>
      </c>
      <c r="C93" s="14">
        <f t="shared" si="14"/>
        <v>6.083333333333333</v>
      </c>
      <c r="D93" s="11">
        <f t="shared" si="15"/>
        <v>605.14242972395095</v>
      </c>
      <c r="E93" s="24">
        <f t="shared" si="16"/>
        <v>26.666701420857532</v>
      </c>
      <c r="F93" s="38">
        <f t="shared" si="11"/>
        <v>1.358506573764519</v>
      </c>
      <c r="G93" s="14">
        <f t="shared" si="12"/>
        <v>0</v>
      </c>
      <c r="H93" s="24">
        <f t="shared" si="10"/>
        <v>444.45367723040584</v>
      </c>
      <c r="I93" s="12">
        <f t="shared" si="17"/>
        <v>0.34174497479449656</v>
      </c>
      <c r="J93" s="3"/>
    </row>
    <row r="94" spans="2:10" x14ac:dyDescent="0.25">
      <c r="B94" s="3">
        <f t="shared" si="13"/>
        <v>370</v>
      </c>
      <c r="C94" s="14">
        <f t="shared" si="14"/>
        <v>6.166666666666667</v>
      </c>
      <c r="D94" s="11">
        <f t="shared" si="15"/>
        <v>607.14021393785993</v>
      </c>
      <c r="E94" s="24">
        <f t="shared" si="16"/>
        <v>27.00844639565203</v>
      </c>
      <c r="F94" s="38">
        <f t="shared" si="11"/>
        <v>1.3577892436306789</v>
      </c>
      <c r="G94" s="14">
        <f t="shared" si="12"/>
        <v>0</v>
      </c>
      <c r="H94" s="24">
        <f t="shared" si="10"/>
        <v>444.68848540646786</v>
      </c>
      <c r="I94" s="12">
        <f t="shared" si="17"/>
        <v>0.34742741149650519</v>
      </c>
      <c r="J94" s="3"/>
    </row>
    <row r="95" spans="2:10" x14ac:dyDescent="0.25">
      <c r="B95" s="3">
        <f t="shared" si="13"/>
        <v>375</v>
      </c>
      <c r="C95" s="14">
        <f t="shared" si="14"/>
        <v>6.25</v>
      </c>
      <c r="D95" s="11">
        <f t="shared" si="15"/>
        <v>609.11171075378797</v>
      </c>
      <c r="E95" s="24">
        <f t="shared" si="16"/>
        <v>27.355873807148534</v>
      </c>
      <c r="F95" s="38">
        <f t="shared" si="11"/>
        <v>1.3570618649000048</v>
      </c>
      <c r="G95" s="14">
        <f t="shared" si="12"/>
        <v>0</v>
      </c>
      <c r="H95" s="24">
        <f t="shared" si="10"/>
        <v>444.92683632798912</v>
      </c>
      <c r="I95" s="12">
        <f t="shared" si="17"/>
        <v>0.35296459436248978</v>
      </c>
      <c r="J95" s="3"/>
    </row>
    <row r="96" spans="2:10" x14ac:dyDescent="0.25">
      <c r="B96" s="3">
        <f t="shared" si="13"/>
        <v>380</v>
      </c>
      <c r="C96" s="14">
        <f t="shared" si="14"/>
        <v>6.333333333333333</v>
      </c>
      <c r="D96" s="11">
        <f t="shared" si="15"/>
        <v>611.05760299046688</v>
      </c>
      <c r="E96" s="24">
        <f t="shared" si="16"/>
        <v>27.708838401511024</v>
      </c>
      <c r="F96" s="38">
        <f t="shared" si="11"/>
        <v>1.3563248267448553</v>
      </c>
      <c r="G96" s="14">
        <f t="shared" si="12"/>
        <v>0</v>
      </c>
      <c r="H96" s="24">
        <f t="shared" si="10"/>
        <v>445.1686132594125</v>
      </c>
      <c r="I96" s="12">
        <f t="shared" si="17"/>
        <v>0.3583615890356181</v>
      </c>
      <c r="J96" s="3"/>
    </row>
    <row r="97" spans="2:10" x14ac:dyDescent="0.25">
      <c r="B97" s="3">
        <f t="shared" si="13"/>
        <v>385</v>
      </c>
      <c r="C97" s="14">
        <f t="shared" si="14"/>
        <v>6.416666666666667</v>
      </c>
      <c r="D97" s="11">
        <f t="shared" si="15"/>
        <v>612.97854720290206</v>
      </c>
      <c r="E97" s="24">
        <f t="shared" si="16"/>
        <v>28.067199990546641</v>
      </c>
      <c r="F97" s="38">
        <f t="shared" si="11"/>
        <v>1.3555785054533005</v>
      </c>
      <c r="G97" s="14">
        <f t="shared" si="12"/>
        <v>0</v>
      </c>
      <c r="H97" s="24">
        <f t="shared" si="10"/>
        <v>445.41370331732571</v>
      </c>
      <c r="I97" s="12">
        <f t="shared" si="17"/>
        <v>0.36362322031834743</v>
      </c>
      <c r="J97" s="3"/>
    </row>
    <row r="98" spans="2:10" x14ac:dyDescent="0.25">
      <c r="B98" s="3">
        <f t="shared" si="13"/>
        <v>390</v>
      </c>
      <c r="C98" s="14">
        <f t="shared" si="14"/>
        <v>6.5</v>
      </c>
      <c r="D98" s="11">
        <f t="shared" si="15"/>
        <v>614.87517501227217</v>
      </c>
      <c r="E98" s="24">
        <f t="shared" si="16"/>
        <v>28.43082321086499</v>
      </c>
      <c r="F98" s="38">
        <f t="shared" si="11"/>
        <v>1.3548232649553091</v>
      </c>
      <c r="G98" s="14">
        <f t="shared" si="12"/>
        <v>0</v>
      </c>
      <c r="H98" s="24">
        <f t="shared" si="10"/>
        <v>445.66199730208876</v>
      </c>
      <c r="I98" s="12">
        <f t="shared" si="17"/>
        <v>0.36875408672964088</v>
      </c>
      <c r="J98" s="3"/>
    </row>
    <row r="99" spans="2:10" x14ac:dyDescent="0.25">
      <c r="B99" s="3">
        <f t="shared" si="13"/>
        <v>395</v>
      </c>
      <c r="C99" s="14">
        <f t="shared" si="14"/>
        <v>6.583333333333333</v>
      </c>
      <c r="D99" s="11">
        <f t="shared" si="15"/>
        <v>616.74809435270447</v>
      </c>
      <c r="E99" s="24">
        <f t="shared" si="16"/>
        <v>28.799577297594631</v>
      </c>
      <c r="F99" s="38">
        <f t="shared" si="11"/>
        <v>1.3540594573205833</v>
      </c>
      <c r="G99" s="14">
        <f t="shared" si="12"/>
        <v>0</v>
      </c>
      <c r="H99" s="24">
        <f t="shared" si="10"/>
        <v>445.9133895391181</v>
      </c>
      <c r="I99" s="12">
        <f t="shared" si="17"/>
        <v>0.37375857400176971</v>
      </c>
      <c r="J99" s="3"/>
    </row>
    <row r="100" spans="2:10" x14ac:dyDescent="0.25">
      <c r="B100" s="3">
        <f t="shared" si="13"/>
        <v>400</v>
      </c>
      <c r="C100" s="14">
        <f t="shared" si="14"/>
        <v>6.666666666666667</v>
      </c>
      <c r="D100" s="11">
        <f t="shared" si="15"/>
        <v>618.5978906410819</v>
      </c>
      <c r="E100" s="24">
        <f t="shared" si="16"/>
        <v>29.1733358715964</v>
      </c>
      <c r="F100" s="38">
        <f t="shared" si="11"/>
        <v>1.3532874232299796</v>
      </c>
      <c r="G100" s="14">
        <f t="shared" si="12"/>
        <v>0</v>
      </c>
      <c r="H100" s="24">
        <f t="shared" si="10"/>
        <v>446.16777772914446</v>
      </c>
      <c r="I100" s="12">
        <f t="shared" si="17"/>
        <v>0.37864086760705212</v>
      </c>
      <c r="J100" s="3"/>
    </row>
    <row r="101" spans="2:10" x14ac:dyDescent="0.25">
      <c r="B101" s="3">
        <f t="shared" si="13"/>
        <v>405</v>
      </c>
      <c r="C101" s="14">
        <f t="shared" si="14"/>
        <v>6.75</v>
      </c>
      <c r="D101" s="11">
        <f t="shared" si="15"/>
        <v>620.42512787551414</v>
      </c>
      <c r="E101" s="24">
        <f t="shared" si="16"/>
        <v>29.551976739203454</v>
      </c>
      <c r="F101" s="38">
        <f t="shared" si="11"/>
        <v>1.3525074924222984</v>
      </c>
      <c r="G101" s="14">
        <f t="shared" si="12"/>
        <v>0</v>
      </c>
      <c r="H101" s="24">
        <f t="shared" si="10"/>
        <v>446.42506280682068</v>
      </c>
      <c r="I101" s="12">
        <f t="shared" si="17"/>
        <v>0.38340496439524746</v>
      </c>
      <c r="J101" s="3"/>
    </row>
    <row r="102" spans="2:10" x14ac:dyDescent="0.25">
      <c r="B102" s="3">
        <f t="shared" si="13"/>
        <v>410</v>
      </c>
      <c r="C102" s="14">
        <f t="shared" si="14"/>
        <v>6.833333333333333</v>
      </c>
      <c r="D102" s="11">
        <f t="shared" si="15"/>
        <v>622.23034966763259</v>
      </c>
      <c r="E102" s="24">
        <f t="shared" si="16"/>
        <v>29.935381703598701</v>
      </c>
      <c r="F102" s="38">
        <f t="shared" si="11"/>
        <v>1.3517199841180816</v>
      </c>
      <c r="G102" s="14">
        <f t="shared" si="12"/>
        <v>0</v>
      </c>
      <c r="H102" s="24">
        <f t="shared" si="10"/>
        <v>446.68514880710308</v>
      </c>
      <c r="I102" s="12">
        <f t="shared" si="17"/>
        <v>0.38805468341472238</v>
      </c>
      <c r="J102" s="3"/>
    </row>
    <row r="103" spans="2:10" x14ac:dyDescent="0.25">
      <c r="B103" s="3">
        <f t="shared" si="13"/>
        <v>415</v>
      </c>
      <c r="C103" s="14">
        <f t="shared" si="14"/>
        <v>6.916666666666667</v>
      </c>
      <c r="D103" s="11">
        <f t="shared" si="15"/>
        <v>624.01408021343377</v>
      </c>
      <c r="E103" s="24">
        <f t="shared" si="16"/>
        <v>30.323436387013423</v>
      </c>
      <c r="F103" s="38">
        <f t="shared" si="11"/>
        <v>1.3509252074219165</v>
      </c>
      <c r="G103" s="14">
        <f t="shared" si="12"/>
        <v>0</v>
      </c>
      <c r="H103" s="24">
        <f t="shared" si="10"/>
        <v>446.94794273887987</v>
      </c>
      <c r="I103" s="12">
        <f t="shared" si="17"/>
        <v>0.39259367598475003</v>
      </c>
      <c r="J103" s="3"/>
    </row>
    <row r="104" spans="2:10" x14ac:dyDescent="0.25">
      <c r="B104" s="3">
        <f t="shared" si="13"/>
        <v>420</v>
      </c>
      <c r="C104" s="14">
        <f t="shared" si="14"/>
        <v>7</v>
      </c>
      <c r="D104" s="11">
        <f t="shared" si="15"/>
        <v>625.77682520700944</v>
      </c>
      <c r="E104" s="24">
        <f t="shared" si="16"/>
        <v>30.716030062998172</v>
      </c>
      <c r="F104" s="38">
        <f t="shared" si="11"/>
        <v>1.3501234617046467</v>
      </c>
      <c r="G104" s="14">
        <f t="shared" si="12"/>
        <v>0</v>
      </c>
      <c r="H104" s="24">
        <f t="shared" si="10"/>
        <v>447.21335446536085</v>
      </c>
      <c r="I104" s="12">
        <f t="shared" si="17"/>
        <v>0.39702543507880333</v>
      </c>
      <c r="J104" s="3"/>
    </row>
    <row r="105" spans="2:10" x14ac:dyDescent="0.25">
      <c r="B105" s="3">
        <f t="shared" si="13"/>
        <v>425</v>
      </c>
      <c r="C105" s="14">
        <f t="shared" si="14"/>
        <v>7.083333333333333</v>
      </c>
      <c r="D105" s="11">
        <f t="shared" si="15"/>
        <v>627.51907270115089</v>
      </c>
      <c r="E105" s="24">
        <f t="shared" si="16"/>
        <v>31.113055498076974</v>
      </c>
      <c r="F105" s="38">
        <f t="shared" si="11"/>
        <v>1.3493150369667535</v>
      </c>
      <c r="G105" s="14">
        <f t="shared" si="12"/>
        <v>0</v>
      </c>
      <c r="H105" s="24">
        <f t="shared" si="10"/>
        <v>447.48129659078086</v>
      </c>
      <c r="I105" s="12">
        <f t="shared" si="17"/>
        <v>0.40135330407347852</v>
      </c>
      <c r="J105" s="3"/>
    </row>
    <row r="106" spans="2:10" x14ac:dyDescent="0.25">
      <c r="B106" s="3">
        <f t="shared" si="13"/>
        <v>430</v>
      </c>
      <c r="C106" s="14">
        <f t="shared" si="14"/>
        <v>7.166666666666667</v>
      </c>
      <c r="D106" s="11">
        <f t="shared" si="15"/>
        <v>629.24129391848794</v>
      </c>
      <c r="E106" s="24">
        <f t="shared" si="16"/>
        <v>31.514408802150452</v>
      </c>
      <c r="F106" s="38">
        <f t="shared" si="11"/>
        <v>1.3485002141841052</v>
      </c>
      <c r="G106" s="14">
        <f t="shared" si="12"/>
        <v>0</v>
      </c>
      <c r="H106" s="24">
        <f t="shared" si="10"/>
        <v>447.75168435300429</v>
      </c>
      <c r="I106" s="12">
        <f t="shared" si="17"/>
        <v>0.40558048491376497</v>
      </c>
      <c r="J106" s="3"/>
    </row>
    <row r="107" spans="2:10" x14ac:dyDescent="0.25">
      <c r="B107" s="3">
        <f t="shared" si="13"/>
        <v>435</v>
      </c>
      <c r="C107" s="14">
        <f t="shared" si="14"/>
        <v>7.25</v>
      </c>
      <c r="D107" s="11">
        <f t="shared" si="15"/>
        <v>630.94394401653972</v>
      </c>
      <c r="E107" s="24">
        <f t="shared" si="16"/>
        <v>31.919989287064219</v>
      </c>
      <c r="F107" s="38">
        <f t="shared" si="11"/>
        <v>1.3476792656371579</v>
      </c>
      <c r="G107" s="14">
        <f t="shared" si="12"/>
        <v>0</v>
      </c>
      <c r="H107" s="24">
        <f t="shared" si="10"/>
        <v>448.0244355216505</v>
      </c>
      <c r="I107" s="12">
        <f t="shared" si="17"/>
        <v>0.4097100457389759</v>
      </c>
      <c r="J107" s="3"/>
    </row>
    <row r="108" spans="2:10" x14ac:dyDescent="0.25">
      <c r="B108" s="3">
        <f t="shared" si="13"/>
        <v>440</v>
      </c>
      <c r="C108" s="14">
        <f t="shared" si="14"/>
        <v>7.333333333333333</v>
      </c>
      <c r="D108" s="11">
        <f t="shared" si="15"/>
        <v>632.62746280977956</v>
      </c>
      <c r="E108" s="24">
        <f t="shared" si="16"/>
        <v>32.329699332803195</v>
      </c>
      <c r="F108" s="38">
        <f t="shared" si="11"/>
        <v>1.3468524552246179</v>
      </c>
      <c r="G108" s="14">
        <f t="shared" si="12"/>
        <v>0</v>
      </c>
      <c r="H108" s="24">
        <f t="shared" si="10"/>
        <v>448.299470301388</v>
      </c>
      <c r="I108" s="12">
        <f t="shared" si="17"/>
        <v>0.41374492801211793</v>
      </c>
      <c r="J108" s="3"/>
    </row>
    <row r="109" spans="2:10" x14ac:dyDescent="0.25">
      <c r="B109" s="3">
        <f t="shared" si="13"/>
        <v>445</v>
      </c>
      <c r="C109" s="14">
        <f t="shared" si="14"/>
        <v>7.416666666666667</v>
      </c>
      <c r="D109" s="11">
        <f t="shared" si="15"/>
        <v>634.29227545158506</v>
      </c>
      <c r="E109" s="24">
        <f t="shared" si="16"/>
        <v>32.743444260815309</v>
      </c>
      <c r="F109" s="38">
        <f t="shared" si="11"/>
        <v>1.346020038762507</v>
      </c>
      <c r="G109" s="14">
        <f t="shared" si="12"/>
        <v>0</v>
      </c>
      <c r="H109" s="24">
        <f t="shared" ref="H109:H116" si="18">IF(E109&lt;600,425+0.773*E109-1.69/1000*E109^2+2.22/1000^2*E109^3,IF(E109&lt;735,666+13002/(738-E109),IF(E109&lt;900,545+17820/(E109-731),650)))</f>
        <v>448.57671124007237</v>
      </c>
      <c r="I109" s="12">
        <f t="shared" si="17"/>
        <v>0.41768795318900043</v>
      </c>
      <c r="J109" s="3"/>
    </row>
    <row r="110" spans="2:10" x14ac:dyDescent="0.25">
      <c r="B110" s="3">
        <f t="shared" si="13"/>
        <v>450</v>
      </c>
      <c r="C110" s="14">
        <f t="shared" si="14"/>
        <v>7.5</v>
      </c>
      <c r="D110" s="11">
        <f t="shared" si="15"/>
        <v>635.93879307871464</v>
      </c>
      <c r="E110" s="24">
        <f t="shared" si="16"/>
        <v>33.161132214004311</v>
      </c>
      <c r="F110" s="38">
        <f t="shared" si="11"/>
        <v>1.3451822642694926</v>
      </c>
      <c r="G110" s="14">
        <f t="shared" si="12"/>
        <v>0</v>
      </c>
      <c r="H110" s="24">
        <f t="shared" si="18"/>
        <v>448.85608314142678</v>
      </c>
      <c r="I110" s="12">
        <f t="shared" si="17"/>
        <v>0.42154182896293368</v>
      </c>
      <c r="J110" s="3"/>
    </row>
    <row r="111" spans="2:10" x14ac:dyDescent="0.25">
      <c r="B111" s="3">
        <f t="shared" si="13"/>
        <v>455</v>
      </c>
      <c r="C111" s="14">
        <f t="shared" si="14"/>
        <v>7.583333333333333</v>
      </c>
      <c r="D111" s="11">
        <f t="shared" si="15"/>
        <v>637.56741342075622</v>
      </c>
      <c r="E111" s="24">
        <f t="shared" si="16"/>
        <v>33.582674042967248</v>
      </c>
      <c r="F111" s="38">
        <f t="shared" si="11"/>
        <v>1.3443393722392938</v>
      </c>
      <c r="G111" s="14">
        <f t="shared" si="12"/>
        <v>0</v>
      </c>
      <c r="H111" s="24">
        <f t="shared" si="18"/>
        <v>449.13751298198554</v>
      </c>
      <c r="I111" s="12">
        <f t="shared" si="17"/>
        <v>0.42530915511582679</v>
      </c>
      <c r="J111" s="3"/>
    </row>
    <row r="112" spans="2:10" x14ac:dyDescent="0.25">
      <c r="B112" s="3">
        <f t="shared" si="13"/>
        <v>460</v>
      </c>
      <c r="C112" s="14">
        <f t="shared" si="14"/>
        <v>7.666666666666667</v>
      </c>
      <c r="D112" s="11">
        <f t="shared" si="15"/>
        <v>639.17852137680859</v>
      </c>
      <c r="E112" s="24">
        <f t="shared" si="16"/>
        <v>34.007983198083075</v>
      </c>
      <c r="F112" s="38">
        <f t="shared" si="11"/>
        <v>1.3434915959009035</v>
      </c>
      <c r="G112" s="14">
        <f t="shared" si="12"/>
        <v>0</v>
      </c>
      <c r="H112" s="24">
        <f t="shared" si="18"/>
        <v>449.42092983204356</v>
      </c>
      <c r="I112" s="12">
        <f t="shared" si="17"/>
        <v>0.42899242900472351</v>
      </c>
      <c r="J112" s="3"/>
    </row>
    <row r="113" spans="2:10" x14ac:dyDescent="0.25">
      <c r="B113" s="3">
        <f t="shared" si="13"/>
        <v>465</v>
      </c>
      <c r="C113" s="14">
        <f t="shared" si="14"/>
        <v>7.75</v>
      </c>
      <c r="D113" s="11">
        <f t="shared" si="15"/>
        <v>640.7724895614856</v>
      </c>
      <c r="E113" s="24">
        <f t="shared" si="16"/>
        <v>34.436975627087797</v>
      </c>
      <c r="F113" s="38">
        <f t="shared" si="11"/>
        <v>1.3426391614673288</v>
      </c>
      <c r="G113" s="14">
        <f t="shared" si="12"/>
        <v>0</v>
      </c>
      <c r="H113" s="24">
        <f t="shared" si="18"/>
        <v>449.70626478036968</v>
      </c>
      <c r="I113" s="12">
        <f t="shared" si="17"/>
        <v>0.4325940507105876</v>
      </c>
      <c r="J113" s="3"/>
    </row>
    <row r="114" spans="2:10" x14ac:dyDescent="0.25">
      <c r="B114" s="3">
        <f t="shared" si="13"/>
        <v>470</v>
      </c>
      <c r="C114" s="14">
        <f t="shared" si="14"/>
        <v>7.833333333333333</v>
      </c>
      <c r="D114" s="11">
        <f t="shared" si="15"/>
        <v>642.34967882218234</v>
      </c>
      <c r="E114" s="24">
        <f t="shared" si="16"/>
        <v>34.869569677798381</v>
      </c>
      <c r="F114" s="38">
        <f t="shared" si="11"/>
        <v>1.3417822883734958</v>
      </c>
      <c r="G114" s="14">
        <f t="shared" si="12"/>
        <v>0</v>
      </c>
      <c r="H114" s="24">
        <f t="shared" si="18"/>
        <v>449.99345086246177</v>
      </c>
      <c r="I114" s="12">
        <f t="shared" si="17"/>
        <v>0.43611632787320981</v>
      </c>
      <c r="J114" s="3"/>
    </row>
    <row r="115" spans="2:10" x14ac:dyDescent="0.25">
      <c r="B115" s="3">
        <f t="shared" si="13"/>
        <v>475</v>
      </c>
      <c r="C115" s="14">
        <f t="shared" si="14"/>
        <v>7.916666666666667</v>
      </c>
      <c r="D115" s="11">
        <f t="shared" si="15"/>
        <v>643.91043872939827</v>
      </c>
      <c r="E115" s="24">
        <f t="shared" si="16"/>
        <v>35.305686005671589</v>
      </c>
      <c r="F115" s="38">
        <f t="shared" si="11"/>
        <v>1.340921189503915</v>
      </c>
      <c r="G115" s="14">
        <f t="shared" si="12"/>
        <v>0</v>
      </c>
      <c r="H115" s="24">
        <f t="shared" si="18"/>
        <v>450.28242299213611</v>
      </c>
      <c r="I115" s="12">
        <f t="shared" si="17"/>
        <v>0.43956148023492569</v>
      </c>
      <c r="J115" s="3"/>
    </row>
    <row r="116" spans="2:10" x14ac:dyDescent="0.25">
      <c r="B116" s="3">
        <f t="shared" si="13"/>
        <v>480</v>
      </c>
      <c r="C116" s="14">
        <f t="shared" si="14"/>
        <v>8</v>
      </c>
      <c r="D116" s="11">
        <f t="shared" si="15"/>
        <v>645.45510804178502</v>
      </c>
      <c r="E116" s="24">
        <f t="shared" si="16"/>
        <v>35.745247485906518</v>
      </c>
      <c r="F116" s="38">
        <f t="shared" si="11"/>
        <v>1.340056071410678</v>
      </c>
      <c r="G116" s="14">
        <f t="shared" si="12"/>
        <v>0</v>
      </c>
      <c r="H116" s="24">
        <f t="shared" si="18"/>
        <v>450.57311789625828</v>
      </c>
      <c r="I116" s="12">
        <f t="shared" si="17"/>
        <v>0.44293164391333406</v>
      </c>
      <c r="J116" s="3"/>
    </row>
    <row r="117" spans="2:10" x14ac:dyDescent="0.25">
      <c r="B117" s="3">
        <f t="shared" si="13"/>
        <v>485</v>
      </c>
      <c r="C117" s="14">
        <f t="shared" si="14"/>
        <v>8.0833333333333339</v>
      </c>
      <c r="D117" s="11">
        <f t="shared" si="15"/>
        <v>646.98401514746593</v>
      </c>
      <c r="E117" s="24">
        <f t="shared" si="16"/>
        <v>36.188179129819851</v>
      </c>
      <c r="F117" s="38">
        <f t="shared" si="11"/>
        <v>1.3391871345223032</v>
      </c>
      <c r="G117" s="14">
        <f t="shared" si="12"/>
        <v>0</v>
      </c>
      <c r="H117" s="24">
        <f t="shared" ref="H117:H180" si="19">IF(E117&lt;600,425+0.773*E117-1.69/1000*E117^2+2.22/1000^2*E117^3,IF(E117&lt;735,666+13002/(738-E117),IF(E117&lt;900,545+17820/(E117-731),650)))</f>
        <v>450.86547405243482</v>
      </c>
      <c r="I117" s="12">
        <f t="shared" si="17"/>
        <v>0.44622887542213452</v>
      </c>
      <c r="J117" s="3"/>
    </row>
    <row r="118" spans="2:10" x14ac:dyDescent="0.25">
      <c r="B118" s="3">
        <f t="shared" si="13"/>
        <v>490</v>
      </c>
      <c r="C118" s="14">
        <f t="shared" si="14"/>
        <v>8.1666666666666661</v>
      </c>
      <c r="D118" s="11">
        <f t="shared" si="15"/>
        <v>648.49747848306515</v>
      </c>
      <c r="E118" s="24">
        <f t="shared" si="16"/>
        <v>36.634408005241987</v>
      </c>
      <c r="F118" s="38">
        <f t="shared" si="11"/>
        <v>1.3383145733439243</v>
      </c>
      <c r="G118" s="14">
        <f t="shared" si="12"/>
        <v>0</v>
      </c>
      <c r="H118" s="24">
        <f t="shared" si="19"/>
        <v>451.15943162949884</v>
      </c>
      <c r="I118" s="12">
        <f t="shared" si="17"/>
        <v>0.44945515545734299</v>
      </c>
      <c r="J118" s="3"/>
    </row>
    <row r="119" spans="2:10" x14ac:dyDescent="0.25">
      <c r="B119" s="3">
        <f t="shared" si="13"/>
        <v>495</v>
      </c>
      <c r="C119" s="14">
        <f t="shared" si="14"/>
        <v>8.25</v>
      </c>
      <c r="D119" s="11">
        <f t="shared" si="15"/>
        <v>649.99580693178507</v>
      </c>
      <c r="E119" s="24">
        <f t="shared" si="16"/>
        <v>37.08386316069933</v>
      </c>
      <c r="F119" s="38">
        <f t="shared" si="11"/>
        <v>1.3374385766492713</v>
      </c>
      <c r="G119" s="14">
        <f t="shared" si="12"/>
        <v>0</v>
      </c>
      <c r="H119" s="24">
        <f t="shared" si="19"/>
        <v>451.45493243063402</v>
      </c>
      <c r="I119" s="12">
        <f t="shared" si="17"/>
        <v>0.45261239246478224</v>
      </c>
      <c r="J119" s="3"/>
    </row>
    <row r="120" spans="2:10" x14ac:dyDescent="0.25">
      <c r="B120" s="3">
        <f t="shared" si="13"/>
        <v>500</v>
      </c>
      <c r="C120" s="14">
        <f t="shared" si="14"/>
        <v>8.3333333333333339</v>
      </c>
      <c r="D120" s="11">
        <f t="shared" si="15"/>
        <v>651.47930020177489</v>
      </c>
      <c r="E120" s="24">
        <f t="shared" si="16"/>
        <v>37.536475553164109</v>
      </c>
      <c r="F120" s="38">
        <f t="shared" si="11"/>
        <v>1.3365593276648851</v>
      </c>
      <c r="G120" s="14">
        <f t="shared" si="12"/>
        <v>0</v>
      </c>
      <c r="H120" s="24">
        <f t="shared" si="19"/>
        <v>451.75191983898907</v>
      </c>
      <c r="I120" s="12">
        <f t="shared" si="17"/>
        <v>0.45570242600393307</v>
      </c>
      <c r="J120" s="3"/>
    </row>
    <row r="121" spans="2:10" x14ac:dyDescent="0.25">
      <c r="B121" s="3">
        <f t="shared" si="13"/>
        <v>505</v>
      </c>
      <c r="C121" s="14">
        <f t="shared" si="14"/>
        <v>8.4166666666666661</v>
      </c>
      <c r="D121" s="11">
        <f t="shared" si="15"/>
        <v>652.94824918595157</v>
      </c>
      <c r="E121" s="24">
        <f t="shared" si="16"/>
        <v>37.992177979168041</v>
      </c>
      <c r="F121" s="38">
        <f t="shared" si="11"/>
        <v>1.3356770042469515</v>
      </c>
      <c r="G121" s="14">
        <f t="shared" si="12"/>
        <v>0</v>
      </c>
      <c r="H121" s="24">
        <f t="shared" si="19"/>
        <v>452.05033876564778</v>
      </c>
      <c r="I121" s="12">
        <f t="shared" si="17"/>
        <v>0.45872702992134845</v>
      </c>
      <c r="J121" s="3"/>
    </row>
    <row r="122" spans="2:10" x14ac:dyDescent="0.25">
      <c r="B122" s="3">
        <f t="shared" si="13"/>
        <v>510</v>
      </c>
      <c r="C122" s="14">
        <f t="shared" si="14"/>
        <v>8.5</v>
      </c>
      <c r="D122" s="11">
        <f t="shared" si="15"/>
        <v>654.40293630435303</v>
      </c>
      <c r="E122" s="24">
        <f t="shared" si="16"/>
        <v>38.450905009089389</v>
      </c>
      <c r="F122" s="38">
        <f t="shared" si="11"/>
        <v>1.3347917790511437</v>
      </c>
      <c r="G122" s="14">
        <f t="shared" si="12"/>
        <v>0</v>
      </c>
      <c r="H122" s="24">
        <f t="shared" si="19"/>
        <v>452.35013559982775</v>
      </c>
      <c r="I122" s="12">
        <f t="shared" si="17"/>
        <v>0.46168791534648412</v>
      </c>
      <c r="J122" s="3"/>
    </row>
    <row r="123" spans="2:10" x14ac:dyDescent="0.25">
      <c r="B123" s="3">
        <f t="shared" si="13"/>
        <v>515</v>
      </c>
      <c r="C123" s="14">
        <f t="shared" si="14"/>
        <v>8.5833333333333339</v>
      </c>
      <c r="D123" s="11">
        <f t="shared" si="15"/>
        <v>655.84363583003005</v>
      </c>
      <c r="E123" s="24">
        <f t="shared" si="16"/>
        <v>38.91259292443587</v>
      </c>
      <c r="F123" s="38">
        <f t="shared" si="11"/>
        <v>1.3339038196958071</v>
      </c>
      <c r="G123" s="14">
        <f t="shared" si="12"/>
        <v>0</v>
      </c>
      <c r="H123" s="24">
        <f t="shared" si="19"/>
        <v>452.65125816118695</v>
      </c>
      <c r="I123" s="12">
        <f t="shared" si="17"/>
        <v>0.46458673352175844</v>
      </c>
      <c r="J123" s="3"/>
    </row>
    <row r="124" spans="2:10" x14ac:dyDescent="0.25">
      <c r="B124" s="3">
        <f t="shared" si="13"/>
        <v>520</v>
      </c>
      <c r="C124" s="14">
        <f t="shared" si="14"/>
        <v>8.6666666666666661</v>
      </c>
      <c r="D124" s="11">
        <f t="shared" si="15"/>
        <v>657.27061419942038</v>
      </c>
      <c r="E124" s="24">
        <f t="shared" si="16"/>
        <v>39.377179657957626</v>
      </c>
      <c r="F124" s="38">
        <f t="shared" si="11"/>
        <v>1.3330132889188411</v>
      </c>
      <c r="G124" s="14">
        <f t="shared" si="12"/>
        <v>0</v>
      </c>
      <c r="H124" s="24">
        <f t="shared" si="19"/>
        <v>452.95365565412709</v>
      </c>
      <c r="I124" s="12">
        <f t="shared" si="17"/>
        <v>0.46742507847693571</v>
      </c>
      <c r="J124" s="3"/>
    </row>
    <row r="125" spans="2:10" x14ac:dyDescent="0.25">
      <c r="B125" s="3">
        <f t="shared" si="13"/>
        <v>525</v>
      </c>
      <c r="C125" s="14">
        <f t="shared" si="14"/>
        <v>8.75</v>
      </c>
      <c r="D125" s="11">
        <f t="shared" si="15"/>
        <v>658.68413030808085</v>
      </c>
      <c r="E125" s="24">
        <f t="shared" si="16"/>
        <v>39.844604736434562</v>
      </c>
      <c r="F125" s="38">
        <f t="shared" si="11"/>
        <v>1.3321203447285621</v>
      </c>
      <c r="G125" s="14">
        <f t="shared" si="12"/>
        <v>0</v>
      </c>
      <c r="H125" s="24">
        <f t="shared" si="19"/>
        <v>453.25727862399049</v>
      </c>
      <c r="I125" s="12">
        <f t="shared" si="17"/>
        <v>0.47020448955866589</v>
      </c>
      <c r="J125" s="3"/>
    </row>
    <row r="126" spans="2:10" x14ac:dyDescent="0.25">
      <c r="B126" s="3">
        <f t="shared" si="13"/>
        <v>530</v>
      </c>
      <c r="C126" s="14">
        <f t="shared" si="14"/>
        <v>8.8333333333333339</v>
      </c>
      <c r="D126" s="11">
        <f t="shared" si="15"/>
        <v>660.08443579260029</v>
      </c>
      <c r="E126" s="24">
        <f t="shared" si="16"/>
        <v>40.31480922599323</v>
      </c>
      <c r="F126" s="38">
        <f t="shared" si="11"/>
        <v>1.3312251405488589</v>
      </c>
      <c r="G126" s="14">
        <f t="shared" si="12"/>
        <v>0</v>
      </c>
      <c r="H126" s="24">
        <f t="shared" si="19"/>
        <v>453.56207891504999</v>
      </c>
      <c r="I126" s="12">
        <f t="shared" si="17"/>
        <v>0.47292645382374016</v>
      </c>
      <c r="J126" s="3"/>
    </row>
    <row r="127" spans="2:10" x14ac:dyDescent="0.25">
      <c r="B127" s="3">
        <f t="shared" si="13"/>
        <v>535</v>
      </c>
      <c r="C127" s="14">
        <f t="shared" si="14"/>
        <v>8.9166666666666661</v>
      </c>
      <c r="D127" s="11">
        <f t="shared" si="15"/>
        <v>661.47177529945907</v>
      </c>
      <c r="E127" s="24">
        <f t="shared" si="16"/>
        <v>40.787735679816969</v>
      </c>
      <c r="F127" s="38">
        <f t="shared" si="11"/>
        <v>1.3303278253589015</v>
      </c>
      <c r="G127" s="14">
        <f t="shared" si="12"/>
        <v>0</v>
      </c>
      <c r="H127" s="24">
        <f t="shared" si="19"/>
        <v>453.86800963020249</v>
      </c>
      <c r="I127" s="12">
        <f t="shared" si="17"/>
        <v>0.47559240830516925</v>
      </c>
      <c r="J127" s="3"/>
    </row>
    <row r="128" spans="2:10" x14ac:dyDescent="0.25">
      <c r="B128" s="3">
        <f t="shared" si="13"/>
        <v>540</v>
      </c>
      <c r="C128" s="14">
        <f t="shared" si="14"/>
        <v>9</v>
      </c>
      <c r="D128" s="11">
        <f t="shared" si="15"/>
        <v>662.84638674155724</v>
      </c>
      <c r="E128" s="24">
        <f t="shared" si="16"/>
        <v>41.263328088122137</v>
      </c>
      <c r="F128" s="38">
        <f t="shared" si="11"/>
        <v>1.3294285438276665</v>
      </c>
      <c r="G128" s="14">
        <f t="shared" si="12"/>
        <v>0</v>
      </c>
      <c r="H128" s="24">
        <f t="shared" si="19"/>
        <v>454.17502509227734</v>
      </c>
      <c r="I128" s="12">
        <f t="shared" si="17"/>
        <v>0.47820374215830153</v>
      </c>
      <c r="J128" s="3"/>
    </row>
    <row r="129" spans="2:10" x14ac:dyDescent="0.25">
      <c r="B129" s="3">
        <f t="shared" si="13"/>
        <v>545</v>
      </c>
      <c r="C129" s="14">
        <f t="shared" si="14"/>
        <v>9.0833333333333339</v>
      </c>
      <c r="D129" s="11">
        <f t="shared" si="15"/>
        <v>664.20850154307959</v>
      </c>
      <c r="E129" s="24">
        <f t="shared" si="16"/>
        <v>41.741531830280437</v>
      </c>
      <c r="F129" s="38">
        <f t="shared" si="11"/>
        <v>1.3285274364435242</v>
      </c>
      <c r="G129" s="14">
        <f t="shared" si="12"/>
        <v>0</v>
      </c>
      <c r="H129" s="24">
        <f t="shared" si="19"/>
        <v>454.48308080688059</v>
      </c>
      <c r="I129" s="12">
        <f t="shared" si="17"/>
        <v>0.48076179869544211</v>
      </c>
      <c r="J129" s="3"/>
    </row>
    <row r="130" spans="2:10" x14ac:dyDescent="0.25">
      <c r="B130" s="3">
        <f t="shared" si="13"/>
        <v>550</v>
      </c>
      <c r="C130" s="14">
        <f t="shared" si="14"/>
        <v>9.1666666666666661</v>
      </c>
      <c r="D130" s="11">
        <f t="shared" si="15"/>
        <v>665.55834487333186</v>
      </c>
      <c r="E130" s="24">
        <f t="shared" si="16"/>
        <v>42.222293628975876</v>
      </c>
      <c r="F130" s="38">
        <f t="shared" si="11"/>
        <v>1.3276246396391087</v>
      </c>
      <c r="G130" s="14">
        <f t="shared" si="12"/>
        <v>0</v>
      </c>
      <c r="H130" s="24">
        <f t="shared" si="19"/>
        <v>454.79213342669715</v>
      </c>
      <c r="I130" s="12">
        <f t="shared" si="17"/>
        <v>0.48326787731469067</v>
      </c>
      <c r="J130" s="3"/>
    </row>
    <row r="131" spans="2:10" x14ac:dyDescent="0.25">
      <c r="B131" s="3">
        <f t="shared" si="13"/>
        <v>555</v>
      </c>
      <c r="C131" s="14">
        <f t="shared" si="14"/>
        <v>9.25</v>
      </c>
      <c r="D131" s="11">
        <f t="shared" si="15"/>
        <v>666.89613587013639</v>
      </c>
      <c r="E131" s="24">
        <f t="shared" si="16"/>
        <v>42.705561506290564</v>
      </c>
      <c r="F131" s="38">
        <f t="shared" si="11"/>
        <v>1.3267202859116911</v>
      </c>
      <c r="G131" s="14">
        <f t="shared" si="12"/>
        <v>0</v>
      </c>
      <c r="H131" s="24">
        <f t="shared" si="19"/>
        <v>455.1021407171803</v>
      </c>
      <c r="I131" s="12">
        <f t="shared" si="17"/>
        <v>0.48572323533030037</v>
      </c>
      <c r="J131" s="3"/>
    </row>
    <row r="132" spans="2:10" x14ac:dyDescent="0.25">
      <c r="B132" s="3">
        <f t="shared" si="13"/>
        <v>560</v>
      </c>
      <c r="C132" s="14">
        <f t="shared" si="14"/>
        <v>9.3333333333333339</v>
      </c>
      <c r="D132" s="11">
        <f t="shared" si="15"/>
        <v>668.22208785334374</v>
      </c>
      <c r="E132" s="24">
        <f t="shared" si="16"/>
        <v>43.191284741620862</v>
      </c>
      <c r="F132" s="38">
        <f t="shared" si="11"/>
        <v>1.325814503939263</v>
      </c>
      <c r="G132" s="14">
        <f t="shared" si="12"/>
        <v>0</v>
      </c>
      <c r="H132" s="24">
        <f t="shared" si="19"/>
        <v>455.41306152356026</v>
      </c>
      <c r="I132" s="12">
        <f t="shared" si="17"/>
        <v>0.48812908970981428</v>
      </c>
      <c r="J132" s="3"/>
    </row>
    <row r="133" spans="2:10" x14ac:dyDescent="0.25">
      <c r="B133" s="3">
        <f t="shared" si="13"/>
        <v>565</v>
      </c>
      <c r="C133" s="14">
        <f t="shared" si="14"/>
        <v>9.4166666666666661</v>
      </c>
      <c r="D133" s="11">
        <f t="shared" si="15"/>
        <v>669.53640852897774</v>
      </c>
      <c r="E133" s="24">
        <f t="shared" si="16"/>
        <v>43.679413831330677</v>
      </c>
      <c r="F133" s="38">
        <f t="shared" si="11"/>
        <v>1.3249074186925121</v>
      </c>
      <c r="G133" s="14">
        <f t="shared" si="12"/>
        <v>0</v>
      </c>
      <c r="H133" s="24">
        <f t="shared" si="19"/>
        <v>455.72485573910888</v>
      </c>
      <c r="I133" s="12">
        <f t="shared" si="17"/>
        <v>0.49048661872422517</v>
      </c>
      <c r="J133" s="3"/>
    </row>
    <row r="134" spans="2:10" x14ac:dyDescent="0.25">
      <c r="B134" s="3">
        <f t="shared" si="13"/>
        <v>570</v>
      </c>
      <c r="C134" s="14">
        <f t="shared" si="14"/>
        <v>9.5</v>
      </c>
      <c r="D134" s="11">
        <f t="shared" si="15"/>
        <v>670.83930018450621</v>
      </c>
      <c r="E134" s="24">
        <f t="shared" si="16"/>
        <v>44.169900450054904</v>
      </c>
      <c r="F134" s="38">
        <f t="shared" si="11"/>
        <v>1.3239991515428808</v>
      </c>
      <c r="G134" s="14">
        <f t="shared" si="12"/>
        <v>0</v>
      </c>
      <c r="H134" s="24">
        <f t="shared" si="19"/>
        <v>456.03748427459993</v>
      </c>
      <c r="I134" s="12">
        <f t="shared" si="17"/>
        <v>0.49279696351541952</v>
      </c>
      <c r="J134" s="3"/>
    </row>
    <row r="135" spans="2:10" x14ac:dyDescent="0.25">
      <c r="B135" s="3">
        <f t="shared" si="13"/>
        <v>575</v>
      </c>
      <c r="C135" s="14">
        <f t="shared" si="14"/>
        <v>9.5833333333333339</v>
      </c>
      <c r="D135" s="11">
        <f t="shared" si="15"/>
        <v>672.13095987569295</v>
      </c>
      <c r="E135" s="24">
        <f t="shared" si="16"/>
        <v>44.662697413570321</v>
      </c>
      <c r="F135" s="38">
        <f t="shared" si="11"/>
        <v>1.3230898203668768</v>
      </c>
      <c r="G135" s="14">
        <f t="shared" si="12"/>
        <v>0</v>
      </c>
      <c r="H135" s="24">
        <f t="shared" si="19"/>
        <v>456.35090902890903</v>
      </c>
      <c r="I135" s="12">
        <f t="shared" si="17"/>
        <v>0.49506122958668786</v>
      </c>
      <c r="J135" s="3"/>
    </row>
    <row r="136" spans="2:10" x14ac:dyDescent="0.25">
      <c r="B136" s="3">
        <f t="shared" si="13"/>
        <v>580</v>
      </c>
      <c r="C136" s="14">
        <f t="shared" si="14"/>
        <v>9.6666666666666661</v>
      </c>
      <c r="D136" s="11">
        <f t="shared" si="15"/>
        <v>673.41157960546536</v>
      </c>
      <c r="E136" s="24">
        <f t="shared" si="16"/>
        <v>45.15775864315701</v>
      </c>
      <c r="F136" s="38">
        <f t="shared" si="11"/>
        <v>1.3221795396467937</v>
      </c>
      <c r="G136" s="14">
        <f t="shared" si="12"/>
        <v>0</v>
      </c>
      <c r="H136" s="24">
        <f t="shared" si="19"/>
        <v>456.6650928606997</v>
      </c>
      <c r="I136" s="12">
        <f t="shared" si="17"/>
        <v>0.49728048821996518</v>
      </c>
      <c r="J136" s="3"/>
    </row>
    <row r="137" spans="2:10" x14ac:dyDescent="0.25">
      <c r="B137" s="3">
        <f t="shared" si="13"/>
        <v>585</v>
      </c>
      <c r="C137" s="14">
        <f t="shared" si="14"/>
        <v>9.75</v>
      </c>
      <c r="D137" s="11">
        <f t="shared" si="15"/>
        <v>674.68134649520221</v>
      </c>
      <c r="E137" s="24">
        <f t="shared" si="16"/>
        <v>45.655039131376974</v>
      </c>
      <c r="F137" s="38">
        <f t="shared" si="11"/>
        <v>1.3212684205680014</v>
      </c>
      <c r="G137" s="14">
        <f t="shared" si="12"/>
        <v>0</v>
      </c>
      <c r="H137" s="24">
        <f t="shared" si="19"/>
        <v>456.97999956114506</v>
      </c>
      <c r="I137" s="12">
        <f t="shared" si="17"/>
        <v>0.49945577782455047</v>
      </c>
      <c r="J137" s="3"/>
    </row>
    <row r="138" spans="2:10" x14ac:dyDescent="0.25">
      <c r="B138" s="3">
        <f t="shared" si="13"/>
        <v>590</v>
      </c>
      <c r="C138" s="14">
        <f t="shared" si="14"/>
        <v>9.8333333333333339</v>
      </c>
      <c r="D138" s="11">
        <f t="shared" si="15"/>
        <v>675.94044294882394</v>
      </c>
      <c r="E138" s="24">
        <f t="shared" si="16"/>
        <v>46.154494909201524</v>
      </c>
      <c r="F138" s="38">
        <f t="shared" si="11"/>
        <v>1.3203565711129495</v>
      </c>
      <c r="G138" s="14">
        <f t="shared" si="12"/>
        <v>0</v>
      </c>
      <c r="H138" s="24">
        <f t="shared" si="19"/>
        <v>457.29559382763796</v>
      </c>
      <c r="I138" s="12">
        <f t="shared" si="17"/>
        <v>0.5015881052209743</v>
      </c>
      <c r="J138" s="3"/>
    </row>
    <row r="139" spans="2:10" x14ac:dyDescent="0.25">
      <c r="B139" s="3">
        <f t="shared" si="13"/>
        <v>595</v>
      </c>
      <c r="C139" s="14">
        <f t="shared" si="14"/>
        <v>9.9166666666666661</v>
      </c>
      <c r="D139" s="11">
        <f t="shared" si="15"/>
        <v>677.18904681004608</v>
      </c>
      <c r="E139" s="24">
        <f t="shared" si="16"/>
        <v>46.656083014422499</v>
      </c>
      <c r="F139" s="38">
        <f t="shared" si="11"/>
        <v>1.319444096152016</v>
      </c>
      <c r="G139" s="14">
        <f t="shared" si="12"/>
        <v>0</v>
      </c>
      <c r="H139" s="24">
        <f t="shared" si="19"/>
        <v>457.61184123844521</v>
      </c>
      <c r="I139" s="12">
        <f t="shared" si="17"/>
        <v>0.50367844686364371</v>
      </c>
      <c r="J139" s="3"/>
    </row>
    <row r="140" spans="2:10" x14ac:dyDescent="0.25">
      <c r="B140" s="3">
        <f t="shared" si="13"/>
        <v>600</v>
      </c>
      <c r="C140" s="14">
        <f t="shared" si="14"/>
        <v>10</v>
      </c>
      <c r="D140" s="11">
        <f t="shared" si="15"/>
        <v>678.42733151313416</v>
      </c>
      <c r="E140" s="24">
        <f t="shared" si="16"/>
        <v>47.159761461286145</v>
      </c>
      <c r="F140" s="38">
        <f t="shared" si="11"/>
        <v>1.3185310975313445</v>
      </c>
      <c r="G140" s="14">
        <f t="shared" si="12"/>
        <v>0</v>
      </c>
      <c r="H140" s="24">
        <f t="shared" si="19"/>
        <v>457.92870822826131</v>
      </c>
      <c r="I140" s="12">
        <f t="shared" si="17"/>
        <v>0.50572775000581893</v>
      </c>
      <c r="J140" s="3"/>
    </row>
    <row r="141" spans="2:10" x14ac:dyDescent="0.25">
      <c r="B141" s="3">
        <f t="shared" si="13"/>
        <v>605</v>
      </c>
      <c r="C141" s="14">
        <f t="shared" si="14"/>
        <v>10.083333333333334</v>
      </c>
      <c r="D141" s="11">
        <f t="shared" si="15"/>
        <v>679.65546622748013</v>
      </c>
      <c r="E141" s="24">
        <f t="shared" si="16"/>
        <v>47.665489211291963</v>
      </c>
      <c r="F141" s="38">
        <f t="shared" si="11"/>
        <v>1.3176176741577792</v>
      </c>
      <c r="G141" s="14">
        <f t="shared" si="12"/>
        <v>0</v>
      </c>
      <c r="H141" s="24">
        <f t="shared" si="19"/>
        <v>458.24616206462514</v>
      </c>
      <c r="I141" s="12">
        <f t="shared" si="17"/>
        <v>0.50773693381005247</v>
      </c>
      <c r="J141" s="3"/>
    </row>
    <row r="142" spans="2:10" x14ac:dyDescent="0.25">
      <c r="B142" s="3">
        <f t="shared" si="13"/>
        <v>610</v>
      </c>
      <c r="C142" s="14">
        <f t="shared" si="14"/>
        <v>10.166666666666666</v>
      </c>
      <c r="D142" s="11">
        <f t="shared" si="15"/>
        <v>680.87361599630106</v>
      </c>
      <c r="E142" s="24">
        <f t="shared" si="16"/>
        <v>48.173226145102014</v>
      </c>
      <c r="F142" s="38">
        <f t="shared" si="11"/>
        <v>1.316703922081029</v>
      </c>
      <c r="G142" s="14">
        <f t="shared" si="12"/>
        <v>0</v>
      </c>
      <c r="H142" s="24">
        <f t="shared" si="19"/>
        <v>458.5641708251577</v>
      </c>
      <c r="I142" s="12">
        <f t="shared" si="17"/>
        <v>0.50970689040716133</v>
      </c>
      <c r="J142" s="3"/>
    </row>
    <row r="143" spans="2:10" x14ac:dyDescent="0.25">
      <c r="B143" s="3">
        <f t="shared" si="13"/>
        <v>615</v>
      </c>
      <c r="C143" s="14">
        <f t="shared" si="14"/>
        <v>10.25</v>
      </c>
      <c r="D143" s="11">
        <f t="shared" si="15"/>
        <v>682.08194186974549</v>
      </c>
      <c r="E143" s="24">
        <f t="shared" si="16"/>
        <v>48.682933035509173</v>
      </c>
      <c r="F143" s="38">
        <f t="shared" si="11"/>
        <v>1.3157899345731623</v>
      </c>
      <c r="G143" s="14">
        <f t="shared" si="12"/>
        <v>0</v>
      </c>
      <c r="H143" s="24">
        <f t="shared" si="19"/>
        <v>458.88270337558748</v>
      </c>
      <c r="I143" s="12">
        <f t="shared" si="17"/>
        <v>0.51163848590637218</v>
      </c>
      <c r="J143" s="3"/>
    </row>
    <row r="144" spans="2:10" x14ac:dyDescent="0.25">
      <c r="B144" s="3">
        <f t="shared" si="13"/>
        <v>620</v>
      </c>
      <c r="C144" s="14">
        <f t="shared" si="14"/>
        <v>10.333333333333334</v>
      </c>
      <c r="D144" s="11">
        <f t="shared" si="15"/>
        <v>683.28060103267455</v>
      </c>
      <c r="E144" s="24">
        <f t="shared" si="16"/>
        <v>49.194571521415547</v>
      </c>
      <c r="F144" s="38">
        <f t="shared" si="11"/>
        <v>1.3148758022055425</v>
      </c>
      <c r="G144" s="14">
        <f t="shared" si="12"/>
        <v>0</v>
      </c>
      <c r="H144" s="24">
        <f t="shared" si="19"/>
        <v>459.20172934852951</v>
      </c>
      <c r="I144" s="12">
        <f t="shared" si="17"/>
        <v>0.51353256135959513</v>
      </c>
      <c r="J144" s="3"/>
    </row>
    <row r="145" spans="2:10" x14ac:dyDescent="0.25">
      <c r="B145" s="3">
        <f t="shared" si="13"/>
        <v>625</v>
      </c>
      <c r="C145" s="14">
        <f t="shared" si="14"/>
        <v>10.416666666666666</v>
      </c>
      <c r="D145" s="11">
        <f t="shared" si="15"/>
        <v>684.46974692737354</v>
      </c>
      <c r="E145" s="24">
        <f t="shared" si="16"/>
        <v>49.708104082775144</v>
      </c>
      <c r="F145" s="38">
        <f t="shared" si="11"/>
        <v>1.3139616129233074</v>
      </c>
      <c r="G145" s="14">
        <f t="shared" si="12"/>
        <v>0</v>
      </c>
      <c r="H145" s="24">
        <f t="shared" si="19"/>
        <v>459.52121912298361</v>
      </c>
      <c r="I145" s="12">
        <f t="shared" si="17"/>
        <v>0.51538993368176489</v>
      </c>
      <c r="J145" s="3"/>
    </row>
    <row r="146" spans="2:10" x14ac:dyDescent="0.25">
      <c r="B146" s="3">
        <f t="shared" si="13"/>
        <v>630</v>
      </c>
      <c r="C146" s="14">
        <f t="shared" si="14"/>
        <v>10.5</v>
      </c>
      <c r="D146" s="11">
        <f t="shared" si="15"/>
        <v>685.64952937143096</v>
      </c>
      <c r="E146" s="24">
        <f t="shared" si="16"/>
        <v>50.223494016456911</v>
      </c>
      <c r="F146" s="38">
        <f t="shared" si="11"/>
        <v>1.3130474521174875</v>
      </c>
      <c r="G146" s="14">
        <f t="shared" si="12"/>
        <v>0</v>
      </c>
      <c r="H146" s="24">
        <f t="shared" si="19"/>
        <v>459.84114380452303</v>
      </c>
      <c r="I146" s="12">
        <f t="shared" si="17"/>
        <v>0.51721139653029724</v>
      </c>
      <c r="J146" s="3"/>
    </row>
    <row r="147" spans="2:10" x14ac:dyDescent="0.25">
      <c r="B147" s="3">
        <f t="shared" si="13"/>
        <v>635</v>
      </c>
      <c r="C147" s="14">
        <f t="shared" si="14"/>
        <v>10.583333333333334</v>
      </c>
      <c r="D147" s="11">
        <f t="shared" si="15"/>
        <v>686.82009467101307</v>
      </c>
      <c r="E147" s="24">
        <f t="shared" si="16"/>
        <v>50.740705412987211</v>
      </c>
      <c r="F147" s="38">
        <f t="shared" si="11"/>
        <v>1.3121334026948497</v>
      </c>
      <c r="G147" s="14">
        <f t="shared" si="12"/>
        <v>0</v>
      </c>
      <c r="H147" s="24">
        <f t="shared" si="19"/>
        <v>460.16147520614442</v>
      </c>
      <c r="I147" s="12">
        <f t="shared" si="17"/>
        <v>0.51899772114522025</v>
      </c>
      <c r="J147" s="3"/>
    </row>
    <row r="148" spans="2:10" x14ac:dyDescent="0.25">
      <c r="B148" s="3">
        <f t="shared" si="13"/>
        <v>640</v>
      </c>
      <c r="C148" s="14">
        <f t="shared" si="14"/>
        <v>10.666666666666666</v>
      </c>
      <c r="D148" s="11">
        <f t="shared" si="15"/>
        <v>687.9815857297483</v>
      </c>
      <c r="E148" s="24">
        <f t="shared" si="16"/>
        <v>51.25970313413243</v>
      </c>
      <c r="F148" s="38">
        <f t="shared" ref="F148:F211" si="20">Cp*RhoP/(RhoA*H148)*dp/1000*MassivP</f>
        <v>1.3112195451455628</v>
      </c>
      <c r="G148" s="14">
        <f t="shared" ref="G148:G211" si="21">Phi*EpsilonF*Botzman/10^8*J148*((D148+273)^4-(E148+273)^4)</f>
        <v>0</v>
      </c>
      <c r="H148" s="24">
        <f t="shared" si="19"/>
        <v>460.48218582975068</v>
      </c>
      <c r="I148" s="12">
        <f t="shared" si="17"/>
        <v>0.52074965715220989</v>
      </c>
      <c r="J148" s="3"/>
    </row>
    <row r="149" spans="2:10" x14ac:dyDescent="0.25">
      <c r="B149" s="3">
        <f t="shared" ref="B149:B212" si="22">B148+DeltaT</f>
        <v>645</v>
      </c>
      <c r="C149" s="14">
        <f t="shared" ref="C149:C212" si="23">B149/60</f>
        <v>10.75</v>
      </c>
      <c r="D149" s="11">
        <f t="shared" ref="D149:D212" si="24">20+345*LOG(8*C149+1,10)</f>
        <v>689.13414215342334</v>
      </c>
      <c r="E149" s="24">
        <f t="shared" ref="E149:E212" si="25">E148+IF(Limit=Oui,MAX(0,I148),I148)</f>
        <v>51.780452791284638</v>
      </c>
      <c r="F149" s="38">
        <f t="shared" si="20"/>
        <v>1.3103059576087566</v>
      </c>
      <c r="G149" s="14">
        <f t="shared" si="21"/>
        <v>0</v>
      </c>
      <c r="H149" s="24">
        <f t="shared" si="19"/>
        <v>460.80324884824063</v>
      </c>
      <c r="I149" s="12">
        <f t="shared" ref="I149:I212" si="26">LambdaP*MassivP/(dp/1000)/(H149*RhoA)/(1+F149/3)*(D149-E149)*DeltaT-(EXP(F149/10)-1)*(D149-D148)</f>
        <v>0.52246793333065145</v>
      </c>
      <c r="J149" s="3"/>
    </row>
    <row r="150" spans="2:10" x14ac:dyDescent="0.25">
      <c r="B150" s="3">
        <f t="shared" si="22"/>
        <v>650</v>
      </c>
      <c r="C150" s="14">
        <f t="shared" si="23"/>
        <v>10.833333333333334</v>
      </c>
      <c r="D150" s="11">
        <f t="shared" si="24"/>
        <v>690.2779003506829</v>
      </c>
      <c r="E150" s="24">
        <f t="shared" si="25"/>
        <v>52.302920724615291</v>
      </c>
      <c r="F150" s="38">
        <f t="shared" si="20"/>
        <v>1.3093927159360681</v>
      </c>
      <c r="G150" s="14">
        <f t="shared" si="21"/>
        <v>0</v>
      </c>
      <c r="H150" s="24">
        <f t="shared" si="19"/>
        <v>461.1246380881812</v>
      </c>
      <c r="I150" s="12">
        <f t="shared" si="26"/>
        <v>0.52415325834832494</v>
      </c>
      <c r="J150" s="3"/>
    </row>
    <row r="151" spans="2:10" x14ac:dyDescent="0.25">
      <c r="B151" s="3">
        <f t="shared" si="22"/>
        <v>655</v>
      </c>
      <c r="C151" s="14">
        <f t="shared" si="23"/>
        <v>10.916666666666666</v>
      </c>
      <c r="D151" s="11">
        <f t="shared" si="24"/>
        <v>691.41299362991504</v>
      </c>
      <c r="E151" s="24">
        <f t="shared" si="25"/>
        <v>52.827073982963618</v>
      </c>
      <c r="F151" s="38">
        <f t="shared" si="20"/>
        <v>1.308479893753234</v>
      </c>
      <c r="G151" s="14">
        <f t="shared" si="21"/>
        <v>0</v>
      </c>
      <c r="H151" s="24">
        <f t="shared" si="19"/>
        <v>461.44632801303811</v>
      </c>
      <c r="I151" s="12">
        <f t="shared" si="26"/>
        <v>0.52580632146447415</v>
      </c>
      <c r="J151" s="3"/>
    </row>
    <row r="152" spans="2:10" x14ac:dyDescent="0.25">
      <c r="B152" s="3">
        <f t="shared" si="22"/>
        <v>660</v>
      </c>
      <c r="C152" s="14">
        <f t="shared" si="23"/>
        <v>11</v>
      </c>
      <c r="D152" s="11">
        <f t="shared" si="24"/>
        <v>692.53955229249482</v>
      </c>
      <c r="E152" s="24">
        <f t="shared" si="25"/>
        <v>53.352880304428091</v>
      </c>
      <c r="F152" s="38">
        <f t="shared" si="20"/>
        <v>1.3075675625198133</v>
      </c>
      <c r="G152" s="14">
        <f t="shared" si="21"/>
        <v>0</v>
      </c>
      <c r="H152" s="24">
        <f t="shared" si="19"/>
        <v>461.76829370694253</v>
      </c>
      <c r="I152" s="12">
        <f t="shared" si="26"/>
        <v>0.52742779320275368</v>
      </c>
      <c r="J152" s="3"/>
    </row>
    <row r="153" spans="2:10" x14ac:dyDescent="0.25">
      <c r="B153" s="3">
        <f t="shared" si="22"/>
        <v>665</v>
      </c>
      <c r="C153" s="14">
        <f t="shared" si="23"/>
        <v>11.083333333333334</v>
      </c>
      <c r="D153" s="11">
        <f t="shared" si="24"/>
        <v>693.65770372254713</v>
      </c>
      <c r="E153" s="24">
        <f t="shared" si="25"/>
        <v>53.880308097630845</v>
      </c>
      <c r="F153" s="38">
        <f t="shared" si="20"/>
        <v>1.3066557915871055</v>
      </c>
      <c r="G153" s="14">
        <f t="shared" si="21"/>
        <v>0</v>
      </c>
      <c r="H153" s="24">
        <f t="shared" si="19"/>
        <v>462.09051085897198</v>
      </c>
      <c r="I153" s="12">
        <f t="shared" si="26"/>
        <v>0.52901832599599841</v>
      </c>
      <c r="J153" s="3"/>
    </row>
    <row r="154" spans="2:10" x14ac:dyDescent="0.25">
      <c r="B154" s="3">
        <f t="shared" si="22"/>
        <v>670</v>
      </c>
      <c r="C154" s="14">
        <f t="shared" si="23"/>
        <v>11.166666666666666</v>
      </c>
      <c r="D154" s="11">
        <f t="shared" si="24"/>
        <v>694.76757247338639</v>
      </c>
      <c r="E154" s="24">
        <f t="shared" si="25"/>
        <v>54.409326423626844</v>
      </c>
      <c r="F154" s="38">
        <f t="shared" si="20"/>
        <v>1.305744648254328</v>
      </c>
      <c r="G154" s="14">
        <f t="shared" si="21"/>
        <v>0</v>
      </c>
      <c r="H154" s="24">
        <f t="shared" si="19"/>
        <v>462.41295574792622</v>
      </c>
      <c r="I154" s="12">
        <f t="shared" si="26"/>
        <v>0.53057855480348315</v>
      </c>
      <c r="J154" s="3"/>
    </row>
    <row r="155" spans="2:10" x14ac:dyDescent="0.25">
      <c r="B155" s="3">
        <f t="shared" si="22"/>
        <v>675</v>
      </c>
      <c r="C155" s="14">
        <f t="shared" si="23"/>
        <v>11.25</v>
      </c>
      <c r="D155" s="11">
        <f t="shared" si="24"/>
        <v>695.8692803507771</v>
      </c>
      <c r="E155" s="24">
        <f t="shared" si="25"/>
        <v>54.939904978430327</v>
      </c>
      <c r="F155" s="38">
        <f t="shared" si="20"/>
        <v>1.3048341978231173</v>
      </c>
      <c r="G155" s="14">
        <f t="shared" si="21"/>
        <v>0</v>
      </c>
      <c r="H155" s="24">
        <f t="shared" si="19"/>
        <v>462.73560522757703</v>
      </c>
      <c r="I155" s="12">
        <f t="shared" si="26"/>
        <v>0.53210909770284198</v>
      </c>
      <c r="J155" s="3"/>
    </row>
    <row r="156" spans="2:10" x14ac:dyDescent="0.25">
      <c r="B156" s="3">
        <f t="shared" si="22"/>
        <v>680</v>
      </c>
      <c r="C156" s="14">
        <f t="shared" si="23"/>
        <v>11.333333333333334</v>
      </c>
      <c r="D156" s="11">
        <f t="shared" si="24"/>
        <v>696.96294649315701</v>
      </c>
      <c r="E156" s="24">
        <f t="shared" si="25"/>
        <v>55.472014076133171</v>
      </c>
      <c r="F156" s="38">
        <f t="shared" si="20"/>
        <v>1.303924503650413</v>
      </c>
      <c r="G156" s="14">
        <f t="shared" si="21"/>
        <v>0</v>
      </c>
      <c r="H156" s="24">
        <f t="shared" si="19"/>
        <v>463.05843671237528</v>
      </c>
      <c r="I156" s="12">
        <f t="shared" si="26"/>
        <v>0.53361055645713051</v>
      </c>
      <c r="J156" s="3"/>
    </row>
    <row r="157" spans="2:10" x14ac:dyDescent="0.25">
      <c r="B157" s="3">
        <f t="shared" si="22"/>
        <v>685</v>
      </c>
      <c r="C157" s="14">
        <f t="shared" si="23"/>
        <v>11.416666666666666</v>
      </c>
      <c r="D157" s="11">
        <f t="shared" si="24"/>
        <v>698.04868744895111</v>
      </c>
      <c r="E157" s="24">
        <f t="shared" si="25"/>
        <v>56.005624632590298</v>
      </c>
      <c r="F157" s="38">
        <f t="shared" si="20"/>
        <v>1.303015627199785</v>
      </c>
      <c r="G157" s="14">
        <f t="shared" si="21"/>
        <v>0</v>
      </c>
      <c r="H157" s="24">
        <f t="shared" si="19"/>
        <v>463.3814281635959</v>
      </c>
      <c r="I157" s="12">
        <f t="shared" si="26"/>
        <v>0.53508351705918167</v>
      </c>
      <c r="J157" s="3"/>
    </row>
    <row r="158" spans="2:10" x14ac:dyDescent="0.25">
      <c r="B158" s="3">
        <f t="shared" si="22"/>
        <v>690</v>
      </c>
      <c r="C158" s="14">
        <f t="shared" si="23"/>
        <v>11.5</v>
      </c>
      <c r="D158" s="11">
        <f t="shared" si="24"/>
        <v>699.12661725110763</v>
      </c>
      <c r="E158" s="24">
        <f t="shared" si="25"/>
        <v>56.540708149649483</v>
      </c>
      <c r="F158" s="38">
        <f t="shared" si="20"/>
        <v>1.3021076280912534</v>
      </c>
      <c r="G158" s="14">
        <f t="shared" si="21"/>
        <v>0</v>
      </c>
      <c r="H158" s="24">
        <f t="shared" si="19"/>
        <v>463.70455807590537</v>
      </c>
      <c r="I158" s="12">
        <f t="shared" si="26"/>
        <v>0.5365285502530186</v>
      </c>
      <c r="J158" s="3"/>
    </row>
    <row r="159" spans="2:10" x14ac:dyDescent="0.25">
      <c r="B159" s="3">
        <f t="shared" si="22"/>
        <v>695</v>
      </c>
      <c r="C159" s="14">
        <f t="shared" si="23"/>
        <v>11.583333333333334</v>
      </c>
      <c r="D159" s="11">
        <f t="shared" si="24"/>
        <v>700.19684748896907</v>
      </c>
      <c r="E159" s="24">
        <f t="shared" si="25"/>
        <v>57.0772366999025</v>
      </c>
      <c r="F159" s="38">
        <f t="shared" si="20"/>
        <v>1.3012005641496567</v>
      </c>
      <c r="G159" s="14">
        <f t="shared" si="21"/>
        <v>0</v>
      </c>
      <c r="H159" s="24">
        <f t="shared" si="19"/>
        <v>464.02780546433519</v>
      </c>
      <c r="I159" s="12">
        <f t="shared" si="26"/>
        <v>0.53794621203501225</v>
      </c>
      <c r="J159" s="3"/>
    </row>
    <row r="160" spans="2:10" x14ac:dyDescent="0.25">
      <c r="B160" s="3">
        <f t="shared" si="22"/>
        <v>700</v>
      </c>
      <c r="C160" s="14">
        <f t="shared" si="23"/>
        <v>11.666666666666666</v>
      </c>
      <c r="D160" s="11">
        <f t="shared" si="24"/>
        <v>701.25948737759654</v>
      </c>
      <c r="E160" s="24">
        <f t="shared" si="25"/>
        <v>57.615182911937509</v>
      </c>
      <c r="F160" s="38">
        <f t="shared" si="20"/>
        <v>1.3002944914516203</v>
      </c>
      <c r="G160" s="14">
        <f t="shared" si="21"/>
        <v>0</v>
      </c>
      <c r="H160" s="24">
        <f t="shared" si="19"/>
        <v>464.35114985164518</v>
      </c>
      <c r="I160" s="12">
        <f t="shared" si="26"/>
        <v>0.5393370441343025</v>
      </c>
      <c r="J160" s="3"/>
    </row>
    <row r="161" spans="2:10" x14ac:dyDescent="0.25">
      <c r="B161" s="3">
        <f t="shared" si="22"/>
        <v>705</v>
      </c>
      <c r="C161" s="14">
        <f t="shared" si="23"/>
        <v>11.75</v>
      </c>
      <c r="D161" s="11">
        <f t="shared" si="24"/>
        <v>702.31464382465242</v>
      </c>
      <c r="E161" s="24">
        <f t="shared" si="25"/>
        <v>58.154519956071809</v>
      </c>
      <c r="F161" s="38">
        <f t="shared" si="20"/>
        <v>1.2993894643711696</v>
      </c>
      <c r="G161" s="14">
        <f t="shared" si="21"/>
        <v>0</v>
      </c>
      <c r="H161" s="24">
        <f t="shared" si="19"/>
        <v>464.6745712560641</v>
      </c>
      <c r="I161" s="12">
        <f t="shared" si="26"/>
        <v>0.54070157447444478</v>
      </c>
      <c r="J161" s="3"/>
    </row>
    <row r="162" spans="2:10" x14ac:dyDescent="0.25">
      <c r="B162" s="3">
        <f t="shared" si="22"/>
        <v>710</v>
      </c>
      <c r="C162" s="14">
        <f t="shared" si="23"/>
        <v>11.833333333333334</v>
      </c>
      <c r="D162" s="11">
        <f t="shared" si="24"/>
        <v>703.36242149494376</v>
      </c>
      <c r="E162" s="24">
        <f t="shared" si="25"/>
        <v>58.695221530546256</v>
      </c>
      <c r="F162" s="38">
        <f t="shared" si="20"/>
        <v>1.2984855356240372</v>
      </c>
      <c r="G162" s="14">
        <f t="shared" si="21"/>
        <v>0</v>
      </c>
      <c r="H162" s="24">
        <f t="shared" si="19"/>
        <v>464.99805017939144</v>
      </c>
      <c r="I162" s="12">
        <f t="shared" si="26"/>
        <v>0.54204031761682248</v>
      </c>
      <c r="J162" s="3"/>
    </row>
    <row r="163" spans="2:10" x14ac:dyDescent="0.25">
      <c r="B163" s="3">
        <f t="shared" si="22"/>
        <v>715</v>
      </c>
      <c r="C163" s="14">
        <f t="shared" si="23"/>
        <v>11.916666666666666</v>
      </c>
      <c r="D163" s="11">
        <f t="shared" si="24"/>
        <v>704.40292287272541</v>
      </c>
      <c r="E163" s="24">
        <f t="shared" si="25"/>
        <v>59.237261848163079</v>
      </c>
      <c r="F163" s="38">
        <f t="shared" si="20"/>
        <v>1.2975827563107045</v>
      </c>
      <c r="G163" s="14">
        <f t="shared" si="21"/>
        <v>0</v>
      </c>
      <c r="H163" s="24">
        <f t="shared" si="19"/>
        <v>465.32156759544864</v>
      </c>
      <c r="I163" s="12">
        <f t="shared" si="26"/>
        <v>0.54335377518648054</v>
      </c>
      <c r="J163" s="3"/>
    </row>
    <row r="164" spans="2:10" x14ac:dyDescent="0.25">
      <c r="B164" s="3">
        <f t="shared" si="22"/>
        <v>720</v>
      </c>
      <c r="C164" s="14">
        <f t="shared" si="23"/>
        <v>12</v>
      </c>
      <c r="D164" s="11">
        <f t="shared" si="24"/>
        <v>705.43624832185446</v>
      </c>
      <c r="E164" s="24">
        <f t="shared" si="25"/>
        <v>59.780615623349561</v>
      </c>
      <c r="F164" s="38">
        <f t="shared" si="20"/>
        <v>1.2966811759582262</v>
      </c>
      <c r="G164" s="14">
        <f t="shared" si="21"/>
        <v>0</v>
      </c>
      <c r="H164" s="24">
        <f t="shared" si="19"/>
        <v>465.64510493886581</v>
      </c>
      <c r="I164" s="12">
        <f t="shared" si="26"/>
        <v>0.54464243628153586</v>
      </c>
      <c r="J164" s="3"/>
    </row>
    <row r="165" spans="2:10" x14ac:dyDescent="0.25">
      <c r="B165" s="3">
        <f t="shared" si="22"/>
        <v>725</v>
      </c>
      <c r="C165" s="14">
        <f t="shared" si="23"/>
        <v>12.083333333333334</v>
      </c>
      <c r="D165" s="11">
        <f t="shared" si="24"/>
        <v>706.46249614388421</v>
      </c>
      <c r="E165" s="24">
        <f t="shared" si="25"/>
        <v>60.325258059631096</v>
      </c>
      <c r="F165" s="38">
        <f t="shared" si="20"/>
        <v>1.2957808425608699</v>
      </c>
      <c r="G165" s="14">
        <f t="shared" si="21"/>
        <v>0</v>
      </c>
      <c r="H165" s="24">
        <f t="shared" si="19"/>
        <v>465.96864409419345</v>
      </c>
      <c r="I165" s="12">
        <f t="shared" si="26"/>
        <v>0.54590677786678699</v>
      </c>
      <c r="J165" s="3"/>
    </row>
    <row r="166" spans="2:10" x14ac:dyDescent="0.25">
      <c r="B166" s="3">
        <f t="shared" si="22"/>
        <v>730</v>
      </c>
      <c r="C166" s="14">
        <f t="shared" si="23"/>
        <v>12.166666666666666</v>
      </c>
      <c r="D166" s="11">
        <f t="shared" si="24"/>
        <v>707.48176263418259</v>
      </c>
      <c r="E166" s="24">
        <f t="shared" si="25"/>
        <v>60.871164837497886</v>
      </c>
      <c r="F166" s="38">
        <f t="shared" si="20"/>
        <v>1.2948818026196198</v>
      </c>
      <c r="G166" s="14">
        <f t="shared" si="21"/>
        <v>0</v>
      </c>
      <c r="H166" s="24">
        <f t="shared" si="19"/>
        <v>466.29216738532574</v>
      </c>
      <c r="I166" s="12">
        <f t="shared" si="26"/>
        <v>0.5471472651521142</v>
      </c>
      <c r="J166" s="3"/>
    </row>
    <row r="167" spans="2:10" x14ac:dyDescent="0.25">
      <c r="B167" s="3">
        <f t="shared" si="22"/>
        <v>735</v>
      </c>
      <c r="C167" s="14">
        <f t="shared" si="23"/>
        <v>12.25</v>
      </c>
      <c r="D167" s="11">
        <f t="shared" si="24"/>
        <v>708.49414213615466</v>
      </c>
      <c r="E167" s="24">
        <f t="shared" si="25"/>
        <v>61.418312102649999</v>
      </c>
      <c r="F167" s="38">
        <f t="shared" si="20"/>
        <v>1.2939841011805737</v>
      </c>
      <c r="G167" s="14">
        <f t="shared" si="21"/>
        <v>0</v>
      </c>
      <c r="H167" s="24">
        <f t="shared" si="19"/>
        <v>466.61565756522509</v>
      </c>
      <c r="I167" s="12">
        <f t="shared" si="26"/>
        <v>0.54836435195654998</v>
      </c>
      <c r="J167" s="3"/>
    </row>
    <row r="168" spans="2:10" x14ac:dyDescent="0.25">
      <c r="B168" s="3">
        <f t="shared" si="22"/>
        <v>740</v>
      </c>
      <c r="C168" s="14">
        <f t="shared" si="23"/>
        <v>12.333333333333334</v>
      </c>
      <c r="D168" s="11">
        <f t="shared" si="24"/>
        <v>709.49972709364465</v>
      </c>
      <c r="E168" s="24">
        <f t="shared" si="25"/>
        <v>61.966676454606549</v>
      </c>
      <c r="F168" s="38">
        <f t="shared" si="20"/>
        <v>1.2930877818722712</v>
      </c>
      <c r="G168" s="14">
        <f t="shared" si="21"/>
        <v>0</v>
      </c>
      <c r="H168" s="24">
        <f t="shared" si="19"/>
        <v>466.93909780593822</v>
      </c>
      <c r="I168" s="12">
        <f t="shared" si="26"/>
        <v>0.54955848105870397</v>
      </c>
      <c r="J168" s="3"/>
    </row>
    <row r="169" spans="2:10" x14ac:dyDescent="0.25">
      <c r="B169" s="3">
        <f t="shared" si="22"/>
        <v>745</v>
      </c>
      <c r="C169" s="14">
        <f t="shared" si="23"/>
        <v>12.416666666666666</v>
      </c>
      <c r="D169" s="11">
        <f t="shared" si="24"/>
        <v>710.49860810159248</v>
      </c>
      <c r="E169" s="24">
        <f t="shared" si="25"/>
        <v>62.516234935665253</v>
      </c>
      <c r="F169" s="38">
        <f t="shared" si="20"/>
        <v>1.2921928869419936</v>
      </c>
      <c r="G169" s="14">
        <f t="shared" si="21"/>
        <v>0</v>
      </c>
      <c r="H169" s="24">
        <f t="shared" si="19"/>
        <v>467.26247168889131</v>
      </c>
      <c r="I169" s="12">
        <f t="shared" si="26"/>
        <v>0.5507300845337374</v>
      </c>
      <c r="J169" s="3"/>
    </row>
    <row r="170" spans="2:10" x14ac:dyDescent="0.25">
      <c r="B170" s="3">
        <f t="shared" si="22"/>
        <v>750</v>
      </c>
      <c r="C170" s="14">
        <f t="shared" si="23"/>
        <v>12.5</v>
      </c>
      <c r="D170" s="11">
        <f t="shared" si="24"/>
        <v>711.49087395501169</v>
      </c>
      <c r="E170" s="24">
        <f t="shared" si="25"/>
        <v>63.066965020198992</v>
      </c>
      <c r="F170" s="38">
        <f t="shared" si="20"/>
        <v>1.2912994572910601</v>
      </c>
      <c r="G170" s="14">
        <f t="shared" si="21"/>
        <v>0</v>
      </c>
      <c r="H170" s="24">
        <f t="shared" si="19"/>
        <v>467.58576319545728</v>
      </c>
      <c r="I170" s="12">
        <f t="shared" si="26"/>
        <v>0.55187958407814297</v>
      </c>
      <c r="J170" s="3"/>
    </row>
    <row r="171" spans="2:10" x14ac:dyDescent="0.25">
      <c r="B171" s="3">
        <f t="shared" si="22"/>
        <v>755</v>
      </c>
      <c r="C171" s="14">
        <f t="shared" si="23"/>
        <v>12.583333333333334</v>
      </c>
      <c r="D171" s="11">
        <f t="shared" si="24"/>
        <v>712.47661169635751</v>
      </c>
      <c r="E171" s="24">
        <f t="shared" si="25"/>
        <v>63.618844604277136</v>
      </c>
      <c r="F171" s="38">
        <f t="shared" si="20"/>
        <v>1.2904075325091566</v>
      </c>
      <c r="G171" s="14">
        <f t="shared" si="21"/>
        <v>0</v>
      </c>
      <c r="H171" s="24">
        <f t="shared" si="19"/>
        <v>467.90895669778308</v>
      </c>
      <c r="I171" s="12">
        <f t="shared" si="26"/>
        <v>0.55300739132214727</v>
      </c>
      <c r="J171" s="3"/>
    </row>
    <row r="172" spans="2:10" x14ac:dyDescent="0.25">
      <c r="B172" s="3">
        <f t="shared" si="22"/>
        <v>760</v>
      </c>
      <c r="C172" s="14">
        <f t="shared" si="23"/>
        <v>12.666666666666666</v>
      </c>
      <c r="D172" s="11">
        <f t="shared" si="24"/>
        <v>713.45590666134581</v>
      </c>
      <c r="E172" s="24">
        <f t="shared" si="25"/>
        <v>64.171851995599283</v>
      </c>
      <c r="F172" s="38">
        <f t="shared" si="20"/>
        <v>1.2895171509077288</v>
      </c>
      <c r="G172" s="14">
        <f t="shared" si="21"/>
        <v>0</v>
      </c>
      <c r="H172" s="24">
        <f t="shared" si="19"/>
        <v>468.23203694987103</v>
      </c>
      <c r="I172" s="12">
        <f t="shared" si="26"/>
        <v>0.55411390813097272</v>
      </c>
      <c r="J172" s="3"/>
    </row>
    <row r="173" spans="2:10" x14ac:dyDescent="0.25">
      <c r="B173" s="3">
        <f t="shared" si="22"/>
        <v>765</v>
      </c>
      <c r="C173" s="14">
        <f t="shared" si="23"/>
        <v>12.75</v>
      </c>
      <c r="D173" s="11">
        <f t="shared" si="24"/>
        <v>714.42884252328429</v>
      </c>
      <c r="E173" s="24">
        <f t="shared" si="25"/>
        <v>64.725965903730255</v>
      </c>
      <c r="F173" s="38">
        <f t="shared" si="20"/>
        <v>1.2886283495524677</v>
      </c>
      <c r="G173" s="14">
        <f t="shared" si="21"/>
        <v>0</v>
      </c>
      <c r="H173" s="24">
        <f t="shared" si="19"/>
        <v>468.55498907890217</v>
      </c>
      <c r="I173" s="12">
        <f t="shared" si="26"/>
        <v>0.55519952689497898</v>
      </c>
      <c r="J173" s="3"/>
    </row>
    <row r="174" spans="2:10" x14ac:dyDescent="0.25">
      <c r="B174" s="3">
        <f t="shared" si="22"/>
        <v>770</v>
      </c>
      <c r="C174" s="14">
        <f t="shared" si="23"/>
        <v>12.833333333333334</v>
      </c>
      <c r="D174" s="11">
        <f t="shared" si="24"/>
        <v>715.39550133597538</v>
      </c>
      <c r="E174" s="24">
        <f t="shared" si="25"/>
        <v>65.281165430625236</v>
      </c>
      <c r="F174" s="38">
        <f t="shared" si="20"/>
        <v>1.2877411642949141</v>
      </c>
      <c r="G174" s="14">
        <f t="shared" si="21"/>
        <v>0</v>
      </c>
      <c r="H174" s="24">
        <f t="shared" si="19"/>
        <v>468.87779857679647</v>
      </c>
      <c r="I174" s="12">
        <f t="shared" si="26"/>
        <v>0.55626463080902633</v>
      </c>
      <c r="J174" s="3"/>
    </row>
    <row r="175" spans="2:10" x14ac:dyDescent="0.25">
      <c r="B175" s="3">
        <f t="shared" si="22"/>
        <v>775</v>
      </c>
      <c r="C175" s="14">
        <f t="shared" si="23"/>
        <v>12.916666666666666</v>
      </c>
      <c r="D175" s="11">
        <f t="shared" si="24"/>
        <v>716.35596357524128</v>
      </c>
      <c r="E175" s="24">
        <f t="shared" si="25"/>
        <v>65.837430061434262</v>
      </c>
      <c r="F175" s="38">
        <f t="shared" si="20"/>
        <v>1.2868556298032148</v>
      </c>
      <c r="G175" s="14">
        <f t="shared" si="21"/>
        <v>0</v>
      </c>
      <c r="H175" s="24">
        <f t="shared" si="19"/>
        <v>469.20045129200071</v>
      </c>
      <c r="I175" s="12">
        <f t="shared" si="26"/>
        <v>0.55730959414241144</v>
      </c>
      <c r="J175" s="3"/>
    </row>
    <row r="176" spans="2:10" x14ac:dyDescent="0.25">
      <c r="B176" s="3">
        <f t="shared" si="22"/>
        <v>780</v>
      </c>
      <c r="C176" s="14">
        <f t="shared" si="23"/>
        <v>13</v>
      </c>
      <c r="D176" s="11">
        <f t="shared" si="24"/>
        <v>717.31030817912858</v>
      </c>
      <c r="E176" s="24">
        <f t="shared" si="25"/>
        <v>66.394739655576672</v>
      </c>
      <c r="F176" s="38">
        <f t="shared" si="20"/>
        <v>1.2859717795920489</v>
      </c>
      <c r="G176" s="14">
        <f t="shared" si="21"/>
        <v>0</v>
      </c>
      <c r="H176" s="24">
        <f t="shared" si="19"/>
        <v>469.52293342149591</v>
      </c>
      <c r="I176" s="12">
        <f t="shared" si="26"/>
        <v>0.55833478249849211</v>
      </c>
      <c r="J176" s="3"/>
    </row>
    <row r="177" spans="2:10" x14ac:dyDescent="0.25">
      <c r="B177" s="3">
        <f t="shared" si="22"/>
        <v>785</v>
      </c>
      <c r="C177" s="14">
        <f t="shared" si="23"/>
        <v>13.083333333333334</v>
      </c>
      <c r="D177" s="11">
        <f t="shared" si="24"/>
        <v>718.25861258684074</v>
      </c>
      <c r="E177" s="24">
        <f t="shared" si="25"/>
        <v>66.953074438075163</v>
      </c>
      <c r="F177" s="38">
        <f t="shared" si="20"/>
        <v>1.2850896460517587</v>
      </c>
      <c r="G177" s="14">
        <f t="shared" si="21"/>
        <v>0</v>
      </c>
      <c r="H177" s="24">
        <f t="shared" si="19"/>
        <v>469.84523150301806</v>
      </c>
      <c r="I177" s="12">
        <f t="shared" si="26"/>
        <v>0.55934055306537955</v>
      </c>
      <c r="J177" s="3"/>
    </row>
    <row r="178" spans="2:10" x14ac:dyDescent="0.25">
      <c r="B178" s="3">
        <f t="shared" si="22"/>
        <v>790</v>
      </c>
      <c r="C178" s="14">
        <f t="shared" si="23"/>
        <v>13.166666666666666</v>
      </c>
      <c r="D178" s="11">
        <f t="shared" si="24"/>
        <v>719.20095277644396</v>
      </c>
      <c r="E178" s="24">
        <f t="shared" si="25"/>
        <v>67.512414991140545</v>
      </c>
      <c r="F178" s="38">
        <f t="shared" si="20"/>
        <v>1.284209260476703</v>
      </c>
      <c r="G178" s="14">
        <f t="shared" si="21"/>
        <v>0</v>
      </c>
      <c r="H178" s="24">
        <f t="shared" si="19"/>
        <v>470.16733240748465</v>
      </c>
      <c r="I178" s="12">
        <f t="shared" si="26"/>
        <v>0.56032725485809221</v>
      </c>
      <c r="J178" s="3"/>
    </row>
    <row r="179" spans="2:10" x14ac:dyDescent="0.25">
      <c r="B179" s="3">
        <f t="shared" si="22"/>
        <v>795</v>
      </c>
      <c r="C179" s="14">
        <f t="shared" si="23"/>
        <v>13.25</v>
      </c>
      <c r="D179" s="11">
        <f t="shared" si="24"/>
        <v>720.13740330139717</v>
      </c>
      <c r="E179" s="24">
        <f t="shared" si="25"/>
        <v>68.07274224599864</v>
      </c>
      <c r="F179" s="38">
        <f t="shared" si="20"/>
        <v>1.2833306530928572</v>
      </c>
      <c r="G179" s="14">
        <f t="shared" si="21"/>
        <v>0</v>
      </c>
      <c r="H179" s="24">
        <f t="shared" si="19"/>
        <v>470.48922333162085</v>
      </c>
      <c r="I179" s="12">
        <f t="shared" si="26"/>
        <v>0.56129522895161643</v>
      </c>
      <c r="J179" s="3"/>
    </row>
    <row r="180" spans="2:10" x14ac:dyDescent="0.25">
      <c r="B180" s="3">
        <f t="shared" si="22"/>
        <v>800</v>
      </c>
      <c r="C180" s="14">
        <f t="shared" si="23"/>
        <v>13.333333333333334</v>
      </c>
      <c r="D180" s="11">
        <f t="shared" si="24"/>
        <v>721.06803732594688</v>
      </c>
      <c r="E180" s="24">
        <f t="shared" si="25"/>
        <v>68.634037474950262</v>
      </c>
      <c r="F180" s="38">
        <f t="shared" si="20"/>
        <v>1.2824538530846858</v>
      </c>
      <c r="G180" s="14">
        <f t="shared" si="21"/>
        <v>0</v>
      </c>
      <c r="H180" s="24">
        <f t="shared" si="19"/>
        <v>470.8108917907777</v>
      </c>
      <c r="I180" s="12">
        <f t="shared" si="26"/>
        <v>0.56224480870627658</v>
      </c>
      <c r="J180" s="3"/>
    </row>
    <row r="181" spans="2:10" x14ac:dyDescent="0.25">
      <c r="B181" s="3">
        <f t="shared" si="22"/>
        <v>805</v>
      </c>
      <c r="C181" s="14">
        <f t="shared" si="23"/>
        <v>13.416666666666666</v>
      </c>
      <c r="D181" s="11">
        <f t="shared" si="24"/>
        <v>721.99292665942812</v>
      </c>
      <c r="E181" s="24">
        <f t="shared" si="25"/>
        <v>69.196282283656544</v>
      </c>
      <c r="F181" s="38">
        <f t="shared" si="20"/>
        <v>1.2815788886213106</v>
      </c>
      <c r="G181" s="14">
        <f t="shared" si="21"/>
        <v>0</v>
      </c>
      <c r="H181" s="24">
        <f t="shared" ref="H181:H244" si="27">IF(E181&lt;600,425+0.773*E181-1.69/1000*E181^2+2.22/1000^2*E181^3,IF(E181&lt;735,666+13002/(738-E181),IF(E181&lt;900,545+17820/(E181-731),650)))</f>
        <v>471.13232561193746</v>
      </c>
      <c r="I181" s="12">
        <f t="shared" si="26"/>
        <v>0.56317631998540241</v>
      </c>
      <c r="J181" s="3"/>
    </row>
    <row r="182" spans="2:10" x14ac:dyDescent="0.25">
      <c r="B182" s="3">
        <f t="shared" si="22"/>
        <v>810</v>
      </c>
      <c r="C182" s="14">
        <f t="shared" si="23"/>
        <v>13.5</v>
      </c>
      <c r="D182" s="11">
        <f t="shared" si="24"/>
        <v>722.91214178951509</v>
      </c>
      <c r="E182" s="24">
        <f t="shared" si="25"/>
        <v>69.759458603641946</v>
      </c>
      <c r="F182" s="38">
        <f t="shared" si="20"/>
        <v>1.2807057868819836</v>
      </c>
      <c r="G182" s="14">
        <f t="shared" si="21"/>
        <v>0</v>
      </c>
      <c r="H182" s="24">
        <f t="shared" si="27"/>
        <v>471.45351292689941</v>
      </c>
      <c r="I182" s="12">
        <f t="shared" si="26"/>
        <v>0.56409008136511185</v>
      </c>
      <c r="J182" s="3"/>
    </row>
    <row r="183" spans="2:10" x14ac:dyDescent="0.25">
      <c r="B183" s="3">
        <f t="shared" si="22"/>
        <v>815</v>
      </c>
      <c r="C183" s="14">
        <f t="shared" si="23"/>
        <v>13.583333333333334</v>
      </c>
      <c r="D183" s="11">
        <f t="shared" si="24"/>
        <v>723.82575191445744</v>
      </c>
      <c r="E183" s="24">
        <f t="shared" si="25"/>
        <v>70.323548685007054</v>
      </c>
      <c r="F183" s="38">
        <f t="shared" si="20"/>
        <v>1.2798345740809054</v>
      </c>
      <c r="G183" s="14">
        <f t="shared" si="21"/>
        <v>0</v>
      </c>
      <c r="H183" s="24">
        <f t="shared" si="27"/>
        <v>471.77444216564118</v>
      </c>
      <c r="I183" s="12">
        <f t="shared" si="26"/>
        <v>0.56498640433723391</v>
      </c>
      <c r="J183" s="3"/>
    </row>
    <row r="184" spans="2:10" x14ac:dyDescent="0.25">
      <c r="B184" s="3">
        <f t="shared" si="22"/>
        <v>820</v>
      </c>
      <c r="C184" s="14">
        <f t="shared" si="23"/>
        <v>13.666666666666666</v>
      </c>
      <c r="D184" s="11">
        <f t="shared" si="24"/>
        <v>724.73382497433931</v>
      </c>
      <c r="E184" s="24">
        <f t="shared" si="25"/>
        <v>70.888535089344288</v>
      </c>
      <c r="F184" s="38">
        <f t="shared" si="20"/>
        <v>1.2789652754913901</v>
      </c>
      <c r="G184" s="14">
        <f t="shared" si="21"/>
        <v>0</v>
      </c>
      <c r="H184" s="24">
        <f t="shared" si="27"/>
        <v>472.09510204984826</v>
      </c>
      <c r="I184" s="12">
        <f t="shared" si="26"/>
        <v>0.56586559350536325</v>
      </c>
      <c r="J184" s="3"/>
    </row>
    <row r="185" spans="2:10" x14ac:dyDescent="0.25">
      <c r="B185" s="3">
        <f t="shared" si="22"/>
        <v>825</v>
      </c>
      <c r="C185" s="14">
        <f t="shared" si="23"/>
        <v>13.75</v>
      </c>
      <c r="D185" s="11">
        <f t="shared" si="24"/>
        <v>725.63642768139675</v>
      </c>
      <c r="E185" s="24">
        <f t="shared" si="25"/>
        <v>71.454400682849652</v>
      </c>
      <c r="F185" s="38">
        <f t="shared" si="20"/>
        <v>1.278097915469405</v>
      </c>
      <c r="G185" s="14">
        <f t="shared" si="21"/>
        <v>0</v>
      </c>
      <c r="H185" s="24">
        <f t="shared" si="27"/>
        <v>472.41548158660902</v>
      </c>
      <c r="I185" s="12">
        <f t="shared" si="26"/>
        <v>0.5667279467742472</v>
      </c>
      <c r="J185" s="3"/>
    </row>
    <row r="186" spans="2:10" x14ac:dyDescent="0.25">
      <c r="B186" s="3">
        <f t="shared" si="22"/>
        <v>830</v>
      </c>
      <c r="C186" s="14">
        <f t="shared" si="23"/>
        <v>13.833333333333334</v>
      </c>
      <c r="D186" s="11">
        <f t="shared" si="24"/>
        <v>726.53362554942794</v>
      </c>
      <c r="E186" s="24">
        <f t="shared" si="25"/>
        <v>72.021128629623902</v>
      </c>
      <c r="F186" s="38">
        <f t="shared" si="20"/>
        <v>1.2772325174765027</v>
      </c>
      <c r="G186" s="14">
        <f t="shared" si="21"/>
        <v>0</v>
      </c>
      <c r="H186" s="24">
        <f t="shared" si="27"/>
        <v>472.73557006226804</v>
      </c>
      <c r="I186" s="12">
        <f t="shared" si="26"/>
        <v>0.56757375553277023</v>
      </c>
      <c r="J186" s="3"/>
    </row>
    <row r="187" spans="2:10" x14ac:dyDescent="0.25">
      <c r="B187" s="3">
        <f t="shared" si="22"/>
        <v>835</v>
      </c>
      <c r="C187" s="14">
        <f t="shared" si="23"/>
        <v>13.916666666666666</v>
      </c>
      <c r="D187" s="11">
        <f t="shared" si="24"/>
        <v>727.42548292232823</v>
      </c>
      <c r="E187" s="24">
        <f t="shared" si="25"/>
        <v>72.588702385156679</v>
      </c>
      <c r="F187" s="38">
        <f t="shared" si="20"/>
        <v>1.2763691041021592</v>
      </c>
      <c r="G187" s="14">
        <f t="shared" si="21"/>
        <v>0</v>
      </c>
      <c r="H187" s="24">
        <f t="shared" si="27"/>
        <v>473.05535703643386</v>
      </c>
      <c r="I187" s="12">
        <f t="shared" si="26"/>
        <v>0.56840330483090407</v>
      </c>
      <c r="J187" s="3"/>
    </row>
    <row r="188" spans="2:10" x14ac:dyDescent="0.25">
      <c r="B188" s="3">
        <f t="shared" si="22"/>
        <v>840</v>
      </c>
      <c r="C188" s="14">
        <f t="shared" si="23"/>
        <v>14</v>
      </c>
      <c r="D188" s="11">
        <f t="shared" si="24"/>
        <v>728.31206300177973</v>
      </c>
      <c r="E188" s="24">
        <f t="shared" si="25"/>
        <v>73.157105689987588</v>
      </c>
      <c r="F188" s="38">
        <f t="shared" si="20"/>
        <v>1.275507697085543</v>
      </c>
      <c r="G188" s="14">
        <f t="shared" si="21"/>
        <v>0</v>
      </c>
      <c r="H188" s="24">
        <f t="shared" si="27"/>
        <v>473.37483233613619</v>
      </c>
      <c r="I188" s="12">
        <f t="shared" si="26"/>
        <v>0.56921687355100237</v>
      </c>
      <c r="J188" s="3"/>
    </row>
    <row r="189" spans="2:10" x14ac:dyDescent="0.25">
      <c r="B189" s="3">
        <f t="shared" si="22"/>
        <v>845</v>
      </c>
      <c r="C189" s="14">
        <f t="shared" si="23"/>
        <v>14.083333333333334</v>
      </c>
      <c r="D189" s="11">
        <f t="shared" si="24"/>
        <v>729.19342787412802</v>
      </c>
      <c r="E189" s="24">
        <f t="shared" si="25"/>
        <v>73.726322563538588</v>
      </c>
      <c r="F189" s="38">
        <f t="shared" si="20"/>
        <v>1.2746483173367222</v>
      </c>
      <c r="G189" s="14">
        <f t="shared" si="21"/>
        <v>0</v>
      </c>
      <c r="H189" s="24">
        <f t="shared" si="27"/>
        <v>473.69398605012782</v>
      </c>
      <c r="I189" s="12">
        <f t="shared" si="26"/>
        <v>0.57001473457309493</v>
      </c>
      <c r="J189" s="3"/>
    </row>
    <row r="190" spans="2:10" x14ac:dyDescent="0.25">
      <c r="B190" s="3">
        <f t="shared" si="22"/>
        <v>850</v>
      </c>
      <c r="C190" s="14">
        <f t="shared" si="23"/>
        <v>14.166666666666666</v>
      </c>
      <c r="D190" s="11">
        <f t="shared" si="24"/>
        <v>730.06963853647221</v>
      </c>
      <c r="E190" s="24">
        <f t="shared" si="25"/>
        <v>74.296337298111681</v>
      </c>
      <c r="F190" s="38">
        <f t="shared" si="20"/>
        <v>1.2737909849573301</v>
      </c>
      <c r="G190" s="14">
        <f t="shared" si="21"/>
        <v>0</v>
      </c>
      <c r="H190" s="24">
        <f t="shared" si="27"/>
        <v>474.01280852332781</v>
      </c>
      <c r="I190" s="12">
        <f t="shared" si="26"/>
        <v>0.57079715493510086</v>
      </c>
      <c r="J190" s="3"/>
    </row>
    <row r="191" spans="2:10" x14ac:dyDescent="0.25">
      <c r="B191" s="3">
        <f t="shared" si="22"/>
        <v>855</v>
      </c>
      <c r="C191" s="14">
        <f t="shared" si="23"/>
        <v>14.25</v>
      </c>
      <c r="D191" s="11">
        <f t="shared" si="24"/>
        <v>730.9407549219959</v>
      </c>
      <c r="E191" s="24">
        <f t="shared" si="25"/>
        <v>74.867134453046788</v>
      </c>
      <c r="F191" s="38">
        <f t="shared" si="20"/>
        <v>1.2729357192607109</v>
      </c>
      <c r="G191" s="14">
        <f t="shared" si="21"/>
        <v>0</v>
      </c>
      <c r="H191" s="24">
        <f t="shared" si="27"/>
        <v>474.33129035139967</v>
      </c>
      <c r="I191" s="12">
        <f t="shared" si="26"/>
        <v>0.57156439598784936</v>
      </c>
      <c r="J191" s="3"/>
    </row>
    <row r="192" spans="2:10" x14ac:dyDescent="0.25">
      <c r="B192" s="3">
        <f t="shared" si="22"/>
        <v>860</v>
      </c>
      <c r="C192" s="14">
        <f t="shared" si="23"/>
        <v>14.333333333333334</v>
      </c>
      <c r="D192" s="11">
        <f t="shared" si="24"/>
        <v>731.80683592456774</v>
      </c>
      <c r="E192" s="24">
        <f t="shared" si="25"/>
        <v>75.438698849034637</v>
      </c>
      <c r="F192" s="38">
        <f t="shared" si="20"/>
        <v>1.2720825387915451</v>
      </c>
      <c r="G192" s="14">
        <f t="shared" si="21"/>
        <v>0</v>
      </c>
      <c r="H192" s="24">
        <f t="shared" si="27"/>
        <v>474.64942237546353</v>
      </c>
      <c r="I192" s="12">
        <f t="shared" si="26"/>
        <v>0.57231671354476576</v>
      </c>
      <c r="J192" s="3"/>
    </row>
    <row r="193" spans="2:10" x14ac:dyDescent="0.25">
      <c r="B193" s="3">
        <f t="shared" si="22"/>
        <v>865</v>
      </c>
      <c r="C193" s="14">
        <f t="shared" si="23"/>
        <v>14.416666666666666</v>
      </c>
      <c r="D193" s="11">
        <f t="shared" si="24"/>
        <v>732.66793942263337</v>
      </c>
      <c r="E193" s="24">
        <f t="shared" si="25"/>
        <v>76.011015562579402</v>
      </c>
      <c r="F193" s="38">
        <f t="shared" si="20"/>
        <v>1.2712314613449862</v>
      </c>
      <c r="G193" s="14">
        <f t="shared" si="21"/>
        <v>0</v>
      </c>
      <c r="H193" s="24">
        <f t="shared" si="27"/>
        <v>474.96719567693498</v>
      </c>
      <c r="I193" s="12">
        <f t="shared" si="26"/>
        <v>0.57305435802723426</v>
      </c>
      <c r="J193" s="3"/>
    </row>
    <row r="194" spans="2:10" x14ac:dyDescent="0.25">
      <c r="B194" s="3">
        <f t="shared" si="22"/>
        <v>870</v>
      </c>
      <c r="C194" s="14">
        <f t="shared" si="23"/>
        <v>14.5</v>
      </c>
      <c r="D194" s="11">
        <f t="shared" si="24"/>
        <v>733.52412230242578</v>
      </c>
      <c r="E194" s="24">
        <f t="shared" si="25"/>
        <v>76.584069920606638</v>
      </c>
      <c r="F194" s="38">
        <f t="shared" si="20"/>
        <v>1.2703825039853096</v>
      </c>
      <c r="G194" s="14">
        <f t="shared" si="21"/>
        <v>0</v>
      </c>
      <c r="H194" s="24">
        <f t="shared" si="27"/>
        <v>475.28460157248992</v>
      </c>
      <c r="I194" s="12">
        <f t="shared" si="26"/>
        <v>0.57377757460497503</v>
      </c>
      <c r="J194" s="3"/>
    </row>
    <row r="195" spans="2:10" x14ac:dyDescent="0.25">
      <c r="B195" s="3">
        <f t="shared" si="22"/>
        <v>875</v>
      </c>
      <c r="C195" s="14">
        <f t="shared" si="23"/>
        <v>14.583333333333334</v>
      </c>
      <c r="D195" s="11">
        <f t="shared" si="24"/>
        <v>734.37544048051529</v>
      </c>
      <c r="E195" s="24">
        <f t="shared" si="25"/>
        <v>77.157847495211612</v>
      </c>
      <c r="F195" s="38">
        <f t="shared" si="20"/>
        <v>1.2695356830640971</v>
      </c>
      <c r="G195" s="14">
        <f t="shared" si="21"/>
        <v>0</v>
      </c>
      <c r="H195" s="24">
        <f t="shared" si="27"/>
        <v>475.60163160914908</v>
      </c>
      <c r="I195" s="12">
        <f t="shared" si="26"/>
        <v>0.57448660333223478</v>
      </c>
      <c r="J195" s="3"/>
    </row>
    <row r="196" spans="2:10" x14ac:dyDescent="0.25">
      <c r="B196" s="3">
        <f t="shared" si="22"/>
        <v>880</v>
      </c>
      <c r="C196" s="14">
        <f t="shared" si="23"/>
        <v>14.666666666666666</v>
      </c>
      <c r="D196" s="11">
        <f t="shared" si="24"/>
        <v>735.22194892572395</v>
      </c>
      <c r="E196" s="24">
        <f t="shared" si="25"/>
        <v>77.732334098543845</v>
      </c>
      <c r="F196" s="38">
        <f t="shared" si="20"/>
        <v>1.2686910142379575</v>
      </c>
      <c r="G196" s="14">
        <f t="shared" si="21"/>
        <v>0</v>
      </c>
      <c r="H196" s="24">
        <f t="shared" si="27"/>
        <v>475.91827755948128</v>
      </c>
      <c r="I196" s="12">
        <f t="shared" si="26"/>
        <v>0.57518167927938546</v>
      </c>
      <c r="J196" s="3"/>
    </row>
    <row r="197" spans="2:10" x14ac:dyDescent="0.25">
      <c r="B197" s="3">
        <f t="shared" si="22"/>
        <v>885</v>
      </c>
      <c r="C197" s="14">
        <f t="shared" si="23"/>
        <v>14.75</v>
      </c>
      <c r="D197" s="11">
        <f t="shared" si="24"/>
        <v>736.06370168042304</v>
      </c>
      <c r="E197" s="24">
        <f t="shared" si="25"/>
        <v>78.307515777823227</v>
      </c>
      <c r="F197" s="38">
        <f t="shared" si="20"/>
        <v>1.2678485124858148</v>
      </c>
      <c r="G197" s="14">
        <f t="shared" si="21"/>
        <v>0</v>
      </c>
      <c r="H197" s="24">
        <f t="shared" si="27"/>
        <v>476.23453141691931</v>
      </c>
      <c r="I197" s="12">
        <f t="shared" si="26"/>
        <v>0.57586303266077488</v>
      </c>
      <c r="J197" s="3"/>
    </row>
    <row r="198" spans="2:10" x14ac:dyDescent="0.25">
      <c r="B198" s="3">
        <f t="shared" si="22"/>
        <v>890</v>
      </c>
      <c r="C198" s="14">
        <f t="shared" si="23"/>
        <v>14.833333333333334</v>
      </c>
      <c r="D198" s="11">
        <f t="shared" si="24"/>
        <v>736.9007518812366</v>
      </c>
      <c r="E198" s="24">
        <f t="shared" si="25"/>
        <v>78.883378810484004</v>
      </c>
      <c r="F198" s="38">
        <f t="shared" si="20"/>
        <v>1.2670081921257534</v>
      </c>
      <c r="G198" s="14">
        <f t="shared" si="21"/>
        <v>0</v>
      </c>
      <c r="H198" s="24">
        <f t="shared" si="27"/>
        <v>476.55038539118794</v>
      </c>
      <c r="I198" s="12">
        <f t="shared" si="26"/>
        <v>0.57653088895830273</v>
      </c>
      <c r="J198" s="3"/>
    </row>
    <row r="199" spans="2:10" x14ac:dyDescent="0.25">
      <c r="B199" s="3">
        <f t="shared" si="22"/>
        <v>895</v>
      </c>
      <c r="C199" s="14">
        <f t="shared" si="23"/>
        <v>14.916666666666666</v>
      </c>
      <c r="D199" s="11">
        <f t="shared" si="24"/>
        <v>737.73315177916845</v>
      </c>
      <c r="E199" s="24">
        <f t="shared" si="25"/>
        <v>79.459909699442306</v>
      </c>
      <c r="F199" s="38">
        <f t="shared" si="20"/>
        <v>1.2661700668314544</v>
      </c>
      <c r="G199" s="14">
        <f t="shared" si="21"/>
        <v>0</v>
      </c>
      <c r="H199" s="24">
        <f t="shared" si="27"/>
        <v>476.86583190383834</v>
      </c>
      <c r="I199" s="12">
        <f t="shared" si="26"/>
        <v>0.57718546904149981</v>
      </c>
      <c r="J199" s="3"/>
    </row>
    <row r="200" spans="2:10" x14ac:dyDescent="0.25">
      <c r="B200" s="3">
        <f t="shared" si="22"/>
        <v>900</v>
      </c>
      <c r="C200" s="14">
        <f t="shared" si="23"/>
        <v>15</v>
      </c>
      <c r="D200" s="11">
        <f t="shared" si="24"/>
        <v>738.56095275917517</v>
      </c>
      <c r="E200" s="24">
        <f t="shared" si="25"/>
        <v>80.037095168483802</v>
      </c>
      <c r="F200" s="38">
        <f t="shared" si="20"/>
        <v>1.2653341496482158</v>
      </c>
      <c r="G200" s="14">
        <f t="shared" si="21"/>
        <v>0</v>
      </c>
      <c r="H200" s="24">
        <f t="shared" si="27"/>
        <v>477.18086358388791</v>
      </c>
      <c r="I200" s="12">
        <f t="shared" si="26"/>
        <v>0.57782698928345444</v>
      </c>
      <c r="J200" s="3"/>
    </row>
    <row r="201" spans="2:10" x14ac:dyDescent="0.25">
      <c r="B201" s="3">
        <f t="shared" si="22"/>
        <v>905</v>
      </c>
      <c r="C201" s="14">
        <f t="shared" si="23"/>
        <v>15.083333333333334</v>
      </c>
      <c r="D201" s="11">
        <f t="shared" si="24"/>
        <v>739.38420535920011</v>
      </c>
      <c r="E201" s="24">
        <f t="shared" si="25"/>
        <v>80.614922157767253</v>
      </c>
      <c r="F201" s="38">
        <f t="shared" si="20"/>
        <v>1.2645004530085815</v>
      </c>
      <c r="G201" s="14">
        <f t="shared" si="21"/>
        <v>0</v>
      </c>
      <c r="H201" s="24">
        <f t="shared" si="27"/>
        <v>477.49547326356122</v>
      </c>
      <c r="I201" s="12">
        <f t="shared" si="26"/>
        <v>0.57845566167364204</v>
      </c>
      <c r="J201" s="3"/>
    </row>
    <row r="202" spans="2:10" x14ac:dyDescent="0.25">
      <c r="B202" s="3">
        <f t="shared" si="22"/>
        <v>910</v>
      </c>
      <c r="C202" s="14">
        <f t="shared" si="23"/>
        <v>15.166666666666666</v>
      </c>
      <c r="D202" s="11">
        <f t="shared" si="24"/>
        <v>740.20295928868723</v>
      </c>
      <c r="E202" s="24">
        <f t="shared" si="25"/>
        <v>81.193377819440897</v>
      </c>
      <c r="F202" s="38">
        <f t="shared" si="20"/>
        <v>1.2636689887475807</v>
      </c>
      <c r="G202" s="14">
        <f t="shared" si="21"/>
        <v>0</v>
      </c>
      <c r="H202" s="24">
        <f t="shared" si="27"/>
        <v>477.80965397412996</v>
      </c>
      <c r="I202" s="12">
        <f t="shared" si="26"/>
        <v>0.5790716939271866</v>
      </c>
      <c r="J202" s="3"/>
    </row>
    <row r="203" spans="2:10" x14ac:dyDescent="0.25">
      <c r="B203" s="3">
        <f t="shared" si="22"/>
        <v>915</v>
      </c>
      <c r="C203" s="14">
        <f t="shared" si="23"/>
        <v>15.25</v>
      </c>
      <c r="D203" s="11">
        <f t="shared" si="24"/>
        <v>741.01726344659221</v>
      </c>
      <c r="E203" s="24">
        <f t="shared" si="25"/>
        <v>81.772449513368088</v>
      </c>
      <c r="F203" s="38">
        <f t="shared" si="20"/>
        <v>1.2628397681175945</v>
      </c>
      <c r="G203" s="14">
        <f t="shared" si="21"/>
        <v>0</v>
      </c>
      <c r="H203" s="24">
        <f t="shared" si="27"/>
        <v>478.12339894184856</v>
      </c>
      <c r="I203" s="12">
        <f t="shared" si="26"/>
        <v>0.57967528959073067</v>
      </c>
      <c r="J203" s="3"/>
    </row>
    <row r="204" spans="2:10" x14ac:dyDescent="0.25">
      <c r="B204" s="3">
        <f t="shared" si="22"/>
        <v>920</v>
      </c>
      <c r="C204" s="14">
        <f t="shared" si="23"/>
        <v>15.333333333333334</v>
      </c>
      <c r="D204" s="11">
        <f t="shared" si="24"/>
        <v>741.82716593890734</v>
      </c>
      <c r="E204" s="24">
        <f t="shared" si="25"/>
        <v>82.352124802958812</v>
      </c>
      <c r="F204" s="38">
        <f t="shared" si="20"/>
        <v>1.262012801802856</v>
      </c>
      <c r="G204" s="14">
        <f t="shared" si="21"/>
        <v>0</v>
      </c>
      <c r="H204" s="24">
        <f t="shared" si="27"/>
        <v>478.43670158398368</v>
      </c>
      <c r="I204" s="12">
        <f t="shared" si="26"/>
        <v>0.58026664814514062</v>
      </c>
      <c r="J204" s="3"/>
    </row>
    <row r="205" spans="2:10" x14ac:dyDescent="0.25">
      <c r="B205" s="3">
        <f t="shared" si="22"/>
        <v>925</v>
      </c>
      <c r="C205" s="14">
        <f t="shared" si="23"/>
        <v>15.416666666666666</v>
      </c>
      <c r="D205" s="11">
        <f t="shared" si="24"/>
        <v>742.63271409571371</v>
      </c>
      <c r="E205" s="24">
        <f t="shared" si="25"/>
        <v>82.932391451103953</v>
      </c>
      <c r="F205" s="38">
        <f t="shared" si="20"/>
        <v>1.2611880999335934</v>
      </c>
      <c r="G205" s="14">
        <f t="shared" si="21"/>
        <v>0</v>
      </c>
      <c r="H205" s="24">
        <f t="shared" si="27"/>
        <v>478.74955550493399</v>
      </c>
      <c r="I205" s="12">
        <f t="shared" si="26"/>
        <v>0.5808459651054042</v>
      </c>
      <c r="J205" s="3"/>
    </row>
    <row r="206" spans="2:10" x14ac:dyDescent="0.25">
      <c r="B206" s="3">
        <f t="shared" si="22"/>
        <v>930</v>
      </c>
      <c r="C206" s="14">
        <f t="shared" si="23"/>
        <v>15.5</v>
      </c>
      <c r="D206" s="11">
        <f t="shared" si="24"/>
        <v>743.43395448777937</v>
      </c>
      <c r="E206" s="24">
        <f t="shared" si="25"/>
        <v>83.513237416209364</v>
      </c>
      <c r="F206" s="38">
        <f t="shared" si="20"/>
        <v>1.2603656720998304</v>
      </c>
      <c r="G206" s="14">
        <f t="shared" si="21"/>
        <v>0</v>
      </c>
      <c r="H206" s="24">
        <f t="shared" si="27"/>
        <v>479.06195449243819</v>
      </c>
      <c r="I206" s="12">
        <f t="shared" si="26"/>
        <v>0.5814134321171156</v>
      </c>
      <c r="J206" s="3"/>
    </row>
    <row r="207" spans="2:10" x14ac:dyDescent="0.25">
      <c r="B207" s="3">
        <f t="shared" si="22"/>
        <v>935</v>
      </c>
      <c r="C207" s="14">
        <f t="shared" si="23"/>
        <v>15.583333333333334</v>
      </c>
      <c r="D207" s="11">
        <f t="shared" si="24"/>
        <v>744.23093294271484</v>
      </c>
      <c r="E207" s="24">
        <f t="shared" si="25"/>
        <v>84.094650848326481</v>
      </c>
      <c r="F207" s="38">
        <f t="shared" si="20"/>
        <v>1.2595455273648444</v>
      </c>
      <c r="G207" s="14">
        <f t="shared" si="21"/>
        <v>0</v>
      </c>
      <c r="H207" s="24">
        <f t="shared" si="27"/>
        <v>479.37389251386958</v>
      </c>
      <c r="I207" s="12">
        <f t="shared" si="26"/>
        <v>0.58196923705053094</v>
      </c>
      <c r="J207" s="3"/>
    </row>
    <row r="208" spans="2:10" x14ac:dyDescent="0.25">
      <c r="B208" s="3">
        <f t="shared" si="22"/>
        <v>940</v>
      </c>
      <c r="C208" s="14">
        <f t="shared" si="23"/>
        <v>15.666666666666666</v>
      </c>
      <c r="D208" s="11">
        <f t="shared" si="24"/>
        <v>745.0236945607013</v>
      </c>
      <c r="E208" s="24">
        <f t="shared" si="25"/>
        <v>84.67662008537701</v>
      </c>
      <c r="F208" s="38">
        <f t="shared" si="20"/>
        <v>1.2587276742783045</v>
      </c>
      <c r="G208" s="14">
        <f t="shared" si="21"/>
        <v>0</v>
      </c>
      <c r="H208" s="24">
        <f t="shared" si="27"/>
        <v>479.68536371261308</v>
      </c>
      <c r="I208" s="12">
        <f t="shared" si="26"/>
        <v>0.58251356409167632</v>
      </c>
      <c r="J208" s="3"/>
    </row>
    <row r="209" spans="2:10" x14ac:dyDescent="0.25">
      <c r="B209" s="3">
        <f t="shared" si="22"/>
        <v>945</v>
      </c>
      <c r="C209" s="14">
        <f t="shared" si="23"/>
        <v>15.75</v>
      </c>
      <c r="D209" s="11">
        <f t="shared" si="24"/>
        <v>745.81228372980513</v>
      </c>
      <c r="E209" s="24">
        <f t="shared" si="25"/>
        <v>85.25913364946868</v>
      </c>
      <c r="F209" s="38">
        <f t="shared" si="20"/>
        <v>1.2579121208890816</v>
      </c>
      <c r="G209" s="14">
        <f t="shared" si="21"/>
        <v>0</v>
      </c>
      <c r="H209" s="24">
        <f t="shared" si="27"/>
        <v>479.99636240452486</v>
      </c>
      <c r="I209" s="12">
        <f t="shared" si="26"/>
        <v>0.58304659383079405</v>
      </c>
      <c r="J209" s="3"/>
    </row>
    <row r="210" spans="2:10" x14ac:dyDescent="0.25">
      <c r="B210" s="3">
        <f t="shared" si="22"/>
        <v>950</v>
      </c>
      <c r="C210" s="14">
        <f t="shared" si="23"/>
        <v>15.833333333333334</v>
      </c>
      <c r="D210" s="11">
        <f t="shared" si="24"/>
        <v>746.59674414089125</v>
      </c>
      <c r="E210" s="24">
        <f t="shared" si="25"/>
        <v>85.842180243299481</v>
      </c>
      <c r="F210" s="38">
        <f t="shared" si="20"/>
        <v>1.2570988747577543</v>
      </c>
      <c r="G210" s="14">
        <f t="shared" si="21"/>
        <v>0</v>
      </c>
      <c r="H210" s="24">
        <f t="shared" si="27"/>
        <v>480.30688307446974</v>
      </c>
      <c r="I210" s="12">
        <f t="shared" si="26"/>
        <v>0.58356850334828825</v>
      </c>
      <c r="J210" s="3"/>
    </row>
    <row r="211" spans="2:10" x14ac:dyDescent="0.25">
      <c r="B211" s="3">
        <f t="shared" si="22"/>
        <v>955</v>
      </c>
      <c r="C211" s="14">
        <f t="shared" si="23"/>
        <v>15.916666666666666</v>
      </c>
      <c r="D211" s="11">
        <f t="shared" si="24"/>
        <v>747.37711880214908</v>
      </c>
      <c r="E211" s="24">
        <f t="shared" si="25"/>
        <v>86.42574874664777</v>
      </c>
      <c r="F211" s="38">
        <f t="shared" si="20"/>
        <v>1.2562879429688081</v>
      </c>
      <c r="G211" s="14">
        <f t="shared" si="21"/>
        <v>0</v>
      </c>
      <c r="H211" s="24">
        <f t="shared" si="27"/>
        <v>480.61692037293676</v>
      </c>
      <c r="I211" s="12">
        <f t="shared" si="26"/>
        <v>0.58407946629801311</v>
      </c>
      <c r="J211" s="3"/>
    </row>
    <row r="212" spans="2:10" x14ac:dyDescent="0.25">
      <c r="B212" s="3">
        <f t="shared" si="22"/>
        <v>960</v>
      </c>
      <c r="C212" s="14">
        <f t="shared" si="23"/>
        <v>16</v>
      </c>
      <c r="D212" s="11">
        <f t="shared" si="24"/>
        <v>748.15345005324082</v>
      </c>
      <c r="E212" s="24">
        <f t="shared" si="25"/>
        <v>87.009828212945777</v>
      </c>
      <c r="F212" s="38">
        <f t="shared" ref="F212:F275" si="28">Cp*RhoP/(RhoA*H212)*dp/1000*MassivP</f>
        <v>1.2554793321425428</v>
      </c>
      <c r="G212" s="14">
        <f t="shared" ref="G212:G275" si="29">Phi*EpsilonF*Botzman/10^8*J212*((D212+273)^4-(E212+273)^4)</f>
        <v>0</v>
      </c>
      <c r="H212" s="24">
        <f t="shared" si="27"/>
        <v>480.92646911272885</v>
      </c>
      <c r="I212" s="12">
        <f t="shared" si="26"/>
        <v>0.5845796529885029</v>
      </c>
      <c r="J212" s="3"/>
    </row>
    <row r="213" spans="2:10" x14ac:dyDescent="0.25">
      <c r="B213" s="3">
        <f t="shared" ref="B213:B276" si="30">B212+DeltaT</f>
        <v>965</v>
      </c>
      <c r="C213" s="14">
        <f t="shared" ref="C213:C276" si="31">B213/60</f>
        <v>16.083333333333332</v>
      </c>
      <c r="D213" s="11">
        <f t="shared" ref="D213:D276" si="32">20+345*LOG(8*C213+1,10)</f>
        <v>748.92577957908554</v>
      </c>
      <c r="E213" s="24">
        <f t="shared" ref="E213:E276" si="33">E212+IF(Limit=Oui,MAX(0,I212),I212)</f>
        <v>87.594407865934286</v>
      </c>
      <c r="F213" s="38">
        <f t="shared" si="28"/>
        <v>1.2546730484466908</v>
      </c>
      <c r="G213" s="14">
        <f t="shared" si="29"/>
        <v>0</v>
      </c>
      <c r="H213" s="24">
        <f t="shared" si="27"/>
        <v>481.23552426572621</v>
      </c>
      <c r="I213" s="12">
        <f t="shared" ref="I213:I276" si="34">LambdaP*MassivP/(dp/1000)/(H213*RhoA)/(1+F213/3)*(D213-E213)*DeltaT-(EXP(F213/10)-1)*(D213-D212)</f>
        <v>0.5850692304616073</v>
      </c>
      <c r="J213" s="3"/>
    </row>
    <row r="214" spans="2:10" x14ac:dyDescent="0.25">
      <c r="B214" s="3">
        <f t="shared" si="30"/>
        <v>970</v>
      </c>
      <c r="C214" s="14">
        <f t="shared" si="31"/>
        <v>16.166666666666668</v>
      </c>
      <c r="D214" s="11">
        <f t="shared" si="32"/>
        <v>749.69414842329047</v>
      </c>
      <c r="E214" s="24">
        <f t="shared" si="33"/>
        <v>88.1794770963959</v>
      </c>
      <c r="F214" s="38">
        <f t="shared" si="28"/>
        <v>1.2538690976077551</v>
      </c>
      <c r="G214" s="14">
        <f t="shared" si="29"/>
        <v>0</v>
      </c>
      <c r="H214" s="24">
        <f t="shared" si="27"/>
        <v>481.54408095972019</v>
      </c>
      <c r="I214" s="12">
        <f t="shared" si="34"/>
        <v>0.58554836256891951</v>
      </c>
      <c r="J214" s="3"/>
    </row>
    <row r="215" spans="2:10" x14ac:dyDescent="0.25">
      <c r="B215" s="3">
        <f t="shared" si="30"/>
        <v>975</v>
      </c>
      <c r="C215" s="14">
        <f t="shared" si="31"/>
        <v>16.25</v>
      </c>
      <c r="D215" s="11">
        <f t="shared" si="32"/>
        <v>750.45859700123856</v>
      </c>
      <c r="E215" s="24">
        <f t="shared" si="33"/>
        <v>88.765025458964814</v>
      </c>
      <c r="F215" s="38">
        <f t="shared" si="28"/>
        <v>1.2530674849220791</v>
      </c>
      <c r="G215" s="14">
        <f t="shared" si="29"/>
        <v>0</v>
      </c>
      <c r="H215" s="24">
        <f t="shared" si="27"/>
        <v>481.85213447531646</v>
      </c>
      <c r="I215" s="12">
        <f t="shared" si="34"/>
        <v>0.58601721004622509</v>
      </c>
      <c r="J215" s="3"/>
    </row>
    <row r="216" spans="2:10" x14ac:dyDescent="0.25">
      <c r="B216" s="3">
        <f t="shared" si="30"/>
        <v>980</v>
      </c>
      <c r="C216" s="14">
        <f t="shared" si="31"/>
        <v>16.333333333333332</v>
      </c>
      <c r="D216" s="11">
        <f t="shared" si="32"/>
        <v>751.21916511284519</v>
      </c>
      <c r="E216" s="24">
        <f t="shared" si="33"/>
        <v>89.351042669011036</v>
      </c>
      <c r="F216" s="38">
        <f t="shared" si="28"/>
        <v>1.2522682152666444</v>
      </c>
      <c r="G216" s="14">
        <f t="shared" si="29"/>
        <v>0</v>
      </c>
      <c r="H216" s="24">
        <f t="shared" si="27"/>
        <v>482.15968024290618</v>
      </c>
      <c r="I216" s="12">
        <f t="shared" si="34"/>
        <v>0.58647593058557601</v>
      </c>
      <c r="J216" s="3"/>
    </row>
    <row r="217" spans="2:10" x14ac:dyDescent="0.25">
      <c r="B217" s="3">
        <f t="shared" si="30"/>
        <v>985</v>
      </c>
      <c r="C217" s="14">
        <f t="shared" si="31"/>
        <v>16.416666666666668</v>
      </c>
      <c r="D217" s="11">
        <f t="shared" si="32"/>
        <v>751.97589195499108</v>
      </c>
      <c r="E217" s="24">
        <f t="shared" si="33"/>
        <v>89.937518599596615</v>
      </c>
      <c r="F217" s="38">
        <f t="shared" si="28"/>
        <v>1.2514712931096179</v>
      </c>
      <c r="G217" s="14">
        <f t="shared" si="29"/>
        <v>0</v>
      </c>
      <c r="H217" s="24">
        <f t="shared" si="27"/>
        <v>482.46671383970221</v>
      </c>
      <c r="I217" s="12">
        <f t="shared" si="34"/>
        <v>0.58692467890573119</v>
      </c>
      <c r="J217" s="3"/>
    </row>
    <row r="218" spans="2:10" x14ac:dyDescent="0.25">
      <c r="B218" s="3">
        <f t="shared" si="30"/>
        <v>990</v>
      </c>
      <c r="C218" s="14">
        <f t="shared" si="31"/>
        <v>16.5</v>
      </c>
      <c r="D218" s="11">
        <f t="shared" si="32"/>
        <v>752.72881613364461</v>
      </c>
      <c r="E218" s="24">
        <f t="shared" si="33"/>
        <v>90.524443278502346</v>
      </c>
      <c r="F218" s="38">
        <f t="shared" si="28"/>
        <v>1.2506767225206397</v>
      </c>
      <c r="G218" s="14">
        <f t="shared" si="29"/>
        <v>0</v>
      </c>
      <c r="H218" s="24">
        <f t="shared" si="27"/>
        <v>482.77323098683951</v>
      </c>
      <c r="I218" s="12">
        <f t="shared" si="34"/>
        <v>0.58736360682018385</v>
      </c>
      <c r="J218" s="3"/>
    </row>
    <row r="219" spans="2:10" x14ac:dyDescent="0.25">
      <c r="B219" s="3">
        <f t="shared" si="30"/>
        <v>995</v>
      </c>
      <c r="C219" s="14">
        <f t="shared" si="31"/>
        <v>16.583333333333332</v>
      </c>
      <c r="D219" s="11">
        <f t="shared" si="32"/>
        <v>753.4779756756792</v>
      </c>
      <c r="E219" s="24">
        <f t="shared" si="33"/>
        <v>91.111806885322537</v>
      </c>
      <c r="F219" s="38">
        <f t="shared" si="28"/>
        <v>1.2498845071808695</v>
      </c>
      <c r="G219" s="14">
        <f t="shared" si="29"/>
        <v>0</v>
      </c>
      <c r="H219" s="24">
        <f t="shared" si="27"/>
        <v>483.07922754653822</v>
      </c>
      <c r="I219" s="12">
        <f t="shared" si="34"/>
        <v>0.58779286330379077</v>
      </c>
      <c r="J219" s="3"/>
    </row>
    <row r="220" spans="2:10" x14ac:dyDescent="0.25">
      <c r="B220" s="3">
        <f t="shared" si="30"/>
        <v>1000</v>
      </c>
      <c r="C220" s="14">
        <f t="shared" si="31"/>
        <v>16.666666666666668</v>
      </c>
      <c r="D220" s="11">
        <f t="shared" si="32"/>
        <v>754.22340804039925</v>
      </c>
      <c r="E220" s="24">
        <f t="shared" si="33"/>
        <v>91.699599748626326</v>
      </c>
      <c r="F220" s="38">
        <f t="shared" si="28"/>
        <v>1.2490946503927955</v>
      </c>
      <c r="G220" s="14">
        <f t="shared" si="29"/>
        <v>0</v>
      </c>
      <c r="H220" s="24">
        <f t="shared" si="27"/>
        <v>483.38469951932683</v>
      </c>
      <c r="I220" s="12">
        <f t="shared" si="34"/>
        <v>0.58821259455699604</v>
      </c>
      <c r="J220" s="3"/>
    </row>
    <row r="221" spans="2:10" x14ac:dyDescent="0.25">
      <c r="B221" s="3">
        <f t="shared" si="30"/>
        <v>1005</v>
      </c>
      <c r="C221" s="14">
        <f t="shared" si="31"/>
        <v>16.75</v>
      </c>
      <c r="D221" s="11">
        <f t="shared" si="32"/>
        <v>754.96515013077715</v>
      </c>
      <c r="E221" s="24">
        <f t="shared" si="33"/>
        <v>92.287812343183319</v>
      </c>
      <c r="F221" s="38">
        <f t="shared" si="28"/>
        <v>1.2483071550898048</v>
      </c>
      <c r="G221" s="14">
        <f t="shared" si="29"/>
        <v>0</v>
      </c>
      <c r="H221" s="24">
        <f t="shared" si="27"/>
        <v>483.68964304132538</v>
      </c>
      <c r="I221" s="12">
        <f t="shared" si="34"/>
        <v>0.58862294406910087</v>
      </c>
      <c r="J221" s="3"/>
    </row>
    <row r="222" spans="2:10" x14ac:dyDescent="0.25">
      <c r="B222" s="3">
        <f t="shared" si="30"/>
        <v>1010</v>
      </c>
      <c r="C222" s="14">
        <f t="shared" si="31"/>
        <v>16.833333333333332</v>
      </c>
      <c r="D222" s="11">
        <f t="shared" si="32"/>
        <v>755.70323830441725</v>
      </c>
      <c r="E222" s="24">
        <f t="shared" si="33"/>
        <v>92.87643528725242</v>
      </c>
      <c r="F222" s="38">
        <f t="shared" si="28"/>
        <v>1.2475220238455309</v>
      </c>
      <c r="G222" s="14">
        <f t="shared" si="29"/>
        <v>0</v>
      </c>
      <c r="H222" s="24">
        <f t="shared" si="27"/>
        <v>483.99405438158601</v>
      </c>
      <c r="I222" s="12">
        <f t="shared" si="34"/>
        <v>0.58902405267884428</v>
      </c>
      <c r="J222" s="3"/>
    </row>
    <row r="223" spans="2:10" x14ac:dyDescent="0.25">
      <c r="B223" s="3">
        <f t="shared" si="30"/>
        <v>1015</v>
      </c>
      <c r="C223" s="14">
        <f t="shared" si="31"/>
        <v>16.916666666666668</v>
      </c>
      <c r="D223" s="11">
        <f t="shared" si="32"/>
        <v>756.43770838424939</v>
      </c>
      <c r="E223" s="24">
        <f t="shared" si="33"/>
        <v>93.465459339931257</v>
      </c>
      <c r="F223" s="38">
        <f t="shared" si="28"/>
        <v>1.2467392588829791</v>
      </c>
      <c r="G223" s="14">
        <f t="shared" si="29"/>
        <v>0</v>
      </c>
      <c r="H223" s="24">
        <f t="shared" si="27"/>
        <v>484.29792993948956</v>
      </c>
      <c r="I223" s="12">
        <f t="shared" si="34"/>
        <v>0.58941605863406465</v>
      </c>
      <c r="J223" s="3"/>
    </row>
    <row r="224" spans="2:10" x14ac:dyDescent="0.25">
      <c r="B224" s="3">
        <f t="shared" si="30"/>
        <v>1020</v>
      </c>
      <c r="C224" s="14">
        <f t="shared" si="31"/>
        <v>17</v>
      </c>
      <c r="D224" s="11">
        <f t="shared" si="32"/>
        <v>757.16859566896028</v>
      </c>
      <c r="E224" s="24">
        <f t="shared" si="33"/>
        <v>94.054875398565315</v>
      </c>
      <c r="F224" s="38">
        <f t="shared" si="28"/>
        <v>1.2459588620834348</v>
      </c>
      <c r="G224" s="14">
        <f t="shared" si="29"/>
        <v>0</v>
      </c>
      <c r="H224" s="24">
        <f t="shared" si="27"/>
        <v>484.60126624219765</v>
      </c>
      <c r="I224" s="12">
        <f t="shared" si="34"/>
        <v>0.58979909764968486</v>
      </c>
      <c r="J224" s="3"/>
    </row>
    <row r="225" spans="2:10" x14ac:dyDescent="0.25">
      <c r="B225" s="3">
        <f t="shared" si="30"/>
        <v>1025</v>
      </c>
      <c r="C225" s="14">
        <f t="shared" si="31"/>
        <v>17.083333333333332</v>
      </c>
      <c r="D225" s="11">
        <f t="shared" si="32"/>
        <v>757.89593494317478</v>
      </c>
      <c r="E225" s="24">
        <f t="shared" si="33"/>
        <v>94.644674496215004</v>
      </c>
      <c r="F225" s="38">
        <f t="shared" si="28"/>
        <v>1.2451808349951616</v>
      </c>
      <c r="G225" s="14">
        <f t="shared" si="29"/>
        <v>0</v>
      </c>
      <c r="H225" s="24">
        <f t="shared" si="27"/>
        <v>484.90405994215786</v>
      </c>
      <c r="I225" s="12">
        <f t="shared" si="34"/>
        <v>0.59017330296358883</v>
      </c>
      <c r="J225" s="3"/>
    </row>
    <row r="226" spans="2:10" x14ac:dyDescent="0.25">
      <c r="B226" s="3">
        <f t="shared" si="30"/>
        <v>1030</v>
      </c>
      <c r="C226" s="14">
        <f t="shared" si="31"/>
        <v>17.166666666666668</v>
      </c>
      <c r="D226" s="11">
        <f t="shared" si="32"/>
        <v>758.61976048738848</v>
      </c>
      <c r="E226" s="24">
        <f t="shared" si="33"/>
        <v>95.234847799178596</v>
      </c>
      <c r="F226" s="38">
        <f t="shared" si="28"/>
        <v>1.2444051788418968</v>
      </c>
      <c r="G226" s="14">
        <f t="shared" si="29"/>
        <v>0</v>
      </c>
      <c r="H226" s="24">
        <f t="shared" si="27"/>
        <v>485.20630781466139</v>
      </c>
      <c r="I226" s="12">
        <f t="shared" si="34"/>
        <v>0.59053880539175641</v>
      </c>
      <c r="J226" s="3"/>
    </row>
    <row r="227" spans="2:10" x14ac:dyDescent="0.25">
      <c r="B227" s="3">
        <f t="shared" si="30"/>
        <v>1035</v>
      </c>
      <c r="C227" s="14">
        <f t="shared" si="31"/>
        <v>17.25</v>
      </c>
      <c r="D227" s="11">
        <f t="shared" si="32"/>
        <v>759.34010608766278</v>
      </c>
      <c r="E227" s="24">
        <f t="shared" si="33"/>
        <v>95.825386604570355</v>
      </c>
      <c r="F227" s="38">
        <f t="shared" si="28"/>
        <v>1.2436318945311415</v>
      </c>
      <c r="G227" s="14">
        <f t="shared" si="29"/>
        <v>0</v>
      </c>
      <c r="H227" s="24">
        <f t="shared" si="27"/>
        <v>485.50800675545133</v>
      </c>
      <c r="I227" s="12">
        <f t="shared" si="34"/>
        <v>0.5908957333814101</v>
      </c>
      <c r="J227" s="3"/>
    </row>
    <row r="228" spans="2:10" x14ac:dyDescent="0.25">
      <c r="B228" s="3">
        <f t="shared" si="30"/>
        <v>1040</v>
      </c>
      <c r="C228" s="14">
        <f t="shared" si="31"/>
        <v>17.333333333333332</v>
      </c>
      <c r="D228" s="11">
        <f t="shared" si="32"/>
        <v>760.05700504508843</v>
      </c>
      <c r="E228" s="24">
        <f t="shared" si="33"/>
        <v>96.41628233795177</v>
      </c>
      <c r="F228" s="38">
        <f t="shared" si="28"/>
        <v>1.242860982662261</v>
      </c>
      <c r="G228" s="14">
        <f t="shared" si="29"/>
        <v>0</v>
      </c>
      <c r="H228" s="24">
        <f t="shared" si="27"/>
        <v>485.80915377838096</v>
      </c>
      <c r="I228" s="12">
        <f t="shared" si="34"/>
        <v>0.59124421306287478</v>
      </c>
      <c r="J228" s="3"/>
    </row>
    <row r="229" spans="2:10" x14ac:dyDescent="0.25">
      <c r="B229" s="3">
        <f t="shared" si="30"/>
        <v>1045</v>
      </c>
      <c r="C229" s="14">
        <f t="shared" si="31"/>
        <v>17.416666666666668</v>
      </c>
      <c r="D229" s="11">
        <f t="shared" si="32"/>
        <v>760.77049018502191</v>
      </c>
      <c r="E229" s="24">
        <f t="shared" si="33"/>
        <v>97.007526551014649</v>
      </c>
      <c r="F229" s="38">
        <f t="shared" si="28"/>
        <v>1.2420924435343934</v>
      </c>
      <c r="G229" s="14">
        <f t="shared" si="29"/>
        <v>0</v>
      </c>
      <c r="H229" s="24">
        <f t="shared" si="27"/>
        <v>486.10974601312046</v>
      </c>
      <c r="I229" s="12">
        <f t="shared" si="34"/>
        <v>0.59158436830036776</v>
      </c>
      <c r="J229" s="3"/>
    </row>
    <row r="230" spans="2:10" x14ac:dyDescent="0.25">
      <c r="B230" s="3">
        <f t="shared" si="30"/>
        <v>1050</v>
      </c>
      <c r="C230" s="14">
        <f t="shared" si="31"/>
        <v>17.5</v>
      </c>
      <c r="D230" s="11">
        <f t="shared" si="32"/>
        <v>761.48059386610601</v>
      </c>
      <c r="E230" s="24">
        <f t="shared" si="33"/>
        <v>97.599110919315024</v>
      </c>
      <c r="F230" s="38">
        <f t="shared" si="28"/>
        <v>1.24132627715417</v>
      </c>
      <c r="G230" s="14">
        <f t="shared" si="29"/>
        <v>0</v>
      </c>
      <c r="H230" s="24">
        <f t="shared" si="27"/>
        <v>486.40978070291044</v>
      </c>
      <c r="I230" s="12">
        <f t="shared" si="34"/>
        <v>0.59191632074080636</v>
      </c>
      <c r="J230" s="3"/>
    </row>
    <row r="231" spans="2:10" x14ac:dyDescent="0.25">
      <c r="B231" s="3">
        <f t="shared" si="30"/>
        <v>1055</v>
      </c>
      <c r="C231" s="14">
        <f t="shared" si="31"/>
        <v>17.583333333333332</v>
      </c>
      <c r="D231" s="11">
        <f t="shared" si="32"/>
        <v>762.18734798907394</v>
      </c>
      <c r="E231" s="24">
        <f t="shared" si="33"/>
        <v>98.191027240055831</v>
      </c>
      <c r="F231" s="38">
        <f t="shared" si="28"/>
        <v>1.2405624832432596</v>
      </c>
      <c r="G231" s="14">
        <f t="shared" si="29"/>
        <v>0</v>
      </c>
      <c r="H231" s="24">
        <f t="shared" si="27"/>
        <v>486.7092552023625</v>
      </c>
      <c r="I231" s="12">
        <f t="shared" si="34"/>
        <v>0.59224018986224403</v>
      </c>
      <c r="J231" s="3"/>
    </row>
    <row r="232" spans="2:10" x14ac:dyDescent="0.25">
      <c r="B232" s="3">
        <f t="shared" si="30"/>
        <v>1060</v>
      </c>
      <c r="C232" s="14">
        <f t="shared" si="31"/>
        <v>17.666666666666668</v>
      </c>
      <c r="D232" s="11">
        <f t="shared" si="32"/>
        <v>762.89078400534959</v>
      </c>
      <c r="E232" s="24">
        <f t="shared" si="33"/>
        <v>98.78326742991807</v>
      </c>
      <c r="F232" s="38">
        <f t="shared" si="28"/>
        <v>1.2398010612457306</v>
      </c>
      <c r="G232" s="14">
        <f t="shared" si="29"/>
        <v>0</v>
      </c>
      <c r="H232" s="24">
        <f t="shared" si="27"/>
        <v>487.00816697530422</v>
      </c>
      <c r="I232" s="12">
        <f t="shared" si="34"/>
        <v>0.59255609302020562</v>
      </c>
      <c r="J232" s="3"/>
    </row>
    <row r="233" spans="2:10" x14ac:dyDescent="0.25">
      <c r="B233" s="3">
        <f t="shared" si="30"/>
        <v>1065</v>
      </c>
      <c r="C233" s="14">
        <f t="shared" si="31"/>
        <v>17.75</v>
      </c>
      <c r="D233" s="11">
        <f t="shared" si="32"/>
        <v>763.59093292544617</v>
      </c>
      <c r="E233" s="24">
        <f t="shared" si="33"/>
        <v>99.375823522938276</v>
      </c>
      <c r="F233" s="38">
        <f t="shared" si="28"/>
        <v>1.2390420103352473</v>
      </c>
      <c r="G233" s="14">
        <f t="shared" si="29"/>
        <v>0</v>
      </c>
      <c r="H233" s="24">
        <f t="shared" si="27"/>
        <v>487.30651359266818</v>
      </c>
      <c r="I233" s="12">
        <f t="shared" si="34"/>
        <v>0.59286414549325195</v>
      </c>
      <c r="J233" s="3"/>
    </row>
    <row r="234" spans="2:10" x14ac:dyDescent="0.25">
      <c r="B234" s="3">
        <f t="shared" si="30"/>
        <v>1070</v>
      </c>
      <c r="C234" s="14">
        <f t="shared" si="31"/>
        <v>17.833333333333332</v>
      </c>
      <c r="D234" s="11">
        <f t="shared" si="32"/>
        <v>764.28782532716878</v>
      </c>
      <c r="E234" s="24">
        <f t="shared" si="33"/>
        <v>99.968687668431528</v>
      </c>
      <c r="F234" s="38">
        <f t="shared" si="28"/>
        <v>1.2382853294220941</v>
      </c>
      <c r="G234" s="14">
        <f t="shared" si="29"/>
        <v>0</v>
      </c>
      <c r="H234" s="24">
        <f t="shared" si="27"/>
        <v>487.60429273042388</v>
      </c>
      <c r="I234" s="12">
        <f t="shared" si="34"/>
        <v>0.59316446052742711</v>
      </c>
      <c r="J234" s="3"/>
    </row>
    <row r="235" spans="2:10" x14ac:dyDescent="0.25">
      <c r="B235" s="3">
        <f t="shared" si="30"/>
        <v>1075</v>
      </c>
      <c r="C235" s="14">
        <f t="shared" si="31"/>
        <v>17.916666666666668</v>
      </c>
      <c r="D235" s="11">
        <f t="shared" si="32"/>
        <v>764.98149136362747</v>
      </c>
      <c r="E235" s="24">
        <f t="shared" si="33"/>
        <v>100.56185212895896</v>
      </c>
      <c r="F235" s="38">
        <f t="shared" si="28"/>
        <v>1.2375310171600356</v>
      </c>
      <c r="G235" s="14">
        <f t="shared" si="29"/>
        <v>0</v>
      </c>
      <c r="H235" s="24">
        <f t="shared" si="27"/>
        <v>487.90150216755211</v>
      </c>
      <c r="I235" s="12">
        <f t="shared" si="34"/>
        <v>0.59345714937938854</v>
      </c>
      <c r="J235" s="3"/>
    </row>
    <row r="236" spans="2:10" x14ac:dyDescent="0.25">
      <c r="B236" s="3">
        <f t="shared" si="30"/>
        <v>1080</v>
      </c>
      <c r="C236" s="14">
        <f t="shared" si="31"/>
        <v>18</v>
      </c>
      <c r="D236" s="11">
        <f t="shared" si="32"/>
        <v>765.67196077106621</v>
      </c>
      <c r="E236" s="24">
        <f t="shared" si="33"/>
        <v>101.15530927833835</v>
      </c>
      <c r="F236" s="38">
        <f t="shared" si="28"/>
        <v>1.2367790719530214</v>
      </c>
      <c r="G236" s="14">
        <f t="shared" si="29"/>
        <v>0</v>
      </c>
      <c r="H236" s="24">
        <f t="shared" si="27"/>
        <v>488.19813978405921</v>
      </c>
      <c r="I236" s="12">
        <f t="shared" si="34"/>
        <v>0.59374232135844407</v>
      </c>
      <c r="J236" s="3"/>
    </row>
    <row r="237" spans="2:10" x14ac:dyDescent="0.25">
      <c r="B237" s="3">
        <f t="shared" si="30"/>
        <v>1085</v>
      </c>
      <c r="C237" s="14">
        <f t="shared" si="31"/>
        <v>18.083333333333332</v>
      </c>
      <c r="D237" s="11">
        <f t="shared" si="32"/>
        <v>766.35926287651193</v>
      </c>
      <c r="E237" s="24">
        <f t="shared" si="33"/>
        <v>101.7490515996968</v>
      </c>
      <c r="F237" s="38">
        <f t="shared" si="28"/>
        <v>1.2360294919617278</v>
      </c>
      <c r="G237" s="14">
        <f t="shared" si="29"/>
        <v>0</v>
      </c>
      <c r="H237" s="24">
        <f t="shared" si="27"/>
        <v>488.49420355903277</v>
      </c>
      <c r="I237" s="12">
        <f t="shared" si="34"/>
        <v>0.59402008386762262</v>
      </c>
      <c r="J237" s="3"/>
    </row>
    <row r="238" spans="2:10" x14ac:dyDescent="0.25">
      <c r="B238" s="3">
        <f t="shared" si="30"/>
        <v>1090</v>
      </c>
      <c r="C238" s="14">
        <f t="shared" si="31"/>
        <v>18.166666666666668</v>
      </c>
      <c r="D238" s="11">
        <f t="shared" si="32"/>
        <v>767.04342660524821</v>
      </c>
      <c r="E238" s="24">
        <f t="shared" si="33"/>
        <v>102.34307168356442</v>
      </c>
      <c r="F238" s="38">
        <f t="shared" si="28"/>
        <v>1.2352822751099568</v>
      </c>
      <c r="G238" s="14">
        <f t="shared" si="29"/>
        <v>0</v>
      </c>
      <c r="H238" s="24">
        <f t="shared" si="27"/>
        <v>488.78969156873427</v>
      </c>
      <c r="I238" s="12">
        <f t="shared" si="34"/>
        <v>0.59429054244377466</v>
      </c>
      <c r="J238" s="3"/>
    </row>
    <row r="239" spans="2:10" x14ac:dyDescent="0.25">
      <c r="B239" s="3">
        <f t="shared" si="30"/>
        <v>1095</v>
      </c>
      <c r="C239" s="14">
        <f t="shared" si="31"/>
        <v>18.25</v>
      </c>
      <c r="D239" s="11">
        <f t="shared" si="32"/>
        <v>767.72448048812055</v>
      </c>
      <c r="E239" s="24">
        <f t="shared" si="33"/>
        <v>102.93736222600819</v>
      </c>
      <c r="F239" s="38">
        <f t="shared" si="28"/>
        <v>1.2345374190908771</v>
      </c>
      <c r="G239" s="14">
        <f t="shared" si="29"/>
        <v>0</v>
      </c>
      <c r="H239" s="24">
        <f t="shared" si="27"/>
        <v>489.08460198473222</v>
      </c>
      <c r="I239" s="12">
        <f t="shared" si="34"/>
        <v>0.59455380079637155</v>
      </c>
      <c r="J239" s="3"/>
    </row>
    <row r="240" spans="2:10" x14ac:dyDescent="0.25">
      <c r="B240" s="3">
        <f t="shared" si="30"/>
        <v>1100</v>
      </c>
      <c r="C240" s="14">
        <f t="shared" si="31"/>
        <v>18.333333333333332</v>
      </c>
      <c r="D240" s="11">
        <f t="shared" si="32"/>
        <v>768.40245266867544</v>
      </c>
      <c r="E240" s="24">
        <f t="shared" si="33"/>
        <v>103.53191602680457</v>
      </c>
      <c r="F240" s="38">
        <f t="shared" si="28"/>
        <v>1.233794921373127</v>
      </c>
      <c r="G240" s="14">
        <f t="shared" si="29"/>
        <v>0</v>
      </c>
      <c r="H240" s="24">
        <f t="shared" si="27"/>
        <v>489.37893307207065</v>
      </c>
      <c r="I240" s="12">
        <f t="shared" si="34"/>
        <v>0.59480996084565207</v>
      </c>
      <c r="J240" s="3"/>
    </row>
    <row r="241" spans="2:10" x14ac:dyDescent="0.25">
      <c r="B241" s="3">
        <f t="shared" si="30"/>
        <v>1105</v>
      </c>
      <c r="C241" s="14">
        <f t="shared" si="31"/>
        <v>18.416666666666668</v>
      </c>
      <c r="D241" s="11">
        <f t="shared" si="32"/>
        <v>769.0773709101378</v>
      </c>
      <c r="E241" s="24">
        <f t="shared" si="33"/>
        <v>104.12672598765022</v>
      </c>
      <c r="F241" s="38">
        <f t="shared" si="28"/>
        <v>1.2330547792067732</v>
      </c>
      <c r="G241" s="14">
        <f t="shared" si="29"/>
        <v>0</v>
      </c>
      <c r="H241" s="24">
        <f t="shared" si="27"/>
        <v>489.67268318747489</v>
      </c>
      <c r="I241" s="12">
        <f t="shared" si="34"/>
        <v>0.59505912275981432</v>
      </c>
      <c r="J241" s="3"/>
    </row>
    <row r="242" spans="2:10" x14ac:dyDescent="0.25">
      <c r="B242" s="3">
        <f t="shared" si="30"/>
        <v>1110</v>
      </c>
      <c r="C242" s="14">
        <f t="shared" si="31"/>
        <v>18.5</v>
      </c>
      <c r="D242" s="11">
        <f t="shared" si="32"/>
        <v>769.74926260223458</v>
      </c>
      <c r="E242" s="24">
        <f t="shared" si="33"/>
        <v>104.72178511041004</v>
      </c>
      <c r="F242" s="38">
        <f t="shared" si="28"/>
        <v>1.2323169896291335</v>
      </c>
      <c r="G242" s="14">
        <f t="shared" si="29"/>
        <v>0</v>
      </c>
      <c r="H242" s="24">
        <f t="shared" si="27"/>
        <v>489.96585077759266</v>
      </c>
      <c r="I242" s="12">
        <f t="shared" si="34"/>
        <v>0.59530138499082985</v>
      </c>
      <c r="J242" s="3"/>
    </row>
    <row r="243" spans="2:10" x14ac:dyDescent="0.25">
      <c r="B243" s="3">
        <f t="shared" si="30"/>
        <v>1115</v>
      </c>
      <c r="C243" s="14">
        <f t="shared" si="31"/>
        <v>18.583333333333332</v>
      </c>
      <c r="D243" s="11">
        <f t="shared" si="32"/>
        <v>770.41815476786292</v>
      </c>
      <c r="E243" s="24">
        <f t="shared" si="33"/>
        <v>105.31708649540087</v>
      </c>
      <c r="F243" s="38">
        <f t="shared" si="28"/>
        <v>1.2315815494704607</v>
      </c>
      <c r="G243" s="14">
        <f t="shared" si="29"/>
        <v>0</v>
      </c>
      <c r="H243" s="24">
        <f t="shared" si="27"/>
        <v>490.25843437726991</v>
      </c>
      <c r="I243" s="12">
        <f t="shared" si="34"/>
        <v>0.59553684431012455</v>
      </c>
      <c r="J243" s="3"/>
    </row>
    <row r="244" spans="2:10" x14ac:dyDescent="0.25">
      <c r="B244" s="3">
        <f t="shared" si="30"/>
        <v>1120</v>
      </c>
      <c r="C244" s="14">
        <f t="shared" si="31"/>
        <v>18.666666666666668</v>
      </c>
      <c r="D244" s="11">
        <f t="shared" si="32"/>
        <v>771.08407406961271</v>
      </c>
      <c r="E244" s="24">
        <f t="shared" si="33"/>
        <v>105.91262333971099</v>
      </c>
      <c r="F244" s="38">
        <f t="shared" si="28"/>
        <v>1.2308484553595016</v>
      </c>
      <c r="G244" s="14">
        <f t="shared" si="29"/>
        <v>0</v>
      </c>
      <c r="H244" s="24">
        <f t="shared" si="27"/>
        <v>490.55043260786039</v>
      </c>
      <c r="I244" s="12">
        <f t="shared" si="34"/>
        <v>0.59576559584264899</v>
      </c>
      <c r="J244" s="3"/>
    </row>
    <row r="245" spans="2:10" x14ac:dyDescent="0.25">
      <c r="B245" s="3">
        <f t="shared" si="30"/>
        <v>1125</v>
      </c>
      <c r="C245" s="14">
        <f t="shared" si="31"/>
        <v>18.75</v>
      </c>
      <c r="D245" s="11">
        <f t="shared" si="32"/>
        <v>771.74704681614344</v>
      </c>
      <c r="E245" s="24">
        <f t="shared" si="33"/>
        <v>106.50838893555364</v>
      </c>
      <c r="F245" s="38">
        <f t="shared" si="28"/>
        <v>1.2301177037289222</v>
      </c>
      <c r="G245" s="14">
        <f t="shared" si="29"/>
        <v>0</v>
      </c>
      <c r="H245" s="24">
        <f t="shared" ref="H245:H308" si="35">IF(E245&lt;600,425+0.773*E245-1.69/1000*E245^2+2.22/1000^2*E245^3,IF(E245&lt;735,666+13002/(738-E245),IF(E245&lt;900,545+17820/(E245-731),650)))</f>
        <v>490.84184417556884</v>
      </c>
      <c r="I245" s="12">
        <f t="shared" si="34"/>
        <v>0.59598773310063557</v>
      </c>
      <c r="J245" s="3"/>
    </row>
    <row r="246" spans="2:10" x14ac:dyDescent="0.25">
      <c r="B246" s="3">
        <f t="shared" si="30"/>
        <v>1130</v>
      </c>
      <c r="C246" s="14">
        <f t="shared" si="31"/>
        <v>18.833333333333332</v>
      </c>
      <c r="D246" s="11">
        <f t="shared" si="32"/>
        <v>772.40709896842009</v>
      </c>
      <c r="E246" s="24">
        <f t="shared" si="33"/>
        <v>107.10437666865428</v>
      </c>
      <c r="F246" s="38">
        <f t="shared" si="28"/>
        <v>1.2293892908206112</v>
      </c>
      <c r="G246" s="14">
        <f t="shared" si="29"/>
        <v>0</v>
      </c>
      <c r="H246" s="24">
        <f t="shared" si="35"/>
        <v>491.13266786982604</v>
      </c>
      <c r="I246" s="12">
        <f t="shared" si="34"/>
        <v>0.59620334801640185</v>
      </c>
      <c r="J246" s="3"/>
    </row>
    <row r="247" spans="2:10" x14ac:dyDescent="0.25">
      <c r="B247" s="3">
        <f t="shared" si="30"/>
        <v>1135</v>
      </c>
      <c r="C247" s="14">
        <f t="shared" si="31"/>
        <v>18.916666666666668</v>
      </c>
      <c r="D247" s="11">
        <f t="shared" si="32"/>
        <v>773.06425614581474</v>
      </c>
      <c r="E247" s="24">
        <f t="shared" si="33"/>
        <v>107.70058001667068</v>
      </c>
      <c r="F247" s="38">
        <f t="shared" si="28"/>
        <v>1.2286632126908588</v>
      </c>
      <c r="G247" s="14">
        <f t="shared" si="29"/>
        <v>0</v>
      </c>
      <c r="H247" s="24">
        <f t="shared" si="35"/>
        <v>491.42290256169588</v>
      </c>
      <c r="I247" s="12">
        <f t="shared" si="34"/>
        <v>0.59641253097399838</v>
      </c>
      <c r="J247" s="3"/>
    </row>
    <row r="248" spans="2:10" x14ac:dyDescent="0.25">
      <c r="B248" s="3">
        <f t="shared" si="30"/>
        <v>1140</v>
      </c>
      <c r="C248" s="14">
        <f t="shared" si="31"/>
        <v>19</v>
      </c>
      <c r="D248" s="11">
        <f t="shared" si="32"/>
        <v>773.71854363207149</v>
      </c>
      <c r="E248" s="24">
        <f t="shared" si="33"/>
        <v>108.29699254764468</v>
      </c>
      <c r="F248" s="38">
        <f t="shared" si="28"/>
        <v>1.227939465215419</v>
      </c>
      <c r="G248" s="14">
        <f t="shared" si="29"/>
        <v>0</v>
      </c>
      <c r="H248" s="24">
        <f t="shared" si="35"/>
        <v>491.71254720231337</v>
      </c>
      <c r="I248" s="12">
        <f t="shared" si="34"/>
        <v>0.59661537084085137</v>
      </c>
      <c r="J248" s="3"/>
    </row>
    <row r="249" spans="2:10" x14ac:dyDescent="0.25">
      <c r="B249" s="3">
        <f t="shared" si="30"/>
        <v>1145</v>
      </c>
      <c r="C249" s="14">
        <f t="shared" si="31"/>
        <v>19.083333333333332</v>
      </c>
      <c r="D249" s="11">
        <f t="shared" si="32"/>
        <v>774.36998638114494</v>
      </c>
      <c r="E249" s="24">
        <f t="shared" si="33"/>
        <v>108.89360791848553</v>
      </c>
      <c r="F249" s="38">
        <f t="shared" si="28"/>
        <v>1.2272180440944522</v>
      </c>
      <c r="G249" s="14">
        <f t="shared" si="29"/>
        <v>0</v>
      </c>
      <c r="H249" s="24">
        <f t="shared" si="35"/>
        <v>492.00160082135278</v>
      </c>
      <c r="I249" s="12">
        <f t="shared" si="34"/>
        <v>0.59681195499777673</v>
      </c>
      <c r="J249" s="3"/>
    </row>
    <row r="250" spans="2:10" x14ac:dyDescent="0.25">
      <c r="B250" s="3">
        <f t="shared" si="30"/>
        <v>1150</v>
      </c>
      <c r="C250" s="14">
        <f t="shared" si="31"/>
        <v>19.166666666666668</v>
      </c>
      <c r="D250" s="11">
        <f t="shared" si="32"/>
        <v>775.01860902291014</v>
      </c>
      <c r="E250" s="24">
        <f t="shared" si="33"/>
        <v>109.4904198734833</v>
      </c>
      <c r="F250" s="38">
        <f t="shared" si="28"/>
        <v>1.2264989448573589</v>
      </c>
      <c r="G250" s="14">
        <f t="shared" si="29"/>
        <v>0</v>
      </c>
      <c r="H250" s="24">
        <f t="shared" si="35"/>
        <v>492.29006252552546</v>
      </c>
      <c r="I250" s="12">
        <f t="shared" si="34"/>
        <v>0.59700236936898543</v>
      </c>
      <c r="J250" s="3"/>
    </row>
    <row r="251" spans="2:10" x14ac:dyDescent="0.25">
      <c r="B251" s="3">
        <f t="shared" si="30"/>
        <v>1155</v>
      </c>
      <c r="C251" s="14">
        <f t="shared" si="31"/>
        <v>19.25</v>
      </c>
      <c r="D251" s="11">
        <f t="shared" si="32"/>
        <v>775.6644358687505</v>
      </c>
      <c r="E251" s="24">
        <f t="shared" si="33"/>
        <v>110.08742224285228</v>
      </c>
      <c r="F251" s="38">
        <f t="shared" si="28"/>
        <v>1.2257821628674956</v>
      </c>
      <c r="G251" s="14">
        <f t="shared" si="29"/>
        <v>0</v>
      </c>
      <c r="H251" s="24">
        <f t="shared" si="35"/>
        <v>492.57793149710636</v>
      </c>
      <c r="I251" s="12">
        <f t="shared" si="34"/>
        <v>0.59718669845095496</v>
      </c>
      <c r="J251" s="3"/>
    </row>
    <row r="252" spans="2:10" x14ac:dyDescent="0.25">
      <c r="B252" s="3">
        <f t="shared" si="30"/>
        <v>1160</v>
      </c>
      <c r="C252" s="14">
        <f t="shared" si="31"/>
        <v>19.333333333333332</v>
      </c>
      <c r="D252" s="11">
        <f t="shared" si="32"/>
        <v>776.30749091702512</v>
      </c>
      <c r="E252" s="24">
        <f t="shared" si="33"/>
        <v>110.68460894130324</v>
      </c>
      <c r="F252" s="38">
        <f t="shared" si="28"/>
        <v>1.2250676933267892</v>
      </c>
      <c r="G252" s="14">
        <f t="shared" si="29"/>
        <v>0</v>
      </c>
      <c r="H252" s="24">
        <f t="shared" si="35"/>
        <v>492.86520699248985</v>
      </c>
      <c r="I252" s="12">
        <f t="shared" si="34"/>
        <v>0.59736502534084235</v>
      </c>
      <c r="J252" s="3"/>
    </row>
    <row r="253" spans="2:10" x14ac:dyDescent="0.25">
      <c r="B253" s="3">
        <f t="shared" si="30"/>
        <v>1165</v>
      </c>
      <c r="C253" s="14">
        <f t="shared" si="31"/>
        <v>19.416666666666668</v>
      </c>
      <c r="D253" s="11">
        <f t="shared" si="32"/>
        <v>776.94779785842013</v>
      </c>
      <c r="E253" s="24">
        <f t="shared" si="33"/>
        <v>111.28197396664409</v>
      </c>
      <c r="F253" s="38">
        <f t="shared" si="28"/>
        <v>1.2243555312802428</v>
      </c>
      <c r="G253" s="14">
        <f t="shared" si="29"/>
        <v>0</v>
      </c>
      <c r="H253" s="24">
        <f t="shared" si="35"/>
        <v>493.15188834077139</v>
      </c>
      <c r="I253" s="12">
        <f t="shared" si="34"/>
        <v>0.59753743176402985</v>
      </c>
      <c r="J253" s="3"/>
    </row>
    <row r="254" spans="2:10" x14ac:dyDescent="0.25">
      <c r="B254" s="3">
        <f t="shared" si="30"/>
        <v>1170</v>
      </c>
      <c r="C254" s="14">
        <f t="shared" si="31"/>
        <v>19.5</v>
      </c>
      <c r="D254" s="11">
        <f t="shared" si="32"/>
        <v>777.58538008118558</v>
      </c>
      <c r="E254" s="24">
        <f t="shared" si="33"/>
        <v>111.87951139840811</v>
      </c>
      <c r="F254" s="38">
        <f t="shared" si="28"/>
        <v>1.2236456716203352</v>
      </c>
      <c r="G254" s="14">
        <f t="shared" si="29"/>
        <v>0</v>
      </c>
      <c r="H254" s="24">
        <f t="shared" si="35"/>
        <v>493.43797494235821</v>
      </c>
      <c r="I254" s="12">
        <f t="shared" si="34"/>
        <v>0.59770399810121289</v>
      </c>
      <c r="J254" s="3"/>
    </row>
    <row r="255" spans="2:10" x14ac:dyDescent="0.25">
      <c r="B255" s="3">
        <f t="shared" si="30"/>
        <v>1175</v>
      </c>
      <c r="C255" s="14">
        <f t="shared" si="31"/>
        <v>19.583333333333332</v>
      </c>
      <c r="D255" s="11">
        <f t="shared" si="32"/>
        <v>778.22026067626143</v>
      </c>
      <c r="E255" s="24">
        <f t="shared" si="33"/>
        <v>112.47721539650932</v>
      </c>
      <c r="F255" s="38">
        <f t="shared" si="28"/>
        <v>1.2229381090913265</v>
      </c>
      <c r="G255" s="14">
        <f t="shared" si="29"/>
        <v>0</v>
      </c>
      <c r="H255" s="24">
        <f t="shared" si="35"/>
        <v>493.72346626760498</v>
      </c>
      <c r="I255" s="12">
        <f t="shared" si="34"/>
        <v>0.59786480341476256</v>
      </c>
      <c r="J255" s="3"/>
    </row>
    <row r="256" spans="2:10" x14ac:dyDescent="0.25">
      <c r="B256" s="3">
        <f t="shared" si="30"/>
        <v>1180</v>
      </c>
      <c r="C256" s="14">
        <f t="shared" si="31"/>
        <v>19.666666666666668</v>
      </c>
      <c r="D256" s="11">
        <f t="shared" si="32"/>
        <v>778.85246244229529</v>
      </c>
      <c r="E256" s="24">
        <f t="shared" si="33"/>
        <v>113.07508019992409</v>
      </c>
      <c r="F256" s="38">
        <f t="shared" si="28"/>
        <v>1.2222328382934575</v>
      </c>
      <c r="G256" s="14">
        <f t="shared" si="29"/>
        <v>0</v>
      </c>
      <c r="H256" s="24">
        <f t="shared" si="35"/>
        <v>494.00836185547632</v>
      </c>
      <c r="I256" s="12">
        <f t="shared" si="34"/>
        <v>0.59801992547451477</v>
      </c>
      <c r="J256" s="3"/>
    </row>
    <row r="257" spans="2:10" x14ac:dyDescent="0.25">
      <c r="B257" s="3">
        <f t="shared" si="30"/>
        <v>1185</v>
      </c>
      <c r="C257" s="14">
        <f t="shared" si="31"/>
        <v>19.75</v>
      </c>
      <c r="D257" s="11">
        <f t="shared" si="32"/>
        <v>779.48200789055568</v>
      </c>
      <c r="E257" s="24">
        <f t="shared" si="33"/>
        <v>113.67310012539861</v>
      </c>
      <c r="F257" s="38">
        <f t="shared" si="28"/>
        <v>1.2215298536870587</v>
      </c>
      <c r="G257" s="14">
        <f t="shared" si="29"/>
        <v>0</v>
      </c>
      <c r="H257" s="24">
        <f t="shared" si="35"/>
        <v>494.29266131223409</v>
      </c>
      <c r="I257" s="12">
        <f t="shared" si="34"/>
        <v>0.59816944078279666</v>
      </c>
      <c r="J257" s="3"/>
    </row>
    <row r="258" spans="2:10" x14ac:dyDescent="0.25">
      <c r="B258" s="3">
        <f t="shared" si="30"/>
        <v>1190</v>
      </c>
      <c r="C258" s="14">
        <f t="shared" si="31"/>
        <v>19.833333333333332</v>
      </c>
      <c r="D258" s="11">
        <f t="shared" si="32"/>
        <v>780.10891924974067</v>
      </c>
      <c r="E258" s="24">
        <f t="shared" si="33"/>
        <v>114.2712695661814</v>
      </c>
      <c r="F258" s="38">
        <f t="shared" si="28"/>
        <v>1.2208291495965622</v>
      </c>
      <c r="G258" s="14">
        <f t="shared" si="29"/>
        <v>0</v>
      </c>
      <c r="H258" s="24">
        <f t="shared" si="35"/>
        <v>494.57636431015021</v>
      </c>
      <c r="I258" s="12">
        <f t="shared" si="34"/>
        <v>0.59831342459926506</v>
      </c>
      <c r="J258" s="3"/>
    </row>
    <row r="259" spans="2:10" x14ac:dyDescent="0.25">
      <c r="B259" s="3">
        <f t="shared" si="30"/>
        <v>1195</v>
      </c>
      <c r="C259" s="14">
        <f t="shared" si="31"/>
        <v>19.916666666666668</v>
      </c>
      <c r="D259" s="11">
        <f t="shared" si="32"/>
        <v>780.73321847068837</v>
      </c>
      <c r="E259" s="24">
        <f t="shared" si="33"/>
        <v>114.86958299078067</v>
      </c>
      <c r="F259" s="38">
        <f t="shared" si="28"/>
        <v>1.2201307202144234</v>
      </c>
      <c r="G259" s="14">
        <f t="shared" si="29"/>
        <v>0</v>
      </c>
      <c r="H259" s="24">
        <f t="shared" si="35"/>
        <v>494.85947058624225</v>
      </c>
      <c r="I259" s="12">
        <f t="shared" si="34"/>
        <v>0.5984519509646532</v>
      </c>
      <c r="J259" s="3"/>
    </row>
    <row r="260" spans="2:10" x14ac:dyDescent="0.25">
      <c r="B260" s="3">
        <f t="shared" si="30"/>
        <v>1200</v>
      </c>
      <c r="C260" s="14">
        <f t="shared" si="31"/>
        <v>20</v>
      </c>
      <c r="D260" s="11">
        <f t="shared" si="32"/>
        <v>781.3549272309881</v>
      </c>
      <c r="E260" s="24">
        <f t="shared" si="33"/>
        <v>115.46803494174533</v>
      </c>
      <c r="F260" s="38">
        <f t="shared" si="28"/>
        <v>1.219434559604953</v>
      </c>
      <c r="G260" s="14">
        <f t="shared" si="29"/>
        <v>0</v>
      </c>
      <c r="H260" s="24">
        <f t="shared" si="35"/>
        <v>495.14197994103472</v>
      </c>
      <c r="I260" s="12">
        <f t="shared" si="34"/>
        <v>0.59858509272445626</v>
      </c>
      <c r="J260" s="3"/>
    </row>
    <row r="261" spans="2:10" x14ac:dyDescent="0.25">
      <c r="B261" s="3">
        <f t="shared" si="30"/>
        <v>1205</v>
      </c>
      <c r="C261" s="14">
        <f t="shared" si="31"/>
        <v>20.083333333333332</v>
      </c>
      <c r="D261" s="11">
        <f t="shared" si="32"/>
        <v>781.97406693949733</v>
      </c>
      <c r="E261" s="24">
        <f t="shared" si="33"/>
        <v>116.06662003446979</v>
      </c>
      <c r="F261" s="38">
        <f t="shared" si="28"/>
        <v>1.2187406617080585</v>
      </c>
      <c r="G261" s="14">
        <f t="shared" si="29"/>
        <v>0</v>
      </c>
      <c r="H261" s="24">
        <f t="shared" si="35"/>
        <v>495.4238922373421</v>
      </c>
      <c r="I261" s="12">
        <f t="shared" si="34"/>
        <v>0.59871292155171674</v>
      </c>
      <c r="J261" s="3"/>
    </row>
    <row r="262" spans="2:10" x14ac:dyDescent="0.25">
      <c r="B262" s="3">
        <f t="shared" si="30"/>
        <v>1210</v>
      </c>
      <c r="C262" s="14">
        <f t="shared" si="31"/>
        <v>20.166666666666668</v>
      </c>
      <c r="D262" s="11">
        <f t="shared" si="32"/>
        <v>782.59065874076532</v>
      </c>
      <c r="E262" s="24">
        <f t="shared" si="33"/>
        <v>116.66533295602152</v>
      </c>
      <c r="F262" s="38">
        <f t="shared" si="28"/>
        <v>1.2180490203429057</v>
      </c>
      <c r="G262" s="14">
        <f t="shared" si="29"/>
        <v>0</v>
      </c>
      <c r="H262" s="24">
        <f t="shared" si="35"/>
        <v>495.70520739907499</v>
      </c>
      <c r="I262" s="12">
        <f t="shared" si="34"/>
        <v>0.59883550796950713</v>
      </c>
      <c r="J262" s="3"/>
    </row>
    <row r="263" spans="2:10" x14ac:dyDescent="0.25">
      <c r="B263" s="3">
        <f t="shared" si="30"/>
        <v>1215</v>
      </c>
      <c r="C263" s="14">
        <f t="shared" si="31"/>
        <v>20.25</v>
      </c>
      <c r="D263" s="11">
        <f t="shared" si="32"/>
        <v>783.20472351936542</v>
      </c>
      <c r="E263" s="24">
        <f t="shared" si="33"/>
        <v>117.26416846399103</v>
      </c>
      <c r="F263" s="38">
        <f t="shared" si="28"/>
        <v>1.2173596292114919</v>
      </c>
      <c r="G263" s="14">
        <f t="shared" si="29"/>
        <v>0</v>
      </c>
      <c r="H263" s="24">
        <f t="shared" si="35"/>
        <v>495.98592541006889</v>
      </c>
      <c r="I263" s="12">
        <f t="shared" si="34"/>
        <v>0.59895292137290479</v>
      </c>
      <c r="J263" s="3"/>
    </row>
    <row r="264" spans="2:10" x14ac:dyDescent="0.25">
      <c r="B264" s="3">
        <f t="shared" si="30"/>
        <v>1220</v>
      </c>
      <c r="C264" s="14">
        <f t="shared" si="31"/>
        <v>20.333333333333332</v>
      </c>
      <c r="D264" s="11">
        <f t="shared" si="32"/>
        <v>783.81628190414062</v>
      </c>
      <c r="E264" s="24">
        <f t="shared" si="33"/>
        <v>117.86312138536393</v>
      </c>
      <c r="F264" s="38">
        <f t="shared" si="28"/>
        <v>1.2166724819021393</v>
      </c>
      <c r="G264" s="14">
        <f t="shared" si="29"/>
        <v>0</v>
      </c>
      <c r="H264" s="24">
        <f t="shared" si="35"/>
        <v>496.26604631293452</v>
      </c>
      <c r="I264" s="12">
        <f t="shared" si="34"/>
        <v>0.59906523005020351</v>
      </c>
      <c r="J264" s="3"/>
    </row>
    <row r="265" spans="2:10" x14ac:dyDescent="0.25">
      <c r="B265" s="3">
        <f t="shared" si="30"/>
        <v>1225</v>
      </c>
      <c r="C265" s="14">
        <f t="shared" si="31"/>
        <v>20.416666666666668</v>
      </c>
      <c r="D265" s="11">
        <f t="shared" si="32"/>
        <v>784.42535427236078</v>
      </c>
      <c r="E265" s="24">
        <f t="shared" si="33"/>
        <v>118.46218661541413</v>
      </c>
      <c r="F265" s="38">
        <f t="shared" si="28"/>
        <v>1.2159875718929107</v>
      </c>
      <c r="G265" s="14">
        <f t="shared" si="29"/>
        <v>0</v>
      </c>
      <c r="H265" s="24">
        <f t="shared" si="35"/>
        <v>496.54557020792885</v>
      </c>
      <c r="I265" s="12">
        <f t="shared" si="34"/>
        <v>0.59917250120411625</v>
      </c>
      <c r="J265" s="3"/>
    </row>
    <row r="266" spans="2:10" x14ac:dyDescent="0.25">
      <c r="B266" s="3">
        <f t="shared" si="30"/>
        <v>1230</v>
      </c>
      <c r="C266" s="14">
        <f t="shared" si="31"/>
        <v>20.5</v>
      </c>
      <c r="D266" s="11">
        <f t="shared" si="32"/>
        <v>785.03196075379753</v>
      </c>
      <c r="E266" s="24">
        <f t="shared" si="33"/>
        <v>119.06135911661825</v>
      </c>
      <c r="F266" s="38">
        <f t="shared" si="28"/>
        <v>1.215304892554941</v>
      </c>
      <c r="G266" s="14">
        <f t="shared" si="29"/>
        <v>0</v>
      </c>
      <c r="H266" s="24">
        <f t="shared" si="35"/>
        <v>496.82449725184836</v>
      </c>
      <c r="I266" s="12">
        <f t="shared" si="34"/>
        <v>0.5992748009719826</v>
      </c>
      <c r="J266" s="3"/>
    </row>
    <row r="267" spans="2:10" x14ac:dyDescent="0.25">
      <c r="B267" s="3">
        <f t="shared" si="30"/>
        <v>1235</v>
      </c>
      <c r="C267" s="14">
        <f t="shared" si="31"/>
        <v>20.583333333333332</v>
      </c>
      <c r="D267" s="11">
        <f t="shared" si="32"/>
        <v>785.63612123471592</v>
      </c>
      <c r="E267" s="24">
        <f t="shared" si="33"/>
        <v>119.66063391759023</v>
      </c>
      <c r="F267" s="38">
        <f t="shared" si="28"/>
        <v>1.2146244371557018</v>
      </c>
      <c r="G267" s="14">
        <f t="shared" si="29"/>
        <v>0</v>
      </c>
      <c r="H267" s="24">
        <f t="shared" si="35"/>
        <v>497.10282765694132</v>
      </c>
      <c r="I267" s="12">
        <f t="shared" si="34"/>
        <v>0.59937219444595191</v>
      </c>
      <c r="J267" s="3"/>
    </row>
    <row r="268" spans="2:10" x14ac:dyDescent="0.25">
      <c r="B268" s="3">
        <f t="shared" si="30"/>
        <v>1240</v>
      </c>
      <c r="C268" s="14">
        <f t="shared" si="31"/>
        <v>20.666666666666668</v>
      </c>
      <c r="D268" s="11">
        <f t="shared" si="32"/>
        <v>786.23785536178582</v>
      </c>
      <c r="E268" s="24">
        <f t="shared" si="33"/>
        <v>120.26000611203618</v>
      </c>
      <c r="F268" s="38">
        <f t="shared" si="28"/>
        <v>1.2139461988621827</v>
      </c>
      <c r="G268" s="14">
        <f t="shared" si="29"/>
        <v>0</v>
      </c>
      <c r="H268" s="24">
        <f t="shared" si="35"/>
        <v>497.38056168984116</v>
      </c>
      <c r="I268" s="12">
        <f t="shared" si="34"/>
        <v>0.5994647456925315</v>
      </c>
      <c r="J268" s="3"/>
    </row>
    <row r="269" spans="2:10" x14ac:dyDescent="0.25">
      <c r="B269" s="3">
        <f t="shared" si="30"/>
        <v>1245</v>
      </c>
      <c r="C269" s="14">
        <f t="shared" si="31"/>
        <v>20.75</v>
      </c>
      <c r="D269" s="11">
        <f t="shared" si="32"/>
        <v>786.83718254591622</v>
      </c>
      <c r="E269" s="24">
        <f t="shared" si="33"/>
        <v>120.85947085772871</v>
      </c>
      <c r="F269" s="38">
        <f t="shared" si="28"/>
        <v>1.2132701707440081</v>
      </c>
      <c r="G269" s="14">
        <f t="shared" si="29"/>
        <v>0</v>
      </c>
      <c r="H269" s="24">
        <f t="shared" si="35"/>
        <v>497.65769967051835</v>
      </c>
      <c r="I269" s="12">
        <f t="shared" si="34"/>
        <v>0.59955251777160568</v>
      </c>
      <c r="J269" s="3"/>
    </row>
    <row r="270" spans="2:10" x14ac:dyDescent="0.25">
      <c r="B270" s="3">
        <f t="shared" si="30"/>
        <v>1250</v>
      </c>
      <c r="C270" s="14">
        <f t="shared" si="31"/>
        <v>20.833333333333332</v>
      </c>
      <c r="D270" s="11">
        <f t="shared" si="32"/>
        <v>787.43412196601128</v>
      </c>
      <c r="E270" s="24">
        <f t="shared" si="33"/>
        <v>121.45902337550031</v>
      </c>
      <c r="F270" s="38">
        <f t="shared" si="28"/>
        <v>1.2125963457764748</v>
      </c>
      <c r="G270" s="14">
        <f t="shared" si="29"/>
        <v>0</v>
      </c>
      <c r="H270" s="24">
        <f t="shared" si="35"/>
        <v>497.93424197125285</v>
      </c>
      <c r="I270" s="12">
        <f t="shared" si="34"/>
        <v>0.59963557275537027</v>
      </c>
      <c r="J270" s="3"/>
    </row>
    <row r="271" spans="2:10" x14ac:dyDescent="0.25">
      <c r="B271" s="3">
        <f t="shared" si="30"/>
        <v>1255</v>
      </c>
      <c r="C271" s="14">
        <f t="shared" si="31"/>
        <v>20.916666666666668</v>
      </c>
      <c r="D271" s="11">
        <f t="shared" si="32"/>
        <v>788.02869257265456</v>
      </c>
      <c r="E271" s="24">
        <f t="shared" si="33"/>
        <v>122.05865894825568</v>
      </c>
      <c r="F271" s="38">
        <f t="shared" si="28"/>
        <v>1.2119247168435265</v>
      </c>
      <c r="G271" s="14">
        <f t="shared" si="29"/>
        <v>0</v>
      </c>
      <c r="H271" s="24">
        <f t="shared" si="35"/>
        <v>498.21018901562411</v>
      </c>
      <c r="I271" s="12">
        <f t="shared" si="34"/>
        <v>0.5997139717462926</v>
      </c>
      <c r="J271" s="3"/>
    </row>
    <row r="272" spans="2:10" x14ac:dyDescent="0.25">
      <c r="B272" s="3">
        <f t="shared" si="30"/>
        <v>1260</v>
      </c>
      <c r="C272" s="14">
        <f t="shared" si="31"/>
        <v>21</v>
      </c>
      <c r="D272" s="11">
        <f t="shared" si="32"/>
        <v>788.62091309171728</v>
      </c>
      <c r="E272" s="24">
        <f t="shared" si="33"/>
        <v>122.65837292000198</v>
      </c>
      <c r="F272" s="38">
        <f t="shared" si="28"/>
        <v>1.2112552767406601</v>
      </c>
      <c r="G272" s="14">
        <f t="shared" si="29"/>
        <v>0</v>
      </c>
      <c r="H272" s="24">
        <f t="shared" si="35"/>
        <v>498.48554127751993</v>
      </c>
      <c r="I272" s="12">
        <f t="shared" si="34"/>
        <v>0.59978777489543722</v>
      </c>
      <c r="J272" s="3"/>
    </row>
    <row r="273" spans="2:10" x14ac:dyDescent="0.25">
      <c r="B273" s="3">
        <f t="shared" si="30"/>
        <v>1265</v>
      </c>
      <c r="C273" s="14">
        <f t="shared" si="31"/>
        <v>21.083333333333332</v>
      </c>
      <c r="D273" s="11">
        <f t="shared" si="32"/>
        <v>789.21080202789813</v>
      </c>
      <c r="E273" s="24">
        <f t="shared" si="33"/>
        <v>123.25816069489741</v>
      </c>
      <c r="F273" s="38">
        <f t="shared" si="28"/>
        <v>1.2105880181777622</v>
      </c>
      <c r="G273" s="14">
        <f t="shared" si="29"/>
        <v>0</v>
      </c>
      <c r="H273" s="24">
        <f t="shared" si="35"/>
        <v>498.76029928016305</v>
      </c>
      <c r="I273" s="12">
        <f t="shared" si="34"/>
        <v>0.59985704141962903</v>
      </c>
      <c r="J273" s="3"/>
    </row>
    <row r="274" spans="2:10" x14ac:dyDescent="0.25">
      <c r="B274" s="3">
        <f t="shared" si="30"/>
        <v>1270</v>
      </c>
      <c r="C274" s="14">
        <f t="shared" si="31"/>
        <v>21.166666666666668</v>
      </c>
      <c r="D274" s="11">
        <f t="shared" si="32"/>
        <v>789.79837766819219</v>
      </c>
      <c r="E274" s="24">
        <f t="shared" si="33"/>
        <v>123.85801773631704</v>
      </c>
      <c r="F274" s="38">
        <f t="shared" si="28"/>
        <v>1.2099229337818824</v>
      </c>
      <c r="G274" s="14">
        <f t="shared" si="29"/>
        <v>0</v>
      </c>
      <c r="H274" s="24">
        <f t="shared" si="35"/>
        <v>499.03446359515675</v>
      </c>
      <c r="I274" s="12">
        <f t="shared" si="34"/>
        <v>0.59992182961879048</v>
      </c>
      <c r="J274" s="3"/>
    </row>
    <row r="275" spans="2:10" x14ac:dyDescent="0.25">
      <c r="B275" s="3">
        <f t="shared" si="30"/>
        <v>1275</v>
      </c>
      <c r="C275" s="14">
        <f t="shared" si="31"/>
        <v>21.25</v>
      </c>
      <c r="D275" s="11">
        <f t="shared" si="32"/>
        <v>790.38365808529295</v>
      </c>
      <c r="E275" s="24">
        <f t="shared" si="33"/>
        <v>124.45793956593583</v>
      </c>
      <c r="F275" s="38">
        <f t="shared" si="28"/>
        <v>1.2092600160999469</v>
      </c>
      <c r="G275" s="14">
        <f t="shared" si="29"/>
        <v>0</v>
      </c>
      <c r="H275" s="24">
        <f t="shared" si="35"/>
        <v>499.30803484154541</v>
      </c>
      <c r="I275" s="12">
        <f t="shared" si="34"/>
        <v>0.59998219689260301</v>
      </c>
      <c r="J275" s="3"/>
    </row>
    <row r="276" spans="2:10" x14ac:dyDescent="0.25">
      <c r="B276" s="3">
        <f t="shared" si="30"/>
        <v>1280</v>
      </c>
      <c r="C276" s="14">
        <f t="shared" si="31"/>
        <v>21.333333333333332</v>
      </c>
      <c r="D276" s="11">
        <f t="shared" si="32"/>
        <v>790.96666114092716</v>
      </c>
      <c r="E276" s="24">
        <f t="shared" si="33"/>
        <v>125.05792176282843</v>
      </c>
      <c r="F276" s="38">
        <f t="shared" ref="F276:F339" si="36">Cp*RhoP/(RhoA*H276)*dp/1000*MassivP</f>
        <v>1.2085992576014046</v>
      </c>
      <c r="G276" s="14">
        <f t="shared" ref="G276:G339" si="37">Phi*EpsilonF*Botzman/10^8*J276*((D276+273)^4-(E276+273)^4)</f>
        <v>0</v>
      </c>
      <c r="H276" s="24">
        <f t="shared" si="35"/>
        <v>499.58101368489406</v>
      </c>
      <c r="I276" s="12">
        <f t="shared" si="34"/>
        <v>0.60003819975702921</v>
      </c>
      <c r="J276" s="3"/>
    </row>
    <row r="277" spans="2:10" x14ac:dyDescent="0.25">
      <c r="B277" s="3">
        <f t="shared" ref="B277:B340" si="38">B276+DeltaT</f>
        <v>1285</v>
      </c>
      <c r="C277" s="14">
        <f t="shared" ref="C277:C340" si="39">B277/60</f>
        <v>21.416666666666668</v>
      </c>
      <c r="D277" s="11">
        <f t="shared" ref="D277:D340" si="40">20+345*LOG(8*C277+1,10)</f>
        <v>791.54740448912651</v>
      </c>
      <c r="E277" s="24">
        <f t="shared" ref="E277:E340" si="41">E276+IF(Limit=Oui,MAX(0,I276),I276)</f>
        <v>125.65795996258545</v>
      </c>
      <c r="F277" s="38">
        <f t="shared" si="36"/>
        <v>1.2079406506808166</v>
      </c>
      <c r="G277" s="14">
        <f t="shared" si="37"/>
        <v>0</v>
      </c>
      <c r="H277" s="24">
        <f t="shared" si="35"/>
        <v>499.85340083638351</v>
      </c>
      <c r="I277" s="12">
        <f t="shared" ref="I277:I340" si="42">LambdaP*MassivP/(dp/1000)/(H277*RhoA)/(1+F277/3)*(D277-E277)*DeltaT-(EXP(F277/10)-1)*(D277-D276)</f>
        <v>0.60008989386018396</v>
      </c>
      <c r="J277" s="3"/>
    </row>
    <row r="278" spans="2:10" x14ac:dyDescent="0.25">
      <c r="B278" s="3">
        <f t="shared" si="38"/>
        <v>1290</v>
      </c>
      <c r="C278" s="14">
        <f t="shared" si="39"/>
        <v>21.5</v>
      </c>
      <c r="D278" s="11">
        <f t="shared" si="40"/>
        <v>792.1259055794344</v>
      </c>
      <c r="E278" s="24">
        <f t="shared" si="41"/>
        <v>126.25804985644564</v>
      </c>
      <c r="F278" s="38">
        <f t="shared" si="36"/>
        <v>1.2072841876603868</v>
      </c>
      <c r="G278" s="14">
        <f t="shared" si="37"/>
        <v>0</v>
      </c>
      <c r="H278" s="24">
        <f t="shared" si="35"/>
        <v>500.12519705192159</v>
      </c>
      <c r="I278" s="12">
        <f t="shared" si="42"/>
        <v>0.6001373339982724</v>
      </c>
      <c r="J278" s="3"/>
    </row>
    <row r="279" spans="2:10" x14ac:dyDescent="0.25">
      <c r="B279" s="3">
        <f t="shared" si="38"/>
        <v>1295</v>
      </c>
      <c r="C279" s="14">
        <f t="shared" si="39"/>
        <v>21.583333333333332</v>
      </c>
      <c r="D279" s="11">
        <f t="shared" si="40"/>
        <v>792.70218166005225</v>
      </c>
      <c r="E279" s="24">
        <f t="shared" si="41"/>
        <v>126.85818719044391</v>
      </c>
      <c r="F279" s="38">
        <f t="shared" si="36"/>
        <v>1.2066298607924322</v>
      </c>
      <c r="G279" s="14">
        <f t="shared" si="37"/>
        <v>0</v>
      </c>
      <c r="H279" s="24">
        <f t="shared" si="35"/>
        <v>500.3964031312716</v>
      </c>
      <c r="I279" s="12">
        <f t="shared" si="42"/>
        <v>0.60018057413081161</v>
      </c>
      <c r="J279" s="3"/>
    </row>
    <row r="280" spans="2:10" x14ac:dyDescent="0.25">
      <c r="B280" s="3">
        <f t="shared" si="38"/>
        <v>1300</v>
      </c>
      <c r="C280" s="14">
        <f t="shared" si="39"/>
        <v>21.666666666666668</v>
      </c>
      <c r="D280" s="11">
        <f t="shared" si="40"/>
        <v>793.27624978092604</v>
      </c>
      <c r="E280" s="24">
        <f t="shared" si="41"/>
        <v>127.45836776457473</v>
      </c>
      <c r="F280" s="38">
        <f t="shared" si="36"/>
        <v>1.2059776622617995</v>
      </c>
      <c r="G280" s="14">
        <f t="shared" si="37"/>
        <v>0</v>
      </c>
      <c r="H280" s="24">
        <f t="shared" si="35"/>
        <v>500.66701991719458</v>
      </c>
      <c r="I280" s="12">
        <f t="shared" si="42"/>
        <v>0.60021966739561317</v>
      </c>
      <c r="J280" s="3"/>
    </row>
    <row r="281" spans="2:10" x14ac:dyDescent="0.25">
      <c r="B281" s="3">
        <f t="shared" si="38"/>
        <v>1305</v>
      </c>
      <c r="C281" s="14">
        <f t="shared" si="39"/>
        <v>21.75</v>
      </c>
      <c r="D281" s="11">
        <f t="shared" si="40"/>
        <v>793.84812679677157</v>
      </c>
      <c r="E281" s="24">
        <f t="shared" si="41"/>
        <v>128.05858743197035</v>
      </c>
      <c r="F281" s="38">
        <f t="shared" si="36"/>
        <v>1.2053275841882249</v>
      </c>
      <c r="G281" s="14">
        <f t="shared" si="37"/>
        <v>0</v>
      </c>
      <c r="H281" s="24">
        <f t="shared" si="35"/>
        <v>500.93704829460808</v>
      </c>
      <c r="I281" s="12">
        <f t="shared" si="42"/>
        <v>0.60025466612383183</v>
      </c>
      <c r="J281" s="3"/>
    </row>
    <row r="282" spans="2:10" x14ac:dyDescent="0.25">
      <c r="B282" s="3">
        <f t="shared" si="38"/>
        <v>1310</v>
      </c>
      <c r="C282" s="14">
        <f t="shared" si="39"/>
        <v>21.833333333333332</v>
      </c>
      <c r="D282" s="11">
        <f t="shared" si="40"/>
        <v>794.41782937004484</v>
      </c>
      <c r="E282" s="24">
        <f t="shared" si="41"/>
        <v>128.6588420980942</v>
      </c>
      <c r="F282" s="38">
        <f t="shared" si="36"/>
        <v>1.2046796186286415</v>
      </c>
      <c r="G282" s="14">
        <f t="shared" si="37"/>
        <v>0</v>
      </c>
      <c r="H282" s="24">
        <f t="shared" si="35"/>
        <v>501.20648918975968</v>
      </c>
      <c r="I282" s="12">
        <f t="shared" si="42"/>
        <v>0.60028562185404188</v>
      </c>
      <c r="J282" s="3"/>
    </row>
    <row r="283" spans="2:10" x14ac:dyDescent="0.25">
      <c r="B283" s="3">
        <f t="shared" si="38"/>
        <v>1315</v>
      </c>
      <c r="C283" s="14">
        <f t="shared" si="39"/>
        <v>21.916666666666668</v>
      </c>
      <c r="D283" s="11">
        <f t="shared" si="40"/>
        <v>794.98537397385542</v>
      </c>
      <c r="E283" s="24">
        <f t="shared" si="41"/>
        <v>129.25912771994825</v>
      </c>
      <c r="F283" s="38">
        <f t="shared" si="36"/>
        <v>1.2040337575794327</v>
      </c>
      <c r="G283" s="14">
        <f t="shared" si="37"/>
        <v>0</v>
      </c>
      <c r="H283" s="24">
        <f t="shared" si="35"/>
        <v>501.47534356941526</v>
      </c>
      <c r="I283" s="12">
        <f t="shared" si="42"/>
        <v>0.60031258534646481</v>
      </c>
      <c r="J283" s="3"/>
    </row>
    <row r="284" spans="2:10" x14ac:dyDescent="0.25">
      <c r="B284" s="3">
        <f t="shared" si="38"/>
        <v>1320</v>
      </c>
      <c r="C284" s="14">
        <f t="shared" si="39"/>
        <v>22</v>
      </c>
      <c r="D284" s="11">
        <f t="shared" si="40"/>
        <v>795.55077689482323</v>
      </c>
      <c r="E284" s="24">
        <f t="shared" si="41"/>
        <v>129.85944030529473</v>
      </c>
      <c r="F284" s="38">
        <f t="shared" si="36"/>
        <v>1.2033899929786347</v>
      </c>
      <c r="G284" s="14">
        <f t="shared" si="37"/>
        <v>0</v>
      </c>
      <c r="H284" s="24">
        <f t="shared" si="35"/>
        <v>501.74361244006116</v>
      </c>
      <c r="I284" s="12">
        <f t="shared" si="42"/>
        <v>0.60033560659699292</v>
      </c>
      <c r="J284" s="3"/>
    </row>
    <row r="285" spans="2:10" x14ac:dyDescent="0.25">
      <c r="B285" s="3">
        <f t="shared" si="38"/>
        <v>1325</v>
      </c>
      <c r="C285" s="14">
        <f t="shared" si="39"/>
        <v>22.083333333333332</v>
      </c>
      <c r="D285" s="11">
        <f t="shared" si="40"/>
        <v>796.11405423588383</v>
      </c>
      <c r="E285" s="24">
        <f t="shared" si="41"/>
        <v>130.45977591189171</v>
      </c>
      <c r="F285" s="38">
        <f t="shared" si="36"/>
        <v>1.2027483167080901</v>
      </c>
      <c r="G285" s="14">
        <f t="shared" si="37"/>
        <v>0</v>
      </c>
      <c r="H285" s="24">
        <f t="shared" si="35"/>
        <v>502.01129684712095</v>
      </c>
      <c r="I285" s="12">
        <f t="shared" si="42"/>
        <v>0.60035473485045976</v>
      </c>
      <c r="J285" s="3"/>
    </row>
    <row r="286" spans="2:10" x14ac:dyDescent="0.25">
      <c r="B286" s="3">
        <f t="shared" si="38"/>
        <v>1330</v>
      </c>
      <c r="C286" s="14">
        <f t="shared" si="39"/>
        <v>22.166666666666668</v>
      </c>
      <c r="D286" s="11">
        <f t="shared" si="40"/>
        <v>796.67522191904027</v>
      </c>
      <c r="E286" s="24">
        <f t="shared" si="41"/>
        <v>131.06013064674218</v>
      </c>
      <c r="F286" s="38">
        <f t="shared" si="36"/>
        <v>1.2021087205955492</v>
      </c>
      <c r="G286" s="14">
        <f t="shared" si="37"/>
        <v>0</v>
      </c>
      <c r="H286" s="24">
        <f t="shared" si="35"/>
        <v>502.27839787418623</v>
      </c>
      <c r="I286" s="12">
        <f t="shared" si="42"/>
        <v>0.60037001861400063</v>
      </c>
      <c r="J286" s="3"/>
    </row>
    <row r="287" spans="2:10" x14ac:dyDescent="0.25">
      <c r="B287" s="3">
        <f t="shared" si="38"/>
        <v>1335</v>
      </c>
      <c r="C287" s="14">
        <f t="shared" si="39"/>
        <v>22.25</v>
      </c>
      <c r="D287" s="11">
        <f t="shared" si="40"/>
        <v>797.23429568806307</v>
      </c>
      <c r="E287" s="24">
        <f t="shared" si="41"/>
        <v>131.66050066535618</v>
      </c>
      <c r="F287" s="38">
        <f t="shared" si="36"/>
        <v>1.2014711964167257</v>
      </c>
      <c r="G287" s="14">
        <f t="shared" si="37"/>
        <v>0</v>
      </c>
      <c r="H287" s="24">
        <f t="shared" si="35"/>
        <v>502.54491664226032</v>
      </c>
      <c r="I287" s="12">
        <f t="shared" si="42"/>
        <v>0.60038150567011705</v>
      </c>
      <c r="J287" s="3"/>
    </row>
    <row r="288" spans="2:10" x14ac:dyDescent="0.25">
      <c r="B288" s="3">
        <f t="shared" si="38"/>
        <v>1340</v>
      </c>
      <c r="C288" s="14">
        <f t="shared" si="39"/>
        <v>22.333333333333332</v>
      </c>
      <c r="D288" s="11">
        <f t="shared" si="40"/>
        <v>797.79129111114128</v>
      </c>
      <c r="E288" s="24">
        <f t="shared" si="41"/>
        <v>132.26088217102631</v>
      </c>
      <c r="F288" s="38">
        <f t="shared" si="36"/>
        <v>1.2008357358973061</v>
      </c>
      <c r="G288" s="14">
        <f t="shared" si="37"/>
        <v>0</v>
      </c>
      <c r="H288" s="24">
        <f t="shared" si="35"/>
        <v>502.81085430901578</v>
      </c>
      <c r="I288" s="12">
        <f t="shared" si="42"/>
        <v>0.6003892430892257</v>
      </c>
      <c r="J288" s="3"/>
    </row>
    <row r="289" spans="2:10" x14ac:dyDescent="0.25">
      <c r="B289" s="3">
        <f t="shared" si="38"/>
        <v>1345</v>
      </c>
      <c r="C289" s="14">
        <f t="shared" si="39"/>
        <v>22.416666666666668</v>
      </c>
      <c r="D289" s="11">
        <f t="shared" si="40"/>
        <v>798.34622358348281</v>
      </c>
      <c r="E289" s="24">
        <f t="shared" si="41"/>
        <v>132.86127141411555</v>
      </c>
      <c r="F289" s="38">
        <f t="shared" si="36"/>
        <v>1.200202330714911</v>
      </c>
      <c r="G289" s="14">
        <f t="shared" si="37"/>
        <v>0</v>
      </c>
      <c r="H289" s="24">
        <f t="shared" si="35"/>
        <v>503.07621206806471</v>
      </c>
      <c r="I289" s="12">
        <f t="shared" si="42"/>
        <v>0.60039327724232316</v>
      </c>
      <c r="J289" s="3"/>
    </row>
    <row r="290" spans="2:10" x14ac:dyDescent="0.25">
      <c r="B290" s="3">
        <f t="shared" si="38"/>
        <v>1350</v>
      </c>
      <c r="C290" s="14">
        <f t="shared" si="39"/>
        <v>22.5</v>
      </c>
      <c r="D290" s="11">
        <f t="shared" si="40"/>
        <v>798.89910832986868</v>
      </c>
      <c r="E290" s="24">
        <f t="shared" si="41"/>
        <v>133.46166469135787</v>
      </c>
      <c r="F290" s="38">
        <f t="shared" si="36"/>
        <v>1.1995709725010124</v>
      </c>
      <c r="G290" s="14">
        <f t="shared" si="37"/>
        <v>0</v>
      </c>
      <c r="H290" s="24">
        <f t="shared" si="35"/>
        <v>503.34099114824193</v>
      </c>
      <c r="I290" s="12">
        <f t="shared" si="42"/>
        <v>0.60039365381295262</v>
      </c>
      <c r="J290" s="3"/>
    </row>
    <row r="291" spans="2:10" x14ac:dyDescent="0.25">
      <c r="B291" s="3">
        <f t="shared" si="38"/>
        <v>1355</v>
      </c>
      <c r="C291" s="14">
        <f t="shared" si="39"/>
        <v>22.583333333333332</v>
      </c>
      <c r="D291" s="11">
        <f t="shared" si="40"/>
        <v>799.44996040715796</v>
      </c>
      <c r="E291" s="24">
        <f t="shared" si="41"/>
        <v>134.06205834517081</v>
      </c>
      <c r="F291" s="38">
        <f t="shared" si="36"/>
        <v>1.1989416528428074</v>
      </c>
      <c r="G291" s="14">
        <f t="shared" si="37"/>
        <v>0</v>
      </c>
      <c r="H291" s="24">
        <f t="shared" si="35"/>
        <v>503.60519281290095</v>
      </c>
      <c r="I291" s="12">
        <f t="shared" si="42"/>
        <v>0.60039041780945046</v>
      </c>
      <c r="J291" s="3"/>
    </row>
    <row r="292" spans="2:10" x14ac:dyDescent="0.25">
      <c r="B292" s="3">
        <f t="shared" si="38"/>
        <v>1360</v>
      </c>
      <c r="C292" s="14">
        <f t="shared" si="39"/>
        <v>22.666666666666668</v>
      </c>
      <c r="D292" s="11">
        <f t="shared" si="40"/>
        <v>799.99879470674989</v>
      </c>
      <c r="E292" s="24">
        <f t="shared" si="41"/>
        <v>134.66244876298026</v>
      </c>
      <c r="F292" s="38">
        <f t="shared" si="36"/>
        <v>1.1983143632850479</v>
      </c>
      <c r="G292" s="14">
        <f t="shared" si="37"/>
        <v>0</v>
      </c>
      <c r="H292" s="24">
        <f t="shared" si="35"/>
        <v>503.86881835922162</v>
      </c>
      <c r="I292" s="12">
        <f t="shared" si="42"/>
        <v>0.60038361357626857</v>
      </c>
      <c r="J292" s="3"/>
    </row>
    <row r="293" spans="2:10" x14ac:dyDescent="0.25">
      <c r="B293" s="3">
        <f t="shared" si="38"/>
        <v>1365</v>
      </c>
      <c r="C293" s="14">
        <f t="shared" si="39"/>
        <v>22.75</v>
      </c>
      <c r="D293" s="11">
        <f t="shared" si="40"/>
        <v>800.54562595699815</v>
      </c>
      <c r="E293" s="24">
        <f t="shared" si="41"/>
        <v>135.26283237655653</v>
      </c>
      <c r="F293" s="38">
        <f t="shared" si="36"/>
        <v>1.1976890953318315</v>
      </c>
      <c r="G293" s="14">
        <f t="shared" si="37"/>
        <v>0</v>
      </c>
      <c r="H293" s="24">
        <f t="shared" si="35"/>
        <v>504.13186911753036</v>
      </c>
      <c r="I293" s="12">
        <f t="shared" si="42"/>
        <v>0.60037328480582519</v>
      </c>
      <c r="J293" s="3"/>
    </row>
    <row r="294" spans="2:10" x14ac:dyDescent="0.25">
      <c r="B294" s="3">
        <f t="shared" si="38"/>
        <v>1370</v>
      </c>
      <c r="C294" s="14">
        <f t="shared" si="39"/>
        <v>22.833333333333332</v>
      </c>
      <c r="D294" s="11">
        <f t="shared" si="40"/>
        <v>801.09046872558224</v>
      </c>
      <c r="E294" s="24">
        <f t="shared" si="41"/>
        <v>135.86320566136234</v>
      </c>
      <c r="F294" s="38">
        <f t="shared" si="36"/>
        <v>1.1970658404483461</v>
      </c>
      <c r="G294" s="14">
        <f t="shared" si="37"/>
        <v>0</v>
      </c>
      <c r="H294" s="24">
        <f t="shared" si="35"/>
        <v>504.3943464506321</v>
      </c>
      <c r="I294" s="12">
        <f t="shared" si="42"/>
        <v>0.60035947454961203</v>
      </c>
      <c r="J294" s="3"/>
    </row>
    <row r="295" spans="2:10" x14ac:dyDescent="0.25">
      <c r="B295" s="3">
        <f t="shared" si="38"/>
        <v>1375</v>
      </c>
      <c r="C295" s="14">
        <f t="shared" si="39"/>
        <v>22.916666666666668</v>
      </c>
      <c r="D295" s="11">
        <f t="shared" si="40"/>
        <v>801.63333742183727</v>
      </c>
      <c r="E295" s="24">
        <f t="shared" si="41"/>
        <v>136.46356513591195</v>
      </c>
      <c r="F295" s="38">
        <f t="shared" si="36"/>
        <v>1.1964445900625809</v>
      </c>
      <c r="G295" s="14">
        <f t="shared" si="37"/>
        <v>0</v>
      </c>
      <c r="H295" s="24">
        <f t="shared" si="35"/>
        <v>504.65625175315336</v>
      </c>
      <c r="I295" s="12">
        <f t="shared" si="42"/>
        <v>0.60034222522903957</v>
      </c>
      <c r="J295" s="3"/>
    </row>
    <row r="296" spans="2:10" x14ac:dyDescent="0.25">
      <c r="B296" s="3">
        <f t="shared" si="38"/>
        <v>1380</v>
      </c>
      <c r="C296" s="14">
        <f t="shared" si="39"/>
        <v>23</v>
      </c>
      <c r="D296" s="11">
        <f t="shared" si="40"/>
        <v>802.17424629903962</v>
      </c>
      <c r="E296" s="24">
        <f t="shared" si="41"/>
        <v>137.06390736114099</v>
      </c>
      <c r="F296" s="38">
        <f t="shared" si="36"/>
        <v>1.1958253355669921</v>
      </c>
      <c r="G296" s="14">
        <f t="shared" si="37"/>
        <v>0</v>
      </c>
      <c r="H296" s="24">
        <f t="shared" si="35"/>
        <v>504.91758645089749</v>
      </c>
      <c r="I296" s="12">
        <f t="shared" si="42"/>
        <v>0.60032157864649638</v>
      </c>
      <c r="J296" s="3"/>
    </row>
    <row r="297" spans="2:10" x14ac:dyDescent="0.25">
      <c r="B297" s="3">
        <f t="shared" si="38"/>
        <v>1385</v>
      </c>
      <c r="C297" s="14">
        <f t="shared" si="39"/>
        <v>23.083333333333332</v>
      </c>
      <c r="D297" s="11">
        <f t="shared" si="40"/>
        <v>802.71320945665286</v>
      </c>
      <c r="E297" s="24">
        <f t="shared" si="41"/>
        <v>137.66422893978748</v>
      </c>
      <c r="F297" s="38">
        <f t="shared" si="36"/>
        <v>1.1952080683201336</v>
      </c>
      <c r="G297" s="14">
        <f t="shared" si="37"/>
        <v>0</v>
      </c>
      <c r="H297" s="24">
        <f t="shared" si="35"/>
        <v>505.17835200021051</v>
      </c>
      <c r="I297" s="12">
        <f t="shared" si="42"/>
        <v>0.60029757599575795</v>
      </c>
      <c r="J297" s="3"/>
    </row>
    <row r="298" spans="2:10" x14ac:dyDescent="0.25">
      <c r="B298" s="3">
        <f t="shared" si="38"/>
        <v>1390</v>
      </c>
      <c r="C298" s="14">
        <f t="shared" si="39"/>
        <v>23.166666666666668</v>
      </c>
      <c r="D298" s="11">
        <f t="shared" si="40"/>
        <v>803.25024084253243</v>
      </c>
      <c r="E298" s="24">
        <f t="shared" si="41"/>
        <v>138.26452651578325</v>
      </c>
      <c r="F298" s="38">
        <f t="shared" si="36"/>
        <v>1.1945927796482505</v>
      </c>
      <c r="G298" s="14">
        <f t="shared" si="37"/>
        <v>0</v>
      </c>
      <c r="H298" s="24">
        <f t="shared" si="35"/>
        <v>505.43854988735819</v>
      </c>
      <c r="I298" s="12">
        <f t="shared" si="42"/>
        <v>0.60027025787247412</v>
      </c>
      <c r="J298" s="3"/>
    </row>
    <row r="299" spans="2:10" x14ac:dyDescent="0.25">
      <c r="B299" s="3">
        <f t="shared" si="38"/>
        <v>1395</v>
      </c>
      <c r="C299" s="14">
        <f t="shared" si="39"/>
        <v>23.25</v>
      </c>
      <c r="D299" s="11">
        <f t="shared" si="40"/>
        <v>803.78535425509222</v>
      </c>
      <c r="E299" s="24">
        <f t="shared" si="41"/>
        <v>138.86479677365571</v>
      </c>
      <c r="F299" s="38">
        <f t="shared" si="36"/>
        <v>1.1939794608468335</v>
      </c>
      <c r="G299" s="14">
        <f t="shared" si="37"/>
        <v>0</v>
      </c>
      <c r="H299" s="24">
        <f t="shared" si="35"/>
        <v>505.6981816279133</v>
      </c>
      <c r="I299" s="12">
        <f t="shared" si="42"/>
        <v>0.60023966428418307</v>
      </c>
      <c r="J299" s="3"/>
    </row>
    <row r="300" spans="2:10" x14ac:dyDescent="0.25">
      <c r="B300" s="3">
        <f t="shared" si="38"/>
        <v>1400</v>
      </c>
      <c r="C300" s="14">
        <f t="shared" si="39"/>
        <v>23.333333333333332</v>
      </c>
      <c r="D300" s="11">
        <f t="shared" si="40"/>
        <v>804.3185633454309</v>
      </c>
      <c r="E300" s="24">
        <f t="shared" si="41"/>
        <v>139.46503643793989</v>
      </c>
      <c r="F300" s="38">
        <f t="shared" si="36"/>
        <v>1.1933681031821413</v>
      </c>
      <c r="G300" s="14">
        <f t="shared" si="37"/>
        <v>0</v>
      </c>
      <c r="H300" s="24">
        <f t="shared" si="35"/>
        <v>505.95724876615412</v>
      </c>
      <c r="I300" s="12">
        <f t="shared" si="42"/>
        <v>0.60020583466047417</v>
      </c>
      <c r="J300" s="3"/>
    </row>
    <row r="301" spans="2:10" x14ac:dyDescent="0.25">
      <c r="B301" s="3">
        <f t="shared" si="38"/>
        <v>1405</v>
      </c>
      <c r="C301" s="14">
        <f t="shared" si="39"/>
        <v>23.416666666666668</v>
      </c>
      <c r="D301" s="11">
        <f t="shared" si="40"/>
        <v>804.84988161942272</v>
      </c>
      <c r="E301" s="24">
        <f t="shared" si="41"/>
        <v>140.06524227260036</v>
      </c>
      <c r="F301" s="38">
        <f t="shared" si="36"/>
        <v>1.1927586978926823</v>
      </c>
      <c r="G301" s="14">
        <f t="shared" si="37"/>
        <v>0</v>
      </c>
      <c r="H301" s="24">
        <f t="shared" si="35"/>
        <v>506.21575287447286</v>
      </c>
      <c r="I301" s="12">
        <f t="shared" si="42"/>
        <v>0.60016880786250182</v>
      </c>
      <c r="J301" s="3"/>
    </row>
    <row r="302" spans="2:10" x14ac:dyDescent="0.25">
      <c r="B302" s="3">
        <f t="shared" si="38"/>
        <v>1410</v>
      </c>
      <c r="C302" s="14">
        <f t="shared" si="39"/>
        <v>23.5</v>
      </c>
      <c r="D302" s="11">
        <f t="shared" si="40"/>
        <v>805.37932243976911</v>
      </c>
      <c r="E302" s="24">
        <f t="shared" si="41"/>
        <v>140.66541108046286</v>
      </c>
      <c r="F302" s="38">
        <f t="shared" si="36"/>
        <v>1.1921512361906688</v>
      </c>
      <c r="G302" s="14">
        <f t="shared" si="37"/>
        <v>0</v>
      </c>
      <c r="H302" s="24">
        <f t="shared" si="35"/>
        <v>506.47369555279431</v>
      </c>
      <c r="I302" s="12">
        <f t="shared" si="42"/>
        <v>0.60012862219282082</v>
      </c>
      <c r="J302" s="3"/>
    </row>
    <row r="303" spans="2:10" x14ac:dyDescent="0.25">
      <c r="B303" s="3">
        <f t="shared" si="38"/>
        <v>1415</v>
      </c>
      <c r="C303" s="14">
        <f t="shared" si="39"/>
        <v>23.583333333333332</v>
      </c>
      <c r="D303" s="11">
        <f t="shared" si="40"/>
        <v>805.90689902801591</v>
      </c>
      <c r="E303" s="24">
        <f t="shared" si="41"/>
        <v>141.26553970265567</v>
      </c>
      <c r="F303" s="38">
        <f t="shared" si="36"/>
        <v>1.1915457092634316</v>
      </c>
      <c r="G303" s="14">
        <f t="shared" si="37"/>
        <v>0</v>
      </c>
      <c r="H303" s="24">
        <f t="shared" si="35"/>
        <v>506.73107842800437</v>
      </c>
      <c r="I303" s="12">
        <f t="shared" si="42"/>
        <v>0.60008531540457477</v>
      </c>
      <c r="J303" s="3"/>
    </row>
    <row r="304" spans="2:10" x14ac:dyDescent="0.25">
      <c r="B304" s="3">
        <f t="shared" si="38"/>
        <v>1420</v>
      </c>
      <c r="C304" s="14">
        <f t="shared" si="39"/>
        <v>23.666666666666668</v>
      </c>
      <c r="D304" s="11">
        <f t="shared" si="40"/>
        <v>806.43262446653398</v>
      </c>
      <c r="E304" s="24">
        <f t="shared" si="41"/>
        <v>141.86562501806026</v>
      </c>
      <c r="F304" s="38">
        <f t="shared" si="36"/>
        <v>1.1909421082748073</v>
      </c>
      <c r="G304" s="14">
        <f t="shared" si="37"/>
        <v>0</v>
      </c>
      <c r="H304" s="24">
        <f t="shared" si="35"/>
        <v>506.98790315338834</v>
      </c>
      <c r="I304" s="12">
        <f t="shared" si="42"/>
        <v>0.60003892471084286</v>
      </c>
      <c r="J304" s="3"/>
    </row>
    <row r="305" spans="2:10" x14ac:dyDescent="0.25">
      <c r="B305" s="3">
        <f t="shared" si="38"/>
        <v>1425</v>
      </c>
      <c r="C305" s="14">
        <f t="shared" si="39"/>
        <v>23.75</v>
      </c>
      <c r="D305" s="11">
        <f t="shared" si="40"/>
        <v>806.95651170046585</v>
      </c>
      <c r="E305" s="24">
        <f t="shared" si="41"/>
        <v>142.4656639427711</v>
      </c>
      <c r="F305" s="38">
        <f t="shared" si="36"/>
        <v>1.1903404243664877</v>
      </c>
      <c r="G305" s="14">
        <f t="shared" si="37"/>
        <v>0</v>
      </c>
      <c r="H305" s="24">
        <f t="shared" si="35"/>
        <v>507.24417140807896</v>
      </c>
      <c r="I305" s="12">
        <f t="shared" si="42"/>
        <v>0.599989486793581</v>
      </c>
      <c r="J305" s="3"/>
    </row>
    <row r="306" spans="2:10" x14ac:dyDescent="0.25">
      <c r="B306" s="3">
        <f t="shared" si="38"/>
        <v>1430</v>
      </c>
      <c r="C306" s="14">
        <f t="shared" si="39"/>
        <v>23.833333333333332</v>
      </c>
      <c r="D306" s="11">
        <f t="shared" si="40"/>
        <v>807.478573539639</v>
      </c>
      <c r="E306" s="24">
        <f t="shared" si="41"/>
        <v>143.06565342956469</v>
      </c>
      <c r="F306" s="38">
        <f t="shared" si="36"/>
        <v>1.1897406486593438</v>
      </c>
      <c r="G306" s="14">
        <f t="shared" si="37"/>
        <v>0</v>
      </c>
      <c r="H306" s="24">
        <f t="shared" si="35"/>
        <v>507.49988489651332</v>
      </c>
      <c r="I306" s="12">
        <f t="shared" si="42"/>
        <v>0.59993703781241348</v>
      </c>
      <c r="J306" s="3"/>
    </row>
    <row r="307" spans="2:10" x14ac:dyDescent="0.25">
      <c r="B307" s="3">
        <f t="shared" si="38"/>
        <v>1435</v>
      </c>
      <c r="C307" s="14">
        <f t="shared" si="39"/>
        <v>23.916666666666668</v>
      </c>
      <c r="D307" s="11">
        <f t="shared" si="40"/>
        <v>807.99882266044369</v>
      </c>
      <c r="E307" s="24">
        <f t="shared" si="41"/>
        <v>143.66559046737711</v>
      </c>
      <c r="F307" s="38">
        <f t="shared" si="36"/>
        <v>1.1891427722547145</v>
      </c>
      <c r="G307" s="14">
        <f t="shared" si="37"/>
        <v>0</v>
      </c>
      <c r="H307" s="24">
        <f t="shared" si="35"/>
        <v>507.75504534790002</v>
      </c>
      <c r="I307" s="12">
        <f t="shared" si="42"/>
        <v>0.59988161341358215</v>
      </c>
      <c r="J307" s="3"/>
    </row>
    <row r="308" spans="2:10" x14ac:dyDescent="0.25">
      <c r="B308" s="3">
        <f t="shared" si="38"/>
        <v>1440</v>
      </c>
      <c r="C308" s="14">
        <f t="shared" si="39"/>
        <v>24</v>
      </c>
      <c r="D308" s="11">
        <f t="shared" si="40"/>
        <v>808.51727160768178</v>
      </c>
      <c r="E308" s="24">
        <f t="shared" si="41"/>
        <v>144.26547208079069</v>
      </c>
      <c r="F308" s="38">
        <f t="shared" si="36"/>
        <v>1.1885467862356676</v>
      </c>
      <c r="G308" s="14">
        <f t="shared" si="37"/>
        <v>0</v>
      </c>
      <c r="H308" s="24">
        <f t="shared" si="35"/>
        <v>508.00965451569419</v>
      </c>
      <c r="I308" s="12">
        <f t="shared" si="42"/>
        <v>0.59982324873802806</v>
      </c>
      <c r="J308" s="3"/>
    </row>
    <row r="309" spans="2:10" x14ac:dyDescent="0.25">
      <c r="B309" s="3">
        <f t="shared" si="38"/>
        <v>1445</v>
      </c>
      <c r="C309" s="14">
        <f t="shared" si="39"/>
        <v>24.083333333333332</v>
      </c>
      <c r="D309" s="11">
        <f t="shared" si="40"/>
        <v>809.03393279638044</v>
      </c>
      <c r="E309" s="24">
        <f t="shared" si="41"/>
        <v>144.86529532952872</v>
      </c>
      <c r="F309" s="38">
        <f t="shared" si="36"/>
        <v>1.187952681668232</v>
      </c>
      <c r="G309" s="14">
        <f t="shared" si="37"/>
        <v>0</v>
      </c>
      <c r="H309" s="24">
        <f t="shared" ref="H309:H372" si="43">IF(E309&lt;600,425+0.773*E309-1.69/1000*E309^2+2.22/1000^2*E309^3,IF(E309&lt;735,666+13002/(738-E309),IF(E309&lt;900,545+17820/(E309-731),650)))</f>
        <v>508.26371417708185</v>
      </c>
      <c r="I309" s="12">
        <f t="shared" si="42"/>
        <v>0.59976197843014167</v>
      </c>
      <c r="J309" s="3"/>
    </row>
    <row r="310" spans="2:10" x14ac:dyDescent="0.25">
      <c r="B310" s="3">
        <f t="shared" si="38"/>
        <v>1450</v>
      </c>
      <c r="C310" s="14">
        <f t="shared" si="39"/>
        <v>24.166666666666668</v>
      </c>
      <c r="D310" s="11">
        <f t="shared" si="40"/>
        <v>809.54881851357629</v>
      </c>
      <c r="E310" s="24">
        <f t="shared" si="41"/>
        <v>145.46505730795886</v>
      </c>
      <c r="F310" s="38">
        <f t="shared" si="36"/>
        <v>1.1873604496025985</v>
      </c>
      <c r="G310" s="14">
        <f t="shared" si="37"/>
        <v>0</v>
      </c>
      <c r="H310" s="24">
        <f t="shared" si="43"/>
        <v>508.51722613247358</v>
      </c>
      <c r="I310" s="12">
        <f t="shared" si="42"/>
        <v>0.59969783664575849</v>
      </c>
      <c r="J310" s="3"/>
    </row>
    <row r="311" spans="2:10" x14ac:dyDescent="0.25">
      <c r="B311" s="3">
        <f t="shared" si="38"/>
        <v>1455</v>
      </c>
      <c r="C311" s="14">
        <f t="shared" si="39"/>
        <v>24.25</v>
      </c>
      <c r="D311" s="11">
        <f t="shared" si="40"/>
        <v>810.06194092006865</v>
      </c>
      <c r="E311" s="24">
        <f t="shared" si="41"/>
        <v>146.06475514460462</v>
      </c>
      <c r="F311" s="38">
        <f t="shared" si="36"/>
        <v>1.1867700810742969</v>
      </c>
      <c r="G311" s="14">
        <f t="shared" si="37"/>
        <v>0</v>
      </c>
      <c r="H311" s="24">
        <f t="shared" si="43"/>
        <v>508.77019220500557</v>
      </c>
      <c r="I311" s="12">
        <f t="shared" si="42"/>
        <v>0.5996308570602269</v>
      </c>
      <c r="J311" s="3"/>
    </row>
    <row r="312" spans="2:10" x14ac:dyDescent="0.25">
      <c r="B312" s="3">
        <f t="shared" si="38"/>
        <v>1460</v>
      </c>
      <c r="C312" s="14">
        <f t="shared" si="39"/>
        <v>24.333333333333332</v>
      </c>
      <c r="D312" s="11">
        <f t="shared" si="40"/>
        <v>810.57331205214336</v>
      </c>
      <c r="E312" s="24">
        <f t="shared" si="41"/>
        <v>146.66438600166484</v>
      </c>
      <c r="F312" s="38">
        <f t="shared" si="36"/>
        <v>1.1861815671053415</v>
      </c>
      <c r="G312" s="14">
        <f t="shared" si="37"/>
        <v>0</v>
      </c>
      <c r="H312" s="24">
        <f t="shared" si="43"/>
        <v>509.02261424004996</v>
      </c>
      <c r="I312" s="12">
        <f t="shared" si="42"/>
        <v>0.59956107287622651</v>
      </c>
      <c r="J312" s="3"/>
    </row>
    <row r="313" spans="2:10" x14ac:dyDescent="0.25">
      <c r="B313" s="3">
        <f t="shared" si="38"/>
        <v>1465</v>
      </c>
      <c r="C313" s="14">
        <f t="shared" si="39"/>
        <v>24.416666666666668</v>
      </c>
      <c r="D313" s="11">
        <f t="shared" si="40"/>
        <v>811.08294382326653</v>
      </c>
      <c r="E313" s="24">
        <f t="shared" si="41"/>
        <v>147.26394707454105</v>
      </c>
      <c r="F313" s="38">
        <f t="shared" si="36"/>
        <v>1.1855948987053508</v>
      </c>
      <c r="G313" s="14">
        <f t="shared" si="37"/>
        <v>0</v>
      </c>
      <c r="H313" s="24">
        <f t="shared" si="43"/>
        <v>509.27449410473344</v>
      </c>
      <c r="I313" s="12">
        <f t="shared" si="42"/>
        <v>0.59948851683160287</v>
      </c>
      <c r="J313" s="3"/>
    </row>
    <row r="314" spans="2:10" x14ac:dyDescent="0.25">
      <c r="B314" s="3">
        <f t="shared" si="38"/>
        <v>1470</v>
      </c>
      <c r="C314" s="14">
        <f t="shared" si="39"/>
        <v>24.5</v>
      </c>
      <c r="D314" s="11">
        <f t="shared" si="40"/>
        <v>811.59084802574955</v>
      </c>
      <c r="E314" s="24">
        <f t="shared" si="41"/>
        <v>147.86343559137265</v>
      </c>
      <c r="F314" s="38">
        <f t="shared" si="36"/>
        <v>1.1850100668726433</v>
      </c>
      <c r="G314" s="14">
        <f t="shared" si="37"/>
        <v>0</v>
      </c>
      <c r="H314" s="24">
        <f t="shared" si="43"/>
        <v>509.52583368746326</v>
      </c>
      <c r="I314" s="12">
        <f t="shared" si="42"/>
        <v>0.59941322120694096</v>
      </c>
      <c r="J314" s="3"/>
    </row>
    <row r="315" spans="2:10" x14ac:dyDescent="0.25">
      <c r="B315" s="3">
        <f t="shared" si="38"/>
        <v>1475</v>
      </c>
      <c r="C315" s="14">
        <f t="shared" si="39"/>
        <v>24.583333333333332</v>
      </c>
      <c r="D315" s="11">
        <f t="shared" si="40"/>
        <v>812.09703633238701</v>
      </c>
      <c r="E315" s="24">
        <f t="shared" si="41"/>
        <v>148.46284881257958</v>
      </c>
      <c r="F315" s="38">
        <f t="shared" si="36"/>
        <v>1.1844270625953062</v>
      </c>
      <c r="G315" s="14">
        <f t="shared" si="37"/>
        <v>0</v>
      </c>
      <c r="H315" s="24">
        <f t="shared" si="43"/>
        <v>509.77663489746141</v>
      </c>
      <c r="I315" s="12">
        <f t="shared" si="42"/>
        <v>0.59933521783288912</v>
      </c>
      <c r="J315" s="3"/>
    </row>
    <row r="316" spans="2:10" x14ac:dyDescent="0.25">
      <c r="B316" s="3">
        <f t="shared" si="38"/>
        <v>1480</v>
      </c>
      <c r="C316" s="14">
        <f t="shared" si="39"/>
        <v>24.666666666666668</v>
      </c>
      <c r="D316" s="11">
        <f t="shared" si="40"/>
        <v>812.60152029806591</v>
      </c>
      <c r="E316" s="24">
        <f t="shared" si="41"/>
        <v>149.06218403041248</v>
      </c>
      <c r="F316" s="38">
        <f t="shared" si="36"/>
        <v>1.1838458768522375</v>
      </c>
      <c r="G316" s="14">
        <f t="shared" si="37"/>
        <v>0</v>
      </c>
      <c r="H316" s="24">
        <f t="shared" si="43"/>
        <v>510.02689966430739</v>
      </c>
      <c r="I316" s="12">
        <f t="shared" si="42"/>
        <v>0.59925453809759233</v>
      </c>
      <c r="J316" s="3"/>
    </row>
    <row r="317" spans="2:10" x14ac:dyDescent="0.25">
      <c r="B317" s="3">
        <f t="shared" si="38"/>
        <v>1485</v>
      </c>
      <c r="C317" s="14">
        <f t="shared" si="39"/>
        <v>24.75</v>
      </c>
      <c r="D317" s="11">
        <f t="shared" si="40"/>
        <v>813.10431136134866</v>
      </c>
      <c r="E317" s="24">
        <f t="shared" si="41"/>
        <v>149.66143856851008</v>
      </c>
      <c r="F317" s="38">
        <f t="shared" si="36"/>
        <v>1.1832665006141652</v>
      </c>
      <c r="G317" s="14">
        <f t="shared" si="37"/>
        <v>0</v>
      </c>
      <c r="H317" s="24">
        <f t="shared" si="43"/>
        <v>510.27662993748743</v>
      </c>
      <c r="I317" s="12">
        <f t="shared" si="42"/>
        <v>0.59917121295376818</v>
      </c>
      <c r="J317" s="3"/>
    </row>
    <row r="318" spans="2:10" x14ac:dyDescent="0.25">
      <c r="B318" s="3">
        <f t="shared" si="38"/>
        <v>1490</v>
      </c>
      <c r="C318" s="14">
        <f t="shared" si="39"/>
        <v>24.833333333333332</v>
      </c>
      <c r="D318" s="11">
        <f t="shared" si="40"/>
        <v>813.60542084602866</v>
      </c>
      <c r="E318" s="24">
        <f t="shared" si="41"/>
        <v>150.26060978146384</v>
      </c>
      <c r="F318" s="38">
        <f t="shared" si="36"/>
        <v>1.1826889248446433</v>
      </c>
      <c r="G318" s="14">
        <f t="shared" si="37"/>
        <v>0</v>
      </c>
      <c r="H318" s="24">
        <f t="shared" si="43"/>
        <v>510.52582768595198</v>
      </c>
      <c r="I318" s="12">
        <f t="shared" si="42"/>
        <v>0.59908527292585012</v>
      </c>
      <c r="J318" s="3"/>
    </row>
    <row r="319" spans="2:10" x14ac:dyDescent="0.25">
      <c r="B319" s="3">
        <f t="shared" si="38"/>
        <v>1495</v>
      </c>
      <c r="C319" s="14">
        <f t="shared" si="39"/>
        <v>24.916666666666668</v>
      </c>
      <c r="D319" s="11">
        <f t="shared" si="40"/>
        <v>814.10485996266141</v>
      </c>
      <c r="E319" s="24">
        <f t="shared" si="41"/>
        <v>150.8596950543897</v>
      </c>
      <c r="F319" s="38">
        <f t="shared" si="36"/>
        <v>1.1821131405010219</v>
      </c>
      <c r="G319" s="14">
        <f t="shared" si="37"/>
        <v>0</v>
      </c>
      <c r="H319" s="24">
        <f t="shared" si="43"/>
        <v>510.77449489768043</v>
      </c>
      <c r="I319" s="12">
        <f t="shared" si="42"/>
        <v>0.59899674811670145</v>
      </c>
      <c r="J319" s="3"/>
    </row>
    <row r="320" spans="2:10" x14ac:dyDescent="0.25">
      <c r="B320" s="3">
        <f t="shared" si="38"/>
        <v>1500</v>
      </c>
      <c r="C320" s="14">
        <f t="shared" si="39"/>
        <v>25</v>
      </c>
      <c r="D320" s="11">
        <f t="shared" si="40"/>
        <v>814.60263981006858</v>
      </c>
      <c r="E320" s="24">
        <f t="shared" si="41"/>
        <v>151.45869180250639</v>
      </c>
      <c r="F320" s="38">
        <f t="shared" si="36"/>
        <v>1.1815391385353973</v>
      </c>
      <c r="G320" s="14">
        <f t="shared" si="37"/>
        <v>0</v>
      </c>
      <c r="H320" s="24">
        <f t="shared" si="43"/>
        <v>511.02263357925278</v>
      </c>
      <c r="I320" s="12">
        <f t="shared" si="42"/>
        <v>0.59890566821459257</v>
      </c>
      <c r="J320" s="3"/>
    </row>
    <row r="321" spans="2:10" x14ac:dyDescent="0.25">
      <c r="B321" s="3">
        <f t="shared" si="38"/>
        <v>1505</v>
      </c>
      <c r="C321" s="14">
        <f t="shared" si="39"/>
        <v>25.083333333333332</v>
      </c>
      <c r="D321" s="11">
        <f t="shared" si="40"/>
        <v>815.09877137681826</v>
      </c>
      <c r="E321" s="24">
        <f t="shared" si="41"/>
        <v>152.05759747072099</v>
      </c>
      <c r="F321" s="38">
        <f t="shared" si="36"/>
        <v>1.180966909895536</v>
      </c>
      <c r="G321" s="14">
        <f t="shared" si="37"/>
        <v>0</v>
      </c>
      <c r="H321" s="24">
        <f t="shared" si="43"/>
        <v>511.27024575542896</v>
      </c>
      <c r="I321" s="12">
        <f t="shared" si="42"/>
        <v>0.59881206249971619</v>
      </c>
      <c r="J321" s="3"/>
    </row>
    <row r="322" spans="2:10" x14ac:dyDescent="0.25">
      <c r="B322" s="3">
        <f t="shared" si="38"/>
        <v>1510</v>
      </c>
      <c r="C322" s="14">
        <f t="shared" si="39"/>
        <v>25.166666666666668</v>
      </c>
      <c r="D322" s="11">
        <f t="shared" si="40"/>
        <v>815.59326554268023</v>
      </c>
      <c r="E322" s="24">
        <f t="shared" si="41"/>
        <v>152.65640953322071</v>
      </c>
      <c r="F322" s="38">
        <f t="shared" si="36"/>
        <v>1.1803964455257814</v>
      </c>
      <c r="G322" s="14">
        <f t="shared" si="37"/>
        <v>0</v>
      </c>
      <c r="H322" s="24">
        <f t="shared" si="43"/>
        <v>511.51733346873459</v>
      </c>
      <c r="I322" s="12">
        <f t="shared" si="42"/>
        <v>0.59871595985077031</v>
      </c>
      <c r="J322" s="3"/>
    </row>
    <row r="323" spans="2:10" x14ac:dyDescent="0.25">
      <c r="B323" s="3">
        <f t="shared" si="38"/>
        <v>1515</v>
      </c>
      <c r="C323" s="14">
        <f t="shared" si="39"/>
        <v>25.25</v>
      </c>
      <c r="D323" s="11">
        <f t="shared" si="40"/>
        <v>816.08613308005829</v>
      </c>
      <c r="E323" s="24">
        <f t="shared" si="41"/>
        <v>153.25512549307149</v>
      </c>
      <c r="F323" s="38">
        <f t="shared" si="36"/>
        <v>1.1798277363679339</v>
      </c>
      <c r="G323" s="14">
        <f t="shared" si="37"/>
        <v>0</v>
      </c>
      <c r="H323" s="24">
        <f t="shared" si="43"/>
        <v>511.76389877905427</v>
      </c>
      <c r="I323" s="12">
        <f t="shared" si="42"/>
        <v>0.59861738875124015</v>
      </c>
      <c r="J323" s="3"/>
    </row>
    <row r="324" spans="2:10" x14ac:dyDescent="0.25">
      <c r="B324" s="3">
        <f t="shared" si="38"/>
        <v>1520</v>
      </c>
      <c r="C324" s="14">
        <f t="shared" si="39"/>
        <v>25.333333333333332</v>
      </c>
      <c r="D324" s="11">
        <f t="shared" si="40"/>
        <v>816.57738465539751</v>
      </c>
      <c r="E324" s="24">
        <f t="shared" si="41"/>
        <v>153.85374288182274</v>
      </c>
      <c r="F324" s="38">
        <f t="shared" si="36"/>
        <v>1.1792607733621152</v>
      </c>
      <c r="G324" s="14">
        <f t="shared" si="37"/>
        <v>0</v>
      </c>
      <c r="H324" s="24">
        <f t="shared" si="43"/>
        <v>512.00994376323035</v>
      </c>
      <c r="I324" s="12">
        <f t="shared" si="42"/>
        <v>0.59851637729589147</v>
      </c>
      <c r="J324" s="3"/>
    </row>
    <row r="325" spans="2:10" x14ac:dyDescent="0.25">
      <c r="B325" s="3">
        <f t="shared" si="38"/>
        <v>1525</v>
      </c>
      <c r="C325" s="14">
        <f t="shared" si="39"/>
        <v>25.416666666666668</v>
      </c>
      <c r="D325" s="11">
        <f t="shared" si="40"/>
        <v>817.06703083056959</v>
      </c>
      <c r="E325" s="24">
        <f t="shared" si="41"/>
        <v>154.45225925911862</v>
      </c>
      <c r="F325" s="38">
        <f t="shared" si="36"/>
        <v>1.1786955474476062</v>
      </c>
      <c r="G325" s="14">
        <f t="shared" si="37"/>
        <v>0</v>
      </c>
      <c r="H325" s="24">
        <f t="shared" si="43"/>
        <v>512.25547051467015</v>
      </c>
      <c r="I325" s="12">
        <f t="shared" si="42"/>
        <v>0.59841295319679311</v>
      </c>
      <c r="J325" s="3"/>
    </row>
    <row r="326" spans="2:10" x14ac:dyDescent="0.25">
      <c r="B326" s="3">
        <f t="shared" si="38"/>
        <v>1530</v>
      </c>
      <c r="C326" s="14">
        <f t="shared" si="39"/>
        <v>25.5</v>
      </c>
      <c r="D326" s="11">
        <f t="shared" si="40"/>
        <v>817.55508206423519</v>
      </c>
      <c r="E326" s="24">
        <f t="shared" si="41"/>
        <v>155.05067221231542</v>
      </c>
      <c r="F326" s="38">
        <f t="shared" si="36"/>
        <v>1.1781320495636705</v>
      </c>
      <c r="G326" s="14">
        <f t="shared" si="37"/>
        <v>0</v>
      </c>
      <c r="H326" s="24">
        <f t="shared" si="43"/>
        <v>512.50048114295782</v>
      </c>
      <c r="I326" s="12">
        <f t="shared" si="42"/>
        <v>0.59830714378943994</v>
      </c>
      <c r="J326" s="3"/>
    </row>
    <row r="327" spans="2:10" x14ac:dyDescent="0.25">
      <c r="B327" s="3">
        <f t="shared" si="38"/>
        <v>1535</v>
      </c>
      <c r="C327" s="14">
        <f t="shared" si="39"/>
        <v>25.583333333333332</v>
      </c>
      <c r="D327" s="11">
        <f t="shared" si="40"/>
        <v>818.04154871318474</v>
      </c>
      <c r="E327" s="24">
        <f t="shared" si="41"/>
        <v>155.64897935610486</v>
      </c>
      <c r="F327" s="38">
        <f t="shared" si="36"/>
        <v>1.1775702706503552</v>
      </c>
      <c r="G327" s="14">
        <f t="shared" si="37"/>
        <v>0</v>
      </c>
      <c r="H327" s="24">
        <f t="shared" si="43"/>
        <v>512.74497777347392</v>
      </c>
      <c r="I327" s="12">
        <f t="shared" si="42"/>
        <v>0.5981989760386236</v>
      </c>
      <c r="J327" s="3"/>
    </row>
    <row r="328" spans="2:10" x14ac:dyDescent="0.25">
      <c r="B328" s="3">
        <f t="shared" si="38"/>
        <v>1540</v>
      </c>
      <c r="C328" s="14">
        <f t="shared" si="39"/>
        <v>25.666666666666668</v>
      </c>
      <c r="D328" s="11">
        <f t="shared" si="40"/>
        <v>818.52644103365697</v>
      </c>
      <c r="E328" s="24">
        <f t="shared" si="41"/>
        <v>156.24717833214348</v>
      </c>
      <c r="F328" s="38">
        <f t="shared" si="36"/>
        <v>1.1770102016492732</v>
      </c>
      <c r="G328" s="14">
        <f t="shared" si="37"/>
        <v>0</v>
      </c>
      <c r="H328" s="24">
        <f t="shared" si="43"/>
        <v>512.98896254702061</v>
      </c>
      <c r="I328" s="12">
        <f t="shared" si="42"/>
        <v>0.59808847654434505</v>
      </c>
      <c r="J328" s="3"/>
    </row>
    <row r="329" spans="2:10" x14ac:dyDescent="0.25">
      <c r="B329" s="3">
        <f t="shared" si="38"/>
        <v>1545</v>
      </c>
      <c r="C329" s="14">
        <f t="shared" si="39"/>
        <v>25.75</v>
      </c>
      <c r="D329" s="11">
        <f t="shared" si="40"/>
        <v>819.00976918263655</v>
      </c>
      <c r="E329" s="24">
        <f t="shared" si="41"/>
        <v>156.84526680868782</v>
      </c>
      <c r="F329" s="38">
        <f t="shared" si="36"/>
        <v>1.1764518335043643</v>
      </c>
      <c r="G329" s="14">
        <f t="shared" si="37"/>
        <v>0</v>
      </c>
      <c r="H329" s="24">
        <f t="shared" si="43"/>
        <v>513.23243761945332</v>
      </c>
      <c r="I329" s="12">
        <f t="shared" si="42"/>
        <v>0.59797567154750619</v>
      </c>
      <c r="J329" s="3"/>
    </row>
    <row r="330" spans="2:10" x14ac:dyDescent="0.25">
      <c r="B330" s="3">
        <f t="shared" si="38"/>
        <v>1550</v>
      </c>
      <c r="C330" s="14">
        <f t="shared" si="39"/>
        <v>25.833333333333332</v>
      </c>
      <c r="D330" s="11">
        <f t="shared" si="40"/>
        <v>819.49154321912977</v>
      </c>
      <c r="E330" s="24">
        <f t="shared" si="41"/>
        <v>157.44324248023534</v>
      </c>
      <c r="F330" s="38">
        <f t="shared" si="36"/>
        <v>1.1758951571626441</v>
      </c>
      <c r="G330" s="14">
        <f t="shared" si="37"/>
        <v>0</v>
      </c>
      <c r="H330" s="24">
        <f t="shared" si="43"/>
        <v>513.47540516131778</v>
      </c>
      <c r="I330" s="12">
        <f t="shared" si="42"/>
        <v>0.59786058693567556</v>
      </c>
      <c r="J330" s="3"/>
    </row>
    <row r="331" spans="2:10" x14ac:dyDescent="0.25">
      <c r="B331" s="3">
        <f t="shared" si="38"/>
        <v>1555</v>
      </c>
      <c r="C331" s="14">
        <f t="shared" si="39"/>
        <v>25.916666666666668</v>
      </c>
      <c r="D331" s="11">
        <f t="shared" si="40"/>
        <v>819.97177310542247</v>
      </c>
      <c r="E331" s="24">
        <f t="shared" si="41"/>
        <v>158.04110306717101</v>
      </c>
      <c r="F331" s="38">
        <f t="shared" si="36"/>
        <v>1.1753401635749274</v>
      </c>
      <c r="G331" s="14">
        <f t="shared" si="37"/>
        <v>0</v>
      </c>
      <c r="H331" s="24">
        <f t="shared" si="43"/>
        <v>513.71786735749413</v>
      </c>
      <c r="I331" s="12">
        <f t="shared" si="42"/>
        <v>0.59774324824827818</v>
      </c>
      <c r="J331" s="3"/>
    </row>
    <row r="332" spans="2:10" x14ac:dyDescent="0.25">
      <c r="B332" s="3">
        <f t="shared" si="38"/>
        <v>1560</v>
      </c>
      <c r="C332" s="14">
        <f t="shared" si="39"/>
        <v>26</v>
      </c>
      <c r="D332" s="11">
        <f t="shared" si="40"/>
        <v>820.45046870831357</v>
      </c>
      <c r="E332" s="24">
        <f t="shared" si="41"/>
        <v>158.63884631541927</v>
      </c>
      <c r="F332" s="38">
        <f t="shared" si="36"/>
        <v>1.1747868436965394</v>
      </c>
      <c r="G332" s="14">
        <f t="shared" si="37"/>
        <v>0</v>
      </c>
      <c r="H332" s="24">
        <f t="shared" si="43"/>
        <v>513.9598264068461</v>
      </c>
      <c r="I332" s="12">
        <f t="shared" si="42"/>
        <v>0.59762368068257221</v>
      </c>
      <c r="J332" s="3"/>
    </row>
    <row r="333" spans="2:10" x14ac:dyDescent="0.25">
      <c r="B333" s="3">
        <f t="shared" si="38"/>
        <v>1565</v>
      </c>
      <c r="C333" s="14">
        <f t="shared" si="39"/>
        <v>26.083333333333332</v>
      </c>
      <c r="D333" s="11">
        <f t="shared" si="40"/>
        <v>820.92763980033419</v>
      </c>
      <c r="E333" s="24">
        <f t="shared" si="41"/>
        <v>159.23646999610185</v>
      </c>
      <c r="F333" s="38">
        <f t="shared" si="36"/>
        <v>1.1742351884880062</v>
      </c>
      <c r="G333" s="14">
        <f t="shared" si="37"/>
        <v>0</v>
      </c>
      <c r="H333" s="24">
        <f t="shared" si="43"/>
        <v>514.20128452187612</v>
      </c>
      <c r="I333" s="12">
        <f t="shared" si="42"/>
        <v>0.59750190909831424</v>
      </c>
      <c r="J333" s="3"/>
    </row>
    <row r="334" spans="2:10" x14ac:dyDescent="0.25">
      <c r="B334" s="3">
        <f t="shared" si="38"/>
        <v>1570</v>
      </c>
      <c r="C334" s="14">
        <f t="shared" si="39"/>
        <v>26.166666666666668</v>
      </c>
      <c r="D334" s="11">
        <f t="shared" si="40"/>
        <v>821.40329606094269</v>
      </c>
      <c r="E334" s="24">
        <f t="shared" si="41"/>
        <v>159.83397190520017</v>
      </c>
      <c r="F334" s="38">
        <f t="shared" si="36"/>
        <v>1.173685188915732</v>
      </c>
      <c r="G334" s="14">
        <f t="shared" si="37"/>
        <v>0</v>
      </c>
      <c r="H334" s="24">
        <f t="shared" si="43"/>
        <v>514.44224392838532</v>
      </c>
      <c r="I334" s="12">
        <f t="shared" si="42"/>
        <v>0.59737795802360971</v>
      </c>
      <c r="J334" s="3"/>
    </row>
    <row r="335" spans="2:10" x14ac:dyDescent="0.25">
      <c r="B335" s="3">
        <f t="shared" si="38"/>
        <v>1575</v>
      </c>
      <c r="C335" s="14">
        <f t="shared" si="39"/>
        <v>26.25</v>
      </c>
      <c r="D335" s="11">
        <f t="shared" si="40"/>
        <v>821.87744707770401</v>
      </c>
      <c r="E335" s="24">
        <f t="shared" si="41"/>
        <v>160.43134986322377</v>
      </c>
      <c r="F335" s="38">
        <f t="shared" si="36"/>
        <v>1.1731368359526562</v>
      </c>
      <c r="G335" s="14">
        <f t="shared" si="37"/>
        <v>0</v>
      </c>
      <c r="H335" s="24">
        <f t="shared" si="43"/>
        <v>514.6827068651412</v>
      </c>
      <c r="I335" s="12">
        <f t="shared" si="42"/>
        <v>0.59725185165963846</v>
      </c>
      <c r="J335" s="3"/>
    </row>
    <row r="336" spans="2:10" x14ac:dyDescent="0.25">
      <c r="B336" s="3">
        <f t="shared" si="38"/>
        <v>1580</v>
      </c>
      <c r="C336" s="14">
        <f t="shared" si="39"/>
        <v>26.333333333333332</v>
      </c>
      <c r="D336" s="11">
        <f t="shared" si="40"/>
        <v>822.350102347448</v>
      </c>
      <c r="E336" s="24">
        <f t="shared" si="41"/>
        <v>161.02860171488342</v>
      </c>
      <c r="F336" s="38">
        <f t="shared" si="36"/>
        <v>1.1725901205788971</v>
      </c>
      <c r="G336" s="14">
        <f t="shared" si="37"/>
        <v>0</v>
      </c>
      <c r="H336" s="24">
        <f t="shared" si="43"/>
        <v>514.92267558354729</v>
      </c>
      <c r="I336" s="12">
        <f t="shared" si="42"/>
        <v>0.59712361388601265</v>
      </c>
      <c r="J336" s="3"/>
    </row>
    <row r="337" spans="2:10" x14ac:dyDescent="0.25">
      <c r="B337" s="3">
        <f t="shared" si="38"/>
        <v>1585</v>
      </c>
      <c r="C337" s="14">
        <f t="shared" si="39"/>
        <v>26.416666666666668</v>
      </c>
      <c r="D337" s="11">
        <f t="shared" si="40"/>
        <v>822.82127127741228</v>
      </c>
      <c r="E337" s="24">
        <f t="shared" si="41"/>
        <v>161.62572532876945</v>
      </c>
      <c r="F337" s="38">
        <f t="shared" si="36"/>
        <v>1.1720450337823782</v>
      </c>
      <c r="G337" s="14">
        <f t="shared" si="37"/>
        <v>0</v>
      </c>
      <c r="H337" s="24">
        <f t="shared" si="43"/>
        <v>515.16215234732238</v>
      </c>
      <c r="I337" s="12">
        <f t="shared" si="42"/>
        <v>0.59699326826541121</v>
      </c>
      <c r="J337" s="3"/>
    </row>
    <row r="338" spans="2:10" x14ac:dyDescent="0.25">
      <c r="B338" s="3">
        <f t="shared" si="38"/>
        <v>1590</v>
      </c>
      <c r="C338" s="14">
        <f t="shared" si="39"/>
        <v>26.5</v>
      </c>
      <c r="D338" s="11">
        <f t="shared" si="40"/>
        <v>823.29096318636448</v>
      </c>
      <c r="E338" s="24">
        <f t="shared" si="41"/>
        <v>162.22271859703486</v>
      </c>
      <c r="F338" s="38">
        <f t="shared" si="36"/>
        <v>1.1715015665594393</v>
      </c>
      <c r="G338" s="14">
        <f t="shared" si="37"/>
        <v>0</v>
      </c>
      <c r="H338" s="24">
        <f t="shared" si="43"/>
        <v>515.40113943218114</v>
      </c>
      <c r="I338" s="12">
        <f t="shared" si="42"/>
        <v>0.59686083804877832</v>
      </c>
      <c r="J338" s="3"/>
    </row>
    <row r="339" spans="2:10" x14ac:dyDescent="0.25">
      <c r="B339" s="3">
        <f t="shared" si="38"/>
        <v>1595</v>
      </c>
      <c r="C339" s="14">
        <f t="shared" si="39"/>
        <v>26.583333333333332</v>
      </c>
      <c r="D339" s="11">
        <f t="shared" si="40"/>
        <v>823.75918730570834</v>
      </c>
      <c r="E339" s="24">
        <f t="shared" si="41"/>
        <v>162.81957943508363</v>
      </c>
      <c r="F339" s="38">
        <f t="shared" si="36"/>
        <v>1.1709597099154334</v>
      </c>
      <c r="G339" s="14">
        <f t="shared" si="37"/>
        <v>0</v>
      </c>
      <c r="H339" s="24">
        <f t="shared" si="43"/>
        <v>515.63963912552208</v>
      </c>
      <c r="I339" s="12">
        <f t="shared" si="42"/>
        <v>0.59672634617995024</v>
      </c>
      <c r="J339" s="3"/>
    </row>
    <row r="340" spans="2:10" x14ac:dyDescent="0.25">
      <c r="B340" s="3">
        <f t="shared" si="38"/>
        <v>1600</v>
      </c>
      <c r="C340" s="14">
        <f t="shared" si="39"/>
        <v>26.666666666666668</v>
      </c>
      <c r="D340" s="11">
        <f t="shared" si="40"/>
        <v>824.22595278057292</v>
      </c>
      <c r="E340" s="24">
        <f t="shared" si="41"/>
        <v>163.41630578126359</v>
      </c>
      <c r="F340" s="38">
        <f t="shared" ref="F340:F403" si="44">Cp*RhoP/(RhoA*H340)*dp/1000*MassivP</f>
        <v>1.1704194548653091</v>
      </c>
      <c r="G340" s="14">
        <f t="shared" ref="G340:G403" si="45">Phi*EpsilonF*Botzman/10^8*J340*((D340+273)^4-(E340+273)^4)</f>
        <v>0</v>
      </c>
      <c r="H340" s="24">
        <f t="shared" si="43"/>
        <v>515.87765372612012</v>
      </c>
      <c r="I340" s="12">
        <f t="shared" si="42"/>
        <v>0.59658981530031552</v>
      </c>
      <c r="J340" s="3"/>
    </row>
    <row r="341" spans="2:10" x14ac:dyDescent="0.25">
      <c r="B341" s="3">
        <f t="shared" ref="B341:B404" si="46">B340+DeltaT</f>
        <v>1605</v>
      </c>
      <c r="C341" s="14">
        <f t="shared" ref="C341:C404" si="47">B341/60</f>
        <v>26.75</v>
      </c>
      <c r="D341" s="11">
        <f t="shared" ref="D341:D404" si="48">20+345*LOG(8*C341+1,10)</f>
        <v>824.69126867088369</v>
      </c>
      <c r="E341" s="24">
        <f t="shared" ref="E341:E404" si="49">E340+IF(Limit=Oui,MAX(0,I340),I340)</f>
        <v>164.01289559656391</v>
      </c>
      <c r="F341" s="38">
        <f t="shared" si="44"/>
        <v>1.169880792434175</v>
      </c>
      <c r="G341" s="14">
        <f t="shared" si="45"/>
        <v>0</v>
      </c>
      <c r="H341" s="24">
        <f t="shared" si="43"/>
        <v>516.11518554382405</v>
      </c>
      <c r="I341" s="12">
        <f t="shared" ref="I341:I404" si="50">LambdaP*MassivP/(dp/1000)/(H341*RhoA)/(1+F341/3)*(D341-E341)*DeltaT-(EXP(F341/10)-1)*(D341-D340)</f>
        <v>0.59645126775359791</v>
      </c>
      <c r="J341" s="3"/>
    </row>
    <row r="342" spans="2:10" x14ac:dyDescent="0.25">
      <c r="B342" s="3">
        <f t="shared" si="46"/>
        <v>1610</v>
      </c>
      <c r="C342" s="14">
        <f t="shared" si="47"/>
        <v>26.833333333333332</v>
      </c>
      <c r="D342" s="11">
        <f t="shared" si="48"/>
        <v>825.15514395241814</v>
      </c>
      <c r="E342" s="24">
        <f t="shared" si="49"/>
        <v>164.6093468643175</v>
      </c>
      <c r="F342" s="38">
        <f t="shared" si="44"/>
        <v>1.1693437136578553</v>
      </c>
      <c r="G342" s="14">
        <f t="shared" si="45"/>
        <v>0</v>
      </c>
      <c r="H342" s="24">
        <f t="shared" si="43"/>
        <v>516.35223689925886</v>
      </c>
      <c r="I342" s="12">
        <f t="shared" si="50"/>
        <v>0.59631072559024567</v>
      </c>
      <c r="J342" s="3"/>
    </row>
    <row r="343" spans="2:10" x14ac:dyDescent="0.25">
      <c r="B343" s="3">
        <f t="shared" si="46"/>
        <v>1615</v>
      </c>
      <c r="C343" s="14">
        <f t="shared" si="47"/>
        <v>26.916666666666668</v>
      </c>
      <c r="D343" s="11">
        <f t="shared" si="48"/>
        <v>825.61758751784373</v>
      </c>
      <c r="E343" s="24">
        <f t="shared" si="49"/>
        <v>165.20565758990776</v>
      </c>
      <c r="F343" s="38">
        <f t="shared" si="44"/>
        <v>1.1688082095834293</v>
      </c>
      <c r="G343" s="14">
        <f t="shared" si="45"/>
        <v>0</v>
      </c>
      <c r="H343" s="24">
        <f t="shared" si="43"/>
        <v>516.58881012353243</v>
      </c>
      <c r="I343" s="12">
        <f t="shared" si="50"/>
        <v>0.59616821057209024</v>
      </c>
      <c r="J343" s="3"/>
    </row>
    <row r="344" spans="2:10" x14ac:dyDescent="0.25">
      <c r="B344" s="3">
        <f t="shared" si="46"/>
        <v>1620</v>
      </c>
      <c r="C344" s="14">
        <f t="shared" si="47"/>
        <v>27</v>
      </c>
      <c r="D344" s="11">
        <f t="shared" si="48"/>
        <v>826.07860817774269</v>
      </c>
      <c r="E344" s="24">
        <f t="shared" si="49"/>
        <v>165.80182580047986</v>
      </c>
      <c r="F344" s="38">
        <f t="shared" si="44"/>
        <v>1.1682742712697545</v>
      </c>
      <c r="G344" s="14">
        <f t="shared" si="45"/>
        <v>0</v>
      </c>
      <c r="H344" s="24">
        <f t="shared" si="43"/>
        <v>516.82490755794811</v>
      </c>
      <c r="I344" s="12">
        <f t="shared" si="50"/>
        <v>0.59602374417636139</v>
      </c>
      <c r="J344" s="3"/>
    </row>
    <row r="345" spans="2:10" x14ac:dyDescent="0.25">
      <c r="B345" s="3">
        <f t="shared" si="46"/>
        <v>1625</v>
      </c>
      <c r="C345" s="14">
        <f t="shared" si="47"/>
        <v>27.083333333333332</v>
      </c>
      <c r="D345" s="11">
        <f t="shared" si="48"/>
        <v>826.53821466161685</v>
      </c>
      <c r="E345" s="24">
        <f t="shared" si="49"/>
        <v>166.39784954465622</v>
      </c>
      <c r="F345" s="38">
        <f t="shared" si="44"/>
        <v>1.1677418897879803</v>
      </c>
      <c r="G345" s="14">
        <f t="shared" si="45"/>
        <v>0</v>
      </c>
      <c r="H345" s="24">
        <f t="shared" si="43"/>
        <v>517.06053155372126</v>
      </c>
      <c r="I345" s="12">
        <f t="shared" si="50"/>
        <v>0.59587734760054434</v>
      </c>
      <c r="J345" s="3"/>
    </row>
    <row r="346" spans="2:10" x14ac:dyDescent="0.25">
      <c r="B346" s="3">
        <f t="shared" si="46"/>
        <v>1630</v>
      </c>
      <c r="C346" s="14">
        <f t="shared" si="47"/>
        <v>27.166666666666668</v>
      </c>
      <c r="D346" s="11">
        <f t="shared" si="48"/>
        <v>826.99641561888166</v>
      </c>
      <c r="E346" s="24">
        <f t="shared" si="49"/>
        <v>166.99372689225677</v>
      </c>
      <c r="F346" s="38">
        <f t="shared" si="44"/>
        <v>1.1672110562220488</v>
      </c>
      <c r="G346" s="14">
        <f t="shared" si="45"/>
        <v>0</v>
      </c>
      <c r="H346" s="24">
        <f t="shared" si="43"/>
        <v>517.29568447169959</v>
      </c>
      <c r="I346" s="12">
        <f t="shared" si="50"/>
        <v>0.59572904176603592</v>
      </c>
      <c r="J346" s="3"/>
    </row>
    <row r="347" spans="2:10" x14ac:dyDescent="0.25">
      <c r="B347" s="3">
        <f t="shared" si="46"/>
        <v>1635</v>
      </c>
      <c r="C347" s="14">
        <f t="shared" si="47"/>
        <v>27.25</v>
      </c>
      <c r="D347" s="11">
        <f t="shared" si="48"/>
        <v>827.45321961984075</v>
      </c>
      <c r="E347" s="24">
        <f t="shared" si="49"/>
        <v>167.58945593402282</v>
      </c>
      <c r="F347" s="38">
        <f t="shared" si="44"/>
        <v>1.1666817616691794</v>
      </c>
      <c r="G347" s="14">
        <f t="shared" si="45"/>
        <v>0</v>
      </c>
      <c r="H347" s="24">
        <f t="shared" si="43"/>
        <v>517.5303686820896</v>
      </c>
      <c r="I347" s="12">
        <f t="shared" si="50"/>
        <v>0.5955788473228546</v>
      </c>
      <c r="J347" s="3"/>
    </row>
    <row r="348" spans="2:10" x14ac:dyDescent="0.25">
      <c r="B348" s="3">
        <f t="shared" si="46"/>
        <v>1640</v>
      </c>
      <c r="C348" s="14">
        <f t="shared" si="47"/>
        <v>27.333333333333332</v>
      </c>
      <c r="D348" s="11">
        <f t="shared" si="48"/>
        <v>827.90863515664978</v>
      </c>
      <c r="E348" s="24">
        <f t="shared" si="49"/>
        <v>168.18503478134568</v>
      </c>
      <c r="F348" s="38">
        <f t="shared" si="44"/>
        <v>1.166153997240345</v>
      </c>
      <c r="G348" s="14">
        <f t="shared" si="45"/>
        <v>0</v>
      </c>
      <c r="H348" s="24">
        <f t="shared" si="43"/>
        <v>517.76458656418606</v>
      </c>
      <c r="I348" s="12">
        <f t="shared" si="50"/>
        <v>0.59542678465322152</v>
      </c>
      <c r="J348" s="3"/>
    </row>
    <row r="349" spans="2:10" x14ac:dyDescent="0.25">
      <c r="B349" s="3">
        <f t="shared" si="46"/>
        <v>1645</v>
      </c>
      <c r="C349" s="14">
        <f t="shared" si="47"/>
        <v>27.416666666666668</v>
      </c>
      <c r="D349" s="11">
        <f t="shared" si="48"/>
        <v>828.36267064426227</v>
      </c>
      <c r="E349" s="24">
        <f t="shared" si="49"/>
        <v>168.78046156599891</v>
      </c>
      <c r="F349" s="38">
        <f t="shared" si="44"/>
        <v>1.1656277540607334</v>
      </c>
      <c r="G349" s="14">
        <f t="shared" si="45"/>
        <v>0</v>
      </c>
      <c r="H349" s="24">
        <f t="shared" si="43"/>
        <v>517.99834050610662</v>
      </c>
      <c r="I349" s="12">
        <f t="shared" si="50"/>
        <v>0.59527287387599936</v>
      </c>
      <c r="J349" s="3"/>
    </row>
    <row r="350" spans="2:10" x14ac:dyDescent="0.25">
      <c r="B350" s="3">
        <f t="shared" si="46"/>
        <v>1650</v>
      </c>
      <c r="C350" s="14">
        <f t="shared" si="47"/>
        <v>27.5</v>
      </c>
      <c r="D350" s="11">
        <f t="shared" si="48"/>
        <v>828.81533442136299</v>
      </c>
      <c r="E350" s="24">
        <f t="shared" si="49"/>
        <v>169.37573443987492</v>
      </c>
      <c r="F350" s="38">
        <f t="shared" si="44"/>
        <v>1.1651030232701991</v>
      </c>
      <c r="G350" s="14">
        <f t="shared" si="45"/>
        <v>0</v>
      </c>
      <c r="H350" s="24">
        <f t="shared" si="43"/>
        <v>518.23163290453022</v>
      </c>
      <c r="I350" s="12">
        <f t="shared" si="50"/>
        <v>0.59511713485042417</v>
      </c>
      <c r="J350" s="3"/>
    </row>
    <row r="351" spans="2:10" x14ac:dyDescent="0.25">
      <c r="B351" s="3">
        <f t="shared" si="46"/>
        <v>1655</v>
      </c>
      <c r="C351" s="14">
        <f t="shared" si="47"/>
        <v>27.583333333333332</v>
      </c>
      <c r="D351" s="11">
        <f t="shared" si="48"/>
        <v>829.26663475128748</v>
      </c>
      <c r="E351" s="24">
        <f t="shared" si="49"/>
        <v>169.97085157472534</v>
      </c>
      <c r="F351" s="38">
        <f t="shared" si="44"/>
        <v>1.1645797960236994</v>
      </c>
      <c r="G351" s="14">
        <f t="shared" si="45"/>
        <v>0</v>
      </c>
      <c r="H351" s="24">
        <f t="shared" si="43"/>
        <v>518.46446616444018</v>
      </c>
      <c r="I351" s="12">
        <f t="shared" si="50"/>
        <v>0.59495958717996922</v>
      </c>
      <c r="J351" s="3"/>
    </row>
    <row r="352" spans="2:10" x14ac:dyDescent="0.25">
      <c r="B352" s="3">
        <f t="shared" si="46"/>
        <v>1660</v>
      </c>
      <c r="C352" s="14">
        <f t="shared" si="47"/>
        <v>27.666666666666668</v>
      </c>
      <c r="D352" s="11">
        <f t="shared" si="48"/>
        <v>829.71657982292584</v>
      </c>
      <c r="E352" s="24">
        <f t="shared" si="49"/>
        <v>170.56581116190532</v>
      </c>
      <c r="F352" s="38">
        <f t="shared" si="44"/>
        <v>1.1640580634917261</v>
      </c>
      <c r="G352" s="14">
        <f t="shared" si="45"/>
        <v>0</v>
      </c>
      <c r="H352" s="24">
        <f t="shared" si="43"/>
        <v>518.6968426988708</v>
      </c>
      <c r="I352" s="12">
        <f t="shared" si="50"/>
        <v>0.59480025021639715</v>
      </c>
      <c r="J352" s="3"/>
    </row>
    <row r="353" spans="2:10" x14ac:dyDescent="0.25">
      <c r="B353" s="3">
        <f t="shared" si="46"/>
        <v>1665</v>
      </c>
      <c r="C353" s="14">
        <f t="shared" si="47"/>
        <v>27.75</v>
      </c>
      <c r="D353" s="11">
        <f t="shared" si="48"/>
        <v>830.16517775161537</v>
      </c>
      <c r="E353" s="24">
        <f t="shared" si="49"/>
        <v>171.16061141212171</v>
      </c>
      <c r="F353" s="38">
        <f t="shared" si="44"/>
        <v>1.1635378168607182</v>
      </c>
      <c r="G353" s="14">
        <f t="shared" si="45"/>
        <v>0</v>
      </c>
      <c r="H353" s="24">
        <f t="shared" si="43"/>
        <v>518.92876492865844</v>
      </c>
      <c r="I353" s="12">
        <f t="shared" si="50"/>
        <v>0.59463914306322019</v>
      </c>
      <c r="J353" s="3"/>
    </row>
    <row r="354" spans="2:10" x14ac:dyDescent="0.25">
      <c r="B354" s="3">
        <f t="shared" si="46"/>
        <v>1670</v>
      </c>
      <c r="C354" s="14">
        <f t="shared" si="47"/>
        <v>27.833333333333332</v>
      </c>
      <c r="D354" s="11">
        <f t="shared" si="48"/>
        <v>830.61243658001865</v>
      </c>
      <c r="E354" s="24">
        <f t="shared" si="49"/>
        <v>171.75525055518494</v>
      </c>
      <c r="F354" s="38">
        <f t="shared" si="44"/>
        <v>1.1630190473334696</v>
      </c>
      <c r="G354" s="14">
        <f t="shared" si="45"/>
        <v>0</v>
      </c>
      <c r="H354" s="24">
        <f t="shared" si="43"/>
        <v>519.1602352821966</v>
      </c>
      <c r="I354" s="12">
        <f t="shared" si="50"/>
        <v>0.59447628457955692</v>
      </c>
      <c r="J354" s="3"/>
    </row>
    <row r="355" spans="2:10" x14ac:dyDescent="0.25">
      <c r="B355" s="3">
        <f t="shared" si="46"/>
        <v>1675</v>
      </c>
      <c r="C355" s="14">
        <f t="shared" si="47"/>
        <v>27.916666666666668</v>
      </c>
      <c r="D355" s="11">
        <f t="shared" si="48"/>
        <v>831.05836427898828</v>
      </c>
      <c r="E355" s="24">
        <f t="shared" si="49"/>
        <v>172.34972683976451</v>
      </c>
      <c r="F355" s="38">
        <f t="shared" si="44"/>
        <v>1.1625017461295231</v>
      </c>
      <c r="G355" s="14">
        <f t="shared" si="45"/>
        <v>0</v>
      </c>
      <c r="H355" s="24">
        <f t="shared" si="43"/>
        <v>519.39125619519461</v>
      </c>
      <c r="I355" s="12">
        <f t="shared" si="50"/>
        <v>0.59431169338377865</v>
      </c>
      <c r="J355" s="3"/>
    </row>
    <row r="356" spans="2:10" x14ac:dyDescent="0.25">
      <c r="B356" s="3">
        <f t="shared" si="46"/>
        <v>1680</v>
      </c>
      <c r="C356" s="14">
        <f t="shared" si="47"/>
        <v>28</v>
      </c>
      <c r="D356" s="11">
        <f t="shared" si="48"/>
        <v>831.50296874842002</v>
      </c>
      <c r="E356" s="24">
        <f t="shared" si="49"/>
        <v>172.9440385331483</v>
      </c>
      <c r="F356" s="38">
        <f t="shared" si="44"/>
        <v>1.1619859044855563</v>
      </c>
      <c r="G356" s="14">
        <f t="shared" si="45"/>
        <v>0</v>
      </c>
      <c r="H356" s="24">
        <f t="shared" si="43"/>
        <v>519.62183011044044</v>
      </c>
      <c r="I356" s="12">
        <f t="shared" si="50"/>
        <v>0.59414538785693738</v>
      </c>
      <c r="J356" s="3"/>
    </row>
    <row r="357" spans="2:10" x14ac:dyDescent="0.25">
      <c r="B357" s="3">
        <f t="shared" si="46"/>
        <v>1685</v>
      </c>
      <c r="C357" s="14">
        <f t="shared" si="47"/>
        <v>28.083333333333332</v>
      </c>
      <c r="D357" s="11">
        <f t="shared" si="48"/>
        <v>831.94625781809111</v>
      </c>
      <c r="E357" s="24">
        <f t="shared" si="49"/>
        <v>173.53818392100524</v>
      </c>
      <c r="F357" s="38">
        <f t="shared" si="44"/>
        <v>1.161471513655755</v>
      </c>
      <c r="G357" s="14">
        <f t="shared" si="45"/>
        <v>0</v>
      </c>
      <c r="H357" s="24">
        <f t="shared" si="43"/>
        <v>519.85195947756711</v>
      </c>
      <c r="I357" s="12">
        <f t="shared" si="50"/>
        <v>0.59397738614654172</v>
      </c>
      <c r="J357" s="3"/>
    </row>
    <row r="358" spans="2:10" x14ac:dyDescent="0.25">
      <c r="B358" s="3">
        <f t="shared" si="46"/>
        <v>1690</v>
      </c>
      <c r="C358" s="14">
        <f t="shared" si="47"/>
        <v>28.166666666666668</v>
      </c>
      <c r="D358" s="11">
        <f t="shared" si="48"/>
        <v>832.38823924848953</v>
      </c>
      <c r="E358" s="24">
        <f t="shared" si="49"/>
        <v>174.13216130715179</v>
      </c>
      <c r="F358" s="38">
        <f t="shared" si="44"/>
        <v>1.160958564912179</v>
      </c>
      <c r="G358" s="14">
        <f t="shared" si="45"/>
        <v>0</v>
      </c>
      <c r="H358" s="24">
        <f t="shared" si="43"/>
        <v>520.08164675282296</v>
      </c>
      <c r="I358" s="12">
        <f t="shared" si="50"/>
        <v>0.59380770616960232</v>
      </c>
      <c r="J358" s="3"/>
    </row>
    <row r="359" spans="2:10" x14ac:dyDescent="0.25">
      <c r="B359" s="3">
        <f t="shared" si="46"/>
        <v>1695</v>
      </c>
      <c r="C359" s="14">
        <f t="shared" si="47"/>
        <v>28.25</v>
      </c>
      <c r="D359" s="11">
        <f t="shared" si="48"/>
        <v>832.82892073162725</v>
      </c>
      <c r="E359" s="24">
        <f t="shared" si="49"/>
        <v>174.72596901332139</v>
      </c>
      <c r="F359" s="38">
        <f t="shared" si="44"/>
        <v>1.1604470495451142</v>
      </c>
      <c r="G359" s="14">
        <f t="shared" si="45"/>
        <v>0</v>
      </c>
      <c r="H359" s="24">
        <f t="shared" si="43"/>
        <v>520.31089439884579</v>
      </c>
      <c r="I359" s="12">
        <f t="shared" si="50"/>
        <v>0.59363636561648347</v>
      </c>
      <c r="J359" s="3"/>
    </row>
    <row r="360" spans="2:10" x14ac:dyDescent="0.25">
      <c r="B360" s="3">
        <f t="shared" si="46"/>
        <v>1700</v>
      </c>
      <c r="C360" s="14">
        <f t="shared" si="47"/>
        <v>28.333333333333332</v>
      </c>
      <c r="D360" s="11">
        <f t="shared" si="48"/>
        <v>833.26830989184509</v>
      </c>
      <c r="E360" s="24">
        <f t="shared" si="49"/>
        <v>175.31960537893787</v>
      </c>
      <c r="F360" s="38">
        <f t="shared" si="44"/>
        <v>1.1599369588634221</v>
      </c>
      <c r="G360" s="14">
        <f t="shared" si="45"/>
        <v>0</v>
      </c>
      <c r="H360" s="24">
        <f t="shared" si="43"/>
        <v>520.53970488443963</v>
      </c>
      <c r="I360" s="12">
        <f t="shared" si="50"/>
        <v>0.59346338195381909</v>
      </c>
      <c r="J360" s="3"/>
    </row>
    <row r="361" spans="2:10" x14ac:dyDescent="0.25">
      <c r="B361" s="3">
        <f t="shared" si="46"/>
        <v>1705</v>
      </c>
      <c r="C361" s="14">
        <f t="shared" si="47"/>
        <v>28.416666666666668</v>
      </c>
      <c r="D361" s="11">
        <f t="shared" si="48"/>
        <v>833.70641428660315</v>
      </c>
      <c r="E361" s="24">
        <f t="shared" si="49"/>
        <v>175.91306876089169</v>
      </c>
      <c r="F361" s="38">
        <f t="shared" si="44"/>
        <v>1.1594282841948711</v>
      </c>
      <c r="G361" s="14">
        <f t="shared" si="45"/>
        <v>0</v>
      </c>
      <c r="H361" s="24">
        <f t="shared" si="43"/>
        <v>520.76808068435685</v>
      </c>
      <c r="I361" s="12">
        <f t="shared" si="50"/>
        <v>0.59328877242810807</v>
      </c>
      <c r="J361" s="3"/>
    </row>
    <row r="362" spans="2:10" x14ac:dyDescent="0.25">
      <c r="B362" s="3">
        <f t="shared" si="46"/>
        <v>1710</v>
      </c>
      <c r="C362" s="14">
        <f t="shared" si="47"/>
        <v>28.5</v>
      </c>
      <c r="D362" s="11">
        <f t="shared" si="48"/>
        <v>834.14324140726137</v>
      </c>
      <c r="E362" s="24">
        <f t="shared" si="49"/>
        <v>176.5063575333198</v>
      </c>
      <c r="F362" s="38">
        <f t="shared" si="44"/>
        <v>1.1589210168864688</v>
      </c>
      <c r="G362" s="14">
        <f t="shared" si="45"/>
        <v>0</v>
      </c>
      <c r="H362" s="24">
        <f t="shared" si="43"/>
        <v>520.99602427908121</v>
      </c>
      <c r="I362" s="12">
        <f t="shared" si="50"/>
        <v>0.59311255406874031</v>
      </c>
      <c r="J362" s="3"/>
    </row>
    <row r="363" spans="2:10" x14ac:dyDescent="0.25">
      <c r="B363" s="3">
        <f t="shared" si="46"/>
        <v>1715</v>
      </c>
      <c r="C363" s="14">
        <f t="shared" si="47"/>
        <v>28.583333333333332</v>
      </c>
      <c r="D363" s="11">
        <f t="shared" si="48"/>
        <v>834.5787986798473</v>
      </c>
      <c r="E363" s="24">
        <f t="shared" si="49"/>
        <v>177.09947008738854</v>
      </c>
      <c r="F363" s="38">
        <f t="shared" si="44"/>
        <v>1.158415148304774</v>
      </c>
      <c r="G363" s="14">
        <f t="shared" si="45"/>
        <v>0</v>
      </c>
      <c r="H363" s="24">
        <f t="shared" si="43"/>
        <v>521.22353815461736</v>
      </c>
      <c r="I363" s="12">
        <f t="shared" si="50"/>
        <v>0.59293474369135057</v>
      </c>
      <c r="J363" s="3"/>
    </row>
    <row r="364" spans="2:10" x14ac:dyDescent="0.25">
      <c r="B364" s="3">
        <f t="shared" si="46"/>
        <v>1720</v>
      </c>
      <c r="C364" s="14">
        <f t="shared" si="47"/>
        <v>28.666666666666668</v>
      </c>
      <c r="D364" s="11">
        <f t="shared" si="48"/>
        <v>835.0130934658149</v>
      </c>
      <c r="E364" s="24">
        <f t="shared" si="49"/>
        <v>177.6924048310799</v>
      </c>
      <c r="F364" s="38">
        <f t="shared" si="44"/>
        <v>1.157910669836212</v>
      </c>
      <c r="G364" s="14">
        <f t="shared" si="45"/>
        <v>0</v>
      </c>
      <c r="H364" s="24">
        <f t="shared" si="43"/>
        <v>521.45062480228069</v>
      </c>
      <c r="I364" s="12">
        <f t="shared" si="50"/>
        <v>0.59275535790066303</v>
      </c>
      <c r="J364" s="3"/>
    </row>
    <row r="365" spans="2:10" x14ac:dyDescent="0.25">
      <c r="B365" s="3">
        <f t="shared" si="46"/>
        <v>1725</v>
      </c>
      <c r="C365" s="14">
        <f t="shared" si="47"/>
        <v>28.75</v>
      </c>
      <c r="D365" s="11">
        <f t="shared" si="48"/>
        <v>835.44613306278973</v>
      </c>
      <c r="E365" s="24">
        <f t="shared" si="49"/>
        <v>178.28516018898057</v>
      </c>
      <c r="F365" s="38">
        <f t="shared" si="44"/>
        <v>1.1574075728873703</v>
      </c>
      <c r="G365" s="14">
        <f t="shared" si="45"/>
        <v>0</v>
      </c>
      <c r="H365" s="24">
        <f t="shared" si="43"/>
        <v>521.67728671849318</v>
      </c>
      <c r="I365" s="12">
        <f t="shared" si="50"/>
        <v>0.5925744130939028</v>
      </c>
      <c r="J365" s="3"/>
    </row>
    <row r="366" spans="2:10" x14ac:dyDescent="0.25">
      <c r="B366" s="3">
        <f t="shared" si="46"/>
        <v>1730</v>
      </c>
      <c r="C366" s="14">
        <f t="shared" si="47"/>
        <v>28.833333333333332</v>
      </c>
      <c r="D366" s="11">
        <f t="shared" si="48"/>
        <v>835.87792470530565</v>
      </c>
      <c r="E366" s="24">
        <f t="shared" si="49"/>
        <v>178.87773460207447</v>
      </c>
      <c r="F366" s="38">
        <f t="shared" si="44"/>
        <v>1.1569058488852955</v>
      </c>
      <c r="G366" s="14">
        <f t="shared" si="45"/>
        <v>0</v>
      </c>
      <c r="H366" s="24">
        <f t="shared" si="43"/>
        <v>521.90352640458025</v>
      </c>
      <c r="I366" s="12">
        <f t="shared" si="50"/>
        <v>0.59239192546351194</v>
      </c>
      <c r="J366" s="3"/>
    </row>
    <row r="367" spans="2:10" x14ac:dyDescent="0.25">
      <c r="B367" s="3">
        <f t="shared" si="46"/>
        <v>1735</v>
      </c>
      <c r="C367" s="14">
        <f t="shared" si="47"/>
        <v>28.916666666666668</v>
      </c>
      <c r="D367" s="11">
        <f t="shared" si="48"/>
        <v>836.30847556552953</v>
      </c>
      <c r="E367" s="24">
        <f t="shared" si="49"/>
        <v>179.47012652753799</v>
      </c>
      <c r="F367" s="38">
        <f t="shared" si="44"/>
        <v>1.156405489277774</v>
      </c>
      <c r="G367" s="14">
        <f t="shared" si="45"/>
        <v>0</v>
      </c>
      <c r="H367" s="24">
        <f t="shared" si="43"/>
        <v>522.12934636657212</v>
      </c>
      <c r="I367" s="12">
        <f t="shared" si="50"/>
        <v>0.592207911000316</v>
      </c>
      <c r="J367" s="3"/>
    </row>
    <row r="368" spans="2:10" x14ac:dyDescent="0.25">
      <c r="B368" s="3">
        <f t="shared" si="46"/>
        <v>1740</v>
      </c>
      <c r="C368" s="14">
        <f t="shared" si="47"/>
        <v>29</v>
      </c>
      <c r="D368" s="11">
        <f t="shared" si="48"/>
        <v>836.73779275397635</v>
      </c>
      <c r="E368" s="24">
        <f t="shared" si="49"/>
        <v>180.0623344385383</v>
      </c>
      <c r="F368" s="38">
        <f t="shared" si="44"/>
        <v>1.1559064855336099</v>
      </c>
      <c r="G368" s="14">
        <f t="shared" si="45"/>
        <v>0</v>
      </c>
      <c r="H368" s="24">
        <f t="shared" si="43"/>
        <v>522.35474911500864</v>
      </c>
      <c r="I368" s="12">
        <f t="shared" si="50"/>
        <v>0.59202238549633801</v>
      </c>
      <c r="J368" s="3"/>
    </row>
    <row r="369" spans="2:10" x14ac:dyDescent="0.25">
      <c r="B369" s="3">
        <f t="shared" si="46"/>
        <v>1745</v>
      </c>
      <c r="C369" s="14">
        <f t="shared" si="47"/>
        <v>29.083333333333332</v>
      </c>
      <c r="D369" s="11">
        <f t="shared" si="48"/>
        <v>837.16588332021365</v>
      </c>
      <c r="E369" s="24">
        <f t="shared" si="49"/>
        <v>180.65435682403464</v>
      </c>
      <c r="F369" s="38">
        <f t="shared" si="44"/>
        <v>1.1554088291428946</v>
      </c>
      <c r="G369" s="14">
        <f t="shared" si="45"/>
        <v>0</v>
      </c>
      <c r="H369" s="24">
        <f t="shared" si="43"/>
        <v>522.57973716474544</v>
      </c>
      <c r="I369" s="12">
        <f t="shared" si="50"/>
        <v>0.59183536454771812</v>
      </c>
      <c r="J369" s="3"/>
    </row>
    <row r="370" spans="2:10" x14ac:dyDescent="0.25">
      <c r="B370" s="3">
        <f t="shared" si="46"/>
        <v>1750</v>
      </c>
      <c r="C370" s="14">
        <f t="shared" si="47"/>
        <v>29.166666666666668</v>
      </c>
      <c r="D370" s="11">
        <f t="shared" si="48"/>
        <v>837.59275425355565</v>
      </c>
      <c r="E370" s="24">
        <f t="shared" si="49"/>
        <v>181.24619218858234</v>
      </c>
      <c r="F370" s="38">
        <f t="shared" si="44"/>
        <v>1.1549125116172665</v>
      </c>
      <c r="G370" s="14">
        <f t="shared" si="45"/>
        <v>0</v>
      </c>
      <c r="H370" s="24">
        <f t="shared" si="43"/>
        <v>522.80431303476507</v>
      </c>
      <c r="I370" s="12">
        <f t="shared" si="50"/>
        <v>0.591646863557588</v>
      </c>
      <c r="J370" s="3"/>
    </row>
    <row r="371" spans="2:10" x14ac:dyDescent="0.25">
      <c r="B371" s="3">
        <f t="shared" si="46"/>
        <v>1755</v>
      </c>
      <c r="C371" s="14">
        <f t="shared" si="47"/>
        <v>29.25</v>
      </c>
      <c r="D371" s="11">
        <f t="shared" si="48"/>
        <v>838.01841248374888</v>
      </c>
      <c r="E371" s="24">
        <f t="shared" si="49"/>
        <v>181.83783905213994</v>
      </c>
      <c r="F371" s="38">
        <f t="shared" si="44"/>
        <v>1.1544175244901647</v>
      </c>
      <c r="G371" s="14">
        <f t="shared" si="45"/>
        <v>0</v>
      </c>
      <c r="H371" s="24">
        <f t="shared" si="43"/>
        <v>523.02847924799016</v>
      </c>
      <c r="I371" s="12">
        <f t="shared" si="50"/>
        <v>0.59145689773867527</v>
      </c>
      <c r="J371" s="3"/>
    </row>
    <row r="372" spans="2:10" x14ac:dyDescent="0.25">
      <c r="B372" s="3">
        <f t="shared" si="46"/>
        <v>1760</v>
      </c>
      <c r="C372" s="14">
        <f t="shared" si="47"/>
        <v>29.333333333333332</v>
      </c>
      <c r="D372" s="11">
        <f t="shared" si="48"/>
        <v>838.44286488164676</v>
      </c>
      <c r="E372" s="24">
        <f t="shared" si="49"/>
        <v>182.42929594987862</v>
      </c>
      <c r="F372" s="38">
        <f t="shared" si="44"/>
        <v>1.153923859317074</v>
      </c>
      <c r="G372" s="14">
        <f t="shared" si="45"/>
        <v>0</v>
      </c>
      <c r="H372" s="24">
        <f t="shared" si="43"/>
        <v>523.25223833109976</v>
      </c>
      <c r="I372" s="12">
        <f t="shared" si="50"/>
        <v>0.59126548211620111</v>
      </c>
      <c r="J372" s="3"/>
    </row>
    <row r="373" spans="2:10" x14ac:dyDescent="0.25">
      <c r="B373" s="3">
        <f t="shared" si="46"/>
        <v>1765</v>
      </c>
      <c r="C373" s="14">
        <f t="shared" si="47"/>
        <v>29.416666666666668</v>
      </c>
      <c r="D373" s="11">
        <f t="shared" si="48"/>
        <v>838.86611825987427</v>
      </c>
      <c r="E373" s="24">
        <f t="shared" si="49"/>
        <v>183.02056143199482</v>
      </c>
      <c r="F373" s="38">
        <f t="shared" si="44"/>
        <v>1.1534315076757682</v>
      </c>
      <c r="G373" s="14">
        <f t="shared" si="45"/>
        <v>0</v>
      </c>
      <c r="H373" s="24">
        <f t="shared" ref="H373:H436" si="51">IF(E373&lt;600,425+0.773*E373-1.69/1000*E373^2+2.22/1000^2*E373^3,IF(E373&lt;735,666+13002/(738-E373),IF(E373&lt;900,545+17820/(E373-731),650)))</f>
        <v>523.47559281434826</v>
      </c>
      <c r="I373" s="12">
        <f t="shared" si="50"/>
        <v>0.59107263153062595</v>
      </c>
      <c r="J373" s="3"/>
    </row>
    <row r="374" spans="2:10" x14ac:dyDescent="0.25">
      <c r="B374" s="3">
        <f t="shared" si="46"/>
        <v>1770</v>
      </c>
      <c r="C374" s="14">
        <f t="shared" si="47"/>
        <v>29.5</v>
      </c>
      <c r="D374" s="11">
        <f t="shared" si="48"/>
        <v>839.28817937348583</v>
      </c>
      <c r="E374" s="24">
        <f t="shared" si="49"/>
        <v>183.61163406352546</v>
      </c>
      <c r="F374" s="38">
        <f t="shared" si="44"/>
        <v>1.1529404611665359</v>
      </c>
      <c r="G374" s="14">
        <f t="shared" si="45"/>
        <v>0</v>
      </c>
      <c r="H374" s="24">
        <f t="shared" si="51"/>
        <v>523.6985452313877</v>
      </c>
      <c r="I374" s="12">
        <f t="shared" si="50"/>
        <v>0.5908783606399739</v>
      </c>
      <c r="J374" s="3"/>
    </row>
    <row r="375" spans="2:10" x14ac:dyDescent="0.25">
      <c r="B375" s="3">
        <f t="shared" si="46"/>
        <v>1775</v>
      </c>
      <c r="C375" s="14">
        <f t="shared" si="47"/>
        <v>29.583333333333332</v>
      </c>
      <c r="D375" s="11">
        <f t="shared" si="48"/>
        <v>839.7090549206099</v>
      </c>
      <c r="E375" s="24">
        <f t="shared" si="49"/>
        <v>184.20251242416543</v>
      </c>
      <c r="F375" s="38">
        <f t="shared" si="44"/>
        <v>1.1524507114124118</v>
      </c>
      <c r="G375" s="14">
        <f t="shared" si="45"/>
        <v>0</v>
      </c>
      <c r="H375" s="24">
        <f t="shared" si="51"/>
        <v>523.92109811909233</v>
      </c>
      <c r="I375" s="12">
        <f t="shared" si="50"/>
        <v>0.59068268392293488</v>
      </c>
      <c r="J375" s="3"/>
    </row>
    <row r="376" spans="2:10" x14ac:dyDescent="0.25">
      <c r="B376" s="3">
        <f t="shared" si="46"/>
        <v>1780</v>
      </c>
      <c r="C376" s="14">
        <f t="shared" si="47"/>
        <v>29.666666666666668</v>
      </c>
      <c r="D376" s="11">
        <f t="shared" si="48"/>
        <v>840.12875154308927</v>
      </c>
      <c r="E376" s="24">
        <f t="shared" si="49"/>
        <v>184.79319510808836</v>
      </c>
      <c r="F376" s="38">
        <f t="shared" si="44"/>
        <v>1.1519622500593918</v>
      </c>
      <c r="G376" s="14">
        <f t="shared" si="45"/>
        <v>0</v>
      </c>
      <c r="H376" s="24">
        <f t="shared" si="51"/>
        <v>524.14325401738665</v>
      </c>
      <c r="I376" s="12">
        <f t="shared" si="50"/>
        <v>0.59048561568084912</v>
      </c>
      <c r="J376" s="3"/>
    </row>
    <row r="377" spans="2:10" x14ac:dyDescent="0.25">
      <c r="B377" s="3">
        <f t="shared" si="46"/>
        <v>1785</v>
      </c>
      <c r="C377" s="14">
        <f t="shared" si="47"/>
        <v>29.75</v>
      </c>
      <c r="D377" s="11">
        <f t="shared" si="48"/>
        <v>840.54727582710746</v>
      </c>
      <c r="E377" s="24">
        <f t="shared" si="49"/>
        <v>185.3836807237692</v>
      </c>
      <c r="F377" s="38">
        <f t="shared" si="44"/>
        <v>1.1514750687766449</v>
      </c>
      <c r="G377" s="14">
        <f t="shared" si="45"/>
        <v>0</v>
      </c>
      <c r="H377" s="24">
        <f t="shared" si="51"/>
        <v>524.3650154690755</v>
      </c>
      <c r="I377" s="12">
        <f t="shared" si="50"/>
        <v>0.59028717004083475</v>
      </c>
      <c r="J377" s="3"/>
    </row>
    <row r="378" spans="2:10" x14ac:dyDescent="0.25">
      <c r="B378" s="3">
        <f t="shared" si="46"/>
        <v>1790</v>
      </c>
      <c r="C378" s="14">
        <f t="shared" si="47"/>
        <v>29.833333333333332</v>
      </c>
      <c r="D378" s="11">
        <f t="shared" si="48"/>
        <v>840.96463430381084</v>
      </c>
      <c r="E378" s="24">
        <f t="shared" si="49"/>
        <v>185.97396789381003</v>
      </c>
      <c r="F378" s="38">
        <f t="shared" si="44"/>
        <v>1.150989159256721</v>
      </c>
      <c r="G378" s="14">
        <f t="shared" si="45"/>
        <v>0</v>
      </c>
      <c r="H378" s="24">
        <f t="shared" si="51"/>
        <v>524.58638501967664</v>
      </c>
      <c r="I378" s="12">
        <f t="shared" si="50"/>
        <v>0.59008736095772851</v>
      </c>
      <c r="J378" s="3"/>
    </row>
    <row r="379" spans="2:10" x14ac:dyDescent="0.25">
      <c r="B379" s="3">
        <f t="shared" si="46"/>
        <v>1795</v>
      </c>
      <c r="C379" s="14">
        <f t="shared" si="47"/>
        <v>29.916666666666668</v>
      </c>
      <c r="D379" s="11">
        <f t="shared" si="48"/>
        <v>841.38083344991935</v>
      </c>
      <c r="E379" s="24">
        <f t="shared" si="49"/>
        <v>186.56405525476777</v>
      </c>
      <c r="F379" s="38">
        <f t="shared" si="44"/>
        <v>1.1505045132157479</v>
      </c>
      <c r="G379" s="14">
        <f t="shared" si="45"/>
        <v>0</v>
      </c>
      <c r="H379" s="24">
        <f t="shared" si="51"/>
        <v>524.80736521725748</v>
      </c>
      <c r="I379" s="12">
        <f t="shared" si="50"/>
        <v>0.58988620221686205</v>
      </c>
      <c r="J379" s="3"/>
    </row>
    <row r="380" spans="2:10" x14ac:dyDescent="0.25">
      <c r="B380" s="33">
        <f t="shared" si="46"/>
        <v>1800</v>
      </c>
      <c r="C380" s="34">
        <f t="shared" si="47"/>
        <v>30</v>
      </c>
      <c r="D380" s="35">
        <f t="shared" si="48"/>
        <v>841.79587968832948</v>
      </c>
      <c r="E380" s="24">
        <f t="shared" si="49"/>
        <v>187.15394145698463</v>
      </c>
      <c r="F380" s="38">
        <f t="shared" si="44"/>
        <v>1.1500211223936285</v>
      </c>
      <c r="G380" s="14">
        <f t="shared" si="45"/>
        <v>0</v>
      </c>
      <c r="H380" s="36">
        <f t="shared" si="51"/>
        <v>525.02795861227162</v>
      </c>
      <c r="I380" s="12">
        <f t="shared" si="50"/>
        <v>0.58968370743637744</v>
      </c>
      <c r="J380" s="37"/>
    </row>
    <row r="381" spans="2:10" x14ac:dyDescent="0.25">
      <c r="B381" s="3">
        <f t="shared" si="46"/>
        <v>1805</v>
      </c>
      <c r="C381" s="14">
        <f t="shared" si="47"/>
        <v>30.083333333333332</v>
      </c>
      <c r="D381" s="11">
        <f t="shared" si="48"/>
        <v>842.20977938870919</v>
      </c>
      <c r="E381" s="24">
        <f t="shared" si="49"/>
        <v>187.74362516442099</v>
      </c>
      <c r="F381" s="38">
        <f t="shared" si="44"/>
        <v>1.1495389785542225</v>
      </c>
      <c r="G381" s="14">
        <f t="shared" si="45"/>
        <v>0</v>
      </c>
      <c r="H381" s="24">
        <f t="shared" si="51"/>
        <v>525.24816775740135</v>
      </c>
      <c r="I381" s="12">
        <f t="shared" si="50"/>
        <v>0.58947989006955848</v>
      </c>
      <c r="J381" s="3"/>
    </row>
    <row r="382" spans="2:10" x14ac:dyDescent="0.25">
      <c r="B382" s="3">
        <f t="shared" si="46"/>
        <v>1810</v>
      </c>
      <c r="C382" s="14">
        <f t="shared" si="47"/>
        <v>30.166666666666668</v>
      </c>
      <c r="D382" s="11">
        <f t="shared" si="48"/>
        <v>842.62253886808458</v>
      </c>
      <c r="E382" s="24">
        <f t="shared" si="49"/>
        <v>188.33310505449055</v>
      </c>
      <c r="F382" s="38">
        <f t="shared" si="44"/>
        <v>1.1490580734855336</v>
      </c>
      <c r="G382" s="14">
        <f t="shared" si="45"/>
        <v>0</v>
      </c>
      <c r="H382" s="24">
        <f t="shared" si="51"/>
        <v>525.46799520739955</v>
      </c>
      <c r="I382" s="12">
        <f t="shared" si="50"/>
        <v>0.58927476340717266</v>
      </c>
      <c r="J382" s="3"/>
    </row>
    <row r="383" spans="2:10" x14ac:dyDescent="0.25">
      <c r="B383" s="3">
        <f t="shared" si="46"/>
        <v>1815</v>
      </c>
      <c r="C383" s="14">
        <f t="shared" si="47"/>
        <v>30.25</v>
      </c>
      <c r="D383" s="11">
        <f t="shared" si="48"/>
        <v>843.03416439141756</v>
      </c>
      <c r="E383" s="24">
        <f t="shared" si="49"/>
        <v>188.92237981789771</v>
      </c>
      <c r="F383" s="38">
        <f t="shared" si="44"/>
        <v>1.1485783989998806</v>
      </c>
      <c r="G383" s="14">
        <f t="shared" si="45"/>
        <v>0</v>
      </c>
      <c r="H383" s="24">
        <f t="shared" si="51"/>
        <v>525.68744351893645</v>
      </c>
      <c r="I383" s="12">
        <f t="shared" si="50"/>
        <v>0.58906834057986002</v>
      </c>
      <c r="J383" s="3"/>
    </row>
    <row r="384" spans="2:10" x14ac:dyDescent="0.25">
      <c r="B384" s="3">
        <f t="shared" si="46"/>
        <v>1820</v>
      </c>
      <c r="C384" s="14">
        <f t="shared" si="47"/>
        <v>30.333333333333332</v>
      </c>
      <c r="D384" s="11">
        <f t="shared" si="48"/>
        <v>843.44466217217825</v>
      </c>
      <c r="E384" s="24">
        <f t="shared" si="49"/>
        <v>189.51144815847758</v>
      </c>
      <c r="F384" s="38">
        <f t="shared" si="44"/>
        <v>1.1480999469340707</v>
      </c>
      <c r="G384" s="14">
        <f t="shared" si="45"/>
        <v>0</v>
      </c>
      <c r="H384" s="24">
        <f t="shared" si="51"/>
        <v>525.906515250447</v>
      </c>
      <c r="I384" s="12">
        <f t="shared" si="50"/>
        <v>0.58886063456008908</v>
      </c>
      <c r="J384" s="3"/>
    </row>
    <row r="385" spans="2:10" x14ac:dyDescent="0.25">
      <c r="B385" s="3">
        <f t="shared" si="46"/>
        <v>1825</v>
      </c>
      <c r="C385" s="14">
        <f t="shared" si="47"/>
        <v>30.416666666666668</v>
      </c>
      <c r="D385" s="11">
        <f t="shared" si="48"/>
        <v>843.85403837290562</v>
      </c>
      <c r="E385" s="24">
        <f t="shared" si="49"/>
        <v>190.10030879303767</v>
      </c>
      <c r="F385" s="38">
        <f t="shared" si="44"/>
        <v>1.1476227091495628</v>
      </c>
      <c r="G385" s="14">
        <f t="shared" si="45"/>
        <v>0</v>
      </c>
      <c r="H385" s="24">
        <f t="shared" si="51"/>
        <v>526.12521296198167</v>
      </c>
      <c r="I385" s="12">
        <f t="shared" si="50"/>
        <v>0.58865165816483644</v>
      </c>
      <c r="J385" s="3"/>
    </row>
    <row r="386" spans="2:10" x14ac:dyDescent="0.25">
      <c r="B386" s="3">
        <f t="shared" si="46"/>
        <v>1830</v>
      </c>
      <c r="C386" s="14">
        <f t="shared" si="47"/>
        <v>30.5</v>
      </c>
      <c r="D386" s="11">
        <f t="shared" si="48"/>
        <v>844.26229910576376</v>
      </c>
      <c r="E386" s="24">
        <f t="shared" si="49"/>
        <v>190.68896045120252</v>
      </c>
      <c r="F386" s="38">
        <f t="shared" si="44"/>
        <v>1.147146677532628</v>
      </c>
      <c r="G386" s="14">
        <f t="shared" si="45"/>
        <v>0</v>
      </c>
      <c r="H386" s="24">
        <f t="shared" si="51"/>
        <v>526.34353921505954</v>
      </c>
      <c r="I386" s="12">
        <f t="shared" si="50"/>
        <v>0.5884414240573792</v>
      </c>
      <c r="J386" s="3"/>
    </row>
    <row r="387" spans="2:10" x14ac:dyDescent="0.25">
      <c r="B387" s="3">
        <f t="shared" si="46"/>
        <v>1835</v>
      </c>
      <c r="C387" s="14">
        <f t="shared" si="47"/>
        <v>30.583333333333332</v>
      </c>
      <c r="D387" s="11">
        <f t="shared" si="48"/>
        <v>844.66945043308908</v>
      </c>
      <c r="E387" s="24">
        <f t="shared" si="49"/>
        <v>191.2774018752599</v>
      </c>
      <c r="F387" s="38">
        <f t="shared" si="44"/>
        <v>1.1466718439945027</v>
      </c>
      <c r="G387" s="14">
        <f t="shared" si="45"/>
        <v>0</v>
      </c>
      <c r="H387" s="24">
        <f t="shared" si="51"/>
        <v>526.5614965725232</v>
      </c>
      <c r="I387" s="12">
        <f t="shared" si="50"/>
        <v>0.58822994474963408</v>
      </c>
      <c r="J387" s="3"/>
    </row>
    <row r="388" spans="2:10" x14ac:dyDescent="0.25">
      <c r="B388" s="3">
        <f t="shared" si="46"/>
        <v>1840</v>
      </c>
      <c r="C388" s="14">
        <f t="shared" si="47"/>
        <v>30.666666666666668</v>
      </c>
      <c r="D388" s="11">
        <f t="shared" si="48"/>
        <v>845.07549836793135</v>
      </c>
      <c r="E388" s="24">
        <f t="shared" si="49"/>
        <v>191.86563182000953</v>
      </c>
      <c r="F388" s="38">
        <f t="shared" si="44"/>
        <v>1.146198200471537</v>
      </c>
      <c r="G388" s="14">
        <f t="shared" si="45"/>
        <v>0</v>
      </c>
      <c r="H388" s="24">
        <f t="shared" si="51"/>
        <v>526.77908759839636</v>
      </c>
      <c r="I388" s="12">
        <f t="shared" si="50"/>
        <v>0.58801723260411853</v>
      </c>
      <c r="J388" s="3"/>
    </row>
    <row r="389" spans="2:10" x14ac:dyDescent="0.25">
      <c r="B389" s="3">
        <f t="shared" si="46"/>
        <v>1845</v>
      </c>
      <c r="C389" s="14">
        <f t="shared" si="47"/>
        <v>30.75</v>
      </c>
      <c r="D389" s="11">
        <f t="shared" si="48"/>
        <v>845.48044887458468</v>
      </c>
      <c r="E389" s="24">
        <f t="shared" si="49"/>
        <v>192.45364905261366</v>
      </c>
      <c r="F389" s="38">
        <f t="shared" si="44"/>
        <v>1.1457257389253412</v>
      </c>
      <c r="G389" s="14">
        <f t="shared" si="45"/>
        <v>0</v>
      </c>
      <c r="H389" s="24">
        <f t="shared" si="51"/>
        <v>526.99631485774364</v>
      </c>
      <c r="I389" s="12">
        <f t="shared" si="50"/>
        <v>0.58780329983636193</v>
      </c>
      <c r="J389" s="3"/>
    </row>
    <row r="390" spans="2:10" x14ac:dyDescent="0.25">
      <c r="B390" s="3">
        <f t="shared" si="46"/>
        <v>1850</v>
      </c>
      <c r="C390" s="14">
        <f t="shared" si="47"/>
        <v>30.833333333333332</v>
      </c>
      <c r="D390" s="11">
        <f t="shared" si="48"/>
        <v>845.88430786911476</v>
      </c>
      <c r="E390" s="24">
        <f t="shared" si="49"/>
        <v>193.04145235245002</v>
      </c>
      <c r="F390" s="38">
        <f t="shared" si="44"/>
        <v>1.145254451342923</v>
      </c>
      <c r="G390" s="14">
        <f t="shared" si="45"/>
        <v>0</v>
      </c>
      <c r="H390" s="24">
        <f t="shared" si="51"/>
        <v>527.21318091653211</v>
      </c>
      <c r="I390" s="12">
        <f t="shared" si="50"/>
        <v>0.58758815851655488</v>
      </c>
      <c r="J390" s="3"/>
    </row>
    <row r="391" spans="2:10" x14ac:dyDescent="0.25">
      <c r="B391" s="3">
        <f t="shared" si="46"/>
        <v>1855</v>
      </c>
      <c r="C391" s="14">
        <f t="shared" si="47"/>
        <v>30.916666666666668</v>
      </c>
      <c r="D391" s="11">
        <f t="shared" si="48"/>
        <v>846.28708121987745</v>
      </c>
      <c r="E391" s="24">
        <f t="shared" si="49"/>
        <v>193.62904051096658</v>
      </c>
      <c r="F391" s="38">
        <f t="shared" si="44"/>
        <v>1.1447843297368223</v>
      </c>
      <c r="G391" s="14">
        <f t="shared" si="45"/>
        <v>0</v>
      </c>
      <c r="H391" s="24">
        <f t="shared" si="51"/>
        <v>527.42968834149576</v>
      </c>
      <c r="I391" s="12">
        <f t="shared" si="50"/>
        <v>0.58737182057174753</v>
      </c>
      <c r="J391" s="3"/>
    </row>
    <row r="392" spans="2:10" x14ac:dyDescent="0.25">
      <c r="B392" s="3">
        <f t="shared" si="46"/>
        <v>1860</v>
      </c>
      <c r="C392" s="14">
        <f t="shared" si="47"/>
        <v>31</v>
      </c>
      <c r="D392" s="11">
        <f t="shared" si="48"/>
        <v>846.68877474802889</v>
      </c>
      <c r="E392" s="24">
        <f t="shared" si="49"/>
        <v>194.21641233153832</v>
      </c>
      <c r="F392" s="38">
        <f t="shared" si="44"/>
        <v>1.1443153661452399</v>
      </c>
      <c r="G392" s="14">
        <f t="shared" si="45"/>
        <v>0</v>
      </c>
      <c r="H392" s="24">
        <f t="shared" si="51"/>
        <v>527.64583970000183</v>
      </c>
      <c r="I392" s="12">
        <f t="shared" si="50"/>
        <v>0.58715429778802475</v>
      </c>
      <c r="J392" s="3"/>
    </row>
    <row r="393" spans="2:10" x14ac:dyDescent="0.25">
      <c r="B393" s="3">
        <f t="shared" si="46"/>
        <v>1865</v>
      </c>
      <c r="C393" s="14">
        <f t="shared" si="47"/>
        <v>31.083333333333332</v>
      </c>
      <c r="D393" s="11">
        <f t="shared" si="48"/>
        <v>847.08939422803235</v>
      </c>
      <c r="E393" s="24">
        <f t="shared" si="49"/>
        <v>194.80356662932635</v>
      </c>
      <c r="F393" s="38">
        <f t="shared" si="44"/>
        <v>1.1438475526321659</v>
      </c>
      <c r="G393" s="14">
        <f t="shared" si="45"/>
        <v>0</v>
      </c>
      <c r="H393" s="24">
        <f t="shared" si="51"/>
        <v>527.86163755991845</v>
      </c>
      <c r="I393" s="12">
        <f t="shared" si="50"/>
        <v>0.5869356018120383</v>
      </c>
      <c r="J393" s="3"/>
    </row>
    <row r="394" spans="2:10" x14ac:dyDescent="0.25">
      <c r="B394" s="3">
        <f t="shared" si="46"/>
        <v>1870</v>
      </c>
      <c r="C394" s="14">
        <f t="shared" si="47"/>
        <v>31.166666666666668</v>
      </c>
      <c r="D394" s="11">
        <f t="shared" si="48"/>
        <v>847.48894538815455</v>
      </c>
      <c r="E394" s="24">
        <f t="shared" si="49"/>
        <v>195.39050223113838</v>
      </c>
      <c r="F394" s="38">
        <f t="shared" si="44"/>
        <v>1.1433808812874973</v>
      </c>
      <c r="G394" s="14">
        <f t="shared" si="45"/>
        <v>0</v>
      </c>
      <c r="H394" s="24">
        <f t="shared" si="51"/>
        <v>528.07708448948551</v>
      </c>
      <c r="I394" s="12">
        <f t="shared" si="50"/>
        <v>0.58671574415338301</v>
      </c>
      <c r="J394" s="3"/>
    </row>
    <row r="395" spans="2:10" x14ac:dyDescent="0.25">
      <c r="B395" s="3">
        <f t="shared" si="46"/>
        <v>1875</v>
      </c>
      <c r="C395" s="14">
        <f t="shared" si="47"/>
        <v>31.25</v>
      </c>
      <c r="D395" s="11">
        <f t="shared" si="48"/>
        <v>847.88743391095795</v>
      </c>
      <c r="E395" s="24">
        <f t="shared" si="49"/>
        <v>195.97721797529178</v>
      </c>
      <c r="F395" s="38">
        <f t="shared" si="44"/>
        <v>1.1429153442271542</v>
      </c>
      <c r="G395" s="14">
        <f t="shared" si="45"/>
        <v>0</v>
      </c>
      <c r="H395" s="24">
        <f t="shared" si="51"/>
        <v>528.29218305718734</v>
      </c>
      <c r="I395" s="12">
        <f t="shared" si="50"/>
        <v>0.58649473618618764</v>
      </c>
      <c r="J395" s="3"/>
    </row>
    <row r="396" spans="2:10" x14ac:dyDescent="0.25">
      <c r="B396" s="3">
        <f t="shared" si="46"/>
        <v>1880</v>
      </c>
      <c r="C396" s="14">
        <f t="shared" si="47"/>
        <v>31.333333333333332</v>
      </c>
      <c r="D396" s="11">
        <f t="shared" si="48"/>
        <v>848.28486543378631</v>
      </c>
      <c r="E396" s="24">
        <f t="shared" si="49"/>
        <v>196.56371271147796</v>
      </c>
      <c r="F396" s="38">
        <f t="shared" si="44"/>
        <v>1.1424509335931941</v>
      </c>
      <c r="G396" s="14">
        <f t="shared" si="45"/>
        <v>0</v>
      </c>
      <c r="H396" s="24">
        <f t="shared" si="51"/>
        <v>528.50693583162649</v>
      </c>
      <c r="I396" s="12">
        <f t="shared" si="50"/>
        <v>0.58627258915100822</v>
      </c>
      <c r="J396" s="3"/>
    </row>
    <row r="397" spans="2:10" x14ac:dyDescent="0.25">
      <c r="B397" s="3">
        <f t="shared" si="46"/>
        <v>1885</v>
      </c>
      <c r="C397" s="14">
        <f t="shared" si="47"/>
        <v>31.416666666666668</v>
      </c>
      <c r="D397" s="11">
        <f t="shared" si="48"/>
        <v>848.68124554924145</v>
      </c>
      <c r="E397" s="24">
        <f t="shared" si="49"/>
        <v>197.14998530062897</v>
      </c>
      <c r="F397" s="38">
        <f t="shared" si="44"/>
        <v>1.1419876415539185</v>
      </c>
      <c r="G397" s="14">
        <f t="shared" si="45"/>
        <v>0</v>
      </c>
      <c r="H397" s="24">
        <f t="shared" si="51"/>
        <v>528.72134538140028</v>
      </c>
      <c r="I397" s="12">
        <f t="shared" si="50"/>
        <v>0.58604931415694961</v>
      </c>
      <c r="J397" s="3"/>
    </row>
    <row r="398" spans="2:10" x14ac:dyDescent="0.25">
      <c r="B398" s="3">
        <f t="shared" si="46"/>
        <v>1890</v>
      </c>
      <c r="C398" s="14">
        <f t="shared" si="47"/>
        <v>31.5</v>
      </c>
      <c r="D398" s="11">
        <f t="shared" si="48"/>
        <v>849.07657980565705</v>
      </c>
      <c r="E398" s="24">
        <f t="shared" si="49"/>
        <v>197.73603461478592</v>
      </c>
      <c r="F398" s="38">
        <f t="shared" si="44"/>
        <v>1.1415254603039757</v>
      </c>
      <c r="G398" s="14">
        <f t="shared" si="45"/>
        <v>0</v>
      </c>
      <c r="H398" s="24">
        <f t="shared" si="51"/>
        <v>528.93541427497962</v>
      </c>
      <c r="I398" s="12">
        <f t="shared" si="50"/>
        <v>0.58582492218308402</v>
      </c>
      <c r="J398" s="3"/>
    </row>
    <row r="399" spans="2:10" x14ac:dyDescent="0.25">
      <c r="B399" s="3">
        <f t="shared" si="46"/>
        <v>1895</v>
      </c>
      <c r="C399" s="14">
        <f t="shared" si="47"/>
        <v>31.583333333333332</v>
      </c>
      <c r="D399" s="11">
        <f t="shared" si="48"/>
        <v>849.47087370756401</v>
      </c>
      <c r="E399" s="24">
        <f t="shared" si="49"/>
        <v>198.32185953696901</v>
      </c>
      <c r="F399" s="38">
        <f t="shared" si="44"/>
        <v>1.1410643820644615</v>
      </c>
      <c r="G399" s="14">
        <f t="shared" si="45"/>
        <v>0</v>
      </c>
      <c r="H399" s="24">
        <f t="shared" si="51"/>
        <v>529.14914508058871</v>
      </c>
      <c r="I399" s="12">
        <f t="shared" si="50"/>
        <v>0.58559942408048882</v>
      </c>
      <c r="J399" s="3"/>
    </row>
    <row r="400" spans="2:10" x14ac:dyDescent="0.25">
      <c r="B400" s="3">
        <f t="shared" si="46"/>
        <v>1900</v>
      </c>
      <c r="C400" s="14">
        <f t="shared" si="47"/>
        <v>31.666666666666668</v>
      </c>
      <c r="D400" s="11">
        <f t="shared" si="48"/>
        <v>849.86413271615027</v>
      </c>
      <c r="E400" s="24">
        <f t="shared" si="49"/>
        <v>198.90745896104951</v>
      </c>
      <c r="F400" s="38">
        <f t="shared" si="44"/>
        <v>1.1406043990830161</v>
      </c>
      <c r="G400" s="14">
        <f t="shared" si="45"/>
        <v>0</v>
      </c>
      <c r="H400" s="24">
        <f t="shared" si="51"/>
        <v>529.3625403660875</v>
      </c>
      <c r="I400" s="12">
        <f t="shared" si="50"/>
        <v>0.58537283057394851</v>
      </c>
      <c r="J400" s="3"/>
    </row>
    <row r="401" spans="2:10" x14ac:dyDescent="0.25">
      <c r="B401" s="3">
        <f t="shared" si="46"/>
        <v>1905</v>
      </c>
      <c r="C401" s="14">
        <f t="shared" si="47"/>
        <v>31.75</v>
      </c>
      <c r="D401" s="11">
        <f t="shared" si="48"/>
        <v>850.25636224971436</v>
      </c>
      <c r="E401" s="24">
        <f t="shared" si="49"/>
        <v>199.49283179162347</v>
      </c>
      <c r="F401" s="38">
        <f t="shared" si="44"/>
        <v>1.1401455036339143</v>
      </c>
      <c r="G401" s="14">
        <f t="shared" si="45"/>
        <v>0</v>
      </c>
      <c r="H401" s="24">
        <f t="shared" si="51"/>
        <v>529.57560269885528</v>
      </c>
      <c r="I401" s="12">
        <f t="shared" si="50"/>
        <v>0.58514515226370234</v>
      </c>
      <c r="J401" s="3"/>
    </row>
    <row r="402" spans="2:10" x14ac:dyDescent="0.25">
      <c r="B402" s="3">
        <f t="shared" si="46"/>
        <v>1910</v>
      </c>
      <c r="C402" s="14">
        <f t="shared" si="47"/>
        <v>31.833333333333332</v>
      </c>
      <c r="D402" s="11">
        <f t="shared" si="48"/>
        <v>850.64756768411496</v>
      </c>
      <c r="E402" s="24">
        <f t="shared" si="49"/>
        <v>200.07797694388717</v>
      </c>
      <c r="F402" s="38">
        <f t="shared" si="44"/>
        <v>1.1396876880181557</v>
      </c>
      <c r="G402" s="14">
        <f t="shared" si="45"/>
        <v>0</v>
      </c>
      <c r="H402" s="24">
        <f t="shared" si="51"/>
        <v>529.78833464567663</v>
      </c>
      <c r="I402" s="12">
        <f t="shared" si="50"/>
        <v>0.58491639962692521</v>
      </c>
      <c r="J402" s="3"/>
    </row>
    <row r="403" spans="2:10" x14ac:dyDescent="0.25">
      <c r="B403" s="3">
        <f t="shared" si="46"/>
        <v>1915</v>
      </c>
      <c r="C403" s="14">
        <f t="shared" si="47"/>
        <v>31.916666666666668</v>
      </c>
      <c r="D403" s="11">
        <f t="shared" si="48"/>
        <v>851.03775435321006</v>
      </c>
      <c r="E403" s="24">
        <f t="shared" si="49"/>
        <v>200.6628933435141</v>
      </c>
      <c r="F403" s="38">
        <f t="shared" si="44"/>
        <v>1.1392309445635465</v>
      </c>
      <c r="G403" s="14">
        <f t="shared" si="45"/>
        <v>0</v>
      </c>
      <c r="H403" s="24">
        <f t="shared" si="51"/>
        <v>530.00073877262946</v>
      </c>
      <c r="I403" s="12">
        <f t="shared" si="50"/>
        <v>0.58468658301994891</v>
      </c>
      <c r="J403" s="3"/>
    </row>
    <row r="404" spans="2:10" x14ac:dyDescent="0.25">
      <c r="B404" s="3">
        <f t="shared" si="46"/>
        <v>1920</v>
      </c>
      <c r="C404" s="14">
        <f t="shared" si="47"/>
        <v>32</v>
      </c>
      <c r="D404" s="11">
        <f t="shared" si="48"/>
        <v>851.42692754929669</v>
      </c>
      <c r="E404" s="24">
        <f t="shared" si="49"/>
        <v>201.24757992653406</v>
      </c>
      <c r="F404" s="38">
        <f t="shared" ref="F404:F467" si="52">Cp*RhoP/(RhoA*H404)*dp/1000*MassivP</f>
        <v>1.1387752656247838</v>
      </c>
      <c r="G404" s="14">
        <f t="shared" ref="G404:G467" si="53">Phi*EpsilonF*Botzman/10^8*J404*((D404+273)^4-(E404+273)^4)</f>
        <v>0</v>
      </c>
      <c r="H404" s="24">
        <f t="shared" si="51"/>
        <v>530.21281764497394</v>
      </c>
      <c r="I404" s="12">
        <f t="shared" si="50"/>
        <v>0.58445571267915652</v>
      </c>
      <c r="J404" s="3"/>
    </row>
    <row r="405" spans="2:10" x14ac:dyDescent="0.25">
      <c r="B405" s="3">
        <f t="shared" ref="B405:B468" si="54">B404+DeltaT</f>
        <v>1925</v>
      </c>
      <c r="C405" s="14">
        <f t="shared" ref="C405:C468" si="55">B405/60</f>
        <v>32.083333333333336</v>
      </c>
      <c r="D405" s="11">
        <f t="shared" ref="D405:D468" si="56">20+345*LOG(8*C405+1,10)</f>
        <v>851.81509252353851</v>
      </c>
      <c r="E405" s="24">
        <f t="shared" ref="E405:E468" si="57">E404+IF(Limit=Oui,MAX(0,I404),I404)</f>
        <v>201.83203563921322</v>
      </c>
      <c r="F405" s="38">
        <f t="shared" si="52"/>
        <v>1.1383206435835316</v>
      </c>
      <c r="G405" s="14">
        <f t="shared" si="53"/>
        <v>0</v>
      </c>
      <c r="H405" s="24">
        <f t="shared" si="51"/>
        <v>530.4245738270431</v>
      </c>
      <c r="I405" s="12">
        <f t="shared" ref="I405:I468" si="58">LambdaP*MassivP/(dp/1000)/(H405*RhoA)/(1+F405/3)*(D405-E405)*DeltaT-(EXP(F405/10)-1)*(D405-D404)</f>
        <v>0.58422379872339247</v>
      </c>
      <c r="J405" s="3"/>
    </row>
    <row r="406" spans="2:10" x14ac:dyDescent="0.25">
      <c r="B406" s="3">
        <f t="shared" si="54"/>
        <v>1930</v>
      </c>
      <c r="C406" s="14">
        <f t="shared" si="55"/>
        <v>32.166666666666664</v>
      </c>
      <c r="D406" s="11">
        <f t="shared" si="56"/>
        <v>852.20225448639337</v>
      </c>
      <c r="E406" s="24">
        <f t="shared" si="57"/>
        <v>202.41625943793662</v>
      </c>
      <c r="F406" s="38">
        <f t="shared" si="52"/>
        <v>1.1378670708484946</v>
      </c>
      <c r="G406" s="14">
        <f t="shared" si="53"/>
        <v>0</v>
      </c>
      <c r="H406" s="24">
        <f t="shared" si="51"/>
        <v>530.63600988213705</v>
      </c>
      <c r="I406" s="12">
        <f t="shared" si="58"/>
        <v>0.58399085115489591</v>
      </c>
      <c r="J406" s="3"/>
    </row>
    <row r="407" spans="2:10" x14ac:dyDescent="0.25">
      <c r="B407" s="3">
        <f t="shared" si="54"/>
        <v>1935</v>
      </c>
      <c r="C407" s="14">
        <f t="shared" si="55"/>
        <v>32.25</v>
      </c>
      <c r="D407" s="11">
        <f t="shared" si="56"/>
        <v>852.5884186080317</v>
      </c>
      <c r="E407" s="24">
        <f t="shared" si="57"/>
        <v>203.00025028909153</v>
      </c>
      <c r="F407" s="38">
        <f t="shared" si="52"/>
        <v>1.1374145398554902</v>
      </c>
      <c r="G407" s="14">
        <f t="shared" si="53"/>
        <v>0</v>
      </c>
      <c r="H407" s="24">
        <f t="shared" si="51"/>
        <v>530.84712837241614</v>
      </c>
      <c r="I407" s="12">
        <f t="shared" si="58"/>
        <v>0.58375687986133062</v>
      </c>
      <c r="J407" s="3"/>
    </row>
    <row r="408" spans="2:10" x14ac:dyDescent="0.25">
      <c r="B408" s="3">
        <f t="shared" si="54"/>
        <v>1940</v>
      </c>
      <c r="C408" s="14">
        <f t="shared" si="55"/>
        <v>32.333333333333336</v>
      </c>
      <c r="D408" s="11">
        <f t="shared" si="56"/>
        <v>852.97359001875111</v>
      </c>
      <c r="E408" s="24">
        <f t="shared" si="57"/>
        <v>203.58400716895287</v>
      </c>
      <c r="F408" s="38">
        <f t="shared" si="52"/>
        <v>1.1369630430675162</v>
      </c>
      <c r="G408" s="14">
        <f t="shared" si="53"/>
        <v>0</v>
      </c>
      <c r="H408" s="24">
        <f t="shared" si="51"/>
        <v>531.05793185879747</v>
      </c>
      <c r="I408" s="12">
        <f t="shared" si="58"/>
        <v>0.58352189461713988</v>
      </c>
      <c r="J408" s="3"/>
    </row>
    <row r="409" spans="2:10" x14ac:dyDescent="0.25">
      <c r="B409" s="3">
        <f t="shared" si="54"/>
        <v>1945</v>
      </c>
      <c r="C409" s="14">
        <f t="shared" si="55"/>
        <v>32.416666666666664</v>
      </c>
      <c r="D409" s="11">
        <f t="shared" si="56"/>
        <v>853.35777380938498</v>
      </c>
      <c r="E409" s="24">
        <f t="shared" si="57"/>
        <v>204.16752906357002</v>
      </c>
      <c r="F409" s="38">
        <f t="shared" si="52"/>
        <v>1.1365125729748142</v>
      </c>
      <c r="G409" s="14">
        <f t="shared" si="53"/>
        <v>0</v>
      </c>
      <c r="H409" s="24">
        <f t="shared" si="51"/>
        <v>531.26842290085301</v>
      </c>
      <c r="I409" s="12">
        <f t="shared" si="58"/>
        <v>0.58328590508516709</v>
      </c>
      <c r="J409" s="3"/>
    </row>
    <row r="410" spans="2:10" x14ac:dyDescent="0.25">
      <c r="B410" s="3">
        <f t="shared" si="54"/>
        <v>1950</v>
      </c>
      <c r="C410" s="14">
        <f t="shared" si="55"/>
        <v>32.5</v>
      </c>
      <c r="D410" s="11">
        <f t="shared" si="56"/>
        <v>853.74097503170685</v>
      </c>
      <c r="E410" s="24">
        <f t="shared" si="57"/>
        <v>204.75081496865519</v>
      </c>
      <c r="F410" s="38">
        <f t="shared" si="52"/>
        <v>1.1360631220949307</v>
      </c>
      <c r="G410" s="14">
        <f t="shared" si="53"/>
        <v>0</v>
      </c>
      <c r="H410" s="24">
        <f t="shared" si="51"/>
        <v>531.47860405670883</v>
      </c>
      <c r="I410" s="12">
        <f t="shared" si="58"/>
        <v>0.5830489208180395</v>
      </c>
      <c r="J410" s="3"/>
    </row>
    <row r="411" spans="2:10" x14ac:dyDescent="0.25">
      <c r="B411" s="3">
        <f t="shared" si="54"/>
        <v>1955</v>
      </c>
      <c r="C411" s="14">
        <f t="shared" si="55"/>
        <v>32.583333333333336</v>
      </c>
      <c r="D411" s="11">
        <f t="shared" si="56"/>
        <v>854.12319869882856</v>
      </c>
      <c r="E411" s="24">
        <f t="shared" si="57"/>
        <v>205.33386388947324</v>
      </c>
      <c r="F411" s="38">
        <f t="shared" si="52"/>
        <v>1.1356146829727762</v>
      </c>
      <c r="G411" s="14">
        <f t="shared" si="53"/>
        <v>0</v>
      </c>
      <c r="H411" s="24">
        <f t="shared" si="51"/>
        <v>531.68847788294647</v>
      </c>
      <c r="I411" s="12">
        <f t="shared" si="58"/>
        <v>0.58281095125978899</v>
      </c>
      <c r="J411" s="3"/>
    </row>
    <row r="412" spans="2:10" x14ac:dyDescent="0.25">
      <c r="B412" s="3">
        <f t="shared" si="54"/>
        <v>1960</v>
      </c>
      <c r="C412" s="14">
        <f t="shared" si="55"/>
        <v>32.666666666666664</v>
      </c>
      <c r="D412" s="11">
        <f t="shared" si="56"/>
        <v>854.50444978559358</v>
      </c>
      <c r="E412" s="24">
        <f t="shared" si="57"/>
        <v>205.91667484073304</v>
      </c>
      <c r="F412" s="38">
        <f t="shared" si="52"/>
        <v>1.1351672481806814</v>
      </c>
      <c r="G412" s="14">
        <f t="shared" si="53"/>
        <v>0</v>
      </c>
      <c r="H412" s="24">
        <f t="shared" si="51"/>
        <v>531.89804693450424</v>
      </c>
      <c r="I412" s="12">
        <f t="shared" si="58"/>
        <v>0.58257200574728119</v>
      </c>
      <c r="J412" s="3"/>
    </row>
    <row r="413" spans="2:10" x14ac:dyDescent="0.25">
      <c r="B413" s="3">
        <f t="shared" si="54"/>
        <v>1965</v>
      </c>
      <c r="C413" s="14">
        <f t="shared" si="55"/>
        <v>32.75</v>
      </c>
      <c r="D413" s="11">
        <f t="shared" si="56"/>
        <v>854.88473322896641</v>
      </c>
      <c r="E413" s="24">
        <f t="shared" si="57"/>
        <v>206.49924684648033</v>
      </c>
      <c r="F413" s="38">
        <f t="shared" si="52"/>
        <v>1.1347208103184481</v>
      </c>
      <c r="G413" s="14">
        <f t="shared" si="53"/>
        <v>0</v>
      </c>
      <c r="H413" s="24">
        <f t="shared" si="51"/>
        <v>532.10731376458284</v>
      </c>
      <c r="I413" s="12">
        <f t="shared" si="58"/>
        <v>0.58233209351153548</v>
      </c>
      <c r="J413" s="3"/>
    </row>
    <row r="414" spans="2:10" x14ac:dyDescent="0.25">
      <c r="B414" s="3">
        <f t="shared" si="54"/>
        <v>1970</v>
      </c>
      <c r="C414" s="14">
        <f t="shared" si="55"/>
        <v>32.833333333333336</v>
      </c>
      <c r="D414" s="11">
        <f t="shared" si="56"/>
        <v>855.2640539284148</v>
      </c>
      <c r="E414" s="24">
        <f t="shared" si="57"/>
        <v>207.08157893999186</v>
      </c>
      <c r="F414" s="38">
        <f t="shared" si="52"/>
        <v>1.134275362013399</v>
      </c>
      <c r="G414" s="14">
        <f t="shared" si="53"/>
        <v>0</v>
      </c>
      <c r="H414" s="24">
        <f t="shared" si="51"/>
        <v>532.31628092455003</v>
      </c>
      <c r="I414" s="12">
        <f t="shared" si="58"/>
        <v>0.58209122367941624</v>
      </c>
      <c r="J414" s="3"/>
    </row>
    <row r="415" spans="2:10" x14ac:dyDescent="0.25">
      <c r="B415" s="3">
        <f t="shared" si="54"/>
        <v>1975</v>
      </c>
      <c r="C415" s="14">
        <f t="shared" si="55"/>
        <v>32.916666666666664</v>
      </c>
      <c r="D415" s="11">
        <f t="shared" si="56"/>
        <v>855.64241674628965</v>
      </c>
      <c r="E415" s="24">
        <f t="shared" si="57"/>
        <v>207.66367016367127</v>
      </c>
      <c r="F415" s="38">
        <f t="shared" si="52"/>
        <v>1.1338308959204246</v>
      </c>
      <c r="G415" s="14">
        <f t="shared" si="53"/>
        <v>0</v>
      </c>
      <c r="H415" s="24">
        <f t="shared" si="51"/>
        <v>532.52495096384814</v>
      </c>
      <c r="I415" s="12">
        <f t="shared" si="58"/>
        <v>0.58184940527472528</v>
      </c>
      <c r="J415" s="3"/>
    </row>
    <row r="416" spans="2:10" x14ac:dyDescent="0.25">
      <c r="B416" s="3">
        <f t="shared" si="54"/>
        <v>1980</v>
      </c>
      <c r="C416" s="14">
        <f t="shared" si="55"/>
        <v>33</v>
      </c>
      <c r="D416" s="11">
        <f t="shared" si="56"/>
        <v>856.01982650819855</v>
      </c>
      <c r="E416" s="24">
        <f t="shared" si="57"/>
        <v>208.24551956894601</v>
      </c>
      <c r="F416" s="38">
        <f t="shared" si="52"/>
        <v>1.1333874047220285</v>
      </c>
      <c r="G416" s="14">
        <f t="shared" si="53"/>
        <v>0</v>
      </c>
      <c r="H416" s="24">
        <f t="shared" si="51"/>
        <v>532.73332642990226</v>
      </c>
      <c r="I416" s="12">
        <f t="shared" si="58"/>
        <v>0.58160664721978583</v>
      </c>
      <c r="J416" s="3"/>
    </row>
    <row r="417" spans="2:10" x14ac:dyDescent="0.25">
      <c r="B417" s="3">
        <f t="shared" si="54"/>
        <v>1985</v>
      </c>
      <c r="C417" s="14">
        <f t="shared" si="55"/>
        <v>33.083333333333336</v>
      </c>
      <c r="D417" s="11">
        <f t="shared" si="56"/>
        <v>856.39628800337516</v>
      </c>
      <c r="E417" s="24">
        <f t="shared" si="57"/>
        <v>208.82712621616579</v>
      </c>
      <c r="F417" s="38">
        <f t="shared" si="52"/>
        <v>1.1329448811283662</v>
      </c>
      <c r="G417" s="14">
        <f t="shared" si="53"/>
        <v>0</v>
      </c>
      <c r="H417" s="24">
        <f t="shared" si="51"/>
        <v>532.94140986803086</v>
      </c>
      <c r="I417" s="12">
        <f t="shared" si="58"/>
        <v>0.58136295833671647</v>
      </c>
      <c r="J417" s="3"/>
    </row>
    <row r="418" spans="2:10" x14ac:dyDescent="0.25">
      <c r="B418" s="3">
        <f t="shared" si="54"/>
        <v>1990</v>
      </c>
      <c r="C418" s="14">
        <f t="shared" si="55"/>
        <v>33.166666666666664</v>
      </c>
      <c r="D418" s="11">
        <f t="shared" si="56"/>
        <v>856.77180598504333</v>
      </c>
      <c r="E418" s="24">
        <f t="shared" si="57"/>
        <v>209.40848917450251</v>
      </c>
      <c r="F418" s="38">
        <f t="shared" si="52"/>
        <v>1.1325033178772868</v>
      </c>
      <c r="G418" s="14">
        <f t="shared" si="53"/>
        <v>0</v>
      </c>
      <c r="H418" s="24">
        <f t="shared" si="51"/>
        <v>533.14920382135654</v>
      </c>
      <c r="I418" s="12">
        <f t="shared" si="58"/>
        <v>0.58111834734886925</v>
      </c>
      <c r="J418" s="3"/>
    </row>
    <row r="419" spans="2:10" x14ac:dyDescent="0.25">
      <c r="B419" s="3">
        <f t="shared" si="54"/>
        <v>1995</v>
      </c>
      <c r="C419" s="14">
        <f t="shared" si="55"/>
        <v>33.25</v>
      </c>
      <c r="D419" s="11">
        <f t="shared" si="56"/>
        <v>857.14638517077833</v>
      </c>
      <c r="E419" s="24">
        <f t="shared" si="57"/>
        <v>209.98960752185138</v>
      </c>
      <c r="F419" s="38">
        <f t="shared" si="52"/>
        <v>1.1320627077343679</v>
      </c>
      <c r="G419" s="14">
        <f t="shared" si="53"/>
        <v>0</v>
      </c>
      <c r="H419" s="24">
        <f t="shared" si="51"/>
        <v>533.35671083071918</v>
      </c>
      <c r="I419" s="12">
        <f t="shared" si="58"/>
        <v>0.58087282288193076</v>
      </c>
      <c r="J419" s="3"/>
    </row>
    <row r="420" spans="2:10" x14ac:dyDescent="0.25">
      <c r="B420" s="3">
        <f t="shared" si="54"/>
        <v>2000</v>
      </c>
      <c r="C420" s="14">
        <f t="shared" si="55"/>
        <v>33.333333333333336</v>
      </c>
      <c r="D420" s="11">
        <f t="shared" si="56"/>
        <v>857.52003024286125</v>
      </c>
      <c r="E420" s="24">
        <f t="shared" si="57"/>
        <v>210.57048034473331</v>
      </c>
      <c r="F420" s="38">
        <f t="shared" si="52"/>
        <v>1.1316230434929484</v>
      </c>
      <c r="G420" s="14">
        <f t="shared" si="53"/>
        <v>0</v>
      </c>
      <c r="H420" s="24">
        <f t="shared" si="51"/>
        <v>533.56393343459035</v>
      </c>
      <c r="I420" s="12">
        <f t="shared" si="58"/>
        <v>0.58062639346551448</v>
      </c>
      <c r="J420" s="3"/>
    </row>
    <row r="421" spans="2:10" x14ac:dyDescent="0.25">
      <c r="B421" s="3">
        <f t="shared" si="54"/>
        <v>2005</v>
      </c>
      <c r="C421" s="14">
        <f t="shared" si="55"/>
        <v>33.416666666666664</v>
      </c>
      <c r="D421" s="11">
        <f t="shared" si="56"/>
        <v>857.89274584863097</v>
      </c>
      <c r="E421" s="24">
        <f t="shared" si="57"/>
        <v>211.15110673819882</v>
      </c>
      <c r="F421" s="38">
        <f t="shared" si="52"/>
        <v>1.1311843179741632</v>
      </c>
      <c r="G421" s="14">
        <f t="shared" si="53"/>
        <v>0</v>
      </c>
      <c r="H421" s="24">
        <f t="shared" si="51"/>
        <v>533.77087416898848</v>
      </c>
      <c r="I421" s="12">
        <f t="shared" si="58"/>
        <v>0.58037906753419921</v>
      </c>
      <c r="J421" s="3"/>
    </row>
    <row r="422" spans="2:10" x14ac:dyDescent="0.25">
      <c r="B422" s="3">
        <f t="shared" si="54"/>
        <v>2010</v>
      </c>
      <c r="C422" s="14">
        <f t="shared" si="55"/>
        <v>33.5</v>
      </c>
      <c r="D422" s="11">
        <f t="shared" si="56"/>
        <v>858.26453660083064</v>
      </c>
      <c r="E422" s="24">
        <f t="shared" si="57"/>
        <v>211.73148580573303</v>
      </c>
      <c r="F422" s="38">
        <f t="shared" si="52"/>
        <v>1.1307465240269681</v>
      </c>
      <c r="G422" s="14">
        <f t="shared" si="53"/>
        <v>0</v>
      </c>
      <c r="H422" s="24">
        <f t="shared" si="51"/>
        <v>533.97753556739633</v>
      </c>
      <c r="I422" s="12">
        <f t="shared" si="58"/>
        <v>0.58013085342892301</v>
      </c>
      <c r="J422" s="3"/>
    </row>
    <row r="423" spans="2:10" x14ac:dyDescent="0.25">
      <c r="B423" s="3">
        <f t="shared" si="54"/>
        <v>2015</v>
      </c>
      <c r="C423" s="14">
        <f t="shared" si="55"/>
        <v>33.583333333333336</v>
      </c>
      <c r="D423" s="11">
        <f t="shared" si="56"/>
        <v>858.63540707795028</v>
      </c>
      <c r="E423" s="24">
        <f t="shared" si="57"/>
        <v>212.31161665916196</v>
      </c>
      <c r="F423" s="38">
        <f t="shared" si="52"/>
        <v>1.1303096545281697</v>
      </c>
      <c r="G423" s="14">
        <f t="shared" si="53"/>
        <v>0</v>
      </c>
      <c r="H423" s="24">
        <f t="shared" si="51"/>
        <v>534.18392016067855</v>
      </c>
      <c r="I423" s="12">
        <f t="shared" si="58"/>
        <v>0.57988175939818976</v>
      </c>
      <c r="J423" s="3"/>
    </row>
    <row r="424" spans="2:10" x14ac:dyDescent="0.25">
      <c r="B424" s="3">
        <f t="shared" si="54"/>
        <v>2020</v>
      </c>
      <c r="C424" s="14">
        <f t="shared" si="55"/>
        <v>33.666666666666664</v>
      </c>
      <c r="D424" s="11">
        <f t="shared" si="56"/>
        <v>859.00536182456517</v>
      </c>
      <c r="E424" s="24">
        <f t="shared" si="57"/>
        <v>212.89149841856013</v>
      </c>
      <c r="F424" s="38">
        <f t="shared" si="52"/>
        <v>1.1298737023824494</v>
      </c>
      <c r="G424" s="14">
        <f t="shared" si="53"/>
        <v>0</v>
      </c>
      <c r="H424" s="24">
        <f t="shared" si="51"/>
        <v>534.39003047700191</v>
      </c>
      <c r="I424" s="12">
        <f t="shared" si="58"/>
        <v>0.57963179359927863</v>
      </c>
      <c r="J424" s="3"/>
    </row>
    <row r="425" spans="2:10" x14ac:dyDescent="0.25">
      <c r="B425" s="3">
        <f t="shared" si="54"/>
        <v>2025</v>
      </c>
      <c r="C425" s="14">
        <f t="shared" si="55"/>
        <v>33.75</v>
      </c>
      <c r="D425" s="11">
        <f t="shared" si="56"/>
        <v>859.37440535166991</v>
      </c>
      <c r="E425" s="24">
        <f t="shared" si="57"/>
        <v>213.47113021215941</v>
      </c>
      <c r="F425" s="38">
        <f t="shared" si="52"/>
        <v>1.1294386605223838</v>
      </c>
      <c r="G425" s="14">
        <f t="shared" si="53"/>
        <v>0</v>
      </c>
      <c r="H425" s="24">
        <f t="shared" si="51"/>
        <v>534.59586904175558</v>
      </c>
      <c r="I425" s="12">
        <f t="shared" si="58"/>
        <v>0.57938096409948514</v>
      </c>
      <c r="J425" s="3"/>
    </row>
    <row r="426" spans="2:10" x14ac:dyDescent="0.25">
      <c r="B426" s="3">
        <f t="shared" si="54"/>
        <v>2030</v>
      </c>
      <c r="C426" s="14">
        <f t="shared" si="55"/>
        <v>33.833333333333336</v>
      </c>
      <c r="D426" s="11">
        <f t="shared" si="56"/>
        <v>859.74254213700829</v>
      </c>
      <c r="E426" s="24">
        <f t="shared" si="57"/>
        <v>214.05051117625891</v>
      </c>
      <c r="F426" s="38">
        <f t="shared" si="52"/>
        <v>1.1290045219084668</v>
      </c>
      <c r="G426" s="14">
        <f t="shared" si="53"/>
        <v>0</v>
      </c>
      <c r="H426" s="24">
        <f t="shared" si="51"/>
        <v>534.8014383774738</v>
      </c>
      <c r="I426" s="12">
        <f t="shared" si="58"/>
        <v>0.57912927887730969</v>
      </c>
      <c r="J426" s="3"/>
    </row>
    <row r="427" spans="2:10" x14ac:dyDescent="0.25">
      <c r="B427" s="3">
        <f t="shared" si="54"/>
        <v>2035</v>
      </c>
      <c r="C427" s="14">
        <f t="shared" si="55"/>
        <v>33.916666666666664</v>
      </c>
      <c r="D427" s="11">
        <f t="shared" si="56"/>
        <v>860.10977662539972</v>
      </c>
      <c r="E427" s="24">
        <f t="shared" si="57"/>
        <v>214.62964045513621</v>
      </c>
      <c r="F427" s="38">
        <f t="shared" si="52"/>
        <v>1.1285712795291274</v>
      </c>
      <c r="G427" s="14">
        <f t="shared" si="53"/>
        <v>0</v>
      </c>
      <c r="H427" s="24">
        <f t="shared" si="51"/>
        <v>535.00674100375829</v>
      </c>
      <c r="I427" s="12">
        <f t="shared" si="58"/>
        <v>0.57887674582356963</v>
      </c>
      <c r="J427" s="3"/>
    </row>
    <row r="428" spans="2:10" x14ac:dyDescent="0.25">
      <c r="B428" s="3">
        <f t="shared" si="54"/>
        <v>2040</v>
      </c>
      <c r="C428" s="14">
        <f t="shared" si="55"/>
        <v>34</v>
      </c>
      <c r="D428" s="11">
        <f t="shared" si="56"/>
        <v>860.47611322906084</v>
      </c>
      <c r="E428" s="24">
        <f t="shared" si="57"/>
        <v>215.20851720095979</v>
      </c>
      <c r="F428" s="38">
        <f t="shared" si="52"/>
        <v>1.1281389264007458</v>
      </c>
      <c r="G428" s="14">
        <f t="shared" si="53"/>
        <v>0</v>
      </c>
      <c r="H428" s="24">
        <f t="shared" si="51"/>
        <v>535.21177943720409</v>
      </c>
      <c r="I428" s="12">
        <f t="shared" si="58"/>
        <v>0.57862337274264974</v>
      </c>
      <c r="J428" s="3"/>
    </row>
    <row r="429" spans="2:10" x14ac:dyDescent="0.25">
      <c r="B429" s="3">
        <f t="shared" si="54"/>
        <v>2045</v>
      </c>
      <c r="C429" s="14">
        <f t="shared" si="55"/>
        <v>34.083333333333336</v>
      </c>
      <c r="D429" s="11">
        <f t="shared" si="56"/>
        <v>860.8415563279234</v>
      </c>
      <c r="E429" s="24">
        <f t="shared" si="57"/>
        <v>215.78714057370243</v>
      </c>
      <c r="F429" s="38">
        <f t="shared" si="52"/>
        <v>1.1277074555676658</v>
      </c>
      <c r="G429" s="14">
        <f t="shared" si="53"/>
        <v>0</v>
      </c>
      <c r="H429" s="24">
        <f t="shared" si="51"/>
        <v>535.41655619132393</v>
      </c>
      <c r="I429" s="12">
        <f t="shared" si="58"/>
        <v>0.57836916735362021</v>
      </c>
      <c r="J429" s="3"/>
    </row>
    <row r="430" spans="2:10" x14ac:dyDescent="0.25">
      <c r="B430" s="3">
        <f t="shared" si="54"/>
        <v>2050</v>
      </c>
      <c r="C430" s="14">
        <f t="shared" si="55"/>
        <v>34.166666666666664</v>
      </c>
      <c r="D430" s="11">
        <f t="shared" si="56"/>
        <v>861.20611026994936</v>
      </c>
      <c r="E430" s="24">
        <f t="shared" si="57"/>
        <v>216.36550974105606</v>
      </c>
      <c r="F430" s="38">
        <f t="shared" si="52"/>
        <v>1.127276860102209</v>
      </c>
      <c r="G430" s="14">
        <f t="shared" si="53"/>
        <v>0</v>
      </c>
      <c r="H430" s="24">
        <f t="shared" si="51"/>
        <v>535.62107377647658</v>
      </c>
      <c r="I430" s="12">
        <f t="shared" si="58"/>
        <v>0.5781141372912264</v>
      </c>
      <c r="J430" s="3"/>
    </row>
    <row r="431" spans="2:10" x14ac:dyDescent="0.25">
      <c r="B431" s="3">
        <f t="shared" si="54"/>
        <v>2055</v>
      </c>
      <c r="C431" s="14">
        <f t="shared" si="55"/>
        <v>34.25</v>
      </c>
      <c r="D431" s="11">
        <f t="shared" si="56"/>
        <v>861.56977937144052</v>
      </c>
      <c r="E431" s="24">
        <f t="shared" si="57"/>
        <v>216.9436238783473</v>
      </c>
      <c r="F431" s="38">
        <f t="shared" si="52"/>
        <v>1.1268471331046839</v>
      </c>
      <c r="G431" s="14">
        <f t="shared" si="53"/>
        <v>0</v>
      </c>
      <c r="H431" s="24">
        <f t="shared" si="51"/>
        <v>535.82533469979376</v>
      </c>
      <c r="I431" s="12">
        <f t="shared" si="58"/>
        <v>0.57785829010720302</v>
      </c>
      <c r="J431" s="3"/>
    </row>
    <row r="432" spans="2:10" x14ac:dyDescent="0.25">
      <c r="B432" s="3">
        <f t="shared" si="54"/>
        <v>2060</v>
      </c>
      <c r="C432" s="14">
        <f t="shared" si="55"/>
        <v>34.333333333333336</v>
      </c>
      <c r="D432" s="11">
        <f t="shared" si="56"/>
        <v>861.93256791734495</v>
      </c>
      <c r="E432" s="24">
        <f t="shared" si="57"/>
        <v>217.5214821684545</v>
      </c>
      <c r="F432" s="38">
        <f t="shared" si="52"/>
        <v>1.1264182677033932</v>
      </c>
      <c r="G432" s="14">
        <f t="shared" si="53"/>
        <v>0</v>
      </c>
      <c r="H432" s="24">
        <f t="shared" si="51"/>
        <v>536.02934146511029</v>
      </c>
      <c r="I432" s="12">
        <f t="shared" si="58"/>
        <v>0.57760163327128522</v>
      </c>
      <c r="J432" s="3"/>
    </row>
    <row r="433" spans="2:10" x14ac:dyDescent="0.25">
      <c r="B433" s="3">
        <f t="shared" si="54"/>
        <v>2065</v>
      </c>
      <c r="C433" s="14">
        <f t="shared" si="55"/>
        <v>34.416666666666664</v>
      </c>
      <c r="D433" s="11">
        <f t="shared" si="56"/>
        <v>862.29448016156073</v>
      </c>
      <c r="E433" s="24">
        <f t="shared" si="57"/>
        <v>218.09908380172578</v>
      </c>
      <c r="F433" s="38">
        <f t="shared" si="52"/>
        <v>1.1259902570546432</v>
      </c>
      <c r="G433" s="14">
        <f t="shared" si="53"/>
        <v>0</v>
      </c>
      <c r="H433" s="24">
        <f t="shared" si="51"/>
        <v>536.23309657289394</v>
      </c>
      <c r="I433" s="12">
        <f t="shared" si="58"/>
        <v>0.57734417417218109</v>
      </c>
      <c r="J433" s="3"/>
    </row>
    <row r="434" spans="2:10" x14ac:dyDescent="0.25">
      <c r="B434" s="3">
        <f t="shared" si="54"/>
        <v>2070</v>
      </c>
      <c r="C434" s="14">
        <f t="shared" si="55"/>
        <v>34.5</v>
      </c>
      <c r="D434" s="11">
        <f t="shared" si="56"/>
        <v>862.65552032723463</v>
      </c>
      <c r="E434" s="24">
        <f t="shared" si="57"/>
        <v>218.67642797589795</v>
      </c>
      <c r="F434" s="38">
        <f t="shared" si="52"/>
        <v>1.1255630943427453</v>
      </c>
      <c r="G434" s="14">
        <f t="shared" si="53"/>
        <v>0</v>
      </c>
      <c r="H434" s="24">
        <f t="shared" si="51"/>
        <v>536.4366025201773</v>
      </c>
      <c r="I434" s="12">
        <f t="shared" si="58"/>
        <v>0.57708592011878024</v>
      </c>
      <c r="J434" s="3"/>
    </row>
    <row r="435" spans="2:10" x14ac:dyDescent="0.25">
      <c r="B435" s="3">
        <f t="shared" si="54"/>
        <v>2075</v>
      </c>
      <c r="C435" s="14">
        <f t="shared" si="55"/>
        <v>34.583333333333336</v>
      </c>
      <c r="D435" s="11">
        <f t="shared" si="56"/>
        <v>863.0156926070581</v>
      </c>
      <c r="E435" s="24">
        <f t="shared" si="57"/>
        <v>219.25351389601673</v>
      </c>
      <c r="F435" s="38">
        <f t="shared" si="52"/>
        <v>1.1251367727800206</v>
      </c>
      <c r="G435" s="14">
        <f t="shared" si="53"/>
        <v>0</v>
      </c>
      <c r="H435" s="24">
        <f t="shared" si="51"/>
        <v>536.63986180049051</v>
      </c>
      <c r="I435" s="12">
        <f t="shared" si="58"/>
        <v>0.57682687834110713</v>
      </c>
      <c r="J435" s="3"/>
    </row>
    <row r="436" spans="2:10" x14ac:dyDescent="0.25">
      <c r="B436" s="3">
        <f t="shared" si="54"/>
        <v>2080</v>
      </c>
      <c r="C436" s="14">
        <f t="shared" si="55"/>
        <v>34.666666666666664</v>
      </c>
      <c r="D436" s="11">
        <f t="shared" si="56"/>
        <v>863.37500116355909</v>
      </c>
      <c r="E436" s="24">
        <f t="shared" si="57"/>
        <v>219.83034077435784</v>
      </c>
      <c r="F436" s="38">
        <f t="shared" si="52"/>
        <v>1.1247112856068013</v>
      </c>
      <c r="G436" s="14">
        <f t="shared" si="53"/>
        <v>0</v>
      </c>
      <c r="H436" s="24">
        <f t="shared" si="51"/>
        <v>536.84287690379415</v>
      </c>
      <c r="I436" s="12">
        <f t="shared" si="58"/>
        <v>0.57656705599142044</v>
      </c>
      <c r="J436" s="3"/>
    </row>
    <row r="437" spans="2:10" x14ac:dyDescent="0.25">
      <c r="B437" s="3">
        <f t="shared" si="54"/>
        <v>2085</v>
      </c>
      <c r="C437" s="14">
        <f t="shared" si="55"/>
        <v>34.75</v>
      </c>
      <c r="D437" s="11">
        <f t="shared" si="56"/>
        <v>863.73345012939114</v>
      </c>
      <c r="E437" s="24">
        <f t="shared" si="57"/>
        <v>220.40690783034927</v>
      </c>
      <c r="F437" s="38">
        <f t="shared" si="52"/>
        <v>1.1242866260914282</v>
      </c>
      <c r="G437" s="14">
        <f t="shared" si="53"/>
        <v>0</v>
      </c>
      <c r="H437" s="24">
        <f t="shared" ref="H437:H500" si="59">IF(E437&lt;600,425+0.773*E437-1.69/1000*E437^2+2.22/1000^2*E437^3,IF(E437&lt;735,666+13002/(738-E437),IF(E437&lt;900,545+17820/(E437-731),650)))</f>
        <v>537.04565031641596</v>
      </c>
      <c r="I437" s="12">
        <f t="shared" si="58"/>
        <v>0.57630646014513265</v>
      </c>
      <c r="J437" s="3"/>
    </row>
    <row r="438" spans="2:10" x14ac:dyDescent="0.25">
      <c r="B438" s="3">
        <f t="shared" si="54"/>
        <v>2090</v>
      </c>
      <c r="C438" s="14">
        <f t="shared" si="55"/>
        <v>34.833333333333336</v>
      </c>
      <c r="D438" s="11">
        <f t="shared" si="56"/>
        <v>864.09104360761808</v>
      </c>
      <c r="E438" s="24">
        <f t="shared" si="57"/>
        <v>220.9832142904944</v>
      </c>
      <c r="F438" s="38">
        <f t="shared" si="52"/>
        <v>1.1238627875302514</v>
      </c>
      <c r="G438" s="14">
        <f t="shared" si="53"/>
        <v>0</v>
      </c>
      <c r="H438" s="24">
        <f t="shared" si="59"/>
        <v>537.24818452098418</v>
      </c>
      <c r="I438" s="12">
        <f t="shared" si="58"/>
        <v>0.57604509780193391</v>
      </c>
      <c r="J438" s="3"/>
    </row>
    <row r="439" spans="2:10" x14ac:dyDescent="0.25">
      <c r="B439" s="3">
        <f t="shared" si="54"/>
        <v>2095</v>
      </c>
      <c r="C439" s="14">
        <f t="shared" si="55"/>
        <v>34.916666666666664</v>
      </c>
      <c r="D439" s="11">
        <f t="shared" si="56"/>
        <v>864.44778567199614</v>
      </c>
      <c r="E439" s="24">
        <f t="shared" si="57"/>
        <v>221.55925938829634</v>
      </c>
      <c r="F439" s="38">
        <f t="shared" si="52"/>
        <v>1.1234397632476258</v>
      </c>
      <c r="G439" s="14">
        <f t="shared" si="53"/>
        <v>0</v>
      </c>
      <c r="H439" s="24">
        <f t="shared" si="59"/>
        <v>537.45048199636631</v>
      </c>
      <c r="I439" s="12">
        <f t="shared" si="58"/>
        <v>0.57578297588666838</v>
      </c>
      <c r="J439" s="3"/>
    </row>
    <row r="440" spans="2:10" x14ac:dyDescent="0.25">
      <c r="B440" s="3">
        <f t="shared" si="54"/>
        <v>2100</v>
      </c>
      <c r="C440" s="14">
        <f t="shared" si="55"/>
        <v>35</v>
      </c>
      <c r="D440" s="11">
        <f t="shared" si="56"/>
        <v>864.80368036725235</v>
      </c>
      <c r="E440" s="24">
        <f t="shared" si="57"/>
        <v>222.13504236418302</v>
      </c>
      <c r="F440" s="38">
        <f t="shared" si="52"/>
        <v>1.123017546595904</v>
      </c>
      <c r="G440" s="14">
        <f t="shared" si="53"/>
        <v>0</v>
      </c>
      <c r="H440" s="24">
        <f t="shared" si="59"/>
        <v>537.65254521760676</v>
      </c>
      <c r="I440" s="12">
        <f t="shared" si="58"/>
        <v>0.57552010125037301</v>
      </c>
      <c r="J440" s="3"/>
    </row>
    <row r="441" spans="2:10" x14ac:dyDescent="0.25">
      <c r="B441" s="3">
        <f t="shared" si="54"/>
        <v>2105</v>
      </c>
      <c r="C441" s="14">
        <f t="shared" si="55"/>
        <v>35.083333333333336</v>
      </c>
      <c r="D441" s="11">
        <f t="shared" si="56"/>
        <v>865.15873170936015</v>
      </c>
      <c r="E441" s="24">
        <f t="shared" si="57"/>
        <v>222.71056246543338</v>
      </c>
      <c r="F441" s="38">
        <f t="shared" si="52"/>
        <v>1.1225961309554335</v>
      </c>
      <c r="G441" s="14">
        <f t="shared" si="53"/>
        <v>0</v>
      </c>
      <c r="H441" s="24">
        <f t="shared" si="59"/>
        <v>537.85437665586471</v>
      </c>
      <c r="I441" s="12">
        <f t="shared" si="58"/>
        <v>0.5752564806711522</v>
      </c>
      <c r="J441" s="3"/>
    </row>
    <row r="442" spans="2:10" x14ac:dyDescent="0.25">
      <c r="B442" s="3">
        <f t="shared" si="54"/>
        <v>2110</v>
      </c>
      <c r="C442" s="14">
        <f t="shared" si="55"/>
        <v>35.166666666666664</v>
      </c>
      <c r="D442" s="11">
        <f t="shared" si="56"/>
        <v>865.51294368581023</v>
      </c>
      <c r="E442" s="24">
        <f t="shared" si="57"/>
        <v>223.28581894610454</v>
      </c>
      <c r="F442" s="38">
        <f t="shared" si="52"/>
        <v>1.1221755097345445</v>
      </c>
      <c r="G442" s="14">
        <f t="shared" si="53"/>
        <v>0</v>
      </c>
      <c r="H442" s="24">
        <f t="shared" si="59"/>
        <v>538.05597877835532</v>
      </c>
      <c r="I442" s="12">
        <f t="shared" si="58"/>
        <v>0.57499212085532025</v>
      </c>
      <c r="J442" s="3"/>
    </row>
    <row r="443" spans="2:10" x14ac:dyDescent="0.25">
      <c r="B443" s="3">
        <f t="shared" si="54"/>
        <v>2115</v>
      </c>
      <c r="C443" s="14">
        <f t="shared" si="55"/>
        <v>35.25</v>
      </c>
      <c r="D443" s="11">
        <f t="shared" si="56"/>
        <v>865.86632025588017</v>
      </c>
      <c r="E443" s="24">
        <f t="shared" si="57"/>
        <v>223.86081106695985</v>
      </c>
      <c r="F443" s="38">
        <f t="shared" si="52"/>
        <v>1.1217556763695422</v>
      </c>
      <c r="G443" s="14">
        <f t="shared" si="53"/>
        <v>0</v>
      </c>
      <c r="H443" s="24">
        <f t="shared" si="59"/>
        <v>538.25735404829038</v>
      </c>
      <c r="I443" s="12">
        <f t="shared" si="58"/>
        <v>0.5747270284380861</v>
      </c>
      <c r="J443" s="3"/>
    </row>
    <row r="444" spans="2:10" x14ac:dyDescent="0.25">
      <c r="B444" s="3">
        <f t="shared" si="54"/>
        <v>2120</v>
      </c>
      <c r="C444" s="14">
        <f t="shared" si="55"/>
        <v>35.333333333333336</v>
      </c>
      <c r="D444" s="11">
        <f t="shared" si="56"/>
        <v>866.21886535089914</v>
      </c>
      <c r="E444" s="24">
        <f t="shared" si="57"/>
        <v>224.43553809539793</v>
      </c>
      <c r="F444" s="38">
        <f t="shared" si="52"/>
        <v>1.1213366243246976</v>
      </c>
      <c r="G444" s="14">
        <f t="shared" si="53"/>
        <v>0</v>
      </c>
      <c r="H444" s="24">
        <f t="shared" si="59"/>
        <v>538.45850492481918</v>
      </c>
      <c r="I444" s="12">
        <f t="shared" si="58"/>
        <v>0.57446120998469286</v>
      </c>
      <c r="J444" s="3"/>
    </row>
    <row r="445" spans="2:10" x14ac:dyDescent="0.25">
      <c r="B445" s="3">
        <f t="shared" si="54"/>
        <v>2125</v>
      </c>
      <c r="C445" s="14">
        <f t="shared" si="55"/>
        <v>35.416666666666664</v>
      </c>
      <c r="D445" s="11">
        <f t="shared" si="56"/>
        <v>866.57058287451173</v>
      </c>
      <c r="E445" s="24">
        <f t="shared" si="57"/>
        <v>225.00999930538262</v>
      </c>
      <c r="F445" s="38">
        <f t="shared" si="52"/>
        <v>1.1209183470922295</v>
      </c>
      <c r="G445" s="14">
        <f t="shared" si="53"/>
        <v>0</v>
      </c>
      <c r="H445" s="24">
        <f t="shared" si="59"/>
        <v>538.65943386297329</v>
      </c>
      <c r="I445" s="12">
        <f t="shared" si="58"/>
        <v>0.57419467199104768</v>
      </c>
      <c r="J445" s="3"/>
    </row>
    <row r="446" spans="2:10" x14ac:dyDescent="0.25">
      <c r="B446" s="3">
        <f t="shared" si="54"/>
        <v>2130</v>
      </c>
      <c r="C446" s="14">
        <f t="shared" si="55"/>
        <v>35.5</v>
      </c>
      <c r="D446" s="11">
        <f t="shared" si="56"/>
        <v>866.92147670293605</v>
      </c>
      <c r="E446" s="24">
        <f t="shared" si="57"/>
        <v>225.58419397737367</v>
      </c>
      <c r="F446" s="38">
        <f t="shared" si="52"/>
        <v>1.1205008381922992</v>
      </c>
      <c r="G446" s="14">
        <f t="shared" si="53"/>
        <v>0</v>
      </c>
      <c r="H446" s="24">
        <f t="shared" si="59"/>
        <v>538.86014331360798</v>
      </c>
      <c r="I446" s="12">
        <f t="shared" si="58"/>
        <v>0.57392742088493998</v>
      </c>
      <c r="J446" s="3"/>
    </row>
    <row r="447" spans="2:10" x14ac:dyDescent="0.25">
      <c r="B447" s="3">
        <f t="shared" si="54"/>
        <v>2135</v>
      </c>
      <c r="C447" s="14">
        <f t="shared" si="55"/>
        <v>35.583333333333336</v>
      </c>
      <c r="D447" s="11">
        <f t="shared" si="56"/>
        <v>867.27155068521972</v>
      </c>
      <c r="E447" s="24">
        <f t="shared" si="57"/>
        <v>226.1581213982586</v>
      </c>
      <c r="F447" s="38">
        <f t="shared" si="52"/>
        <v>1.1200840911729875</v>
      </c>
      <c r="G447" s="14">
        <f t="shared" si="53"/>
        <v>0</v>
      </c>
      <c r="H447" s="24">
        <f t="shared" si="59"/>
        <v>539.06063572334892</v>
      </c>
      <c r="I447" s="12">
        <f t="shared" si="58"/>
        <v>0.57365946302680504</v>
      </c>
      <c r="J447" s="3"/>
    </row>
    <row r="448" spans="2:10" x14ac:dyDescent="0.25">
      <c r="B448" s="3">
        <f t="shared" si="54"/>
        <v>2140</v>
      </c>
      <c r="C448" s="14">
        <f t="shared" si="55"/>
        <v>35.666666666666664</v>
      </c>
      <c r="D448" s="11">
        <f t="shared" si="56"/>
        <v>867.62080864349502</v>
      </c>
      <c r="E448" s="24">
        <f t="shared" si="57"/>
        <v>226.73178086128542</v>
      </c>
      <c r="F448" s="38">
        <f t="shared" si="52"/>
        <v>1.1196680996102835</v>
      </c>
      <c r="G448" s="14">
        <f t="shared" si="53"/>
        <v>0</v>
      </c>
      <c r="H448" s="24">
        <f t="shared" si="59"/>
        <v>539.26091353453671</v>
      </c>
      <c r="I448" s="12">
        <f t="shared" si="58"/>
        <v>0.57339080471034665</v>
      </c>
      <c r="J448" s="3"/>
    </row>
    <row r="449" spans="2:10" x14ac:dyDescent="0.25">
      <c r="B449" s="3">
        <f t="shared" si="54"/>
        <v>2145</v>
      </c>
      <c r="C449" s="14">
        <f t="shared" si="55"/>
        <v>35.75</v>
      </c>
      <c r="D449" s="11">
        <f t="shared" si="56"/>
        <v>867.96925437322739</v>
      </c>
      <c r="E449" s="24">
        <f t="shared" si="57"/>
        <v>227.30517166599577</v>
      </c>
      <c r="F449" s="38">
        <f t="shared" si="52"/>
        <v>1.1192528571080649</v>
      </c>
      <c r="G449" s="14">
        <f t="shared" si="53"/>
        <v>0</v>
      </c>
      <c r="H449" s="24">
        <f t="shared" si="59"/>
        <v>539.46097918517376</v>
      </c>
      <c r="I449" s="12">
        <f t="shared" si="58"/>
        <v>0.57312145216382704</v>
      </c>
      <c r="J449" s="3"/>
    </row>
    <row r="450" spans="2:10" x14ac:dyDescent="0.25">
      <c r="B450" s="3">
        <f t="shared" si="54"/>
        <v>2150</v>
      </c>
      <c r="C450" s="14">
        <f t="shared" si="55"/>
        <v>35.833333333333336</v>
      </c>
      <c r="D450" s="11">
        <f t="shared" si="56"/>
        <v>868.3168916434638</v>
      </c>
      <c r="E450" s="24">
        <f t="shared" si="57"/>
        <v>227.8782931181596</v>
      </c>
      <c r="F450" s="38">
        <f t="shared" si="52"/>
        <v>1.1188383572980798</v>
      </c>
      <c r="G450" s="14">
        <f t="shared" si="53"/>
        <v>0</v>
      </c>
      <c r="H450" s="24">
        <f t="shared" si="59"/>
        <v>539.66083510887188</v>
      </c>
      <c r="I450" s="12">
        <f t="shared" si="58"/>
        <v>0.57285141155057939</v>
      </c>
      <c r="J450" s="3"/>
    </row>
    <row r="451" spans="2:10" x14ac:dyDescent="0.25">
      <c r="B451" s="3">
        <f t="shared" si="54"/>
        <v>2155</v>
      </c>
      <c r="C451" s="14">
        <f t="shared" si="55"/>
        <v>35.916666666666664</v>
      </c>
      <c r="D451" s="11">
        <f t="shared" si="56"/>
        <v>868.66372419707727</v>
      </c>
      <c r="E451" s="24">
        <f t="shared" si="57"/>
        <v>228.45114452971018</v>
      </c>
      <c r="F451" s="38">
        <f t="shared" si="52"/>
        <v>1.1184245938399271</v>
      </c>
      <c r="G451" s="14">
        <f t="shared" si="53"/>
        <v>0</v>
      </c>
      <c r="H451" s="24">
        <f t="shared" si="59"/>
        <v>539.8604837347998</v>
      </c>
      <c r="I451" s="12">
        <f t="shared" si="58"/>
        <v>0.5725806889699746</v>
      </c>
      <c r="J451" s="3"/>
    </row>
    <row r="452" spans="2:10" x14ac:dyDescent="0.25">
      <c r="B452" s="3">
        <f t="shared" si="54"/>
        <v>2160</v>
      </c>
      <c r="C452" s="14">
        <f t="shared" si="55"/>
        <v>36</v>
      </c>
      <c r="D452" s="11">
        <f t="shared" si="56"/>
        <v>869.00975575100892</v>
      </c>
      <c r="E452" s="24">
        <f t="shared" si="57"/>
        <v>229.02372521868014</v>
      </c>
      <c r="F452" s="38">
        <f t="shared" si="52"/>
        <v>1.1180115604210352</v>
      </c>
      <c r="G452" s="14">
        <f t="shared" si="53"/>
        <v>0</v>
      </c>
      <c r="H452" s="24">
        <f t="shared" si="59"/>
        <v>540.05992748763333</v>
      </c>
      <c r="I452" s="12">
        <f t="shared" si="58"/>
        <v>0.57230929045817724</v>
      </c>
      <c r="J452" s="3"/>
    </row>
    <row r="453" spans="2:10" x14ac:dyDescent="0.25">
      <c r="B453" s="3">
        <f t="shared" si="54"/>
        <v>2165</v>
      </c>
      <c r="C453" s="14">
        <f t="shared" si="55"/>
        <v>36.083333333333336</v>
      </c>
      <c r="D453" s="11">
        <f t="shared" si="56"/>
        <v>869.35498999650622</v>
      </c>
      <c r="E453" s="24">
        <f t="shared" si="57"/>
        <v>229.59603450913832</v>
      </c>
      <c r="F453" s="38">
        <f t="shared" si="52"/>
        <v>1.1175992507566403</v>
      </c>
      <c r="G453" s="14">
        <f t="shared" si="53"/>
        <v>0</v>
      </c>
      <c r="H453" s="24">
        <f t="shared" si="59"/>
        <v>540.25916878750445</v>
      </c>
      <c r="I453" s="12">
        <f t="shared" si="58"/>
        <v>0.57203722198909612</v>
      </c>
      <c r="J453" s="3"/>
    </row>
    <row r="454" spans="2:10" x14ac:dyDescent="0.25">
      <c r="B454" s="3">
        <f t="shared" si="54"/>
        <v>2170</v>
      </c>
      <c r="C454" s="14">
        <f t="shared" si="55"/>
        <v>36.166666666666664</v>
      </c>
      <c r="D454" s="11">
        <f t="shared" si="56"/>
        <v>869.69943059936008</v>
      </c>
      <c r="E454" s="24">
        <f t="shared" si="57"/>
        <v>230.16807173112741</v>
      </c>
      <c r="F454" s="38">
        <f t="shared" si="52"/>
        <v>1.1171876585897613</v>
      </c>
      <c r="G454" s="14">
        <f t="shared" si="53"/>
        <v>0</v>
      </c>
      <c r="H454" s="24">
        <f t="shared" si="59"/>
        <v>540.45821004995287</v>
      </c>
      <c r="I454" s="12">
        <f t="shared" si="58"/>
        <v>0.57176448947497993</v>
      </c>
      <c r="J454" s="3"/>
    </row>
    <row r="455" spans="2:10" x14ac:dyDescent="0.25">
      <c r="B455" s="3">
        <f t="shared" si="54"/>
        <v>2175</v>
      </c>
      <c r="C455" s="14">
        <f t="shared" si="55"/>
        <v>36.25</v>
      </c>
      <c r="D455" s="11">
        <f t="shared" si="56"/>
        <v>870.04308120013809</v>
      </c>
      <c r="E455" s="24">
        <f t="shared" si="57"/>
        <v>230.7398362206024</v>
      </c>
      <c r="F455" s="38">
        <f t="shared" si="52"/>
        <v>1.1167767776911781</v>
      </c>
      <c r="G455" s="14">
        <f t="shared" si="53"/>
        <v>0</v>
      </c>
      <c r="H455" s="24">
        <f t="shared" si="59"/>
        <v>540.65705368587726</v>
      </c>
      <c r="I455" s="12">
        <f t="shared" si="58"/>
        <v>0.57149109876735482</v>
      </c>
      <c r="J455" s="3"/>
    </row>
    <row r="456" spans="2:10" x14ac:dyDescent="0.25">
      <c r="B456" s="3">
        <f t="shared" si="54"/>
        <v>2180</v>
      </c>
      <c r="C456" s="14">
        <f t="shared" si="55"/>
        <v>36.333333333333336</v>
      </c>
      <c r="D456" s="11">
        <f t="shared" si="56"/>
        <v>870.38594541441444</v>
      </c>
      <c r="E456" s="24">
        <f t="shared" si="57"/>
        <v>231.31132731936975</v>
      </c>
      <c r="F456" s="38">
        <f t="shared" si="52"/>
        <v>1.116366601859405</v>
      </c>
      <c r="G456" s="14">
        <f t="shared" si="53"/>
        <v>0</v>
      </c>
      <c r="H456" s="24">
        <f t="shared" si="59"/>
        <v>540.8557021014874</v>
      </c>
      <c r="I456" s="12">
        <f t="shared" si="58"/>
        <v>0.57121705565786152</v>
      </c>
      <c r="J456" s="3"/>
    </row>
    <row r="457" spans="2:10" x14ac:dyDescent="0.25">
      <c r="B457" s="3">
        <f t="shared" si="54"/>
        <v>2185</v>
      </c>
      <c r="C457" s="14">
        <f t="shared" si="55"/>
        <v>36.416666666666664</v>
      </c>
      <c r="D457" s="11">
        <f t="shared" si="56"/>
        <v>870.72802683300029</v>
      </c>
      <c r="E457" s="24">
        <f t="shared" si="57"/>
        <v>231.88254437502761</v>
      </c>
      <c r="F457" s="38">
        <f t="shared" si="52"/>
        <v>1.1159571249206637</v>
      </c>
      <c r="G457" s="14">
        <f t="shared" si="53"/>
        <v>0</v>
      </c>
      <c r="H457" s="24">
        <f t="shared" si="59"/>
        <v>541.05415769825868</v>
      </c>
      <c r="I457" s="12">
        <f t="shared" si="58"/>
        <v>0.57094236587867087</v>
      </c>
      <c r="J457" s="3"/>
    </row>
    <row r="458" spans="2:10" x14ac:dyDescent="0.25">
      <c r="B458" s="3">
        <f t="shared" si="54"/>
        <v>2190</v>
      </c>
      <c r="C458" s="14">
        <f t="shared" si="55"/>
        <v>36.5</v>
      </c>
      <c r="D458" s="11">
        <f t="shared" si="56"/>
        <v>871.06932902216784</v>
      </c>
      <c r="E458" s="24">
        <f t="shared" si="57"/>
        <v>232.45348674090627</v>
      </c>
      <c r="F458" s="38">
        <f t="shared" si="52"/>
        <v>1.1155483407288569</v>
      </c>
      <c r="G458" s="14">
        <f t="shared" si="53"/>
        <v>0</v>
      </c>
      <c r="H458" s="24">
        <f t="shared" si="59"/>
        <v>541.25242287288472</v>
      </c>
      <c r="I458" s="12">
        <f t="shared" si="58"/>
        <v>0.57066703510367034</v>
      </c>
      <c r="J458" s="3"/>
    </row>
    <row r="459" spans="2:10" x14ac:dyDescent="0.25">
      <c r="B459" s="3">
        <f t="shared" si="54"/>
        <v>2195</v>
      </c>
      <c r="C459" s="14">
        <f t="shared" si="55"/>
        <v>36.583333333333336</v>
      </c>
      <c r="D459" s="11">
        <f t="shared" si="56"/>
        <v>871.40985552387281</v>
      </c>
      <c r="E459" s="24">
        <f t="shared" si="57"/>
        <v>233.02415377600994</v>
      </c>
      <c r="F459" s="38">
        <f t="shared" si="52"/>
        <v>1.1151402431655395</v>
      </c>
      <c r="G459" s="14">
        <f t="shared" si="53"/>
        <v>0</v>
      </c>
      <c r="H459" s="24">
        <f t="shared" si="59"/>
        <v>541.45050001723291</v>
      </c>
      <c r="I459" s="12">
        <f t="shared" si="58"/>
        <v>0.57039106894909364</v>
      </c>
      <c r="J459" s="3"/>
    </row>
    <row r="460" spans="2:10" x14ac:dyDescent="0.25">
      <c r="B460" s="3">
        <f t="shared" si="54"/>
        <v>2200</v>
      </c>
      <c r="C460" s="14">
        <f t="shared" si="55"/>
        <v>36.666666666666664</v>
      </c>
      <c r="D460" s="11">
        <f t="shared" si="56"/>
        <v>871.74960985597761</v>
      </c>
      <c r="E460" s="24">
        <f t="shared" si="57"/>
        <v>233.59454484495905</v>
      </c>
      <c r="F460" s="38">
        <f t="shared" si="52"/>
        <v>1.1147328261398899</v>
      </c>
      <c r="G460" s="14">
        <f t="shared" si="53"/>
        <v>0</v>
      </c>
      <c r="H460" s="24">
        <f t="shared" si="59"/>
        <v>541.64839151830006</v>
      </c>
      <c r="I460" s="12">
        <f t="shared" si="58"/>
        <v>0.57011447297387929</v>
      </c>
      <c r="J460" s="3"/>
    </row>
    <row r="461" spans="2:10" x14ac:dyDescent="0.25">
      <c r="B461" s="3">
        <f t="shared" si="54"/>
        <v>2205</v>
      </c>
      <c r="C461" s="14">
        <f t="shared" si="55"/>
        <v>36.75</v>
      </c>
      <c r="D461" s="11">
        <f t="shared" si="56"/>
        <v>872.08859551246621</v>
      </c>
      <c r="E461" s="24">
        <f t="shared" si="57"/>
        <v>234.16465931793292</v>
      </c>
      <c r="F461" s="38">
        <f t="shared" si="52"/>
        <v>1.1143260835886777</v>
      </c>
      <c r="G461" s="14">
        <f t="shared" si="53"/>
        <v>0</v>
      </c>
      <c r="H461" s="24">
        <f t="shared" si="59"/>
        <v>541.84609975816875</v>
      </c>
      <c r="I461" s="12">
        <f t="shared" si="58"/>
        <v>0.56983725268107743</v>
      </c>
      <c r="J461" s="3"/>
    </row>
    <row r="462" spans="2:10" x14ac:dyDescent="0.25">
      <c r="B462" s="3">
        <f t="shared" si="54"/>
        <v>2210</v>
      </c>
      <c r="C462" s="14">
        <f t="shared" si="55"/>
        <v>36.833333333333336</v>
      </c>
      <c r="D462" s="11">
        <f t="shared" si="56"/>
        <v>872.42681596366197</v>
      </c>
      <c r="E462" s="24">
        <f t="shared" si="57"/>
        <v>234.734496570614</v>
      </c>
      <c r="F462" s="38">
        <f t="shared" si="52"/>
        <v>1.1139200094762358</v>
      </c>
      <c r="G462" s="14">
        <f t="shared" si="53"/>
        <v>0</v>
      </c>
      <c r="H462" s="24">
        <f t="shared" si="59"/>
        <v>542.04362711396402</v>
      </c>
      <c r="I462" s="12">
        <f t="shared" si="58"/>
        <v>0.56955941351792738</v>
      </c>
      <c r="J462" s="3"/>
    </row>
    <row r="463" spans="2:10" x14ac:dyDescent="0.25">
      <c r="B463" s="3">
        <f t="shared" si="54"/>
        <v>2215</v>
      </c>
      <c r="C463" s="14">
        <f t="shared" si="55"/>
        <v>36.916666666666664</v>
      </c>
      <c r="D463" s="11">
        <f t="shared" si="56"/>
        <v>872.76427465644019</v>
      </c>
      <c r="E463" s="24">
        <f t="shared" si="57"/>
        <v>235.30405598413194</v>
      </c>
      <c r="F463" s="38">
        <f t="shared" si="52"/>
        <v>1.1135145977944265</v>
      </c>
      <c r="G463" s="14">
        <f t="shared" si="53"/>
        <v>0</v>
      </c>
      <c r="H463" s="24">
        <f t="shared" si="59"/>
        <v>542.24097595781177</v>
      </c>
      <c r="I463" s="12">
        <f t="shared" si="58"/>
        <v>0.5692809608768945</v>
      </c>
      <c r="J463" s="3"/>
    </row>
    <row r="464" spans="2:10" x14ac:dyDescent="0.25">
      <c r="B464" s="3">
        <f t="shared" si="54"/>
        <v>2220</v>
      </c>
      <c r="C464" s="14">
        <f t="shared" si="55"/>
        <v>37</v>
      </c>
      <c r="D464" s="11">
        <f t="shared" si="56"/>
        <v>873.10097501443829</v>
      </c>
      <c r="E464" s="24">
        <f t="shared" si="57"/>
        <v>235.87333694500882</v>
      </c>
      <c r="F464" s="38">
        <f t="shared" si="52"/>
        <v>1.1131098425626085</v>
      </c>
      <c r="G464" s="14">
        <f t="shared" si="53"/>
        <v>0</v>
      </c>
      <c r="H464" s="24">
        <f t="shared" si="59"/>
        <v>542.43814865679701</v>
      </c>
      <c r="I464" s="12">
        <f t="shared" si="58"/>
        <v>0.56900190009637586</v>
      </c>
      <c r="J464" s="3"/>
    </row>
    <row r="465" spans="2:10" x14ac:dyDescent="0.25">
      <c r="B465" s="3">
        <f t="shared" si="54"/>
        <v>2225</v>
      </c>
      <c r="C465" s="14">
        <f t="shared" si="55"/>
        <v>37.083333333333336</v>
      </c>
      <c r="D465" s="11">
        <f t="shared" si="56"/>
        <v>873.43692043826491</v>
      </c>
      <c r="E465" s="24">
        <f t="shared" si="57"/>
        <v>236.44233884510518</v>
      </c>
      <c r="F465" s="38">
        <f t="shared" si="52"/>
        <v>1.1127057378276031</v>
      </c>
      <c r="G465" s="14">
        <f t="shared" si="53"/>
        <v>0</v>
      </c>
      <c r="H465" s="24">
        <f t="shared" si="59"/>
        <v>542.63514757292353</v>
      </c>
      <c r="I465" s="12">
        <f t="shared" si="58"/>
        <v>0.56872223646121645</v>
      </c>
      <c r="J465" s="3"/>
    </row>
    <row r="466" spans="2:10" x14ac:dyDescent="0.25">
      <c r="B466" s="3">
        <f t="shared" si="54"/>
        <v>2230</v>
      </c>
      <c r="C466" s="14">
        <f t="shared" si="55"/>
        <v>37.166666666666664</v>
      </c>
      <c r="D466" s="11">
        <f t="shared" si="56"/>
        <v>873.77211430570594</v>
      </c>
      <c r="E466" s="24">
        <f t="shared" si="57"/>
        <v>237.0110610815664</v>
      </c>
      <c r="F466" s="38">
        <f t="shared" si="52"/>
        <v>1.1123022776636609</v>
      </c>
      <c r="G466" s="14">
        <f t="shared" si="53"/>
        <v>0</v>
      </c>
      <c r="H466" s="24">
        <f t="shared" si="59"/>
        <v>542.83197506307351</v>
      </c>
      <c r="I466" s="12">
        <f t="shared" si="58"/>
        <v>0.5684419752034866</v>
      </c>
      <c r="J466" s="3"/>
    </row>
    <row r="467" spans="2:10" x14ac:dyDescent="0.25">
      <c r="B467" s="3">
        <f t="shared" si="54"/>
        <v>2235</v>
      </c>
      <c r="C467" s="14">
        <f t="shared" si="55"/>
        <v>37.25</v>
      </c>
      <c r="D467" s="11">
        <f t="shared" si="56"/>
        <v>874.10655997192816</v>
      </c>
      <c r="E467" s="24">
        <f t="shared" si="57"/>
        <v>237.57950305676988</v>
      </c>
      <c r="F467" s="38">
        <f t="shared" si="52"/>
        <v>1.1118994561724262</v>
      </c>
      <c r="G467" s="14">
        <f t="shared" si="53"/>
        <v>0</v>
      </c>
      <c r="H467" s="24">
        <f t="shared" si="59"/>
        <v>543.02863347896789</v>
      </c>
      <c r="I467" s="12">
        <f t="shared" si="58"/>
        <v>0.56816112150316078</v>
      </c>
      <c r="J467" s="3"/>
    </row>
    <row r="468" spans="2:10" x14ac:dyDescent="0.25">
      <c r="B468" s="3">
        <f t="shared" si="54"/>
        <v>2240</v>
      </c>
      <c r="C468" s="14">
        <f t="shared" si="55"/>
        <v>37.333333333333336</v>
      </c>
      <c r="D468" s="11">
        <f t="shared" si="56"/>
        <v>874.44026076968032</v>
      </c>
      <c r="E468" s="24">
        <f t="shared" si="57"/>
        <v>238.14766417827303</v>
      </c>
      <c r="F468" s="38">
        <f t="shared" ref="F468:F531" si="60">Cp*RhoP/(RhoA*H468)*dp/1000*MassivP</f>
        <v>1.1114972674829002</v>
      </c>
      <c r="G468" s="14">
        <f t="shared" ref="G468:G531" si="61">Phi*EpsilonF*Botzman/10^8*J468*((D468+273)^4-(E468+273)^4)</f>
        <v>0</v>
      </c>
      <c r="H468" s="24">
        <f t="shared" si="59"/>
        <v>543.22512516712879</v>
      </c>
      <c r="I468" s="12">
        <f t="shared" si="58"/>
        <v>0.56787968048880033</v>
      </c>
      <c r="J468" s="3"/>
    </row>
    <row r="469" spans="2:10" x14ac:dyDescent="0.25">
      <c r="B469" s="3">
        <f t="shared" ref="B469:B532" si="62">B468+DeltaT</f>
        <v>2245</v>
      </c>
      <c r="C469" s="14">
        <f t="shared" ref="C469:C532" si="63">B469/60</f>
        <v>37.416666666666664</v>
      </c>
      <c r="D469" s="11">
        <f t="shared" ref="D469:D532" si="64">20+345*LOG(8*C469+1,10)</f>
        <v>874.77322000949323</v>
      </c>
      <c r="E469" s="24">
        <f t="shared" ref="E469:E532" si="65">E468+IF(Limit=Oui,MAX(0,I468),I468)</f>
        <v>238.71554385876183</v>
      </c>
      <c r="F469" s="38">
        <f t="shared" si="60"/>
        <v>1.111095705751405</v>
      </c>
      <c r="G469" s="14">
        <f t="shared" si="61"/>
        <v>0</v>
      </c>
      <c r="H469" s="24">
        <f t="shared" si="59"/>
        <v>543.4214524688407</v>
      </c>
      <c r="I469" s="12">
        <f t="shared" ref="I469:I532" si="66">LambdaP*MassivP/(dp/1000)/(H469*RhoA)/(1+F469/3)*(D469-E469)*DeltaT-(EXP(F469/10)-1)*(D469-D468)</f>
        <v>0.56759765723806321</v>
      </c>
      <c r="J469" s="3"/>
    </row>
    <row r="470" spans="2:10" x14ac:dyDescent="0.25">
      <c r="B470" s="3">
        <f t="shared" si="62"/>
        <v>2250</v>
      </c>
      <c r="C470" s="14">
        <f t="shared" si="63"/>
        <v>37.5</v>
      </c>
      <c r="D470" s="11">
        <f t="shared" si="64"/>
        <v>875.10544097987588</v>
      </c>
      <c r="E470" s="24">
        <f t="shared" si="65"/>
        <v>239.28314151599989</v>
      </c>
      <c r="F470" s="38">
        <f t="shared" si="60"/>
        <v>1.1106947651615451</v>
      </c>
      <c r="G470" s="14">
        <f t="shared" si="61"/>
        <v>0</v>
      </c>
      <c r="H470" s="24">
        <f t="shared" si="59"/>
        <v>543.61761772011357</v>
      </c>
      <c r="I470" s="12">
        <f t="shared" si="66"/>
        <v>0.56731505677855132</v>
      </c>
      <c r="J470" s="3"/>
    </row>
    <row r="471" spans="2:10" x14ac:dyDescent="0.25">
      <c r="B471" s="3">
        <f t="shared" si="62"/>
        <v>2255</v>
      </c>
      <c r="C471" s="14">
        <f t="shared" si="63"/>
        <v>37.583333333333336</v>
      </c>
      <c r="D471" s="11">
        <f t="shared" si="64"/>
        <v>875.43692694751155</v>
      </c>
      <c r="E471" s="24">
        <f t="shared" si="65"/>
        <v>239.85045657277843</v>
      </c>
      <c r="F471" s="38">
        <f t="shared" si="60"/>
        <v>1.1102944399241703</v>
      </c>
      <c r="G471" s="14">
        <f t="shared" si="61"/>
        <v>0</v>
      </c>
      <c r="H471" s="24">
        <f t="shared" si="59"/>
        <v>543.81362325164605</v>
      </c>
      <c r="I471" s="12">
        <f t="shared" si="66"/>
        <v>0.56703188408818772</v>
      </c>
      <c r="J471" s="3"/>
    </row>
    <row r="472" spans="2:10" x14ac:dyDescent="0.25">
      <c r="B472" s="3">
        <f t="shared" si="62"/>
        <v>2260</v>
      </c>
      <c r="C472" s="14">
        <f t="shared" si="63"/>
        <v>37.666666666666664</v>
      </c>
      <c r="D472" s="11">
        <f t="shared" si="64"/>
        <v>875.76768115744926</v>
      </c>
      <c r="E472" s="24">
        <f t="shared" si="65"/>
        <v>240.41748845686661</v>
      </c>
      <c r="F472" s="38">
        <f t="shared" si="60"/>
        <v>1.1098947242773358</v>
      </c>
      <c r="G472" s="14">
        <f t="shared" si="61"/>
        <v>0</v>
      </c>
      <c r="H472" s="24">
        <f t="shared" si="59"/>
        <v>544.00947138878985</v>
      </c>
      <c r="I472" s="12">
        <f t="shared" si="66"/>
        <v>0.5667481440961335</v>
      </c>
      <c r="J472" s="3"/>
    </row>
    <row r="473" spans="2:10" x14ac:dyDescent="0.25">
      <c r="B473" s="3">
        <f t="shared" si="62"/>
        <v>2265</v>
      </c>
      <c r="C473" s="14">
        <f t="shared" si="63"/>
        <v>37.75</v>
      </c>
      <c r="D473" s="11">
        <f t="shared" si="64"/>
        <v>876.09770683329521</v>
      </c>
      <c r="E473" s="24">
        <f t="shared" si="65"/>
        <v>240.98423660096273</v>
      </c>
      <c r="F473" s="38">
        <f t="shared" si="60"/>
        <v>1.109495612486264</v>
      </c>
      <c r="G473" s="14">
        <f t="shared" si="61"/>
        <v>0</v>
      </c>
      <c r="H473" s="24">
        <f t="shared" si="59"/>
        <v>544.20516445151361</v>
      </c>
      <c r="I473" s="12">
        <f t="shared" si="66"/>
        <v>0.56646384168315556</v>
      </c>
      <c r="J473" s="3"/>
    </row>
    <row r="474" spans="2:10" x14ac:dyDescent="0.25">
      <c r="B474" s="3">
        <f t="shared" si="62"/>
        <v>2270</v>
      </c>
      <c r="C474" s="14">
        <f t="shared" si="63"/>
        <v>37.833333333333336</v>
      </c>
      <c r="D474" s="11">
        <f t="shared" si="64"/>
        <v>876.42700717740081</v>
      </c>
      <c r="E474" s="24">
        <f t="shared" si="65"/>
        <v>241.55070044264588</v>
      </c>
      <c r="F474" s="38">
        <f t="shared" si="60"/>
        <v>1.1090970988433022</v>
      </c>
      <c r="G474" s="14">
        <f t="shared" si="61"/>
        <v>0</v>
      </c>
      <c r="H474" s="24">
        <f t="shared" si="59"/>
        <v>544.40070475436937</v>
      </c>
      <c r="I474" s="12">
        <f t="shared" si="66"/>
        <v>0.56617898168238634</v>
      </c>
      <c r="J474" s="3"/>
    </row>
    <row r="475" spans="2:10" x14ac:dyDescent="0.25">
      <c r="B475" s="3">
        <f t="shared" si="62"/>
        <v>2275</v>
      </c>
      <c r="C475" s="14">
        <f t="shared" si="63"/>
        <v>37.916666666666664</v>
      </c>
      <c r="D475" s="11">
        <f t="shared" si="64"/>
        <v>876.75558537104962</v>
      </c>
      <c r="E475" s="24">
        <f t="shared" si="65"/>
        <v>242.11687942432826</v>
      </c>
      <c r="F475" s="38">
        <f t="shared" si="60"/>
        <v>1.1086991776678827</v>
      </c>
      <c r="G475" s="14">
        <f t="shared" si="61"/>
        <v>0</v>
      </c>
      <c r="H475" s="24">
        <f t="shared" si="59"/>
        <v>544.59609460645777</v>
      </c>
      <c r="I475" s="12">
        <f t="shared" si="66"/>
        <v>0.56589356887981468</v>
      </c>
      <c r="J475" s="3"/>
    </row>
    <row r="476" spans="2:10" x14ac:dyDescent="0.25">
      <c r="B476" s="3">
        <f t="shared" si="62"/>
        <v>2280</v>
      </c>
      <c r="C476" s="14">
        <f t="shared" si="63"/>
        <v>38</v>
      </c>
      <c r="D476" s="11">
        <f t="shared" si="64"/>
        <v>877.08344457464113</v>
      </c>
      <c r="E476" s="24">
        <f t="shared" si="65"/>
        <v>242.68277299320806</v>
      </c>
      <c r="F476" s="38">
        <f t="shared" si="60"/>
        <v>1.1083018433064822</v>
      </c>
      <c r="G476" s="14">
        <f t="shared" si="61"/>
        <v>0</v>
      </c>
      <c r="H476" s="24">
        <f t="shared" si="59"/>
        <v>544.79133631139439</v>
      </c>
      <c r="I476" s="12">
        <f t="shared" si="66"/>
        <v>0.56560760801499721</v>
      </c>
      <c r="J476" s="3"/>
    </row>
    <row r="477" spans="2:10" x14ac:dyDescent="0.25">
      <c r="B477" s="3">
        <f t="shared" si="62"/>
        <v>2285</v>
      </c>
      <c r="C477" s="14">
        <f t="shared" si="63"/>
        <v>38.083333333333336</v>
      </c>
      <c r="D477" s="11">
        <f t="shared" si="64"/>
        <v>877.41058792787373</v>
      </c>
      <c r="E477" s="24">
        <f t="shared" si="65"/>
        <v>243.24838060122306</v>
      </c>
      <c r="F477" s="38">
        <f t="shared" si="60"/>
        <v>1.1079050901325784</v>
      </c>
      <c r="G477" s="14">
        <f t="shared" si="61"/>
        <v>0</v>
      </c>
      <c r="H477" s="24">
        <f t="shared" si="59"/>
        <v>544.9864321672776</v>
      </c>
      <c r="I477" s="12">
        <f t="shared" si="66"/>
        <v>0.56532110378151068</v>
      </c>
      <c r="J477" s="3"/>
    </row>
    <row r="478" spans="2:10" x14ac:dyDescent="0.25">
      <c r="B478" s="3">
        <f t="shared" si="62"/>
        <v>2290</v>
      </c>
      <c r="C478" s="14">
        <f t="shared" si="63"/>
        <v>38.166666666666664</v>
      </c>
      <c r="D478" s="11">
        <f t="shared" si="64"/>
        <v>877.73701854992464</v>
      </c>
      <c r="E478" s="24">
        <f t="shared" si="65"/>
        <v>243.81370170500458</v>
      </c>
      <c r="F478" s="38">
        <f t="shared" si="60"/>
        <v>1.1075089125466084</v>
      </c>
      <c r="G478" s="14">
        <f t="shared" si="61"/>
        <v>0</v>
      </c>
      <c r="H478" s="24">
        <f t="shared" si="59"/>
        <v>545.18138446665557</v>
      </c>
      <c r="I478" s="12">
        <f t="shared" si="66"/>
        <v>0.56503406082764218</v>
      </c>
      <c r="J478" s="3"/>
    </row>
    <row r="479" spans="2:10" x14ac:dyDescent="0.25">
      <c r="B479" s="3">
        <f t="shared" si="62"/>
        <v>2295</v>
      </c>
      <c r="C479" s="14">
        <f t="shared" si="63"/>
        <v>38.25</v>
      </c>
      <c r="D479" s="11">
        <f t="shared" si="64"/>
        <v>878.06273953962921</v>
      </c>
      <c r="E479" s="24">
        <f t="shared" si="65"/>
        <v>244.3787357658322</v>
      </c>
      <c r="F479" s="38">
        <f t="shared" si="60"/>
        <v>1.1071133049759221</v>
      </c>
      <c r="G479" s="14">
        <f t="shared" si="61"/>
        <v>0</v>
      </c>
      <c r="H479" s="24">
        <f t="shared" si="59"/>
        <v>545.37619549649582</v>
      </c>
      <c r="I479" s="12">
        <f t="shared" si="66"/>
        <v>0.56474648375680514</v>
      </c>
      <c r="J479" s="3"/>
    </row>
    <row r="480" spans="2:10" x14ac:dyDescent="0.25">
      <c r="B480" s="3">
        <f t="shared" si="62"/>
        <v>2300</v>
      </c>
      <c r="C480" s="14">
        <f t="shared" si="63"/>
        <v>38.333333333333336</v>
      </c>
      <c r="D480" s="11">
        <f t="shared" si="64"/>
        <v>878.38775397565598</v>
      </c>
      <c r="E480" s="24">
        <f t="shared" si="65"/>
        <v>244.94348224958901</v>
      </c>
      <c r="F480" s="38">
        <f t="shared" si="60"/>
        <v>1.1067182618747442</v>
      </c>
      <c r="G480" s="14">
        <f t="shared" si="61"/>
        <v>0</v>
      </c>
      <c r="H480" s="24">
        <f t="shared" si="59"/>
        <v>545.57086753815213</v>
      </c>
      <c r="I480" s="12">
        <f t="shared" si="66"/>
        <v>0.56445837712836644</v>
      </c>
      <c r="J480" s="3"/>
    </row>
    <row r="481" spans="2:10" x14ac:dyDescent="0.25">
      <c r="B481" s="3">
        <f t="shared" si="62"/>
        <v>2305</v>
      </c>
      <c r="C481" s="14">
        <f t="shared" si="63"/>
        <v>38.416666666666664</v>
      </c>
      <c r="D481" s="11">
        <f t="shared" si="64"/>
        <v>878.71206491668261</v>
      </c>
      <c r="E481" s="24">
        <f t="shared" si="65"/>
        <v>245.50794062671739</v>
      </c>
      <c r="F481" s="38">
        <f t="shared" si="60"/>
        <v>1.1063237777241246</v>
      </c>
      <c r="G481" s="14">
        <f t="shared" si="61"/>
        <v>0</v>
      </c>
      <c r="H481" s="24">
        <f t="shared" si="59"/>
        <v>545.76540286733621</v>
      </c>
      <c r="I481" s="12">
        <f t="shared" si="66"/>
        <v>0.56416974545787979</v>
      </c>
      <c r="J481" s="3"/>
    </row>
    <row r="482" spans="2:10" x14ac:dyDescent="0.25">
      <c r="B482" s="3">
        <f t="shared" si="62"/>
        <v>2310</v>
      </c>
      <c r="C482" s="14">
        <f t="shared" si="63"/>
        <v>38.5</v>
      </c>
      <c r="D482" s="11">
        <f t="shared" si="64"/>
        <v>879.03567540156791</v>
      </c>
      <c r="E482" s="24">
        <f t="shared" si="65"/>
        <v>246.07211037217527</v>
      </c>
      <c r="F482" s="38">
        <f t="shared" si="60"/>
        <v>1.105929847031895</v>
      </c>
      <c r="G482" s="14">
        <f t="shared" si="61"/>
        <v>0</v>
      </c>
      <c r="H482" s="24">
        <f t="shared" si="59"/>
        <v>545.95980375408635</v>
      </c>
      <c r="I482" s="12">
        <f t="shared" si="66"/>
        <v>0.56388059321785178</v>
      </c>
      <c r="J482" s="3"/>
    </row>
    <row r="483" spans="2:10" x14ac:dyDescent="0.25">
      <c r="B483" s="3">
        <f t="shared" si="62"/>
        <v>2315</v>
      </c>
      <c r="C483" s="14">
        <f t="shared" si="63"/>
        <v>38.583333333333336</v>
      </c>
      <c r="D483" s="11">
        <f t="shared" si="64"/>
        <v>879.35858844952281</v>
      </c>
      <c r="E483" s="24">
        <f t="shared" si="65"/>
        <v>246.63599096539312</v>
      </c>
      <c r="F483" s="38">
        <f t="shared" si="60"/>
        <v>1.1055364643326249</v>
      </c>
      <c r="G483" s="14">
        <f t="shared" si="61"/>
        <v>0</v>
      </c>
      <c r="H483" s="24">
        <f t="shared" si="59"/>
        <v>546.15407246273855</v>
      </c>
      <c r="I483" s="12">
        <f t="shared" si="66"/>
        <v>0.5635909248382055</v>
      </c>
      <c r="J483" s="3"/>
    </row>
    <row r="484" spans="2:10" x14ac:dyDescent="0.25">
      <c r="B484" s="3">
        <f t="shared" si="62"/>
        <v>2320</v>
      </c>
      <c r="C484" s="14">
        <f t="shared" si="63"/>
        <v>38.666666666666664</v>
      </c>
      <c r="D484" s="11">
        <f t="shared" si="64"/>
        <v>879.68080706027945</v>
      </c>
      <c r="E484" s="24">
        <f t="shared" si="65"/>
        <v>247.19958189023131</v>
      </c>
      <c r="F484" s="38">
        <f t="shared" si="60"/>
        <v>1.1051436241875729</v>
      </c>
      <c r="G484" s="14">
        <f t="shared" si="61"/>
        <v>0</v>
      </c>
      <c r="H484" s="24">
        <f t="shared" si="59"/>
        <v>546.34821125189774</v>
      </c>
      <c r="I484" s="12">
        <f t="shared" si="66"/>
        <v>0.56330074470679636</v>
      </c>
      <c r="J484" s="3"/>
    </row>
    <row r="485" spans="2:10" x14ac:dyDescent="0.25">
      <c r="B485" s="3">
        <f t="shared" si="62"/>
        <v>2325</v>
      </c>
      <c r="C485" s="14">
        <f t="shared" si="63"/>
        <v>38.75</v>
      </c>
      <c r="D485" s="11">
        <f t="shared" si="64"/>
        <v>880.00233421425878</v>
      </c>
      <c r="E485" s="24">
        <f t="shared" si="65"/>
        <v>247.76288263493811</v>
      </c>
      <c r="F485" s="38">
        <f t="shared" si="60"/>
        <v>1.104751321184644</v>
      </c>
      <c r="G485" s="14">
        <f t="shared" si="61"/>
        <v>0</v>
      </c>
      <c r="H485" s="24">
        <f t="shared" si="59"/>
        <v>546.54222237440933</v>
      </c>
      <c r="I485" s="12">
        <f t="shared" si="66"/>
        <v>0.5630100571699117</v>
      </c>
      <c r="J485" s="3"/>
    </row>
    <row r="486" spans="2:10" x14ac:dyDescent="0.25">
      <c r="B486" s="3">
        <f t="shared" si="62"/>
        <v>2330</v>
      </c>
      <c r="C486" s="14">
        <f t="shared" si="63"/>
        <v>38.833333333333336</v>
      </c>
      <c r="D486" s="11">
        <f t="shared" si="64"/>
        <v>880.32317287273509</v>
      </c>
      <c r="E486" s="24">
        <f t="shared" si="65"/>
        <v>248.32589269210803</v>
      </c>
      <c r="F486" s="38">
        <f t="shared" si="60"/>
        <v>1.1043595499383383</v>
      </c>
      <c r="G486" s="14">
        <f t="shared" si="61"/>
        <v>0</v>
      </c>
      <c r="H486" s="24">
        <f t="shared" si="59"/>
        <v>546.7361080773311</v>
      </c>
      <c r="I486" s="12">
        <f t="shared" si="66"/>
        <v>0.56271886653293368</v>
      </c>
      <c r="J486" s="3"/>
    </row>
    <row r="487" spans="2:10" x14ac:dyDescent="0.25">
      <c r="B487" s="3">
        <f t="shared" si="62"/>
        <v>2335</v>
      </c>
      <c r="C487" s="14">
        <f t="shared" si="63"/>
        <v>38.916666666666664</v>
      </c>
      <c r="D487" s="11">
        <f t="shared" si="64"/>
        <v>880.64332597799989</v>
      </c>
      <c r="E487" s="24">
        <f t="shared" si="65"/>
        <v>248.88861155864097</v>
      </c>
      <c r="F487" s="38">
        <f t="shared" si="60"/>
        <v>1.1039683050897064</v>
      </c>
      <c r="G487" s="14">
        <f t="shared" si="61"/>
        <v>0</v>
      </c>
      <c r="H487" s="24">
        <f t="shared" si="59"/>
        <v>546.92987060190728</v>
      </c>
      <c r="I487" s="12">
        <f t="shared" si="66"/>
        <v>0.56242717706070944</v>
      </c>
      <c r="J487" s="3"/>
    </row>
    <row r="488" spans="2:10" x14ac:dyDescent="0.25">
      <c r="B488" s="3">
        <f t="shared" si="62"/>
        <v>2340</v>
      </c>
      <c r="C488" s="14">
        <f t="shared" si="63"/>
        <v>39</v>
      </c>
      <c r="D488" s="11">
        <f t="shared" si="64"/>
        <v>880.96279645352467</v>
      </c>
      <c r="E488" s="24">
        <f t="shared" si="65"/>
        <v>249.45103873570167</v>
      </c>
      <c r="F488" s="38">
        <f t="shared" si="60"/>
        <v>1.1035775813063022</v>
      </c>
      <c r="G488" s="14">
        <f t="shared" si="61"/>
        <v>0</v>
      </c>
      <c r="H488" s="24">
        <f t="shared" si="59"/>
        <v>547.12351218353979</v>
      </c>
      <c r="I488" s="12">
        <f t="shared" si="66"/>
        <v>0.56213499297799874</v>
      </c>
      <c r="J488" s="3"/>
    </row>
    <row r="489" spans="2:10" x14ac:dyDescent="0.25">
      <c r="B489" s="3">
        <f t="shared" si="62"/>
        <v>2345</v>
      </c>
      <c r="C489" s="14">
        <f t="shared" si="63"/>
        <v>39.083333333333336</v>
      </c>
      <c r="D489" s="11">
        <f t="shared" si="64"/>
        <v>881.28158720412</v>
      </c>
      <c r="E489" s="24">
        <f t="shared" si="65"/>
        <v>250.01317372867967</v>
      </c>
      <c r="F489" s="38">
        <f t="shared" si="60"/>
        <v>1.1031873732821313</v>
      </c>
      <c r="G489" s="14">
        <f t="shared" si="61"/>
        <v>0</v>
      </c>
      <c r="H489" s="24">
        <f t="shared" si="59"/>
        <v>547.31703505176438</v>
      </c>
      <c r="I489" s="12">
        <f t="shared" si="66"/>
        <v>0.5618423184701774</v>
      </c>
      <c r="J489" s="3"/>
    </row>
    <row r="490" spans="2:10" x14ac:dyDescent="0.25">
      <c r="B490" s="3">
        <f t="shared" si="62"/>
        <v>2350</v>
      </c>
      <c r="C490" s="14">
        <f t="shared" si="63"/>
        <v>39.166666666666664</v>
      </c>
      <c r="D490" s="11">
        <f t="shared" si="64"/>
        <v>881.59970111609459</v>
      </c>
      <c r="E490" s="24">
        <f t="shared" si="65"/>
        <v>250.57501604714986</v>
      </c>
      <c r="F490" s="38">
        <f t="shared" si="60"/>
        <v>1.1027976757376048</v>
      </c>
      <c r="G490" s="14">
        <f t="shared" si="61"/>
        <v>0</v>
      </c>
      <c r="H490" s="24">
        <f t="shared" si="59"/>
        <v>547.51044143022318</v>
      </c>
      <c r="I490" s="12">
        <f t="shared" si="66"/>
        <v>0.56154915768354419</v>
      </c>
      <c r="J490" s="3"/>
    </row>
    <row r="491" spans="2:10" x14ac:dyDescent="0.25">
      <c r="B491" s="3">
        <f t="shared" si="62"/>
        <v>2355</v>
      </c>
      <c r="C491" s="14">
        <f t="shared" si="63"/>
        <v>39.25</v>
      </c>
      <c r="D491" s="11">
        <f t="shared" si="64"/>
        <v>881.9171410574121</v>
      </c>
      <c r="E491" s="24">
        <f t="shared" si="65"/>
        <v>251.1365652048334</v>
      </c>
      <c r="F491" s="38">
        <f t="shared" si="60"/>
        <v>1.1024084834194907</v>
      </c>
      <c r="G491" s="14">
        <f t="shared" si="61"/>
        <v>0</v>
      </c>
      <c r="H491" s="24">
        <f t="shared" si="59"/>
        <v>547.70373353664002</v>
      </c>
      <c r="I491" s="12">
        <f t="shared" si="66"/>
        <v>0.56125551472587221</v>
      </c>
      <c r="J491" s="3"/>
    </row>
    <row r="492" spans="2:10" x14ac:dyDescent="0.25">
      <c r="B492" s="3">
        <f t="shared" si="62"/>
        <v>2360</v>
      </c>
      <c r="C492" s="14">
        <f t="shared" si="63"/>
        <v>39.333333333333336</v>
      </c>
      <c r="D492" s="11">
        <f t="shared" si="64"/>
        <v>882.23390987784558</v>
      </c>
      <c r="E492" s="24">
        <f t="shared" si="65"/>
        <v>251.69782071955927</v>
      </c>
      <c r="F492" s="38">
        <f t="shared" si="60"/>
        <v>1.1020197911008609</v>
      </c>
      <c r="G492" s="14">
        <f t="shared" si="61"/>
        <v>0</v>
      </c>
      <c r="H492" s="24">
        <f t="shared" si="59"/>
        <v>547.89691358279674</v>
      </c>
      <c r="I492" s="12">
        <f t="shared" si="66"/>
        <v>0.56096139366695719</v>
      </c>
      <c r="J492" s="3"/>
    </row>
    <row r="493" spans="2:10" x14ac:dyDescent="0.25">
      <c r="B493" s="3">
        <f t="shared" si="62"/>
        <v>2365</v>
      </c>
      <c r="C493" s="14">
        <f t="shared" si="63"/>
        <v>39.416666666666664</v>
      </c>
      <c r="D493" s="11">
        <f t="shared" si="64"/>
        <v>882.55001040913226</v>
      </c>
      <c r="E493" s="24">
        <f t="shared" si="65"/>
        <v>252.25878211322623</v>
      </c>
      <c r="F493" s="38">
        <f t="shared" si="60"/>
        <v>1.1016315935810468</v>
      </c>
      <c r="G493" s="14">
        <f t="shared" si="61"/>
        <v>0</v>
      </c>
      <c r="H493" s="24">
        <f t="shared" si="59"/>
        <v>548.08998377450689</v>
      </c>
      <c r="I493" s="12">
        <f t="shared" si="66"/>
        <v>0.56066679853887269</v>
      </c>
      <c r="J493" s="3"/>
    </row>
    <row r="494" spans="2:10" x14ac:dyDescent="0.25">
      <c r="B494" s="3">
        <f t="shared" si="62"/>
        <v>2370</v>
      </c>
      <c r="C494" s="14">
        <f t="shared" si="63"/>
        <v>39.5</v>
      </c>
      <c r="D494" s="11">
        <f t="shared" si="64"/>
        <v>882.86544546512414</v>
      </c>
      <c r="E494" s="24">
        <f t="shared" si="65"/>
        <v>252.81944891176511</v>
      </c>
      <c r="F494" s="38">
        <f t="shared" si="60"/>
        <v>1.1012438856855828</v>
      </c>
      <c r="G494" s="14">
        <f t="shared" si="61"/>
        <v>0</v>
      </c>
      <c r="H494" s="24">
        <f t="shared" si="59"/>
        <v>548.28294631159451</v>
      </c>
      <c r="I494" s="12">
        <f t="shared" si="66"/>
        <v>0.56037173333672097</v>
      </c>
      <c r="J494" s="3"/>
    </row>
    <row r="495" spans="2:10" x14ac:dyDescent="0.25">
      <c r="B495" s="3">
        <f t="shared" si="62"/>
        <v>2375</v>
      </c>
      <c r="C495" s="14">
        <f t="shared" si="63"/>
        <v>39.583333333333336</v>
      </c>
      <c r="D495" s="11">
        <f t="shared" si="64"/>
        <v>883.18021784193911</v>
      </c>
      <c r="E495" s="24">
        <f t="shared" si="65"/>
        <v>253.37982064510183</v>
      </c>
      <c r="F495" s="38">
        <f t="shared" si="60"/>
        <v>1.1008566622661609</v>
      </c>
      <c r="G495" s="14">
        <f t="shared" si="61"/>
        <v>0</v>
      </c>
      <c r="H495" s="24">
        <f t="shared" si="59"/>
        <v>548.47580338786861</v>
      </c>
      <c r="I495" s="12">
        <f t="shared" si="66"/>
        <v>0.56007620201885433</v>
      </c>
      <c r="J495" s="3"/>
    </row>
    <row r="496" spans="2:10" x14ac:dyDescent="0.25">
      <c r="B496" s="3">
        <f t="shared" si="62"/>
        <v>2380</v>
      </c>
      <c r="C496" s="14">
        <f t="shared" si="63"/>
        <v>39.666666666666664</v>
      </c>
      <c r="D496" s="11">
        <f t="shared" si="64"/>
        <v>883.49433031810895</v>
      </c>
      <c r="E496" s="24">
        <f t="shared" si="65"/>
        <v>253.93989684712068</v>
      </c>
      <c r="F496" s="38">
        <f t="shared" si="60"/>
        <v>1.1004699182005755</v>
      </c>
      <c r="G496" s="14">
        <f t="shared" si="61"/>
        <v>0</v>
      </c>
      <c r="H496" s="24">
        <f t="shared" si="59"/>
        <v>548.6685571911022</v>
      </c>
      <c r="I496" s="12">
        <f t="shared" si="66"/>
        <v>0.55978020850749843</v>
      </c>
      <c r="J496" s="3"/>
    </row>
    <row r="497" spans="2:10" x14ac:dyDescent="0.25">
      <c r="B497" s="3">
        <f t="shared" si="62"/>
        <v>2385</v>
      </c>
      <c r="C497" s="14">
        <f t="shared" si="63"/>
        <v>39.75</v>
      </c>
      <c r="D497" s="11">
        <f t="shared" si="64"/>
        <v>883.80778565472747</v>
      </c>
      <c r="E497" s="24">
        <f t="shared" si="65"/>
        <v>254.49967705562818</v>
      </c>
      <c r="F497" s="38">
        <f t="shared" si="60"/>
        <v>1.100083648392675</v>
      </c>
      <c r="G497" s="14">
        <f t="shared" si="61"/>
        <v>0</v>
      </c>
      <c r="H497" s="24">
        <f t="shared" si="59"/>
        <v>548.86120990300913</v>
      </c>
      <c r="I497" s="12">
        <f t="shared" si="66"/>
        <v>0.5594837566890084</v>
      </c>
      <c r="J497" s="3"/>
    </row>
    <row r="498" spans="2:10" x14ac:dyDescent="0.25">
      <c r="B498" s="3">
        <f t="shared" si="62"/>
        <v>2390</v>
      </c>
      <c r="C498" s="14">
        <f t="shared" si="63"/>
        <v>39.833333333333336</v>
      </c>
      <c r="D498" s="11">
        <f t="shared" si="64"/>
        <v>884.12058659559534</v>
      </c>
      <c r="E498" s="24">
        <f t="shared" si="65"/>
        <v>255.0591608123172</v>
      </c>
      <c r="F498" s="38">
        <f t="shared" si="60"/>
        <v>1.0996978477723085</v>
      </c>
      <c r="G498" s="14">
        <f t="shared" si="61"/>
        <v>0</v>
      </c>
      <c r="H498" s="24">
        <f t="shared" si="59"/>
        <v>549.05376369922203</v>
      </c>
      <c r="I498" s="12">
        <f t="shared" si="66"/>
        <v>0.55918685041451055</v>
      </c>
      <c r="J498" s="3"/>
    </row>
    <row r="499" spans="2:10" x14ac:dyDescent="0.25">
      <c r="B499" s="3">
        <f t="shared" si="62"/>
        <v>2395</v>
      </c>
      <c r="C499" s="14">
        <f t="shared" si="63"/>
        <v>39.916666666666664</v>
      </c>
      <c r="D499" s="11">
        <f t="shared" si="64"/>
        <v>884.4327358673645</v>
      </c>
      <c r="E499" s="24">
        <f t="shared" si="65"/>
        <v>255.61834766273171</v>
      </c>
      <c r="F499" s="38">
        <f t="shared" si="60"/>
        <v>1.099312511295274</v>
      </c>
      <c r="G499" s="14">
        <f t="shared" si="61"/>
        <v>0</v>
      </c>
      <c r="H499" s="24">
        <f t="shared" si="59"/>
        <v>549.24622074927163</v>
      </c>
      <c r="I499" s="12">
        <f t="shared" si="66"/>
        <v>0.55888949350021599</v>
      </c>
      <c r="J499" s="3"/>
    </row>
    <row r="500" spans="2:10" x14ac:dyDescent="0.25">
      <c r="B500" s="3">
        <f t="shared" si="62"/>
        <v>2400</v>
      </c>
      <c r="C500" s="14">
        <f t="shared" si="63"/>
        <v>40</v>
      </c>
      <c r="D500" s="11">
        <f t="shared" si="64"/>
        <v>884.7442361796808</v>
      </c>
      <c r="E500" s="24">
        <f t="shared" si="65"/>
        <v>256.17723715623191</v>
      </c>
      <c r="F500" s="38">
        <f t="shared" si="60"/>
        <v>1.0989276339432656</v>
      </c>
      <c r="G500" s="14">
        <f t="shared" si="61"/>
        <v>0</v>
      </c>
      <c r="H500" s="24">
        <f t="shared" si="59"/>
        <v>549.43858321656512</v>
      </c>
      <c r="I500" s="12">
        <f t="shared" si="66"/>
        <v>0.55859168972787232</v>
      </c>
      <c r="J500" s="3"/>
    </row>
    <row r="501" spans="2:10" x14ac:dyDescent="0.25">
      <c r="B501" s="3">
        <f t="shared" si="62"/>
        <v>2405</v>
      </c>
      <c r="C501" s="14">
        <f t="shared" si="63"/>
        <v>40.083333333333336</v>
      </c>
      <c r="D501" s="11">
        <f t="shared" si="64"/>
        <v>885.05509022532488</v>
      </c>
      <c r="E501" s="24">
        <f t="shared" si="65"/>
        <v>256.73582884595976</v>
      </c>
      <c r="F501" s="38">
        <f t="shared" si="60"/>
        <v>1.0985432107238231</v>
      </c>
      <c r="G501" s="14">
        <f t="shared" si="61"/>
        <v>0</v>
      </c>
      <c r="H501" s="24">
        <f t="shared" ref="H501:H564" si="67">IF(E501&lt;600,425+0.773*E501-1.69/1000*E501^2+2.22/1000^2*E501^3,IF(E501&lt;735,666+13002/(738-E501),IF(E501&lt;900,545+17820/(E501-731),650)))</f>
        <v>549.6308532583663</v>
      </c>
      <c r="I501" s="12">
        <f t="shared" si="66"/>
        <v>0.55829344284522719</v>
      </c>
      <c r="J501" s="3"/>
    </row>
    <row r="502" spans="2:10" x14ac:dyDescent="0.25">
      <c r="B502" s="3">
        <f t="shared" si="62"/>
        <v>2410</v>
      </c>
      <c r="C502" s="14">
        <f t="shared" si="63"/>
        <v>40.166666666666664</v>
      </c>
      <c r="D502" s="11">
        <f t="shared" si="64"/>
        <v>885.36530068035177</v>
      </c>
      <c r="E502" s="24">
        <f t="shared" si="65"/>
        <v>257.294122288805</v>
      </c>
      <c r="F502" s="38">
        <f t="shared" si="60"/>
        <v>1.0981592366702753</v>
      </c>
      <c r="G502" s="14">
        <f t="shared" si="61"/>
        <v>0</v>
      </c>
      <c r="H502" s="24">
        <f t="shared" si="67"/>
        <v>549.82303302577452</v>
      </c>
      <c r="I502" s="12">
        <f t="shared" si="66"/>
        <v>0.55799475656642106</v>
      </c>
      <c r="J502" s="3"/>
    </row>
    <row r="503" spans="2:10" x14ac:dyDescent="0.25">
      <c r="B503" s="3">
        <f t="shared" si="62"/>
        <v>2415</v>
      </c>
      <c r="C503" s="14">
        <f t="shared" si="63"/>
        <v>40.25</v>
      </c>
      <c r="D503" s="11">
        <f t="shared" si="64"/>
        <v>885.67487020423039</v>
      </c>
      <c r="E503" s="24">
        <f t="shared" si="65"/>
        <v>257.85211704537141</v>
      </c>
      <c r="F503" s="38">
        <f t="shared" si="60"/>
        <v>1.0977757068416891</v>
      </c>
      <c r="G503" s="14">
        <f t="shared" si="61"/>
        <v>0</v>
      </c>
      <c r="H503" s="24">
        <f t="shared" si="67"/>
        <v>550.01512466370639</v>
      </c>
      <c r="I503" s="12">
        <f t="shared" si="66"/>
        <v>0.5576956345722468</v>
      </c>
      <c r="J503" s="3"/>
    </row>
    <row r="504" spans="2:10" x14ac:dyDescent="0.25">
      <c r="B504" s="3">
        <f t="shared" si="62"/>
        <v>2420</v>
      </c>
      <c r="C504" s="14">
        <f t="shared" si="63"/>
        <v>40.333333333333336</v>
      </c>
      <c r="D504" s="11">
        <f t="shared" si="64"/>
        <v>885.98380143997804</v>
      </c>
      <c r="E504" s="24">
        <f t="shared" si="65"/>
        <v>258.40981267994368</v>
      </c>
      <c r="F504" s="38">
        <f t="shared" si="60"/>
        <v>1.0973926163228158</v>
      </c>
      <c r="G504" s="14">
        <f t="shared" si="61"/>
        <v>0</v>
      </c>
      <c r="H504" s="24">
        <f t="shared" si="67"/>
        <v>550.20713031087553</v>
      </c>
      <c r="I504" s="12">
        <f t="shared" si="66"/>
        <v>0.55739608051096989</v>
      </c>
      <c r="J504" s="3"/>
    </row>
    <row r="505" spans="2:10" x14ac:dyDescent="0.25">
      <c r="B505" s="3">
        <f t="shared" si="62"/>
        <v>2425</v>
      </c>
      <c r="C505" s="14">
        <f t="shared" si="63"/>
        <v>40.416666666666664</v>
      </c>
      <c r="D505" s="11">
        <f t="shared" si="64"/>
        <v>886.29209701429761</v>
      </c>
      <c r="E505" s="24">
        <f t="shared" si="65"/>
        <v>258.96720876045464</v>
      </c>
      <c r="F505" s="38">
        <f t="shared" si="60"/>
        <v>1.0970099602240364</v>
      </c>
      <c r="G505" s="14">
        <f t="shared" si="61"/>
        <v>0</v>
      </c>
      <c r="H505" s="24">
        <f t="shared" si="67"/>
        <v>550.39905209977371</v>
      </c>
      <c r="I505" s="12">
        <f t="shared" si="66"/>
        <v>0.55709609799825255</v>
      </c>
      <c r="J505" s="3"/>
    </row>
    <row r="506" spans="2:10" x14ac:dyDescent="0.25">
      <c r="B506" s="3">
        <f t="shared" si="62"/>
        <v>2430</v>
      </c>
      <c r="C506" s="14">
        <f t="shared" si="63"/>
        <v>40.5</v>
      </c>
      <c r="D506" s="11">
        <f t="shared" si="64"/>
        <v>886.59975953771152</v>
      </c>
      <c r="E506" s="24">
        <f t="shared" si="65"/>
        <v>259.52430485845287</v>
      </c>
      <c r="F506" s="38">
        <f t="shared" si="60"/>
        <v>1.0966277336813079</v>
      </c>
      <c r="G506" s="14">
        <f t="shared" si="61"/>
        <v>0</v>
      </c>
      <c r="H506" s="24">
        <f t="shared" si="67"/>
        <v>550.59089215665335</v>
      </c>
      <c r="I506" s="12">
        <f t="shared" si="66"/>
        <v>0.55679569061776935</v>
      </c>
      <c r="J506" s="3"/>
    </row>
    <row r="507" spans="2:10" x14ac:dyDescent="0.25">
      <c r="B507" s="3">
        <f t="shared" si="62"/>
        <v>2435</v>
      </c>
      <c r="C507" s="14">
        <f t="shared" si="63"/>
        <v>40.583333333333336</v>
      </c>
      <c r="D507" s="11">
        <f t="shared" si="64"/>
        <v>886.90679160469313</v>
      </c>
      <c r="E507" s="24">
        <f t="shared" si="65"/>
        <v>260.08110054907064</v>
      </c>
      <c r="F507" s="38">
        <f t="shared" si="60"/>
        <v>1.0962459318561089</v>
      </c>
      <c r="G507" s="14">
        <f t="shared" si="61"/>
        <v>0</v>
      </c>
      <c r="H507" s="24">
        <f t="shared" si="67"/>
        <v>550.78265260150852</v>
      </c>
      <c r="I507" s="12">
        <f t="shared" si="66"/>
        <v>0.55649486192173114</v>
      </c>
      <c r="J507" s="3"/>
    </row>
    <row r="508" spans="2:10" x14ac:dyDescent="0.25">
      <c r="B508" s="3">
        <f t="shared" si="62"/>
        <v>2440</v>
      </c>
      <c r="C508" s="14">
        <f t="shared" si="63"/>
        <v>40.666666666666664</v>
      </c>
      <c r="D508" s="11">
        <f t="shared" si="64"/>
        <v>887.21319579379895</v>
      </c>
      <c r="E508" s="24">
        <f t="shared" si="65"/>
        <v>260.63759541099239</v>
      </c>
      <c r="F508" s="38">
        <f t="shared" si="60"/>
        <v>1.0958645499353843</v>
      </c>
      <c r="G508" s="14">
        <f t="shared" si="61"/>
        <v>0</v>
      </c>
      <c r="H508" s="24">
        <f t="shared" si="67"/>
        <v>550.97433554805809</v>
      </c>
      <c r="I508" s="12">
        <f t="shared" si="66"/>
        <v>0.55619361543102086</v>
      </c>
      <c r="J508" s="3"/>
    </row>
    <row r="509" spans="2:10" x14ac:dyDescent="0.25">
      <c r="B509" s="3">
        <f t="shared" si="62"/>
        <v>2445</v>
      </c>
      <c r="C509" s="14">
        <f t="shared" si="63"/>
        <v>40.75</v>
      </c>
      <c r="D509" s="11">
        <f t="shared" si="64"/>
        <v>887.5189746677986</v>
      </c>
      <c r="E509" s="24">
        <f t="shared" si="65"/>
        <v>261.19378902642342</v>
      </c>
      <c r="F509" s="38">
        <f t="shared" si="60"/>
        <v>1.0954835831314924</v>
      </c>
      <c r="G509" s="14">
        <f t="shared" si="61"/>
        <v>0</v>
      </c>
      <c r="H509" s="24">
        <f t="shared" si="67"/>
        <v>551.16594310372795</v>
      </c>
      <c r="I509" s="12">
        <f t="shared" si="66"/>
        <v>0.55589195463568375</v>
      </c>
      <c r="J509" s="3"/>
    </row>
    <row r="510" spans="2:10" x14ac:dyDescent="0.25">
      <c r="B510" s="3">
        <f t="shared" si="62"/>
        <v>2450</v>
      </c>
      <c r="C510" s="14">
        <f t="shared" si="63"/>
        <v>40.833333333333336</v>
      </c>
      <c r="D510" s="11">
        <f t="shared" si="64"/>
        <v>887.82413077380329</v>
      </c>
      <c r="E510" s="24">
        <f t="shared" si="65"/>
        <v>261.7496809810591</v>
      </c>
      <c r="F510" s="38">
        <f t="shared" si="60"/>
        <v>1.0951030266821473</v>
      </c>
      <c r="G510" s="14">
        <f t="shared" si="61"/>
        <v>0</v>
      </c>
      <c r="H510" s="24">
        <f t="shared" si="67"/>
        <v>551.35747736963435</v>
      </c>
      <c r="I510" s="12">
        <f t="shared" si="66"/>
        <v>0.55558988299532186</v>
      </c>
      <c r="J510" s="3"/>
    </row>
    <row r="511" spans="2:10" x14ac:dyDescent="0.25">
      <c r="B511" s="3">
        <f t="shared" si="62"/>
        <v>2455</v>
      </c>
      <c r="C511" s="14">
        <f t="shared" si="63"/>
        <v>40.916666666666664</v>
      </c>
      <c r="D511" s="11">
        <f t="shared" si="64"/>
        <v>888.12866664339242</v>
      </c>
      <c r="E511" s="24">
        <f t="shared" si="65"/>
        <v>262.30527086405442</v>
      </c>
      <c r="F511" s="38">
        <f t="shared" si="60"/>
        <v>1.0947228758503642</v>
      </c>
      <c r="G511" s="14">
        <f t="shared" si="61"/>
        <v>0</v>
      </c>
      <c r="H511" s="24">
        <f t="shared" si="67"/>
        <v>551.54894044056823</v>
      </c>
      <c r="I511" s="12">
        <f t="shared" si="66"/>
        <v>0.55528740393952303</v>
      </c>
      <c r="J511" s="3"/>
    </row>
    <row r="512" spans="2:10" x14ac:dyDescent="0.25">
      <c r="B512" s="3">
        <f t="shared" si="62"/>
        <v>2460</v>
      </c>
      <c r="C512" s="14">
        <f t="shared" si="63"/>
        <v>41</v>
      </c>
      <c r="D512" s="11">
        <f t="shared" si="64"/>
        <v>888.43258479274107</v>
      </c>
      <c r="E512" s="24">
        <f t="shared" si="65"/>
        <v>262.86055826799395</v>
      </c>
      <c r="F512" s="38">
        <f t="shared" si="60"/>
        <v>1.0943431259244054</v>
      </c>
      <c r="G512" s="14">
        <f t="shared" si="61"/>
        <v>0</v>
      </c>
      <c r="H512" s="24">
        <f t="shared" si="67"/>
        <v>551.74033440497783</v>
      </c>
      <c r="I512" s="12">
        <f t="shared" si="66"/>
        <v>0.55498452086798866</v>
      </c>
      <c r="J512" s="3"/>
    </row>
    <row r="513" spans="2:10" x14ac:dyDescent="0.25">
      <c r="B513" s="3">
        <f t="shared" si="62"/>
        <v>2465</v>
      </c>
      <c r="C513" s="14">
        <f t="shared" si="63"/>
        <v>41.083333333333336</v>
      </c>
      <c r="D513" s="11">
        <f t="shared" si="64"/>
        <v>888.7358877227432</v>
      </c>
      <c r="E513" s="24">
        <f t="shared" si="65"/>
        <v>263.41554278886196</v>
      </c>
      <c r="F513" s="38">
        <f t="shared" si="60"/>
        <v>1.0939637722177211</v>
      </c>
      <c r="G513" s="14">
        <f t="shared" si="61"/>
        <v>0</v>
      </c>
      <c r="H513" s="24">
        <f t="shared" si="67"/>
        <v>551.93166134495425</v>
      </c>
      <c r="I513" s="12">
        <f t="shared" si="66"/>
        <v>0.55468123715123308</v>
      </c>
      <c r="J513" s="3"/>
    </row>
    <row r="514" spans="2:10" x14ac:dyDescent="0.25">
      <c r="B514" s="3">
        <f t="shared" si="62"/>
        <v>2470</v>
      </c>
      <c r="C514" s="14">
        <f t="shared" si="63"/>
        <v>41.166666666666664</v>
      </c>
      <c r="D514" s="11">
        <f t="shared" si="64"/>
        <v>889.0385779191364</v>
      </c>
      <c r="E514" s="24">
        <f t="shared" si="65"/>
        <v>263.97022402601317</v>
      </c>
      <c r="F514" s="38">
        <f t="shared" si="60"/>
        <v>1.0935848100688994</v>
      </c>
      <c r="G514" s="14">
        <f t="shared" si="61"/>
        <v>0</v>
      </c>
      <c r="H514" s="24">
        <f t="shared" si="67"/>
        <v>552.12292333621497</v>
      </c>
      <c r="I514" s="12">
        <f t="shared" si="66"/>
        <v>0.55437755613062578</v>
      </c>
      <c r="J514" s="3"/>
    </row>
    <row r="515" spans="2:10" x14ac:dyDescent="0.25">
      <c r="B515" s="3">
        <f t="shared" si="62"/>
        <v>2475</v>
      </c>
      <c r="C515" s="14">
        <f t="shared" si="63"/>
        <v>41.25</v>
      </c>
      <c r="D515" s="11">
        <f t="shared" si="64"/>
        <v>889.34065785262283</v>
      </c>
      <c r="E515" s="24">
        <f t="shared" si="65"/>
        <v>264.52460158214382</v>
      </c>
      <c r="F515" s="38">
        <f t="shared" si="60"/>
        <v>1.0932062348416016</v>
      </c>
      <c r="G515" s="14">
        <f t="shared" si="61"/>
        <v>0</v>
      </c>
      <c r="H515" s="24">
        <f t="shared" si="67"/>
        <v>552.3141224480903</v>
      </c>
      <c r="I515" s="12">
        <f t="shared" si="66"/>
        <v>0.55407348111903065</v>
      </c>
      <c r="J515" s="3"/>
    </row>
    <row r="516" spans="2:10" x14ac:dyDescent="0.25">
      <c r="B516" s="3">
        <f t="shared" si="62"/>
        <v>2480</v>
      </c>
      <c r="C516" s="14">
        <f t="shared" si="63"/>
        <v>41.333333333333336</v>
      </c>
      <c r="D516" s="11">
        <f t="shared" si="64"/>
        <v>889.64212997899153</v>
      </c>
      <c r="E516" s="24">
        <f t="shared" si="65"/>
        <v>265.07867506326284</v>
      </c>
      <c r="F516" s="38">
        <f t="shared" si="60"/>
        <v>1.0928280419245133</v>
      </c>
      <c r="G516" s="14">
        <f t="shared" si="61"/>
        <v>0</v>
      </c>
      <c r="H516" s="24">
        <f t="shared" si="67"/>
        <v>552.50526074350773</v>
      </c>
      <c r="I516" s="12">
        <f t="shared" si="66"/>
        <v>0.55376901540085843</v>
      </c>
      <c r="J516" s="3"/>
    </row>
    <row r="517" spans="2:10" x14ac:dyDescent="0.25">
      <c r="B517" s="3">
        <f t="shared" si="62"/>
        <v>2485</v>
      </c>
      <c r="C517" s="14">
        <f t="shared" si="63"/>
        <v>41.416666666666664</v>
      </c>
      <c r="D517" s="11">
        <f t="shared" si="64"/>
        <v>889.94299673923751</v>
      </c>
      <c r="E517" s="24">
        <f t="shared" si="65"/>
        <v>265.6324440786637</v>
      </c>
      <c r="F517" s="38">
        <f t="shared" si="60"/>
        <v>1.0924502267312841</v>
      </c>
      <c r="G517" s="14">
        <f t="shared" si="61"/>
        <v>0</v>
      </c>
      <c r="H517" s="24">
        <f t="shared" si="67"/>
        <v>552.6963402789778</v>
      </c>
      <c r="I517" s="12">
        <f t="shared" si="66"/>
        <v>0.55346416223264883</v>
      </c>
      <c r="J517" s="3"/>
    </row>
    <row r="518" spans="2:10" x14ac:dyDescent="0.25">
      <c r="B518" s="3">
        <f t="shared" si="62"/>
        <v>2490</v>
      </c>
      <c r="C518" s="14">
        <f t="shared" si="63"/>
        <v>41.5</v>
      </c>
      <c r="D518" s="11">
        <f t="shared" si="64"/>
        <v>890.24326055968027</v>
      </c>
      <c r="E518" s="24">
        <f t="shared" si="65"/>
        <v>266.18590824089637</v>
      </c>
      <c r="F518" s="38">
        <f t="shared" si="60"/>
        <v>1.092072784700471</v>
      </c>
      <c r="G518" s="14">
        <f t="shared" si="61"/>
        <v>0</v>
      </c>
      <c r="H518" s="24">
        <f t="shared" si="67"/>
        <v>552.88736310458091</v>
      </c>
      <c r="I518" s="12">
        <f t="shared" si="66"/>
        <v>0.55315892484332307</v>
      </c>
      <c r="J518" s="3"/>
    </row>
    <row r="519" spans="2:10" x14ac:dyDescent="0.25">
      <c r="B519" s="3">
        <f t="shared" si="62"/>
        <v>2495</v>
      </c>
      <c r="C519" s="14">
        <f t="shared" si="63"/>
        <v>41.583333333333336</v>
      </c>
      <c r="D519" s="11">
        <f t="shared" si="64"/>
        <v>890.54292385208134</v>
      </c>
      <c r="E519" s="24">
        <f t="shared" si="65"/>
        <v>266.7390671657397</v>
      </c>
      <c r="F519" s="38">
        <f t="shared" si="60"/>
        <v>1.0916957112954826</v>
      </c>
      <c r="G519" s="14">
        <f t="shared" si="61"/>
        <v>0</v>
      </c>
      <c r="H519" s="24">
        <f t="shared" si="67"/>
        <v>553.07833126395337</v>
      </c>
      <c r="I519" s="12">
        <f t="shared" si="66"/>
        <v>0.55285330643450137</v>
      </c>
      <c r="J519" s="3"/>
    </row>
    <row r="520" spans="2:10" x14ac:dyDescent="0.25">
      <c r="B520" s="3">
        <f t="shared" si="62"/>
        <v>2500</v>
      </c>
      <c r="C520" s="14">
        <f t="shared" si="63"/>
        <v>41.666666666666664</v>
      </c>
      <c r="D520" s="11">
        <f t="shared" si="64"/>
        <v>890.84198901376055</v>
      </c>
      <c r="E520" s="24">
        <f t="shared" si="65"/>
        <v>267.29192047217418</v>
      </c>
      <c r="F520" s="38">
        <f t="shared" si="60"/>
        <v>1.0913190020045211</v>
      </c>
      <c r="G520" s="14">
        <f t="shared" si="61"/>
        <v>0</v>
      </c>
      <c r="H520" s="24">
        <f t="shared" si="67"/>
        <v>553.26924679427395</v>
      </c>
      <c r="I520" s="12">
        <f t="shared" si="66"/>
        <v>0.55254731018085512</v>
      </c>
      <c r="J520" s="3"/>
    </row>
    <row r="521" spans="2:10" x14ac:dyDescent="0.25">
      <c r="B521" s="3">
        <f t="shared" si="62"/>
        <v>2505</v>
      </c>
      <c r="C521" s="14">
        <f t="shared" si="63"/>
        <v>41.75</v>
      </c>
      <c r="D521" s="11">
        <f t="shared" si="64"/>
        <v>891.14045842771145</v>
      </c>
      <c r="E521" s="24">
        <f t="shared" si="65"/>
        <v>267.84446778235503</v>
      </c>
      <c r="F521" s="38">
        <f t="shared" si="60"/>
        <v>1.0909426523405252</v>
      </c>
      <c r="G521" s="14">
        <f t="shared" si="61"/>
        <v>0</v>
      </c>
      <c r="H521" s="24">
        <f t="shared" si="67"/>
        <v>553.46011172625151</v>
      </c>
      <c r="I521" s="12">
        <f t="shared" si="66"/>
        <v>0.55224093923037865</v>
      </c>
      <c r="J521" s="3"/>
    </row>
    <row r="522" spans="2:10" x14ac:dyDescent="0.25">
      <c r="B522" s="3">
        <f t="shared" si="62"/>
        <v>2510</v>
      </c>
      <c r="C522" s="14">
        <f t="shared" si="63"/>
        <v>41.833333333333336</v>
      </c>
      <c r="D522" s="11">
        <f t="shared" si="64"/>
        <v>891.43833446271458</v>
      </c>
      <c r="E522" s="24">
        <f t="shared" si="65"/>
        <v>268.39670872158541</v>
      </c>
      <c r="F522" s="38">
        <f t="shared" si="60"/>
        <v>1.0905666578411117</v>
      </c>
      <c r="G522" s="14">
        <f t="shared" si="61"/>
        <v>0</v>
      </c>
      <c r="H522" s="24">
        <f t="shared" si="67"/>
        <v>553.65092808411237</v>
      </c>
      <c r="I522" s="12">
        <f t="shared" si="66"/>
        <v>0.55193419670484078</v>
      </c>
      <c r="J522" s="3"/>
    </row>
    <row r="523" spans="2:10" x14ac:dyDescent="0.25">
      <c r="B523" s="3">
        <f t="shared" si="62"/>
        <v>2515</v>
      </c>
      <c r="C523" s="14">
        <f t="shared" si="63"/>
        <v>41.916666666666664</v>
      </c>
      <c r="D523" s="11">
        <f t="shared" si="64"/>
        <v>891.73561947345047</v>
      </c>
      <c r="E523" s="24">
        <f t="shared" si="65"/>
        <v>268.94864291829026</v>
      </c>
      <c r="F523" s="38">
        <f t="shared" si="60"/>
        <v>1.0901910140685203</v>
      </c>
      <c r="G523" s="14">
        <f t="shared" si="61"/>
        <v>0</v>
      </c>
      <c r="H523" s="24">
        <f t="shared" si="67"/>
        <v>553.84169788558791</v>
      </c>
      <c r="I523" s="12">
        <f t="shared" si="66"/>
        <v>0.5516270857000003</v>
      </c>
      <c r="J523" s="3"/>
    </row>
    <row r="524" spans="2:10" x14ac:dyDescent="0.25">
      <c r="B524" s="3">
        <f t="shared" si="62"/>
        <v>2520</v>
      </c>
      <c r="C524" s="14">
        <f t="shared" si="63"/>
        <v>42</v>
      </c>
      <c r="D524" s="11">
        <f t="shared" si="64"/>
        <v>892.03231580061174</v>
      </c>
      <c r="E524" s="24">
        <f t="shared" si="65"/>
        <v>269.50027000399024</v>
      </c>
      <c r="F524" s="38">
        <f t="shared" si="60"/>
        <v>1.0898157166095528</v>
      </c>
      <c r="G524" s="14">
        <f t="shared" si="61"/>
        <v>0</v>
      </c>
      <c r="H524" s="24">
        <f t="shared" si="67"/>
        <v>554.03242314190311</v>
      </c>
      <c r="I524" s="12">
        <f t="shared" si="66"/>
        <v>0.55131960928589496</v>
      </c>
      <c r="J524" s="3"/>
    </row>
    <row r="525" spans="2:10" x14ac:dyDescent="0.25">
      <c r="B525" s="3">
        <f t="shared" si="62"/>
        <v>2525</v>
      </c>
      <c r="C525" s="14">
        <f t="shared" si="63"/>
        <v>42.083333333333336</v>
      </c>
      <c r="D525" s="11">
        <f t="shared" si="64"/>
        <v>892.32842577101314</v>
      </c>
      <c r="E525" s="24">
        <f t="shared" si="65"/>
        <v>270.05158961327612</v>
      </c>
      <c r="F525" s="38">
        <f t="shared" si="60"/>
        <v>1.0894407610755175</v>
      </c>
      <c r="G525" s="14">
        <f t="shared" si="61"/>
        <v>0</v>
      </c>
      <c r="H525" s="24">
        <f t="shared" si="67"/>
        <v>554.22310585776461</v>
      </c>
      <c r="I525" s="12">
        <f t="shared" si="66"/>
        <v>0.5510117705072598</v>
      </c>
      <c r="J525" s="3"/>
    </row>
    <row r="526" spans="2:10" x14ac:dyDescent="0.25">
      <c r="B526" s="3">
        <f t="shared" si="62"/>
        <v>2530</v>
      </c>
      <c r="C526" s="14">
        <f t="shared" si="63"/>
        <v>42.166666666666664</v>
      </c>
      <c r="D526" s="11">
        <f t="shared" si="64"/>
        <v>892.62395169770116</v>
      </c>
      <c r="E526" s="24">
        <f t="shared" si="65"/>
        <v>270.60260138378339</v>
      </c>
      <c r="F526" s="38">
        <f t="shared" si="60"/>
        <v>1.0890661431021689</v>
      </c>
      <c r="G526" s="14">
        <f t="shared" si="61"/>
        <v>0</v>
      </c>
      <c r="H526" s="24">
        <f t="shared" si="67"/>
        <v>554.41374803135011</v>
      </c>
      <c r="I526" s="12">
        <f t="shared" si="66"/>
        <v>0.55070357238376044</v>
      </c>
      <c r="J526" s="3"/>
    </row>
    <row r="527" spans="2:10" x14ac:dyDescent="0.25">
      <c r="B527" s="3">
        <f t="shared" si="62"/>
        <v>2535</v>
      </c>
      <c r="C527" s="14">
        <f t="shared" si="63"/>
        <v>42.25</v>
      </c>
      <c r="D527" s="11">
        <f t="shared" si="64"/>
        <v>892.91889588006313</v>
      </c>
      <c r="E527" s="24">
        <f t="shared" si="65"/>
        <v>271.15330495616718</v>
      </c>
      <c r="F527" s="38">
        <f t="shared" si="60"/>
        <v>1.0886918583496517</v>
      </c>
      <c r="G527" s="14">
        <f t="shared" si="61"/>
        <v>0</v>
      </c>
      <c r="H527" s="24">
        <f t="shared" si="67"/>
        <v>554.60435165429681</v>
      </c>
      <c r="I527" s="12">
        <f t="shared" si="66"/>
        <v>0.55039501791022383</v>
      </c>
      <c r="J527" s="3"/>
    </row>
    <row r="528" spans="2:10" x14ac:dyDescent="0.25">
      <c r="B528" s="3">
        <f t="shared" si="62"/>
        <v>2540</v>
      </c>
      <c r="C528" s="14">
        <f t="shared" si="63"/>
        <v>42.333333333333336</v>
      </c>
      <c r="D528" s="11">
        <f t="shared" si="64"/>
        <v>893.21326060393358</v>
      </c>
      <c r="E528" s="24">
        <f t="shared" si="65"/>
        <v>271.70369997407738</v>
      </c>
      <c r="F528" s="38">
        <f t="shared" si="60"/>
        <v>1.0883179025024419</v>
      </c>
      <c r="G528" s="14">
        <f t="shared" si="61"/>
        <v>0</v>
      </c>
      <c r="H528" s="24">
        <f t="shared" si="67"/>
        <v>554.79491871169068</v>
      </c>
      <c r="I528" s="12">
        <f t="shared" si="66"/>
        <v>0.55008611005714059</v>
      </c>
      <c r="J528" s="3"/>
    </row>
    <row r="529" spans="2:10" x14ac:dyDescent="0.25">
      <c r="B529" s="3">
        <f t="shared" si="62"/>
        <v>2545</v>
      </c>
      <c r="C529" s="14">
        <f t="shared" si="63"/>
        <v>42.416666666666664</v>
      </c>
      <c r="D529" s="11">
        <f t="shared" si="64"/>
        <v>893.50704814170047</v>
      </c>
      <c r="E529" s="24">
        <f t="shared" si="65"/>
        <v>272.2537860841345</v>
      </c>
      <c r="F529" s="38">
        <f t="shared" si="60"/>
        <v>1.0879442712692868</v>
      </c>
      <c r="G529" s="14">
        <f t="shared" si="61"/>
        <v>0</v>
      </c>
      <c r="H529" s="24">
        <f t="shared" si="67"/>
        <v>554.98545118205766</v>
      </c>
      <c r="I529" s="12">
        <f t="shared" si="66"/>
        <v>0.54977685177083757</v>
      </c>
      <c r="J529" s="3"/>
    </row>
    <row r="530" spans="2:10" x14ac:dyDescent="0.25">
      <c r="B530" s="3">
        <f t="shared" si="62"/>
        <v>2550</v>
      </c>
      <c r="C530" s="14">
        <f t="shared" si="63"/>
        <v>42.5</v>
      </c>
      <c r="D530" s="11">
        <f t="shared" si="64"/>
        <v>893.80026075241165</v>
      </c>
      <c r="E530" s="24">
        <f t="shared" si="65"/>
        <v>272.80356293590535</v>
      </c>
      <c r="F530" s="38">
        <f t="shared" si="60"/>
        <v>1.0875709603831478</v>
      </c>
      <c r="G530" s="14">
        <f t="shared" si="61"/>
        <v>0</v>
      </c>
      <c r="H530" s="24">
        <f t="shared" si="67"/>
        <v>555.17595103735175</v>
      </c>
      <c r="I530" s="12">
        <f t="shared" si="66"/>
        <v>0.5494672459736365</v>
      </c>
      <c r="J530" s="3"/>
    </row>
    <row r="531" spans="2:10" x14ac:dyDescent="0.25">
      <c r="B531" s="3">
        <f t="shared" si="62"/>
        <v>2555</v>
      </c>
      <c r="C531" s="14">
        <f t="shared" si="63"/>
        <v>42.583333333333336</v>
      </c>
      <c r="D531" s="11">
        <f t="shared" si="64"/>
        <v>894.09290068187806</v>
      </c>
      <c r="E531" s="24">
        <f t="shared" si="65"/>
        <v>273.35303018187898</v>
      </c>
      <c r="F531" s="38">
        <f t="shared" si="60"/>
        <v>1.087197965601141</v>
      </c>
      <c r="G531" s="14">
        <f t="shared" si="61"/>
        <v>0</v>
      </c>
      <c r="H531" s="24">
        <f t="shared" si="67"/>
        <v>555.36642024294679</v>
      </c>
      <c r="I531" s="12">
        <f t="shared" si="66"/>
        <v>0.5491572955643893</v>
      </c>
      <c r="J531" s="3"/>
    </row>
    <row r="532" spans="2:10" x14ac:dyDescent="0.25">
      <c r="B532" s="3">
        <f t="shared" si="62"/>
        <v>2560</v>
      </c>
      <c r="C532" s="14">
        <f t="shared" si="63"/>
        <v>42.666666666666664</v>
      </c>
      <c r="D532" s="11">
        <f t="shared" si="64"/>
        <v>894.38497016277745</v>
      </c>
      <c r="E532" s="24">
        <f t="shared" si="65"/>
        <v>273.90218747744336</v>
      </c>
      <c r="F532" s="38">
        <f t="shared" ref="F532:F595" si="68">Cp*RhoP/(RhoA*H532)*dp/1000*MassivP</f>
        <v>1.0868252827044791</v>
      </c>
      <c r="G532" s="14">
        <f t="shared" ref="G532:G595" si="69">Phi*EpsilonF*Botzman/10^8*J532*((D532+273)^4-(E532+273)^4)</f>
        <v>0</v>
      </c>
      <c r="H532" s="24">
        <f t="shared" si="67"/>
        <v>555.55686075762628</v>
      </c>
      <c r="I532" s="12">
        <f t="shared" si="66"/>
        <v>0.54884700341859116</v>
      </c>
      <c r="J532" s="3"/>
    </row>
    <row r="533" spans="2:10" x14ac:dyDescent="0.25">
      <c r="B533" s="3">
        <f t="shared" ref="B533:B596" si="70">B532+DeltaT</f>
        <v>2565</v>
      </c>
      <c r="C533" s="14">
        <f t="shared" ref="C533:C596" si="71">B533/60</f>
        <v>42.75</v>
      </c>
      <c r="D533" s="11">
        <f t="shared" ref="D533:D596" si="72">20+345*LOG(8*C533+1,10)</f>
        <v>894.67647141475561</v>
      </c>
      <c r="E533" s="24">
        <f t="shared" ref="E533:E596" si="73">E532+IF(Limit=Oui,MAX(0,I532),I532)</f>
        <v>274.45103448086195</v>
      </c>
      <c r="F533" s="38">
        <f t="shared" si="68"/>
        <v>1.0864529074984117</v>
      </c>
      <c r="G533" s="14">
        <f t="shared" si="69"/>
        <v>0</v>
      </c>
      <c r="H533" s="24">
        <f t="shared" si="67"/>
        <v>555.74727453357445</v>
      </c>
      <c r="I533" s="12">
        <f t="shared" ref="I533:I596" si="74">LambdaP*MassivP/(dp/1000)/(H533*RhoA)/(1+F533/3)*(D533-E533)*DeltaT-(EXP(F533/10)-1)*(D533-D532)</f>
        <v>0.54853637238881969</v>
      </c>
      <c r="J533" s="3"/>
    </row>
    <row r="534" spans="2:10" x14ac:dyDescent="0.25">
      <c r="B534" s="3">
        <f t="shared" si="70"/>
        <v>2570</v>
      </c>
      <c r="C534" s="14">
        <f t="shared" si="71"/>
        <v>42.833333333333336</v>
      </c>
      <c r="D534" s="11">
        <f t="shared" si="72"/>
        <v>894.96740664452955</v>
      </c>
      <c r="E534" s="24">
        <f t="shared" si="73"/>
        <v>274.99957085325076</v>
      </c>
      <c r="F534" s="38">
        <f t="shared" si="68"/>
        <v>1.0860808358121674</v>
      </c>
      <c r="G534" s="14">
        <f t="shared" si="69"/>
        <v>0</v>
      </c>
      <c r="H534" s="24">
        <f t="shared" si="67"/>
        <v>555.93766351636771</v>
      </c>
      <c r="I534" s="12">
        <f t="shared" si="74"/>
        <v>0.54822540530468955</v>
      </c>
      <c r="J534" s="3"/>
    </row>
    <row r="535" spans="2:10" x14ac:dyDescent="0.25">
      <c r="B535" s="3">
        <f t="shared" si="70"/>
        <v>2575</v>
      </c>
      <c r="C535" s="14">
        <f t="shared" si="71"/>
        <v>42.916666666666664</v>
      </c>
      <c r="D535" s="11">
        <f t="shared" si="72"/>
        <v>895.25777804598545</v>
      </c>
      <c r="E535" s="24">
        <f t="shared" si="73"/>
        <v>275.54779625855542</v>
      </c>
      <c r="F535" s="38">
        <f t="shared" si="68"/>
        <v>1.085709063498892</v>
      </c>
      <c r="G535" s="14">
        <f t="shared" si="69"/>
        <v>0</v>
      </c>
      <c r="H535" s="24">
        <f t="shared" si="67"/>
        <v>556.12802964496609</v>
      </c>
      <c r="I535" s="12">
        <f t="shared" si="74"/>
        <v>0.54791410497359649</v>
      </c>
      <c r="J535" s="3"/>
    </row>
    <row r="536" spans="2:10" x14ac:dyDescent="0.25">
      <c r="B536" s="3">
        <f t="shared" si="70"/>
        <v>2580</v>
      </c>
      <c r="C536" s="14">
        <f t="shared" si="71"/>
        <v>43</v>
      </c>
      <c r="D536" s="11">
        <f t="shared" si="72"/>
        <v>895.54758780027953</v>
      </c>
      <c r="E536" s="24">
        <f t="shared" si="73"/>
        <v>276.09571036352901</v>
      </c>
      <c r="F536" s="38">
        <f t="shared" si="68"/>
        <v>1.0853375864355919</v>
      </c>
      <c r="G536" s="14">
        <f t="shared" si="69"/>
        <v>0</v>
      </c>
      <c r="H536" s="24">
        <f t="shared" si="67"/>
        <v>556.31837485170479</v>
      </c>
      <c r="I536" s="12">
        <f t="shared" si="74"/>
        <v>0.54760247418055208</v>
      </c>
      <c r="J536" s="3"/>
    </row>
    <row r="537" spans="2:10" x14ac:dyDescent="0.25">
      <c r="B537" s="3">
        <f t="shared" si="70"/>
        <v>2585</v>
      </c>
      <c r="C537" s="14">
        <f t="shared" si="71"/>
        <v>43.083333333333336</v>
      </c>
      <c r="D537" s="11">
        <f t="shared" si="72"/>
        <v>895.83683807593547</v>
      </c>
      <c r="E537" s="24">
        <f t="shared" si="73"/>
        <v>276.64331283770957</v>
      </c>
      <c r="F537" s="38">
        <f t="shared" si="68"/>
        <v>1.0849664005230744</v>
      </c>
      <c r="G537" s="14">
        <f t="shared" si="69"/>
        <v>0</v>
      </c>
      <c r="H537" s="24">
        <f t="shared" si="67"/>
        <v>556.50870106228615</v>
      </c>
      <c r="I537" s="12">
        <f t="shared" si="74"/>
        <v>0.54729051568872955</v>
      </c>
      <c r="J537" s="3"/>
    </row>
    <row r="538" spans="2:10" x14ac:dyDescent="0.25">
      <c r="B538" s="3">
        <f t="shared" si="70"/>
        <v>2590</v>
      </c>
      <c r="C538" s="14">
        <f t="shared" si="71"/>
        <v>43.166666666666664</v>
      </c>
      <c r="D538" s="11">
        <f t="shared" si="72"/>
        <v>896.12553102894253</v>
      </c>
      <c r="E538" s="24">
        <f t="shared" si="73"/>
        <v>277.19060335339833</v>
      </c>
      <c r="F538" s="38">
        <f t="shared" si="68"/>
        <v>1.0845955016858857</v>
      </c>
      <c r="G538" s="14">
        <f t="shared" si="69"/>
        <v>0</v>
      </c>
      <c r="H538" s="24">
        <f t="shared" si="67"/>
        <v>556.69901019577264</v>
      </c>
      <c r="I538" s="12">
        <f t="shared" si="74"/>
        <v>0.54697823223953912</v>
      </c>
      <c r="J538" s="3"/>
    </row>
    <row r="539" spans="2:10" x14ac:dyDescent="0.25">
      <c r="B539" s="3">
        <f t="shared" si="70"/>
        <v>2595</v>
      </c>
      <c r="C539" s="14">
        <f t="shared" si="71"/>
        <v>43.25</v>
      </c>
      <c r="D539" s="11">
        <f t="shared" si="72"/>
        <v>896.41366880285136</v>
      </c>
      <c r="E539" s="24">
        <f t="shared" si="73"/>
        <v>277.73758158563788</v>
      </c>
      <c r="F539" s="38">
        <f t="shared" si="68"/>
        <v>1.0842248858722561</v>
      </c>
      <c r="G539" s="14">
        <f t="shared" si="69"/>
        <v>0</v>
      </c>
      <c r="H539" s="24">
        <f t="shared" si="67"/>
        <v>556.88930416457856</v>
      </c>
      <c r="I539" s="12">
        <f t="shared" si="74"/>
        <v>0.54666562655304163</v>
      </c>
      <c r="J539" s="3"/>
    </row>
    <row r="540" spans="2:10" x14ac:dyDescent="0.25">
      <c r="B540" s="3">
        <f t="shared" si="70"/>
        <v>2600</v>
      </c>
      <c r="C540" s="14">
        <f t="shared" si="71"/>
        <v>43.333333333333336</v>
      </c>
      <c r="D540" s="11">
        <f t="shared" si="72"/>
        <v>896.70125352886953</v>
      </c>
      <c r="E540" s="24">
        <f t="shared" si="73"/>
        <v>278.28424721219091</v>
      </c>
      <c r="F540" s="38">
        <f t="shared" si="68"/>
        <v>1.0838545490540343</v>
      </c>
      <c r="G540" s="14">
        <f t="shared" si="69"/>
        <v>0</v>
      </c>
      <c r="H540" s="24">
        <f t="shared" si="67"/>
        <v>557.07958487446342</v>
      </c>
      <c r="I540" s="12">
        <f t="shared" si="74"/>
        <v>0.54635270132813496</v>
      </c>
      <c r="J540" s="3"/>
    </row>
    <row r="541" spans="2:10" x14ac:dyDescent="0.25">
      <c r="B541" s="3">
        <f t="shared" si="70"/>
        <v>2605</v>
      </c>
      <c r="C541" s="14">
        <f t="shared" si="71"/>
        <v>43.416666666666664</v>
      </c>
      <c r="D541" s="11">
        <f t="shared" si="72"/>
        <v>896.98828732595643</v>
      </c>
      <c r="E541" s="24">
        <f t="shared" si="73"/>
        <v>278.83059991351905</v>
      </c>
      <c r="F541" s="38">
        <f t="shared" si="68"/>
        <v>1.0834844872266329</v>
      </c>
      <c r="G541" s="14">
        <f t="shared" si="69"/>
        <v>0</v>
      </c>
      <c r="H541" s="24">
        <f t="shared" si="67"/>
        <v>557.26985422452503</v>
      </c>
      <c r="I541" s="12">
        <f t="shared" si="74"/>
        <v>0.54603945924276953</v>
      </c>
      <c r="J541" s="3"/>
    </row>
    <row r="542" spans="2:10" x14ac:dyDescent="0.25">
      <c r="B542" s="3">
        <f t="shared" si="70"/>
        <v>2610</v>
      </c>
      <c r="C542" s="14">
        <f t="shared" si="71"/>
        <v>43.5</v>
      </c>
      <c r="D542" s="11">
        <f t="shared" si="72"/>
        <v>897.27477230091699</v>
      </c>
      <c r="E542" s="24">
        <f t="shared" si="73"/>
        <v>279.37663937276182</v>
      </c>
      <c r="F542" s="38">
        <f t="shared" si="68"/>
        <v>1.0831146964089664</v>
      </c>
      <c r="G542" s="14">
        <f t="shared" si="69"/>
        <v>0</v>
      </c>
      <c r="H542" s="24">
        <f t="shared" si="67"/>
        <v>557.46011410719291</v>
      </c>
      <c r="I542" s="12">
        <f t="shared" si="74"/>
        <v>0.54572590295423506</v>
      </c>
      <c r="J542" s="3"/>
    </row>
    <row r="543" spans="2:10" x14ac:dyDescent="0.25">
      <c r="B543" s="3">
        <f t="shared" si="70"/>
        <v>2615</v>
      </c>
      <c r="C543" s="14">
        <f t="shared" si="71"/>
        <v>43.583333333333336</v>
      </c>
      <c r="D543" s="11">
        <f t="shared" si="72"/>
        <v>897.56071054849372</v>
      </c>
      <c r="E543" s="24">
        <f t="shared" si="73"/>
        <v>279.92236527571606</v>
      </c>
      <c r="F543" s="38">
        <f t="shared" si="68"/>
        <v>1.0827451726433912</v>
      </c>
      <c r="G543" s="14">
        <f t="shared" si="69"/>
        <v>0</v>
      </c>
      <c r="H543" s="24">
        <f t="shared" si="67"/>
        <v>557.65036640822143</v>
      </c>
      <c r="I543" s="12">
        <f t="shared" si="74"/>
        <v>0.54541203509948788</v>
      </c>
      <c r="J543" s="3"/>
    </row>
    <row r="544" spans="2:10" x14ac:dyDescent="0.25">
      <c r="B544" s="3">
        <f t="shared" si="70"/>
        <v>2620</v>
      </c>
      <c r="C544" s="14">
        <f t="shared" si="71"/>
        <v>43.666666666666664</v>
      </c>
      <c r="D544" s="11">
        <f t="shared" si="72"/>
        <v>897.84610415145994</v>
      </c>
      <c r="E544" s="24">
        <f t="shared" si="73"/>
        <v>280.46777731081556</v>
      </c>
      <c r="F544" s="38">
        <f t="shared" si="68"/>
        <v>1.0823759119956451</v>
      </c>
      <c r="G544" s="14">
        <f t="shared" si="69"/>
        <v>0</v>
      </c>
      <c r="H544" s="24">
        <f t="shared" si="67"/>
        <v>557.84061300668475</v>
      </c>
      <c r="I544" s="12">
        <f t="shared" si="74"/>
        <v>0.54509785829516211</v>
      </c>
      <c r="J544" s="3"/>
    </row>
    <row r="545" spans="2:10" x14ac:dyDescent="0.25">
      <c r="B545" s="3">
        <f t="shared" si="70"/>
        <v>2625</v>
      </c>
      <c r="C545" s="14">
        <f t="shared" si="71"/>
        <v>43.75</v>
      </c>
      <c r="D545" s="11">
        <f t="shared" si="72"/>
        <v>898.13095518070918</v>
      </c>
      <c r="E545" s="24">
        <f t="shared" si="73"/>
        <v>281.01287516911071</v>
      </c>
      <c r="F545" s="38">
        <f t="shared" si="68"/>
        <v>1.0820069105547896</v>
      </c>
      <c r="G545" s="14">
        <f t="shared" si="69"/>
        <v>0</v>
      </c>
      <c r="H545" s="24">
        <f t="shared" si="67"/>
        <v>558.0308557749695</v>
      </c>
      <c r="I545" s="12">
        <f t="shared" si="74"/>
        <v>0.54478337513815245</v>
      </c>
      <c r="J545" s="3"/>
    </row>
    <row r="546" spans="2:10" x14ac:dyDescent="0.25">
      <c r="B546" s="3">
        <f t="shared" si="70"/>
        <v>2630</v>
      </c>
      <c r="C546" s="14">
        <f t="shared" si="71"/>
        <v>43.833333333333336</v>
      </c>
      <c r="D546" s="11">
        <f t="shared" si="72"/>
        <v>898.41526569534687</v>
      </c>
      <c r="E546" s="24">
        <f t="shared" si="73"/>
        <v>281.55765854424885</v>
      </c>
      <c r="F546" s="38">
        <f t="shared" si="68"/>
        <v>1.0816381644331472</v>
      </c>
      <c r="G546" s="14">
        <f t="shared" si="69"/>
        <v>0</v>
      </c>
      <c r="H546" s="24">
        <f t="shared" si="67"/>
        <v>558.2210965787707</v>
      </c>
      <c r="I546" s="12">
        <f t="shared" si="74"/>
        <v>0.5444685882054785</v>
      </c>
      <c r="J546" s="3"/>
    </row>
    <row r="547" spans="2:10" x14ac:dyDescent="0.25">
      <c r="B547" s="3">
        <f t="shared" si="70"/>
        <v>2635</v>
      </c>
      <c r="C547" s="14">
        <f t="shared" si="71"/>
        <v>43.916666666666664</v>
      </c>
      <c r="D547" s="11">
        <f t="shared" si="72"/>
        <v>898.69903774277839</v>
      </c>
      <c r="E547" s="24">
        <f t="shared" si="73"/>
        <v>282.10212713245431</v>
      </c>
      <c r="F547" s="38">
        <f t="shared" si="68"/>
        <v>1.0812696697662425</v>
      </c>
      <c r="G547" s="14">
        <f t="shared" si="69"/>
        <v>0</v>
      </c>
      <c r="H547" s="24">
        <f t="shared" si="67"/>
        <v>558.41133727708564</v>
      </c>
      <c r="I547" s="12">
        <f t="shared" si="74"/>
        <v>0.54415350005484986</v>
      </c>
      <c r="J547" s="3"/>
    </row>
    <row r="548" spans="2:10" x14ac:dyDescent="0.25">
      <c r="B548" s="3">
        <f t="shared" si="70"/>
        <v>2640</v>
      </c>
      <c r="C548" s="14">
        <f t="shared" si="71"/>
        <v>44</v>
      </c>
      <c r="D548" s="11">
        <f t="shared" si="72"/>
        <v>898.98227335879869</v>
      </c>
      <c r="E548" s="24">
        <f t="shared" si="73"/>
        <v>282.64628063250916</v>
      </c>
      <c r="F548" s="38">
        <f t="shared" si="68"/>
        <v>1.0809014227127416</v>
      </c>
      <c r="G548" s="14">
        <f t="shared" si="69"/>
        <v>0</v>
      </c>
      <c r="H548" s="24">
        <f t="shared" si="67"/>
        <v>558.6015797222085</v>
      </c>
      <c r="I548" s="12">
        <f t="shared" si="74"/>
        <v>0.54383811322460696</v>
      </c>
      <c r="J548" s="3"/>
    </row>
    <row r="549" spans="2:10" x14ac:dyDescent="0.25">
      <c r="B549" s="3">
        <f t="shared" si="70"/>
        <v>2645</v>
      </c>
      <c r="C549" s="14">
        <f t="shared" si="71"/>
        <v>44.083333333333336</v>
      </c>
      <c r="D549" s="11">
        <f t="shared" si="72"/>
        <v>899.26497456767902</v>
      </c>
      <c r="E549" s="24">
        <f t="shared" si="73"/>
        <v>283.19011874573374</v>
      </c>
      <c r="F549" s="38">
        <f t="shared" si="68"/>
        <v>1.0805334194543932</v>
      </c>
      <c r="G549" s="14">
        <f t="shared" si="69"/>
        <v>0</v>
      </c>
      <c r="H549" s="24">
        <f t="shared" si="67"/>
        <v>558.79182575972584</v>
      </c>
      <c r="I549" s="12">
        <f t="shared" si="74"/>
        <v>0.54352243023420366</v>
      </c>
      <c r="J549" s="3"/>
    </row>
    <row r="550" spans="2:10" x14ac:dyDescent="0.25">
      <c r="B550" s="3">
        <f t="shared" si="70"/>
        <v>2650</v>
      </c>
      <c r="C550" s="14">
        <f t="shared" si="71"/>
        <v>44.166666666666664</v>
      </c>
      <c r="D550" s="11">
        <f t="shared" si="72"/>
        <v>899.54714338225358</v>
      </c>
      <c r="E550" s="24">
        <f t="shared" si="73"/>
        <v>283.73364117596793</v>
      </c>
      <c r="F550" s="38">
        <f t="shared" si="68"/>
        <v>1.0801656561959661</v>
      </c>
      <c r="G550" s="14">
        <f t="shared" si="69"/>
        <v>0</v>
      </c>
      <c r="H550" s="24">
        <f t="shared" si="67"/>
        <v>558.98207722851225</v>
      </c>
      <c r="I550" s="12">
        <f t="shared" si="74"/>
        <v>0.54320645358432385</v>
      </c>
      <c r="J550" s="3"/>
    </row>
    <row r="551" spans="2:10" x14ac:dyDescent="0.25">
      <c r="B551" s="3">
        <f t="shared" si="70"/>
        <v>2655</v>
      </c>
      <c r="C551" s="14">
        <f t="shared" si="71"/>
        <v>44.25</v>
      </c>
      <c r="D551" s="11">
        <f t="shared" si="72"/>
        <v>899.82878180400735</v>
      </c>
      <c r="E551" s="24">
        <f t="shared" si="73"/>
        <v>284.27684762955226</v>
      </c>
      <c r="F551" s="38">
        <f t="shared" si="68"/>
        <v>1.0797981291651899</v>
      </c>
      <c r="G551" s="14">
        <f t="shared" si="69"/>
        <v>0</v>
      </c>
      <c r="H551" s="24">
        <f t="shared" si="67"/>
        <v>559.17233596072526</v>
      </c>
      <c r="I551" s="12">
        <f t="shared" si="74"/>
        <v>0.54289018575689696</v>
      </c>
      <c r="J551" s="3"/>
    </row>
    <row r="552" spans="2:10" x14ac:dyDescent="0.25">
      <c r="B552" s="3">
        <f t="shared" si="70"/>
        <v>2660</v>
      </c>
      <c r="C552" s="14">
        <f t="shared" si="71"/>
        <v>44.333333333333336</v>
      </c>
      <c r="D552" s="11">
        <f t="shared" si="72"/>
        <v>900.10989182315848</v>
      </c>
      <c r="E552" s="24">
        <f t="shared" si="73"/>
        <v>284.81973781530917</v>
      </c>
      <c r="F552" s="38">
        <f t="shared" si="68"/>
        <v>1.079430834612694</v>
      </c>
      <c r="G552" s="14">
        <f t="shared" si="69"/>
        <v>0</v>
      </c>
      <c r="H552" s="24">
        <f t="shared" si="67"/>
        <v>559.36260378180202</v>
      </c>
      <c r="I552" s="12">
        <f t="shared" si="74"/>
        <v>0.54257362921583197</v>
      </c>
      <c r="J552" s="3"/>
    </row>
    <row r="553" spans="2:10" x14ac:dyDescent="0.25">
      <c r="B553" s="3">
        <f t="shared" si="70"/>
        <v>2665</v>
      </c>
      <c r="C553" s="14">
        <f t="shared" si="71"/>
        <v>44.416666666666664</v>
      </c>
      <c r="D553" s="11">
        <f t="shared" si="72"/>
        <v>900.39047541874481</v>
      </c>
      <c r="E553" s="24">
        <f t="shared" si="73"/>
        <v>285.36231144452501</v>
      </c>
      <c r="F553" s="38">
        <f t="shared" si="68"/>
        <v>1.0790637688119482</v>
      </c>
      <c r="G553" s="14">
        <f t="shared" si="69"/>
        <v>0</v>
      </c>
      <c r="H553" s="24">
        <f t="shared" si="67"/>
        <v>559.55288251045442</v>
      </c>
      <c r="I553" s="12">
        <f t="shared" si="74"/>
        <v>0.54225678640667774</v>
      </c>
      <c r="J553" s="3"/>
    </row>
    <row r="554" spans="2:10" x14ac:dyDescent="0.25">
      <c r="B554" s="3">
        <f t="shared" si="70"/>
        <v>2670</v>
      </c>
      <c r="C554" s="14">
        <f t="shared" si="71"/>
        <v>44.5</v>
      </c>
      <c r="D554" s="11">
        <f t="shared" si="72"/>
        <v>900.67053455870655</v>
      </c>
      <c r="E554" s="24">
        <f t="shared" si="73"/>
        <v>285.90456823093166</v>
      </c>
      <c r="F554" s="38">
        <f t="shared" si="68"/>
        <v>1.0786969280592014</v>
      </c>
      <c r="G554" s="14">
        <f t="shared" si="69"/>
        <v>0</v>
      </c>
      <c r="H554" s="24">
        <f t="shared" si="67"/>
        <v>559.74317395866592</v>
      </c>
      <c r="I554" s="12">
        <f t="shared" si="74"/>
        <v>0.54193965975718839</v>
      </c>
      <c r="J554" s="3"/>
    </row>
    <row r="555" spans="2:10" x14ac:dyDescent="0.25">
      <c r="B555" s="3">
        <f t="shared" si="70"/>
        <v>2675</v>
      </c>
      <c r="C555" s="14">
        <f t="shared" si="71"/>
        <v>44.583333333333336</v>
      </c>
      <c r="D555" s="11">
        <f t="shared" si="72"/>
        <v>900.95007119996956</v>
      </c>
      <c r="E555" s="24">
        <f t="shared" si="73"/>
        <v>286.44650789068885</v>
      </c>
      <c r="F555" s="38">
        <f t="shared" si="68"/>
        <v>1.0783303086734208</v>
      </c>
      <c r="G555" s="14">
        <f t="shared" si="69"/>
        <v>0</v>
      </c>
      <c r="H555" s="24">
        <f t="shared" si="67"/>
        <v>559.93347993168823</v>
      </c>
      <c r="I555" s="12">
        <f t="shared" si="74"/>
        <v>0.54162225167736622</v>
      </c>
      <c r="J555" s="3"/>
    </row>
    <row r="556" spans="2:10" x14ac:dyDescent="0.25">
      <c r="B556" s="3">
        <f t="shared" si="70"/>
        <v>2680</v>
      </c>
      <c r="C556" s="14">
        <f t="shared" si="71"/>
        <v>44.666666666666664</v>
      </c>
      <c r="D556" s="11">
        <f t="shared" si="72"/>
        <v>901.22908728852678</v>
      </c>
      <c r="E556" s="24">
        <f t="shared" si="73"/>
        <v>286.98813014236623</v>
      </c>
      <c r="F556" s="38">
        <f t="shared" si="68"/>
        <v>1.0779639069962323</v>
      </c>
      <c r="G556" s="14">
        <f t="shared" si="69"/>
        <v>0</v>
      </c>
      <c r="H556" s="24">
        <f t="shared" si="67"/>
        <v>560.12380222803733</v>
      </c>
      <c r="I556" s="12">
        <f t="shared" si="74"/>
        <v>0.54130456455980469</v>
      </c>
      <c r="J556" s="3"/>
    </row>
    <row r="557" spans="2:10" x14ac:dyDescent="0.25">
      <c r="B557" s="3">
        <f t="shared" si="70"/>
        <v>2685</v>
      </c>
      <c r="C557" s="14">
        <f t="shared" si="71"/>
        <v>44.75</v>
      </c>
      <c r="D557" s="11">
        <f t="shared" si="72"/>
        <v>901.50758475952</v>
      </c>
      <c r="E557" s="24">
        <f t="shared" si="73"/>
        <v>287.52943470692605</v>
      </c>
      <c r="F557" s="38">
        <f t="shared" si="68"/>
        <v>1.077597719391858</v>
      </c>
      <c r="G557" s="14">
        <f t="shared" si="69"/>
        <v>0</v>
      </c>
      <c r="H557" s="24">
        <f t="shared" si="67"/>
        <v>560.31414263949125</v>
      </c>
      <c r="I557" s="12">
        <f t="shared" si="74"/>
        <v>0.5409866007797669</v>
      </c>
      <c r="J557" s="3"/>
    </row>
    <row r="558" spans="2:10" x14ac:dyDescent="0.25">
      <c r="B558" s="3">
        <f t="shared" si="70"/>
        <v>2690</v>
      </c>
      <c r="C558" s="14">
        <f t="shared" si="71"/>
        <v>44.833333333333336</v>
      </c>
      <c r="D558" s="11">
        <f t="shared" si="72"/>
        <v>901.78556553732062</v>
      </c>
      <c r="E558" s="24">
        <f t="shared" si="73"/>
        <v>288.07042130770583</v>
      </c>
      <c r="F558" s="38">
        <f t="shared" si="68"/>
        <v>1.0772317422470572</v>
      </c>
      <c r="G558" s="14">
        <f t="shared" si="69"/>
        <v>0</v>
      </c>
      <c r="H558" s="24">
        <f t="shared" si="67"/>
        <v>560.50450295108681</v>
      </c>
      <c r="I558" s="12">
        <f t="shared" si="74"/>
        <v>0.54066836269540797</v>
      </c>
      <c r="J558" s="3"/>
    </row>
    <row r="559" spans="2:10" x14ac:dyDescent="0.25">
      <c r="B559" s="3">
        <f t="shared" si="70"/>
        <v>2695</v>
      </c>
      <c r="C559" s="14">
        <f t="shared" si="71"/>
        <v>44.916666666666664</v>
      </c>
      <c r="D559" s="11">
        <f t="shared" si="72"/>
        <v>902.06303153560839</v>
      </c>
      <c r="E559" s="24">
        <f t="shared" si="73"/>
        <v>288.61108967040121</v>
      </c>
      <c r="F559" s="38">
        <f t="shared" si="68"/>
        <v>1.0768659719710652</v>
      </c>
      <c r="G559" s="14">
        <f t="shared" si="69"/>
        <v>0</v>
      </c>
      <c r="H559" s="24">
        <f t="shared" si="67"/>
        <v>560.6948849411167</v>
      </c>
      <c r="I559" s="12">
        <f t="shared" si="74"/>
        <v>0.54034985264813684</v>
      </c>
      <c r="J559" s="3"/>
    </row>
    <row r="560" spans="2:10" x14ac:dyDescent="0.25">
      <c r="B560" s="3">
        <f t="shared" si="70"/>
        <v>2700</v>
      </c>
      <c r="C560" s="14">
        <f t="shared" si="71"/>
        <v>45</v>
      </c>
      <c r="D560" s="11">
        <f t="shared" si="72"/>
        <v>902.33998465745196</v>
      </c>
      <c r="E560" s="24">
        <f t="shared" si="73"/>
        <v>289.15143952304936</v>
      </c>
      <c r="F560" s="38">
        <f t="shared" si="68"/>
        <v>1.0765004049955316</v>
      </c>
      <c r="G560" s="14">
        <f t="shared" si="69"/>
        <v>0</v>
      </c>
      <c r="H560" s="24">
        <f t="shared" si="67"/>
        <v>560.88529038112756</v>
      </c>
      <c r="I560" s="12">
        <f t="shared" si="74"/>
        <v>0.54003107296250963</v>
      </c>
      <c r="J560" s="3"/>
    </row>
    <row r="561" spans="2:10" x14ac:dyDescent="0.25">
      <c r="B561" s="3">
        <f t="shared" si="70"/>
        <v>2705</v>
      </c>
      <c r="C561" s="14">
        <f t="shared" si="71"/>
        <v>45.083333333333336</v>
      </c>
      <c r="D561" s="11">
        <f t="shared" si="72"/>
        <v>902.61642679538556</v>
      </c>
      <c r="E561" s="24">
        <f t="shared" si="73"/>
        <v>289.69147059601187</v>
      </c>
      <c r="F561" s="38">
        <f t="shared" si="68"/>
        <v>1.0761350377744607</v>
      </c>
      <c r="G561" s="14">
        <f t="shared" si="69"/>
        <v>0</v>
      </c>
      <c r="H561" s="24">
        <f t="shared" si="67"/>
        <v>561.07572103591781</v>
      </c>
      <c r="I561" s="12">
        <f t="shared" si="74"/>
        <v>0.53971202594679579</v>
      </c>
      <c r="J561" s="3"/>
    </row>
    <row r="562" spans="2:10" x14ac:dyDescent="0.25">
      <c r="B562" s="3">
        <f t="shared" si="70"/>
        <v>2710</v>
      </c>
      <c r="C562" s="14">
        <f t="shared" si="71"/>
        <v>45.166666666666664</v>
      </c>
      <c r="D562" s="11">
        <f t="shared" si="72"/>
        <v>902.89235983148797</v>
      </c>
      <c r="E562" s="24">
        <f t="shared" si="73"/>
        <v>290.23118262195868</v>
      </c>
      <c r="F562" s="38">
        <f t="shared" si="68"/>
        <v>1.0757698667841498</v>
      </c>
      <c r="G562" s="14">
        <f t="shared" si="69"/>
        <v>0</v>
      </c>
      <c r="H562" s="24">
        <f t="shared" si="67"/>
        <v>561.26617866353524</v>
      </c>
      <c r="I562" s="12">
        <f t="shared" si="74"/>
        <v>0.5393927138928184</v>
      </c>
      <c r="J562" s="3"/>
    </row>
    <row r="563" spans="2:10" x14ac:dyDescent="0.25">
      <c r="B563" s="3">
        <f t="shared" si="70"/>
        <v>2715</v>
      </c>
      <c r="C563" s="14">
        <f t="shared" si="71"/>
        <v>45.25</v>
      </c>
      <c r="D563" s="11">
        <f t="shared" si="72"/>
        <v>903.16778563745868</v>
      </c>
      <c r="E563" s="24">
        <f t="shared" si="73"/>
        <v>290.7705753358515</v>
      </c>
      <c r="F563" s="38">
        <f t="shared" si="68"/>
        <v>1.0754048885231291</v>
      </c>
      <c r="G563" s="14">
        <f t="shared" si="69"/>
        <v>0</v>
      </c>
      <c r="H563" s="24">
        <f t="shared" si="67"/>
        <v>561.45666501527535</v>
      </c>
      <c r="I563" s="12">
        <f t="shared" si="74"/>
        <v>0.53907313907638699</v>
      </c>
      <c r="J563" s="3"/>
    </row>
    <row r="564" spans="2:10" x14ac:dyDescent="0.25">
      <c r="B564" s="3">
        <f t="shared" si="70"/>
        <v>2720</v>
      </c>
      <c r="C564" s="14">
        <f t="shared" si="71"/>
        <v>45.333333333333336</v>
      </c>
      <c r="D564" s="11">
        <f t="shared" si="72"/>
        <v>903.44270607469434</v>
      </c>
      <c r="E564" s="24">
        <f t="shared" si="73"/>
        <v>291.30964847492788</v>
      </c>
      <c r="F564" s="38">
        <f t="shared" si="68"/>
        <v>1.0750400995121006</v>
      </c>
      <c r="G564" s="14">
        <f t="shared" si="69"/>
        <v>0</v>
      </c>
      <c r="H564" s="24">
        <f t="shared" si="67"/>
        <v>561.64718183567982</v>
      </c>
      <c r="I564" s="12">
        <f t="shared" si="74"/>
        <v>0.53875330375737895</v>
      </c>
      <c r="J564" s="3"/>
    </row>
    <row r="565" spans="2:10" x14ac:dyDescent="0.25">
      <c r="B565" s="3">
        <f t="shared" si="70"/>
        <v>2725</v>
      </c>
      <c r="C565" s="14">
        <f t="shared" si="71"/>
        <v>45.416666666666664</v>
      </c>
      <c r="D565" s="11">
        <f t="shared" si="72"/>
        <v>903.71712299436388</v>
      </c>
      <c r="E565" s="24">
        <f t="shared" si="73"/>
        <v>291.84840177868529</v>
      </c>
      <c r="F565" s="38">
        <f t="shared" si="68"/>
        <v>1.0746754962938756</v>
      </c>
      <c r="G565" s="14">
        <f t="shared" si="69"/>
        <v>0</v>
      </c>
      <c r="H565" s="24">
        <f t="shared" ref="H565:H628" si="75">IF(E565&lt;600,425+0.773*E565-1.69/1000*E565^2+2.22/1000^2*E565^3,IF(E565&lt;735,666+13002/(738-E565),IF(E565&lt;900,545+17820/(E565-731),650)))</f>
        <v>561.83773086253541</v>
      </c>
      <c r="I565" s="12">
        <f t="shared" si="74"/>
        <v>0.53843321017998946</v>
      </c>
      <c r="J565" s="3"/>
    </row>
    <row r="566" spans="2:10" x14ac:dyDescent="0.25">
      <c r="B566" s="3">
        <f t="shared" si="70"/>
        <v>2730</v>
      </c>
      <c r="C566" s="14">
        <f t="shared" si="71"/>
        <v>45.5</v>
      </c>
      <c r="D566" s="11">
        <f t="shared" si="72"/>
        <v>903.99103823748374</v>
      </c>
      <c r="E566" s="24">
        <f t="shared" si="73"/>
        <v>292.3868349888653</v>
      </c>
      <c r="F566" s="38">
        <f t="shared" si="68"/>
        <v>1.0743110754333163</v>
      </c>
      <c r="G566" s="14">
        <f t="shared" si="69"/>
        <v>0</v>
      </c>
      <c r="H566" s="24">
        <f t="shared" si="75"/>
        <v>562.02831382687202</v>
      </c>
      <c r="I566" s="12">
        <f t="shared" si="74"/>
        <v>0.53811286057282448</v>
      </c>
      <c r="J566" s="3"/>
    </row>
    <row r="567" spans="2:10" x14ac:dyDescent="0.25">
      <c r="B567" s="3">
        <f t="shared" si="70"/>
        <v>2735</v>
      </c>
      <c r="C567" s="14">
        <f t="shared" si="71"/>
        <v>45.583333333333336</v>
      </c>
      <c r="D567" s="11">
        <f t="shared" si="72"/>
        <v>904.26445363499181</v>
      </c>
      <c r="E567" s="24">
        <f t="shared" si="73"/>
        <v>292.92494784943813</v>
      </c>
      <c r="F567" s="38">
        <f t="shared" si="68"/>
        <v>1.0739468335172724</v>
      </c>
      <c r="G567" s="14">
        <f t="shared" si="69"/>
        <v>0</v>
      </c>
      <c r="H567" s="24">
        <f t="shared" si="75"/>
        <v>562.21893245296246</v>
      </c>
      <c r="I567" s="12">
        <f t="shared" si="74"/>
        <v>0.53779225714915813</v>
      </c>
      <c r="J567" s="3"/>
    </row>
    <row r="568" spans="2:10" x14ac:dyDescent="0.25">
      <c r="B568" s="3">
        <f t="shared" si="70"/>
        <v>2740</v>
      </c>
      <c r="C568" s="14">
        <f t="shared" si="71"/>
        <v>45.666666666666664</v>
      </c>
      <c r="D568" s="11">
        <f t="shared" si="72"/>
        <v>904.53737100782064</v>
      </c>
      <c r="E568" s="24">
        <f t="shared" si="73"/>
        <v>293.46274010658726</v>
      </c>
      <c r="F568" s="38">
        <f t="shared" si="68"/>
        <v>1.0735827671545219</v>
      </c>
      <c r="G568" s="14">
        <f t="shared" si="69"/>
        <v>0</v>
      </c>
      <c r="H568" s="24">
        <f t="shared" si="75"/>
        <v>562.40958845832097</v>
      </c>
      <c r="I568" s="12">
        <f t="shared" si="74"/>
        <v>0.53747140210711397</v>
      </c>
      <c r="J568" s="3"/>
    </row>
    <row r="569" spans="2:10" x14ac:dyDescent="0.25">
      <c r="B569" s="3">
        <f t="shared" si="70"/>
        <v>2745</v>
      </c>
      <c r="C569" s="14">
        <f t="shared" si="71"/>
        <v>45.75</v>
      </c>
      <c r="D569" s="11">
        <f t="shared" si="72"/>
        <v>904.80979216697085</v>
      </c>
      <c r="E569" s="24">
        <f t="shared" si="73"/>
        <v>294.00021150869435</v>
      </c>
      <c r="F569" s="38">
        <f t="shared" si="68"/>
        <v>1.0732188729757097</v>
      </c>
      <c r="G569" s="14">
        <f t="shared" si="69"/>
        <v>0</v>
      </c>
      <c r="H569" s="24">
        <f t="shared" si="75"/>
        <v>562.60028355370332</v>
      </c>
      <c r="I569" s="12">
        <f t="shared" si="74"/>
        <v>0.53715029762973987</v>
      </c>
      <c r="J569" s="3"/>
    </row>
    <row r="570" spans="2:10" x14ac:dyDescent="0.25">
      <c r="B570" s="3">
        <f t="shared" si="70"/>
        <v>2750</v>
      </c>
      <c r="C570" s="14">
        <f t="shared" si="71"/>
        <v>45.833333333333336</v>
      </c>
      <c r="D570" s="11">
        <f t="shared" si="72"/>
        <v>905.08171891358211</v>
      </c>
      <c r="E570" s="24">
        <f t="shared" si="73"/>
        <v>294.5373618063241</v>
      </c>
      <c r="F570" s="38">
        <f t="shared" si="68"/>
        <v>1.0728551476332855</v>
      </c>
      <c r="G570" s="14">
        <f t="shared" si="69"/>
        <v>0</v>
      </c>
      <c r="H570" s="24">
        <f t="shared" si="75"/>
        <v>562.79101944310548</v>
      </c>
      <c r="I570" s="12">
        <f t="shared" si="74"/>
        <v>0.53682894588539187</v>
      </c>
      <c r="J570" s="3"/>
    </row>
    <row r="571" spans="2:10" x14ac:dyDescent="0.25">
      <c r="B571" s="3">
        <f t="shared" si="70"/>
        <v>2755</v>
      </c>
      <c r="C571" s="14">
        <f t="shared" si="71"/>
        <v>45.916666666666664</v>
      </c>
      <c r="D571" s="11">
        <f t="shared" si="72"/>
        <v>905.3531530390062</v>
      </c>
      <c r="E571" s="24">
        <f t="shared" si="73"/>
        <v>295.07419075220952</v>
      </c>
      <c r="F571" s="38">
        <f t="shared" si="68"/>
        <v>1.0724915878014434</v>
      </c>
      <c r="G571" s="14">
        <f t="shared" si="69"/>
        <v>0</v>
      </c>
      <c r="H571" s="24">
        <f t="shared" si="75"/>
        <v>562.98179782376428</v>
      </c>
      <c r="I571" s="12">
        <f t="shared" si="74"/>
        <v>0.53650734902758723</v>
      </c>
      <c r="J571" s="3"/>
    </row>
    <row r="572" spans="2:10" x14ac:dyDescent="0.25">
      <c r="B572" s="3">
        <f t="shared" si="70"/>
        <v>2760</v>
      </c>
      <c r="C572" s="14">
        <f t="shared" si="71"/>
        <v>46</v>
      </c>
      <c r="D572" s="11">
        <f t="shared" si="72"/>
        <v>905.62409632487572</v>
      </c>
      <c r="E572" s="24">
        <f t="shared" si="73"/>
        <v>295.61069810123712</v>
      </c>
      <c r="F572" s="38">
        <f t="shared" si="68"/>
        <v>1.0721281901760615</v>
      </c>
      <c r="G572" s="14">
        <f t="shared" si="69"/>
        <v>0</v>
      </c>
      <c r="H572" s="24">
        <f t="shared" si="75"/>
        <v>563.17262038615661</v>
      </c>
      <c r="I572" s="12">
        <f t="shared" si="74"/>
        <v>0.53618550919560359</v>
      </c>
      <c r="J572" s="3"/>
    </row>
    <row r="573" spans="2:10" x14ac:dyDescent="0.25">
      <c r="B573" s="3">
        <f t="shared" si="70"/>
        <v>2765</v>
      </c>
      <c r="C573" s="14">
        <f t="shared" si="71"/>
        <v>46.083333333333336</v>
      </c>
      <c r="D573" s="11">
        <f t="shared" si="72"/>
        <v>905.89455054317671</v>
      </c>
      <c r="E573" s="24">
        <f t="shared" si="73"/>
        <v>296.14688361043272</v>
      </c>
      <c r="F573" s="38">
        <f t="shared" si="68"/>
        <v>1.0717649514746392</v>
      </c>
      <c r="G573" s="14">
        <f t="shared" si="69"/>
        <v>0</v>
      </c>
      <c r="H573" s="24">
        <f t="shared" si="75"/>
        <v>563.36348881399999</v>
      </c>
      <c r="I573" s="12">
        <f t="shared" si="74"/>
        <v>0.53586342851412627</v>
      </c>
      <c r="J573" s="3"/>
    </row>
    <row r="574" spans="2:10" x14ac:dyDescent="0.25">
      <c r="B574" s="3">
        <f t="shared" si="70"/>
        <v>2770</v>
      </c>
      <c r="C574" s="14">
        <f t="shared" si="71"/>
        <v>46.166666666666664</v>
      </c>
      <c r="D574" s="11">
        <f t="shared" si="72"/>
        <v>906.16451745631571</v>
      </c>
      <c r="E574" s="24">
        <f t="shared" si="73"/>
        <v>296.68274703894684</v>
      </c>
      <c r="F574" s="38">
        <f t="shared" si="68"/>
        <v>1.0714018684362376</v>
      </c>
      <c r="G574" s="14">
        <f t="shared" si="69"/>
        <v>0</v>
      </c>
      <c r="H574" s="24">
        <f t="shared" si="75"/>
        <v>563.5544047842526</v>
      </c>
      <c r="I574" s="12">
        <f t="shared" si="74"/>
        <v>0.53554110909397057</v>
      </c>
      <c r="J574" s="3"/>
    </row>
    <row r="575" spans="2:10" x14ac:dyDescent="0.25">
      <c r="B575" s="3">
        <f t="shared" si="70"/>
        <v>2775</v>
      </c>
      <c r="C575" s="14">
        <f t="shared" si="71"/>
        <v>46.25</v>
      </c>
      <c r="D575" s="11">
        <f t="shared" si="72"/>
        <v>906.43399881719074</v>
      </c>
      <c r="E575" s="24">
        <f t="shared" si="73"/>
        <v>297.21828814804081</v>
      </c>
      <c r="F575" s="38">
        <f t="shared" si="68"/>
        <v>1.071038937821418</v>
      </c>
      <c r="G575" s="14">
        <f t="shared" si="69"/>
        <v>0</v>
      </c>
      <c r="H575" s="24">
        <f t="shared" si="75"/>
        <v>563.74536996711402</v>
      </c>
      <c r="I575" s="12">
        <f t="shared" si="74"/>
        <v>0.53521855303173993</v>
      </c>
      <c r="J575" s="3"/>
    </row>
    <row r="576" spans="2:10" x14ac:dyDescent="0.25">
      <c r="B576" s="3">
        <f t="shared" si="70"/>
        <v>2780</v>
      </c>
      <c r="C576" s="14">
        <f t="shared" si="71"/>
        <v>46.333333333333336</v>
      </c>
      <c r="D576" s="11">
        <f t="shared" si="72"/>
        <v>906.70299636925824</v>
      </c>
      <c r="E576" s="24">
        <f t="shared" si="73"/>
        <v>297.75350670107252</v>
      </c>
      <c r="F576" s="38">
        <f t="shared" si="68"/>
        <v>1.0706761564121796</v>
      </c>
      <c r="G576" s="14">
        <f t="shared" si="69"/>
        <v>0</v>
      </c>
      <c r="H576" s="24">
        <f t="shared" si="75"/>
        <v>563.93638602602539</v>
      </c>
      <c r="I576" s="12">
        <f t="shared" si="74"/>
        <v>0.53489576241036618</v>
      </c>
      <c r="J576" s="3"/>
    </row>
    <row r="577" spans="2:10" x14ac:dyDescent="0.25">
      <c r="B577" s="3">
        <f t="shared" si="70"/>
        <v>2785</v>
      </c>
      <c r="C577" s="14">
        <f t="shared" si="71"/>
        <v>46.416666666666664</v>
      </c>
      <c r="D577" s="11">
        <f t="shared" si="72"/>
        <v>906.97151184660152</v>
      </c>
      <c r="E577" s="24">
        <f t="shared" si="73"/>
        <v>298.2884024634829</v>
      </c>
      <c r="F577" s="38">
        <f t="shared" si="68"/>
        <v>1.0703135210119004</v>
      </c>
      <c r="G577" s="14">
        <f t="shared" si="69"/>
        <v>0</v>
      </c>
      <c r="H577" s="24">
        <f t="shared" si="75"/>
        <v>564.12745461767065</v>
      </c>
      <c r="I577" s="12">
        <f t="shared" si="74"/>
        <v>0.53457273929903482</v>
      </c>
      <c r="J577" s="3"/>
    </row>
    <row r="578" spans="2:10" x14ac:dyDescent="0.25">
      <c r="B578" s="3">
        <f t="shared" si="70"/>
        <v>2790</v>
      </c>
      <c r="C578" s="14">
        <f t="shared" si="71"/>
        <v>46.5</v>
      </c>
      <c r="D578" s="11">
        <f t="shared" si="72"/>
        <v>907.23954697399711</v>
      </c>
      <c r="E578" s="24">
        <f t="shared" si="73"/>
        <v>298.82297520278195</v>
      </c>
      <c r="F578" s="38">
        <f t="shared" si="68"/>
        <v>1.0699510284452733</v>
      </c>
      <c r="G578" s="14">
        <f t="shared" si="69"/>
        <v>0</v>
      </c>
      <c r="H578" s="24">
        <f t="shared" si="75"/>
        <v>564.31857739197778</v>
      </c>
      <c r="I578" s="12">
        <f t="shared" si="74"/>
        <v>0.53424948575350384</v>
      </c>
      <c r="J578" s="3"/>
    </row>
    <row r="579" spans="2:10" x14ac:dyDescent="0.25">
      <c r="B579" s="3">
        <f t="shared" si="70"/>
        <v>2795</v>
      </c>
      <c r="C579" s="14">
        <f t="shared" si="71"/>
        <v>46.583333333333336</v>
      </c>
      <c r="D579" s="11">
        <f t="shared" si="72"/>
        <v>907.50710346698213</v>
      </c>
      <c r="E579" s="24">
        <f t="shared" si="73"/>
        <v>299.35722468853544</v>
      </c>
      <c r="F579" s="38">
        <f t="shared" si="68"/>
        <v>1.069588675558248</v>
      </c>
      <c r="G579" s="14">
        <f t="shared" si="69"/>
        <v>0</v>
      </c>
      <c r="H579" s="24">
        <f t="shared" si="75"/>
        <v>564.50975599211881</v>
      </c>
      <c r="I579" s="12">
        <f t="shared" si="74"/>
        <v>0.53392600381609168</v>
      </c>
      <c r="J579" s="3"/>
    </row>
    <row r="580" spans="2:10" x14ac:dyDescent="0.25">
      <c r="B580" s="3">
        <f t="shared" si="70"/>
        <v>2800</v>
      </c>
      <c r="C580" s="14">
        <f t="shared" si="71"/>
        <v>46.666666666666664</v>
      </c>
      <c r="D580" s="11">
        <f t="shared" si="72"/>
        <v>907.77418303191939</v>
      </c>
      <c r="E580" s="24">
        <f t="shared" si="73"/>
        <v>299.89115069235152</v>
      </c>
      <c r="F580" s="38">
        <f t="shared" si="68"/>
        <v>1.0692264592179674</v>
      </c>
      <c r="G580" s="14">
        <f t="shared" si="69"/>
        <v>0</v>
      </c>
      <c r="H580" s="24">
        <f t="shared" si="75"/>
        <v>564.70099205451265</v>
      </c>
      <c r="I580" s="12">
        <f t="shared" si="74"/>
        <v>0.53360229551600558</v>
      </c>
      <c r="J580" s="3"/>
    </row>
    <row r="581" spans="2:10" x14ac:dyDescent="0.25">
      <c r="B581" s="3">
        <f t="shared" si="70"/>
        <v>2805</v>
      </c>
      <c r="C581" s="14">
        <f t="shared" si="71"/>
        <v>46.75</v>
      </c>
      <c r="D581" s="11">
        <f t="shared" si="72"/>
        <v>908.04078736606289</v>
      </c>
      <c r="E581" s="24">
        <f t="shared" si="73"/>
        <v>300.42475298786752</v>
      </c>
      <c r="F581" s="38">
        <f t="shared" si="68"/>
        <v>1.0688643763127077</v>
      </c>
      <c r="G581" s="14">
        <f t="shared" si="69"/>
        <v>0</v>
      </c>
      <c r="H581" s="24">
        <f t="shared" si="75"/>
        <v>564.89228720882545</v>
      </c>
      <c r="I581" s="12">
        <f t="shared" si="74"/>
        <v>0.53327836286939034</v>
      </c>
      <c r="J581" s="3"/>
    </row>
    <row r="582" spans="2:10" x14ac:dyDescent="0.25">
      <c r="B582" s="3">
        <f t="shared" si="70"/>
        <v>2810</v>
      </c>
      <c r="C582" s="14">
        <f t="shared" si="71"/>
        <v>46.833333333333336</v>
      </c>
      <c r="D582" s="11">
        <f t="shared" si="72"/>
        <v>908.30691815762316</v>
      </c>
      <c r="E582" s="24">
        <f t="shared" si="73"/>
        <v>300.95803135073692</v>
      </c>
      <c r="F582" s="38">
        <f t="shared" si="68"/>
        <v>1.0685024237518161</v>
      </c>
      <c r="G582" s="14">
        <f t="shared" si="69"/>
        <v>0</v>
      </c>
      <c r="H582" s="24">
        <f t="shared" si="75"/>
        <v>565.08364307797285</v>
      </c>
      <c r="I582" s="12">
        <f t="shared" si="74"/>
        <v>0.53295420787942571</v>
      </c>
      <c r="J582" s="3"/>
    </row>
    <row r="583" spans="2:10" x14ac:dyDescent="0.25">
      <c r="B583" s="3">
        <f t="shared" si="70"/>
        <v>2815</v>
      </c>
      <c r="C583" s="14">
        <f t="shared" si="71"/>
        <v>46.916666666666664</v>
      </c>
      <c r="D583" s="11">
        <f t="shared" si="72"/>
        <v>908.57257708583029</v>
      </c>
      <c r="E583" s="24">
        <f t="shared" si="73"/>
        <v>301.49098555861633</v>
      </c>
      <c r="F583" s="38">
        <f t="shared" si="68"/>
        <v>1.0681405984656513</v>
      </c>
      <c r="G583" s="14">
        <f t="shared" si="69"/>
        <v>0</v>
      </c>
      <c r="H583" s="24">
        <f t="shared" si="75"/>
        <v>565.27506127812114</v>
      </c>
      <c r="I583" s="12">
        <f t="shared" si="74"/>
        <v>0.53262983253667973</v>
      </c>
      <c r="J583" s="3"/>
    </row>
    <row r="584" spans="2:10" x14ac:dyDescent="0.25">
      <c r="B584" s="3">
        <f t="shared" si="70"/>
        <v>2820</v>
      </c>
      <c r="C584" s="14">
        <f t="shared" si="71"/>
        <v>47</v>
      </c>
      <c r="D584" s="11">
        <f t="shared" si="72"/>
        <v>908.83776582099847</v>
      </c>
      <c r="E584" s="24">
        <f t="shared" si="73"/>
        <v>302.02361539115299</v>
      </c>
      <c r="F584" s="38">
        <f t="shared" si="68"/>
        <v>1.0677788974055207</v>
      </c>
      <c r="G584" s="14">
        <f t="shared" si="69"/>
        <v>0</v>
      </c>
      <c r="H584" s="24">
        <f t="shared" si="75"/>
        <v>565.46654341869032</v>
      </c>
      <c r="I584" s="12">
        <f t="shared" si="74"/>
        <v>0.53230523881900949</v>
      </c>
      <c r="J584" s="3"/>
    </row>
    <row r="585" spans="2:10" x14ac:dyDescent="0.25">
      <c r="B585" s="3">
        <f t="shared" si="70"/>
        <v>2825</v>
      </c>
      <c r="C585" s="14">
        <f t="shared" si="71"/>
        <v>47.083333333333336</v>
      </c>
      <c r="D585" s="11">
        <f t="shared" si="72"/>
        <v>909.1024860245883</v>
      </c>
      <c r="E585" s="24">
        <f t="shared" si="73"/>
        <v>302.55592062997198</v>
      </c>
      <c r="F585" s="38">
        <f t="shared" si="68"/>
        <v>1.0674173175436195</v>
      </c>
      <c r="G585" s="14">
        <f t="shared" si="69"/>
        <v>0</v>
      </c>
      <c r="H585" s="24">
        <f t="shared" si="75"/>
        <v>565.658091102355</v>
      </c>
      <c r="I585" s="12">
        <f t="shared" si="74"/>
        <v>0.53198042869190065</v>
      </c>
      <c r="J585" s="3"/>
    </row>
    <row r="586" spans="2:10" x14ac:dyDescent="0.25">
      <c r="B586" s="3">
        <f t="shared" si="70"/>
        <v>2830</v>
      </c>
      <c r="C586" s="14">
        <f t="shared" si="71"/>
        <v>47.166666666666664</v>
      </c>
      <c r="D586" s="11">
        <f t="shared" si="72"/>
        <v>909.36673934927012</v>
      </c>
      <c r="E586" s="24">
        <f t="shared" si="73"/>
        <v>303.08790105866387</v>
      </c>
      <c r="F586" s="38">
        <f t="shared" si="68"/>
        <v>1.0670558558729697</v>
      </c>
      <c r="G586" s="14">
        <f t="shared" si="69"/>
        <v>0</v>
      </c>
      <c r="H586" s="24">
        <f t="shared" si="75"/>
        <v>565.84970592504783</v>
      </c>
      <c r="I586" s="12">
        <f t="shared" si="74"/>
        <v>0.53165540410843182</v>
      </c>
      <c r="J586" s="3"/>
    </row>
    <row r="587" spans="2:10" x14ac:dyDescent="0.25">
      <c r="B587" s="3">
        <f t="shared" si="70"/>
        <v>2835</v>
      </c>
      <c r="C587" s="14">
        <f t="shared" si="71"/>
        <v>47.25</v>
      </c>
      <c r="D587" s="11">
        <f t="shared" si="72"/>
        <v>909.63052743898493</v>
      </c>
      <c r="E587" s="24">
        <f t="shared" si="73"/>
        <v>303.61955646277232</v>
      </c>
      <c r="F587" s="38">
        <f t="shared" si="68"/>
        <v>1.0666945094073594</v>
      </c>
      <c r="G587" s="14">
        <f t="shared" si="69"/>
        <v>0</v>
      </c>
      <c r="H587" s="24">
        <f t="shared" si="75"/>
        <v>566.04138947596084</v>
      </c>
      <c r="I587" s="12">
        <f t="shared" si="74"/>
        <v>0.53133016700962199</v>
      </c>
      <c r="J587" s="3"/>
    </row>
    <row r="588" spans="2:10" x14ac:dyDescent="0.25">
      <c r="B588" s="3">
        <f t="shared" si="70"/>
        <v>2840</v>
      </c>
      <c r="C588" s="14">
        <f t="shared" si="71"/>
        <v>47.333333333333336</v>
      </c>
      <c r="D588" s="11">
        <f t="shared" si="72"/>
        <v>909.89385192900613</v>
      </c>
      <c r="E588" s="24">
        <f t="shared" si="73"/>
        <v>304.15088662978195</v>
      </c>
      <c r="F588" s="38">
        <f t="shared" si="68"/>
        <v>1.0663332751812811</v>
      </c>
      <c r="G588" s="14">
        <f t="shared" si="69"/>
        <v>0</v>
      </c>
      <c r="H588" s="24">
        <f t="shared" si="75"/>
        <v>566.23314333754865</v>
      </c>
      <c r="I588" s="12">
        <f t="shared" si="74"/>
        <v>0.53100471932441828</v>
      </c>
      <c r="J588" s="3"/>
    </row>
    <row r="589" spans="2:10" x14ac:dyDescent="0.25">
      <c r="B589" s="3">
        <f t="shared" si="70"/>
        <v>2845</v>
      </c>
      <c r="C589" s="14">
        <f t="shared" si="71"/>
        <v>47.416666666666664</v>
      </c>
      <c r="D589" s="11">
        <f t="shared" si="72"/>
        <v>910.15671444600048</v>
      </c>
      <c r="E589" s="24">
        <f t="shared" si="73"/>
        <v>304.68189134910637</v>
      </c>
      <c r="F589" s="38">
        <f t="shared" si="68"/>
        <v>1.0659721502498696</v>
      </c>
      <c r="G589" s="14">
        <f t="shared" si="69"/>
        <v>0</v>
      </c>
      <c r="H589" s="24">
        <f t="shared" si="75"/>
        <v>566.42496908553164</v>
      </c>
      <c r="I589" s="12">
        <f t="shared" si="74"/>
        <v>0.53067906296986345</v>
      </c>
      <c r="J589" s="3"/>
    </row>
    <row r="590" spans="2:10" x14ac:dyDescent="0.25">
      <c r="B590" s="3">
        <f t="shared" si="70"/>
        <v>2850</v>
      </c>
      <c r="C590" s="14">
        <f t="shared" si="71"/>
        <v>47.5</v>
      </c>
      <c r="D590" s="11">
        <f t="shared" si="72"/>
        <v>910.41911660808853</v>
      </c>
      <c r="E590" s="24">
        <f t="shared" si="73"/>
        <v>305.21257041207622</v>
      </c>
      <c r="F590" s="38">
        <f t="shared" si="68"/>
        <v>1.0656111316888424</v>
      </c>
      <c r="G590" s="14">
        <f t="shared" si="69"/>
        <v>0</v>
      </c>
      <c r="H590" s="24">
        <f t="shared" si="75"/>
        <v>566.61686828889788</v>
      </c>
      <c r="I590" s="12">
        <f t="shared" si="74"/>
        <v>0.53035319985122209</v>
      </c>
      <c r="J590" s="3"/>
    </row>
    <row r="591" spans="2:10" x14ac:dyDescent="0.25">
      <c r="B591" s="3">
        <f t="shared" si="70"/>
        <v>2855</v>
      </c>
      <c r="C591" s="14">
        <f t="shared" si="71"/>
        <v>47.583333333333336</v>
      </c>
      <c r="D591" s="11">
        <f t="shared" si="72"/>
        <v>910.68106002490424</v>
      </c>
      <c r="E591" s="24">
        <f t="shared" si="73"/>
        <v>305.74292361192744</v>
      </c>
      <c r="F591" s="38">
        <f t="shared" si="68"/>
        <v>1.0652502165944364</v>
      </c>
      <c r="G591" s="14">
        <f t="shared" si="69"/>
        <v>0</v>
      </c>
      <c r="H591" s="24">
        <f t="shared" si="75"/>
        <v>566.80884250990675</v>
      </c>
      <c r="I591" s="12">
        <f t="shared" si="74"/>
        <v>0.53002713186215711</v>
      </c>
      <c r="J591" s="3"/>
    </row>
    <row r="592" spans="2:10" x14ac:dyDescent="0.25">
      <c r="B592" s="3">
        <f t="shared" si="70"/>
        <v>2860</v>
      </c>
      <c r="C592" s="14">
        <f t="shared" si="71"/>
        <v>47.666666666666664</v>
      </c>
      <c r="D592" s="11">
        <f t="shared" si="72"/>
        <v>910.94254629765373</v>
      </c>
      <c r="E592" s="24">
        <f t="shared" si="73"/>
        <v>306.27295074378958</v>
      </c>
      <c r="F592" s="38">
        <f t="shared" si="68"/>
        <v>1.0648894020833506</v>
      </c>
      <c r="G592" s="14">
        <f t="shared" si="69"/>
        <v>0</v>
      </c>
      <c r="H592" s="24">
        <f t="shared" si="75"/>
        <v>567.00089330409185</v>
      </c>
      <c r="I592" s="12">
        <f t="shared" si="74"/>
        <v>0.52970086088489432</v>
      </c>
      <c r="J592" s="3"/>
    </row>
    <row r="593" spans="2:10" x14ac:dyDescent="0.25">
      <c r="B593" s="3">
        <f t="shared" si="70"/>
        <v>2865</v>
      </c>
      <c r="C593" s="14">
        <f t="shared" si="71"/>
        <v>47.75</v>
      </c>
      <c r="D593" s="11">
        <f t="shared" si="72"/>
        <v>911.20357701917476</v>
      </c>
      <c r="E593" s="24">
        <f t="shared" si="73"/>
        <v>306.80265160467445</v>
      </c>
      <c r="F593" s="38">
        <f t="shared" si="68"/>
        <v>1.0645286852926792</v>
      </c>
      <c r="G593" s="14">
        <f t="shared" si="69"/>
        <v>0</v>
      </c>
      <c r="H593" s="24">
        <f t="shared" si="75"/>
        <v>567.19302222026499</v>
      </c>
      <c r="I593" s="12">
        <f t="shared" si="74"/>
        <v>0.52937438879021614</v>
      </c>
      <c r="J593" s="3"/>
    </row>
    <row r="594" spans="2:10" x14ac:dyDescent="0.25">
      <c r="B594" s="3">
        <f t="shared" si="70"/>
        <v>2870</v>
      </c>
      <c r="C594" s="14">
        <f t="shared" si="71"/>
        <v>47.833333333333336</v>
      </c>
      <c r="D594" s="11">
        <f t="shared" si="72"/>
        <v>911.46415377399455</v>
      </c>
      <c r="E594" s="24">
        <f t="shared" si="73"/>
        <v>307.33202599346464</v>
      </c>
      <c r="F594" s="38">
        <f t="shared" si="68"/>
        <v>1.0641680633798551</v>
      </c>
      <c r="G594" s="14">
        <f t="shared" si="69"/>
        <v>0</v>
      </c>
      <c r="H594" s="24">
        <f t="shared" si="75"/>
        <v>567.38523080051857</v>
      </c>
      <c r="I594" s="12">
        <f t="shared" si="74"/>
        <v>0.52904771743771351</v>
      </c>
      <c r="J594" s="3"/>
    </row>
    <row r="595" spans="2:10" x14ac:dyDescent="0.25">
      <c r="B595" s="3">
        <f t="shared" si="70"/>
        <v>2875</v>
      </c>
      <c r="C595" s="14">
        <f t="shared" si="71"/>
        <v>47.916666666666664</v>
      </c>
      <c r="D595" s="11">
        <f t="shared" si="72"/>
        <v>911.72427813838749</v>
      </c>
      <c r="E595" s="24">
        <f t="shared" si="73"/>
        <v>307.86107371090236</v>
      </c>
      <c r="F595" s="38">
        <f t="shared" si="68"/>
        <v>1.0638075335225867</v>
      </c>
      <c r="G595" s="14">
        <f t="shared" si="69"/>
        <v>0</v>
      </c>
      <c r="H595" s="24">
        <f t="shared" si="75"/>
        <v>567.57752058023038</v>
      </c>
      <c r="I595" s="12">
        <f t="shared" si="74"/>
        <v>0.52872084867588121</v>
      </c>
      <c r="J595" s="3"/>
    </row>
    <row r="596" spans="2:10" x14ac:dyDescent="0.25">
      <c r="B596" s="3">
        <f t="shared" si="70"/>
        <v>2880</v>
      </c>
      <c r="C596" s="14">
        <f t="shared" si="71"/>
        <v>48</v>
      </c>
      <c r="D596" s="11">
        <f t="shared" si="72"/>
        <v>911.98395168043271</v>
      </c>
      <c r="E596" s="24">
        <f t="shared" si="73"/>
        <v>308.38979455957826</v>
      </c>
      <c r="F596" s="38">
        <f t="shared" ref="F596:F659" si="76">Cp*RhoP/(RhoA*H596)*dp/1000*MassivP</f>
        <v>1.0634470929187969</v>
      </c>
      <c r="G596" s="14">
        <f t="shared" ref="G596:G659" si="77">Phi*EpsilonF*Botzman/10^8*J596*((D596+273)^4-(E596+273)^4)</f>
        <v>0</v>
      </c>
      <c r="H596" s="24">
        <f t="shared" si="75"/>
        <v>567.76989308806617</v>
      </c>
      <c r="I596" s="12">
        <f t="shared" si="74"/>
        <v>0.5283937843421882</v>
      </c>
      <c r="J596" s="3"/>
    </row>
    <row r="597" spans="2:10" x14ac:dyDescent="0.25">
      <c r="B597" s="3">
        <f t="shared" ref="B597:B660" si="78">B596+DeltaT</f>
        <v>2885</v>
      </c>
      <c r="C597" s="14">
        <f t="shared" ref="C597:C660" si="79">B597/60</f>
        <v>48.083333333333336</v>
      </c>
      <c r="D597" s="11">
        <f t="shared" ref="D597:D660" si="80">20+345*LOG(8*C597+1,10)</f>
        <v>912.24317596006995</v>
      </c>
      <c r="E597" s="24">
        <f t="shared" ref="E597:E660" si="81">E596+IF(Limit=Oui,MAX(0,I596),I596)</f>
        <v>308.91818834392046</v>
      </c>
      <c r="F597" s="38">
        <f t="shared" si="76"/>
        <v>1.0630867387865617</v>
      </c>
      <c r="G597" s="14">
        <f t="shared" si="77"/>
        <v>0</v>
      </c>
      <c r="H597" s="24">
        <f t="shared" si="75"/>
        <v>567.9623498459847</v>
      </c>
      <c r="I597" s="12">
        <f t="shared" ref="I597:I660" si="82">LambdaP*MassivP/(dp/1000)/(H597*RhoA)/(1+F597/3)*(D597-E597)*DeltaT-(EXP(F597/10)-1)*(D597-D596)</f>
        <v>0.52806652626334893</v>
      </c>
      <c r="J597" s="3"/>
    </row>
    <row r="598" spans="2:10" x14ac:dyDescent="0.25">
      <c r="B598" s="3">
        <f t="shared" si="78"/>
        <v>2890</v>
      </c>
      <c r="C598" s="14">
        <f t="shared" si="79"/>
        <v>48.166666666666664</v>
      </c>
      <c r="D598" s="11">
        <f t="shared" si="80"/>
        <v>912.50195252915682</v>
      </c>
      <c r="E598" s="24">
        <f t="shared" si="81"/>
        <v>309.44625487018379</v>
      </c>
      <c r="F598" s="38">
        <f t="shared" si="76"/>
        <v>1.0627264683640496</v>
      </c>
      <c r="G598" s="14">
        <f t="shared" si="77"/>
        <v>0</v>
      </c>
      <c r="H598" s="24">
        <f t="shared" si="75"/>
        <v>568.154892369241</v>
      </c>
      <c r="I598" s="12">
        <f t="shared" si="82"/>
        <v>0.52773907625522665</v>
      </c>
      <c r="J598" s="3"/>
    </row>
    <row r="599" spans="2:10" x14ac:dyDescent="0.25">
      <c r="B599" s="3">
        <f t="shared" si="78"/>
        <v>2895</v>
      </c>
      <c r="C599" s="14">
        <f t="shared" si="79"/>
        <v>48.25</v>
      </c>
      <c r="D599" s="11">
        <f t="shared" si="80"/>
        <v>912.76028293152444</v>
      </c>
      <c r="E599" s="24">
        <f t="shared" si="81"/>
        <v>309.97399394643901</v>
      </c>
      <c r="F599" s="38">
        <f t="shared" si="76"/>
        <v>1.0623662789094597</v>
      </c>
      <c r="G599" s="14">
        <f t="shared" si="77"/>
        <v>0</v>
      </c>
      <c r="H599" s="24">
        <f t="shared" si="75"/>
        <v>568.34752216639072</v>
      </c>
      <c r="I599" s="12">
        <f t="shared" si="82"/>
        <v>0.52741143612308994</v>
      </c>
      <c r="J599" s="3"/>
    </row>
    <row r="600" spans="2:10" x14ac:dyDescent="0.25">
      <c r="B600" s="3">
        <f t="shared" si="78"/>
        <v>2900</v>
      </c>
      <c r="C600" s="14">
        <f t="shared" si="79"/>
        <v>48.333333333333336</v>
      </c>
      <c r="D600" s="11">
        <f t="shared" si="80"/>
        <v>913.01816870303094</v>
      </c>
      <c r="E600" s="24">
        <f t="shared" si="81"/>
        <v>310.5014053825621</v>
      </c>
      <c r="F600" s="38">
        <f t="shared" si="76"/>
        <v>1.0620061677009616</v>
      </c>
      <c r="G600" s="14">
        <f t="shared" si="77"/>
        <v>0</v>
      </c>
      <c r="H600" s="24">
        <f t="shared" si="75"/>
        <v>568.5402407392944</v>
      </c>
      <c r="I600" s="12">
        <f t="shared" si="82"/>
        <v>0.52708360766190798</v>
      </c>
      <c r="J600" s="3"/>
    </row>
    <row r="601" spans="2:10" x14ac:dyDescent="0.25">
      <c r="B601" s="3">
        <f t="shared" si="78"/>
        <v>2905</v>
      </c>
      <c r="C601" s="14">
        <f t="shared" si="79"/>
        <v>48.416666666666664</v>
      </c>
      <c r="D601" s="11">
        <f t="shared" si="80"/>
        <v>913.27561137161933</v>
      </c>
      <c r="E601" s="24">
        <f t="shared" si="81"/>
        <v>311.02848899022399</v>
      </c>
      <c r="F601" s="38">
        <f t="shared" si="76"/>
        <v>1.0616461320366324</v>
      </c>
      <c r="G601" s="14">
        <f t="shared" si="77"/>
        <v>0</v>
      </c>
      <c r="H601" s="24">
        <f t="shared" si="75"/>
        <v>568.73304958312235</v>
      </c>
      <c r="I601" s="12">
        <f t="shared" si="82"/>
        <v>0.52675559265593208</v>
      </c>
      <c r="J601" s="3"/>
    </row>
    <row r="602" spans="2:10" x14ac:dyDescent="0.25">
      <c r="B602" s="3">
        <f t="shared" si="78"/>
        <v>2910</v>
      </c>
      <c r="C602" s="14">
        <f t="shared" si="79"/>
        <v>48.5</v>
      </c>
      <c r="D602" s="11">
        <f t="shared" si="80"/>
        <v>913.53261245736905</v>
      </c>
      <c r="E602" s="24">
        <f t="shared" si="81"/>
        <v>311.55524458287994</v>
      </c>
      <c r="F602" s="38">
        <f t="shared" si="76"/>
        <v>1.0612861692343976</v>
      </c>
      <c r="G602" s="14">
        <f t="shared" si="77"/>
        <v>0</v>
      </c>
      <c r="H602" s="24">
        <f t="shared" si="75"/>
        <v>568.92595018635836</v>
      </c>
      <c r="I602" s="12">
        <f t="shared" si="82"/>
        <v>0.5264273928794716</v>
      </c>
      <c r="J602" s="3"/>
    </row>
    <row r="603" spans="2:10" x14ac:dyDescent="0.25">
      <c r="B603" s="3">
        <f t="shared" si="78"/>
        <v>2915</v>
      </c>
      <c r="C603" s="14">
        <f t="shared" si="79"/>
        <v>48.583333333333336</v>
      </c>
      <c r="D603" s="11">
        <f t="shared" si="80"/>
        <v>913.78917347255128</v>
      </c>
      <c r="E603" s="24">
        <f t="shared" si="81"/>
        <v>312.08167197575943</v>
      </c>
      <c r="F603" s="38">
        <f t="shared" si="76"/>
        <v>1.0609262766319687</v>
      </c>
      <c r="G603" s="14">
        <f t="shared" si="77"/>
        <v>0</v>
      </c>
      <c r="H603" s="24">
        <f t="shared" si="75"/>
        <v>569.11894403080532</v>
      </c>
      <c r="I603" s="12">
        <f t="shared" si="82"/>
        <v>0.52609901009652427</v>
      </c>
      <c r="J603" s="3"/>
    </row>
    <row r="604" spans="2:10" x14ac:dyDescent="0.25">
      <c r="B604" s="3">
        <f t="shared" si="78"/>
        <v>2920</v>
      </c>
      <c r="C604" s="14">
        <f t="shared" si="79"/>
        <v>48.666666666666664</v>
      </c>
      <c r="D604" s="11">
        <f t="shared" si="80"/>
        <v>914.0452959216816</v>
      </c>
      <c r="E604" s="24">
        <f t="shared" si="81"/>
        <v>312.60777098585595</v>
      </c>
      <c r="F604" s="38">
        <f t="shared" si="76"/>
        <v>1.0605664515867816</v>
      </c>
      <c r="G604" s="14">
        <f t="shared" si="77"/>
        <v>0</v>
      </c>
      <c r="H604" s="24">
        <f t="shared" si="75"/>
        <v>569.3120325915894</v>
      </c>
      <c r="I604" s="12">
        <f t="shared" si="82"/>
        <v>0.52577044606114398</v>
      </c>
      <c r="J604" s="3"/>
    </row>
    <row r="605" spans="2:10" x14ac:dyDescent="0.25">
      <c r="B605" s="3">
        <f t="shared" si="78"/>
        <v>2925</v>
      </c>
      <c r="C605" s="14">
        <f t="shared" si="79"/>
        <v>48.75</v>
      </c>
      <c r="D605" s="11">
        <f t="shared" si="80"/>
        <v>914.30098130157398</v>
      </c>
      <c r="E605" s="24">
        <f t="shared" si="81"/>
        <v>313.13354143191708</v>
      </c>
      <c r="F605" s="38">
        <f t="shared" si="76"/>
        <v>1.0602066914759367</v>
      </c>
      <c r="G605" s="14">
        <f t="shared" si="77"/>
        <v>0</v>
      </c>
      <c r="H605" s="24">
        <f t="shared" si="75"/>
        <v>569.50521733716505</v>
      </c>
      <c r="I605" s="12">
        <f t="shared" si="82"/>
        <v>0.52544170251734834</v>
      </c>
      <c r="J605" s="3"/>
    </row>
    <row r="606" spans="2:10" x14ac:dyDescent="0.25">
      <c r="B606" s="3">
        <f t="shared" si="78"/>
        <v>2930</v>
      </c>
      <c r="C606" s="14">
        <f t="shared" si="79"/>
        <v>48.833333333333336</v>
      </c>
      <c r="D606" s="11">
        <f t="shared" si="80"/>
        <v>914.55623110139186</v>
      </c>
      <c r="E606" s="24">
        <f t="shared" si="81"/>
        <v>313.65898313443444</v>
      </c>
      <c r="F606" s="38">
        <f t="shared" si="76"/>
        <v>1.059846993696137</v>
      </c>
      <c r="G606" s="14">
        <f t="shared" si="77"/>
        <v>0</v>
      </c>
      <c r="H606" s="24">
        <f t="shared" si="75"/>
        <v>569.6984997293207</v>
      </c>
      <c r="I606" s="12">
        <f t="shared" si="82"/>
        <v>0.5251127811995101</v>
      </c>
      <c r="J606" s="3"/>
    </row>
    <row r="607" spans="2:10" x14ac:dyDescent="0.25">
      <c r="B607" s="3">
        <f t="shared" si="78"/>
        <v>2935</v>
      </c>
      <c r="C607" s="14">
        <f t="shared" si="79"/>
        <v>48.916666666666664</v>
      </c>
      <c r="D607" s="11">
        <f t="shared" si="80"/>
        <v>914.8110468027013</v>
      </c>
      <c r="E607" s="24">
        <f t="shared" si="81"/>
        <v>314.18409591563392</v>
      </c>
      <c r="F607" s="38">
        <f t="shared" si="76"/>
        <v>1.0594873556636273</v>
      </c>
      <c r="G607" s="14">
        <f t="shared" si="77"/>
        <v>0</v>
      </c>
      <c r="H607" s="24">
        <f t="shared" si="75"/>
        <v>569.89188122318296</v>
      </c>
      <c r="I607" s="12">
        <f t="shared" si="82"/>
        <v>0.52478368383217533</v>
      </c>
      <c r="J607" s="3"/>
    </row>
    <row r="608" spans="2:10" x14ac:dyDescent="0.25">
      <c r="B608" s="3">
        <f t="shared" si="78"/>
        <v>2940</v>
      </c>
      <c r="C608" s="14">
        <f t="shared" si="79"/>
        <v>49</v>
      </c>
      <c r="D608" s="11">
        <f t="shared" si="80"/>
        <v>915.06542987952218</v>
      </c>
      <c r="E608" s="24">
        <f t="shared" si="81"/>
        <v>314.70887959946612</v>
      </c>
      <c r="F608" s="38">
        <f t="shared" si="76"/>
        <v>1.0591277748141328</v>
      </c>
      <c r="G608" s="14">
        <f t="shared" si="77"/>
        <v>0</v>
      </c>
      <c r="H608" s="24">
        <f t="shared" si="75"/>
        <v>570.08536326722265</v>
      </c>
      <c r="I608" s="12">
        <f t="shared" si="82"/>
        <v>0.52445441213034982</v>
      </c>
      <c r="J608" s="3"/>
    </row>
    <row r="609" spans="2:10" x14ac:dyDescent="0.25">
      <c r="B609" s="3">
        <f t="shared" si="78"/>
        <v>2945</v>
      </c>
      <c r="C609" s="14">
        <f t="shared" si="79"/>
        <v>49.083333333333336</v>
      </c>
      <c r="D609" s="11">
        <f t="shared" si="80"/>
        <v>915.31938179837903</v>
      </c>
      <c r="E609" s="24">
        <f t="shared" si="81"/>
        <v>315.23333401159647</v>
      </c>
      <c r="F609" s="38">
        <f t="shared" si="76"/>
        <v>1.0587682486027981</v>
      </c>
      <c r="G609" s="14">
        <f t="shared" si="77"/>
        <v>0</v>
      </c>
      <c r="H609" s="24">
        <f t="shared" si="75"/>
        <v>570.27894730326011</v>
      </c>
      <c r="I609" s="12">
        <f t="shared" si="82"/>
        <v>0.5241249677995945</v>
      </c>
      <c r="J609" s="3"/>
    </row>
    <row r="610" spans="2:10" x14ac:dyDescent="0.25">
      <c r="B610" s="3">
        <f t="shared" si="78"/>
        <v>2950</v>
      </c>
      <c r="C610" s="14">
        <f t="shared" si="79"/>
        <v>49.166666666666664</v>
      </c>
      <c r="D610" s="11">
        <f t="shared" si="80"/>
        <v>915.57290401835235</v>
      </c>
      <c r="E610" s="24">
        <f t="shared" si="81"/>
        <v>315.75745897939606</v>
      </c>
      <c r="F610" s="38">
        <f t="shared" si="76"/>
        <v>1.0584087745041257</v>
      </c>
      <c r="G610" s="14">
        <f t="shared" si="77"/>
        <v>0</v>
      </c>
      <c r="H610" s="24">
        <f t="shared" si="75"/>
        <v>570.47263476647095</v>
      </c>
      <c r="I610" s="12">
        <f t="shared" si="82"/>
        <v>0.52379535253601972</v>
      </c>
      <c r="J610" s="3"/>
    </row>
    <row r="611" spans="2:10" x14ac:dyDescent="0.25">
      <c r="B611" s="3">
        <f t="shared" si="78"/>
        <v>2955</v>
      </c>
      <c r="C611" s="14">
        <f t="shared" si="79"/>
        <v>49.25</v>
      </c>
      <c r="D611" s="11">
        <f t="shared" si="80"/>
        <v>915.8259979911287</v>
      </c>
      <c r="E611" s="24">
        <f t="shared" si="81"/>
        <v>316.28125433193208</v>
      </c>
      <c r="F611" s="38">
        <f t="shared" si="76"/>
        <v>1.0580493500119155</v>
      </c>
      <c r="G611" s="14">
        <f t="shared" si="77"/>
        <v>0</v>
      </c>
      <c r="H611" s="24">
        <f t="shared" si="75"/>
        <v>570.66642708539098</v>
      </c>
      <c r="I611" s="12">
        <f t="shared" si="82"/>
        <v>0.52346556802649347</v>
      </c>
      <c r="J611" s="3"/>
    </row>
    <row r="612" spans="2:10" x14ac:dyDescent="0.25">
      <c r="B612" s="3">
        <f t="shared" si="78"/>
        <v>2960</v>
      </c>
      <c r="C612" s="14">
        <f t="shared" si="79"/>
        <v>49.333333333333336</v>
      </c>
      <c r="D612" s="11">
        <f t="shared" si="80"/>
        <v>916.07866516105037</v>
      </c>
      <c r="E612" s="24">
        <f t="shared" si="81"/>
        <v>316.80471989995857</v>
      </c>
      <c r="F612" s="38">
        <f t="shared" si="76"/>
        <v>1.0576899726392037</v>
      </c>
      <c r="G612" s="14">
        <f t="shared" si="77"/>
        <v>0</v>
      </c>
      <c r="H612" s="24">
        <f t="shared" si="75"/>
        <v>570.86032568192297</v>
      </c>
      <c r="I612" s="12">
        <f t="shared" si="82"/>
        <v>0.52313561594873348</v>
      </c>
      <c r="J612" s="3"/>
    </row>
    <row r="613" spans="2:10" x14ac:dyDescent="0.25">
      <c r="B613" s="3">
        <f t="shared" si="78"/>
        <v>2965</v>
      </c>
      <c r="C613" s="14">
        <f t="shared" si="79"/>
        <v>49.416666666666664</v>
      </c>
      <c r="D613" s="11">
        <f t="shared" si="80"/>
        <v>916.33090696516501</v>
      </c>
      <c r="E613" s="24">
        <f t="shared" si="81"/>
        <v>317.32785551590729</v>
      </c>
      <c r="F613" s="38">
        <f t="shared" si="76"/>
        <v>1.0573306399182021</v>
      </c>
      <c r="G613" s="14">
        <f t="shared" si="77"/>
        <v>0</v>
      </c>
      <c r="H613" s="24">
        <f t="shared" si="75"/>
        <v>571.05433197134164</v>
      </c>
      <c r="I613" s="12">
        <f t="shared" si="82"/>
        <v>0.52280549797136266</v>
      </c>
      <c r="J613" s="3"/>
    </row>
    <row r="614" spans="2:10" x14ac:dyDescent="0.25">
      <c r="B614" s="3">
        <f t="shared" si="78"/>
        <v>2970</v>
      </c>
      <c r="C614" s="14">
        <f t="shared" si="79"/>
        <v>49.5</v>
      </c>
      <c r="D614" s="11">
        <f t="shared" si="80"/>
        <v>916.58272483327471</v>
      </c>
      <c r="E614" s="24">
        <f t="shared" si="81"/>
        <v>317.85066101387866</v>
      </c>
      <c r="F614" s="38">
        <f t="shared" si="76"/>
        <v>1.0569713494002348</v>
      </c>
      <c r="G614" s="14">
        <f t="shared" si="77"/>
        <v>0</v>
      </c>
      <c r="H614" s="24">
        <f t="shared" si="75"/>
        <v>571.24844736230091</v>
      </c>
      <c r="I614" s="12">
        <f t="shared" si="82"/>
        <v>0.52247521575403744</v>
      </c>
      <c r="J614" s="3"/>
    </row>
    <row r="615" spans="2:10" x14ac:dyDescent="0.25">
      <c r="B615" s="3">
        <f t="shared" si="78"/>
        <v>2975</v>
      </c>
      <c r="C615" s="14">
        <f t="shared" si="79"/>
        <v>49.583333333333336</v>
      </c>
      <c r="D615" s="11">
        <f t="shared" si="80"/>
        <v>916.83412018798447</v>
      </c>
      <c r="E615" s="24">
        <f t="shared" si="81"/>
        <v>318.37313622963268</v>
      </c>
      <c r="F615" s="38">
        <f t="shared" si="76"/>
        <v>1.0566120986556797</v>
      </c>
      <c r="G615" s="14">
        <f t="shared" si="77"/>
        <v>0</v>
      </c>
      <c r="H615" s="24">
        <f t="shared" si="75"/>
        <v>571.44267325683859</v>
      </c>
      <c r="I615" s="12">
        <f t="shared" si="82"/>
        <v>0.52214477094755307</v>
      </c>
      <c r="J615" s="3"/>
    </row>
    <row r="616" spans="2:10" x14ac:dyDescent="0.25">
      <c r="B616" s="3">
        <f t="shared" si="78"/>
        <v>2980</v>
      </c>
      <c r="C616" s="14">
        <f t="shared" si="79"/>
        <v>49.666666666666664</v>
      </c>
      <c r="D616" s="11">
        <f t="shared" si="80"/>
        <v>917.08509444475033</v>
      </c>
      <c r="E616" s="24">
        <f t="shared" si="81"/>
        <v>318.89528100058021</v>
      </c>
      <c r="F616" s="38">
        <f t="shared" si="76"/>
        <v>1.0562528852739077</v>
      </c>
      <c r="G616" s="14">
        <f t="shared" si="77"/>
        <v>0</v>
      </c>
      <c r="H616" s="24">
        <f t="shared" si="75"/>
        <v>571.63701105038331</v>
      </c>
      <c r="I616" s="12">
        <f t="shared" si="82"/>
        <v>0.52181416519394386</v>
      </c>
      <c r="J616" s="3"/>
    </row>
    <row r="617" spans="2:10" x14ac:dyDescent="0.25">
      <c r="B617" s="3">
        <f t="shared" si="78"/>
        <v>2985</v>
      </c>
      <c r="C617" s="14">
        <f t="shared" si="79"/>
        <v>49.75</v>
      </c>
      <c r="D617" s="11">
        <f t="shared" si="80"/>
        <v>917.33564901192801</v>
      </c>
      <c r="E617" s="24">
        <f t="shared" si="81"/>
        <v>319.41709516577413</v>
      </c>
      <c r="F617" s="38">
        <f t="shared" si="76"/>
        <v>1.0558937068632184</v>
      </c>
      <c r="G617" s="14">
        <f t="shared" si="77"/>
        <v>0</v>
      </c>
      <c r="H617" s="24">
        <f t="shared" si="75"/>
        <v>571.8314621317619</v>
      </c>
      <c r="I617" s="12">
        <f t="shared" si="82"/>
        <v>0.52148340012647298</v>
      </c>
      <c r="J617" s="3"/>
    </row>
    <row r="618" spans="2:10" x14ac:dyDescent="0.25">
      <c r="B618" s="3">
        <f t="shared" si="78"/>
        <v>2990</v>
      </c>
      <c r="C618" s="14">
        <f t="shared" si="79"/>
        <v>49.833333333333336</v>
      </c>
      <c r="D618" s="11">
        <f t="shared" si="80"/>
        <v>917.58578529081922</v>
      </c>
      <c r="E618" s="24">
        <f t="shared" si="81"/>
        <v>319.93857856590063</v>
      </c>
      <c r="F618" s="38">
        <f t="shared" si="76"/>
        <v>1.0555345610507825</v>
      </c>
      <c r="G618" s="14">
        <f t="shared" si="77"/>
        <v>0</v>
      </c>
      <c r="H618" s="24">
        <f t="shared" si="75"/>
        <v>572.02602788320371</v>
      </c>
      <c r="I618" s="12">
        <f t="shared" si="82"/>
        <v>0.52115247736994796</v>
      </c>
      <c r="J618" s="3"/>
    </row>
    <row r="619" spans="2:10" x14ac:dyDescent="0.25">
      <c r="B619" s="3">
        <f t="shared" si="78"/>
        <v>2995</v>
      </c>
      <c r="C619" s="14">
        <f t="shared" si="79"/>
        <v>49.916666666666664</v>
      </c>
      <c r="D619" s="11">
        <f t="shared" si="80"/>
        <v>917.83550467571899</v>
      </c>
      <c r="E619" s="24">
        <f t="shared" si="81"/>
        <v>320.45973104327055</v>
      </c>
      <c r="F619" s="38">
        <f t="shared" si="76"/>
        <v>1.0551754454825795</v>
      </c>
      <c r="G619" s="14">
        <f t="shared" si="77"/>
        <v>0</v>
      </c>
      <c r="H619" s="24">
        <f t="shared" si="75"/>
        <v>572.22070968034905</v>
      </c>
      <c r="I619" s="12">
        <f t="shared" si="82"/>
        <v>0.52082139854064358</v>
      </c>
      <c r="J619" s="3"/>
    </row>
    <row r="620" spans="2:10" x14ac:dyDescent="0.25">
      <c r="B620" s="3">
        <f t="shared" si="78"/>
        <v>3000</v>
      </c>
      <c r="C620" s="14">
        <f t="shared" si="79"/>
        <v>50</v>
      </c>
      <c r="D620" s="11">
        <f t="shared" si="80"/>
        <v>918.08480855396283</v>
      </c>
      <c r="E620" s="24">
        <f t="shared" si="81"/>
        <v>320.9805524418112</v>
      </c>
      <c r="F620" s="38">
        <f t="shared" si="76"/>
        <v>1.0548163578233365</v>
      </c>
      <c r="G620" s="14">
        <f t="shared" si="77"/>
        <v>0</v>
      </c>
      <c r="H620" s="24">
        <f t="shared" si="75"/>
        <v>572.41550889225493</v>
      </c>
      <c r="I620" s="12">
        <f t="shared" si="82"/>
        <v>0.52049016524638902</v>
      </c>
      <c r="J620" s="3"/>
    </row>
    <row r="621" spans="2:10" x14ac:dyDescent="0.25">
      <c r="B621" s="3">
        <f t="shared" si="78"/>
        <v>3005</v>
      </c>
      <c r="C621" s="14">
        <f t="shared" si="79"/>
        <v>50.083333333333336</v>
      </c>
      <c r="D621" s="11">
        <f t="shared" si="80"/>
        <v>918.33369830597258</v>
      </c>
      <c r="E621" s="24">
        <f t="shared" si="81"/>
        <v>321.50104260705757</v>
      </c>
      <c r="F621" s="38">
        <f t="shared" si="76"/>
        <v>1.0544572957564682</v>
      </c>
      <c r="G621" s="14">
        <f t="shared" si="77"/>
        <v>0</v>
      </c>
      <c r="H621" s="24">
        <f t="shared" si="75"/>
        <v>572.61042688140219</v>
      </c>
      <c r="I621" s="12">
        <f t="shared" si="82"/>
        <v>0.52015877908674235</v>
      </c>
      <c r="J621" s="3"/>
    </row>
    <row r="622" spans="2:10" x14ac:dyDescent="0.25">
      <c r="B622" s="3">
        <f t="shared" si="78"/>
        <v>3010</v>
      </c>
      <c r="C622" s="14">
        <f t="shared" si="79"/>
        <v>50.166666666666664</v>
      </c>
      <c r="D622" s="11">
        <f t="shared" si="80"/>
        <v>918.5821753053018</v>
      </c>
      <c r="E622" s="24">
        <f t="shared" si="81"/>
        <v>322.0212013861443</v>
      </c>
      <c r="F622" s="38">
        <f t="shared" si="76"/>
        <v>1.0540982569840129</v>
      </c>
      <c r="G622" s="14">
        <f t="shared" si="77"/>
        <v>0</v>
      </c>
      <c r="H622" s="24">
        <f t="shared" si="75"/>
        <v>572.80546500370269</v>
      </c>
      <c r="I622" s="12">
        <f t="shared" si="82"/>
        <v>0.51982724165310079</v>
      </c>
      <c r="J622" s="3"/>
    </row>
    <row r="623" spans="2:10" x14ac:dyDescent="0.25">
      <c r="B623" s="3">
        <f t="shared" si="78"/>
        <v>3015</v>
      </c>
      <c r="C623" s="14">
        <f t="shared" si="79"/>
        <v>50.25</v>
      </c>
      <c r="D623" s="11">
        <f t="shared" si="80"/>
        <v>918.83024091868265</v>
      </c>
      <c r="E623" s="24">
        <f t="shared" si="81"/>
        <v>322.5410286277974</v>
      </c>
      <c r="F623" s="38">
        <f t="shared" si="76"/>
        <v>1.0537392392265774</v>
      </c>
      <c r="G623" s="14">
        <f t="shared" si="77"/>
        <v>0</v>
      </c>
      <c r="H623" s="24">
        <f t="shared" si="75"/>
        <v>573.0006246085054</v>
      </c>
      <c r="I623" s="12">
        <f t="shared" si="82"/>
        <v>0.51949555452858454</v>
      </c>
      <c r="J623" s="3"/>
    </row>
    <row r="624" spans="2:10" x14ac:dyDescent="0.25">
      <c r="B624" s="3">
        <f t="shared" si="78"/>
        <v>3020</v>
      </c>
      <c r="C624" s="14">
        <f t="shared" si="79"/>
        <v>50.333333333333336</v>
      </c>
      <c r="D624" s="11">
        <f t="shared" si="80"/>
        <v>919.07789650606946</v>
      </c>
      <c r="E624" s="24">
        <f t="shared" si="81"/>
        <v>323.06052418232599</v>
      </c>
      <c r="F624" s="38">
        <f t="shared" si="76"/>
        <v>1.0533802402232695</v>
      </c>
      <c r="G624" s="14">
        <f t="shared" si="77"/>
        <v>0</v>
      </c>
      <c r="H624" s="24">
        <f t="shared" si="75"/>
        <v>573.19590703860456</v>
      </c>
      <c r="I624" s="12">
        <f t="shared" si="82"/>
        <v>0.51916371928843508</v>
      </c>
      <c r="J624" s="3"/>
    </row>
    <row r="625" spans="2:10" x14ac:dyDescent="0.25">
      <c r="B625" s="3">
        <f t="shared" si="78"/>
        <v>3025</v>
      </c>
      <c r="C625" s="14">
        <f t="shared" si="79"/>
        <v>50.416666666666664</v>
      </c>
      <c r="D625" s="11">
        <f t="shared" si="80"/>
        <v>919.32514342068396</v>
      </c>
      <c r="E625" s="24">
        <f t="shared" si="81"/>
        <v>323.57968790161442</v>
      </c>
      <c r="F625" s="38">
        <f t="shared" si="76"/>
        <v>1.0530212577316418</v>
      </c>
      <c r="G625" s="14">
        <f t="shared" si="77"/>
        <v>0</v>
      </c>
      <c r="H625" s="24">
        <f t="shared" si="75"/>
        <v>573.39131363024615</v>
      </c>
      <c r="I625" s="12">
        <f t="shared" si="82"/>
        <v>0.51883173749989631</v>
      </c>
      <c r="J625" s="3"/>
    </row>
    <row r="626" spans="2:10" x14ac:dyDescent="0.25">
      <c r="B626" s="3">
        <f t="shared" si="78"/>
        <v>3030</v>
      </c>
      <c r="C626" s="14">
        <f t="shared" si="79"/>
        <v>50.5</v>
      </c>
      <c r="D626" s="11">
        <f t="shared" si="80"/>
        <v>919.57198300906055</v>
      </c>
      <c r="E626" s="24">
        <f t="shared" si="81"/>
        <v>324.09851963911433</v>
      </c>
      <c r="F626" s="38">
        <f t="shared" si="76"/>
        <v>1.0526622895276287</v>
      </c>
      <c r="G626" s="14">
        <f t="shared" si="77"/>
        <v>0</v>
      </c>
      <c r="H626" s="24">
        <f t="shared" si="75"/>
        <v>573.58684571313574</v>
      </c>
      <c r="I626" s="12">
        <f t="shared" si="82"/>
        <v>0.51849961072223516</v>
      </c>
      <c r="J626" s="3"/>
    </row>
    <row r="627" spans="2:10" x14ac:dyDescent="0.25">
      <c r="B627" s="3">
        <f t="shared" si="78"/>
        <v>3035</v>
      </c>
      <c r="C627" s="14">
        <f t="shared" si="79"/>
        <v>50.583333333333336</v>
      </c>
      <c r="D627" s="11">
        <f t="shared" si="80"/>
        <v>919.81841661108876</v>
      </c>
      <c r="E627" s="24">
        <f t="shared" si="81"/>
        <v>324.61701924983657</v>
      </c>
      <c r="F627" s="38">
        <f t="shared" si="76"/>
        <v>1.0523033334054857</v>
      </c>
      <c r="G627" s="14">
        <f t="shared" si="77"/>
        <v>0</v>
      </c>
      <c r="H627" s="24">
        <f t="shared" si="75"/>
        <v>573.78250461044536</v>
      </c>
      <c r="I627" s="12">
        <f t="shared" si="82"/>
        <v>0.51816734050711222</v>
      </c>
      <c r="J627" s="3"/>
    </row>
    <row r="628" spans="2:10" x14ac:dyDescent="0.25">
      <c r="B628" s="3">
        <f t="shared" si="78"/>
        <v>3040</v>
      </c>
      <c r="C628" s="14">
        <f t="shared" si="79"/>
        <v>50.666666666666664</v>
      </c>
      <c r="D628" s="11">
        <f t="shared" si="80"/>
        <v>920.06444556005806</v>
      </c>
      <c r="E628" s="24">
        <f t="shared" si="81"/>
        <v>325.13518659034366</v>
      </c>
      <c r="F628" s="38">
        <f t="shared" si="76"/>
        <v>1.0519443871777292</v>
      </c>
      <c r="G628" s="14">
        <f t="shared" si="77"/>
        <v>0</v>
      </c>
      <c r="H628" s="24">
        <f t="shared" si="75"/>
        <v>573.97829163882159</v>
      </c>
      <c r="I628" s="12">
        <f t="shared" si="82"/>
        <v>0.51783492839836109</v>
      </c>
      <c r="J628" s="3"/>
    </row>
    <row r="629" spans="2:10" x14ac:dyDescent="0.25">
      <c r="B629" s="3">
        <f t="shared" si="78"/>
        <v>3045</v>
      </c>
      <c r="C629" s="14">
        <f t="shared" si="79"/>
        <v>50.75</v>
      </c>
      <c r="D629" s="11">
        <f t="shared" si="80"/>
        <v>920.31007118270077</v>
      </c>
      <c r="E629" s="24">
        <f t="shared" si="81"/>
        <v>325.65302151874204</v>
      </c>
      <c r="F629" s="38">
        <f t="shared" si="76"/>
        <v>1.0515854486750753</v>
      </c>
      <c r="G629" s="14">
        <f t="shared" si="77"/>
        <v>0</v>
      </c>
      <c r="H629" s="24">
        <f t="shared" ref="H629:H692" si="83">IF(E629&lt;600,425+0.773*E629-1.69/1000*E629^2+2.22/1000^2*E629^3,IF(E629&lt;735,666+13002/(738-E629),IF(E629&lt;900,545+17820/(E629-731),650)))</f>
        <v>574.17420810839258</v>
      </c>
      <c r="I629" s="12">
        <f t="shared" si="82"/>
        <v>0.51750237593223258</v>
      </c>
      <c r="J629" s="3"/>
    </row>
    <row r="630" spans="2:10" x14ac:dyDescent="0.25">
      <c r="B630" s="3">
        <f t="shared" si="78"/>
        <v>3050</v>
      </c>
      <c r="C630" s="14">
        <f t="shared" si="79"/>
        <v>50.833333333333336</v>
      </c>
      <c r="D630" s="11">
        <f t="shared" si="80"/>
        <v>920.55529479923473</v>
      </c>
      <c r="E630" s="24">
        <f t="shared" si="81"/>
        <v>326.17052389467426</v>
      </c>
      <c r="F630" s="38">
        <f t="shared" si="76"/>
        <v>1.0512265157463789</v>
      </c>
      <c r="G630" s="14">
        <f t="shared" si="77"/>
        <v>0</v>
      </c>
      <c r="H630" s="24">
        <f t="shared" si="83"/>
        <v>574.3702553227763</v>
      </c>
      <c r="I630" s="12">
        <f t="shared" si="82"/>
        <v>0.51716968463747326</v>
      </c>
      <c r="J630" s="3"/>
    </row>
    <row r="631" spans="2:10" x14ac:dyDescent="0.25">
      <c r="B631" s="3">
        <f t="shared" si="78"/>
        <v>3055</v>
      </c>
      <c r="C631" s="14">
        <f t="shared" si="79"/>
        <v>50.916666666666664</v>
      </c>
      <c r="D631" s="11">
        <f t="shared" si="80"/>
        <v>920.80011772340663</v>
      </c>
      <c r="E631" s="24">
        <f t="shared" si="81"/>
        <v>326.68769357931171</v>
      </c>
      <c r="F631" s="38">
        <f t="shared" si="76"/>
        <v>1.0508675862585721</v>
      </c>
      <c r="G631" s="14">
        <f t="shared" si="77"/>
        <v>0</v>
      </c>
      <c r="H631" s="24">
        <f t="shared" si="83"/>
        <v>574.5664345790882</v>
      </c>
      <c r="I631" s="12">
        <f t="shared" si="82"/>
        <v>0.51683685603529372</v>
      </c>
      <c r="J631" s="3"/>
    </row>
    <row r="632" spans="2:10" x14ac:dyDescent="0.25">
      <c r="B632" s="3">
        <f t="shared" si="78"/>
        <v>3060</v>
      </c>
      <c r="C632" s="14">
        <f t="shared" si="79"/>
        <v>51</v>
      </c>
      <c r="D632" s="11">
        <f t="shared" si="80"/>
        <v>921.0445412625329</v>
      </c>
      <c r="E632" s="24">
        <f t="shared" si="81"/>
        <v>327.20453043534701</v>
      </c>
      <c r="F632" s="38">
        <f t="shared" si="76"/>
        <v>1.0505086580966052</v>
      </c>
      <c r="G632" s="14">
        <f t="shared" si="77"/>
        <v>0</v>
      </c>
      <c r="H632" s="24">
        <f t="shared" si="83"/>
        <v>574.76274716794853</v>
      </c>
      <c r="I632" s="12">
        <f t="shared" si="82"/>
        <v>0.5165038916396707</v>
      </c>
      <c r="J632" s="3"/>
    </row>
    <row r="633" spans="2:10" x14ac:dyDescent="0.25">
      <c r="B633" s="3">
        <f t="shared" si="78"/>
        <v>3065</v>
      </c>
      <c r="C633" s="14">
        <f t="shared" si="79"/>
        <v>51.083333333333336</v>
      </c>
      <c r="D633" s="11">
        <f t="shared" si="80"/>
        <v>921.28856671754295</v>
      </c>
      <c r="E633" s="24">
        <f t="shared" si="81"/>
        <v>327.72103432698668</v>
      </c>
      <c r="F633" s="38">
        <f t="shared" si="76"/>
        <v>1.0501497291633848</v>
      </c>
      <c r="G633" s="14">
        <f t="shared" si="77"/>
        <v>0</v>
      </c>
      <c r="H633" s="24">
        <f t="shared" si="83"/>
        <v>574.95919437349164</v>
      </c>
      <c r="I633" s="12">
        <f t="shared" si="82"/>
        <v>0.51617079295713686</v>
      </c>
      <c r="J633" s="3"/>
    </row>
    <row r="634" spans="2:10" x14ac:dyDescent="0.25">
      <c r="B634" s="3">
        <f t="shared" si="78"/>
        <v>3070</v>
      </c>
      <c r="C634" s="14">
        <f t="shared" si="79"/>
        <v>51.166666666666664</v>
      </c>
      <c r="D634" s="11">
        <f t="shared" si="80"/>
        <v>921.53219538302051</v>
      </c>
      <c r="E634" s="24">
        <f t="shared" si="81"/>
        <v>328.23720511994384</v>
      </c>
      <c r="F634" s="38">
        <f t="shared" si="76"/>
        <v>1.0497907973797125</v>
      </c>
      <c r="G634" s="14">
        <f t="shared" si="77"/>
        <v>0</v>
      </c>
      <c r="H634" s="24">
        <f t="shared" si="83"/>
        <v>575.15577747337238</v>
      </c>
      <c r="I634" s="12">
        <f t="shared" si="82"/>
        <v>0.51583756148702264</v>
      </c>
      <c r="J634" s="3"/>
    </row>
    <row r="635" spans="2:10" x14ac:dyDescent="0.25">
      <c r="B635" s="3">
        <f t="shared" si="78"/>
        <v>3075</v>
      </c>
      <c r="C635" s="14">
        <f t="shared" si="79"/>
        <v>51.25</v>
      </c>
      <c r="D635" s="11">
        <f t="shared" si="80"/>
        <v>921.77542854724379</v>
      </c>
      <c r="E635" s="24">
        <f t="shared" si="81"/>
        <v>328.75304268143088</v>
      </c>
      <c r="F635" s="38">
        <f t="shared" si="76"/>
        <v>1.0494318606842257</v>
      </c>
      <c r="G635" s="14">
        <f t="shared" si="77"/>
        <v>0</v>
      </c>
      <c r="H635" s="24">
        <f t="shared" si="83"/>
        <v>575.3524977387757</v>
      </c>
      <c r="I635" s="12">
        <f t="shared" si="82"/>
        <v>0.51550419872163056</v>
      </c>
      <c r="J635" s="3"/>
    </row>
    <row r="636" spans="2:10" x14ac:dyDescent="0.25">
      <c r="B636" s="3">
        <f t="shared" si="78"/>
        <v>3080</v>
      </c>
      <c r="C636" s="14">
        <f t="shared" si="79"/>
        <v>51.333333333333336</v>
      </c>
      <c r="D636" s="11">
        <f t="shared" si="80"/>
        <v>922.01826749222755</v>
      </c>
      <c r="E636" s="24">
        <f t="shared" si="81"/>
        <v>329.26854688015254</v>
      </c>
      <c r="F636" s="38">
        <f t="shared" si="76"/>
        <v>1.0490729170333353</v>
      </c>
      <c r="G636" s="14">
        <f t="shared" si="77"/>
        <v>0</v>
      </c>
      <c r="H636" s="24">
        <f t="shared" si="83"/>
        <v>575.54935643442411</v>
      </c>
      <c r="I636" s="12">
        <f t="shared" si="82"/>
        <v>0.51517070614606231</v>
      </c>
      <c r="J636" s="3"/>
    </row>
    <row r="637" spans="2:10" x14ac:dyDescent="0.25">
      <c r="B637" s="3">
        <f t="shared" si="78"/>
        <v>3085</v>
      </c>
      <c r="C637" s="14">
        <f t="shared" si="79"/>
        <v>51.416666666666664</v>
      </c>
      <c r="D637" s="11">
        <f t="shared" si="80"/>
        <v>922.26071349376298</v>
      </c>
      <c r="E637" s="24">
        <f t="shared" si="81"/>
        <v>329.78371758629862</v>
      </c>
      <c r="F637" s="38">
        <f t="shared" si="76"/>
        <v>1.048713964401166</v>
      </c>
      <c r="G637" s="14">
        <f t="shared" si="77"/>
        <v>0</v>
      </c>
      <c r="H637" s="24">
        <f t="shared" si="83"/>
        <v>575.74635481858638</v>
      </c>
      <c r="I637" s="12">
        <f t="shared" si="82"/>
        <v>0.5148370852384937</v>
      </c>
      <c r="J637" s="3"/>
    </row>
    <row r="638" spans="2:10" x14ac:dyDescent="0.25">
      <c r="B638" s="3">
        <f t="shared" si="78"/>
        <v>3090</v>
      </c>
      <c r="C638" s="14">
        <f t="shared" si="79"/>
        <v>51.5</v>
      </c>
      <c r="D638" s="11">
        <f t="shared" si="80"/>
        <v>922.50276782145841</v>
      </c>
      <c r="E638" s="24">
        <f t="shared" si="81"/>
        <v>330.29855467153709</v>
      </c>
      <c r="F638" s="38">
        <f t="shared" si="76"/>
        <v>1.0483550007794953</v>
      </c>
      <c r="G638" s="14">
        <f t="shared" si="77"/>
        <v>0</v>
      </c>
      <c r="H638" s="24">
        <f t="shared" si="83"/>
        <v>575.94349414308601</v>
      </c>
      <c r="I638" s="12">
        <f t="shared" si="82"/>
        <v>0.51450333747012378</v>
      </c>
      <c r="J638" s="3"/>
    </row>
    <row r="639" spans="2:10" x14ac:dyDescent="0.25">
      <c r="B639" s="3">
        <f t="shared" si="78"/>
        <v>3095</v>
      </c>
      <c r="C639" s="14">
        <f t="shared" si="79"/>
        <v>51.583333333333336</v>
      </c>
      <c r="D639" s="11">
        <f t="shared" si="80"/>
        <v>922.7444317387783</v>
      </c>
      <c r="E639" s="24">
        <f t="shared" si="81"/>
        <v>330.81305800900719</v>
      </c>
      <c r="F639" s="38">
        <f t="shared" si="76"/>
        <v>1.0479960241776924</v>
      </c>
      <c r="G639" s="14">
        <f t="shared" si="77"/>
        <v>0</v>
      </c>
      <c r="H639" s="24">
        <f t="shared" si="83"/>
        <v>576.14077565330945</v>
      </c>
      <c r="I639" s="12">
        <f t="shared" si="82"/>
        <v>0.51416946430539967</v>
      </c>
      <c r="J639" s="3"/>
    </row>
    <row r="640" spans="2:10" x14ac:dyDescent="0.25">
      <c r="B640" s="3">
        <f t="shared" si="78"/>
        <v>3100</v>
      </c>
      <c r="C640" s="14">
        <f t="shared" si="79"/>
        <v>51.666666666666664</v>
      </c>
      <c r="D640" s="11">
        <f t="shared" si="80"/>
        <v>922.98570650308386</v>
      </c>
      <c r="E640" s="24">
        <f t="shared" si="81"/>
        <v>331.32722747331258</v>
      </c>
      <c r="F640" s="38">
        <f t="shared" si="76"/>
        <v>1.0476370326226585</v>
      </c>
      <c r="G640" s="14">
        <f t="shared" si="77"/>
        <v>0</v>
      </c>
      <c r="H640" s="24">
        <f t="shared" si="83"/>
        <v>576.33820058821505</v>
      </c>
      <c r="I640" s="12">
        <f t="shared" si="82"/>
        <v>0.51383546720187678</v>
      </c>
      <c r="J640" s="3"/>
    </row>
    <row r="641" spans="2:10" x14ac:dyDescent="0.25">
      <c r="B641" s="3">
        <f t="shared" si="78"/>
        <v>3105</v>
      </c>
      <c r="C641" s="14">
        <f t="shared" si="79"/>
        <v>51.75</v>
      </c>
      <c r="D641" s="11">
        <f t="shared" si="80"/>
        <v>923.22659336567187</v>
      </c>
      <c r="E641" s="24">
        <f t="shared" si="81"/>
        <v>331.84106294051446</v>
      </c>
      <c r="F641" s="38">
        <f t="shared" si="76"/>
        <v>1.0472780241587654</v>
      </c>
      <c r="G641" s="14">
        <f t="shared" si="77"/>
        <v>0</v>
      </c>
      <c r="H641" s="24">
        <f t="shared" si="83"/>
        <v>576.5357701803415</v>
      </c>
      <c r="I641" s="12">
        <f t="shared" si="82"/>
        <v>0.51350134761044286</v>
      </c>
      <c r="J641" s="3"/>
    </row>
    <row r="642" spans="2:10" x14ac:dyDescent="0.25">
      <c r="B642" s="3">
        <f t="shared" si="78"/>
        <v>3110</v>
      </c>
      <c r="C642" s="14">
        <f t="shared" si="79"/>
        <v>51.833333333333336</v>
      </c>
      <c r="D642" s="11">
        <f t="shared" si="80"/>
        <v>923.46709357181351</v>
      </c>
      <c r="E642" s="24">
        <f t="shared" si="81"/>
        <v>332.35456428812489</v>
      </c>
      <c r="F642" s="38">
        <f t="shared" si="76"/>
        <v>1.0469189968477952</v>
      </c>
      <c r="G642" s="14">
        <f t="shared" si="77"/>
        <v>0</v>
      </c>
      <c r="H642" s="24">
        <f t="shared" si="83"/>
        <v>576.73348565581693</v>
      </c>
      <c r="I642" s="12">
        <f t="shared" si="82"/>
        <v>0.51316710697536339</v>
      </c>
      <c r="J642" s="3"/>
    </row>
    <row r="643" spans="2:10" x14ac:dyDescent="0.25">
      <c r="B643" s="3">
        <f t="shared" si="78"/>
        <v>3115</v>
      </c>
      <c r="C643" s="14">
        <f t="shared" si="79"/>
        <v>51.916666666666664</v>
      </c>
      <c r="D643" s="11">
        <f t="shared" si="80"/>
        <v>923.70720836079306</v>
      </c>
      <c r="E643" s="24">
        <f t="shared" si="81"/>
        <v>332.86773139510024</v>
      </c>
      <c r="F643" s="38">
        <f t="shared" si="76"/>
        <v>1.0465599487688793</v>
      </c>
      <c r="G643" s="14">
        <f t="shared" si="77"/>
        <v>0</v>
      </c>
      <c r="H643" s="24">
        <f t="shared" si="83"/>
        <v>576.93134823436753</v>
      </c>
      <c r="I643" s="12">
        <f t="shared" si="82"/>
        <v>0.512832746734318</v>
      </c>
      <c r="J643" s="3"/>
    </row>
    <row r="644" spans="2:10" x14ac:dyDescent="0.25">
      <c r="B644" s="3">
        <f t="shared" si="78"/>
        <v>3120</v>
      </c>
      <c r="C644" s="14">
        <f t="shared" si="79"/>
        <v>52</v>
      </c>
      <c r="D644" s="11">
        <f t="shared" si="80"/>
        <v>923.94693896594617</v>
      </c>
      <c r="E644" s="24">
        <f t="shared" si="81"/>
        <v>333.38056414183455</v>
      </c>
      <c r="F644" s="38">
        <f t="shared" si="76"/>
        <v>1.0462008780184389</v>
      </c>
      <c r="G644" s="14">
        <f t="shared" si="77"/>
        <v>0</v>
      </c>
      <c r="H644" s="24">
        <f t="shared" si="83"/>
        <v>577.1293591293263</v>
      </c>
      <c r="I644" s="12">
        <f t="shared" si="82"/>
        <v>0.51249826831849432</v>
      </c>
      <c r="J644" s="3"/>
    </row>
    <row r="645" spans="2:10" x14ac:dyDescent="0.25">
      <c r="B645" s="3">
        <f t="shared" si="78"/>
        <v>3125</v>
      </c>
      <c r="C645" s="14">
        <f t="shared" si="79"/>
        <v>52.083333333333336</v>
      </c>
      <c r="D645" s="11">
        <f t="shared" si="80"/>
        <v>924.18628661469813</v>
      </c>
      <c r="E645" s="24">
        <f t="shared" si="81"/>
        <v>333.89306241015305</v>
      </c>
      <c r="F645" s="38">
        <f t="shared" si="76"/>
        <v>1.0458417827101223</v>
      </c>
      <c r="G645" s="14">
        <f t="shared" si="77"/>
        <v>0</v>
      </c>
      <c r="H645" s="24">
        <f t="shared" si="83"/>
        <v>577.32751954764331</v>
      </c>
      <c r="I645" s="12">
        <f t="shared" si="82"/>
        <v>0.51216367315261047</v>
      </c>
      <c r="J645" s="3"/>
    </row>
    <row r="646" spans="2:10" x14ac:dyDescent="0.25">
      <c r="B646" s="3">
        <f t="shared" si="78"/>
        <v>3130</v>
      </c>
      <c r="C646" s="14">
        <f t="shared" si="79"/>
        <v>52.166666666666664</v>
      </c>
      <c r="D646" s="11">
        <f t="shared" si="80"/>
        <v>924.42525252860116</v>
      </c>
      <c r="E646" s="24">
        <f t="shared" si="81"/>
        <v>334.40522608330565</v>
      </c>
      <c r="F646" s="38">
        <f t="shared" si="76"/>
        <v>1.0454826609747467</v>
      </c>
      <c r="G646" s="14">
        <f t="shared" si="77"/>
        <v>0</v>
      </c>
      <c r="H646" s="24">
        <f t="shared" si="83"/>
        <v>577.52583068989281</v>
      </c>
      <c r="I646" s="12">
        <f t="shared" si="82"/>
        <v>0.51182896265505839</v>
      </c>
      <c r="J646" s="3"/>
    </row>
    <row r="647" spans="2:10" x14ac:dyDescent="0.25">
      <c r="B647" s="3">
        <f t="shared" si="78"/>
        <v>3135</v>
      </c>
      <c r="C647" s="14">
        <f t="shared" si="79"/>
        <v>52.25</v>
      </c>
      <c r="D647" s="11">
        <f t="shared" si="80"/>
        <v>924.66383792337183</v>
      </c>
      <c r="E647" s="24">
        <f t="shared" si="81"/>
        <v>334.91705504596069</v>
      </c>
      <c r="F647" s="38">
        <f t="shared" si="76"/>
        <v>1.0451235109602368</v>
      </c>
      <c r="G647" s="14">
        <f t="shared" si="77"/>
        <v>0</v>
      </c>
      <c r="H647" s="24">
        <f t="shared" si="83"/>
        <v>577.72429375028401</v>
      </c>
      <c r="I647" s="12">
        <f t="shared" si="82"/>
        <v>0.51149413823792456</v>
      </c>
      <c r="J647" s="3"/>
    </row>
    <row r="648" spans="2:10" x14ac:dyDescent="0.25">
      <c r="B648" s="3">
        <f t="shared" si="78"/>
        <v>3140</v>
      </c>
      <c r="C648" s="14">
        <f t="shared" si="79"/>
        <v>52.333333333333336</v>
      </c>
      <c r="D648" s="11">
        <f t="shared" si="80"/>
        <v>924.9020440089289</v>
      </c>
      <c r="E648" s="24">
        <f t="shared" si="81"/>
        <v>335.42854918419863</v>
      </c>
      <c r="F648" s="38">
        <f t="shared" si="76"/>
        <v>1.0447643308315642</v>
      </c>
      <c r="G648" s="14">
        <f t="shared" si="77"/>
        <v>0</v>
      </c>
      <c r="H648" s="24">
        <f t="shared" si="83"/>
        <v>577.92290991667005</v>
      </c>
      <c r="I648" s="12">
        <f t="shared" si="82"/>
        <v>0.51115920130697101</v>
      </c>
      <c r="J648" s="3"/>
    </row>
    <row r="649" spans="2:10" x14ac:dyDescent="0.25">
      <c r="B649" s="3">
        <f t="shared" si="78"/>
        <v>3145</v>
      </c>
      <c r="C649" s="14">
        <f t="shared" si="79"/>
        <v>52.416666666666664</v>
      </c>
      <c r="D649" s="11">
        <f t="shared" si="80"/>
        <v>925.13987198942959</v>
      </c>
      <c r="E649" s="24">
        <f t="shared" si="81"/>
        <v>335.93970838550558</v>
      </c>
      <c r="F649" s="38">
        <f t="shared" si="76"/>
        <v>1.0444051187706864</v>
      </c>
      <c r="G649" s="14">
        <f t="shared" si="77"/>
        <v>0</v>
      </c>
      <c r="H649" s="24">
        <f t="shared" si="83"/>
        <v>578.12168037055676</v>
      </c>
      <c r="I649" s="12">
        <f t="shared" si="82"/>
        <v>0.51082415326184138</v>
      </c>
      <c r="J649" s="3"/>
    </row>
    <row r="650" spans="2:10" x14ac:dyDescent="0.25">
      <c r="B650" s="3">
        <f t="shared" si="78"/>
        <v>3150</v>
      </c>
      <c r="C650" s="14">
        <f t="shared" si="79"/>
        <v>52.5</v>
      </c>
      <c r="D650" s="11">
        <f t="shared" si="80"/>
        <v>925.37732306330543</v>
      </c>
      <c r="E650" s="24">
        <f t="shared" si="81"/>
        <v>336.45053253876745</v>
      </c>
      <c r="F650" s="38">
        <f t="shared" si="76"/>
        <v>1.0440458729764874</v>
      </c>
      <c r="G650" s="14">
        <f t="shared" si="77"/>
        <v>0</v>
      </c>
      <c r="H650" s="24">
        <f t="shared" si="83"/>
        <v>578.32060628711281</v>
      </c>
      <c r="I650" s="12">
        <f t="shared" si="82"/>
        <v>0.51048899549614046</v>
      </c>
      <c r="J650" s="3"/>
    </row>
    <row r="651" spans="2:10" x14ac:dyDescent="0.25">
      <c r="B651" s="3">
        <f t="shared" si="78"/>
        <v>3155</v>
      </c>
      <c r="C651" s="14">
        <f t="shared" si="79"/>
        <v>52.583333333333336</v>
      </c>
      <c r="D651" s="11">
        <f t="shared" si="80"/>
        <v>925.61439842330003</v>
      </c>
      <c r="E651" s="24">
        <f t="shared" si="81"/>
        <v>336.96102153426358</v>
      </c>
      <c r="F651" s="38">
        <f t="shared" si="76"/>
        <v>1.0436865916647162</v>
      </c>
      <c r="G651" s="14">
        <f t="shared" si="77"/>
        <v>0</v>
      </c>
      <c r="H651" s="24">
        <f t="shared" si="83"/>
        <v>578.51968883517895</v>
      </c>
      <c r="I651" s="12">
        <f t="shared" si="82"/>
        <v>0.51015372939724002</v>
      </c>
      <c r="J651" s="3"/>
    </row>
    <row r="652" spans="2:10" x14ac:dyDescent="0.25">
      <c r="B652" s="3">
        <f t="shared" si="78"/>
        <v>3160</v>
      </c>
      <c r="C652" s="14">
        <f t="shared" si="79"/>
        <v>52.666666666666664</v>
      </c>
      <c r="D652" s="11">
        <f t="shared" si="80"/>
        <v>925.85109925650374</v>
      </c>
      <c r="E652" s="24">
        <f t="shared" si="81"/>
        <v>337.47117526366083</v>
      </c>
      <c r="F652" s="38">
        <f t="shared" si="76"/>
        <v>1.0433272730679282</v>
      </c>
      <c r="G652" s="14">
        <f t="shared" si="77"/>
        <v>0</v>
      </c>
      <c r="H652" s="24">
        <f t="shared" si="83"/>
        <v>578.71892917727735</v>
      </c>
      <c r="I652" s="12">
        <f t="shared" si="82"/>
        <v>0.50981835634667005</v>
      </c>
      <c r="J652" s="3"/>
    </row>
    <row r="653" spans="2:10" x14ac:dyDescent="0.25">
      <c r="B653" s="3">
        <f t="shared" si="78"/>
        <v>3165</v>
      </c>
      <c r="C653" s="14">
        <f t="shared" si="79"/>
        <v>52.75</v>
      </c>
      <c r="D653" s="11">
        <f t="shared" si="80"/>
        <v>926.0874267443894</v>
      </c>
      <c r="E653" s="24">
        <f t="shared" si="81"/>
        <v>337.9809936200075</v>
      </c>
      <c r="F653" s="38">
        <f t="shared" si="76"/>
        <v>1.0429679154354214</v>
      </c>
      <c r="G653" s="14">
        <f t="shared" si="77"/>
        <v>0</v>
      </c>
      <c r="H653" s="24">
        <f t="shared" si="83"/>
        <v>578.91832846962188</v>
      </c>
      <c r="I653" s="12">
        <f t="shared" si="82"/>
        <v>0.50948287772001011</v>
      </c>
      <c r="J653" s="3"/>
    </row>
    <row r="654" spans="2:10" x14ac:dyDescent="0.25">
      <c r="B654" s="3">
        <f t="shared" si="78"/>
        <v>3170</v>
      </c>
      <c r="C654" s="14">
        <f t="shared" si="79"/>
        <v>52.833333333333336</v>
      </c>
      <c r="D654" s="11">
        <f t="shared" si="80"/>
        <v>926.32338206284919</v>
      </c>
      <c r="E654" s="24">
        <f t="shared" si="81"/>
        <v>338.49047649772751</v>
      </c>
      <c r="F654" s="38">
        <f t="shared" si="76"/>
        <v>1.0426085170331805</v>
      </c>
      <c r="G654" s="14">
        <f t="shared" si="77"/>
        <v>0</v>
      </c>
      <c r="H654" s="24">
        <f t="shared" si="83"/>
        <v>579.11788786212719</v>
      </c>
      <c r="I654" s="12">
        <f t="shared" si="82"/>
        <v>0.50914729488680566</v>
      </c>
      <c r="J654" s="3"/>
    </row>
    <row r="655" spans="2:10" x14ac:dyDescent="0.25">
      <c r="B655" s="3">
        <f t="shared" si="78"/>
        <v>3175</v>
      </c>
      <c r="C655" s="14">
        <f t="shared" si="79"/>
        <v>52.916666666666664</v>
      </c>
      <c r="D655" s="11">
        <f t="shared" si="80"/>
        <v>926.55896638222748</v>
      </c>
      <c r="E655" s="24">
        <f t="shared" si="81"/>
        <v>338.99962379261433</v>
      </c>
      <c r="F655" s="38">
        <f t="shared" si="76"/>
        <v>1.0422490761438126</v>
      </c>
      <c r="G655" s="14">
        <f t="shared" si="77"/>
        <v>0</v>
      </c>
      <c r="H655" s="24">
        <f t="shared" si="83"/>
        <v>579.31760849841896</v>
      </c>
      <c r="I655" s="12">
        <f t="shared" si="82"/>
        <v>0.50881160921103252</v>
      </c>
      <c r="J655" s="3"/>
    </row>
    <row r="656" spans="2:10" x14ac:dyDescent="0.25">
      <c r="B656" s="3">
        <f t="shared" si="78"/>
        <v>3180</v>
      </c>
      <c r="C656" s="14">
        <f t="shared" si="79"/>
        <v>53</v>
      </c>
      <c r="D656" s="11">
        <f t="shared" si="80"/>
        <v>926.79418086735745</v>
      </c>
      <c r="E656" s="24">
        <f t="shared" si="81"/>
        <v>339.50843540182535</v>
      </c>
      <c r="F656" s="38">
        <f t="shared" si="76"/>
        <v>1.0418895910664894</v>
      </c>
      <c r="G656" s="14">
        <f t="shared" si="77"/>
        <v>0</v>
      </c>
      <c r="H656" s="24">
        <f t="shared" si="83"/>
        <v>579.51749151584363</v>
      </c>
      <c r="I656" s="12">
        <f t="shared" si="82"/>
        <v>0.50847582205071229</v>
      </c>
      <c r="J656" s="3"/>
    </row>
    <row r="657" spans="2:10" x14ac:dyDescent="0.25">
      <c r="B657" s="3">
        <f t="shared" si="78"/>
        <v>3185</v>
      </c>
      <c r="C657" s="14">
        <f t="shared" si="79"/>
        <v>53.083333333333336</v>
      </c>
      <c r="D657" s="11">
        <f t="shared" si="80"/>
        <v>927.02902667759452</v>
      </c>
      <c r="E657" s="24">
        <f t="shared" si="81"/>
        <v>340.01691122387604</v>
      </c>
      <c r="F657" s="38">
        <f t="shared" si="76"/>
        <v>1.0415300601168858</v>
      </c>
      <c r="G657" s="14">
        <f t="shared" si="77"/>
        <v>0</v>
      </c>
      <c r="H657" s="24">
        <f t="shared" si="83"/>
        <v>579.71753804547825</v>
      </c>
      <c r="I657" s="12">
        <f t="shared" si="82"/>
        <v>0.508139934758289</v>
      </c>
      <c r="J657" s="3"/>
    </row>
    <row r="658" spans="2:10" x14ac:dyDescent="0.25">
      <c r="B658" s="3">
        <f t="shared" si="78"/>
        <v>3190</v>
      </c>
      <c r="C658" s="14">
        <f t="shared" si="79"/>
        <v>53.166666666666664</v>
      </c>
      <c r="D658" s="11">
        <f t="shared" si="80"/>
        <v>927.263504966852</v>
      </c>
      <c r="E658" s="24">
        <f t="shared" si="81"/>
        <v>340.52505115863431</v>
      </c>
      <c r="F658" s="38">
        <f t="shared" si="76"/>
        <v>1.0411704816271199</v>
      </c>
      <c r="G658" s="14">
        <f t="shared" si="77"/>
        <v>0</v>
      </c>
      <c r="H658" s="24">
        <f t="shared" si="83"/>
        <v>579.91774921214085</v>
      </c>
      <c r="I658" s="12">
        <f t="shared" si="82"/>
        <v>0.50780394868040535</v>
      </c>
      <c r="J658" s="3"/>
    </row>
    <row r="659" spans="2:10" x14ac:dyDescent="0.25">
      <c r="B659" s="3">
        <f t="shared" si="78"/>
        <v>3195</v>
      </c>
      <c r="C659" s="14">
        <f t="shared" si="79"/>
        <v>53.25</v>
      </c>
      <c r="D659" s="11">
        <f t="shared" si="80"/>
        <v>927.4976168836331</v>
      </c>
      <c r="E659" s="24">
        <f t="shared" si="81"/>
        <v>341.03285510731473</v>
      </c>
      <c r="F659" s="38">
        <f t="shared" si="76"/>
        <v>1.0408108539456924</v>
      </c>
      <c r="G659" s="14">
        <f t="shared" si="77"/>
        <v>0</v>
      </c>
      <c r="H659" s="24">
        <f t="shared" si="83"/>
        <v>580.11812613440031</v>
      </c>
      <c r="I659" s="12">
        <f t="shared" si="82"/>
        <v>0.50746786515834108</v>
      </c>
      <c r="J659" s="3"/>
    </row>
    <row r="660" spans="2:10" x14ac:dyDescent="0.25">
      <c r="B660" s="3">
        <f t="shared" si="78"/>
        <v>3200</v>
      </c>
      <c r="C660" s="14">
        <f t="shared" si="79"/>
        <v>53.333333333333336</v>
      </c>
      <c r="D660" s="11">
        <f t="shared" si="80"/>
        <v>927.73136357106671</v>
      </c>
      <c r="E660" s="24">
        <f t="shared" si="81"/>
        <v>341.54032297247306</v>
      </c>
      <c r="F660" s="38">
        <f t="shared" ref="F660:F723" si="84">Cp*RhoP/(RhoA*H660)*dp/1000*MassivP</f>
        <v>1.0404511754374266</v>
      </c>
      <c r="G660" s="14">
        <f t="shared" ref="G660:G723" si="85">Phi*EpsilonF*Botzman/10^8*J660*((D660+273)^4-(E660+273)^4)</f>
        <v>0</v>
      </c>
      <c r="H660" s="24">
        <f t="shared" si="83"/>
        <v>580.31866992458652</v>
      </c>
      <c r="I660" s="12">
        <f t="shared" si="82"/>
        <v>0.50713168552761378</v>
      </c>
      <c r="J660" s="3"/>
    </row>
    <row r="661" spans="2:10" x14ac:dyDescent="0.25">
      <c r="B661" s="3">
        <f t="shared" ref="B661:B724" si="86">B660+DeltaT</f>
        <v>3205</v>
      </c>
      <c r="C661" s="14">
        <f t="shared" ref="C661:C724" si="87">B661/60</f>
        <v>53.416666666666664</v>
      </c>
      <c r="D661" s="11">
        <f t="shared" ref="D661:D724" si="88">20+345*LOG(8*C661+1,10)</f>
        <v>927.96474616693956</v>
      </c>
      <c r="E661" s="24">
        <f t="shared" ref="E661:E724" si="89">E660+IF(Limit=Oui,MAX(0,I660),I660)</f>
        <v>342.04745465800067</v>
      </c>
      <c r="F661" s="38">
        <f t="shared" si="84"/>
        <v>1.0400914444834091</v>
      </c>
      <c r="G661" s="14">
        <f t="shared" si="85"/>
        <v>0</v>
      </c>
      <c r="H661" s="24">
        <f t="shared" si="83"/>
        <v>580.51938168880065</v>
      </c>
      <c r="I661" s="12">
        <f t="shared" ref="I661:I724" si="90">LambdaP*MassivP/(dp/1000)/(H661*RhoA)/(1+F661/3)*(D661-E661)*DeltaT-(EXP(F661/10)-1)*(D661-D660)</f>
        <v>0.50679541111840365</v>
      </c>
      <c r="J661" s="3"/>
    </row>
    <row r="662" spans="2:10" x14ac:dyDescent="0.25">
      <c r="B662" s="3">
        <f t="shared" si="86"/>
        <v>3210</v>
      </c>
      <c r="C662" s="14">
        <f t="shared" si="87"/>
        <v>53.5</v>
      </c>
      <c r="D662" s="11">
        <f t="shared" si="88"/>
        <v>928.19776580372979</v>
      </c>
      <c r="E662" s="24">
        <f t="shared" si="89"/>
        <v>342.55425006911906</v>
      </c>
      <c r="F662" s="38">
        <f t="shared" si="84"/>
        <v>1.0397316594809274</v>
      </c>
      <c r="G662" s="14">
        <f t="shared" si="85"/>
        <v>0</v>
      </c>
      <c r="H662" s="24">
        <f t="shared" si="83"/>
        <v>580.72026252692558</v>
      </c>
      <c r="I662" s="12">
        <f t="shared" si="90"/>
        <v>0.50645904325542701</v>
      </c>
      <c r="J662" s="3"/>
    </row>
    <row r="663" spans="2:10" x14ac:dyDescent="0.25">
      <c r="B663" s="3">
        <f t="shared" si="86"/>
        <v>3215</v>
      </c>
      <c r="C663" s="14">
        <f t="shared" si="87"/>
        <v>53.583333333333336</v>
      </c>
      <c r="D663" s="11">
        <f t="shared" si="88"/>
        <v>928.43042360864047</v>
      </c>
      <c r="E663" s="24">
        <f t="shared" si="89"/>
        <v>343.06070911237447</v>
      </c>
      <c r="F663" s="38">
        <f t="shared" si="84"/>
        <v>1.0393718188434125</v>
      </c>
      <c r="G663" s="14">
        <f t="shared" si="85"/>
        <v>0</v>
      </c>
      <c r="H663" s="24">
        <f t="shared" si="83"/>
        <v>580.92131353263596</v>
      </c>
      <c r="I663" s="12">
        <f t="shared" si="90"/>
        <v>0.50612258325796311</v>
      </c>
      <c r="J663" s="3"/>
    </row>
    <row r="664" spans="2:10" x14ac:dyDescent="0.25">
      <c r="B664" s="3">
        <f t="shared" si="86"/>
        <v>3220</v>
      </c>
      <c r="C664" s="14">
        <f t="shared" si="87"/>
        <v>53.666666666666664</v>
      </c>
      <c r="D664" s="11">
        <f t="shared" si="88"/>
        <v>928.66272070363129</v>
      </c>
      <c r="E664" s="24">
        <f t="shared" si="89"/>
        <v>343.56683169563246</v>
      </c>
      <c r="F664" s="38">
        <f t="shared" si="84"/>
        <v>1.0390119210003763</v>
      </c>
      <c r="G664" s="14">
        <f t="shared" si="85"/>
        <v>0</v>
      </c>
      <c r="H664" s="24">
        <f t="shared" si="83"/>
        <v>581.12253579340927</v>
      </c>
      <c r="I664" s="12">
        <f t="shared" si="90"/>
        <v>0.5057860324400737</v>
      </c>
      <c r="J664" s="3"/>
    </row>
    <row r="665" spans="2:10" x14ac:dyDescent="0.25">
      <c r="B665" s="3">
        <f t="shared" si="86"/>
        <v>3225</v>
      </c>
      <c r="C665" s="14">
        <f t="shared" si="87"/>
        <v>53.75</v>
      </c>
      <c r="D665" s="11">
        <f t="shared" si="88"/>
        <v>928.89465820545217</v>
      </c>
      <c r="E665" s="24">
        <f t="shared" si="89"/>
        <v>344.07261772807254</v>
      </c>
      <c r="F665" s="38">
        <f t="shared" si="84"/>
        <v>1.0386519643973535</v>
      </c>
      <c r="G665" s="14">
        <f t="shared" si="85"/>
        <v>0</v>
      </c>
      <c r="H665" s="24">
        <f t="shared" si="83"/>
        <v>581.32393039053557</v>
      </c>
      <c r="I665" s="12">
        <f t="shared" si="90"/>
        <v>0.50544939211042983</v>
      </c>
      <c r="J665" s="3"/>
    </row>
    <row r="666" spans="2:10" x14ac:dyDescent="0.25">
      <c r="B666" s="3">
        <f t="shared" si="86"/>
        <v>3230</v>
      </c>
      <c r="C666" s="14">
        <f t="shared" si="87"/>
        <v>53.833333333333336</v>
      </c>
      <c r="D666" s="11">
        <f t="shared" si="88"/>
        <v>929.1262372256748</v>
      </c>
      <c r="E666" s="24">
        <f t="shared" si="89"/>
        <v>344.57806712018299</v>
      </c>
      <c r="F666" s="38">
        <f t="shared" si="84"/>
        <v>1.0382919474958399</v>
      </c>
      <c r="G666" s="14">
        <f t="shared" si="85"/>
        <v>0</v>
      </c>
      <c r="H666" s="24">
        <f t="shared" si="83"/>
        <v>581.52549839912854</v>
      </c>
      <c r="I666" s="12">
        <f t="shared" si="90"/>
        <v>0.50511266357254536</v>
      </c>
      <c r="J666" s="3"/>
    </row>
    <row r="667" spans="2:10" x14ac:dyDescent="0.25">
      <c r="B667" s="3">
        <f t="shared" si="86"/>
        <v>3235</v>
      </c>
      <c r="C667" s="14">
        <f t="shared" si="87"/>
        <v>53.916666666666664</v>
      </c>
      <c r="D667" s="11">
        <f t="shared" si="88"/>
        <v>929.35745887072392</v>
      </c>
      <c r="E667" s="24">
        <f t="shared" si="89"/>
        <v>345.08317978375555</v>
      </c>
      <c r="F667" s="38">
        <f t="shared" si="84"/>
        <v>1.0379318687732331</v>
      </c>
      <c r="G667" s="14">
        <f t="shared" si="85"/>
        <v>0</v>
      </c>
      <c r="H667" s="24">
        <f t="shared" si="83"/>
        <v>581.72724088813629</v>
      </c>
      <c r="I667" s="12">
        <f t="shared" si="90"/>
        <v>0.50477584812483589</v>
      </c>
      <c r="J667" s="3"/>
    </row>
    <row r="668" spans="2:10" x14ac:dyDescent="0.25">
      <c r="B668" s="3">
        <f t="shared" si="86"/>
        <v>3240</v>
      </c>
      <c r="C668" s="14">
        <f t="shared" si="87"/>
        <v>54</v>
      </c>
      <c r="D668" s="11">
        <f t="shared" si="88"/>
        <v>929.58832424191098</v>
      </c>
      <c r="E668" s="24">
        <f t="shared" si="89"/>
        <v>345.58795563188039</v>
      </c>
      <c r="F668" s="38">
        <f t="shared" si="84"/>
        <v>1.0375717267227735</v>
      </c>
      <c r="G668" s="14">
        <f t="shared" si="85"/>
        <v>0</v>
      </c>
      <c r="H668" s="24">
        <f t="shared" si="83"/>
        <v>581.92915892035137</v>
      </c>
      <c r="I668" s="12">
        <f t="shared" si="90"/>
        <v>0.50443894706038173</v>
      </c>
      <c r="J668" s="3"/>
    </row>
    <row r="669" spans="2:10" x14ac:dyDescent="0.25">
      <c r="B669" s="3">
        <f t="shared" si="86"/>
        <v>3245</v>
      </c>
      <c r="C669" s="14">
        <f t="shared" si="87"/>
        <v>54.083333333333336</v>
      </c>
      <c r="D669" s="11">
        <f t="shared" si="88"/>
        <v>929.81883443546371</v>
      </c>
      <c r="E669" s="24">
        <f t="shared" si="89"/>
        <v>346.0923945789408</v>
      </c>
      <c r="F669" s="38">
        <f t="shared" si="84"/>
        <v>1.0372115198534806</v>
      </c>
      <c r="G669" s="14">
        <f t="shared" si="85"/>
        <v>0</v>
      </c>
      <c r="H669" s="24">
        <f t="shared" si="83"/>
        <v>582.13125355242255</v>
      </c>
      <c r="I669" s="12">
        <f t="shared" si="90"/>
        <v>0.5041019616673944</v>
      </c>
      <c r="J669" s="3"/>
    </row>
    <row r="670" spans="2:10" x14ac:dyDescent="0.25">
      <c r="B670" s="3">
        <f t="shared" si="86"/>
        <v>3250</v>
      </c>
      <c r="C670" s="14">
        <f t="shared" si="87"/>
        <v>54.166666666666664</v>
      </c>
      <c r="D670" s="11">
        <f t="shared" si="88"/>
        <v>930.04899054255793</v>
      </c>
      <c r="E670" s="24">
        <f t="shared" si="89"/>
        <v>346.5964965406082</v>
      </c>
      <c r="F670" s="38">
        <f t="shared" si="84"/>
        <v>1.036851246690099</v>
      </c>
      <c r="G670" s="14">
        <f t="shared" si="85"/>
        <v>0</v>
      </c>
      <c r="H670" s="24">
        <f t="shared" si="83"/>
        <v>582.3335258348643</v>
      </c>
      <c r="I670" s="12">
        <f t="shared" si="90"/>
        <v>0.50376489322899132</v>
      </c>
      <c r="J670" s="3"/>
    </row>
    <row r="671" spans="2:10" x14ac:dyDescent="0.25">
      <c r="B671" s="3">
        <f t="shared" si="86"/>
        <v>3255</v>
      </c>
      <c r="C671" s="14">
        <f t="shared" si="87"/>
        <v>54.25</v>
      </c>
      <c r="D671" s="11">
        <f t="shared" si="88"/>
        <v>930.27879364934972</v>
      </c>
      <c r="E671" s="24">
        <f t="shared" si="89"/>
        <v>347.1002614338372</v>
      </c>
      <c r="F671" s="38">
        <f t="shared" si="84"/>
        <v>1.036490905773032</v>
      </c>
      <c r="G671" s="14">
        <f t="shared" si="85"/>
        <v>0</v>
      </c>
      <c r="H671" s="24">
        <f t="shared" si="83"/>
        <v>582.53597681206963</v>
      </c>
      <c r="I671" s="12">
        <f t="shared" si="90"/>
        <v>0.50342774302317872</v>
      </c>
      <c r="J671" s="3"/>
    </row>
    <row r="672" spans="2:10" x14ac:dyDescent="0.25">
      <c r="B672" s="3">
        <f t="shared" si="86"/>
        <v>3260</v>
      </c>
      <c r="C672" s="14">
        <f t="shared" si="87"/>
        <v>54.333333333333336</v>
      </c>
      <c r="D672" s="11">
        <f t="shared" si="88"/>
        <v>930.50824483700433</v>
      </c>
      <c r="E672" s="24">
        <f t="shared" si="89"/>
        <v>347.60368917686037</v>
      </c>
      <c r="F672" s="38">
        <f t="shared" si="84"/>
        <v>1.0361304956582869</v>
      </c>
      <c r="G672" s="14">
        <f t="shared" si="85"/>
        <v>0</v>
      </c>
      <c r="H672" s="24">
        <f t="shared" si="83"/>
        <v>582.73860752231872</v>
      </c>
      <c r="I672" s="12">
        <f t="shared" si="90"/>
        <v>0.50309051232323188</v>
      </c>
      <c r="J672" s="3"/>
    </row>
    <row r="673" spans="2:10" x14ac:dyDescent="0.25">
      <c r="B673" s="3">
        <f t="shared" si="86"/>
        <v>3265</v>
      </c>
      <c r="C673" s="14">
        <f t="shared" si="87"/>
        <v>54.416666666666664</v>
      </c>
      <c r="D673" s="11">
        <f t="shared" si="88"/>
        <v>930.73734518172716</v>
      </c>
      <c r="E673" s="24">
        <f t="shared" si="89"/>
        <v>348.10677968918361</v>
      </c>
      <c r="F673" s="38">
        <f t="shared" si="84"/>
        <v>1.0357700149174123</v>
      </c>
      <c r="G673" s="14">
        <f t="shared" si="85"/>
        <v>0</v>
      </c>
      <c r="H673" s="24">
        <f t="shared" si="83"/>
        <v>582.94141899779163</v>
      </c>
      <c r="I673" s="12">
        <f t="shared" si="90"/>
        <v>0.50275320239747967</v>
      </c>
      <c r="J673" s="3"/>
    </row>
    <row r="674" spans="2:10" x14ac:dyDescent="0.25">
      <c r="B674" s="3">
        <f t="shared" si="86"/>
        <v>3270</v>
      </c>
      <c r="C674" s="14">
        <f t="shared" si="87"/>
        <v>54.5</v>
      </c>
      <c r="D674" s="11">
        <f t="shared" si="88"/>
        <v>930.96609575479545</v>
      </c>
      <c r="E674" s="24">
        <f t="shared" si="89"/>
        <v>348.60953289158107</v>
      </c>
      <c r="F674" s="38">
        <f t="shared" si="84"/>
        <v>1.0354094621374377</v>
      </c>
      <c r="G674" s="14">
        <f t="shared" si="85"/>
        <v>0</v>
      </c>
      <c r="H674" s="24">
        <f t="shared" si="83"/>
        <v>583.14441226457916</v>
      </c>
      <c r="I674" s="12">
        <f t="shared" si="90"/>
        <v>0.50241581450926176</v>
      </c>
      <c r="J674" s="3"/>
    </row>
    <row r="675" spans="2:10" x14ac:dyDescent="0.25">
      <c r="B675" s="3">
        <f t="shared" si="86"/>
        <v>3275</v>
      </c>
      <c r="C675" s="14">
        <f t="shared" si="87"/>
        <v>54.583333333333336</v>
      </c>
      <c r="D675" s="11">
        <f t="shared" si="88"/>
        <v>931.19449762258682</v>
      </c>
      <c r="E675" s="24">
        <f t="shared" si="89"/>
        <v>349.11194870609035</v>
      </c>
      <c r="F675" s="38">
        <f t="shared" si="84"/>
        <v>1.0350488359208172</v>
      </c>
      <c r="G675" s="14">
        <f t="shared" si="85"/>
        <v>0</v>
      </c>
      <c r="H675" s="24">
        <f t="shared" si="83"/>
        <v>583.3475883426928</v>
      </c>
      <c r="I675" s="12">
        <f t="shared" si="90"/>
        <v>0.50207834991727174</v>
      </c>
      <c r="J675" s="3"/>
    </row>
    <row r="676" spans="2:10" x14ac:dyDescent="0.25">
      <c r="B676" s="3">
        <f t="shared" si="86"/>
        <v>3280</v>
      </c>
      <c r="C676" s="14">
        <f t="shared" si="87"/>
        <v>54.666666666666664</v>
      </c>
      <c r="D676" s="11">
        <f t="shared" si="88"/>
        <v>931.42255184660939</v>
      </c>
      <c r="E676" s="24">
        <f t="shared" si="89"/>
        <v>349.61402705600761</v>
      </c>
      <c r="F676" s="38">
        <f t="shared" si="84"/>
        <v>1.0346881348853647</v>
      </c>
      <c r="G676" s="14">
        <f t="shared" si="85"/>
        <v>0</v>
      </c>
      <c r="H676" s="24">
        <f t="shared" si="83"/>
        <v>583.55094824607761</v>
      </c>
      <c r="I676" s="12">
        <f t="shared" si="90"/>
        <v>0.5017408098754248</v>
      </c>
      <c r="J676" s="3"/>
    </row>
    <row r="677" spans="2:10" x14ac:dyDescent="0.25">
      <c r="B677" s="3">
        <f t="shared" si="86"/>
        <v>3285</v>
      </c>
      <c r="C677" s="14">
        <f t="shared" si="87"/>
        <v>54.75</v>
      </c>
      <c r="D677" s="11">
        <f t="shared" si="88"/>
        <v>931.65025948353184</v>
      </c>
      <c r="E677" s="24">
        <f t="shared" si="89"/>
        <v>350.11576786588302</v>
      </c>
      <c r="F677" s="38">
        <f t="shared" si="84"/>
        <v>1.0343273576641991</v>
      </c>
      <c r="G677" s="14">
        <f t="shared" si="85"/>
        <v>0</v>
      </c>
      <c r="H677" s="24">
        <f t="shared" si="83"/>
        <v>583.75449298262242</v>
      </c>
      <c r="I677" s="12">
        <f t="shared" si="90"/>
        <v>0.50140319563286628</v>
      </c>
      <c r="J677" s="3"/>
    </row>
    <row r="678" spans="2:10" x14ac:dyDescent="0.25">
      <c r="B678" s="3">
        <f t="shared" si="86"/>
        <v>3290</v>
      </c>
      <c r="C678" s="14">
        <f t="shared" si="87"/>
        <v>54.833333333333336</v>
      </c>
      <c r="D678" s="11">
        <f t="shared" si="88"/>
        <v>931.87762158521241</v>
      </c>
      <c r="E678" s="24">
        <f t="shared" si="89"/>
        <v>350.61717106151588</v>
      </c>
      <c r="F678" s="38">
        <f t="shared" si="84"/>
        <v>1.0339665029056804</v>
      </c>
      <c r="G678" s="14">
        <f t="shared" si="85"/>
        <v>0</v>
      </c>
      <c r="H678" s="24">
        <f t="shared" si="83"/>
        <v>583.95822355417147</v>
      </c>
      <c r="I678" s="12">
        <f t="shared" si="90"/>
        <v>0.50106550843411235</v>
      </c>
      <c r="J678" s="3"/>
    </row>
    <row r="679" spans="2:10" x14ac:dyDescent="0.25">
      <c r="B679" s="3">
        <f t="shared" si="86"/>
        <v>3295</v>
      </c>
      <c r="C679" s="14">
        <f t="shared" si="87"/>
        <v>54.916666666666664</v>
      </c>
      <c r="D679" s="11">
        <f t="shared" si="88"/>
        <v>932.10463919872814</v>
      </c>
      <c r="E679" s="24">
        <f t="shared" si="89"/>
        <v>351.11823656995</v>
      </c>
      <c r="F679" s="38">
        <f t="shared" si="84"/>
        <v>1.0336055692733523</v>
      </c>
      <c r="G679" s="14">
        <f t="shared" si="85"/>
        <v>0</v>
      </c>
      <c r="H679" s="24">
        <f t="shared" si="83"/>
        <v>584.16214095653538</v>
      </c>
      <c r="I679" s="12">
        <f t="shared" si="90"/>
        <v>0.50072774951904309</v>
      </c>
      <c r="J679" s="3"/>
    </row>
    <row r="680" spans="2:10" x14ac:dyDescent="0.25">
      <c r="B680" s="3">
        <f t="shared" si="86"/>
        <v>3300</v>
      </c>
      <c r="C680" s="14">
        <f t="shared" si="87"/>
        <v>55</v>
      </c>
      <c r="D680" s="11">
        <f t="shared" si="88"/>
        <v>932.33131336640417</v>
      </c>
      <c r="E680" s="24">
        <f t="shared" si="89"/>
        <v>351.61896431946906</v>
      </c>
      <c r="F680" s="38">
        <f t="shared" si="84"/>
        <v>1.0332445554458831</v>
      </c>
      <c r="G680" s="14">
        <f t="shared" si="85"/>
        <v>0</v>
      </c>
      <c r="H680" s="24">
        <f t="shared" si="83"/>
        <v>584.36624617950304</v>
      </c>
      <c r="I680" s="12">
        <f t="shared" si="90"/>
        <v>0.50038992012290906</v>
      </c>
      <c r="J680" s="3"/>
    </row>
    <row r="681" spans="2:10" x14ac:dyDescent="0.25">
      <c r="B681" s="3">
        <f t="shared" si="86"/>
        <v>3305</v>
      </c>
      <c r="C681" s="14">
        <f t="shared" si="87"/>
        <v>55.083333333333336</v>
      </c>
      <c r="D681" s="11">
        <f t="shared" si="88"/>
        <v>932.55764512584142</v>
      </c>
      <c r="E681" s="24">
        <f t="shared" si="89"/>
        <v>352.11935423959198</v>
      </c>
      <c r="F681" s="38">
        <f t="shared" si="84"/>
        <v>1.0328834601170034</v>
      </c>
      <c r="G681" s="14">
        <f t="shared" si="85"/>
        <v>0</v>
      </c>
      <c r="H681" s="24">
        <f t="shared" si="83"/>
        <v>584.57054020685302</v>
      </c>
      <c r="I681" s="12">
        <f t="shared" si="90"/>
        <v>0.50005202147653149</v>
      </c>
      <c r="J681" s="3"/>
    </row>
    <row r="682" spans="2:10" x14ac:dyDescent="0.25">
      <c r="B682" s="3">
        <f t="shared" si="86"/>
        <v>3310</v>
      </c>
      <c r="C682" s="14">
        <f t="shared" si="87"/>
        <v>55.166666666666664</v>
      </c>
      <c r="D682" s="11">
        <f t="shared" si="88"/>
        <v>932.78363550994663</v>
      </c>
      <c r="E682" s="24">
        <f t="shared" si="89"/>
        <v>352.61940626106849</v>
      </c>
      <c r="F682" s="38">
        <f t="shared" si="84"/>
        <v>1.0325222819954483</v>
      </c>
      <c r="G682" s="14">
        <f t="shared" si="85"/>
        <v>0</v>
      </c>
      <c r="H682" s="24">
        <f t="shared" si="83"/>
        <v>584.77502401636491</v>
      </c>
      <c r="I682" s="12">
        <f t="shared" si="90"/>
        <v>0.49971405480604969</v>
      </c>
      <c r="J682" s="3"/>
    </row>
    <row r="683" spans="2:10" x14ac:dyDescent="0.25">
      <c r="B683" s="3">
        <f t="shared" si="86"/>
        <v>3315</v>
      </c>
      <c r="C683" s="14">
        <f t="shared" si="87"/>
        <v>55.25</v>
      </c>
      <c r="D683" s="11">
        <f t="shared" si="88"/>
        <v>933.00928554695895</v>
      </c>
      <c r="E683" s="24">
        <f t="shared" si="89"/>
        <v>353.11912031587457</v>
      </c>
      <c r="F683" s="38">
        <f t="shared" si="84"/>
        <v>1.0321610198048974</v>
      </c>
      <c r="G683" s="14">
        <f t="shared" si="85"/>
        <v>0</v>
      </c>
      <c r="H683" s="24">
        <f t="shared" si="83"/>
        <v>584.97969857983128</v>
      </c>
      <c r="I683" s="12">
        <f t="shared" si="90"/>
        <v>0.49937602133333003</v>
      </c>
      <c r="J683" s="3"/>
    </row>
    <row r="684" spans="2:10" x14ac:dyDescent="0.25">
      <c r="B684" s="3">
        <f t="shared" si="86"/>
        <v>3320</v>
      </c>
      <c r="C684" s="14">
        <f t="shared" si="87"/>
        <v>55.333333333333336</v>
      </c>
      <c r="D684" s="11">
        <f t="shared" si="88"/>
        <v>933.23459626047929</v>
      </c>
      <c r="E684" s="24">
        <f t="shared" si="89"/>
        <v>353.61849633720789</v>
      </c>
      <c r="F684" s="38">
        <f t="shared" si="84"/>
        <v>1.0317996722839156</v>
      </c>
      <c r="G684" s="14">
        <f t="shared" si="85"/>
        <v>0</v>
      </c>
      <c r="H684" s="24">
        <f t="shared" si="83"/>
        <v>585.18456486306877</v>
      </c>
      <c r="I684" s="12">
        <f t="shared" si="90"/>
        <v>0.49903792227566329</v>
      </c>
      <c r="J684" s="3"/>
    </row>
    <row r="685" spans="2:10" x14ac:dyDescent="0.25">
      <c r="B685" s="3">
        <f t="shared" si="86"/>
        <v>3325</v>
      </c>
      <c r="C685" s="14">
        <f t="shared" si="87"/>
        <v>55.416666666666664</v>
      </c>
      <c r="D685" s="11">
        <f t="shared" si="88"/>
        <v>933.4595686694978</v>
      </c>
      <c r="E685" s="24">
        <f t="shared" si="89"/>
        <v>354.11753425948353</v>
      </c>
      <c r="F685" s="38">
        <f t="shared" si="84"/>
        <v>1.0314382381858938</v>
      </c>
      <c r="G685" s="14">
        <f t="shared" si="85"/>
        <v>0</v>
      </c>
      <c r="H685" s="24">
        <f t="shared" si="83"/>
        <v>585.3896238259299</v>
      </c>
      <c r="I685" s="12">
        <f t="shared" si="90"/>
        <v>0.49869975884600287</v>
      </c>
      <c r="J685" s="3"/>
    </row>
    <row r="686" spans="2:10" x14ac:dyDescent="0.25">
      <c r="B686" s="3">
        <f t="shared" si="86"/>
        <v>3330</v>
      </c>
      <c r="C686" s="14">
        <f t="shared" si="87"/>
        <v>55.5</v>
      </c>
      <c r="D686" s="11">
        <f t="shared" si="88"/>
        <v>933.6842037884212</v>
      </c>
      <c r="E686" s="24">
        <f t="shared" si="89"/>
        <v>354.61623401832952</v>
      </c>
      <c r="F686" s="38">
        <f t="shared" si="84"/>
        <v>1.0310767162789869</v>
      </c>
      <c r="G686" s="14">
        <f t="shared" si="85"/>
        <v>0</v>
      </c>
      <c r="H686" s="24">
        <f t="shared" si="83"/>
        <v>585.59487642231545</v>
      </c>
      <c r="I686" s="12">
        <f t="shared" si="90"/>
        <v>0.49836153225297719</v>
      </c>
      <c r="J686" s="3"/>
    </row>
    <row r="687" spans="2:10" x14ac:dyDescent="0.25">
      <c r="B687" s="3">
        <f t="shared" si="86"/>
        <v>3335</v>
      </c>
      <c r="C687" s="14">
        <f t="shared" si="87"/>
        <v>55.583333333333336</v>
      </c>
      <c r="D687" s="11">
        <f t="shared" si="88"/>
        <v>933.90850262710092</v>
      </c>
      <c r="E687" s="24">
        <f t="shared" si="89"/>
        <v>355.11459555058252</v>
      </c>
      <c r="F687" s="38">
        <f t="shared" si="84"/>
        <v>1.0307151053460584</v>
      </c>
      <c r="G687" s="14">
        <f t="shared" si="85"/>
        <v>0</v>
      </c>
      <c r="H687" s="24">
        <f t="shared" si="83"/>
        <v>585.80032360018538</v>
      </c>
      <c r="I687" s="12">
        <f t="shared" si="90"/>
        <v>0.49802324370083501</v>
      </c>
      <c r="J687" s="3"/>
    </row>
    <row r="688" spans="2:10" x14ac:dyDescent="0.25">
      <c r="B688" s="3">
        <f t="shared" si="86"/>
        <v>3340</v>
      </c>
      <c r="C688" s="14">
        <f t="shared" si="87"/>
        <v>55.666666666666664</v>
      </c>
      <c r="D688" s="11">
        <f t="shared" si="88"/>
        <v>934.13246619085953</v>
      </c>
      <c r="E688" s="24">
        <f t="shared" si="89"/>
        <v>355.61261879428338</v>
      </c>
      <c r="F688" s="38">
        <f t="shared" si="84"/>
        <v>1.0303534041846176</v>
      </c>
      <c r="G688" s="14">
        <f t="shared" si="85"/>
        <v>0</v>
      </c>
      <c r="H688" s="24">
        <f t="shared" si="83"/>
        <v>586.00596630157122</v>
      </c>
      <c r="I688" s="12">
        <f t="shared" si="90"/>
        <v>0.49768489438962882</v>
      </c>
      <c r="J688" s="3"/>
    </row>
    <row r="689" spans="2:10" x14ac:dyDescent="0.25">
      <c r="B689" s="3">
        <f t="shared" si="86"/>
        <v>3345</v>
      </c>
      <c r="C689" s="14">
        <f t="shared" si="87"/>
        <v>55.75</v>
      </c>
      <c r="D689" s="11">
        <f t="shared" si="88"/>
        <v>934.35609548051798</v>
      </c>
      <c r="E689" s="24">
        <f t="shared" si="89"/>
        <v>356.11030368867301</v>
      </c>
      <c r="F689" s="38">
        <f t="shared" si="84"/>
        <v>1.0299916116067618</v>
      </c>
      <c r="G689" s="14">
        <f t="shared" si="85"/>
        <v>0</v>
      </c>
      <c r="H689" s="24">
        <f t="shared" si="83"/>
        <v>586.21180546258768</v>
      </c>
      <c r="I689" s="12">
        <f t="shared" si="90"/>
        <v>0.49734648551515842</v>
      </c>
      <c r="J689" s="3"/>
    </row>
    <row r="690" spans="2:10" x14ac:dyDescent="0.25">
      <c r="B690" s="3">
        <f t="shared" si="86"/>
        <v>3350</v>
      </c>
      <c r="C690" s="14">
        <f t="shared" si="87"/>
        <v>55.833333333333336</v>
      </c>
      <c r="D690" s="11">
        <f t="shared" si="88"/>
        <v>934.57939149242304</v>
      </c>
      <c r="E690" s="24">
        <f t="shared" si="89"/>
        <v>356.60765017418817</v>
      </c>
      <c r="F690" s="38">
        <f t="shared" si="84"/>
        <v>1.0296297264391154</v>
      </c>
      <c r="G690" s="14">
        <f t="shared" si="85"/>
        <v>0</v>
      </c>
      <c r="H690" s="24">
        <f t="shared" si="83"/>
        <v>586.41784201344535</v>
      </c>
      <c r="I690" s="12">
        <f t="shared" si="90"/>
        <v>0.49700801826894603</v>
      </c>
      <c r="J690" s="3"/>
    </row>
    <row r="691" spans="2:10" x14ac:dyDescent="0.25">
      <c r="B691" s="3">
        <f t="shared" si="86"/>
        <v>3355</v>
      </c>
      <c r="C691" s="14">
        <f t="shared" si="87"/>
        <v>55.916666666666664</v>
      </c>
      <c r="D691" s="11">
        <f t="shared" si="88"/>
        <v>934.80235521847362</v>
      </c>
      <c r="E691" s="24">
        <f t="shared" si="89"/>
        <v>357.10465819245712</v>
      </c>
      <c r="F691" s="38">
        <f t="shared" si="84"/>
        <v>1.0292677475227741</v>
      </c>
      <c r="G691" s="14">
        <f t="shared" si="85"/>
        <v>0</v>
      </c>
      <c r="H691" s="24">
        <f t="shared" si="83"/>
        <v>586.62407687846098</v>
      </c>
      <c r="I691" s="12">
        <f t="shared" si="90"/>
        <v>0.49666949383838765</v>
      </c>
      <c r="J691" s="3"/>
    </row>
    <row r="692" spans="2:10" x14ac:dyDescent="0.25">
      <c r="B692" s="3">
        <f t="shared" si="86"/>
        <v>3360</v>
      </c>
      <c r="C692" s="14">
        <f t="shared" si="87"/>
        <v>56</v>
      </c>
      <c r="D692" s="11">
        <f t="shared" si="88"/>
        <v>935.02498764614654</v>
      </c>
      <c r="E692" s="24">
        <f t="shared" si="89"/>
        <v>357.60132768629552</v>
      </c>
      <c r="F692" s="38">
        <f t="shared" si="84"/>
        <v>1.0289056737132398</v>
      </c>
      <c r="G692" s="14">
        <f t="shared" si="85"/>
        <v>0</v>
      </c>
      <c r="H692" s="24">
        <f t="shared" si="83"/>
        <v>586.83051097607188</v>
      </c>
      <c r="I692" s="12">
        <f t="shared" si="90"/>
        <v>0.49633091340681362</v>
      </c>
      <c r="J692" s="3"/>
    </row>
    <row r="693" spans="2:10" x14ac:dyDescent="0.25">
      <c r="B693" s="3">
        <f t="shared" si="86"/>
        <v>3365</v>
      </c>
      <c r="C693" s="14">
        <f t="shared" si="87"/>
        <v>56.083333333333336</v>
      </c>
      <c r="D693" s="11">
        <f t="shared" si="88"/>
        <v>935.24728975852338</v>
      </c>
      <c r="E693" s="24">
        <f t="shared" si="89"/>
        <v>358.09765859970236</v>
      </c>
      <c r="F693" s="38">
        <f t="shared" si="84"/>
        <v>1.0285435038803681</v>
      </c>
      <c r="G693" s="14">
        <f t="shared" si="85"/>
        <v>0</v>
      </c>
      <c r="H693" s="24">
        <f t="shared" ref="H693:H756" si="91">IF(E693&lt;600,425+0.773*E693-1.69/1000*E693^2+2.22/1000^2*E693^3,IF(E693&lt;735,666+13002/(738-E693),IF(E693&lt;900,545+17820/(E693-731),650)))</f>
        <v>587.03714521884569</v>
      </c>
      <c r="I693" s="12">
        <f t="shared" si="90"/>
        <v>0.49599227815339264</v>
      </c>
      <c r="J693" s="3"/>
    </row>
    <row r="694" spans="2:10" x14ac:dyDescent="0.25">
      <c r="B694" s="3">
        <f t="shared" si="86"/>
        <v>3370</v>
      </c>
      <c r="C694" s="14">
        <f t="shared" si="87"/>
        <v>56.166666666666664</v>
      </c>
      <c r="D694" s="11">
        <f t="shared" si="88"/>
        <v>935.46926253431684</v>
      </c>
      <c r="E694" s="24">
        <f t="shared" si="89"/>
        <v>358.59365087785574</v>
      </c>
      <c r="F694" s="38">
        <f t="shared" si="84"/>
        <v>1.0281812369083032</v>
      </c>
      <c r="G694" s="14">
        <f t="shared" si="85"/>
        <v>0</v>
      </c>
      <c r="H694" s="24">
        <f t="shared" si="91"/>
        <v>587.24398051349431</v>
      </c>
      <c r="I694" s="12">
        <f t="shared" si="90"/>
        <v>0.49565358925319408</v>
      </c>
      <c r="J694" s="3"/>
    </row>
    <row r="695" spans="2:10" x14ac:dyDescent="0.25">
      <c r="B695" s="3">
        <f t="shared" si="86"/>
        <v>3375</v>
      </c>
      <c r="C695" s="14">
        <f t="shared" si="87"/>
        <v>56.25</v>
      </c>
      <c r="D695" s="11">
        <f t="shared" si="88"/>
        <v>935.69090694789634</v>
      </c>
      <c r="E695" s="24">
        <f t="shared" si="89"/>
        <v>359.08930446710895</v>
      </c>
      <c r="F695" s="38">
        <f t="shared" si="84"/>
        <v>1.0278188716954222</v>
      </c>
      <c r="G695" s="14">
        <f t="shared" si="85"/>
        <v>0</v>
      </c>
      <c r="H695" s="24">
        <f t="shared" si="91"/>
        <v>587.45101776088495</v>
      </c>
      <c r="I695" s="12">
        <f t="shared" si="90"/>
        <v>0.49531484787728525</v>
      </c>
      <c r="J695" s="3"/>
    </row>
    <row r="696" spans="2:10" x14ac:dyDescent="0.25">
      <c r="B696" s="3">
        <f t="shared" si="86"/>
        <v>3380</v>
      </c>
      <c r="C696" s="14">
        <f t="shared" si="87"/>
        <v>56.333333333333336</v>
      </c>
      <c r="D696" s="11">
        <f t="shared" si="88"/>
        <v>935.91222396931289</v>
      </c>
      <c r="E696" s="24">
        <f t="shared" si="89"/>
        <v>359.58461931498624</v>
      </c>
      <c r="F696" s="38">
        <f t="shared" si="84"/>
        <v>1.027456407154274</v>
      </c>
      <c r="G696" s="14">
        <f t="shared" si="85"/>
        <v>0</v>
      </c>
      <c r="H696" s="24">
        <f t="shared" si="91"/>
        <v>587.65825785605307</v>
      </c>
      <c r="I696" s="12">
        <f t="shared" si="90"/>
        <v>0.4949760551928194</v>
      </c>
      <c r="J696" s="3"/>
    </row>
    <row r="697" spans="2:10" x14ac:dyDescent="0.25">
      <c r="B697" s="3">
        <f t="shared" si="86"/>
        <v>3385</v>
      </c>
      <c r="C697" s="14">
        <f t="shared" si="87"/>
        <v>56.416666666666664</v>
      </c>
      <c r="D697" s="11">
        <f t="shared" si="88"/>
        <v>936.13321456432561</v>
      </c>
      <c r="E697" s="24">
        <f t="shared" si="89"/>
        <v>360.07959537017905</v>
      </c>
      <c r="F697" s="38">
        <f t="shared" si="84"/>
        <v>1.0270938422115217</v>
      </c>
      <c r="G697" s="14">
        <f t="shared" si="85"/>
        <v>0</v>
      </c>
      <c r="H697" s="24">
        <f t="shared" si="91"/>
        <v>587.86570168821424</v>
      </c>
      <c r="I697" s="12">
        <f t="shared" si="90"/>
        <v>0.49463721236287378</v>
      </c>
      <c r="J697" s="3"/>
    </row>
    <row r="698" spans="2:10" x14ac:dyDescent="0.25">
      <c r="B698" s="3">
        <f t="shared" si="86"/>
        <v>3390</v>
      </c>
      <c r="C698" s="14">
        <f t="shared" si="87"/>
        <v>56.5</v>
      </c>
      <c r="D698" s="11">
        <f t="shared" si="88"/>
        <v>936.35387969442695</v>
      </c>
      <c r="E698" s="24">
        <f t="shared" si="89"/>
        <v>360.57423258254192</v>
      </c>
      <c r="F698" s="38">
        <f t="shared" si="84"/>
        <v>1.0267311758078825</v>
      </c>
      <c r="G698" s="14">
        <f t="shared" si="85"/>
        <v>0</v>
      </c>
      <c r="H698" s="24">
        <f t="shared" si="91"/>
        <v>588.07335014077648</v>
      </c>
      <c r="I698" s="12">
        <f t="shared" si="90"/>
        <v>0.494298320546599</v>
      </c>
      <c r="J698" s="3"/>
    </row>
    <row r="699" spans="2:10" x14ac:dyDescent="0.25">
      <c r="B699" s="3">
        <f t="shared" si="86"/>
        <v>3395</v>
      </c>
      <c r="C699" s="14">
        <f t="shared" si="87"/>
        <v>56.583333333333336</v>
      </c>
      <c r="D699" s="11">
        <f t="shared" si="88"/>
        <v>936.5742203168669</v>
      </c>
      <c r="E699" s="24">
        <f t="shared" si="89"/>
        <v>361.06853090308852</v>
      </c>
      <c r="F699" s="38">
        <f t="shared" si="84"/>
        <v>1.0263684068980694</v>
      </c>
      <c r="G699" s="14">
        <f t="shared" si="85"/>
        <v>0</v>
      </c>
      <c r="H699" s="24">
        <f t="shared" si="91"/>
        <v>588.28120409135306</v>
      </c>
      <c r="I699" s="12">
        <f t="shared" si="90"/>
        <v>0.49395938089933855</v>
      </c>
      <c r="J699" s="3"/>
    </row>
    <row r="700" spans="2:10" x14ac:dyDescent="0.25">
      <c r="B700" s="3">
        <f t="shared" si="86"/>
        <v>3400</v>
      </c>
      <c r="C700" s="14">
        <f t="shared" si="87"/>
        <v>56.666666666666664</v>
      </c>
      <c r="D700" s="11">
        <f t="shared" si="88"/>
        <v>936.79423738467881</v>
      </c>
      <c r="E700" s="24">
        <f t="shared" si="89"/>
        <v>361.56249028398787</v>
      </c>
      <c r="F700" s="38">
        <f t="shared" si="84"/>
        <v>1.0260055344507313</v>
      </c>
      <c r="G700" s="14">
        <f t="shared" si="85"/>
        <v>0</v>
      </c>
      <c r="H700" s="24">
        <f t="shared" si="91"/>
        <v>588.48926441177434</v>
      </c>
      <c r="I700" s="12">
        <f t="shared" si="90"/>
        <v>0.49362039457247009</v>
      </c>
      <c r="J700" s="3"/>
    </row>
    <row r="701" spans="2:10" x14ac:dyDescent="0.25">
      <c r="B701" s="3">
        <f t="shared" si="86"/>
        <v>3405</v>
      </c>
      <c r="C701" s="14">
        <f t="shared" si="87"/>
        <v>56.75</v>
      </c>
      <c r="D701" s="11">
        <f t="shared" si="88"/>
        <v>937.01393184670371</v>
      </c>
      <c r="E701" s="24">
        <f t="shared" si="89"/>
        <v>362.05611067856034</v>
      </c>
      <c r="F701" s="38">
        <f t="shared" si="84"/>
        <v>1.0256425574483936</v>
      </c>
      <c r="G701" s="14">
        <f t="shared" si="85"/>
        <v>0</v>
      </c>
      <c r="H701" s="24">
        <f t="shared" si="91"/>
        <v>588.69753196810052</v>
      </c>
      <c r="I701" s="12">
        <f t="shared" si="90"/>
        <v>0.4932813627135747</v>
      </c>
      <c r="J701" s="3"/>
    </row>
    <row r="702" spans="2:10" x14ac:dyDescent="0.25">
      <c r="B702" s="3">
        <f t="shared" si="86"/>
        <v>3410</v>
      </c>
      <c r="C702" s="14">
        <f t="shared" si="87"/>
        <v>56.833333333333336</v>
      </c>
      <c r="D702" s="11">
        <f t="shared" si="88"/>
        <v>937.23330464761511</v>
      </c>
      <c r="E702" s="24">
        <f t="shared" si="89"/>
        <v>362.5493920412739</v>
      </c>
      <c r="F702" s="38">
        <f t="shared" si="84"/>
        <v>1.0252794748874017</v>
      </c>
      <c r="G702" s="14">
        <f t="shared" si="85"/>
        <v>0</v>
      </c>
      <c r="H702" s="24">
        <f t="shared" si="91"/>
        <v>588.90600762063423</v>
      </c>
      <c r="I702" s="12">
        <f t="shared" si="90"/>
        <v>0.49294228646639981</v>
      </c>
      <c r="J702" s="3"/>
    </row>
    <row r="703" spans="2:10" x14ac:dyDescent="0.25">
      <c r="B703" s="3">
        <f t="shared" si="86"/>
        <v>3415</v>
      </c>
      <c r="C703" s="14">
        <f t="shared" si="87"/>
        <v>56.916666666666664</v>
      </c>
      <c r="D703" s="11">
        <f t="shared" si="88"/>
        <v>937.45235672794297</v>
      </c>
      <c r="E703" s="24">
        <f t="shared" si="89"/>
        <v>363.04233432774032</v>
      </c>
      <c r="F703" s="38">
        <f t="shared" si="84"/>
        <v>1.0249162857778598</v>
      </c>
      <c r="G703" s="14">
        <f t="shared" si="85"/>
        <v>0</v>
      </c>
      <c r="H703" s="24">
        <f t="shared" si="91"/>
        <v>589.11469222393282</v>
      </c>
      <c r="I703" s="12">
        <f t="shared" si="90"/>
        <v>0.49260316697095374</v>
      </c>
      <c r="J703" s="3"/>
    </row>
    <row r="704" spans="2:10" x14ac:dyDescent="0.25">
      <c r="B704" s="3">
        <f t="shared" si="86"/>
        <v>3420</v>
      </c>
      <c r="C704" s="14">
        <f t="shared" si="87"/>
        <v>57</v>
      </c>
      <c r="D704" s="11">
        <f t="shared" si="88"/>
        <v>937.67108902409825</v>
      </c>
      <c r="E704" s="24">
        <f t="shared" si="89"/>
        <v>363.5349374947113</v>
      </c>
      <c r="F704" s="38">
        <f t="shared" si="84"/>
        <v>1.0245529891435721</v>
      </c>
      <c r="G704" s="14">
        <f t="shared" si="85"/>
        <v>0</v>
      </c>
      <c r="H704" s="24">
        <f t="shared" si="91"/>
        <v>589.32358662682088</v>
      </c>
      <c r="I704" s="12">
        <f t="shared" si="90"/>
        <v>0.49226400536345694</v>
      </c>
      <c r="J704" s="3"/>
    </row>
    <row r="705" spans="2:10" x14ac:dyDescent="0.25">
      <c r="B705" s="3">
        <f t="shared" si="86"/>
        <v>3425</v>
      </c>
      <c r="C705" s="14">
        <f t="shared" si="87"/>
        <v>57.083333333333336</v>
      </c>
      <c r="D705" s="11">
        <f t="shared" si="88"/>
        <v>937.88950246839693</v>
      </c>
      <c r="E705" s="24">
        <f t="shared" si="89"/>
        <v>364.02720150007474</v>
      </c>
      <c r="F705" s="38">
        <f t="shared" si="84"/>
        <v>1.024189584021985</v>
      </c>
      <c r="G705" s="14">
        <f t="shared" si="85"/>
        <v>0</v>
      </c>
      <c r="H705" s="24">
        <f t="shared" si="91"/>
        <v>589.53269167240353</v>
      </c>
      <c r="I705" s="12">
        <f t="shared" si="90"/>
        <v>0.49192480277641093</v>
      </c>
      <c r="J705" s="3"/>
    </row>
    <row r="706" spans="2:10" x14ac:dyDescent="0.25">
      <c r="B706" s="3">
        <f t="shared" si="86"/>
        <v>3430</v>
      </c>
      <c r="C706" s="14">
        <f t="shared" si="87"/>
        <v>57.166666666666664</v>
      </c>
      <c r="D706" s="11">
        <f t="shared" si="88"/>
        <v>938.1075979890835</v>
      </c>
      <c r="E706" s="24">
        <f t="shared" si="89"/>
        <v>364.51912630285113</v>
      </c>
      <c r="F706" s="38">
        <f t="shared" si="84"/>
        <v>1.0238260694641281</v>
      </c>
      <c r="G706" s="14">
        <f t="shared" si="85"/>
        <v>0</v>
      </c>
      <c r="H706" s="24">
        <f t="shared" si="91"/>
        <v>589.74200819807834</v>
      </c>
      <c r="I706" s="12">
        <f t="shared" si="90"/>
        <v>0.49158556033865825</v>
      </c>
      <c r="J706" s="3"/>
    </row>
    <row r="707" spans="2:10" x14ac:dyDescent="0.25">
      <c r="B707" s="3">
        <f t="shared" si="86"/>
        <v>3435</v>
      </c>
      <c r="C707" s="14">
        <f t="shared" si="87"/>
        <v>57.25</v>
      </c>
      <c r="D707" s="11">
        <f t="shared" si="88"/>
        <v>938.325376510355</v>
      </c>
      <c r="E707" s="24">
        <f t="shared" si="89"/>
        <v>365.01071186318978</v>
      </c>
      <c r="F707" s="38">
        <f t="shared" si="84"/>
        <v>1.0234624445345548</v>
      </c>
      <c r="G707" s="14">
        <f t="shared" si="85"/>
        <v>0</v>
      </c>
      <c r="H707" s="24">
        <f t="shared" si="91"/>
        <v>589.9515370355482</v>
      </c>
      <c r="I707" s="12">
        <f t="shared" si="90"/>
        <v>0.49124627917534269</v>
      </c>
      <c r="J707" s="3"/>
    </row>
    <row r="708" spans="2:10" x14ac:dyDescent="0.25">
      <c r="B708" s="3">
        <f t="shared" si="86"/>
        <v>3440</v>
      </c>
      <c r="C708" s="14">
        <f t="shared" si="87"/>
        <v>57.333333333333336</v>
      </c>
      <c r="D708" s="11">
        <f t="shared" si="88"/>
        <v>938.54283895238439</v>
      </c>
      <c r="E708" s="24">
        <f t="shared" si="89"/>
        <v>365.50195814236514</v>
      </c>
      <c r="F708" s="38">
        <f t="shared" si="84"/>
        <v>1.0230987083112841</v>
      </c>
      <c r="G708" s="14">
        <f t="shared" si="85"/>
        <v>0</v>
      </c>
      <c r="H708" s="24">
        <f t="shared" si="91"/>
        <v>590.16127901083451</v>
      </c>
      <c r="I708" s="12">
        <f t="shared" si="90"/>
        <v>0.49090696040797932</v>
      </c>
      <c r="J708" s="3"/>
    </row>
    <row r="709" spans="2:10" x14ac:dyDescent="0.25">
      <c r="B709" s="3">
        <f t="shared" si="86"/>
        <v>3445</v>
      </c>
      <c r="C709" s="14">
        <f t="shared" si="87"/>
        <v>57.416666666666664</v>
      </c>
      <c r="D709" s="11">
        <f t="shared" si="88"/>
        <v>938.7599862313441</v>
      </c>
      <c r="E709" s="24">
        <f t="shared" si="89"/>
        <v>365.99286510277312</v>
      </c>
      <c r="F709" s="38">
        <f t="shared" si="84"/>
        <v>1.0227348598857418</v>
      </c>
      <c r="G709" s="14">
        <f t="shared" si="85"/>
        <v>0</v>
      </c>
      <c r="H709" s="24">
        <f t="shared" si="91"/>
        <v>590.37123494428931</v>
      </c>
      <c r="I709" s="12">
        <f t="shared" si="90"/>
        <v>0.49056760515445219</v>
      </c>
      <c r="J709" s="3"/>
    </row>
    <row r="710" spans="2:10" x14ac:dyDescent="0.25">
      <c r="B710" s="3">
        <f t="shared" si="86"/>
        <v>3450</v>
      </c>
      <c r="C710" s="14">
        <f t="shared" si="87"/>
        <v>57.5</v>
      </c>
      <c r="D710" s="11">
        <f t="shared" si="88"/>
        <v>938.97681925942857</v>
      </c>
      <c r="E710" s="24">
        <f t="shared" si="89"/>
        <v>366.48343270792759</v>
      </c>
      <c r="F710" s="38">
        <f t="shared" si="84"/>
        <v>1.0223708983627025</v>
      </c>
      <c r="G710" s="14">
        <f t="shared" si="85"/>
        <v>0</v>
      </c>
      <c r="H710" s="24">
        <f t="shared" si="91"/>
        <v>590.58140565060842</v>
      </c>
      <c r="I710" s="12">
        <f t="shared" si="90"/>
        <v>0.49022821452913179</v>
      </c>
      <c r="J710" s="3"/>
    </row>
    <row r="711" spans="2:10" x14ac:dyDescent="0.25">
      <c r="B711" s="3">
        <f t="shared" si="86"/>
        <v>3455</v>
      </c>
      <c r="C711" s="14">
        <f t="shared" si="87"/>
        <v>57.583333333333336</v>
      </c>
      <c r="D711" s="11">
        <f t="shared" si="88"/>
        <v>939.19333894487761</v>
      </c>
      <c r="E711" s="24">
        <f t="shared" si="89"/>
        <v>366.9736609224567</v>
      </c>
      <c r="F711" s="38">
        <f t="shared" si="84"/>
        <v>1.0220068228602297</v>
      </c>
      <c r="G711" s="14">
        <f t="shared" si="85"/>
        <v>0</v>
      </c>
      <c r="H711" s="24">
        <f t="shared" si="91"/>
        <v>590.79179193884431</v>
      </c>
      <c r="I711" s="12">
        <f t="shared" si="90"/>
        <v>0.4898887896427867</v>
      </c>
      <c r="J711" s="3"/>
    </row>
    <row r="712" spans="2:10" x14ac:dyDescent="0.25">
      <c r="B712" s="3">
        <f t="shared" si="86"/>
        <v>3460</v>
      </c>
      <c r="C712" s="14">
        <f t="shared" si="87"/>
        <v>57.666666666666664</v>
      </c>
      <c r="D712" s="11">
        <f t="shared" si="88"/>
        <v>939.40954619199965</v>
      </c>
      <c r="E712" s="24">
        <f t="shared" si="89"/>
        <v>367.46354971209951</v>
      </c>
      <c r="F712" s="38">
        <f t="shared" si="84"/>
        <v>1.021642632509618</v>
      </c>
      <c r="G712" s="14">
        <f t="shared" si="85"/>
        <v>0</v>
      </c>
      <c r="H712" s="24">
        <f t="shared" si="91"/>
        <v>591.00239461241927</v>
      </c>
      <c r="I712" s="12">
        <f t="shared" si="90"/>
        <v>0.48954933160261521</v>
      </c>
      <c r="J712" s="3"/>
    </row>
    <row r="713" spans="2:10" x14ac:dyDescent="0.25">
      <c r="B713" s="3">
        <f t="shared" si="86"/>
        <v>3465</v>
      </c>
      <c r="C713" s="14">
        <f t="shared" si="87"/>
        <v>57.75</v>
      </c>
      <c r="D713" s="11">
        <f t="shared" si="88"/>
        <v>939.62544190119377</v>
      </c>
      <c r="E713" s="24">
        <f t="shared" si="89"/>
        <v>367.95309904370214</v>
      </c>
      <c r="F713" s="38">
        <f t="shared" si="84"/>
        <v>1.0212783264553347</v>
      </c>
      <c r="G713" s="14">
        <f t="shared" si="85"/>
        <v>0</v>
      </c>
      <c r="H713" s="24">
        <f t="shared" si="91"/>
        <v>591.21321446913794</v>
      </c>
      <c r="I713" s="12">
        <f t="shared" si="90"/>
        <v>0.4892098415123774</v>
      </c>
      <c r="J713" s="3"/>
    </row>
    <row r="714" spans="2:10" x14ac:dyDescent="0.25">
      <c r="B714" s="3">
        <f t="shared" si="86"/>
        <v>3470</v>
      </c>
      <c r="C714" s="14">
        <f t="shared" si="87"/>
        <v>57.833333333333336</v>
      </c>
      <c r="D714" s="11">
        <f t="shared" si="88"/>
        <v>939.8410269689723</v>
      </c>
      <c r="E714" s="24">
        <f t="shared" si="89"/>
        <v>368.44230888521452</v>
      </c>
      <c r="F714" s="38">
        <f t="shared" si="84"/>
        <v>1.0209139038549617</v>
      </c>
      <c r="G714" s="14">
        <f t="shared" si="85"/>
        <v>0</v>
      </c>
      <c r="H714" s="24">
        <f t="shared" si="91"/>
        <v>591.42425230120011</v>
      </c>
      <c r="I714" s="12">
        <f t="shared" si="90"/>
        <v>0.48887032047233964</v>
      </c>
      <c r="J714" s="3"/>
    </row>
    <row r="715" spans="2:10" x14ac:dyDescent="0.25">
      <c r="B715" s="3">
        <f t="shared" si="86"/>
        <v>3475</v>
      </c>
      <c r="C715" s="14">
        <f t="shared" si="87"/>
        <v>57.916666666666664</v>
      </c>
      <c r="D715" s="11">
        <f t="shared" si="88"/>
        <v>940.05630228798373</v>
      </c>
      <c r="E715" s="24">
        <f t="shared" si="89"/>
        <v>368.93117920568687</v>
      </c>
      <c r="F715" s="38">
        <f t="shared" si="84"/>
        <v>1.0205493638791361</v>
      </c>
      <c r="G715" s="14">
        <f t="shared" si="85"/>
        <v>0</v>
      </c>
      <c r="H715" s="24">
        <f t="shared" si="91"/>
        <v>591.63550889521457</v>
      </c>
      <c r="I715" s="12">
        <f t="shared" si="90"/>
        <v>0.48853076957925912</v>
      </c>
      <c r="J715" s="3"/>
    </row>
    <row r="716" spans="2:10" x14ac:dyDescent="0.25">
      <c r="B716" s="3">
        <f t="shared" si="86"/>
        <v>3480</v>
      </c>
      <c r="C716" s="14">
        <f t="shared" si="87"/>
        <v>58</v>
      </c>
      <c r="D716" s="11">
        <f t="shared" si="88"/>
        <v>940.27126874703401</v>
      </c>
      <c r="E716" s="24">
        <f t="shared" si="89"/>
        <v>369.41970997526613</v>
      </c>
      <c r="F716" s="38">
        <f t="shared" si="84"/>
        <v>1.0201847057114917</v>
      </c>
      <c r="G716" s="14">
        <f t="shared" si="85"/>
        <v>0</v>
      </c>
      <c r="H716" s="24">
        <f t="shared" si="91"/>
        <v>591.84698503221125</v>
      </c>
      <c r="I716" s="12">
        <f t="shared" si="90"/>
        <v>0.48819118992654992</v>
      </c>
      <c r="J716" s="3"/>
    </row>
    <row r="717" spans="2:10" x14ac:dyDescent="0.25">
      <c r="B717" s="3">
        <f t="shared" si="86"/>
        <v>3485</v>
      </c>
      <c r="C717" s="14">
        <f t="shared" si="87"/>
        <v>58.083333333333336</v>
      </c>
      <c r="D717" s="11">
        <f t="shared" si="88"/>
        <v>940.48592723110914</v>
      </c>
      <c r="E717" s="24">
        <f t="shared" si="89"/>
        <v>369.9079011651927</v>
      </c>
      <c r="F717" s="38">
        <f t="shared" si="84"/>
        <v>1.0198199285486031</v>
      </c>
      <c r="G717" s="14">
        <f t="shared" si="85"/>
        <v>0</v>
      </c>
      <c r="H717" s="24">
        <f t="shared" si="91"/>
        <v>592.05868148765444</v>
      </c>
      <c r="I717" s="12">
        <f t="shared" si="90"/>
        <v>0.48785158260416722</v>
      </c>
      <c r="J717" s="3"/>
    </row>
    <row r="718" spans="2:10" x14ac:dyDescent="0.25">
      <c r="B718" s="3">
        <f t="shared" si="86"/>
        <v>3490</v>
      </c>
      <c r="C718" s="14">
        <f t="shared" si="87"/>
        <v>58.166666666666664</v>
      </c>
      <c r="D718" s="11">
        <f t="shared" si="88"/>
        <v>940.70027862139693</v>
      </c>
      <c r="E718" s="24">
        <f t="shared" si="89"/>
        <v>370.39575274779685</v>
      </c>
      <c r="F718" s="38">
        <f t="shared" si="84"/>
        <v>1.0194550315999247</v>
      </c>
      <c r="G718" s="14">
        <f t="shared" si="85"/>
        <v>0</v>
      </c>
      <c r="H718" s="24">
        <f t="shared" si="91"/>
        <v>592.27059903145675</v>
      </c>
      <c r="I718" s="12">
        <f t="shared" si="90"/>
        <v>0.48751194869868786</v>
      </c>
      <c r="J718" s="3"/>
    </row>
    <row r="719" spans="2:10" x14ac:dyDescent="0.25">
      <c r="B719" s="3">
        <f t="shared" si="86"/>
        <v>3495</v>
      </c>
      <c r="C719" s="14">
        <f t="shared" si="87"/>
        <v>58.25</v>
      </c>
      <c r="D719" s="11">
        <f t="shared" si="88"/>
        <v>940.91432379530863</v>
      </c>
      <c r="E719" s="24">
        <f t="shared" si="89"/>
        <v>370.88326469649553</v>
      </c>
      <c r="F719" s="38">
        <f t="shared" si="84"/>
        <v>1.0190900140877328</v>
      </c>
      <c r="G719" s="14">
        <f t="shared" si="85"/>
        <v>0</v>
      </c>
      <c r="H719" s="24">
        <f t="shared" si="91"/>
        <v>592.48273842799131</v>
      </c>
      <c r="I719" s="12">
        <f t="shared" si="90"/>
        <v>0.48717228929334117</v>
      </c>
      <c r="J719" s="3"/>
    </row>
    <row r="720" spans="2:10" x14ac:dyDescent="0.25">
      <c r="B720" s="3">
        <f t="shared" si="86"/>
        <v>3500</v>
      </c>
      <c r="C720" s="14">
        <f t="shared" si="87"/>
        <v>58.333333333333336</v>
      </c>
      <c r="D720" s="11">
        <f t="shared" si="88"/>
        <v>941.12806362650053</v>
      </c>
      <c r="E720" s="24">
        <f t="shared" si="89"/>
        <v>371.3704369857889</v>
      </c>
      <c r="F720" s="38">
        <f t="shared" si="84"/>
        <v>1.0187248752470683</v>
      </c>
      <c r="G720" s="14">
        <f t="shared" si="85"/>
        <v>0</v>
      </c>
      <c r="H720" s="24">
        <f t="shared" si="91"/>
        <v>592.69510043610535</v>
      </c>
      <c r="I720" s="12">
        <f t="shared" si="90"/>
        <v>0.48683260546801621</v>
      </c>
      <c r="J720" s="3"/>
    </row>
    <row r="721" spans="2:10" x14ac:dyDescent="0.25">
      <c r="B721" s="3">
        <f t="shared" si="86"/>
        <v>3505</v>
      </c>
      <c r="C721" s="14">
        <f t="shared" si="87"/>
        <v>58.416666666666664</v>
      </c>
      <c r="D721" s="11">
        <f t="shared" si="88"/>
        <v>941.34149898489545</v>
      </c>
      <c r="E721" s="24">
        <f t="shared" si="89"/>
        <v>371.85726959125691</v>
      </c>
      <c r="F721" s="38">
        <f t="shared" si="84"/>
        <v>1.0183596143256799</v>
      </c>
      <c r="G721" s="14">
        <f t="shared" si="85"/>
        <v>0</v>
      </c>
      <c r="H721" s="24">
        <f t="shared" si="91"/>
        <v>592.90768580913311</v>
      </c>
      <c r="I721" s="12">
        <f t="shared" si="90"/>
        <v>0.48649289829928</v>
      </c>
      <c r="J721" s="3"/>
    </row>
    <row r="722" spans="2:10" x14ac:dyDescent="0.25">
      <c r="B722" s="3">
        <f t="shared" si="86"/>
        <v>3510</v>
      </c>
      <c r="C722" s="14">
        <f t="shared" si="87"/>
        <v>58.5</v>
      </c>
      <c r="D722" s="11">
        <f t="shared" si="88"/>
        <v>941.55463073670364</v>
      </c>
      <c r="E722" s="24">
        <f t="shared" si="89"/>
        <v>372.34376248955618</v>
      </c>
      <c r="F722" s="38">
        <f t="shared" si="84"/>
        <v>1.0179942305839622</v>
      </c>
      <c r="G722" s="14">
        <f t="shared" si="85"/>
        <v>0</v>
      </c>
      <c r="H722" s="24">
        <f t="shared" si="91"/>
        <v>593.12049529490969</v>
      </c>
      <c r="I722" s="12">
        <f t="shared" si="90"/>
        <v>0.48615316886044302</v>
      </c>
      <c r="J722" s="3"/>
    </row>
    <row r="723" spans="2:10" x14ac:dyDescent="0.25">
      <c r="B723" s="3">
        <f t="shared" si="86"/>
        <v>3515</v>
      </c>
      <c r="C723" s="14">
        <f t="shared" si="87"/>
        <v>58.583333333333336</v>
      </c>
      <c r="D723" s="11">
        <f t="shared" si="88"/>
        <v>941.76745974444441</v>
      </c>
      <c r="E723" s="24">
        <f t="shared" si="89"/>
        <v>372.82991565841661</v>
      </c>
      <c r="F723" s="38">
        <f t="shared" si="84"/>
        <v>1.0176287232949013</v>
      </c>
      <c r="G723" s="14">
        <f t="shared" si="85"/>
        <v>0</v>
      </c>
      <c r="H723" s="24">
        <f t="shared" si="91"/>
        <v>593.33352963578386</v>
      </c>
      <c r="I723" s="12">
        <f t="shared" si="90"/>
        <v>0.48581341822149449</v>
      </c>
      <c r="J723" s="3"/>
    </row>
    <row r="724" spans="2:10" x14ac:dyDescent="0.25">
      <c r="B724" s="3">
        <f t="shared" si="86"/>
        <v>3520</v>
      </c>
      <c r="C724" s="14">
        <f t="shared" si="87"/>
        <v>58.666666666666664</v>
      </c>
      <c r="D724" s="11">
        <f t="shared" si="88"/>
        <v>941.97998686696644</v>
      </c>
      <c r="E724" s="24">
        <f t="shared" si="89"/>
        <v>373.31572907663809</v>
      </c>
      <c r="F724" s="38">
        <f t="shared" ref="F724:F787" si="92">Cp*RhoP/(RhoA*H724)*dp/1000*MassivP</f>
        <v>1.0172630917440146</v>
      </c>
      <c r="G724" s="14">
        <f t="shared" ref="G724:G787" si="93">Phi*EpsilonF*Botzman/10^8*J724*((D724+273)^4-(E724+273)^4)</f>
        <v>0</v>
      </c>
      <c r="H724" s="24">
        <f t="shared" si="91"/>
        <v>593.54678956863143</v>
      </c>
      <c r="I724" s="12">
        <f t="shared" si="90"/>
        <v>0.48547364744923938</v>
      </c>
      <c r="J724" s="3"/>
    </row>
    <row r="725" spans="2:10" x14ac:dyDescent="0.25">
      <c r="B725" s="3">
        <f t="shared" ref="B725:B788" si="94">B724+DeltaT</f>
        <v>3525</v>
      </c>
      <c r="C725" s="14">
        <f t="shared" ref="C725:C788" si="95">B725/60</f>
        <v>58.75</v>
      </c>
      <c r="D725" s="11">
        <f t="shared" ref="D725:D788" si="96">20+345*LOG(8*C725+1,10)</f>
        <v>942.19221295946897</v>
      </c>
      <c r="E725" s="24">
        <f t="shared" ref="E725:E788" si="97">E724+IF(Limit=Oui,MAX(0,I724),I724)</f>
        <v>373.80120272408732</v>
      </c>
      <c r="F725" s="38">
        <f t="shared" si="92"/>
        <v>1.0168973352292949</v>
      </c>
      <c r="G725" s="14">
        <f t="shared" si="93"/>
        <v>0</v>
      </c>
      <c r="H725" s="24">
        <f t="shared" si="91"/>
        <v>593.76027582486881</v>
      </c>
      <c r="I725" s="12">
        <f t="shared" ref="I725:I788" si="98">LambdaP*MassivP/(dp/1000)/(H725*RhoA)/(1+F725/3)*(D725-E725)*DeltaT-(EXP(F725/10)-1)*(D725-D724)</f>
        <v>0.48513385760722078</v>
      </c>
      <c r="J725" s="3"/>
    </row>
    <row r="726" spans="2:10" x14ac:dyDescent="0.25">
      <c r="B726" s="3">
        <f t="shared" si="94"/>
        <v>3530</v>
      </c>
      <c r="C726" s="14">
        <f t="shared" si="95"/>
        <v>58.833333333333336</v>
      </c>
      <c r="D726" s="11">
        <f t="shared" si="96"/>
        <v>942.40413887352304</v>
      </c>
      <c r="E726" s="24">
        <f t="shared" si="97"/>
        <v>374.28633658169451</v>
      </c>
      <c r="F726" s="38">
        <f t="shared" si="92"/>
        <v>1.0165314530611498</v>
      </c>
      <c r="G726" s="14">
        <f t="shared" si="93"/>
        <v>0</v>
      </c>
      <c r="H726" s="24">
        <f t="shared" si="91"/>
        <v>593.97398913046595</v>
      </c>
      <c r="I726" s="12">
        <f t="shared" si="98"/>
        <v>0.48479404975571289</v>
      </c>
      <c r="J726" s="3"/>
    </row>
    <row r="727" spans="2:10" x14ac:dyDescent="0.25">
      <c r="B727" s="3">
        <f t="shared" si="94"/>
        <v>3535</v>
      </c>
      <c r="C727" s="14">
        <f t="shared" si="95"/>
        <v>58.916666666666664</v>
      </c>
      <c r="D727" s="11">
        <f t="shared" si="96"/>
        <v>942.61576545709022</v>
      </c>
      <c r="E727" s="24">
        <f t="shared" si="97"/>
        <v>374.77113063145021</v>
      </c>
      <c r="F727" s="38">
        <f t="shared" si="92"/>
        <v>1.016165444562346</v>
      </c>
      <c r="G727" s="14">
        <f t="shared" si="93"/>
        <v>0</v>
      </c>
      <c r="H727" s="24">
        <f t="shared" si="91"/>
        <v>594.18793020596047</v>
      </c>
      <c r="I727" s="12">
        <f t="shared" si="98"/>
        <v>0.48445422495199114</v>
      </c>
      <c r="J727" s="3"/>
    </row>
    <row r="728" spans="2:10" x14ac:dyDescent="0.25">
      <c r="B728" s="3">
        <f t="shared" si="94"/>
        <v>3540</v>
      </c>
      <c r="C728" s="14">
        <f t="shared" si="95"/>
        <v>59</v>
      </c>
      <c r="D728" s="11">
        <f t="shared" si="96"/>
        <v>942.82709355454483</v>
      </c>
      <c r="E728" s="24">
        <f t="shared" si="97"/>
        <v>375.25558485640221</v>
      </c>
      <c r="F728" s="38">
        <f t="shared" si="92"/>
        <v>1.0157993090679518</v>
      </c>
      <c r="G728" s="14">
        <f t="shared" si="93"/>
        <v>0</v>
      </c>
      <c r="H728" s="24">
        <f t="shared" si="91"/>
        <v>594.40209976647009</v>
      </c>
      <c r="I728" s="12">
        <f t="shared" si="98"/>
        <v>0.48411438424997588</v>
      </c>
      <c r="J728" s="3"/>
    </row>
    <row r="729" spans="2:10" x14ac:dyDescent="0.25">
      <c r="B729" s="3">
        <f t="shared" si="94"/>
        <v>3545</v>
      </c>
      <c r="C729" s="14">
        <f t="shared" si="95"/>
        <v>59.083333333333336</v>
      </c>
      <c r="D729" s="11">
        <f t="shared" si="96"/>
        <v>943.03812400669335</v>
      </c>
      <c r="E729" s="24">
        <f t="shared" si="97"/>
        <v>375.73969924065216</v>
      </c>
      <c r="F729" s="38">
        <f t="shared" si="92"/>
        <v>1.0154330459252772</v>
      </c>
      <c r="G729" s="14">
        <f t="shared" si="93"/>
        <v>0</v>
      </c>
      <c r="H729" s="24">
        <f t="shared" si="91"/>
        <v>594.61649852170717</v>
      </c>
      <c r="I729" s="12">
        <f t="shared" si="98"/>
        <v>0.4837745287005264</v>
      </c>
      <c r="J729" s="3"/>
    </row>
    <row r="730" spans="2:10" x14ac:dyDescent="0.25">
      <c r="B730" s="3">
        <f t="shared" si="94"/>
        <v>3550</v>
      </c>
      <c r="C730" s="14">
        <f t="shared" si="95"/>
        <v>59.166666666666664</v>
      </c>
      <c r="D730" s="11">
        <f t="shared" si="96"/>
        <v>943.24885765079443</v>
      </c>
      <c r="E730" s="24">
        <f t="shared" si="97"/>
        <v>376.22347376935267</v>
      </c>
      <c r="F730" s="38">
        <f t="shared" si="92"/>
        <v>1.0150666544938169</v>
      </c>
      <c r="G730" s="14">
        <f t="shared" si="93"/>
        <v>0</v>
      </c>
      <c r="H730" s="24">
        <f t="shared" si="91"/>
        <v>594.8311271759917</v>
      </c>
      <c r="I730" s="12">
        <f t="shared" si="98"/>
        <v>0.48343465935138535</v>
      </c>
      <c r="J730" s="3"/>
    </row>
    <row r="731" spans="2:10" x14ac:dyDescent="0.25">
      <c r="B731" s="3">
        <f t="shared" si="94"/>
        <v>3555</v>
      </c>
      <c r="C731" s="14">
        <f t="shared" si="95"/>
        <v>59.25</v>
      </c>
      <c r="D731" s="11">
        <f t="shared" si="96"/>
        <v>943.45929532057892</v>
      </c>
      <c r="E731" s="24">
        <f t="shared" si="97"/>
        <v>376.70690842870403</v>
      </c>
      <c r="F731" s="38">
        <f t="shared" si="92"/>
        <v>1.0147001341451956</v>
      </c>
      <c r="G731" s="14">
        <f t="shared" si="93"/>
        <v>0</v>
      </c>
      <c r="H731" s="24">
        <f t="shared" si="91"/>
        <v>595.04598642826443</v>
      </c>
      <c r="I731" s="12">
        <f t="shared" si="98"/>
        <v>0.48309477724718375</v>
      </c>
      <c r="J731" s="3"/>
    </row>
    <row r="732" spans="2:10" x14ac:dyDescent="0.25">
      <c r="B732" s="3">
        <f t="shared" si="94"/>
        <v>3560</v>
      </c>
      <c r="C732" s="14">
        <f t="shared" si="95"/>
        <v>59.333333333333336</v>
      </c>
      <c r="D732" s="11">
        <f t="shared" si="96"/>
        <v>943.66943784626949</v>
      </c>
      <c r="E732" s="24">
        <f t="shared" si="97"/>
        <v>377.1900032059512</v>
      </c>
      <c r="F732" s="38">
        <f t="shared" si="92"/>
        <v>1.0143334842631055</v>
      </c>
      <c r="G732" s="14">
        <f t="shared" si="93"/>
        <v>0</v>
      </c>
      <c r="H732" s="24">
        <f t="shared" si="91"/>
        <v>595.26107697210125</v>
      </c>
      <c r="I732" s="12">
        <f t="shared" si="98"/>
        <v>0.48275488342948025</v>
      </c>
      <c r="J732" s="3"/>
    </row>
    <row r="733" spans="2:10" x14ac:dyDescent="0.25">
      <c r="B733" s="3">
        <f t="shared" si="94"/>
        <v>3565</v>
      </c>
      <c r="C733" s="14">
        <f t="shared" si="95"/>
        <v>59.416666666666664</v>
      </c>
      <c r="D733" s="11">
        <f t="shared" si="96"/>
        <v>943.87928605460104</v>
      </c>
      <c r="E733" s="24">
        <f t="shared" si="97"/>
        <v>377.67275808938069</v>
      </c>
      <c r="F733" s="38">
        <f t="shared" si="92"/>
        <v>1.0139667042432534</v>
      </c>
      <c r="G733" s="14">
        <f t="shared" si="93"/>
        <v>0</v>
      </c>
      <c r="H733" s="24">
        <f t="shared" si="91"/>
        <v>595.4763994957259</v>
      </c>
      <c r="I733" s="12">
        <f t="shared" si="98"/>
        <v>0.48241497893669416</v>
      </c>
      <c r="J733" s="3"/>
    </row>
    <row r="734" spans="2:10" x14ac:dyDescent="0.25">
      <c r="B734" s="3">
        <f t="shared" si="94"/>
        <v>3570</v>
      </c>
      <c r="C734" s="14">
        <f t="shared" si="95"/>
        <v>59.5</v>
      </c>
      <c r="D734" s="11">
        <f t="shared" si="96"/>
        <v>944.0888407688393</v>
      </c>
      <c r="E734" s="24">
        <f t="shared" si="97"/>
        <v>378.15517306831737</v>
      </c>
      <c r="F734" s="38">
        <f t="shared" si="92"/>
        <v>1.0135997934932997</v>
      </c>
      <c r="G734" s="14">
        <f t="shared" si="93"/>
        <v>0</v>
      </c>
      <c r="H734" s="24">
        <f t="shared" si="91"/>
        <v>595.69195468202463</v>
      </c>
      <c r="I734" s="12">
        <f t="shared" si="98"/>
        <v>0.4820750648042893</v>
      </c>
      <c r="J734" s="3"/>
    </row>
    <row r="735" spans="2:10" x14ac:dyDescent="0.25">
      <c r="B735" s="3">
        <f t="shared" si="94"/>
        <v>3575</v>
      </c>
      <c r="C735" s="14">
        <f t="shared" si="95"/>
        <v>59.583333333333336</v>
      </c>
      <c r="D735" s="11">
        <f t="shared" si="96"/>
        <v>944.29810280880019</v>
      </c>
      <c r="E735" s="24">
        <f t="shared" si="97"/>
        <v>378.63724813312166</v>
      </c>
      <c r="F735" s="38">
        <f t="shared" si="92"/>
        <v>1.0132327514328034</v>
      </c>
      <c r="G735" s="14">
        <f t="shared" si="93"/>
        <v>0</v>
      </c>
      <c r="H735" s="24">
        <f t="shared" si="91"/>
        <v>595.90774320855849</v>
      </c>
      <c r="I735" s="12">
        <f t="shared" si="98"/>
        <v>0.48173514206470641</v>
      </c>
      <c r="J735" s="3"/>
    </row>
    <row r="736" spans="2:10" x14ac:dyDescent="0.25">
      <c r="B736" s="3">
        <f t="shared" si="94"/>
        <v>3580</v>
      </c>
      <c r="C736" s="14">
        <f t="shared" si="95"/>
        <v>59.666666666666664</v>
      </c>
      <c r="D736" s="11">
        <f t="shared" si="96"/>
        <v>944.50707299087026</v>
      </c>
      <c r="E736" s="24">
        <f t="shared" si="97"/>
        <v>379.11898327518634</v>
      </c>
      <c r="F736" s="38">
        <f t="shared" si="92"/>
        <v>1.0128655774931627</v>
      </c>
      <c r="G736" s="14">
        <f t="shared" si="93"/>
        <v>0</v>
      </c>
      <c r="H736" s="24">
        <f t="shared" si="91"/>
        <v>596.12376574757855</v>
      </c>
      <c r="I736" s="12">
        <f t="shared" si="98"/>
        <v>0.48139521174724448</v>
      </c>
      <c r="J736" s="3"/>
    </row>
    <row r="737" spans="2:10" x14ac:dyDescent="0.25">
      <c r="B737" s="3">
        <f t="shared" si="94"/>
        <v>3585</v>
      </c>
      <c r="C737" s="14">
        <f t="shared" si="95"/>
        <v>59.75</v>
      </c>
      <c r="D737" s="11">
        <f t="shared" si="96"/>
        <v>944.71575212802418</v>
      </c>
      <c r="E737" s="24">
        <f t="shared" si="97"/>
        <v>379.60037848693361</v>
      </c>
      <c r="F737" s="38">
        <f t="shared" si="92"/>
        <v>1.0124982711175607</v>
      </c>
      <c r="G737" s="14">
        <f t="shared" si="93"/>
        <v>0</v>
      </c>
      <c r="H737" s="24">
        <f t="shared" si="91"/>
        <v>596.34002296603808</v>
      </c>
      <c r="I737" s="12">
        <f t="shared" si="98"/>
        <v>0.48105527487837996</v>
      </c>
      <c r="J737" s="3"/>
    </row>
    <row r="738" spans="2:10" x14ac:dyDescent="0.25">
      <c r="B738" s="3">
        <f t="shared" si="94"/>
        <v>3590</v>
      </c>
      <c r="C738" s="14">
        <f t="shared" si="95"/>
        <v>59.833333333333336</v>
      </c>
      <c r="D738" s="11">
        <f t="shared" si="96"/>
        <v>944.92414102984503</v>
      </c>
      <c r="E738" s="24">
        <f t="shared" si="97"/>
        <v>380.08143376181198</v>
      </c>
      <c r="F738" s="38">
        <f t="shared" si="92"/>
        <v>1.0121308317609048</v>
      </c>
      <c r="G738" s="14">
        <f t="shared" si="93"/>
        <v>0</v>
      </c>
      <c r="H738" s="24">
        <f t="shared" si="91"/>
        <v>596.55651552560744</v>
      </c>
      <c r="I738" s="12">
        <f t="shared" si="98"/>
        <v>0.4807153324814783</v>
      </c>
      <c r="J738" s="3"/>
    </row>
    <row r="739" spans="2:10" x14ac:dyDescent="0.25">
      <c r="B739" s="3">
        <f t="shared" si="94"/>
        <v>3595</v>
      </c>
      <c r="C739" s="14">
        <f t="shared" si="95"/>
        <v>59.916666666666664</v>
      </c>
      <c r="D739" s="11">
        <f t="shared" si="96"/>
        <v>945.13224050254269</v>
      </c>
      <c r="E739" s="24">
        <f t="shared" si="97"/>
        <v>380.56214909429343</v>
      </c>
      <c r="F739" s="38">
        <f t="shared" si="92"/>
        <v>1.0117632588897716</v>
      </c>
      <c r="G739" s="14">
        <f t="shared" si="93"/>
        <v>0</v>
      </c>
      <c r="H739" s="24">
        <f t="shared" si="91"/>
        <v>596.7732440826868</v>
      </c>
      <c r="I739" s="12">
        <f t="shared" si="98"/>
        <v>0.48037538557699222</v>
      </c>
      <c r="J739" s="3"/>
    </row>
    <row r="740" spans="2:10" x14ac:dyDescent="0.25">
      <c r="B740" s="3">
        <f t="shared" si="94"/>
        <v>3600</v>
      </c>
      <c r="C740" s="14">
        <f t="shared" si="95"/>
        <v>60</v>
      </c>
      <c r="D740" s="11">
        <f t="shared" si="96"/>
        <v>945.34005134897188</v>
      </c>
      <c r="E740" s="24">
        <f t="shared" si="97"/>
        <v>381.04252447987045</v>
      </c>
      <c r="F740" s="38">
        <f t="shared" si="92"/>
        <v>1.0113955519823477</v>
      </c>
      <c r="G740" s="14">
        <f t="shared" si="93"/>
        <v>0</v>
      </c>
      <c r="H740" s="24">
        <f t="shared" si="91"/>
        <v>596.99020928842128</v>
      </c>
      <c r="I740" s="12">
        <f t="shared" si="98"/>
        <v>0.48003543518249886</v>
      </c>
      <c r="J740" s="3"/>
    </row>
    <row r="741" spans="2:10" x14ac:dyDescent="0.25">
      <c r="B741" s="3">
        <f t="shared" si="94"/>
        <v>3605</v>
      </c>
      <c r="C741" s="14">
        <f t="shared" si="95"/>
        <v>60.083333333333336</v>
      </c>
      <c r="D741" s="11">
        <f t="shared" si="96"/>
        <v>945.54757436865179</v>
      </c>
      <c r="E741" s="24">
        <f t="shared" si="97"/>
        <v>381.52255991505297</v>
      </c>
      <c r="F741" s="38">
        <f t="shared" si="92"/>
        <v>1.0110277105283771</v>
      </c>
      <c r="G741" s="14">
        <f t="shared" si="93"/>
        <v>0</v>
      </c>
      <c r="H741" s="24">
        <f t="shared" si="91"/>
        <v>597.20741178871288</v>
      </c>
      <c r="I741" s="12">
        <f t="shared" si="98"/>
        <v>0.47969548231254683</v>
      </c>
      <c r="J741" s="3"/>
    </row>
    <row r="742" spans="2:10" x14ac:dyDescent="0.25">
      <c r="B742" s="3">
        <f t="shared" si="94"/>
        <v>3610</v>
      </c>
      <c r="C742" s="14">
        <f t="shared" si="95"/>
        <v>60.166666666666664</v>
      </c>
      <c r="D742" s="11">
        <f t="shared" si="96"/>
        <v>945.75481035778432</v>
      </c>
      <c r="E742" s="24">
        <f t="shared" si="97"/>
        <v>382.0022553973655</v>
      </c>
      <c r="F742" s="38">
        <f t="shared" si="92"/>
        <v>1.0106597340290986</v>
      </c>
      <c r="G742" s="14">
        <f t="shared" si="93"/>
        <v>0</v>
      </c>
      <c r="H742" s="24">
        <f t="shared" si="91"/>
        <v>597.42485222423625</v>
      </c>
      <c r="I742" s="12">
        <f t="shared" si="98"/>
        <v>0.47935552797879116</v>
      </c>
      <c r="J742" s="3"/>
    </row>
    <row r="743" spans="2:10" x14ac:dyDescent="0.25">
      <c r="B743" s="3">
        <f t="shared" si="94"/>
        <v>3615</v>
      </c>
      <c r="C743" s="14">
        <f t="shared" si="95"/>
        <v>60.25</v>
      </c>
      <c r="D743" s="11">
        <f t="shared" si="96"/>
        <v>945.96176010927149</v>
      </c>
      <c r="E743" s="24">
        <f t="shared" si="97"/>
        <v>382.48161092534428</v>
      </c>
      <c r="F743" s="38">
        <f t="shared" si="92"/>
        <v>1.0102916219971925</v>
      </c>
      <c r="G743" s="14">
        <f t="shared" si="93"/>
        <v>0</v>
      </c>
      <c r="H743" s="24">
        <f t="shared" si="91"/>
        <v>597.64253123045103</v>
      </c>
      <c r="I743" s="12">
        <f t="shared" si="98"/>
        <v>0.47901557319009203</v>
      </c>
      <c r="J743" s="3"/>
    </row>
    <row r="744" spans="2:10" x14ac:dyDescent="0.25">
      <c r="B744" s="3">
        <f t="shared" si="94"/>
        <v>3620</v>
      </c>
      <c r="C744" s="14">
        <f t="shared" si="95"/>
        <v>60.333333333333336</v>
      </c>
      <c r="D744" s="11">
        <f t="shared" si="96"/>
        <v>946.16842441273513</v>
      </c>
      <c r="E744" s="24">
        <f t="shared" si="97"/>
        <v>382.9606264985344</v>
      </c>
      <c r="F744" s="38">
        <f t="shared" si="92"/>
        <v>1.0099233739567226</v>
      </c>
      <c r="G744" s="14">
        <f t="shared" si="93"/>
        <v>0</v>
      </c>
      <c r="H744" s="24">
        <f t="shared" si="91"/>
        <v>597.86044943761647</v>
      </c>
      <c r="I744" s="12">
        <f t="shared" si="98"/>
        <v>0.47867561895227673</v>
      </c>
      <c r="J744" s="3"/>
    </row>
    <row r="745" spans="2:10" x14ac:dyDescent="0.25">
      <c r="B745" s="3">
        <f t="shared" si="94"/>
        <v>3625</v>
      </c>
      <c r="C745" s="14">
        <f t="shared" si="95"/>
        <v>60.416666666666664</v>
      </c>
      <c r="D745" s="11">
        <f t="shared" si="96"/>
        <v>946.3748040545338</v>
      </c>
      <c r="E745" s="24">
        <f t="shared" si="97"/>
        <v>383.43930211748665</v>
      </c>
      <c r="F745" s="38">
        <f t="shared" si="92"/>
        <v>1.0095549894430793</v>
      </c>
      <c r="G745" s="14">
        <f t="shared" si="93"/>
        <v>0</v>
      </c>
      <c r="H745" s="24">
        <f t="shared" si="91"/>
        <v>598.07860747080485</v>
      </c>
      <c r="I745" s="12">
        <f t="shared" si="98"/>
        <v>0.47833566626843099</v>
      </c>
      <c r="J745" s="3"/>
    </row>
    <row r="746" spans="2:10" x14ac:dyDescent="0.25">
      <c r="B746" s="3">
        <f t="shared" si="94"/>
        <v>3630</v>
      </c>
      <c r="C746" s="14">
        <f t="shared" si="95"/>
        <v>60.5</v>
      </c>
      <c r="D746" s="11">
        <f t="shared" si="96"/>
        <v>946.58089981778096</v>
      </c>
      <c r="E746" s="24">
        <f t="shared" si="97"/>
        <v>383.91763778375508</v>
      </c>
      <c r="F746" s="38">
        <f t="shared" si="92"/>
        <v>1.0091864680029239</v>
      </c>
      <c r="G746" s="14">
        <f t="shared" si="93"/>
        <v>0</v>
      </c>
      <c r="H746" s="24">
        <f t="shared" si="91"/>
        <v>598.29700594991596</v>
      </c>
      <c r="I746" s="12">
        <f t="shared" si="98"/>
        <v>0.47799571613876657</v>
      </c>
      <c r="J746" s="3"/>
    </row>
    <row r="747" spans="2:10" x14ac:dyDescent="0.25">
      <c r="B747" s="3">
        <f t="shared" si="94"/>
        <v>3635</v>
      </c>
      <c r="C747" s="14">
        <f t="shared" si="95"/>
        <v>60.583333333333336</v>
      </c>
      <c r="D747" s="11">
        <f t="shared" si="96"/>
        <v>946.78671248236299</v>
      </c>
      <c r="E747" s="24">
        <f t="shared" si="97"/>
        <v>384.39563349989385</v>
      </c>
      <c r="F747" s="38">
        <f t="shared" si="92"/>
        <v>1.0088178091941296</v>
      </c>
      <c r="G747" s="14">
        <f t="shared" si="93"/>
        <v>0</v>
      </c>
      <c r="H747" s="24">
        <f t="shared" si="91"/>
        <v>598.51564548969077</v>
      </c>
      <c r="I747" s="12">
        <f t="shared" si="98"/>
        <v>0.47765576956064965</v>
      </c>
      <c r="J747" s="3"/>
    </row>
    <row r="748" spans="2:10" x14ac:dyDescent="0.25">
      <c r="B748" s="3">
        <f t="shared" si="94"/>
        <v>3640</v>
      </c>
      <c r="C748" s="14">
        <f t="shared" si="95"/>
        <v>60.666666666666664</v>
      </c>
      <c r="D748" s="11">
        <f t="shared" si="96"/>
        <v>946.9922428249572</v>
      </c>
      <c r="E748" s="24">
        <f t="shared" si="97"/>
        <v>384.87328926945452</v>
      </c>
      <c r="F748" s="38">
        <f t="shared" si="92"/>
        <v>1.0084490125857266</v>
      </c>
      <c r="G748" s="14">
        <f t="shared" si="93"/>
        <v>0</v>
      </c>
      <c r="H748" s="24">
        <f t="shared" si="91"/>
        <v>598.73452669972505</v>
      </c>
      <c r="I748" s="12">
        <f t="shared" si="98"/>
        <v>0.47731582752858953</v>
      </c>
      <c r="J748" s="3"/>
    </row>
    <row r="749" spans="2:10" x14ac:dyDescent="0.25">
      <c r="B749" s="3">
        <f t="shared" si="94"/>
        <v>3645</v>
      </c>
      <c r="C749" s="14">
        <f t="shared" si="95"/>
        <v>60.75</v>
      </c>
      <c r="D749" s="11">
        <f t="shared" si="96"/>
        <v>947.19749161904872</v>
      </c>
      <c r="E749" s="24">
        <f t="shared" si="97"/>
        <v>385.35060509698309</v>
      </c>
      <c r="F749" s="38">
        <f t="shared" si="92"/>
        <v>1.008080077757846</v>
      </c>
      <c r="G749" s="14">
        <f t="shared" si="93"/>
        <v>0</v>
      </c>
      <c r="H749" s="24">
        <f t="shared" si="91"/>
        <v>598.95365018448376</v>
      </c>
      <c r="I749" s="12">
        <f t="shared" si="98"/>
        <v>0.47697589103437282</v>
      </c>
      <c r="J749" s="3"/>
    </row>
    <row r="750" spans="2:10" x14ac:dyDescent="0.25">
      <c r="B750" s="3">
        <f t="shared" si="94"/>
        <v>3650</v>
      </c>
      <c r="C750" s="14">
        <f t="shared" si="95"/>
        <v>60.833333333333336</v>
      </c>
      <c r="D750" s="11">
        <f t="shared" si="96"/>
        <v>947.40245963494863</v>
      </c>
      <c r="E750" s="24">
        <f t="shared" si="97"/>
        <v>385.82758098801747</v>
      </c>
      <c r="F750" s="38">
        <f t="shared" si="92"/>
        <v>1.0077110043016619</v>
      </c>
      <c r="G750" s="14">
        <f t="shared" si="93"/>
        <v>0</v>
      </c>
      <c r="H750" s="24">
        <f t="shared" si="91"/>
        <v>599.17301654331493</v>
      </c>
      <c r="I750" s="12">
        <f t="shared" si="98"/>
        <v>0.47663596106691974</v>
      </c>
      <c r="J750" s="3"/>
    </row>
    <row r="751" spans="2:10" x14ac:dyDescent="0.25">
      <c r="B751" s="3">
        <f t="shared" si="94"/>
        <v>3655</v>
      </c>
      <c r="C751" s="14">
        <f t="shared" si="95"/>
        <v>60.916666666666664</v>
      </c>
      <c r="D751" s="11">
        <f t="shared" si="96"/>
        <v>947.60714763981071</v>
      </c>
      <c r="E751" s="24">
        <f t="shared" si="97"/>
        <v>386.30421694908438</v>
      </c>
      <c r="F751" s="38">
        <f t="shared" si="92"/>
        <v>1.0073417918193357</v>
      </c>
      <c r="G751" s="14">
        <f t="shared" si="93"/>
        <v>0</v>
      </c>
      <c r="H751" s="24">
        <f t="shared" si="91"/>
        <v>599.39262637046329</v>
      </c>
      <c r="I751" s="12">
        <f t="shared" si="98"/>
        <v>0.47629603861244341</v>
      </c>
      <c r="J751" s="3"/>
    </row>
    <row r="752" spans="2:10" x14ac:dyDescent="0.25">
      <c r="B752" s="3">
        <f t="shared" si="94"/>
        <v>3660</v>
      </c>
      <c r="C752" s="14">
        <f t="shared" si="95"/>
        <v>61</v>
      </c>
      <c r="D752" s="11">
        <f t="shared" si="96"/>
        <v>947.81155639764904</v>
      </c>
      <c r="E752" s="24">
        <f t="shared" si="97"/>
        <v>386.7805129876968</v>
      </c>
      <c r="F752" s="38">
        <f t="shared" si="92"/>
        <v>1.0069724399239592</v>
      </c>
      <c r="G752" s="14">
        <f t="shared" si="93"/>
        <v>0</v>
      </c>
      <c r="H752" s="24">
        <f t="shared" si="91"/>
        <v>599.6124802550853</v>
      </c>
      <c r="I752" s="12">
        <f t="shared" si="98"/>
        <v>0.47595612465435289</v>
      </c>
      <c r="J752" s="3"/>
    </row>
    <row r="753" spans="2:10" x14ac:dyDescent="0.25">
      <c r="B753" s="3">
        <f t="shared" si="94"/>
        <v>3665</v>
      </c>
      <c r="C753" s="14">
        <f t="shared" si="95"/>
        <v>61.083333333333336</v>
      </c>
      <c r="D753" s="11">
        <f t="shared" si="96"/>
        <v>948.01568666935486</v>
      </c>
      <c r="E753" s="24">
        <f t="shared" si="97"/>
        <v>387.25646911235117</v>
      </c>
      <c r="F753" s="38">
        <f t="shared" si="92"/>
        <v>1.0066029482394994</v>
      </c>
      <c r="G753" s="14">
        <f t="shared" si="93"/>
        <v>0</v>
      </c>
      <c r="H753" s="24">
        <f t="shared" si="91"/>
        <v>599.83257878126199</v>
      </c>
      <c r="I753" s="12">
        <f t="shared" si="98"/>
        <v>0.47561622017334004</v>
      </c>
      <c r="J753" s="3"/>
    </row>
    <row r="754" spans="2:10" x14ac:dyDescent="0.25">
      <c r="B754" s="3">
        <f t="shared" si="94"/>
        <v>3670</v>
      </c>
      <c r="C754" s="14">
        <f t="shared" si="95"/>
        <v>61.166666666666664</v>
      </c>
      <c r="D754" s="11">
        <f t="shared" si="96"/>
        <v>948.21953921271438</v>
      </c>
      <c r="E754" s="24">
        <f t="shared" si="97"/>
        <v>387.73208533252449</v>
      </c>
      <c r="F754" s="38">
        <f t="shared" si="92"/>
        <v>1.0062333164007404</v>
      </c>
      <c r="G754" s="14">
        <f t="shared" si="93"/>
        <v>0</v>
      </c>
      <c r="H754" s="24">
        <f t="shared" si="91"/>
        <v>600.05292252801394</v>
      </c>
      <c r="I754" s="12">
        <f t="shared" si="98"/>
        <v>0.47527632614727178</v>
      </c>
      <c r="J754" s="3"/>
    </row>
    <row r="755" spans="2:10" x14ac:dyDescent="0.25">
      <c r="B755" s="3">
        <f t="shared" si="94"/>
        <v>3675</v>
      </c>
      <c r="C755" s="14">
        <f t="shared" si="95"/>
        <v>61.25</v>
      </c>
      <c r="D755" s="11">
        <f t="shared" si="96"/>
        <v>948.42311478242402</v>
      </c>
      <c r="E755" s="24">
        <f t="shared" si="97"/>
        <v>388.20736165867174</v>
      </c>
      <c r="F755" s="38">
        <f t="shared" si="92"/>
        <v>1.0058635440532304</v>
      </c>
      <c r="G755" s="14">
        <f t="shared" si="93"/>
        <v>0</v>
      </c>
      <c r="H755" s="24">
        <f t="shared" si="91"/>
        <v>600.27351206931439</v>
      </c>
      <c r="I755" s="12">
        <f t="shared" si="98"/>
        <v>0.47493644355146702</v>
      </c>
      <c r="J755" s="3"/>
    </row>
    <row r="756" spans="2:10" x14ac:dyDescent="0.25">
      <c r="B756" s="3">
        <f t="shared" si="94"/>
        <v>3680</v>
      </c>
      <c r="C756" s="14">
        <f t="shared" si="95"/>
        <v>61.333333333333336</v>
      </c>
      <c r="D756" s="11">
        <f t="shared" si="96"/>
        <v>948.62641413010908</v>
      </c>
      <c r="E756" s="24">
        <f t="shared" si="97"/>
        <v>388.68229810222323</v>
      </c>
      <c r="F756" s="38">
        <f t="shared" si="92"/>
        <v>1.0054936308532207</v>
      </c>
      <c r="G756" s="14">
        <f t="shared" si="93"/>
        <v>0</v>
      </c>
      <c r="H756" s="24">
        <f t="shared" si="91"/>
        <v>600.49434797410493</v>
      </c>
      <c r="I756" s="12">
        <f t="shared" si="98"/>
        <v>0.47459657335833683</v>
      </c>
      <c r="J756" s="3"/>
    </row>
    <row r="757" spans="2:10" x14ac:dyDescent="0.25">
      <c r="B757" s="3">
        <f t="shared" si="94"/>
        <v>3685</v>
      </c>
      <c r="C757" s="14">
        <f t="shared" si="95"/>
        <v>61.416666666666664</v>
      </c>
      <c r="D757" s="11">
        <f t="shared" si="96"/>
        <v>948.82943800433895</v>
      </c>
      <c r="E757" s="24">
        <f t="shared" si="97"/>
        <v>389.15689467558155</v>
      </c>
      <c r="F757" s="38">
        <f t="shared" si="92"/>
        <v>1.0051235764676145</v>
      </c>
      <c r="G757" s="14">
        <f t="shared" si="93"/>
        <v>0</v>
      </c>
      <c r="H757" s="24">
        <f t="shared" ref="H757:H758" si="99">IF(E757&lt;600,425+0.773*E757-1.69/1000*E757^2+2.22/1000^2*E757^3,IF(E757&lt;735,666+13002/(738-E757),IF(E757&lt;900,545+17820/(E757-731),650)))</f>
        <v>600.71543080630795</v>
      </c>
      <c r="I757" s="12">
        <f t="shared" si="98"/>
        <v>0.47425671653774637</v>
      </c>
      <c r="J757" s="3"/>
    </row>
    <row r="758" spans="2:10" x14ac:dyDescent="0.25">
      <c r="B758" s="3">
        <f t="shared" si="94"/>
        <v>3690</v>
      </c>
      <c r="C758" s="14">
        <f t="shared" si="95"/>
        <v>61.5</v>
      </c>
      <c r="D758" s="11">
        <f t="shared" si="96"/>
        <v>949.03218715064429</v>
      </c>
      <c r="E758" s="24">
        <f t="shared" si="97"/>
        <v>389.63115139211931</v>
      </c>
      <c r="F758" s="38">
        <f t="shared" si="92"/>
        <v>1.0047533805739088</v>
      </c>
      <c r="G758" s="14">
        <f t="shared" si="93"/>
        <v>0</v>
      </c>
      <c r="H758" s="24">
        <f t="shared" si="99"/>
        <v>600.93676112484161</v>
      </c>
      <c r="I758" s="12">
        <f t="shared" si="98"/>
        <v>0.47391687405680993</v>
      </c>
      <c r="J758" s="3"/>
    </row>
    <row r="759" spans="2:10" x14ac:dyDescent="0.25">
      <c r="B759" s="3">
        <f t="shared" si="94"/>
        <v>3695</v>
      </c>
      <c r="C759" s="14">
        <f t="shared" si="95"/>
        <v>61.583333333333336</v>
      </c>
      <c r="D759" s="11">
        <f t="shared" si="96"/>
        <v>949.23466231153338</v>
      </c>
      <c r="E759" s="24">
        <f t="shared" si="97"/>
        <v>390.10506826617609</v>
      </c>
      <c r="F759" s="38">
        <f t="shared" si="92"/>
        <v>1.0043830428601377</v>
      </c>
      <c r="G759" s="14">
        <f t="shared" si="93"/>
        <v>0</v>
      </c>
      <c r="H759" s="24">
        <f t="shared" ref="H759:H822" si="100">IF(E759&lt;600,425+0.773*E759-1.69/1000*E759^2+2.22/1000^2*E759^3,IF(E759&lt;735,666+13002/(738-E759),IF(E759&lt;900,545+17820/(E759-731),650)))</f>
        <v>601.15833948363411</v>
      </c>
      <c r="I759" s="12">
        <f t="shared" si="98"/>
        <v>0.4735770468799762</v>
      </c>
      <c r="J759" s="3"/>
    </row>
    <row r="760" spans="2:10" x14ac:dyDescent="0.25">
      <c r="B760" s="3">
        <f t="shared" si="94"/>
        <v>3700</v>
      </c>
      <c r="C760" s="14">
        <f t="shared" si="95"/>
        <v>61.666666666666664</v>
      </c>
      <c r="D760" s="11">
        <f t="shared" si="96"/>
        <v>949.43686422650831</v>
      </c>
      <c r="E760" s="24">
        <f t="shared" si="97"/>
        <v>390.57864531305609</v>
      </c>
      <c r="F760" s="38">
        <f t="shared" si="92"/>
        <v>1.0040125630248187</v>
      </c>
      <c r="G760" s="14">
        <f t="shared" si="93"/>
        <v>0</v>
      </c>
      <c r="H760" s="24">
        <f t="shared" si="100"/>
        <v>601.38016643163735</v>
      </c>
      <c r="I760" s="12">
        <f t="shared" si="98"/>
        <v>0.47323723596905215</v>
      </c>
      <c r="J760" s="3"/>
    </row>
    <row r="761" spans="2:10" x14ac:dyDescent="0.25">
      <c r="B761" s="3">
        <f t="shared" si="94"/>
        <v>3705</v>
      </c>
      <c r="C761" s="14">
        <f t="shared" si="95"/>
        <v>61.75</v>
      </c>
      <c r="D761" s="11">
        <f t="shared" si="96"/>
        <v>949.63879363208116</v>
      </c>
      <c r="E761" s="24">
        <f t="shared" si="97"/>
        <v>391.05188254902515</v>
      </c>
      <c r="F761" s="38">
        <f t="shared" si="92"/>
        <v>1.0036419407768939</v>
      </c>
      <c r="G761" s="14">
        <f t="shared" si="93"/>
        <v>0</v>
      </c>
      <c r="H761" s="24">
        <f t="shared" si="100"/>
        <v>601.60224251284183</v>
      </c>
      <c r="I761" s="12">
        <f t="shared" si="98"/>
        <v>0.47289744228319081</v>
      </c>
      <c r="J761" s="3"/>
    </row>
    <row r="762" spans="2:10" x14ac:dyDescent="0.25">
      <c r="B762" s="3">
        <f t="shared" si="94"/>
        <v>3710</v>
      </c>
      <c r="C762" s="14">
        <f t="shared" si="95"/>
        <v>61.833333333333336</v>
      </c>
      <c r="D762" s="11">
        <f t="shared" si="96"/>
        <v>949.84045126179058</v>
      </c>
      <c r="E762" s="24">
        <f t="shared" si="97"/>
        <v>391.52477999130832</v>
      </c>
      <c r="F762" s="38">
        <f t="shared" si="92"/>
        <v>1.0032711758356783</v>
      </c>
      <c r="G762" s="14">
        <f t="shared" si="93"/>
        <v>0</v>
      </c>
      <c r="H762" s="24">
        <f t="shared" si="100"/>
        <v>601.82456826629004</v>
      </c>
      <c r="I762" s="12">
        <f t="shared" si="98"/>
        <v>0.47255766677886835</v>
      </c>
      <c r="J762" s="3"/>
    </row>
    <row r="763" spans="2:10" x14ac:dyDescent="0.25">
      <c r="B763" s="3">
        <f t="shared" si="94"/>
        <v>3715</v>
      </c>
      <c r="C763" s="14">
        <f t="shared" si="95"/>
        <v>61.916666666666664</v>
      </c>
      <c r="D763" s="11">
        <f t="shared" si="96"/>
        <v>950.04183784621705</v>
      </c>
      <c r="E763" s="24">
        <f t="shared" si="97"/>
        <v>391.99733765808719</v>
      </c>
      <c r="F763" s="38">
        <f t="shared" si="92"/>
        <v>1.0029002679308006</v>
      </c>
      <c r="G763" s="14">
        <f t="shared" si="93"/>
        <v>0</v>
      </c>
      <c r="H763" s="24">
        <f t="shared" si="100"/>
        <v>602.04714422609106</v>
      </c>
      <c r="I763" s="12">
        <f t="shared" si="98"/>
        <v>0.47221791041000294</v>
      </c>
      <c r="J763" s="3"/>
    </row>
    <row r="764" spans="2:10" x14ac:dyDescent="0.25">
      <c r="B764" s="3">
        <f t="shared" si="94"/>
        <v>3720</v>
      </c>
      <c r="C764" s="14">
        <f t="shared" si="95"/>
        <v>62</v>
      </c>
      <c r="D764" s="11">
        <f t="shared" si="96"/>
        <v>950.24295411299954</v>
      </c>
      <c r="E764" s="24">
        <f t="shared" si="97"/>
        <v>392.46955556849719</v>
      </c>
      <c r="F764" s="38">
        <f t="shared" si="92"/>
        <v>1.0025292168021496</v>
      </c>
      <c r="G764" s="14">
        <f t="shared" si="93"/>
        <v>0</v>
      </c>
      <c r="H764" s="24">
        <f t="shared" si="100"/>
        <v>602.2699709214354</v>
      </c>
      <c r="I764" s="12">
        <f t="shared" si="98"/>
        <v>0.47187817412782318</v>
      </c>
      <c r="J764" s="3"/>
    </row>
    <row r="765" spans="2:10" x14ac:dyDescent="0.25">
      <c r="B765" s="3">
        <f t="shared" si="94"/>
        <v>3725</v>
      </c>
      <c r="C765" s="14">
        <f t="shared" si="95"/>
        <v>62.083333333333336</v>
      </c>
      <c r="D765" s="11">
        <f t="shared" si="96"/>
        <v>950.44380078685015</v>
      </c>
      <c r="E765" s="24">
        <f t="shared" si="97"/>
        <v>392.94143374262501</v>
      </c>
      <c r="F765" s="38">
        <f t="shared" si="92"/>
        <v>1.0021580221998185</v>
      </c>
      <c r="G765" s="14">
        <f t="shared" si="93"/>
        <v>0</v>
      </c>
      <c r="H765" s="24">
        <f t="shared" si="100"/>
        <v>602.4930488766081</v>
      </c>
      <c r="I765" s="12">
        <f t="shared" si="98"/>
        <v>0.47153845888107065</v>
      </c>
      <c r="J765" s="3"/>
    </row>
    <row r="766" spans="2:10" x14ac:dyDescent="0.25">
      <c r="B766" s="3">
        <f t="shared" si="94"/>
        <v>3730</v>
      </c>
      <c r="C766" s="14">
        <f t="shared" si="95"/>
        <v>62.166666666666664</v>
      </c>
      <c r="D766" s="11">
        <f t="shared" si="96"/>
        <v>950.64437858957103</v>
      </c>
      <c r="E766" s="24">
        <f t="shared" si="97"/>
        <v>393.41297220150608</v>
      </c>
      <c r="F766" s="38">
        <f t="shared" si="92"/>
        <v>1.001786683884049</v>
      </c>
      <c r="G766" s="14">
        <f t="shared" si="93"/>
        <v>0</v>
      </c>
      <c r="H766" s="24">
        <f t="shared" si="100"/>
        <v>602.71637861100351</v>
      </c>
      <c r="I766" s="12">
        <f t="shared" si="98"/>
        <v>0.47119876561576118</v>
      </c>
      <c r="J766" s="3"/>
    </row>
    <row r="767" spans="2:10" x14ac:dyDescent="0.25">
      <c r="B767" s="3">
        <f t="shared" si="94"/>
        <v>3735</v>
      </c>
      <c r="C767" s="14">
        <f t="shared" si="95"/>
        <v>62.25</v>
      </c>
      <c r="D767" s="11">
        <f t="shared" si="96"/>
        <v>950.84468824006944</v>
      </c>
      <c r="E767" s="24">
        <f t="shared" si="97"/>
        <v>393.88417096712186</v>
      </c>
      <c r="F767" s="38">
        <f t="shared" si="92"/>
        <v>1.0014152016251756</v>
      </c>
      <c r="G767" s="14">
        <f t="shared" si="93"/>
        <v>0</v>
      </c>
      <c r="H767" s="24">
        <f t="shared" si="100"/>
        <v>602.93996063914028</v>
      </c>
      <c r="I767" s="12">
        <f t="shared" si="98"/>
        <v>0.47085909527538755</v>
      </c>
      <c r="J767" s="3"/>
    </row>
    <row r="768" spans="2:10" x14ac:dyDescent="0.25">
      <c r="B768" s="3">
        <f t="shared" si="94"/>
        <v>3740</v>
      </c>
      <c r="C768" s="14">
        <f t="shared" si="95"/>
        <v>62.333333333333336</v>
      </c>
      <c r="D768" s="11">
        <f t="shared" si="96"/>
        <v>951.04473045437283</v>
      </c>
      <c r="E768" s="24">
        <f t="shared" si="97"/>
        <v>394.35503006239725</v>
      </c>
      <c r="F768" s="38">
        <f t="shared" si="92"/>
        <v>1.0010435752035713</v>
      </c>
      <c r="G768" s="14">
        <f t="shared" si="93"/>
        <v>0</v>
      </c>
      <c r="H768" s="24">
        <f t="shared" si="100"/>
        <v>603.16379547067481</v>
      </c>
      <c r="I768" s="12">
        <f t="shared" si="98"/>
        <v>0.47051944880090607</v>
      </c>
      <c r="J768" s="3"/>
    </row>
    <row r="769" spans="2:10" x14ac:dyDescent="0.25">
      <c r="B769" s="3">
        <f t="shared" si="94"/>
        <v>3745</v>
      </c>
      <c r="C769" s="14">
        <f t="shared" si="95"/>
        <v>62.416666666666664</v>
      </c>
      <c r="D769" s="11">
        <f t="shared" si="96"/>
        <v>951.24450594564473</v>
      </c>
      <c r="E769" s="24">
        <f t="shared" si="97"/>
        <v>394.82554951119818</v>
      </c>
      <c r="F769" s="38">
        <f t="shared" si="92"/>
        <v>1.0006718044095937</v>
      </c>
      <c r="G769" s="14">
        <f t="shared" si="93"/>
        <v>0</v>
      </c>
      <c r="H769" s="24">
        <f t="shared" si="100"/>
        <v>603.38788361041532</v>
      </c>
      <c r="I769" s="12">
        <f t="shared" si="98"/>
        <v>0.47017982713065282</v>
      </c>
      <c r="J769" s="3"/>
    </row>
    <row r="770" spans="2:10" x14ac:dyDescent="0.25">
      <c r="B770" s="3">
        <f t="shared" si="94"/>
        <v>3750</v>
      </c>
      <c r="C770" s="14">
        <f t="shared" si="95"/>
        <v>62.5</v>
      </c>
      <c r="D770" s="11">
        <f t="shared" si="96"/>
        <v>951.44401542419973</v>
      </c>
      <c r="E770" s="24">
        <f t="shared" si="97"/>
        <v>395.29572933832884</v>
      </c>
      <c r="F770" s="38">
        <f t="shared" si="92"/>
        <v>1.0002998890435257</v>
      </c>
      <c r="G770" s="14">
        <f t="shared" si="93"/>
        <v>0</v>
      </c>
      <c r="H770" s="24">
        <f t="shared" si="100"/>
        <v>603.61222555833695</v>
      </c>
      <c r="I770" s="12">
        <f t="shared" si="98"/>
        <v>0.4698402312004511</v>
      </c>
      <c r="J770" s="3"/>
    </row>
    <row r="771" spans="2:10" x14ac:dyDescent="0.25">
      <c r="B771" s="3">
        <f t="shared" si="94"/>
        <v>3755</v>
      </c>
      <c r="C771" s="14">
        <f t="shared" si="95"/>
        <v>62.583333333333336</v>
      </c>
      <c r="D771" s="11">
        <f t="shared" si="96"/>
        <v>951.64325959751886</v>
      </c>
      <c r="E771" s="24">
        <f t="shared" si="97"/>
        <v>395.7655695695293</v>
      </c>
      <c r="F771" s="38">
        <f t="shared" si="92"/>
        <v>0.99992782891552523</v>
      </c>
      <c r="G771" s="14">
        <f t="shared" si="93"/>
        <v>0</v>
      </c>
      <c r="H771" s="24">
        <f t="shared" si="100"/>
        <v>603.8368218095959</v>
      </c>
      <c r="I771" s="12">
        <f t="shared" si="98"/>
        <v>0.46950066194354895</v>
      </c>
      <c r="J771" s="3"/>
    </row>
    <row r="772" spans="2:10" x14ac:dyDescent="0.25">
      <c r="B772" s="3">
        <f t="shared" si="94"/>
        <v>3760</v>
      </c>
      <c r="C772" s="14">
        <f t="shared" si="95"/>
        <v>62.666666666666664</v>
      </c>
      <c r="D772" s="11">
        <f t="shared" si="96"/>
        <v>951.84223917026429</v>
      </c>
      <c r="E772" s="24">
        <f t="shared" si="97"/>
        <v>396.23507023147283</v>
      </c>
      <c r="F772" s="38">
        <f t="shared" si="92"/>
        <v>0.99955562384556718</v>
      </c>
      <c r="G772" s="14">
        <f t="shared" si="93"/>
        <v>0</v>
      </c>
      <c r="H772" s="24">
        <f t="shared" si="100"/>
        <v>604.06167285454353</v>
      </c>
      <c r="I772" s="12">
        <f t="shared" si="98"/>
        <v>0.46916112029070378</v>
      </c>
      <c r="J772" s="3"/>
    </row>
    <row r="773" spans="2:10" x14ac:dyDescent="0.25">
      <c r="B773" s="3">
        <f t="shared" si="94"/>
        <v>3765</v>
      </c>
      <c r="C773" s="14">
        <f t="shared" si="95"/>
        <v>62.75</v>
      </c>
      <c r="D773" s="11">
        <f t="shared" si="96"/>
        <v>952.0409548442949</v>
      </c>
      <c r="E773" s="24">
        <f t="shared" si="97"/>
        <v>396.70423135176355</v>
      </c>
      <c r="F773" s="38">
        <f t="shared" si="92"/>
        <v>0.99918327366338955</v>
      </c>
      <c r="G773" s="14">
        <f t="shared" si="93"/>
        <v>0</v>
      </c>
      <c r="H773" s="24">
        <f t="shared" si="100"/>
        <v>604.28677917874097</v>
      </c>
      <c r="I773" s="12">
        <f t="shared" si="98"/>
        <v>0.46882160717008492</v>
      </c>
      <c r="J773" s="3"/>
    </row>
    <row r="774" spans="2:10" x14ac:dyDescent="0.25">
      <c r="B774" s="3">
        <f t="shared" si="94"/>
        <v>3770</v>
      </c>
      <c r="C774" s="14">
        <f t="shared" si="95"/>
        <v>62.833333333333336</v>
      </c>
      <c r="D774" s="11">
        <f t="shared" si="96"/>
        <v>952.23940731868015</v>
      </c>
      <c r="E774" s="24">
        <f t="shared" si="97"/>
        <v>397.17305295893362</v>
      </c>
      <c r="F774" s="38">
        <f t="shared" si="92"/>
        <v>0.99881077820843922</v>
      </c>
      <c r="G774" s="14">
        <f t="shared" si="93"/>
        <v>0</v>
      </c>
      <c r="H774" s="24">
        <f t="shared" si="100"/>
        <v>604.51214126297316</v>
      </c>
      <c r="I774" s="12">
        <f t="shared" si="98"/>
        <v>0.46848212350745128</v>
      </c>
      <c r="J774" s="3"/>
    </row>
    <row r="775" spans="2:10" x14ac:dyDescent="0.25">
      <c r="B775" s="3">
        <f t="shared" si="94"/>
        <v>3775</v>
      </c>
      <c r="C775" s="14">
        <f t="shared" si="95"/>
        <v>62.916666666666664</v>
      </c>
      <c r="D775" s="11">
        <f t="shared" si="96"/>
        <v>952.43759728971577</v>
      </c>
      <c r="E775" s="24">
        <f t="shared" si="97"/>
        <v>397.64153508244107</v>
      </c>
      <c r="F775" s="38">
        <f t="shared" si="92"/>
        <v>0.99843813732981668</v>
      </c>
      <c r="G775" s="14">
        <f t="shared" si="93"/>
        <v>0</v>
      </c>
      <c r="H775" s="24">
        <f t="shared" si="100"/>
        <v>604.7377595832636</v>
      </c>
      <c r="I775" s="12">
        <f t="shared" si="98"/>
        <v>0.4681426702259589</v>
      </c>
      <c r="J775" s="3"/>
    </row>
    <row r="776" spans="2:10" x14ac:dyDescent="0.25">
      <c r="B776" s="3">
        <f t="shared" si="94"/>
        <v>3780</v>
      </c>
      <c r="C776" s="14">
        <f t="shared" si="95"/>
        <v>63</v>
      </c>
      <c r="D776" s="11">
        <f t="shared" si="96"/>
        <v>952.63552545093819</v>
      </c>
      <c r="E776" s="24">
        <f t="shared" si="97"/>
        <v>398.10967775266704</v>
      </c>
      <c r="F776" s="38">
        <f t="shared" si="92"/>
        <v>0.99806535088622106</v>
      </c>
      <c r="G776" s="14">
        <f t="shared" si="93"/>
        <v>0</v>
      </c>
      <c r="H776" s="24">
        <f t="shared" si="100"/>
        <v>604.96363461088868</v>
      </c>
      <c r="I776" s="12">
        <f t="shared" si="98"/>
        <v>0.4678032482462926</v>
      </c>
      <c r="J776" s="3"/>
    </row>
    <row r="777" spans="2:10" x14ac:dyDescent="0.25">
      <c r="B777" s="3">
        <f t="shared" si="94"/>
        <v>3785</v>
      </c>
      <c r="C777" s="14">
        <f t="shared" si="95"/>
        <v>63.083333333333336</v>
      </c>
      <c r="D777" s="11">
        <f t="shared" si="96"/>
        <v>952.83319249313843</v>
      </c>
      <c r="E777" s="24">
        <f t="shared" si="97"/>
        <v>398.57748100091334</v>
      </c>
      <c r="F777" s="38">
        <f t="shared" si="92"/>
        <v>0.99769241874589609</v>
      </c>
      <c r="G777" s="14">
        <f t="shared" si="93"/>
        <v>0</v>
      </c>
      <c r="H777" s="24">
        <f t="shared" si="100"/>
        <v>605.18976681239189</v>
      </c>
      <c r="I777" s="12">
        <f t="shared" si="98"/>
        <v>0.46746385848672189</v>
      </c>
      <c r="J777" s="3"/>
    </row>
    <row r="778" spans="2:10" x14ac:dyDescent="0.25">
      <c r="B778" s="3">
        <f t="shared" si="94"/>
        <v>3790</v>
      </c>
      <c r="C778" s="14">
        <f t="shared" si="95"/>
        <v>63.166666666666664</v>
      </c>
      <c r="D778" s="11">
        <f t="shared" si="96"/>
        <v>953.03059910437764</v>
      </c>
      <c r="E778" s="24">
        <f t="shared" si="97"/>
        <v>399.04494485940006</v>
      </c>
      <c r="F778" s="38">
        <f t="shared" si="92"/>
        <v>0.99731934078657658</v>
      </c>
      <c r="G778" s="14">
        <f t="shared" si="93"/>
        <v>0</v>
      </c>
      <c r="H778" s="24">
        <f t="shared" si="100"/>
        <v>605.41615664959818</v>
      </c>
      <c r="I778" s="12">
        <f t="shared" si="98"/>
        <v>0.46712450186292248</v>
      </c>
      <c r="J778" s="3"/>
    </row>
    <row r="779" spans="2:10" x14ac:dyDescent="0.25">
      <c r="B779" s="3">
        <f t="shared" si="94"/>
        <v>3795</v>
      </c>
      <c r="C779" s="14">
        <f t="shared" si="95"/>
        <v>63.25</v>
      </c>
      <c r="D779" s="11">
        <f t="shared" si="96"/>
        <v>953.22774597000091</v>
      </c>
      <c r="E779" s="24">
        <f t="shared" si="97"/>
        <v>399.512069361263</v>
      </c>
      <c r="F779" s="38">
        <f t="shared" si="92"/>
        <v>0.99694611689543189</v>
      </c>
      <c r="G779" s="14">
        <f t="shared" si="93"/>
        <v>0</v>
      </c>
      <c r="H779" s="24">
        <f t="shared" si="100"/>
        <v>605.64280457962911</v>
      </c>
      <c r="I779" s="12">
        <f t="shared" si="98"/>
        <v>0.46678517928816404</v>
      </c>
      <c r="J779" s="3"/>
    </row>
    <row r="780" spans="2:10" x14ac:dyDescent="0.25">
      <c r="B780" s="3">
        <f t="shared" si="94"/>
        <v>3800</v>
      </c>
      <c r="C780" s="14">
        <f t="shared" si="95"/>
        <v>63.333333333333336</v>
      </c>
      <c r="D780" s="11">
        <f t="shared" si="96"/>
        <v>953.42463377265096</v>
      </c>
      <c r="E780" s="24">
        <f t="shared" si="97"/>
        <v>399.97885454055114</v>
      </c>
      <c r="F780" s="38">
        <f t="shared" si="92"/>
        <v>0.99657274696901299</v>
      </c>
      <c r="G780" s="14">
        <f t="shared" si="93"/>
        <v>0</v>
      </c>
      <c r="H780" s="24">
        <f t="shared" si="100"/>
        <v>605.86971105491625</v>
      </c>
      <c r="I780" s="12">
        <f t="shared" si="98"/>
        <v>0.46644589167330935</v>
      </c>
      <c r="J780" s="3"/>
    </row>
    <row r="781" spans="2:10" x14ac:dyDescent="0.25">
      <c r="B781" s="3">
        <f t="shared" si="94"/>
        <v>3805</v>
      </c>
      <c r="C781" s="14">
        <f t="shared" si="95"/>
        <v>63.416666666666664</v>
      </c>
      <c r="D781" s="11">
        <f t="shared" si="96"/>
        <v>953.621263192284</v>
      </c>
      <c r="E781" s="24">
        <f t="shared" si="97"/>
        <v>400.44530043222443</v>
      </c>
      <c r="F781" s="38">
        <f t="shared" si="92"/>
        <v>0.99619923091319851</v>
      </c>
      <c r="G781" s="14">
        <f t="shared" si="93"/>
        <v>0</v>
      </c>
      <c r="H781" s="24">
        <f t="shared" si="100"/>
        <v>606.09687652321645</v>
      </c>
      <c r="I781" s="12">
        <f t="shared" si="98"/>
        <v>0.46610663992659856</v>
      </c>
      <c r="J781" s="3"/>
    </row>
    <row r="782" spans="2:10" x14ac:dyDescent="0.25">
      <c r="B782" s="3">
        <f t="shared" si="94"/>
        <v>3810</v>
      </c>
      <c r="C782" s="14">
        <f t="shared" si="95"/>
        <v>63.5</v>
      </c>
      <c r="D782" s="11">
        <f t="shared" si="96"/>
        <v>953.81763490618164</v>
      </c>
      <c r="E782" s="24">
        <f t="shared" si="97"/>
        <v>400.91140707215101</v>
      </c>
      <c r="F782" s="38">
        <f t="shared" si="92"/>
        <v>0.99582556864314031</v>
      </c>
      <c r="G782" s="14">
        <f t="shared" si="93"/>
        <v>0</v>
      </c>
      <c r="H782" s="24">
        <f t="shared" si="100"/>
        <v>606.32430142762564</v>
      </c>
      <c r="I782" s="12">
        <f t="shared" si="98"/>
        <v>0.46576742495405105</v>
      </c>
      <c r="J782" s="3"/>
    </row>
    <row r="783" spans="2:10" x14ac:dyDescent="0.25">
      <c r="B783" s="3">
        <f t="shared" si="94"/>
        <v>3815</v>
      </c>
      <c r="C783" s="14">
        <f t="shared" si="95"/>
        <v>63.583333333333336</v>
      </c>
      <c r="D783" s="11">
        <f t="shared" si="96"/>
        <v>954.0137495889669</v>
      </c>
      <c r="E783" s="24">
        <f t="shared" si="97"/>
        <v>401.37717449710505</v>
      </c>
      <c r="F783" s="38">
        <f t="shared" si="92"/>
        <v>0.9954517600832089</v>
      </c>
      <c r="G783" s="14">
        <f t="shared" si="93"/>
        <v>0</v>
      </c>
      <c r="H783" s="24">
        <f t="shared" si="100"/>
        <v>606.55198620659382</v>
      </c>
      <c r="I783" s="12">
        <f t="shared" si="98"/>
        <v>0.46542824765903557</v>
      </c>
      <c r="J783" s="3"/>
    </row>
    <row r="784" spans="2:10" x14ac:dyDescent="0.25">
      <c r="B784" s="3">
        <f t="shared" si="94"/>
        <v>3820</v>
      </c>
      <c r="C784" s="14">
        <f t="shared" si="95"/>
        <v>63.666666666666664</v>
      </c>
      <c r="D784" s="11">
        <f t="shared" si="96"/>
        <v>954.20960791261643</v>
      </c>
      <c r="E784" s="24">
        <f t="shared" si="97"/>
        <v>401.84260274476406</v>
      </c>
      <c r="F784" s="38">
        <f t="shared" si="92"/>
        <v>0.99507780516694033</v>
      </c>
      <c r="G784" s="14">
        <f t="shared" si="93"/>
        <v>0</v>
      </c>
      <c r="H784" s="24">
        <f t="shared" si="100"/>
        <v>606.7799312939394</v>
      </c>
      <c r="I784" s="12">
        <f t="shared" si="98"/>
        <v>0.46508910894267314</v>
      </c>
      <c r="J784" s="3"/>
    </row>
    <row r="785" spans="2:10" x14ac:dyDescent="0.25">
      <c r="B785" s="3">
        <f t="shared" si="94"/>
        <v>3825</v>
      </c>
      <c r="C785" s="14">
        <f t="shared" si="95"/>
        <v>63.75</v>
      </c>
      <c r="D785" s="11">
        <f t="shared" si="96"/>
        <v>954.40521054647581</v>
      </c>
      <c r="E785" s="24">
        <f t="shared" si="97"/>
        <v>402.30769185370673</v>
      </c>
      <c r="F785" s="38">
        <f t="shared" si="92"/>
        <v>0.99470370383698192</v>
      </c>
      <c r="G785" s="14">
        <f t="shared" si="93"/>
        <v>0</v>
      </c>
      <c r="H785" s="24">
        <f t="shared" si="100"/>
        <v>607.00813711886349</v>
      </c>
      <c r="I785" s="12">
        <f t="shared" si="98"/>
        <v>0.46475000970350194</v>
      </c>
      <c r="J785" s="3"/>
    </row>
    <row r="786" spans="2:10" x14ac:dyDescent="0.25">
      <c r="B786" s="3">
        <f t="shared" si="94"/>
        <v>3830</v>
      </c>
      <c r="C786" s="14">
        <f t="shared" si="95"/>
        <v>63.833333333333336</v>
      </c>
      <c r="D786" s="11">
        <f t="shared" si="96"/>
        <v>954.60055815727219</v>
      </c>
      <c r="E786" s="24">
        <f t="shared" si="97"/>
        <v>402.77244186341022</v>
      </c>
      <c r="F786" s="38">
        <f t="shared" si="92"/>
        <v>0.99432945604503853</v>
      </c>
      <c r="G786" s="14">
        <f t="shared" si="93"/>
        <v>0</v>
      </c>
      <c r="H786" s="24">
        <f t="shared" si="100"/>
        <v>607.23660410596449</v>
      </c>
      <c r="I786" s="12">
        <f t="shared" si="98"/>
        <v>0.46441095083776035</v>
      </c>
      <c r="J786" s="3"/>
    </row>
    <row r="787" spans="2:10" x14ac:dyDescent="0.25">
      <c r="B787" s="3">
        <f t="shared" si="94"/>
        <v>3835</v>
      </c>
      <c r="C787" s="14">
        <f t="shared" si="95"/>
        <v>63.916666666666664</v>
      </c>
      <c r="D787" s="11">
        <f t="shared" si="96"/>
        <v>954.79565140912837</v>
      </c>
      <c r="E787" s="24">
        <f t="shared" si="97"/>
        <v>403.23685281424798</v>
      </c>
      <c r="F787" s="38">
        <f t="shared" si="92"/>
        <v>0.99395506175181836</v>
      </c>
      <c r="G787" s="14">
        <f t="shared" si="93"/>
        <v>0</v>
      </c>
      <c r="H787" s="24">
        <f t="shared" si="100"/>
        <v>607.46533267525319</v>
      </c>
      <c r="I787" s="12">
        <f t="shared" si="98"/>
        <v>0.46407193323922979</v>
      </c>
      <c r="J787" s="3"/>
    </row>
    <row r="788" spans="2:10" x14ac:dyDescent="0.25">
      <c r="B788" s="3">
        <f t="shared" si="94"/>
        <v>3840</v>
      </c>
      <c r="C788" s="14">
        <f t="shared" si="95"/>
        <v>64</v>
      </c>
      <c r="D788" s="11">
        <f t="shared" si="96"/>
        <v>954.99049096357646</v>
      </c>
      <c r="E788" s="24">
        <f t="shared" si="97"/>
        <v>403.70092474748719</v>
      </c>
      <c r="F788" s="38">
        <f t="shared" ref="F788:F851" si="101">Cp*RhoP/(RhoA*H788)*dp/1000*MassivP</f>
        <v>0.9935805209269809</v>
      </c>
      <c r="G788" s="14">
        <f t="shared" ref="G788:G851" si="102">Phi*EpsilonF*Botzman/10^8*J788*((D788+273)^4-(E788+273)^4)</f>
        <v>0</v>
      </c>
      <c r="H788" s="24">
        <f t="shared" si="100"/>
        <v>607.69432324216564</v>
      </c>
      <c r="I788" s="12">
        <f t="shared" si="98"/>
        <v>0.46373295779928175</v>
      </c>
      <c r="J788" s="3"/>
    </row>
    <row r="789" spans="2:10" x14ac:dyDescent="0.25">
      <c r="B789" s="3">
        <f t="shared" ref="B789:B852" si="103">B788+DeltaT</f>
        <v>3845</v>
      </c>
      <c r="C789" s="14">
        <f t="shared" ref="C789:C852" si="104">B789/60</f>
        <v>64.083333333333329</v>
      </c>
      <c r="D789" s="11">
        <f t="shared" ref="D789:D852" si="105">20+345*LOG(8*C789+1,10)</f>
        <v>955.18507747957108</v>
      </c>
      <c r="E789" s="24">
        <f t="shared" ref="E789:E852" si="106">E788+IF(Limit=Oui,MAX(0,I788),I788)</f>
        <v>404.16465770528646</v>
      </c>
      <c r="F789" s="38">
        <f t="shared" si="101"/>
        <v>0.99320583354908265</v>
      </c>
      <c r="G789" s="14">
        <f t="shared" si="102"/>
        <v>0</v>
      </c>
      <c r="H789" s="24">
        <f t="shared" si="100"/>
        <v>607.92357621757947</v>
      </c>
      <c r="I789" s="12">
        <f t="shared" ref="I789:I852" si="107">LambdaP*MassivP/(dp/1000)/(H789*RhoA)/(1+F789/3)*(D789-E789)*DeltaT-(EXP(F789/10)-1)*(D789-D788)</f>
        <v>0.46339402540692104</v>
      </c>
      <c r="J789" s="3"/>
    </row>
    <row r="790" spans="2:10" x14ac:dyDescent="0.25">
      <c r="B790" s="3">
        <f t="shared" si="103"/>
        <v>3850</v>
      </c>
      <c r="C790" s="14">
        <f t="shared" si="104"/>
        <v>64.166666666666671</v>
      </c>
      <c r="D790" s="11">
        <f t="shared" si="105"/>
        <v>955.37941161350261</v>
      </c>
      <c r="E790" s="24">
        <f t="shared" si="106"/>
        <v>404.62805173069336</v>
      </c>
      <c r="F790" s="38">
        <f t="shared" si="101"/>
        <v>0.9928309996055219</v>
      </c>
      <c r="G790" s="14">
        <f t="shared" si="102"/>
        <v>0</v>
      </c>
      <c r="H790" s="24">
        <f t="shared" si="100"/>
        <v>608.15309200782735</v>
      </c>
      <c r="I790" s="12">
        <f t="shared" si="107"/>
        <v>0.46305513694877226</v>
      </c>
      <c r="J790" s="3"/>
    </row>
    <row r="791" spans="2:10" x14ac:dyDescent="0.25">
      <c r="B791" s="3">
        <f t="shared" si="103"/>
        <v>3855</v>
      </c>
      <c r="C791" s="14">
        <f t="shared" si="104"/>
        <v>64.25</v>
      </c>
      <c r="D791" s="11">
        <f t="shared" si="105"/>
        <v>955.57349401921078</v>
      </c>
      <c r="E791" s="24">
        <f t="shared" si="106"/>
        <v>405.09110686764211</v>
      </c>
      <c r="F791" s="38">
        <f t="shared" si="101"/>
        <v>0.99245601909248793</v>
      </c>
      <c r="G791" s="14">
        <f t="shared" si="102"/>
        <v>0</v>
      </c>
      <c r="H791" s="24">
        <f t="shared" si="100"/>
        <v>608.38287101471246</v>
      </c>
      <c r="I791" s="12">
        <f t="shared" si="107"/>
        <v>0.46271629330905356</v>
      </c>
      <c r="J791" s="3"/>
    </row>
    <row r="792" spans="2:10" x14ac:dyDescent="0.25">
      <c r="B792" s="3">
        <f t="shared" si="103"/>
        <v>3860</v>
      </c>
      <c r="C792" s="14">
        <f t="shared" si="104"/>
        <v>64.333333333333329</v>
      </c>
      <c r="D792" s="11">
        <f t="shared" si="105"/>
        <v>955.76732534799817</v>
      </c>
      <c r="E792" s="24">
        <f t="shared" si="106"/>
        <v>405.55382316095114</v>
      </c>
      <c r="F792" s="38">
        <f t="shared" si="101"/>
        <v>0.99208089201490735</v>
      </c>
      <c r="G792" s="14">
        <f t="shared" si="102"/>
        <v>0</v>
      </c>
      <c r="H792" s="24">
        <f t="shared" si="100"/>
        <v>608.61291363552164</v>
      </c>
      <c r="I792" s="12">
        <f t="shared" si="107"/>
        <v>0.46237749536957529</v>
      </c>
      <c r="J792" s="3"/>
    </row>
    <row r="793" spans="2:10" x14ac:dyDescent="0.25">
      <c r="B793" s="3">
        <f t="shared" si="103"/>
        <v>3865</v>
      </c>
      <c r="C793" s="14">
        <f t="shared" si="104"/>
        <v>64.416666666666671</v>
      </c>
      <c r="D793" s="11">
        <f t="shared" si="105"/>
        <v>955.96090624864257</v>
      </c>
      <c r="E793" s="24">
        <f t="shared" si="106"/>
        <v>406.01620065632073</v>
      </c>
      <c r="F793" s="38">
        <f t="shared" si="101"/>
        <v>0.99170561838639026</v>
      </c>
      <c r="G793" s="14">
        <f t="shared" si="102"/>
        <v>0</v>
      </c>
      <c r="H793" s="24">
        <f t="shared" si="100"/>
        <v>608.84322026304085</v>
      </c>
      <c r="I793" s="12">
        <f t="shared" si="107"/>
        <v>0.46203874400985473</v>
      </c>
      <c r="J793" s="3"/>
    </row>
    <row r="794" spans="2:10" x14ac:dyDescent="0.25">
      <c r="B794" s="3">
        <f t="shared" si="103"/>
        <v>3870</v>
      </c>
      <c r="C794" s="14">
        <f t="shared" si="104"/>
        <v>64.5</v>
      </c>
      <c r="D794" s="11">
        <f t="shared" si="105"/>
        <v>956.15423736741013</v>
      </c>
      <c r="E794" s="24">
        <f t="shared" si="106"/>
        <v>406.47823940033061</v>
      </c>
      <c r="F794" s="38">
        <f t="shared" si="101"/>
        <v>0.99133019822917701</v>
      </c>
      <c r="G794" s="14">
        <f t="shared" si="102"/>
        <v>0</v>
      </c>
      <c r="H794" s="24">
        <f t="shared" si="100"/>
        <v>609.07379128556965</v>
      </c>
      <c r="I794" s="12">
        <f t="shared" si="107"/>
        <v>0.46170004010704208</v>
      </c>
      <c r="J794" s="3"/>
    </row>
    <row r="795" spans="2:10" x14ac:dyDescent="0.25">
      <c r="B795" s="3">
        <f t="shared" si="103"/>
        <v>3875</v>
      </c>
      <c r="C795" s="14">
        <f t="shared" si="104"/>
        <v>64.583333333333329</v>
      </c>
      <c r="D795" s="11">
        <f t="shared" si="105"/>
        <v>956.34731934806894</v>
      </c>
      <c r="E795" s="24">
        <f t="shared" si="106"/>
        <v>406.93993944043763</v>
      </c>
      <c r="F795" s="38">
        <f t="shared" si="101"/>
        <v>0.99095463157408581</v>
      </c>
      <c r="G795" s="14">
        <f t="shared" si="102"/>
        <v>0</v>
      </c>
      <c r="H795" s="24">
        <f t="shared" si="100"/>
        <v>609.30462708693562</v>
      </c>
      <c r="I795" s="12">
        <f t="shared" si="107"/>
        <v>0.4613613845358599</v>
      </c>
      <c r="J795" s="3"/>
    </row>
    <row r="796" spans="2:10" x14ac:dyDescent="0.25">
      <c r="B796" s="3">
        <f t="shared" si="103"/>
        <v>3880</v>
      </c>
      <c r="C796" s="14">
        <f t="shared" si="104"/>
        <v>64.666666666666671</v>
      </c>
      <c r="D796" s="11">
        <f t="shared" si="105"/>
        <v>956.54015283190176</v>
      </c>
      <c r="E796" s="24">
        <f t="shared" si="106"/>
        <v>407.40130082497348</v>
      </c>
      <c r="F796" s="38">
        <f t="shared" si="101"/>
        <v>0.99057891846046064</v>
      </c>
      <c r="G796" s="14">
        <f t="shared" si="102"/>
        <v>0</v>
      </c>
      <c r="H796" s="24">
        <f t="shared" si="100"/>
        <v>609.53572804650878</v>
      </c>
      <c r="I796" s="12">
        <f t="shared" si="107"/>
        <v>0.46102277816869497</v>
      </c>
      <c r="J796" s="3"/>
    </row>
    <row r="797" spans="2:10" x14ac:dyDescent="0.25">
      <c r="B797" s="3">
        <f t="shared" si="103"/>
        <v>3885</v>
      </c>
      <c r="C797" s="14">
        <f t="shared" si="104"/>
        <v>64.75</v>
      </c>
      <c r="D797" s="11">
        <f t="shared" si="105"/>
        <v>956.73273845771791</v>
      </c>
      <c r="E797" s="24">
        <f t="shared" si="106"/>
        <v>407.86232360314216</v>
      </c>
      <c r="F797" s="38">
        <f t="shared" si="101"/>
        <v>0.99020305893611593</v>
      </c>
      <c r="G797" s="14">
        <f t="shared" si="102"/>
        <v>0</v>
      </c>
      <c r="H797" s="24">
        <f t="shared" si="100"/>
        <v>609.7670945392166</v>
      </c>
      <c r="I797" s="12">
        <f t="shared" si="107"/>
        <v>0.46068422187568886</v>
      </c>
      <c r="J797" s="3"/>
    </row>
    <row r="798" spans="2:10" x14ac:dyDescent="0.25">
      <c r="B798" s="3">
        <f t="shared" si="103"/>
        <v>3890</v>
      </c>
      <c r="C798" s="14">
        <f t="shared" si="104"/>
        <v>64.833333333333329</v>
      </c>
      <c r="D798" s="11">
        <f t="shared" si="105"/>
        <v>956.92507686186673</v>
      </c>
      <c r="E798" s="24">
        <f t="shared" si="106"/>
        <v>408.32300782501784</v>
      </c>
      <c r="F798" s="38">
        <f t="shared" si="101"/>
        <v>0.98982705305728724</v>
      </c>
      <c r="G798" s="14">
        <f t="shared" si="102"/>
        <v>0</v>
      </c>
      <c r="H798" s="24">
        <f t="shared" si="100"/>
        <v>609.9987269355579</v>
      </c>
      <c r="I798" s="12">
        <f t="shared" si="107"/>
        <v>0.4603457165245588</v>
      </c>
      <c r="J798" s="3"/>
    </row>
    <row r="799" spans="2:10" x14ac:dyDescent="0.25">
      <c r="B799" s="3">
        <f t="shared" si="103"/>
        <v>3895</v>
      </c>
      <c r="C799" s="14">
        <f t="shared" si="104"/>
        <v>64.916666666666671</v>
      </c>
      <c r="D799" s="11">
        <f t="shared" si="105"/>
        <v>957.11716867825044</v>
      </c>
      <c r="E799" s="24">
        <f t="shared" si="106"/>
        <v>408.7833535415424</v>
      </c>
      <c r="F799" s="38">
        <f t="shared" si="101"/>
        <v>0.98945090088857646</v>
      </c>
      <c r="G799" s="14">
        <f t="shared" si="102"/>
        <v>0</v>
      </c>
      <c r="H799" s="24">
        <f t="shared" si="100"/>
        <v>610.2306256016177</v>
      </c>
      <c r="I799" s="12">
        <f t="shared" si="107"/>
        <v>0.46000726298066574</v>
      </c>
      <c r="J799" s="3"/>
    </row>
    <row r="800" spans="2:10" x14ac:dyDescent="0.25">
      <c r="B800" s="3">
        <f t="shared" si="103"/>
        <v>3900</v>
      </c>
      <c r="C800" s="14">
        <f t="shared" si="104"/>
        <v>65</v>
      </c>
      <c r="D800" s="11">
        <f t="shared" si="105"/>
        <v>957.30901453833587</v>
      </c>
      <c r="E800" s="24">
        <f t="shared" si="106"/>
        <v>409.24336080452304</v>
      </c>
      <c r="F800" s="38">
        <f t="shared" si="101"/>
        <v>0.98907460250289914</v>
      </c>
      <c r="G800" s="14">
        <f t="shared" si="102"/>
        <v>0</v>
      </c>
      <c r="H800" s="24">
        <f t="shared" si="100"/>
        <v>610.46279089908217</v>
      </c>
      <c r="I800" s="12">
        <f t="shared" si="107"/>
        <v>0.45966886210712954</v>
      </c>
      <c r="J800" s="3"/>
    </row>
    <row r="801" spans="2:10" x14ac:dyDescent="0.25">
      <c r="B801" s="3">
        <f t="shared" si="103"/>
        <v>3905</v>
      </c>
      <c r="C801" s="14">
        <f t="shared" si="104"/>
        <v>65.083333333333329</v>
      </c>
      <c r="D801" s="11">
        <f t="shared" si="105"/>
        <v>957.50061507116754</v>
      </c>
      <c r="E801" s="24">
        <f t="shared" si="106"/>
        <v>409.70302966663019</v>
      </c>
      <c r="F801" s="38">
        <f t="shared" si="101"/>
        <v>0.98869815798143401</v>
      </c>
      <c r="G801" s="14">
        <f t="shared" si="102"/>
        <v>0</v>
      </c>
      <c r="H801" s="24">
        <f t="shared" si="100"/>
        <v>610.69522318525276</v>
      </c>
      <c r="I801" s="12">
        <f t="shared" si="107"/>
        <v>0.45933051476468378</v>
      </c>
      <c r="J801" s="3"/>
    </row>
    <row r="802" spans="2:10" x14ac:dyDescent="0.25">
      <c r="B802" s="3">
        <f t="shared" si="103"/>
        <v>3910</v>
      </c>
      <c r="C802" s="14">
        <f t="shared" si="104"/>
        <v>65.166666666666671</v>
      </c>
      <c r="D802" s="11">
        <f t="shared" si="105"/>
        <v>957.69197090337991</v>
      </c>
      <c r="E802" s="24">
        <f t="shared" si="106"/>
        <v>410.16236018139489</v>
      </c>
      <c r="F802" s="38">
        <f t="shared" si="101"/>
        <v>0.98832156741356902</v>
      </c>
      <c r="G802" s="14">
        <f t="shared" si="102"/>
        <v>0</v>
      </c>
      <c r="H802" s="24">
        <f t="shared" si="100"/>
        <v>610.92792281306083</v>
      </c>
      <c r="I802" s="12">
        <f t="shared" si="107"/>
        <v>0.45899222181175586</v>
      </c>
      <c r="J802" s="3"/>
    </row>
    <row r="803" spans="2:10" x14ac:dyDescent="0.25">
      <c r="B803" s="3">
        <f t="shared" si="103"/>
        <v>3915</v>
      </c>
      <c r="C803" s="14">
        <f t="shared" si="104"/>
        <v>65.25</v>
      </c>
      <c r="D803" s="11">
        <f t="shared" si="105"/>
        <v>957.88308265920955</v>
      </c>
      <c r="E803" s="24">
        <f t="shared" si="106"/>
        <v>410.62135240320663</v>
      </c>
      <c r="F803" s="38">
        <f t="shared" si="101"/>
        <v>0.98794483089685003</v>
      </c>
      <c r="G803" s="14">
        <f t="shared" si="102"/>
        <v>0</v>
      </c>
      <c r="H803" s="24">
        <f t="shared" si="100"/>
        <v>611.16089013108206</v>
      </c>
      <c r="I803" s="12">
        <f t="shared" si="107"/>
        <v>0.45865398410447616</v>
      </c>
      <c r="J803" s="3"/>
    </row>
    <row r="804" spans="2:10" x14ac:dyDescent="0.25">
      <c r="B804" s="3">
        <f t="shared" si="103"/>
        <v>3920</v>
      </c>
      <c r="C804" s="14">
        <f t="shared" si="104"/>
        <v>65.333333333333329</v>
      </c>
      <c r="D804" s="11">
        <f t="shared" si="105"/>
        <v>958.07395096050709</v>
      </c>
      <c r="E804" s="24">
        <f t="shared" si="106"/>
        <v>411.08000638731113</v>
      </c>
      <c r="F804" s="38">
        <f t="shared" si="101"/>
        <v>0.98756794853692809</v>
      </c>
      <c r="G804" s="14">
        <f t="shared" si="102"/>
        <v>0</v>
      </c>
      <c r="H804" s="24">
        <f t="shared" si="100"/>
        <v>611.39412548355142</v>
      </c>
      <c r="I804" s="12">
        <f t="shared" si="107"/>
        <v>0.45831580249669734</v>
      </c>
      <c r="J804" s="3"/>
    </row>
    <row r="805" spans="2:10" x14ac:dyDescent="0.25">
      <c r="B805" s="3">
        <f t="shared" si="103"/>
        <v>3925</v>
      </c>
      <c r="C805" s="14">
        <f t="shared" si="104"/>
        <v>65.416666666666671</v>
      </c>
      <c r="D805" s="11">
        <f t="shared" si="105"/>
        <v>958.2645764267503</v>
      </c>
      <c r="E805" s="24">
        <f t="shared" si="106"/>
        <v>411.53832218980784</v>
      </c>
      <c r="F805" s="38">
        <f t="shared" si="101"/>
        <v>0.98719092044750811</v>
      </c>
      <c r="G805" s="14">
        <f t="shared" si="102"/>
        <v>0</v>
      </c>
      <c r="H805" s="24">
        <f t="shared" si="100"/>
        <v>611.62762921037779</v>
      </c>
      <c r="I805" s="12">
        <f t="shared" si="107"/>
        <v>0.45797767783987464</v>
      </c>
      <c r="J805" s="3"/>
    </row>
    <row r="806" spans="2:10" x14ac:dyDescent="0.25">
      <c r="B806" s="3">
        <f t="shared" si="103"/>
        <v>3930</v>
      </c>
      <c r="C806" s="14">
        <f t="shared" si="104"/>
        <v>65.5</v>
      </c>
      <c r="D806" s="11">
        <f t="shared" si="105"/>
        <v>958.45495967505497</v>
      </c>
      <c r="E806" s="24">
        <f t="shared" si="106"/>
        <v>411.99629986764774</v>
      </c>
      <c r="F806" s="38">
        <f t="shared" si="101"/>
        <v>0.9868137467502972</v>
      </c>
      <c r="G806" s="14">
        <f t="shared" si="102"/>
        <v>0</v>
      </c>
      <c r="H806" s="24">
        <f t="shared" si="100"/>
        <v>611.86140164715766</v>
      </c>
      <c r="I806" s="12">
        <f t="shared" si="107"/>
        <v>0.45763961098328587</v>
      </c>
      <c r="J806" s="3"/>
    </row>
    <row r="807" spans="2:10" x14ac:dyDescent="0.25">
      <c r="B807" s="3">
        <f t="shared" si="103"/>
        <v>3935</v>
      </c>
      <c r="C807" s="14">
        <f t="shared" si="104"/>
        <v>65.583333333333329</v>
      </c>
      <c r="D807" s="11">
        <f t="shared" si="105"/>
        <v>958.64510132018779</v>
      </c>
      <c r="E807" s="24">
        <f t="shared" si="106"/>
        <v>412.45393947863101</v>
      </c>
      <c r="F807" s="38">
        <f t="shared" si="101"/>
        <v>0.98643642757495076</v>
      </c>
      <c r="G807" s="14">
        <f t="shared" si="102"/>
        <v>0</v>
      </c>
      <c r="H807" s="24">
        <f t="shared" si="100"/>
        <v>612.0954431251912</v>
      </c>
      <c r="I807" s="12">
        <f t="shared" si="107"/>
        <v>0.45730160277382759</v>
      </c>
      <c r="J807" s="3"/>
    </row>
    <row r="808" spans="2:10" x14ac:dyDescent="0.25">
      <c r="B808" s="3">
        <f t="shared" si="103"/>
        <v>3940</v>
      </c>
      <c r="C808" s="14">
        <f t="shared" si="104"/>
        <v>65.666666666666671</v>
      </c>
      <c r="D808" s="11">
        <f t="shared" si="105"/>
        <v>958.83500197457795</v>
      </c>
      <c r="E808" s="24">
        <f t="shared" si="106"/>
        <v>412.91124108140485</v>
      </c>
      <c r="F808" s="38">
        <f t="shared" si="101"/>
        <v>0.98605896305902418</v>
      </c>
      <c r="G808" s="14">
        <f t="shared" si="102"/>
        <v>0</v>
      </c>
      <c r="H808" s="24">
        <f t="shared" si="100"/>
        <v>612.32975397149528</v>
      </c>
      <c r="I808" s="12">
        <f t="shared" si="107"/>
        <v>0.45696365405614248</v>
      </c>
      <c r="J808" s="3"/>
    </row>
    <row r="809" spans="2:10" x14ac:dyDescent="0.25">
      <c r="B809" s="3">
        <f t="shared" si="103"/>
        <v>3945</v>
      </c>
      <c r="C809" s="14">
        <f t="shared" si="104"/>
        <v>65.75</v>
      </c>
      <c r="D809" s="11">
        <f t="shared" si="105"/>
        <v>959.02466224832847</v>
      </c>
      <c r="E809" s="24">
        <f t="shared" si="106"/>
        <v>413.36820473546101</v>
      </c>
      <c r="F809" s="38">
        <f t="shared" si="101"/>
        <v>0.98568135334791884</v>
      </c>
      <c r="G809" s="14">
        <f t="shared" si="102"/>
        <v>0</v>
      </c>
      <c r="H809" s="24">
        <f t="shared" si="100"/>
        <v>612.56433450881912</v>
      </c>
      <c r="I809" s="12">
        <f t="shared" si="107"/>
        <v>0.45662576567263846</v>
      </c>
      <c r="J809" s="3"/>
    </row>
    <row r="810" spans="2:10" x14ac:dyDescent="0.25">
      <c r="B810" s="3">
        <f t="shared" si="103"/>
        <v>3950</v>
      </c>
      <c r="C810" s="14">
        <f t="shared" si="104"/>
        <v>65.833333333333329</v>
      </c>
      <c r="D810" s="11">
        <f t="shared" si="105"/>
        <v>959.21408274922908</v>
      </c>
      <c r="E810" s="24">
        <f t="shared" si="106"/>
        <v>413.82483050113365</v>
      </c>
      <c r="F810" s="38">
        <f t="shared" si="101"/>
        <v>0.98530359859483119</v>
      </c>
      <c r="G810" s="14">
        <f t="shared" si="102"/>
        <v>0</v>
      </c>
      <c r="H810" s="24">
        <f t="shared" si="100"/>
        <v>612.79918505565843</v>
      </c>
      <c r="I810" s="12">
        <f t="shared" si="107"/>
        <v>0.4562879384633331</v>
      </c>
      <c r="J810" s="3"/>
    </row>
    <row r="811" spans="2:10" x14ac:dyDescent="0.25">
      <c r="B811" s="3">
        <f t="shared" si="103"/>
        <v>3955</v>
      </c>
      <c r="C811" s="14">
        <f t="shared" si="104"/>
        <v>65.916666666666671</v>
      </c>
      <c r="D811" s="11">
        <f t="shared" si="105"/>
        <v>959.40326408276724</v>
      </c>
      <c r="E811" s="24">
        <f t="shared" si="106"/>
        <v>414.28111843959698</v>
      </c>
      <c r="F811" s="38">
        <f t="shared" si="101"/>
        <v>0.98492569896070126</v>
      </c>
      <c r="G811" s="14">
        <f t="shared" si="102"/>
        <v>0</v>
      </c>
      <c r="H811" s="24">
        <f t="shared" si="100"/>
        <v>613.03430592627024</v>
      </c>
      <c r="I811" s="12">
        <f t="shared" si="107"/>
        <v>0.45595017326603865</v>
      </c>
      <c r="J811" s="3"/>
    </row>
    <row r="812" spans="2:10" x14ac:dyDescent="0.25">
      <c r="B812" s="3">
        <f t="shared" si="103"/>
        <v>3960</v>
      </c>
      <c r="C812" s="14">
        <f t="shared" si="104"/>
        <v>66</v>
      </c>
      <c r="D812" s="11">
        <f t="shared" si="105"/>
        <v>959.59220685213904</v>
      </c>
      <c r="E812" s="24">
        <f t="shared" si="106"/>
        <v>414.73706861286303</v>
      </c>
      <c r="F812" s="38">
        <f t="shared" si="101"/>
        <v>0.98454765461416327</v>
      </c>
      <c r="G812" s="14">
        <f t="shared" si="102"/>
        <v>0</v>
      </c>
      <c r="H812" s="24">
        <f t="shared" si="100"/>
        <v>613.26969743068673</v>
      </c>
      <c r="I812" s="12">
        <f t="shared" si="107"/>
        <v>0.45561247091636925</v>
      </c>
      <c r="J812" s="3"/>
    </row>
    <row r="813" spans="2:10" x14ac:dyDescent="0.25">
      <c r="B813" s="3">
        <f t="shared" si="103"/>
        <v>3965</v>
      </c>
      <c r="C813" s="14">
        <f t="shared" si="104"/>
        <v>66.083333333333329</v>
      </c>
      <c r="D813" s="11">
        <f t="shared" si="105"/>
        <v>959.78091165826231</v>
      </c>
      <c r="E813" s="24">
        <f t="shared" si="106"/>
        <v>415.19268108377941</v>
      </c>
      <c r="F813" s="38">
        <f t="shared" si="101"/>
        <v>0.98416946573149011</v>
      </c>
      <c r="G813" s="14">
        <f t="shared" si="102"/>
        <v>0</v>
      </c>
      <c r="H813" s="24">
        <f t="shared" si="100"/>
        <v>613.50535987473143</v>
      </c>
      <c r="I813" s="12">
        <f t="shared" si="107"/>
        <v>0.4552748322475148</v>
      </c>
      <c r="J813" s="3"/>
    </row>
    <row r="814" spans="2:10" x14ac:dyDescent="0.25">
      <c r="B814" s="3">
        <f t="shared" si="103"/>
        <v>3970</v>
      </c>
      <c r="C814" s="14">
        <f t="shared" si="104"/>
        <v>66.166666666666671</v>
      </c>
      <c r="D814" s="11">
        <f t="shared" si="105"/>
        <v>959.96937909978703</v>
      </c>
      <c r="E814" s="24">
        <f t="shared" si="106"/>
        <v>415.64795591602694</v>
      </c>
      <c r="F814" s="38">
        <f t="shared" si="101"/>
        <v>0.98379113249654837</v>
      </c>
      <c r="G814" s="14">
        <f t="shared" si="102"/>
        <v>0</v>
      </c>
      <c r="H814" s="24">
        <f t="shared" si="100"/>
        <v>613.74129356003175</v>
      </c>
      <c r="I814" s="12">
        <f t="shared" si="107"/>
        <v>0.45493725809050894</v>
      </c>
      <c r="J814" s="3"/>
    </row>
    <row r="815" spans="2:10" x14ac:dyDescent="0.25">
      <c r="B815" s="3">
        <f t="shared" si="103"/>
        <v>3975</v>
      </c>
      <c r="C815" s="14">
        <f t="shared" si="104"/>
        <v>66.25</v>
      </c>
      <c r="D815" s="11">
        <f t="shared" si="105"/>
        <v>960.15760977310686</v>
      </c>
      <c r="E815" s="24">
        <f t="shared" si="106"/>
        <v>416.10289317411747</v>
      </c>
      <c r="F815" s="38">
        <f t="shared" si="101"/>
        <v>0.98341265510074083</v>
      </c>
      <c r="G815" s="14">
        <f t="shared" si="102"/>
        <v>0</v>
      </c>
      <c r="H815" s="24">
        <f t="shared" si="100"/>
        <v>613.97749878403533</v>
      </c>
      <c r="I815" s="12">
        <f t="shared" si="107"/>
        <v>0.45459974927411745</v>
      </c>
      <c r="J815" s="3"/>
    </row>
    <row r="816" spans="2:10" x14ac:dyDescent="0.25">
      <c r="B816" s="3">
        <f t="shared" si="103"/>
        <v>3980</v>
      </c>
      <c r="C816" s="14">
        <f t="shared" si="104"/>
        <v>66.333333333333329</v>
      </c>
      <c r="D816" s="11">
        <f t="shared" si="105"/>
        <v>960.34560427237034</v>
      </c>
      <c r="E816" s="24">
        <f t="shared" si="106"/>
        <v>416.55749292339158</v>
      </c>
      <c r="F816" s="38">
        <f t="shared" si="101"/>
        <v>0.98303403374296139</v>
      </c>
      <c r="G816" s="14">
        <f t="shared" si="102"/>
        <v>0</v>
      </c>
      <c r="H816" s="24">
        <f t="shared" si="100"/>
        <v>614.21397584002352</v>
      </c>
      <c r="I816" s="12">
        <f t="shared" si="107"/>
        <v>0.45426230662485995</v>
      </c>
      <c r="J816" s="3"/>
    </row>
    <row r="817" spans="2:10" x14ac:dyDescent="0.25">
      <c r="B817" s="3">
        <f t="shared" si="103"/>
        <v>3985</v>
      </c>
      <c r="C817" s="14">
        <f t="shared" si="104"/>
        <v>66.416666666666671</v>
      </c>
      <c r="D817" s="11">
        <f t="shared" si="105"/>
        <v>960.53336318949289</v>
      </c>
      <c r="E817" s="24">
        <f t="shared" si="106"/>
        <v>417.01175523001643</v>
      </c>
      <c r="F817" s="38">
        <f t="shared" si="101"/>
        <v>0.98265526862954033</v>
      </c>
      <c r="G817" s="14">
        <f t="shared" si="102"/>
        <v>0</v>
      </c>
      <c r="H817" s="24">
        <f t="shared" si="100"/>
        <v>614.45072501712627</v>
      </c>
      <c r="I817" s="12">
        <f t="shared" si="107"/>
        <v>0.45392493096693548</v>
      </c>
      <c r="J817" s="3"/>
    </row>
    <row r="818" spans="2:10" x14ac:dyDescent="0.25">
      <c r="B818" s="3">
        <f t="shared" si="103"/>
        <v>3990</v>
      </c>
      <c r="C818" s="14">
        <f t="shared" si="104"/>
        <v>66.5</v>
      </c>
      <c r="D818" s="11">
        <f t="shared" si="105"/>
        <v>960.72088711416734</v>
      </c>
      <c r="E818" s="24">
        <f t="shared" si="106"/>
        <v>417.46568016098337</v>
      </c>
      <c r="F818" s="38">
        <f t="shared" si="101"/>
        <v>0.98227635997419649</v>
      </c>
      <c r="G818" s="14">
        <f t="shared" si="102"/>
        <v>0</v>
      </c>
      <c r="H818" s="24">
        <f t="shared" si="100"/>
        <v>614.68774660033694</v>
      </c>
      <c r="I818" s="12">
        <f t="shared" si="107"/>
        <v>0.45358762312235928</v>
      </c>
      <c r="J818" s="3"/>
    </row>
    <row r="819" spans="2:10" x14ac:dyDescent="0.25">
      <c r="B819" s="3">
        <f t="shared" si="103"/>
        <v>3995</v>
      </c>
      <c r="C819" s="14">
        <f t="shared" si="104"/>
        <v>66.583333333333329</v>
      </c>
      <c r="D819" s="11">
        <f t="shared" si="105"/>
        <v>960.90817663387486</v>
      </c>
      <c r="E819" s="24">
        <f t="shared" si="106"/>
        <v>417.91926778410573</v>
      </c>
      <c r="F819" s="38">
        <f t="shared" si="101"/>
        <v>0.98189730799798414</v>
      </c>
      <c r="G819" s="14">
        <f t="shared" si="102"/>
        <v>0</v>
      </c>
      <c r="H819" s="24">
        <f t="shared" si="100"/>
        <v>614.92504087052635</v>
      </c>
      <c r="I819" s="12">
        <f t="shared" si="107"/>
        <v>0.45325038391092498</v>
      </c>
      <c r="J819" s="3"/>
    </row>
    <row r="820" spans="2:10" x14ac:dyDescent="0.25">
      <c r="B820" s="3">
        <f t="shared" si="103"/>
        <v>4000</v>
      </c>
      <c r="C820" s="14">
        <f t="shared" si="104"/>
        <v>66.666666666666671</v>
      </c>
      <c r="D820" s="11">
        <f t="shared" si="105"/>
        <v>961.09523233389643</v>
      </c>
      <c r="E820" s="24">
        <f t="shared" si="106"/>
        <v>418.37251816801665</v>
      </c>
      <c r="F820" s="38">
        <f t="shared" si="101"/>
        <v>0.98151811292924451</v>
      </c>
      <c r="G820" s="14">
        <f t="shared" si="102"/>
        <v>0</v>
      </c>
      <c r="H820" s="24">
        <f t="shared" si="100"/>
        <v>615.16260810445817</v>
      </c>
      <c r="I820" s="12">
        <f t="shared" si="107"/>
        <v>0.45291321415014058</v>
      </c>
      <c r="J820" s="3"/>
    </row>
    <row r="821" spans="2:10" x14ac:dyDescent="0.25">
      <c r="B821" s="3">
        <f t="shared" si="103"/>
        <v>4005</v>
      </c>
      <c r="C821" s="14">
        <f t="shared" si="104"/>
        <v>66.75</v>
      </c>
      <c r="D821" s="11">
        <f t="shared" si="105"/>
        <v>961.28205479732367</v>
      </c>
      <c r="E821" s="24">
        <f t="shared" si="106"/>
        <v>418.82543138216681</v>
      </c>
      <c r="F821" s="38">
        <f t="shared" si="101"/>
        <v>0.98113877500355506</v>
      </c>
      <c r="G821" s="14">
        <f t="shared" si="102"/>
        <v>0</v>
      </c>
      <c r="H821" s="24">
        <f t="shared" si="100"/>
        <v>615.40044857480257</v>
      </c>
      <c r="I821" s="12">
        <f t="shared" si="107"/>
        <v>0.45257611465529651</v>
      </c>
      <c r="J821" s="3"/>
    </row>
    <row r="822" spans="2:10" x14ac:dyDescent="0.25">
      <c r="B822" s="3">
        <f t="shared" si="103"/>
        <v>4010</v>
      </c>
      <c r="C822" s="14">
        <f t="shared" si="104"/>
        <v>66.833333333333329</v>
      </c>
      <c r="D822" s="11">
        <f t="shared" si="105"/>
        <v>961.46864460507027</v>
      </c>
      <c r="E822" s="24">
        <f t="shared" si="106"/>
        <v>419.27800749682211</v>
      </c>
      <c r="F822" s="38">
        <f t="shared" si="101"/>
        <v>0.98075929446367915</v>
      </c>
      <c r="G822" s="14">
        <f t="shared" si="102"/>
        <v>0</v>
      </c>
      <c r="H822" s="24">
        <f t="shared" si="100"/>
        <v>615.63856255015151</v>
      </c>
      <c r="I822" s="12">
        <f t="shared" si="107"/>
        <v>0.45223908623939174</v>
      </c>
      <c r="J822" s="3"/>
    </row>
    <row r="823" spans="2:10" x14ac:dyDescent="0.25">
      <c r="B823" s="3">
        <f t="shared" si="103"/>
        <v>4015</v>
      </c>
      <c r="C823" s="14">
        <f t="shared" si="104"/>
        <v>66.916666666666671</v>
      </c>
      <c r="D823" s="11">
        <f t="shared" si="105"/>
        <v>961.65500233588148</v>
      </c>
      <c r="E823" s="24">
        <f t="shared" si="106"/>
        <v>419.7302465830615</v>
      </c>
      <c r="F823" s="38">
        <f t="shared" si="101"/>
        <v>0.98037967155951522</v>
      </c>
      <c r="G823" s="14">
        <f t="shared" si="102"/>
        <v>0</v>
      </c>
      <c r="H823" s="24">
        <f t="shared" ref="H823:H886" si="108">IF(E823&lt;600,425+0.773*E823-1.69/1000*E823^2+2.22/1000^2*E823^3,IF(E823&lt;735,666+13002/(738-E823),IF(E823&lt;900,545+17820/(E823-731),650)))</f>
        <v>615.87695029503277</v>
      </c>
      <c r="I823" s="12">
        <f t="shared" si="107"/>
        <v>0.45190212971333943</v>
      </c>
      <c r="J823" s="3"/>
    </row>
    <row r="824" spans="2:10" x14ac:dyDescent="0.25">
      <c r="B824" s="3">
        <f t="shared" si="103"/>
        <v>4020</v>
      </c>
      <c r="C824" s="14">
        <f t="shared" si="104"/>
        <v>67</v>
      </c>
      <c r="D824" s="11">
        <f t="shared" si="105"/>
        <v>961.84112856634658</v>
      </c>
      <c r="E824" s="24">
        <f t="shared" si="106"/>
        <v>420.18214871277485</v>
      </c>
      <c r="F824" s="38">
        <f t="shared" si="101"/>
        <v>0.97999990654804858</v>
      </c>
      <c r="G824" s="14">
        <f t="shared" si="102"/>
        <v>0</v>
      </c>
      <c r="H824" s="24">
        <f t="shared" si="108"/>
        <v>616.11561206992474</v>
      </c>
      <c r="I824" s="12">
        <f t="shared" si="107"/>
        <v>0.45156524588564917</v>
      </c>
      <c r="J824" s="3"/>
    </row>
    <row r="825" spans="2:10" x14ac:dyDescent="0.25">
      <c r="B825" s="3">
        <f t="shared" si="103"/>
        <v>4025</v>
      </c>
      <c r="C825" s="14">
        <f t="shared" si="104"/>
        <v>67.083333333333329</v>
      </c>
      <c r="D825" s="11">
        <f t="shared" si="105"/>
        <v>962.02702387090812</v>
      </c>
      <c r="E825" s="24">
        <f t="shared" si="106"/>
        <v>420.63371395866051</v>
      </c>
      <c r="F825" s="38">
        <f t="shared" si="101"/>
        <v>0.97961999969330038</v>
      </c>
      <c r="G825" s="14">
        <f t="shared" si="102"/>
        <v>0</v>
      </c>
      <c r="H825" s="24">
        <f t="shared" si="108"/>
        <v>616.35454813127103</v>
      </c>
      <c r="I825" s="12">
        <f t="shared" si="107"/>
        <v>0.4512284355627601</v>
      </c>
      <c r="J825" s="3"/>
    </row>
    <row r="826" spans="2:10" x14ac:dyDescent="0.25">
      <c r="B826" s="3">
        <f t="shared" si="103"/>
        <v>4030</v>
      </c>
      <c r="C826" s="14">
        <f t="shared" si="104"/>
        <v>67.166666666666671</v>
      </c>
      <c r="D826" s="11">
        <f t="shared" si="105"/>
        <v>962.21268882187326</v>
      </c>
      <c r="E826" s="24">
        <f t="shared" si="106"/>
        <v>421.08494239422328</v>
      </c>
      <c r="F826" s="38">
        <f t="shared" si="101"/>
        <v>0.97923995126627739</v>
      </c>
      <c r="G826" s="14">
        <f t="shared" si="102"/>
        <v>0</v>
      </c>
      <c r="H826" s="24">
        <f t="shared" si="108"/>
        <v>616.5937587314952</v>
      </c>
      <c r="I826" s="12">
        <f t="shared" si="107"/>
        <v>0.45089169954881686</v>
      </c>
      <c r="J826" s="3"/>
    </row>
    <row r="827" spans="2:10" x14ac:dyDescent="0.25">
      <c r="B827" s="3">
        <f t="shared" si="103"/>
        <v>4035</v>
      </c>
      <c r="C827" s="14">
        <f t="shared" si="104"/>
        <v>67.25</v>
      </c>
      <c r="D827" s="11">
        <f t="shared" si="105"/>
        <v>962.3981239894249</v>
      </c>
      <c r="E827" s="24">
        <f t="shared" si="106"/>
        <v>421.53583409377211</v>
      </c>
      <c r="F827" s="38">
        <f t="shared" si="101"/>
        <v>0.97885976154492327</v>
      </c>
      <c r="G827" s="14">
        <f t="shared" si="102"/>
        <v>0</v>
      </c>
      <c r="H827" s="24">
        <f t="shared" si="108"/>
        <v>616.83324411901458</v>
      </c>
      <c r="I827" s="12">
        <f t="shared" si="107"/>
        <v>0.45055503864568847</v>
      </c>
      <c r="J827" s="3"/>
    </row>
    <row r="828" spans="2:10" x14ac:dyDescent="0.25">
      <c r="B828" s="3">
        <f t="shared" si="103"/>
        <v>4040</v>
      </c>
      <c r="C828" s="14">
        <f t="shared" si="104"/>
        <v>67.333333333333329</v>
      </c>
      <c r="D828" s="11">
        <f t="shared" si="105"/>
        <v>962.58332994163027</v>
      </c>
      <c r="E828" s="24">
        <f t="shared" si="106"/>
        <v>421.9863891324178</v>
      </c>
      <c r="F828" s="38">
        <f t="shared" si="101"/>
        <v>0.97847943081406941</v>
      </c>
      <c r="G828" s="14">
        <f t="shared" si="102"/>
        <v>0</v>
      </c>
      <c r="H828" s="24">
        <f t="shared" si="108"/>
        <v>617.07300453825565</v>
      </c>
      <c r="I828" s="12">
        <f t="shared" si="107"/>
        <v>0.45021845365323271</v>
      </c>
      <c r="J828" s="3"/>
    </row>
    <row r="829" spans="2:10" x14ac:dyDescent="0.25">
      <c r="B829" s="3">
        <f t="shared" si="103"/>
        <v>4045</v>
      </c>
      <c r="C829" s="14">
        <f t="shared" si="104"/>
        <v>67.416666666666671</v>
      </c>
      <c r="D829" s="11">
        <f t="shared" si="105"/>
        <v>962.76830724445392</v>
      </c>
      <c r="E829" s="24">
        <f t="shared" si="106"/>
        <v>422.43660758607103</v>
      </c>
      <c r="F829" s="38">
        <f t="shared" si="101"/>
        <v>0.9780989593653846</v>
      </c>
      <c r="G829" s="14">
        <f t="shared" si="102"/>
        <v>0</v>
      </c>
      <c r="H829" s="24">
        <f t="shared" si="108"/>
        <v>617.3130402296681</v>
      </c>
      <c r="I829" s="12">
        <f t="shared" si="107"/>
        <v>0.44988194536882592</v>
      </c>
      <c r="J829" s="3"/>
    </row>
    <row r="830" spans="2:10" x14ac:dyDescent="0.25">
      <c r="B830" s="3">
        <f t="shared" si="103"/>
        <v>4050</v>
      </c>
      <c r="C830" s="14">
        <f t="shared" si="104"/>
        <v>67.5</v>
      </c>
      <c r="D830" s="11">
        <f t="shared" si="105"/>
        <v>962.95305646176621</v>
      </c>
      <c r="E830" s="24">
        <f t="shared" si="106"/>
        <v>422.88648953143985</v>
      </c>
      <c r="F830" s="38">
        <f t="shared" si="101"/>
        <v>0.97771834749732556</v>
      </c>
      <c r="G830" s="14">
        <f t="shared" si="102"/>
        <v>0</v>
      </c>
      <c r="H830" s="24">
        <f t="shared" si="108"/>
        <v>617.55335142973956</v>
      </c>
      <c r="I830" s="12">
        <f t="shared" si="107"/>
        <v>0.44954551458783731</v>
      </c>
      <c r="J830" s="3"/>
    </row>
    <row r="831" spans="2:10" x14ac:dyDescent="0.25">
      <c r="B831" s="3">
        <f t="shared" si="103"/>
        <v>4055</v>
      </c>
      <c r="C831" s="14">
        <f t="shared" si="104"/>
        <v>67.583333333333329</v>
      </c>
      <c r="D831" s="11">
        <f t="shared" si="105"/>
        <v>963.13757815535439</v>
      </c>
      <c r="E831" s="24">
        <f t="shared" si="106"/>
        <v>423.33603504602769</v>
      </c>
      <c r="F831" s="38">
        <f t="shared" si="101"/>
        <v>0.97733759551508914</v>
      </c>
      <c r="G831" s="14">
        <f t="shared" si="102"/>
        <v>0</v>
      </c>
      <c r="H831" s="24">
        <f t="shared" si="108"/>
        <v>617.79393837100997</v>
      </c>
      <c r="I831" s="12">
        <f t="shared" si="107"/>
        <v>0.44920916210334511</v>
      </c>
      <c r="J831" s="3"/>
    </row>
    <row r="832" spans="2:10" x14ac:dyDescent="0.25">
      <c r="B832" s="3">
        <f t="shared" si="103"/>
        <v>4060</v>
      </c>
      <c r="C832" s="14">
        <f t="shared" si="104"/>
        <v>67.666666666666671</v>
      </c>
      <c r="D832" s="11">
        <f t="shared" si="105"/>
        <v>963.32187288493265</v>
      </c>
      <c r="E832" s="24">
        <f t="shared" si="106"/>
        <v>423.78524420813102</v>
      </c>
      <c r="F832" s="38">
        <f t="shared" si="101"/>
        <v>0.97695670373056243</v>
      </c>
      <c r="G832" s="14">
        <f t="shared" si="102"/>
        <v>0</v>
      </c>
      <c r="H832" s="24">
        <f t="shared" si="108"/>
        <v>618.03480128208616</v>
      </c>
      <c r="I832" s="12">
        <f t="shared" si="107"/>
        <v>0.44887288870624936</v>
      </c>
      <c r="J832" s="3"/>
    </row>
    <row r="833" spans="2:10" x14ac:dyDescent="0.25">
      <c r="B833" s="3">
        <f t="shared" si="103"/>
        <v>4065</v>
      </c>
      <c r="C833" s="14">
        <f t="shared" si="104"/>
        <v>67.75</v>
      </c>
      <c r="D833" s="11">
        <f t="shared" si="105"/>
        <v>963.50594120815208</v>
      </c>
      <c r="E833" s="24">
        <f t="shared" si="106"/>
        <v>424.23411709683728</v>
      </c>
      <c r="F833" s="38">
        <f t="shared" si="101"/>
        <v>0.9765756724622735</v>
      </c>
      <c r="G833" s="14">
        <f t="shared" si="102"/>
        <v>0</v>
      </c>
      <c r="H833" s="24">
        <f t="shared" si="108"/>
        <v>618.27594038765642</v>
      </c>
      <c r="I833" s="12">
        <f t="shared" si="107"/>
        <v>0.44853669518526729</v>
      </c>
      <c r="J833" s="3"/>
    </row>
    <row r="834" spans="2:10" x14ac:dyDescent="0.25">
      <c r="B834" s="3">
        <f t="shared" si="103"/>
        <v>4070</v>
      </c>
      <c r="C834" s="14">
        <f t="shared" si="104"/>
        <v>67.833333333333329</v>
      </c>
      <c r="D834" s="11">
        <f t="shared" si="105"/>
        <v>963.68978368061153</v>
      </c>
      <c r="E834" s="24">
        <f t="shared" si="106"/>
        <v>424.68265379202256</v>
      </c>
      <c r="F834" s="38">
        <f t="shared" si="101"/>
        <v>0.97619450203534297</v>
      </c>
      <c r="G834" s="14">
        <f t="shared" si="102"/>
        <v>0</v>
      </c>
      <c r="H834" s="24">
        <f t="shared" si="108"/>
        <v>618.51735590850524</v>
      </c>
      <c r="I834" s="12">
        <f t="shared" si="107"/>
        <v>0.44820058232684901</v>
      </c>
      <c r="J834" s="3"/>
    </row>
    <row r="835" spans="2:10" x14ac:dyDescent="0.25">
      <c r="B835" s="3">
        <f t="shared" si="103"/>
        <v>4075</v>
      </c>
      <c r="C835" s="14">
        <f t="shared" si="104"/>
        <v>67.916666666666671</v>
      </c>
      <c r="D835" s="11">
        <f t="shared" si="105"/>
        <v>963.87340085586686</v>
      </c>
      <c r="E835" s="24">
        <f t="shared" si="106"/>
        <v>425.13085437434944</v>
      </c>
      <c r="F835" s="38">
        <f t="shared" si="101"/>
        <v>0.97581319278143541</v>
      </c>
      <c r="G835" s="14">
        <f t="shared" si="102"/>
        <v>0</v>
      </c>
      <c r="H835" s="24">
        <f t="shared" si="108"/>
        <v>618.75904806152687</v>
      </c>
      <c r="I835" s="12">
        <f t="shared" si="107"/>
        <v>0.44786455091532429</v>
      </c>
      <c r="J835" s="3"/>
    </row>
    <row r="836" spans="2:10" x14ac:dyDescent="0.25">
      <c r="B836" s="3">
        <f t="shared" si="103"/>
        <v>4080</v>
      </c>
      <c r="C836" s="14">
        <f t="shared" si="104"/>
        <v>68</v>
      </c>
      <c r="D836" s="11">
        <f t="shared" si="105"/>
        <v>964.05679328544147</v>
      </c>
      <c r="E836" s="24">
        <f t="shared" si="106"/>
        <v>425.57871892526475</v>
      </c>
      <c r="F836" s="38">
        <f t="shared" si="101"/>
        <v>0.97543174503871111</v>
      </c>
      <c r="G836" s="14">
        <f t="shared" si="102"/>
        <v>0</v>
      </c>
      <c r="H836" s="24">
        <f t="shared" si="108"/>
        <v>619.001017059741</v>
      </c>
      <c r="I836" s="12">
        <f t="shared" si="107"/>
        <v>0.44752860173278208</v>
      </c>
      <c r="J836" s="3"/>
    </row>
    <row r="837" spans="2:10" x14ac:dyDescent="0.25">
      <c r="B837" s="3">
        <f t="shared" si="103"/>
        <v>4085</v>
      </c>
      <c r="C837" s="14">
        <f t="shared" si="104"/>
        <v>68.083333333333329</v>
      </c>
      <c r="D837" s="11">
        <f t="shared" si="105"/>
        <v>964.23996151883614</v>
      </c>
      <c r="E837" s="24">
        <f t="shared" si="106"/>
        <v>426.02624752699751</v>
      </c>
      <c r="F837" s="38">
        <f t="shared" si="101"/>
        <v>0.97505015915177673</v>
      </c>
      <c r="G837" s="14">
        <f t="shared" si="102"/>
        <v>0</v>
      </c>
      <c r="H837" s="24">
        <f t="shared" si="108"/>
        <v>619.24326311230675</v>
      </c>
      <c r="I837" s="12">
        <f t="shared" si="107"/>
        <v>0.44719273555912487</v>
      </c>
      <c r="J837" s="3"/>
    </row>
    <row r="838" spans="2:10" x14ac:dyDescent="0.25">
      <c r="B838" s="3">
        <f t="shared" si="103"/>
        <v>4090</v>
      </c>
      <c r="C838" s="14">
        <f t="shared" si="104"/>
        <v>68.166666666666671</v>
      </c>
      <c r="D838" s="11">
        <f t="shared" si="105"/>
        <v>964.42290610353859</v>
      </c>
      <c r="E838" s="24">
        <f t="shared" si="106"/>
        <v>426.47344026255661</v>
      </c>
      <c r="F838" s="38">
        <f t="shared" si="101"/>
        <v>0.97466843547163706</v>
      </c>
      <c r="G838" s="14">
        <f t="shared" si="102"/>
        <v>0</v>
      </c>
      <c r="H838" s="24">
        <f t="shared" si="108"/>
        <v>619.48578642453685</v>
      </c>
      <c r="I838" s="12">
        <f t="shared" si="107"/>
        <v>0.44685695317209972</v>
      </c>
      <c r="J838" s="3"/>
    </row>
    <row r="839" spans="2:10" x14ac:dyDescent="0.25">
      <c r="B839" s="3">
        <f t="shared" si="103"/>
        <v>4095</v>
      </c>
      <c r="C839" s="14">
        <f t="shared" si="104"/>
        <v>68.25</v>
      </c>
      <c r="D839" s="11">
        <f t="shared" si="105"/>
        <v>964.60562758503352</v>
      </c>
      <c r="E839" s="24">
        <f t="shared" si="106"/>
        <v>426.92029721572868</v>
      </c>
      <c r="F839" s="38">
        <f t="shared" si="101"/>
        <v>0.97428657435564847</v>
      </c>
      <c r="G839" s="14">
        <f t="shared" si="102"/>
        <v>0</v>
      </c>
      <c r="H839" s="24">
        <f t="shared" si="108"/>
        <v>619.7285871979127</v>
      </c>
      <c r="I839" s="12">
        <f t="shared" si="107"/>
        <v>0.44652125534724729</v>
      </c>
      <c r="J839" s="3"/>
    </row>
    <row r="840" spans="2:10" x14ac:dyDescent="0.25">
      <c r="B840" s="3">
        <f t="shared" si="103"/>
        <v>4100</v>
      </c>
      <c r="C840" s="14">
        <f t="shared" si="104"/>
        <v>68.333333333333329</v>
      </c>
      <c r="D840" s="11">
        <f t="shared" si="105"/>
        <v>964.78812650681277</v>
      </c>
      <c r="E840" s="24">
        <f t="shared" si="106"/>
        <v>427.36681847107593</v>
      </c>
      <c r="F840" s="38">
        <f t="shared" si="101"/>
        <v>0.97390457616746806</v>
      </c>
      <c r="G840" s="14">
        <f t="shared" si="102"/>
        <v>0</v>
      </c>
      <c r="H840" s="24">
        <f t="shared" si="108"/>
        <v>619.9716656300983</v>
      </c>
      <c r="I840" s="12">
        <f t="shared" si="107"/>
        <v>0.44618564285787515</v>
      </c>
      <c r="J840" s="3"/>
    </row>
    <row r="841" spans="2:10" x14ac:dyDescent="0.25">
      <c r="B841" s="3">
        <f t="shared" si="103"/>
        <v>4105</v>
      </c>
      <c r="C841" s="14">
        <f t="shared" si="104"/>
        <v>68.416666666666671</v>
      </c>
      <c r="D841" s="11">
        <f t="shared" si="105"/>
        <v>964.97040341038394</v>
      </c>
      <c r="E841" s="24">
        <f t="shared" si="106"/>
        <v>427.8130041139338</v>
      </c>
      <c r="F841" s="38">
        <f t="shared" si="101"/>
        <v>0.97352244127700838</v>
      </c>
      <c r="G841" s="14">
        <f t="shared" si="102"/>
        <v>0</v>
      </c>
      <c r="H841" s="24">
        <f t="shared" si="108"/>
        <v>620.21502191495495</v>
      </c>
      <c r="I841" s="12">
        <f t="shared" si="107"/>
        <v>0.44585011647522765</v>
      </c>
      <c r="J841" s="3"/>
    </row>
    <row r="842" spans="2:10" x14ac:dyDescent="0.25">
      <c r="B842" s="3">
        <f t="shared" si="103"/>
        <v>4110</v>
      </c>
      <c r="C842" s="14">
        <f t="shared" si="104"/>
        <v>68.5</v>
      </c>
      <c r="D842" s="11">
        <f t="shared" si="105"/>
        <v>965.15245883528155</v>
      </c>
      <c r="E842" s="24">
        <f t="shared" si="106"/>
        <v>428.25885423040904</v>
      </c>
      <c r="F842" s="38">
        <f t="shared" si="101"/>
        <v>0.97314017006038744</v>
      </c>
      <c r="G842" s="14">
        <f t="shared" si="102"/>
        <v>0</v>
      </c>
      <c r="H842" s="24">
        <f t="shared" si="108"/>
        <v>620.45865624255578</v>
      </c>
      <c r="I842" s="12">
        <f t="shared" si="107"/>
        <v>0.4455146769682034</v>
      </c>
      <c r="J842" s="3"/>
    </row>
    <row r="843" spans="2:10" x14ac:dyDescent="0.25">
      <c r="B843" s="3">
        <f t="shared" si="103"/>
        <v>4115</v>
      </c>
      <c r="C843" s="14">
        <f t="shared" si="104"/>
        <v>68.583333333333329</v>
      </c>
      <c r="D843" s="11">
        <f t="shared" si="105"/>
        <v>965.3342933190753</v>
      </c>
      <c r="E843" s="24">
        <f t="shared" si="106"/>
        <v>428.70436890737727</v>
      </c>
      <c r="F843" s="38">
        <f t="shared" si="101"/>
        <v>0.97275776289988203</v>
      </c>
      <c r="G843" s="14">
        <f t="shared" si="102"/>
        <v>0</v>
      </c>
      <c r="H843" s="24">
        <f t="shared" si="108"/>
        <v>620.70256879920021</v>
      </c>
      <c r="I843" s="12">
        <f t="shared" si="107"/>
        <v>0.44517932510366465</v>
      </c>
      <c r="J843" s="3"/>
    </row>
    <row r="844" spans="2:10" x14ac:dyDescent="0.25">
      <c r="B844" s="3">
        <f t="shared" si="103"/>
        <v>4120</v>
      </c>
      <c r="C844" s="14">
        <f t="shared" si="104"/>
        <v>68.666666666666671</v>
      </c>
      <c r="D844" s="11">
        <f t="shared" si="105"/>
        <v>965.51590739738026</v>
      </c>
      <c r="E844" s="24">
        <f t="shared" si="106"/>
        <v>429.14954823248092</v>
      </c>
      <c r="F844" s="38">
        <f t="shared" si="101"/>
        <v>0.97237522018388067</v>
      </c>
      <c r="G844" s="14">
        <f t="shared" si="102"/>
        <v>0</v>
      </c>
      <c r="H844" s="24">
        <f t="shared" si="108"/>
        <v>620.94675976742803</v>
      </c>
      <c r="I844" s="12">
        <f t="shared" si="107"/>
        <v>0.4448440616462242</v>
      </c>
      <c r="J844" s="3"/>
    </row>
    <row r="845" spans="2:10" x14ac:dyDescent="0.25">
      <c r="B845" s="3">
        <f t="shared" si="103"/>
        <v>4125</v>
      </c>
      <c r="C845" s="14">
        <f t="shared" si="104"/>
        <v>68.75</v>
      </c>
      <c r="D845" s="11">
        <f t="shared" si="105"/>
        <v>965.69730160386575</v>
      </c>
      <c r="E845" s="24">
        <f t="shared" si="106"/>
        <v>429.59439229412715</v>
      </c>
      <c r="F845" s="38">
        <f t="shared" si="101"/>
        <v>0.97199254230683496</v>
      </c>
      <c r="G845" s="14">
        <f t="shared" si="102"/>
        <v>0</v>
      </c>
      <c r="H845" s="24">
        <f t="shared" si="108"/>
        <v>621.1912293260342</v>
      </c>
      <c r="I845" s="12">
        <f t="shared" si="107"/>
        <v>0.4445088873583799</v>
      </c>
      <c r="J845" s="3"/>
    </row>
    <row r="846" spans="2:10" x14ac:dyDescent="0.25">
      <c r="B846" s="3">
        <f t="shared" si="103"/>
        <v>4130</v>
      </c>
      <c r="C846" s="14">
        <f t="shared" si="104"/>
        <v>68.833333333333329</v>
      </c>
      <c r="D846" s="11">
        <f t="shared" si="105"/>
        <v>965.8784764702657</v>
      </c>
      <c r="E846" s="24">
        <f t="shared" si="106"/>
        <v>430.03890118148553</v>
      </c>
      <c r="F846" s="38">
        <f t="shared" si="101"/>
        <v>0.97160972966921233</v>
      </c>
      <c r="G846" s="14">
        <f t="shared" si="102"/>
        <v>0</v>
      </c>
      <c r="H846" s="24">
        <f t="shared" si="108"/>
        <v>621.43597765008326</v>
      </c>
      <c r="I846" s="12">
        <f t="shared" si="107"/>
        <v>0.44417380300036152</v>
      </c>
      <c r="J846" s="3"/>
    </row>
    <row r="847" spans="2:10" x14ac:dyDescent="0.25">
      <c r="B847" s="3">
        <f t="shared" si="103"/>
        <v>4135</v>
      </c>
      <c r="C847" s="14">
        <f t="shared" si="104"/>
        <v>68.916666666666671</v>
      </c>
      <c r="D847" s="11">
        <f t="shared" si="105"/>
        <v>966.05943252638758</v>
      </c>
      <c r="E847" s="24">
        <f t="shared" si="106"/>
        <v>430.48307498448588</v>
      </c>
      <c r="F847" s="38">
        <f t="shared" si="101"/>
        <v>0.97122678267745044</v>
      </c>
      <c r="G847" s="14">
        <f t="shared" si="102"/>
        <v>0</v>
      </c>
      <c r="H847" s="24">
        <f t="shared" si="108"/>
        <v>621.68100491092321</v>
      </c>
      <c r="I847" s="12">
        <f t="shared" si="107"/>
        <v>0.44383880933026482</v>
      </c>
      <c r="J847" s="3"/>
    </row>
    <row r="848" spans="2:10" x14ac:dyDescent="0.25">
      <c r="B848" s="3">
        <f t="shared" si="103"/>
        <v>4140</v>
      </c>
      <c r="C848" s="14">
        <f t="shared" si="104"/>
        <v>69</v>
      </c>
      <c r="D848" s="11">
        <f t="shared" si="105"/>
        <v>966.24017030012078</v>
      </c>
      <c r="E848" s="24">
        <f t="shared" si="106"/>
        <v>430.92691379381614</v>
      </c>
      <c r="F848" s="38">
        <f t="shared" si="101"/>
        <v>0.97084370174390677</v>
      </c>
      <c r="G848" s="14">
        <f t="shared" si="102"/>
        <v>0</v>
      </c>
      <c r="H848" s="24">
        <f t="shared" si="108"/>
        <v>621.92631127620086</v>
      </c>
      <c r="I848" s="12">
        <f t="shared" si="107"/>
        <v>0.44350390710411619</v>
      </c>
      <c r="J848" s="3"/>
    </row>
    <row r="849" spans="2:10" x14ac:dyDescent="0.25">
      <c r="B849" s="3">
        <f t="shared" si="103"/>
        <v>4145</v>
      </c>
      <c r="C849" s="14">
        <f t="shared" si="104"/>
        <v>69.083333333333329</v>
      </c>
      <c r="D849" s="11">
        <f t="shared" si="105"/>
        <v>966.42069031744745</v>
      </c>
      <c r="E849" s="24">
        <f t="shared" si="106"/>
        <v>431.37041770092026</v>
      </c>
      <c r="F849" s="38">
        <f t="shared" si="101"/>
        <v>0.97046048728681633</v>
      </c>
      <c r="G849" s="14">
        <f t="shared" si="102"/>
        <v>0</v>
      </c>
      <c r="H849" s="24">
        <f t="shared" si="108"/>
        <v>622.17189690987504</v>
      </c>
      <c r="I849" s="12">
        <f t="shared" si="107"/>
        <v>0.44316909707560365</v>
      </c>
      <c r="J849" s="3"/>
    </row>
    <row r="850" spans="2:10" x14ac:dyDescent="0.25">
      <c r="B850" s="3">
        <f t="shared" si="103"/>
        <v>4150</v>
      </c>
      <c r="C850" s="14">
        <f t="shared" si="104"/>
        <v>69.166666666666671</v>
      </c>
      <c r="D850" s="11">
        <f t="shared" si="105"/>
        <v>966.60099310245062</v>
      </c>
      <c r="E850" s="24">
        <f t="shared" si="106"/>
        <v>431.81358679799587</v>
      </c>
      <c r="F850" s="38">
        <f t="shared" si="101"/>
        <v>0.97007713973023957</v>
      </c>
      <c r="G850" s="14">
        <f t="shared" si="102"/>
        <v>0</v>
      </c>
      <c r="H850" s="24">
        <f t="shared" si="108"/>
        <v>622.41776197223226</v>
      </c>
      <c r="I850" s="12">
        <f t="shared" si="107"/>
        <v>0.44283437999636138</v>
      </c>
      <c r="J850" s="3"/>
    </row>
    <row r="851" spans="2:10" x14ac:dyDescent="0.25">
      <c r="B851" s="3">
        <f t="shared" si="103"/>
        <v>4155</v>
      </c>
      <c r="C851" s="14">
        <f t="shared" si="104"/>
        <v>69.25</v>
      </c>
      <c r="D851" s="11">
        <f t="shared" si="105"/>
        <v>966.78107917732314</v>
      </c>
      <c r="E851" s="24">
        <f t="shared" si="106"/>
        <v>432.25642117799225</v>
      </c>
      <c r="F851" s="38">
        <f t="shared" si="101"/>
        <v>0.96969365950402031</v>
      </c>
      <c r="G851" s="14">
        <f t="shared" si="102"/>
        <v>0</v>
      </c>
      <c r="H851" s="24">
        <f t="shared" si="108"/>
        <v>622.66390661989965</v>
      </c>
      <c r="I851" s="12">
        <f t="shared" si="107"/>
        <v>0.44249975661587326</v>
      </c>
      <c r="J851" s="3"/>
    </row>
    <row r="852" spans="2:10" x14ac:dyDescent="0.25">
      <c r="B852" s="3">
        <f t="shared" si="103"/>
        <v>4160</v>
      </c>
      <c r="C852" s="14">
        <f t="shared" si="104"/>
        <v>69.333333333333329</v>
      </c>
      <c r="D852" s="11">
        <f t="shared" si="105"/>
        <v>966.96094906237818</v>
      </c>
      <c r="E852" s="24">
        <f t="shared" si="106"/>
        <v>432.69892093460811</v>
      </c>
      <c r="F852" s="38">
        <f t="shared" ref="F852:F915" si="109">Cp*RhoP/(RhoA*H852)*dp/1000*MassivP</f>
        <v>0.96931004704373602</v>
      </c>
      <c r="G852" s="14">
        <f t="shared" ref="G852:G915" si="110">Phi*EpsilonF*Botzman/10^8*J852*((D852+273)^4-(E852+273)^4)</f>
        <v>0</v>
      </c>
      <c r="H852" s="24">
        <f t="shared" si="108"/>
        <v>622.91033100586083</v>
      </c>
      <c r="I852" s="12">
        <f t="shared" si="107"/>
        <v>0.44216522768131816</v>
      </c>
      <c r="J852" s="3"/>
    </row>
    <row r="853" spans="2:10" x14ac:dyDescent="0.25">
      <c r="B853" s="3">
        <f t="shared" ref="B853:B916" si="111">B852+DeltaT</f>
        <v>4165</v>
      </c>
      <c r="C853" s="14">
        <f t="shared" ref="C853:C916" si="112">B853/60</f>
        <v>69.416666666666671</v>
      </c>
      <c r="D853" s="11">
        <f t="shared" ref="D853:D916" si="113">20+345*LOG(8*C853+1,10)</f>
        <v>967.14060327605659</v>
      </c>
      <c r="E853" s="24">
        <f t="shared" ref="E853:E916" si="114">E852+IF(Limit=Oui,MAX(0,I852),I852)</f>
        <v>433.14108616228941</v>
      </c>
      <c r="F853" s="38">
        <f t="shared" si="109"/>
        <v>0.96892630279065217</v>
      </c>
      <c r="G853" s="14">
        <f t="shared" si="110"/>
        <v>0</v>
      </c>
      <c r="H853" s="24">
        <f t="shared" si="108"/>
        <v>623.15703527946914</v>
      </c>
      <c r="I853" s="12">
        <f t="shared" ref="I853:I916" si="115">LambdaP*MassivP/(dp/1000)/(H853*RhoA)/(1+F853/3)*(D853-E853)*DeltaT-(EXP(F853/10)-1)*(D853-D852)</f>
        <v>0.441830793937879</v>
      </c>
      <c r="J853" s="3"/>
    </row>
    <row r="854" spans="2:10" x14ac:dyDescent="0.25">
      <c r="B854" s="3">
        <f t="shared" si="111"/>
        <v>4170</v>
      </c>
      <c r="C854" s="14">
        <f t="shared" si="112"/>
        <v>69.5</v>
      </c>
      <c r="D854" s="11">
        <f t="shared" si="113"/>
        <v>967.32004233493649</v>
      </c>
      <c r="E854" s="24">
        <f t="shared" si="114"/>
        <v>433.58291695622728</v>
      </c>
      <c r="F854" s="38">
        <f t="shared" si="109"/>
        <v>0.96854242719167727</v>
      </c>
      <c r="G854" s="14">
        <f t="shared" si="110"/>
        <v>0</v>
      </c>
      <c r="H854" s="24">
        <f t="shared" si="108"/>
        <v>623.40401958646225</v>
      </c>
      <c r="I854" s="12">
        <f t="shared" si="115"/>
        <v>0.4414964561285174</v>
      </c>
      <c r="J854" s="3"/>
    </row>
    <row r="855" spans="2:10" x14ac:dyDescent="0.25">
      <c r="B855" s="3">
        <f t="shared" si="111"/>
        <v>4175</v>
      </c>
      <c r="C855" s="14">
        <f t="shared" si="112"/>
        <v>69.583333333333329</v>
      </c>
      <c r="D855" s="11">
        <f t="shared" si="113"/>
        <v>967.49926675374252</v>
      </c>
      <c r="E855" s="24">
        <f t="shared" si="114"/>
        <v>434.02441341235578</v>
      </c>
      <c r="F855" s="38">
        <f t="shared" si="109"/>
        <v>0.96815842069931446</v>
      </c>
      <c r="G855" s="14">
        <f t="shared" si="110"/>
        <v>0</v>
      </c>
      <c r="H855" s="24">
        <f t="shared" si="108"/>
        <v>623.65128406897691</v>
      </c>
      <c r="I855" s="12">
        <f t="shared" si="115"/>
        <v>0.44116221499399433</v>
      </c>
      <c r="J855" s="3"/>
    </row>
    <row r="856" spans="2:10" x14ac:dyDescent="0.25">
      <c r="B856" s="3">
        <f t="shared" si="111"/>
        <v>4180</v>
      </c>
      <c r="C856" s="14">
        <f t="shared" si="112"/>
        <v>69.666666666666671</v>
      </c>
      <c r="D856" s="11">
        <f t="shared" si="113"/>
        <v>967.67827704535466</v>
      </c>
      <c r="E856" s="24">
        <f t="shared" si="114"/>
        <v>434.46557562734978</v>
      </c>
      <c r="F856" s="38">
        <f t="shared" si="109"/>
        <v>0.96777428377161645</v>
      </c>
      <c r="G856" s="14">
        <f t="shared" si="110"/>
        <v>0</v>
      </c>
      <c r="H856" s="24">
        <f t="shared" si="108"/>
        <v>623.89882886556256</v>
      </c>
      <c r="I856" s="12">
        <f t="shared" si="115"/>
        <v>0.44082807127292306</v>
      </c>
      <c r="J856" s="3"/>
    </row>
    <row r="857" spans="2:10" x14ac:dyDescent="0.25">
      <c r="B857" s="3">
        <f t="shared" si="111"/>
        <v>4185</v>
      </c>
      <c r="C857" s="14">
        <f t="shared" si="112"/>
        <v>69.75</v>
      </c>
      <c r="D857" s="11">
        <f t="shared" si="113"/>
        <v>967.85707372081595</v>
      </c>
      <c r="E857" s="24">
        <f t="shared" si="114"/>
        <v>434.90640369862268</v>
      </c>
      <c r="F857" s="38">
        <f t="shared" si="109"/>
        <v>0.96739001687214121</v>
      </c>
      <c r="G857" s="14">
        <f t="shared" si="110"/>
        <v>0</v>
      </c>
      <c r="H857" s="24">
        <f t="shared" si="108"/>
        <v>624.14665411119586</v>
      </c>
      <c r="I857" s="12">
        <f t="shared" si="115"/>
        <v>0.44049402570186896</v>
      </c>
      <c r="J857" s="3"/>
    </row>
    <row r="858" spans="2:10" x14ac:dyDescent="0.25">
      <c r="B858" s="3">
        <f t="shared" si="111"/>
        <v>4190</v>
      </c>
      <c r="C858" s="14">
        <f t="shared" si="112"/>
        <v>69.833333333333329</v>
      </c>
      <c r="D858" s="11">
        <f t="shared" si="113"/>
        <v>968.03565728934313</v>
      </c>
      <c r="E858" s="24">
        <f t="shared" si="114"/>
        <v>435.34689772432455</v>
      </c>
      <c r="F858" s="38">
        <f t="shared" si="109"/>
        <v>0.96700562046990157</v>
      </c>
      <c r="G858" s="14">
        <f t="shared" si="110"/>
        <v>0</v>
      </c>
      <c r="H858" s="24">
        <f t="shared" si="108"/>
        <v>624.39475993729593</v>
      </c>
      <c r="I858" s="12">
        <f t="shared" si="115"/>
        <v>0.44016007901504511</v>
      </c>
      <c r="J858" s="3"/>
    </row>
    <row r="859" spans="2:10" x14ac:dyDescent="0.25">
      <c r="B859" s="3">
        <f t="shared" si="111"/>
        <v>4195</v>
      </c>
      <c r="C859" s="14">
        <f t="shared" si="112"/>
        <v>69.916666666666671</v>
      </c>
      <c r="D859" s="11">
        <f t="shared" si="113"/>
        <v>968.21402825833388</v>
      </c>
      <c r="E859" s="24">
        <f t="shared" si="114"/>
        <v>435.78705780333962</v>
      </c>
      <c r="F859" s="38">
        <f t="shared" si="109"/>
        <v>0.96662109503932514</v>
      </c>
      <c r="G859" s="14">
        <f t="shared" si="110"/>
        <v>0</v>
      </c>
      <c r="H859" s="24">
        <f t="shared" si="108"/>
        <v>624.64314647173705</v>
      </c>
      <c r="I859" s="12">
        <f t="shared" si="115"/>
        <v>0.43982623194466713</v>
      </c>
      <c r="J859" s="3"/>
    </row>
    <row r="860" spans="2:10" x14ac:dyDescent="0.25">
      <c r="B860" s="3">
        <f t="shared" si="111"/>
        <v>4200</v>
      </c>
      <c r="C860" s="14">
        <f t="shared" si="112"/>
        <v>70</v>
      </c>
      <c r="D860" s="11">
        <f t="shared" si="113"/>
        <v>968.39218713337561</v>
      </c>
      <c r="E860" s="24">
        <f t="shared" si="114"/>
        <v>436.22688403528429</v>
      </c>
      <c r="F860" s="38">
        <f t="shared" si="109"/>
        <v>0.96623644106020534</v>
      </c>
      <c r="G860" s="14">
        <f t="shared" si="110"/>
        <v>0</v>
      </c>
      <c r="H860" s="24">
        <f t="shared" si="108"/>
        <v>624.89181383886375</v>
      </c>
      <c r="I860" s="12">
        <f t="shared" si="115"/>
        <v>0.43949248522077439</v>
      </c>
      <c r="J860" s="3"/>
    </row>
    <row r="861" spans="2:10" x14ac:dyDescent="0.25">
      <c r="B861" s="3">
        <f t="shared" si="111"/>
        <v>4205</v>
      </c>
      <c r="C861" s="14">
        <f t="shared" si="112"/>
        <v>70.083333333333329</v>
      </c>
      <c r="D861" s="11">
        <f t="shared" si="113"/>
        <v>968.57013441825461</v>
      </c>
      <c r="E861" s="24">
        <f t="shared" si="114"/>
        <v>436.66637652050508</v>
      </c>
      <c r="F861" s="38">
        <f t="shared" si="109"/>
        <v>0.96585165901765624</v>
      </c>
      <c r="G861" s="14">
        <f t="shared" si="110"/>
        <v>0</v>
      </c>
      <c r="H861" s="24">
        <f t="shared" si="108"/>
        <v>625.14076215950513</v>
      </c>
      <c r="I861" s="12">
        <f t="shared" si="115"/>
        <v>0.43915883957120444</v>
      </c>
      <c r="J861" s="3"/>
    </row>
    <row r="862" spans="2:10" x14ac:dyDescent="0.25">
      <c r="B862" s="3">
        <f t="shared" si="111"/>
        <v>4210</v>
      </c>
      <c r="C862" s="14">
        <f t="shared" si="112"/>
        <v>70.166666666666671</v>
      </c>
      <c r="D862" s="11">
        <f t="shared" si="113"/>
        <v>968.74787061496465</v>
      </c>
      <c r="E862" s="24">
        <f t="shared" si="114"/>
        <v>437.10553536007626</v>
      </c>
      <c r="F862" s="38">
        <f t="shared" si="109"/>
        <v>0.96546674940206767</v>
      </c>
      <c r="G862" s="14">
        <f t="shared" si="110"/>
        <v>0</v>
      </c>
      <c r="H862" s="24">
        <f t="shared" si="108"/>
        <v>625.38999155098918</v>
      </c>
      <c r="I862" s="12">
        <f t="shared" si="115"/>
        <v>0.4388252957216337</v>
      </c>
      <c r="J862" s="3"/>
    </row>
    <row r="863" spans="2:10" x14ac:dyDescent="0.25">
      <c r="B863" s="3">
        <f t="shared" si="111"/>
        <v>4215</v>
      </c>
      <c r="C863" s="14">
        <f t="shared" si="112"/>
        <v>70.25</v>
      </c>
      <c r="D863" s="11">
        <f t="shared" si="113"/>
        <v>968.92539622371442</v>
      </c>
      <c r="E863" s="24">
        <f t="shared" si="114"/>
        <v>437.5443606557979</v>
      </c>
      <c r="F863" s="38">
        <f t="shared" si="109"/>
        <v>0.96508171270906118</v>
      </c>
      <c r="G863" s="14">
        <f t="shared" si="110"/>
        <v>0</v>
      </c>
      <c r="H863" s="24">
        <f t="shared" si="108"/>
        <v>625.63950212715622</v>
      </c>
      <c r="I863" s="12">
        <f t="shared" si="115"/>
        <v>0.43849185439570115</v>
      </c>
      <c r="J863" s="3"/>
    </row>
    <row r="864" spans="2:10" x14ac:dyDescent="0.25">
      <c r="B864" s="3">
        <f t="shared" si="111"/>
        <v>4220</v>
      </c>
      <c r="C864" s="14">
        <f t="shared" si="112"/>
        <v>70.333333333333329</v>
      </c>
      <c r="D864" s="11">
        <f t="shared" si="113"/>
        <v>969.10271174293723</v>
      </c>
      <c r="E864" s="24">
        <f t="shared" si="114"/>
        <v>437.9828525101936</v>
      </c>
      <c r="F864" s="38">
        <f t="shared" si="109"/>
        <v>0.96469654943944183</v>
      </c>
      <c r="G864" s="14">
        <f t="shared" si="110"/>
        <v>0</v>
      </c>
      <c r="H864" s="24">
        <f t="shared" si="108"/>
        <v>625.88929399837434</v>
      </c>
      <c r="I864" s="12">
        <f t="shared" si="115"/>
        <v>0.43815851631476177</v>
      </c>
      <c r="J864" s="3"/>
    </row>
    <row r="865" spans="2:10" x14ac:dyDescent="0.25">
      <c r="B865" s="3">
        <f t="shared" si="111"/>
        <v>4225</v>
      </c>
      <c r="C865" s="14">
        <f t="shared" si="112"/>
        <v>70.416666666666671</v>
      </c>
      <c r="D865" s="11">
        <f t="shared" si="113"/>
        <v>969.27981766929906</v>
      </c>
      <c r="E865" s="24">
        <f t="shared" si="114"/>
        <v>438.42101102650838</v>
      </c>
      <c r="F865" s="38">
        <f t="shared" si="109"/>
        <v>0.96431126009915757</v>
      </c>
      <c r="G865" s="14">
        <f t="shared" si="110"/>
        <v>0</v>
      </c>
      <c r="H865" s="24">
        <f t="shared" si="108"/>
        <v>626.1393672715526</v>
      </c>
      <c r="I865" s="12">
        <f t="shared" si="115"/>
        <v>0.43782528219806743</v>
      </c>
      <c r="J865" s="3"/>
    </row>
    <row r="866" spans="2:10" x14ac:dyDescent="0.25">
      <c r="B866" s="3">
        <f t="shared" si="111"/>
        <v>4230</v>
      </c>
      <c r="C866" s="14">
        <f t="shared" si="112"/>
        <v>70.5</v>
      </c>
      <c r="D866" s="11">
        <f t="shared" si="113"/>
        <v>969.45671449770623</v>
      </c>
      <c r="E866" s="24">
        <f t="shared" si="114"/>
        <v>438.85883630870643</v>
      </c>
      <c r="F866" s="38">
        <f t="shared" si="109"/>
        <v>0.96392584519925117</v>
      </c>
      <c r="G866" s="14">
        <f t="shared" si="110"/>
        <v>0</v>
      </c>
      <c r="H866" s="24">
        <f t="shared" si="108"/>
        <v>626.38972205015546</v>
      </c>
      <c r="I866" s="12">
        <f t="shared" si="115"/>
        <v>0.4374921527627853</v>
      </c>
      <c r="J866" s="3"/>
    </row>
    <row r="867" spans="2:10" x14ac:dyDescent="0.25">
      <c r="B867" s="3">
        <f t="shared" si="111"/>
        <v>4235</v>
      </c>
      <c r="C867" s="14">
        <f t="shared" si="112"/>
        <v>70.583333333333329</v>
      </c>
      <c r="D867" s="11">
        <f t="shared" si="113"/>
        <v>969.63340272131461</v>
      </c>
      <c r="E867" s="24">
        <f t="shared" si="114"/>
        <v>439.29632846146922</v>
      </c>
      <c r="F867" s="38">
        <f t="shared" si="109"/>
        <v>0.96354030525581658</v>
      </c>
      <c r="G867" s="14">
        <f t="shared" si="110"/>
        <v>0</v>
      </c>
      <c r="H867" s="24">
        <f t="shared" si="108"/>
        <v>626.64035843421732</v>
      </c>
      <c r="I867" s="12">
        <f t="shared" si="115"/>
        <v>0.43715912872384433</v>
      </c>
      <c r="J867" s="3"/>
    </row>
    <row r="868" spans="2:10" x14ac:dyDescent="0.25">
      <c r="B868" s="3">
        <f t="shared" si="111"/>
        <v>4240</v>
      </c>
      <c r="C868" s="14">
        <f t="shared" si="112"/>
        <v>70.666666666666671</v>
      </c>
      <c r="D868" s="11">
        <f t="shared" si="113"/>
        <v>969.80988283153715</v>
      </c>
      <c r="E868" s="24">
        <f t="shared" si="114"/>
        <v>439.73348759019308</v>
      </c>
      <c r="F868" s="38">
        <f t="shared" si="109"/>
        <v>0.96315464078995561</v>
      </c>
      <c r="G868" s="14">
        <f t="shared" si="110"/>
        <v>0</v>
      </c>
      <c r="H868" s="24">
        <f t="shared" si="108"/>
        <v>626.89127652035586</v>
      </c>
      <c r="I868" s="12">
        <f t="shared" si="115"/>
        <v>0.436826210794104</v>
      </c>
      <c r="J868" s="3"/>
    </row>
    <row r="869" spans="2:10" x14ac:dyDescent="0.25">
      <c r="B869" s="3">
        <f t="shared" si="111"/>
        <v>4245</v>
      </c>
      <c r="C869" s="14">
        <f t="shared" si="112"/>
        <v>70.75</v>
      </c>
      <c r="D869" s="11">
        <f t="shared" si="113"/>
        <v>969.98615531805262</v>
      </c>
      <c r="E869" s="24">
        <f t="shared" si="114"/>
        <v>440.17031380098717</v>
      </c>
      <c r="F869" s="38">
        <f t="shared" si="109"/>
        <v>0.96276885232773135</v>
      </c>
      <c r="G869" s="14">
        <f t="shared" si="110"/>
        <v>0</v>
      </c>
      <c r="H869" s="24">
        <f t="shared" si="108"/>
        <v>627.14247640178735</v>
      </c>
      <c r="I869" s="12">
        <f t="shared" si="115"/>
        <v>0.43649339968422379</v>
      </c>
      <c r="J869" s="3"/>
    </row>
    <row r="870" spans="2:10" x14ac:dyDescent="0.25">
      <c r="B870" s="3">
        <f t="shared" si="111"/>
        <v>4250</v>
      </c>
      <c r="C870" s="14">
        <f t="shared" si="112"/>
        <v>70.833333333333329</v>
      </c>
      <c r="D870" s="11">
        <f t="shared" si="113"/>
        <v>970.16222066881369</v>
      </c>
      <c r="E870" s="24">
        <f t="shared" si="114"/>
        <v>440.60680720067137</v>
      </c>
      <c r="F870" s="38">
        <f t="shared" si="109"/>
        <v>0.96238294040012518</v>
      </c>
      <c r="G870" s="14">
        <f t="shared" si="110"/>
        <v>0</v>
      </c>
      <c r="H870" s="24">
        <f t="shared" si="108"/>
        <v>627.39395816833996</v>
      </c>
      <c r="I870" s="12">
        <f t="shared" si="115"/>
        <v>0.43616069610272773</v>
      </c>
      <c r="J870" s="3"/>
    </row>
    <row r="871" spans="2:10" x14ac:dyDescent="0.25">
      <c r="B871" s="3">
        <f t="shared" si="111"/>
        <v>4255</v>
      </c>
      <c r="C871" s="14">
        <f t="shared" si="112"/>
        <v>70.916666666666671</v>
      </c>
      <c r="D871" s="11">
        <f t="shared" si="113"/>
        <v>970.33807937005452</v>
      </c>
      <c r="E871" s="24">
        <f t="shared" si="114"/>
        <v>441.04296789677409</v>
      </c>
      <c r="F871" s="38">
        <f t="shared" si="109"/>
        <v>0.96199690554299311</v>
      </c>
      <c r="G871" s="14">
        <f t="shared" si="110"/>
        <v>0</v>
      </c>
      <c r="H871" s="24">
        <f t="shared" si="108"/>
        <v>627.64572190646788</v>
      </c>
      <c r="I871" s="12">
        <f t="shared" si="115"/>
        <v>0.43582810075604694</v>
      </c>
      <c r="J871" s="3"/>
    </row>
    <row r="872" spans="2:10" x14ac:dyDescent="0.25">
      <c r="B872" s="3">
        <f t="shared" si="111"/>
        <v>4260</v>
      </c>
      <c r="C872" s="14">
        <f t="shared" si="112"/>
        <v>71</v>
      </c>
      <c r="D872" s="11">
        <f t="shared" si="113"/>
        <v>970.51373190629943</v>
      </c>
      <c r="E872" s="24">
        <f t="shared" si="114"/>
        <v>441.47879599753014</v>
      </c>
      <c r="F872" s="38">
        <f t="shared" si="109"/>
        <v>0.96161074829702109</v>
      </c>
      <c r="G872" s="14">
        <f t="shared" si="110"/>
        <v>0</v>
      </c>
      <c r="H872" s="24">
        <f t="shared" si="108"/>
        <v>627.89776769926584</v>
      </c>
      <c r="I872" s="12">
        <f t="shared" si="115"/>
        <v>0.43549561434841205</v>
      </c>
      <c r="J872" s="3"/>
    </row>
    <row r="873" spans="2:10" x14ac:dyDescent="0.25">
      <c r="B873" s="3">
        <f t="shared" si="111"/>
        <v>4265</v>
      </c>
      <c r="C873" s="14">
        <f t="shared" si="112"/>
        <v>71.083333333333329</v>
      </c>
      <c r="D873" s="11">
        <f t="shared" si="113"/>
        <v>970.68917876037074</v>
      </c>
      <c r="E873" s="24">
        <f t="shared" si="114"/>
        <v>441.91429161187858</v>
      </c>
      <c r="F873" s="38">
        <f t="shared" si="109"/>
        <v>0.96122446920768112</v>
      </c>
      <c r="G873" s="14">
        <f t="shared" si="110"/>
        <v>0</v>
      </c>
      <c r="H873" s="24">
        <f t="shared" si="108"/>
        <v>628.15009562648288</v>
      </c>
      <c r="I873" s="12">
        <f t="shared" si="115"/>
        <v>0.43516323758192965</v>
      </c>
      <c r="J873" s="3"/>
    </row>
    <row r="874" spans="2:10" x14ac:dyDescent="0.25">
      <c r="B874" s="3">
        <f t="shared" si="111"/>
        <v>4270</v>
      </c>
      <c r="C874" s="14">
        <f t="shared" si="112"/>
        <v>71.166666666666671</v>
      </c>
      <c r="D874" s="11">
        <f t="shared" si="113"/>
        <v>970.86442041339603</v>
      </c>
      <c r="E874" s="24">
        <f t="shared" si="114"/>
        <v>442.34945484946053</v>
      </c>
      <c r="F874" s="38">
        <f t="shared" si="109"/>
        <v>0.96083806882518841</v>
      </c>
      <c r="G874" s="14">
        <f t="shared" si="110"/>
        <v>0</v>
      </c>
      <c r="H874" s="24">
        <f t="shared" si="108"/>
        <v>628.40270576453634</v>
      </c>
      <c r="I874" s="12">
        <f t="shared" si="115"/>
        <v>0.43483097115663533</v>
      </c>
      <c r="J874" s="3"/>
    </row>
    <row r="875" spans="2:10" x14ac:dyDescent="0.25">
      <c r="B875" s="3">
        <f t="shared" si="111"/>
        <v>4275</v>
      </c>
      <c r="C875" s="14">
        <f t="shared" si="112"/>
        <v>71.25</v>
      </c>
      <c r="D875" s="11">
        <f t="shared" si="113"/>
        <v>971.03945734481749</v>
      </c>
      <c r="E875" s="24">
        <f t="shared" si="114"/>
        <v>442.78428582061719</v>
      </c>
      <c r="F875" s="38">
        <f t="shared" si="109"/>
        <v>0.9604515477044564</v>
      </c>
      <c r="G875" s="14">
        <f t="shared" si="110"/>
        <v>0</v>
      </c>
      <c r="H875" s="24">
        <f t="shared" si="108"/>
        <v>628.65559818652639</v>
      </c>
      <c r="I875" s="12">
        <f t="shared" si="115"/>
        <v>0.43449881577028404</v>
      </c>
      <c r="J875" s="3"/>
    </row>
    <row r="876" spans="2:10" x14ac:dyDescent="0.25">
      <c r="B876" s="3">
        <f t="shared" si="111"/>
        <v>4280</v>
      </c>
      <c r="C876" s="14">
        <f t="shared" si="112"/>
        <v>71.333333333333329</v>
      </c>
      <c r="D876" s="11">
        <f t="shared" si="113"/>
        <v>971.21429003239882</v>
      </c>
      <c r="E876" s="24">
        <f t="shared" si="114"/>
        <v>443.21878463638745</v>
      </c>
      <c r="F876" s="38">
        <f t="shared" si="109"/>
        <v>0.96006490640505493</v>
      </c>
      <c r="G876" s="14">
        <f t="shared" si="110"/>
        <v>0</v>
      </c>
      <c r="H876" s="24">
        <f t="shared" si="108"/>
        <v>628.9087729622496</v>
      </c>
      <c r="I876" s="12">
        <f t="shared" si="115"/>
        <v>0.43416677211858667</v>
      </c>
      <c r="J876" s="3"/>
    </row>
    <row r="877" spans="2:10" x14ac:dyDescent="0.25">
      <c r="B877" s="3">
        <f t="shared" si="111"/>
        <v>4285</v>
      </c>
      <c r="C877" s="14">
        <f t="shared" si="112"/>
        <v>71.416666666666671</v>
      </c>
      <c r="D877" s="11">
        <f t="shared" si="113"/>
        <v>971.38891895223253</v>
      </c>
      <c r="E877" s="24">
        <f t="shared" si="114"/>
        <v>443.65295140850606</v>
      </c>
      <c r="F877" s="38">
        <f t="shared" si="109"/>
        <v>0.95967814549116581</v>
      </c>
      <c r="G877" s="14">
        <f t="shared" si="110"/>
        <v>0</v>
      </c>
      <c r="H877" s="24">
        <f t="shared" si="108"/>
        <v>629.16223015821322</v>
      </c>
      <c r="I877" s="12">
        <f t="shared" si="115"/>
        <v>0.43383484089517055</v>
      </c>
      <c r="J877" s="3"/>
    </row>
    <row r="878" spans="2:10" x14ac:dyDescent="0.25">
      <c r="B878" s="3">
        <f t="shared" si="111"/>
        <v>4290</v>
      </c>
      <c r="C878" s="14">
        <f t="shared" si="112"/>
        <v>71.5</v>
      </c>
      <c r="D878" s="11">
        <f t="shared" si="113"/>
        <v>971.56334457874948</v>
      </c>
      <c r="E878" s="24">
        <f t="shared" si="114"/>
        <v>444.0867862494012</v>
      </c>
      <c r="F878" s="38">
        <f t="shared" si="109"/>
        <v>0.95929126553154076</v>
      </c>
      <c r="G878" s="14">
        <f t="shared" si="110"/>
        <v>0</v>
      </c>
      <c r="H878" s="24">
        <f t="shared" si="108"/>
        <v>629.41596983764862</v>
      </c>
      <c r="I878" s="12">
        <f t="shared" si="115"/>
        <v>0.43350302279134895</v>
      </c>
      <c r="J878" s="3"/>
    </row>
    <row r="879" spans="2:10" x14ac:dyDescent="0.25">
      <c r="B879" s="3">
        <f t="shared" si="111"/>
        <v>4295</v>
      </c>
      <c r="C879" s="14">
        <f t="shared" si="112"/>
        <v>71.583333333333329</v>
      </c>
      <c r="D879" s="11">
        <f t="shared" si="113"/>
        <v>971.73756738472457</v>
      </c>
      <c r="E879" s="24">
        <f t="shared" si="114"/>
        <v>444.52028927219254</v>
      </c>
      <c r="F879" s="38">
        <f t="shared" si="109"/>
        <v>0.95890426709945709</v>
      </c>
      <c r="G879" s="14">
        <f t="shared" si="110"/>
        <v>0</v>
      </c>
      <c r="H879" s="24">
        <f t="shared" si="108"/>
        <v>629.66999206052651</v>
      </c>
      <c r="I879" s="12">
        <f t="shared" si="115"/>
        <v>0.43317131849650409</v>
      </c>
      <c r="J879" s="3"/>
    </row>
    <row r="880" spans="2:10" x14ac:dyDescent="0.25">
      <c r="B880" s="3">
        <f t="shared" si="111"/>
        <v>4300</v>
      </c>
      <c r="C880" s="14">
        <f t="shared" si="112"/>
        <v>71.666666666666671</v>
      </c>
      <c r="D880" s="11">
        <f t="shared" si="113"/>
        <v>971.91158784128618</v>
      </c>
      <c r="E880" s="24">
        <f t="shared" si="114"/>
        <v>444.95346059068902</v>
      </c>
      <c r="F880" s="38">
        <f t="shared" si="109"/>
        <v>0.95851715077267541</v>
      </c>
      <c r="G880" s="14">
        <f t="shared" si="110"/>
        <v>0</v>
      </c>
      <c r="H880" s="24">
        <f t="shared" si="108"/>
        <v>629.9242968835697</v>
      </c>
      <c r="I880" s="12">
        <f t="shared" si="115"/>
        <v>0.43283972869770682</v>
      </c>
      <c r="J880" s="3"/>
    </row>
    <row r="881" spans="2:10" x14ac:dyDescent="0.25">
      <c r="B881" s="3">
        <f t="shared" si="111"/>
        <v>4305</v>
      </c>
      <c r="C881" s="14">
        <f t="shared" si="112"/>
        <v>71.75</v>
      </c>
      <c r="D881" s="11">
        <f t="shared" si="113"/>
        <v>972.0854064179224</v>
      </c>
      <c r="E881" s="24">
        <f t="shared" si="114"/>
        <v>445.38630031938675</v>
      </c>
      <c r="F881" s="38">
        <f t="shared" si="109"/>
        <v>0.95812991713339757</v>
      </c>
      <c r="G881" s="14">
        <f t="shared" si="110"/>
        <v>0</v>
      </c>
      <c r="H881" s="24">
        <f t="shared" si="108"/>
        <v>630.17888436026749</v>
      </c>
      <c r="I881" s="12">
        <f t="shared" si="115"/>
        <v>0.43250825408003285</v>
      </c>
      <c r="J881" s="3"/>
    </row>
    <row r="882" spans="2:10" x14ac:dyDescent="0.25">
      <c r="B882" s="3">
        <f t="shared" si="111"/>
        <v>4310</v>
      </c>
      <c r="C882" s="14">
        <f t="shared" si="112"/>
        <v>71.833333333333329</v>
      </c>
      <c r="D882" s="11">
        <f t="shared" si="113"/>
        <v>972.2590235824897</v>
      </c>
      <c r="E882" s="24">
        <f t="shared" si="114"/>
        <v>445.81880857346675</v>
      </c>
      <c r="F882" s="38">
        <f t="shared" si="109"/>
        <v>0.957742566768224</v>
      </c>
      <c r="G882" s="14">
        <f t="shared" si="110"/>
        <v>0</v>
      </c>
      <c r="H882" s="24">
        <f t="shared" si="108"/>
        <v>630.43375454088971</v>
      </c>
      <c r="I882" s="12">
        <f t="shared" si="115"/>
        <v>0.43217689532631898</v>
      </c>
      <c r="J882" s="3"/>
    </row>
    <row r="883" spans="2:10" x14ac:dyDescent="0.25">
      <c r="B883" s="3">
        <f t="shared" si="111"/>
        <v>4315</v>
      </c>
      <c r="C883" s="14">
        <f t="shared" si="112"/>
        <v>71.916666666666671</v>
      </c>
      <c r="D883" s="11">
        <f t="shared" si="113"/>
        <v>972.43243980121963</v>
      </c>
      <c r="E883" s="24">
        <f t="shared" si="114"/>
        <v>446.25098546879309</v>
      </c>
      <c r="F883" s="38">
        <f t="shared" si="109"/>
        <v>0.95735510026810922</v>
      </c>
      <c r="G883" s="14">
        <f t="shared" si="110"/>
        <v>0</v>
      </c>
      <c r="H883" s="24">
        <f t="shared" si="108"/>
        <v>630.68890747250066</v>
      </c>
      <c r="I883" s="12">
        <f t="shared" si="115"/>
        <v>0.43184565311735268</v>
      </c>
      <c r="J883" s="3"/>
    </row>
    <row r="884" spans="2:10" x14ac:dyDescent="0.25">
      <c r="B884" s="3">
        <f t="shared" si="111"/>
        <v>4320</v>
      </c>
      <c r="C884" s="14">
        <f t="shared" si="112"/>
        <v>72</v>
      </c>
      <c r="D884" s="11">
        <f t="shared" si="113"/>
        <v>972.60565553872732</v>
      </c>
      <c r="E884" s="24">
        <f t="shared" si="114"/>
        <v>446.68283112191045</v>
      </c>
      <c r="F884" s="38">
        <f t="shared" si="109"/>
        <v>0.95696751822832282</v>
      </c>
      <c r="G884" s="14">
        <f t="shared" si="110"/>
        <v>0</v>
      </c>
      <c r="H884" s="24">
        <f t="shared" si="108"/>
        <v>630.94434319897277</v>
      </c>
      <c r="I884" s="12">
        <f t="shared" si="115"/>
        <v>0.43151452813168678</v>
      </c>
      <c r="J884" s="3"/>
    </row>
    <row r="885" spans="2:10" x14ac:dyDescent="0.25">
      <c r="B885" s="3">
        <f t="shared" si="111"/>
        <v>4325</v>
      </c>
      <c r="C885" s="14">
        <f t="shared" si="112"/>
        <v>72.083333333333329</v>
      </c>
      <c r="D885" s="11">
        <f t="shared" si="113"/>
        <v>972.77867125801777</v>
      </c>
      <c r="E885" s="24">
        <f t="shared" si="114"/>
        <v>447.11434565004214</v>
      </c>
      <c r="F885" s="38">
        <f t="shared" si="109"/>
        <v>0.95657982124840446</v>
      </c>
      <c r="G885" s="14">
        <f t="shared" si="110"/>
        <v>0</v>
      </c>
      <c r="H885" s="24">
        <f t="shared" si="108"/>
        <v>631.20006176100094</v>
      </c>
      <c r="I885" s="12">
        <f t="shared" si="115"/>
        <v>0.43118352104586316</v>
      </c>
      <c r="J885" s="3"/>
    </row>
    <row r="886" spans="2:10" x14ac:dyDescent="0.25">
      <c r="B886" s="3">
        <f t="shared" si="111"/>
        <v>4330</v>
      </c>
      <c r="C886" s="14">
        <f t="shared" si="112"/>
        <v>72.166666666666671</v>
      </c>
      <c r="D886" s="11">
        <f t="shared" si="113"/>
        <v>972.95148742049423</v>
      </c>
      <c r="E886" s="24">
        <f t="shared" si="114"/>
        <v>447.54552917108799</v>
      </c>
      <c r="F886" s="38">
        <f t="shared" si="109"/>
        <v>0.95619200993212372</v>
      </c>
      <c r="G886" s="14">
        <f t="shared" si="110"/>
        <v>0</v>
      </c>
      <c r="H886" s="24">
        <f t="shared" si="108"/>
        <v>631.45606319611579</v>
      </c>
      <c r="I886" s="12">
        <f t="shared" si="115"/>
        <v>0.43085263253419243</v>
      </c>
      <c r="J886" s="3"/>
    </row>
    <row r="887" spans="2:10" x14ac:dyDescent="0.25">
      <c r="B887" s="3">
        <f t="shared" si="111"/>
        <v>4335</v>
      </c>
      <c r="C887" s="14">
        <f t="shared" si="112"/>
        <v>72.25</v>
      </c>
      <c r="D887" s="11">
        <f t="shared" si="113"/>
        <v>973.1241044859654</v>
      </c>
      <c r="E887" s="24">
        <f t="shared" si="114"/>
        <v>447.97638180362219</v>
      </c>
      <c r="F887" s="38">
        <f t="shared" si="109"/>
        <v>0.95580408488743773</v>
      </c>
      <c r="G887" s="14">
        <f t="shared" si="110"/>
        <v>0</v>
      </c>
      <c r="H887" s="24">
        <f t="shared" ref="H887:H950" si="116">IF(E887&lt;600,425+0.773*E887-1.69/1000*E887^2+2.22/1000^2*E887^3,IF(E887&lt;735,666+13002/(738-E887),IF(E887&lt;900,545+17820/(E887-731),650)))</f>
        <v>631.71234753869794</v>
      </c>
      <c r="I887" s="12">
        <f t="shared" si="115"/>
        <v>0.43052186326887604</v>
      </c>
      <c r="J887" s="3"/>
    </row>
    <row r="888" spans="2:10" x14ac:dyDescent="0.25">
      <c r="B888" s="3">
        <f t="shared" si="111"/>
        <v>4340</v>
      </c>
      <c r="C888" s="14">
        <f t="shared" si="112"/>
        <v>72.333333333333329</v>
      </c>
      <c r="D888" s="11">
        <f t="shared" si="113"/>
        <v>973.29652291265222</v>
      </c>
      <c r="E888" s="24">
        <f t="shared" si="114"/>
        <v>448.40690366689108</v>
      </c>
      <c r="F888" s="38">
        <f t="shared" si="109"/>
        <v>0.9554160467264482</v>
      </c>
      <c r="G888" s="14">
        <f t="shared" si="110"/>
        <v>0</v>
      </c>
      <c r="H888" s="24">
        <f t="shared" si="116"/>
        <v>631.96891481999182</v>
      </c>
      <c r="I888" s="12">
        <f t="shared" si="115"/>
        <v>0.43019121392003595</v>
      </c>
      <c r="J888" s="3"/>
    </row>
    <row r="889" spans="2:10" x14ac:dyDescent="0.25">
      <c r="B889" s="3">
        <f t="shared" si="111"/>
        <v>4345</v>
      </c>
      <c r="C889" s="14">
        <f t="shared" si="112"/>
        <v>72.416666666666671</v>
      </c>
      <c r="D889" s="11">
        <f t="shared" si="113"/>
        <v>973.4687431571956</v>
      </c>
      <c r="E889" s="24">
        <f t="shared" si="114"/>
        <v>448.83709488081109</v>
      </c>
      <c r="F889" s="38">
        <f t="shared" si="109"/>
        <v>0.9550278960653622</v>
      </c>
      <c r="G889" s="14">
        <f t="shared" si="110"/>
        <v>0</v>
      </c>
      <c r="H889" s="24">
        <f t="shared" si="116"/>
        <v>632.22576506811947</v>
      </c>
      <c r="I889" s="12">
        <f t="shared" si="115"/>
        <v>0.42986068515561976</v>
      </c>
      <c r="J889" s="3"/>
    </row>
    <row r="890" spans="2:10" x14ac:dyDescent="0.25">
      <c r="B890" s="3">
        <f t="shared" si="111"/>
        <v>4350</v>
      </c>
      <c r="C890" s="14">
        <f t="shared" si="112"/>
        <v>72.5</v>
      </c>
      <c r="D890" s="11">
        <f t="shared" si="113"/>
        <v>973.64076567466395</v>
      </c>
      <c r="E890" s="24">
        <f t="shared" si="114"/>
        <v>449.26695556596673</v>
      </c>
      <c r="F890" s="38">
        <f t="shared" si="109"/>
        <v>0.95463963352444903</v>
      </c>
      <c r="G890" s="14">
        <f t="shared" si="110"/>
        <v>0</v>
      </c>
      <c r="H890" s="24">
        <f t="shared" si="116"/>
        <v>632.48289830809404</v>
      </c>
      <c r="I890" s="12">
        <f t="shared" si="115"/>
        <v>0.4295302776414211</v>
      </c>
      <c r="J890" s="3"/>
    </row>
    <row r="891" spans="2:10" x14ac:dyDescent="0.25">
      <c r="B891" s="3">
        <f t="shared" si="111"/>
        <v>4355</v>
      </c>
      <c r="C891" s="14">
        <f t="shared" si="112"/>
        <v>72.583333333333329</v>
      </c>
      <c r="D891" s="11">
        <f t="shared" si="113"/>
        <v>973.81259091855986</v>
      </c>
      <c r="E891" s="24">
        <f t="shared" si="114"/>
        <v>449.69648584360817</v>
      </c>
      <c r="F891" s="38">
        <f t="shared" si="109"/>
        <v>0.95425125972799818</v>
      </c>
      <c r="G891" s="14">
        <f t="shared" si="110"/>
        <v>0</v>
      </c>
      <c r="H891" s="24">
        <f t="shared" si="116"/>
        <v>632.74031456183411</v>
      </c>
      <c r="I891" s="12">
        <f t="shared" si="115"/>
        <v>0.42919999204115428</v>
      </c>
      <c r="J891" s="3"/>
    </row>
    <row r="892" spans="2:10" x14ac:dyDescent="0.25">
      <c r="B892" s="3">
        <f t="shared" si="111"/>
        <v>4360</v>
      </c>
      <c r="C892" s="14">
        <f t="shared" si="112"/>
        <v>72.666666666666671</v>
      </c>
      <c r="D892" s="11">
        <f t="shared" si="113"/>
        <v>973.98421934082751</v>
      </c>
      <c r="E892" s="24">
        <f t="shared" si="114"/>
        <v>450.12568583564934</v>
      </c>
      <c r="F892" s="38">
        <f t="shared" si="109"/>
        <v>0.95386277530428132</v>
      </c>
      <c r="G892" s="14">
        <f t="shared" si="110"/>
        <v>0</v>
      </c>
      <c r="H892" s="24">
        <f t="shared" si="116"/>
        <v>632.99801384817715</v>
      </c>
      <c r="I892" s="12">
        <f t="shared" si="115"/>
        <v>0.42886982901638293</v>
      </c>
      <c r="J892" s="3"/>
    </row>
    <row r="893" spans="2:10" x14ac:dyDescent="0.25">
      <c r="B893" s="3">
        <f t="shared" si="111"/>
        <v>4365</v>
      </c>
      <c r="C893" s="14">
        <f t="shared" si="112"/>
        <v>72.75</v>
      </c>
      <c r="D893" s="11">
        <f t="shared" si="113"/>
        <v>974.15565139185969</v>
      </c>
      <c r="E893" s="24">
        <f t="shared" si="114"/>
        <v>450.55455566466571</v>
      </c>
      <c r="F893" s="38">
        <f t="shared" si="109"/>
        <v>0.95347418088550773</v>
      </c>
      <c r="G893" s="14">
        <f t="shared" si="110"/>
        <v>0</v>
      </c>
      <c r="H893" s="24">
        <f t="shared" si="116"/>
        <v>633.255996182893</v>
      </c>
      <c r="I893" s="12">
        <f t="shared" si="115"/>
        <v>0.42853978922655001</v>
      </c>
      <c r="J893" s="3"/>
    </row>
    <row r="894" spans="2:10" x14ac:dyDescent="0.25">
      <c r="B894" s="3">
        <f t="shared" si="111"/>
        <v>4370</v>
      </c>
      <c r="C894" s="14">
        <f t="shared" si="112"/>
        <v>72.833333333333329</v>
      </c>
      <c r="D894" s="11">
        <f t="shared" si="113"/>
        <v>974.32688752050535</v>
      </c>
      <c r="E894" s="24">
        <f t="shared" si="114"/>
        <v>450.98309545389225</v>
      </c>
      <c r="F894" s="38">
        <f t="shared" si="109"/>
        <v>0.95308547710778535</v>
      </c>
      <c r="G894" s="14">
        <f t="shared" si="110"/>
        <v>0</v>
      </c>
      <c r="H894" s="24">
        <f t="shared" si="116"/>
        <v>633.51426157869832</v>
      </c>
      <c r="I894" s="12">
        <f t="shared" si="115"/>
        <v>0.42820987332892962</v>
      </c>
      <c r="J894" s="3"/>
    </row>
    <row r="895" spans="2:10" x14ac:dyDescent="0.25">
      <c r="B895" s="3">
        <f t="shared" si="111"/>
        <v>4375</v>
      </c>
      <c r="C895" s="14">
        <f t="shared" si="112"/>
        <v>72.916666666666671</v>
      </c>
      <c r="D895" s="11">
        <f t="shared" si="113"/>
        <v>974.49792817407558</v>
      </c>
      <c r="E895" s="24">
        <f t="shared" si="114"/>
        <v>451.41130532722116</v>
      </c>
      <c r="F895" s="38">
        <f t="shared" si="109"/>
        <v>0.95269666461108093</v>
      </c>
      <c r="G895" s="14">
        <f t="shared" si="110"/>
        <v>0</v>
      </c>
      <c r="H895" s="24">
        <f t="shared" si="116"/>
        <v>633.77281004526924</v>
      </c>
      <c r="I895" s="12">
        <f t="shared" si="115"/>
        <v>0.42788008197877031</v>
      </c>
      <c r="J895" s="3"/>
    </row>
    <row r="896" spans="2:10" x14ac:dyDescent="0.25">
      <c r="B896" s="3">
        <f t="shared" si="111"/>
        <v>4380</v>
      </c>
      <c r="C896" s="14">
        <f t="shared" si="112"/>
        <v>73</v>
      </c>
      <c r="D896" s="11">
        <f t="shared" si="113"/>
        <v>974.66877379835228</v>
      </c>
      <c r="E896" s="24">
        <f t="shared" si="114"/>
        <v>451.8391854091999</v>
      </c>
      <c r="F896" s="38">
        <f t="shared" si="109"/>
        <v>0.95230774403917573</v>
      </c>
      <c r="G896" s="14">
        <f t="shared" si="110"/>
        <v>0</v>
      </c>
      <c r="H896" s="24">
        <f t="shared" si="116"/>
        <v>634.03164158925654</v>
      </c>
      <c r="I896" s="12">
        <f t="shared" si="115"/>
        <v>0.42755041582903047</v>
      </c>
      <c r="J896" s="3"/>
    </row>
    <row r="897" spans="2:10" x14ac:dyDescent="0.25">
      <c r="B897" s="3">
        <f t="shared" si="111"/>
        <v>4385</v>
      </c>
      <c r="C897" s="14">
        <f t="shared" si="112"/>
        <v>73.083333333333329</v>
      </c>
      <c r="D897" s="11">
        <f t="shared" si="113"/>
        <v>974.83942483759313</v>
      </c>
      <c r="E897" s="24">
        <f t="shared" si="114"/>
        <v>452.26673582502895</v>
      </c>
      <c r="F897" s="38">
        <f t="shared" si="109"/>
        <v>0.95191871603962985</v>
      </c>
      <c r="G897" s="14">
        <f t="shared" si="110"/>
        <v>0</v>
      </c>
      <c r="H897" s="24">
        <f t="shared" si="116"/>
        <v>634.29075621429774</v>
      </c>
      <c r="I897" s="12">
        <f t="shared" si="115"/>
        <v>0.42722087553073795</v>
      </c>
      <c r="J897" s="3"/>
    </row>
    <row r="898" spans="2:10" x14ac:dyDescent="0.25">
      <c r="B898" s="3">
        <f t="shared" si="111"/>
        <v>4390</v>
      </c>
      <c r="C898" s="14">
        <f t="shared" si="112"/>
        <v>73.166666666666671</v>
      </c>
      <c r="D898" s="11">
        <f t="shared" si="113"/>
        <v>975.0098817345405</v>
      </c>
      <c r="E898" s="24">
        <f t="shared" si="114"/>
        <v>452.69395670055968</v>
      </c>
      <c r="F898" s="38">
        <f t="shared" si="109"/>
        <v>0.95152958126373866</v>
      </c>
      <c r="G898" s="14">
        <f t="shared" si="110"/>
        <v>0</v>
      </c>
      <c r="H898" s="24">
        <f t="shared" si="116"/>
        <v>634.55015392103167</v>
      </c>
      <c r="I898" s="12">
        <f t="shared" si="115"/>
        <v>0.42689146173260173</v>
      </c>
      <c r="J898" s="3"/>
    </row>
    <row r="899" spans="2:10" x14ac:dyDescent="0.25">
      <c r="B899" s="3">
        <f t="shared" si="111"/>
        <v>4395</v>
      </c>
      <c r="C899" s="14">
        <f t="shared" si="112"/>
        <v>73.25</v>
      </c>
      <c r="D899" s="11">
        <f t="shared" si="113"/>
        <v>975.18014493042699</v>
      </c>
      <c r="E899" s="24">
        <f t="shared" si="114"/>
        <v>453.1208481622923</v>
      </c>
      <c r="F899" s="38">
        <f t="shared" si="109"/>
        <v>0.95114034036649409</v>
      </c>
      <c r="G899" s="14">
        <f t="shared" si="110"/>
        <v>0</v>
      </c>
      <c r="H899" s="24">
        <f t="shared" si="116"/>
        <v>634.80983470711169</v>
      </c>
      <c r="I899" s="12">
        <f t="shared" si="115"/>
        <v>0.42656217508133576</v>
      </c>
      <c r="J899" s="3"/>
    </row>
    <row r="900" spans="2:10" x14ac:dyDescent="0.25">
      <c r="B900" s="3">
        <f t="shared" si="111"/>
        <v>4400</v>
      </c>
      <c r="C900" s="14">
        <f t="shared" si="112"/>
        <v>73.333333333333329</v>
      </c>
      <c r="D900" s="11">
        <f t="shared" si="113"/>
        <v>975.35021486498249</v>
      </c>
      <c r="E900" s="24">
        <f t="shared" si="114"/>
        <v>453.54741033737366</v>
      </c>
      <c r="F900" s="38">
        <f t="shared" si="109"/>
        <v>0.95075099400654361</v>
      </c>
      <c r="G900" s="14">
        <f t="shared" si="110"/>
        <v>0</v>
      </c>
      <c r="H900" s="24">
        <f t="shared" si="116"/>
        <v>635.06979856722023</v>
      </c>
      <c r="I900" s="12">
        <f t="shared" si="115"/>
        <v>0.42623301622150894</v>
      </c>
      <c r="J900" s="3"/>
    </row>
    <row r="901" spans="2:10" x14ac:dyDescent="0.25">
      <c r="B901" s="3">
        <f t="shared" si="111"/>
        <v>4405</v>
      </c>
      <c r="C901" s="14">
        <f t="shared" si="112"/>
        <v>73.416666666666671</v>
      </c>
      <c r="D901" s="11">
        <f t="shared" si="113"/>
        <v>975.52009197644179</v>
      </c>
      <c r="E901" s="24">
        <f t="shared" si="114"/>
        <v>453.97364335359515</v>
      </c>
      <c r="F901" s="38">
        <f t="shared" si="109"/>
        <v>0.95036154284615193</v>
      </c>
      <c r="G901" s="14">
        <f t="shared" si="110"/>
        <v>0</v>
      </c>
      <c r="H901" s="24">
        <f t="shared" si="116"/>
        <v>635.33004549308077</v>
      </c>
      <c r="I901" s="12">
        <f t="shared" si="115"/>
        <v>0.42590398579548544</v>
      </c>
      <c r="J901" s="3"/>
    </row>
    <row r="902" spans="2:10" x14ac:dyDescent="0.25">
      <c r="B902" s="3">
        <f t="shared" si="111"/>
        <v>4410</v>
      </c>
      <c r="C902" s="14">
        <f t="shared" si="112"/>
        <v>73.5</v>
      </c>
      <c r="D902" s="11">
        <f t="shared" si="113"/>
        <v>975.68977670155004</v>
      </c>
      <c r="E902" s="24">
        <f t="shared" si="114"/>
        <v>454.39954733939061</v>
      </c>
      <c r="F902" s="38">
        <f t="shared" si="109"/>
        <v>0.94997198755115964</v>
      </c>
      <c r="G902" s="14">
        <f t="shared" si="110"/>
        <v>0</v>
      </c>
      <c r="H902" s="24">
        <f t="shared" si="116"/>
        <v>635.59057547347265</v>
      </c>
      <c r="I902" s="12">
        <f t="shared" si="115"/>
        <v>0.42557508444363529</v>
      </c>
      <c r="J902" s="3"/>
    </row>
    <row r="903" spans="2:10" x14ac:dyDescent="0.25">
      <c r="B903" s="3">
        <f t="shared" si="111"/>
        <v>4415</v>
      </c>
      <c r="C903" s="14">
        <f t="shared" si="112"/>
        <v>73.583333333333329</v>
      </c>
      <c r="D903" s="11">
        <f t="shared" si="113"/>
        <v>975.85926947557095</v>
      </c>
      <c r="E903" s="24">
        <f t="shared" si="114"/>
        <v>454.82512242383422</v>
      </c>
      <c r="F903" s="38">
        <f t="shared" si="109"/>
        <v>0.94958232879094473</v>
      </c>
      <c r="G903" s="14">
        <f t="shared" si="110"/>
        <v>0</v>
      </c>
      <c r="H903" s="24">
        <f t="shared" si="116"/>
        <v>635.85138849424425</v>
      </c>
      <c r="I903" s="12">
        <f t="shared" si="115"/>
        <v>0.42524631280406028</v>
      </c>
      <c r="J903" s="3"/>
    </row>
    <row r="904" spans="2:10" x14ac:dyDescent="0.25">
      <c r="B904" s="3">
        <f t="shared" si="111"/>
        <v>4420</v>
      </c>
      <c r="C904" s="14">
        <f t="shared" si="112"/>
        <v>73.666666666666671</v>
      </c>
      <c r="D904" s="11">
        <f t="shared" si="113"/>
        <v>976.02857073229211</v>
      </c>
      <c r="E904" s="24">
        <f t="shared" si="114"/>
        <v>455.25036873663828</v>
      </c>
      <c r="F904" s="38">
        <f t="shared" si="109"/>
        <v>0.94919256723838219</v>
      </c>
      <c r="G904" s="14">
        <f t="shared" si="110"/>
        <v>0</v>
      </c>
      <c r="H904" s="24">
        <f t="shared" si="116"/>
        <v>636.11248453832673</v>
      </c>
      <c r="I904" s="12">
        <f t="shared" si="115"/>
        <v>0.42491767151287274</v>
      </c>
      <c r="J904" s="3"/>
    </row>
    <row r="905" spans="2:10" x14ac:dyDescent="0.25">
      <c r="B905" s="3">
        <f t="shared" si="111"/>
        <v>4425</v>
      </c>
      <c r="C905" s="14">
        <f t="shared" si="112"/>
        <v>73.75</v>
      </c>
      <c r="D905" s="11">
        <f t="shared" si="113"/>
        <v>976.19768090403295</v>
      </c>
      <c r="E905" s="24">
        <f t="shared" si="114"/>
        <v>455.67528640815118</v>
      </c>
      <c r="F905" s="38">
        <f t="shared" si="109"/>
        <v>0.94880270356980678</v>
      </c>
      <c r="G905" s="14">
        <f t="shared" si="110"/>
        <v>0</v>
      </c>
      <c r="H905" s="24">
        <f t="shared" si="116"/>
        <v>636.3738635857469</v>
      </c>
      <c r="I905" s="12">
        <f t="shared" si="115"/>
        <v>0.4245891612039332</v>
      </c>
      <c r="J905" s="3"/>
    </row>
    <row r="906" spans="2:10" x14ac:dyDescent="0.25">
      <c r="B906" s="3">
        <f t="shared" si="111"/>
        <v>4430</v>
      </c>
      <c r="C906" s="14">
        <f t="shared" si="112"/>
        <v>73.833333333333329</v>
      </c>
      <c r="D906" s="11">
        <f t="shared" si="113"/>
        <v>976.36660042165033</v>
      </c>
      <c r="E906" s="24">
        <f t="shared" si="114"/>
        <v>456.09987556935511</v>
      </c>
      <c r="F906" s="38">
        <f t="shared" si="109"/>
        <v>0.94841273846497143</v>
      </c>
      <c r="G906" s="14">
        <f t="shared" si="110"/>
        <v>0</v>
      </c>
      <c r="H906" s="24">
        <f t="shared" si="116"/>
        <v>636.63552561364145</v>
      </c>
      <c r="I906" s="12">
        <f t="shared" si="115"/>
        <v>0.42426078250908261</v>
      </c>
      <c r="J906" s="3"/>
    </row>
    <row r="907" spans="2:10" x14ac:dyDescent="0.25">
      <c r="B907" s="3">
        <f t="shared" si="111"/>
        <v>4435</v>
      </c>
      <c r="C907" s="14">
        <f t="shared" si="112"/>
        <v>73.916666666666671</v>
      </c>
      <c r="D907" s="11">
        <f t="shared" si="113"/>
        <v>976.53532971454547</v>
      </c>
      <c r="E907" s="24">
        <f t="shared" si="114"/>
        <v>456.52413635186417</v>
      </c>
      <c r="F907" s="38">
        <f t="shared" si="109"/>
        <v>0.94802267260700968</v>
      </c>
      <c r="G907" s="14">
        <f t="shared" si="110"/>
        <v>0</v>
      </c>
      <c r="H907" s="24">
        <f t="shared" si="116"/>
        <v>636.89747059626995</v>
      </c>
      <c r="I907" s="12">
        <f t="shared" si="115"/>
        <v>0.42393253605800502</v>
      </c>
      <c r="J907" s="3"/>
    </row>
    <row r="908" spans="2:10" x14ac:dyDescent="0.25">
      <c r="B908" s="3">
        <f t="shared" si="111"/>
        <v>4440</v>
      </c>
      <c r="C908" s="14">
        <f t="shared" si="112"/>
        <v>74</v>
      </c>
      <c r="D908" s="11">
        <f t="shared" si="113"/>
        <v>976.70386921067063</v>
      </c>
      <c r="E908" s="24">
        <f t="shared" si="114"/>
        <v>456.9480688879222</v>
      </c>
      <c r="F908" s="38">
        <f t="shared" si="109"/>
        <v>0.94763250668239563</v>
      </c>
      <c r="G908" s="14">
        <f t="shared" si="110"/>
        <v>0</v>
      </c>
      <c r="H908" s="24">
        <f t="shared" si="116"/>
        <v>637.15969850502893</v>
      </c>
      <c r="I908" s="12">
        <f t="shared" si="115"/>
        <v>0.42360442247824603</v>
      </c>
      <c r="J908" s="3"/>
    </row>
    <row r="909" spans="2:10" x14ac:dyDescent="0.25">
      <c r="B909" s="3">
        <f t="shared" si="111"/>
        <v>4445</v>
      </c>
      <c r="C909" s="14">
        <f t="shared" si="112"/>
        <v>74.083333333333329</v>
      </c>
      <c r="D909" s="11">
        <f t="shared" si="113"/>
        <v>976.87221933653541</v>
      </c>
      <c r="E909" s="24">
        <f t="shared" si="114"/>
        <v>457.37167331040047</v>
      </c>
      <c r="F909" s="38">
        <f t="shared" si="109"/>
        <v>0.94724224138090907</v>
      </c>
      <c r="G909" s="14">
        <f t="shared" si="110"/>
        <v>0</v>
      </c>
      <c r="H909" s="24">
        <f t="shared" si="116"/>
        <v>637.42220930846383</v>
      </c>
      <c r="I909" s="12">
        <f t="shared" si="115"/>
        <v>0.42327644239525536</v>
      </c>
      <c r="J909" s="3"/>
    </row>
    <row r="910" spans="2:10" x14ac:dyDescent="0.25">
      <c r="B910" s="3">
        <f t="shared" si="111"/>
        <v>4450</v>
      </c>
      <c r="C910" s="14">
        <f t="shared" si="112"/>
        <v>74.166666666666671</v>
      </c>
      <c r="D910" s="11">
        <f t="shared" si="113"/>
        <v>977.04038051721375</v>
      </c>
      <c r="E910" s="24">
        <f t="shared" si="114"/>
        <v>457.79494975279573</v>
      </c>
      <c r="F910" s="38">
        <f t="shared" si="109"/>
        <v>0.9468518773955904</v>
      </c>
      <c r="G910" s="14">
        <f t="shared" si="110"/>
        <v>0</v>
      </c>
      <c r="H910" s="24">
        <f t="shared" si="116"/>
        <v>637.68500297228434</v>
      </c>
      <c r="I910" s="12">
        <f t="shared" si="115"/>
        <v>0.42294859643230354</v>
      </c>
      <c r="J910" s="3"/>
    </row>
    <row r="911" spans="2:10" x14ac:dyDescent="0.25">
      <c r="B911" s="3">
        <f t="shared" si="111"/>
        <v>4455</v>
      </c>
      <c r="C911" s="14">
        <f t="shared" si="112"/>
        <v>74.25</v>
      </c>
      <c r="D911" s="11">
        <f t="shared" si="113"/>
        <v>977.20835317634953</v>
      </c>
      <c r="E911" s="24">
        <f t="shared" si="114"/>
        <v>458.21789834922805</v>
      </c>
      <c r="F911" s="38">
        <f t="shared" si="109"/>
        <v>0.9464614154227089</v>
      </c>
      <c r="G911" s="14">
        <f t="shared" si="110"/>
        <v>0</v>
      </c>
      <c r="H911" s="24">
        <f t="shared" si="116"/>
        <v>637.94807945937646</v>
      </c>
      <c r="I911" s="12">
        <f t="shared" si="115"/>
        <v>0.42262088521062668</v>
      </c>
      <c r="J911" s="3"/>
    </row>
    <row r="912" spans="2:10" x14ac:dyDescent="0.25">
      <c r="B912" s="3">
        <f t="shared" si="111"/>
        <v>4460</v>
      </c>
      <c r="C912" s="14">
        <f t="shared" si="112"/>
        <v>74.333333333333329</v>
      </c>
      <c r="D912" s="11">
        <f t="shared" si="113"/>
        <v>977.37613773616363</v>
      </c>
      <c r="E912" s="24">
        <f t="shared" si="114"/>
        <v>458.64051923443867</v>
      </c>
      <c r="F912" s="38">
        <f t="shared" si="109"/>
        <v>0.94607085616172004</v>
      </c>
      <c r="G912" s="14">
        <f t="shared" si="110"/>
        <v>0</v>
      </c>
      <c r="H912" s="24">
        <f t="shared" si="116"/>
        <v>638.21143872981611</v>
      </c>
      <c r="I912" s="12">
        <f t="shared" si="115"/>
        <v>0.42229330934927578</v>
      </c>
      <c r="J912" s="3"/>
    </row>
    <row r="913" spans="2:10" x14ac:dyDescent="0.25">
      <c r="B913" s="3">
        <f t="shared" si="111"/>
        <v>4465</v>
      </c>
      <c r="C913" s="14">
        <f t="shared" si="112"/>
        <v>74.416666666666671</v>
      </c>
      <c r="D913" s="11">
        <f t="shared" si="113"/>
        <v>977.54373461746013</v>
      </c>
      <c r="E913" s="24">
        <f t="shared" si="114"/>
        <v>459.06281254378797</v>
      </c>
      <c r="F913" s="38">
        <f t="shared" si="109"/>
        <v>0.94568020031522881</v>
      </c>
      <c r="G913" s="14">
        <f t="shared" si="110"/>
        <v>0</v>
      </c>
      <c r="H913" s="24">
        <f t="shared" si="116"/>
        <v>638.47508074088296</v>
      </c>
      <c r="I913" s="12">
        <f t="shared" si="115"/>
        <v>0.42196586946519266</v>
      </c>
      <c r="J913" s="3"/>
    </row>
    <row r="914" spans="2:10" x14ac:dyDescent="0.25">
      <c r="B914" s="3">
        <f t="shared" si="111"/>
        <v>4470</v>
      </c>
      <c r="C914" s="14">
        <f t="shared" si="112"/>
        <v>74.5</v>
      </c>
      <c r="D914" s="11">
        <f t="shared" si="113"/>
        <v>977.71114423963229</v>
      </c>
      <c r="E914" s="24">
        <f t="shared" si="114"/>
        <v>459.48477841325314</v>
      </c>
      <c r="F914" s="38">
        <f t="shared" si="109"/>
        <v>0.94528944858895347</v>
      </c>
      <c r="G914" s="14">
        <f t="shared" si="110"/>
        <v>0</v>
      </c>
      <c r="H914" s="24">
        <f t="shared" si="116"/>
        <v>638.73900544707294</v>
      </c>
      <c r="I914" s="12">
        <f t="shared" si="115"/>
        <v>0.42163856617324053</v>
      </c>
      <c r="J914" s="3"/>
    </row>
    <row r="915" spans="2:10" x14ac:dyDescent="0.25">
      <c r="B915" s="3">
        <f t="shared" si="111"/>
        <v>4475</v>
      </c>
      <c r="C915" s="14">
        <f t="shared" si="112"/>
        <v>74.583333333333329</v>
      </c>
      <c r="D915" s="11">
        <f t="shared" si="113"/>
        <v>977.87836702066943</v>
      </c>
      <c r="E915" s="24">
        <f t="shared" si="114"/>
        <v>459.90641697942635</v>
      </c>
      <c r="F915" s="38">
        <f t="shared" si="109"/>
        <v>0.94489860169168438</v>
      </c>
      <c r="G915" s="14">
        <f t="shared" si="110"/>
        <v>0</v>
      </c>
      <c r="H915" s="24">
        <f t="shared" si="116"/>
        <v>639.00321280011258</v>
      </c>
      <c r="I915" s="12">
        <f t="shared" si="115"/>
        <v>0.42131140008609941</v>
      </c>
      <c r="J915" s="3"/>
    </row>
    <row r="916" spans="2:10" x14ac:dyDescent="0.25">
      <c r="B916" s="3">
        <f t="shared" si="111"/>
        <v>4480</v>
      </c>
      <c r="C916" s="14">
        <f t="shared" si="112"/>
        <v>74.666666666666671</v>
      </c>
      <c r="D916" s="11">
        <f t="shared" si="113"/>
        <v>978.0454033771631</v>
      </c>
      <c r="E916" s="24">
        <f t="shared" si="114"/>
        <v>460.32772837951245</v>
      </c>
      <c r="F916" s="38">
        <f t="shared" ref="F916:F979" si="117">Cp*RhoP/(RhoA*H916)*dp/1000*MassivP</f>
        <v>0.94450766033524947</v>
      </c>
      <c r="G916" s="14">
        <f t="shared" ref="G916:G979" si="118">Phi*EpsilonF*Botzman/10^8*J916*((D916+273)^4-(E916+273)^4)</f>
        <v>0</v>
      </c>
      <c r="H916" s="24">
        <f t="shared" si="116"/>
        <v>639.26770274897081</v>
      </c>
      <c r="I916" s="12">
        <f t="shared" si="115"/>
        <v>0.42098437181434323</v>
      </c>
      <c r="J916" s="3"/>
    </row>
    <row r="917" spans="2:10" x14ac:dyDescent="0.25">
      <c r="B917" s="3">
        <f t="shared" ref="B917:B980" si="119">B916+DeltaT</f>
        <v>4485</v>
      </c>
      <c r="C917" s="14">
        <f t="shared" ref="C917:C980" si="120">B917/60</f>
        <v>74.75</v>
      </c>
      <c r="D917" s="11">
        <f t="shared" ref="D917:D980" si="121">20+345*LOG(8*C917+1,10)</f>
        <v>978.21225372431229</v>
      </c>
      <c r="E917" s="24">
        <f t="shared" ref="E917:E980" si="122">E916+IF(Limit=Oui,MAX(0,I916),I916)</f>
        <v>460.74871275132682</v>
      </c>
      <c r="F917" s="38">
        <f t="shared" si="117"/>
        <v>0.94411662523447493</v>
      </c>
      <c r="G917" s="14">
        <f t="shared" si="118"/>
        <v>0</v>
      </c>
      <c r="H917" s="24">
        <f t="shared" si="116"/>
        <v>639.53247523987397</v>
      </c>
      <c r="I917" s="12">
        <f t="shared" ref="I917:I980" si="123">LambdaP*MassivP/(dp/1000)/(H917*RhoA)/(1+F917/3)*(D917-E917)*DeltaT-(EXP(F917/10)-1)*(D917-D916)</f>
        <v>0.42065748196652386</v>
      </c>
      <c r="J917" s="3"/>
    </row>
    <row r="918" spans="2:10" x14ac:dyDescent="0.25">
      <c r="B918" s="3">
        <f t="shared" si="119"/>
        <v>4490</v>
      </c>
      <c r="C918" s="14">
        <f t="shared" si="120"/>
        <v>74.833333333333329</v>
      </c>
      <c r="D918" s="11">
        <f t="shared" si="121"/>
        <v>978.37891847593164</v>
      </c>
      <c r="E918" s="24">
        <f t="shared" si="122"/>
        <v>461.16937023329336</v>
      </c>
      <c r="F918" s="38">
        <f t="shared" si="117"/>
        <v>0.9437254971071487</v>
      </c>
      <c r="G918" s="14">
        <f t="shared" si="118"/>
        <v>0</v>
      </c>
      <c r="H918" s="24">
        <f t="shared" si="116"/>
        <v>639.79753021631734</v>
      </c>
      <c r="I918" s="12">
        <f t="shared" si="123"/>
        <v>0.42033073114887898</v>
      </c>
      <c r="J918" s="3"/>
    </row>
    <row r="919" spans="2:10" x14ac:dyDescent="0.25">
      <c r="B919" s="3">
        <f t="shared" si="119"/>
        <v>4495</v>
      </c>
      <c r="C919" s="14">
        <f t="shared" si="120"/>
        <v>74.916666666666671</v>
      </c>
      <c r="D919" s="11">
        <f t="shared" si="121"/>
        <v>978.5453980444554</v>
      </c>
      <c r="E919" s="24">
        <f t="shared" si="122"/>
        <v>461.58970096444222</v>
      </c>
      <c r="F919" s="38">
        <f t="shared" si="117"/>
        <v>0.94333427667398351</v>
      </c>
      <c r="G919" s="14">
        <f t="shared" si="118"/>
        <v>0</v>
      </c>
      <c r="H919" s="24">
        <f t="shared" si="116"/>
        <v>640.06286761907973</v>
      </c>
      <c r="I919" s="12">
        <f t="shared" si="123"/>
        <v>0.42000411996574294</v>
      </c>
      <c r="J919" s="3"/>
    </row>
    <row r="920" spans="2:10" x14ac:dyDescent="0.25">
      <c r="B920" s="3">
        <f t="shared" si="119"/>
        <v>4500</v>
      </c>
      <c r="C920" s="14">
        <f t="shared" si="120"/>
        <v>75</v>
      </c>
      <c r="D920" s="11">
        <f t="shared" si="121"/>
        <v>978.71169284094503</v>
      </c>
      <c r="E920" s="24">
        <f t="shared" si="122"/>
        <v>462.00970508440798</v>
      </c>
      <c r="F920" s="38">
        <f t="shared" si="117"/>
        <v>0.94294296465857819</v>
      </c>
      <c r="G920" s="14">
        <f t="shared" si="118"/>
        <v>0</v>
      </c>
      <c r="H920" s="24">
        <f t="shared" si="116"/>
        <v>640.32848738623579</v>
      </c>
      <c r="I920" s="12">
        <f t="shared" si="123"/>
        <v>0.41967764901918447</v>
      </c>
      <c r="J920" s="3"/>
    </row>
    <row r="921" spans="2:10" x14ac:dyDescent="0.25">
      <c r="B921" s="3">
        <f t="shared" si="119"/>
        <v>4505</v>
      </c>
      <c r="C921" s="14">
        <f t="shared" si="120"/>
        <v>75.083333333333329</v>
      </c>
      <c r="D921" s="11">
        <f t="shared" si="121"/>
        <v>978.87780327509495</v>
      </c>
      <c r="E921" s="24">
        <f t="shared" si="122"/>
        <v>462.42938273342719</v>
      </c>
      <c r="F921" s="38">
        <f t="shared" si="117"/>
        <v>0.94255156178738331</v>
      </c>
      <c r="G921" s="14">
        <f t="shared" si="118"/>
        <v>0</v>
      </c>
      <c r="H921" s="24">
        <f t="shared" si="116"/>
        <v>640.59438945316947</v>
      </c>
      <c r="I921" s="12">
        <f t="shared" si="123"/>
        <v>0.41935131890919519</v>
      </c>
      <c r="J921" s="3"/>
    </row>
    <row r="922" spans="2:10" x14ac:dyDescent="0.25">
      <c r="B922" s="3">
        <f t="shared" si="119"/>
        <v>4510</v>
      </c>
      <c r="C922" s="14">
        <f t="shared" si="120"/>
        <v>75.166666666666671</v>
      </c>
      <c r="D922" s="11">
        <f t="shared" si="121"/>
        <v>979.04372975523791</v>
      </c>
      <c r="E922" s="24">
        <f t="shared" si="122"/>
        <v>462.8487340523364</v>
      </c>
      <c r="F922" s="38">
        <f t="shared" si="117"/>
        <v>0.94216006878966274</v>
      </c>
      <c r="G922" s="14">
        <f t="shared" si="118"/>
        <v>0</v>
      </c>
      <c r="H922" s="24">
        <f t="shared" si="116"/>
        <v>640.86057375258702</v>
      </c>
      <c r="I922" s="12">
        <f t="shared" si="123"/>
        <v>0.41902513023370908</v>
      </c>
      <c r="J922" s="3"/>
    </row>
    <row r="923" spans="2:10" x14ac:dyDescent="0.25">
      <c r="B923" s="3">
        <f t="shared" si="119"/>
        <v>4515</v>
      </c>
      <c r="C923" s="14">
        <f t="shared" si="120"/>
        <v>75.25</v>
      </c>
      <c r="D923" s="11">
        <f t="shared" si="121"/>
        <v>979.20947268835221</v>
      </c>
      <c r="E923" s="24">
        <f t="shared" si="122"/>
        <v>463.2677591825701</v>
      </c>
      <c r="F923" s="38">
        <f t="shared" si="117"/>
        <v>0.94176848639745736</v>
      </c>
      <c r="G923" s="14">
        <f t="shared" si="118"/>
        <v>0</v>
      </c>
      <c r="H923" s="24">
        <f t="shared" si="116"/>
        <v>641.12704021453055</v>
      </c>
      <c r="I923" s="12">
        <f t="shared" si="123"/>
        <v>0.4186990835884305</v>
      </c>
      <c r="J923" s="3"/>
    </row>
    <row r="924" spans="2:10" x14ac:dyDescent="0.25">
      <c r="B924" s="3">
        <f t="shared" si="119"/>
        <v>4520</v>
      </c>
      <c r="C924" s="14">
        <f t="shared" si="120"/>
        <v>75.333333333333329</v>
      </c>
      <c r="D924" s="11">
        <f t="shared" si="121"/>
        <v>979.37503248006658</v>
      </c>
      <c r="E924" s="24">
        <f t="shared" si="122"/>
        <v>463.68645826615852</v>
      </c>
      <c r="F924" s="38">
        <f t="shared" si="117"/>
        <v>0.9413768153455484</v>
      </c>
      <c r="G924" s="14">
        <f t="shared" si="118"/>
        <v>0</v>
      </c>
      <c r="H924" s="24">
        <f t="shared" si="116"/>
        <v>641.39378876639057</v>
      </c>
      <c r="I924" s="12">
        <f t="shared" si="123"/>
        <v>0.41837317956705672</v>
      </c>
      <c r="J924" s="3"/>
    </row>
    <row r="925" spans="2:10" x14ac:dyDescent="0.25">
      <c r="B925" s="3">
        <f t="shared" si="119"/>
        <v>4525</v>
      </c>
      <c r="C925" s="14">
        <f t="shared" si="120"/>
        <v>75.416666666666671</v>
      </c>
      <c r="D925" s="11">
        <f t="shared" si="121"/>
        <v>979.54040953466699</v>
      </c>
      <c r="E925" s="24">
        <f t="shared" si="122"/>
        <v>464.10483144572561</v>
      </c>
      <c r="F925" s="38">
        <f t="shared" si="117"/>
        <v>0.94098505637142305</v>
      </c>
      <c r="G925" s="14">
        <f t="shared" si="118"/>
        <v>0</v>
      </c>
      <c r="H925" s="24">
        <f t="shared" si="116"/>
        <v>641.66081933291889</v>
      </c>
      <c r="I925" s="12">
        <f t="shared" si="123"/>
        <v>0.41804741876108403</v>
      </c>
      <c r="J925" s="3"/>
    </row>
    <row r="926" spans="2:10" x14ac:dyDescent="0.25">
      <c r="B926" s="3">
        <f t="shared" si="119"/>
        <v>4530</v>
      </c>
      <c r="C926" s="14">
        <f t="shared" si="120"/>
        <v>75.5</v>
      </c>
      <c r="D926" s="11">
        <f t="shared" si="121"/>
        <v>979.70560425510166</v>
      </c>
      <c r="E926" s="24">
        <f t="shared" si="122"/>
        <v>464.5228788644867</v>
      </c>
      <c r="F926" s="38">
        <f t="shared" si="117"/>
        <v>0.94059321021523523</v>
      </c>
      <c r="G926" s="14">
        <f t="shared" si="118"/>
        <v>0</v>
      </c>
      <c r="H926" s="24">
        <f t="shared" si="116"/>
        <v>641.92813183624253</v>
      </c>
      <c r="I926" s="12">
        <f t="shared" si="123"/>
        <v>0.41772180175998408</v>
      </c>
      <c r="J926" s="3"/>
    </row>
    <row r="927" spans="2:10" x14ac:dyDescent="0.25">
      <c r="B927" s="3">
        <f t="shared" si="119"/>
        <v>4535</v>
      </c>
      <c r="C927" s="14">
        <f t="shared" si="120"/>
        <v>75.583333333333329</v>
      </c>
      <c r="D927" s="11">
        <f t="shared" si="121"/>
        <v>979.8706170429881</v>
      </c>
      <c r="E927" s="24">
        <f t="shared" si="122"/>
        <v>464.94060066624667</v>
      </c>
      <c r="F927" s="38">
        <f t="shared" si="117"/>
        <v>0.94020127761977224</v>
      </c>
      <c r="G927" s="14">
        <f t="shared" si="118"/>
        <v>0</v>
      </c>
      <c r="H927" s="24">
        <f t="shared" si="116"/>
        <v>642.19572619587598</v>
      </c>
      <c r="I927" s="12">
        <f t="shared" si="123"/>
        <v>0.41739632915099939</v>
      </c>
      <c r="J927" s="3"/>
    </row>
    <row r="928" spans="2:10" x14ac:dyDescent="0.25">
      <c r="B928" s="3">
        <f t="shared" si="119"/>
        <v>4540</v>
      </c>
      <c r="C928" s="14">
        <f t="shared" si="120"/>
        <v>75.666666666666671</v>
      </c>
      <c r="D928" s="11">
        <f t="shared" si="121"/>
        <v>980.03544829861812</v>
      </c>
      <c r="E928" s="24">
        <f t="shared" si="122"/>
        <v>465.35799699539768</v>
      </c>
      <c r="F928" s="38">
        <f t="shared" si="117"/>
        <v>0.93980925933041759</v>
      </c>
      <c r="G928" s="14">
        <f t="shared" si="118"/>
        <v>0</v>
      </c>
      <c r="H928" s="24">
        <f t="shared" si="116"/>
        <v>642.46360232873485</v>
      </c>
      <c r="I928" s="12">
        <f t="shared" si="123"/>
        <v>0.41707100151934268</v>
      </c>
      <c r="J928" s="3"/>
    </row>
    <row r="929" spans="2:10" x14ac:dyDescent="0.25">
      <c r="B929" s="3">
        <f t="shared" si="119"/>
        <v>4545</v>
      </c>
      <c r="C929" s="14">
        <f t="shared" si="120"/>
        <v>75.75</v>
      </c>
      <c r="D929" s="11">
        <f t="shared" si="121"/>
        <v>980.20009842096385</v>
      </c>
      <c r="E929" s="24">
        <f t="shared" si="122"/>
        <v>465.77506799691702</v>
      </c>
      <c r="F929" s="38">
        <f t="shared" si="117"/>
        <v>0.93941715609511534</v>
      </c>
      <c r="G929" s="14">
        <f t="shared" si="118"/>
        <v>0</v>
      </c>
      <c r="H929" s="24">
        <f t="shared" si="116"/>
        <v>642.73176014914759</v>
      </c>
      <c r="I929" s="12">
        <f t="shared" si="123"/>
        <v>0.41674581944809341</v>
      </c>
      <c r="J929" s="3"/>
    </row>
    <row r="930" spans="2:10" x14ac:dyDescent="0.25">
      <c r="B930" s="3">
        <f t="shared" si="119"/>
        <v>4550</v>
      </c>
      <c r="C930" s="14">
        <f t="shared" si="120"/>
        <v>75.833333333333329</v>
      </c>
      <c r="D930" s="11">
        <f t="shared" si="121"/>
        <v>980.36456780768322</v>
      </c>
      <c r="E930" s="24">
        <f t="shared" si="122"/>
        <v>466.19181381636508</v>
      </c>
      <c r="F930" s="38">
        <f t="shared" si="117"/>
        <v>0.93902496866433594</v>
      </c>
      <c r="G930" s="14">
        <f t="shared" si="118"/>
        <v>0</v>
      </c>
      <c r="H930" s="24">
        <f t="shared" si="116"/>
        <v>643.00019956887013</v>
      </c>
      <c r="I930" s="12">
        <f t="shared" si="123"/>
        <v>0.4164207835182499</v>
      </c>
      <c r="J930" s="3"/>
    </row>
    <row r="931" spans="2:10" x14ac:dyDescent="0.25">
      <c r="B931" s="3">
        <f t="shared" si="119"/>
        <v>4555</v>
      </c>
      <c r="C931" s="14">
        <f t="shared" si="120"/>
        <v>75.916666666666671</v>
      </c>
      <c r="D931" s="11">
        <f t="shared" si="121"/>
        <v>980.52885685512661</v>
      </c>
      <c r="E931" s="24">
        <f t="shared" si="122"/>
        <v>466.60823459988336</v>
      </c>
      <c r="F931" s="38">
        <f t="shared" si="117"/>
        <v>0.93863269779103953</v>
      </c>
      <c r="G931" s="14">
        <f t="shared" si="118"/>
        <v>0</v>
      </c>
      <c r="H931" s="24">
        <f t="shared" si="116"/>
        <v>643.26892049709727</v>
      </c>
      <c r="I931" s="12">
        <f t="shared" si="123"/>
        <v>0.41609589430860489</v>
      </c>
      <c r="J931" s="3"/>
    </row>
    <row r="932" spans="2:10" x14ac:dyDescent="0.25">
      <c r="B932" s="3">
        <f t="shared" si="119"/>
        <v>4560</v>
      </c>
      <c r="C932" s="14">
        <f t="shared" si="120"/>
        <v>76</v>
      </c>
      <c r="D932" s="11">
        <f t="shared" si="121"/>
        <v>980.69296595834192</v>
      </c>
      <c r="E932" s="24">
        <f t="shared" si="122"/>
        <v>467.02433049419199</v>
      </c>
      <c r="F932" s="38">
        <f t="shared" si="117"/>
        <v>0.93824034423064051</v>
      </c>
      <c r="G932" s="14">
        <f t="shared" si="118"/>
        <v>0</v>
      </c>
      <c r="H932" s="24">
        <f t="shared" si="116"/>
        <v>643.53792284047654</v>
      </c>
      <c r="I932" s="12">
        <f t="shared" si="123"/>
        <v>0.4157711523959105</v>
      </c>
      <c r="J932" s="3"/>
    </row>
    <row r="933" spans="2:10" x14ac:dyDescent="0.25">
      <c r="B933" s="3">
        <f t="shared" si="119"/>
        <v>4565</v>
      </c>
      <c r="C933" s="14">
        <f t="shared" si="120"/>
        <v>76.083333333333329</v>
      </c>
      <c r="D933" s="11">
        <f t="shared" si="121"/>
        <v>980.85689551108021</v>
      </c>
      <c r="E933" s="24">
        <f t="shared" si="122"/>
        <v>467.44010164658789</v>
      </c>
      <c r="F933" s="38">
        <f t="shared" si="117"/>
        <v>0.93784790874097357</v>
      </c>
      <c r="G933" s="14">
        <f t="shared" si="118"/>
        <v>0</v>
      </c>
      <c r="H933" s="24">
        <f t="shared" si="116"/>
        <v>643.80720650312094</v>
      </c>
      <c r="I933" s="12">
        <f t="shared" si="123"/>
        <v>0.41544655835480793</v>
      </c>
      <c r="J933" s="3"/>
    </row>
    <row r="934" spans="2:10" x14ac:dyDescent="0.25">
      <c r="B934" s="3">
        <f t="shared" si="119"/>
        <v>4570</v>
      </c>
      <c r="C934" s="14">
        <f t="shared" si="120"/>
        <v>76.166666666666671</v>
      </c>
      <c r="D934" s="11">
        <f t="shared" si="121"/>
        <v>981.02064590580176</v>
      </c>
      <c r="E934" s="24">
        <f t="shared" si="122"/>
        <v>467.85554820494269</v>
      </c>
      <c r="F934" s="38">
        <f t="shared" si="117"/>
        <v>0.93745539208225881</v>
      </c>
      <c r="G934" s="14">
        <f t="shared" si="118"/>
        <v>0</v>
      </c>
      <c r="H934" s="24">
        <f t="shared" si="116"/>
        <v>644.07677138662109</v>
      </c>
      <c r="I934" s="12">
        <f t="shared" si="123"/>
        <v>0.41512211275779193</v>
      </c>
      <c r="J934" s="3"/>
    </row>
    <row r="935" spans="2:10" x14ac:dyDescent="0.25">
      <c r="B935" s="3">
        <f t="shared" si="119"/>
        <v>4575</v>
      </c>
      <c r="C935" s="14">
        <f t="shared" si="120"/>
        <v>76.25</v>
      </c>
      <c r="D935" s="11">
        <f t="shared" si="121"/>
        <v>981.18421753368114</v>
      </c>
      <c r="E935" s="24">
        <f t="shared" si="122"/>
        <v>468.27067031770048</v>
      </c>
      <c r="F935" s="38">
        <f t="shared" si="117"/>
        <v>0.93706279501706458</v>
      </c>
      <c r="G935" s="14">
        <f t="shared" si="118"/>
        <v>0</v>
      </c>
      <c r="H935" s="24">
        <f t="shared" si="116"/>
        <v>644.34661739005935</v>
      </c>
      <c r="I935" s="12">
        <f t="shared" si="123"/>
        <v>0.41479781617529682</v>
      </c>
      <c r="J935" s="3"/>
    </row>
    <row r="936" spans="2:10" x14ac:dyDescent="0.25">
      <c r="B936" s="3">
        <f t="shared" si="119"/>
        <v>4580</v>
      </c>
      <c r="C936" s="14">
        <f t="shared" si="120"/>
        <v>76.333333333333329</v>
      </c>
      <c r="D936" s="11">
        <f t="shared" si="121"/>
        <v>981.34761078461372</v>
      </c>
      <c r="E936" s="24">
        <f t="shared" si="122"/>
        <v>468.68546813387576</v>
      </c>
      <c r="F936" s="38">
        <f t="shared" si="117"/>
        <v>0.93667011831027724</v>
      </c>
      <c r="G936" s="14">
        <f t="shared" si="118"/>
        <v>0</v>
      </c>
      <c r="H936" s="24">
        <f t="shared" si="116"/>
        <v>644.61674441002094</v>
      </c>
      <c r="I936" s="12">
        <f t="shared" si="123"/>
        <v>0.41447366917556161</v>
      </c>
      <c r="J936" s="3"/>
    </row>
    <row r="937" spans="2:10" x14ac:dyDescent="0.25">
      <c r="B937" s="3">
        <f t="shared" si="119"/>
        <v>4585</v>
      </c>
      <c r="C937" s="14">
        <f t="shared" si="120"/>
        <v>76.416666666666671</v>
      </c>
      <c r="D937" s="11">
        <f t="shared" si="121"/>
        <v>981.51082604722023</v>
      </c>
      <c r="E937" s="24">
        <f t="shared" si="122"/>
        <v>469.09994180305131</v>
      </c>
      <c r="F937" s="38">
        <f t="shared" si="117"/>
        <v>0.93627736272906326</v>
      </c>
      <c r="G937" s="14">
        <f t="shared" si="118"/>
        <v>0</v>
      </c>
      <c r="H937" s="24">
        <f t="shared" si="116"/>
        <v>644.88715234060805</v>
      </c>
      <c r="I937" s="12">
        <f t="shared" si="123"/>
        <v>0.41414967232481548</v>
      </c>
      <c r="J937" s="3"/>
    </row>
    <row r="938" spans="2:10" x14ac:dyDescent="0.25">
      <c r="B938" s="3">
        <f t="shared" si="119"/>
        <v>4590</v>
      </c>
      <c r="C938" s="14">
        <f t="shared" si="120"/>
        <v>76.5</v>
      </c>
      <c r="D938" s="11">
        <f t="shared" si="121"/>
        <v>981.67386370885322</v>
      </c>
      <c r="E938" s="24">
        <f t="shared" si="122"/>
        <v>469.51409147537612</v>
      </c>
      <c r="F938" s="38">
        <f t="shared" si="117"/>
        <v>0.93588452904283503</v>
      </c>
      <c r="G938" s="14">
        <f t="shared" si="118"/>
        <v>0</v>
      </c>
      <c r="H938" s="24">
        <f t="shared" si="116"/>
        <v>645.15784107345235</v>
      </c>
      <c r="I938" s="12">
        <f t="shared" si="123"/>
        <v>0.41382582618708658</v>
      </c>
      <c r="J938" s="3"/>
    </row>
    <row r="939" spans="2:10" x14ac:dyDescent="0.25">
      <c r="B939" s="3">
        <f t="shared" si="119"/>
        <v>4595</v>
      </c>
      <c r="C939" s="14">
        <f t="shared" si="120"/>
        <v>76.583333333333329</v>
      </c>
      <c r="D939" s="11">
        <f t="shared" si="121"/>
        <v>981.83672415560136</v>
      </c>
      <c r="E939" s="24">
        <f t="shared" si="122"/>
        <v>469.92791730156318</v>
      </c>
      <c r="F939" s="38">
        <f t="shared" si="117"/>
        <v>0.93549161802321879</v>
      </c>
      <c r="G939" s="14">
        <f t="shared" si="118"/>
        <v>0</v>
      </c>
      <c r="H939" s="24">
        <f t="shared" si="116"/>
        <v>645.428810497727</v>
      </c>
      <c r="I939" s="12">
        <f t="shared" si="123"/>
        <v>0.4135021313244111</v>
      </c>
      <c r="J939" s="3"/>
    </row>
    <row r="940" spans="2:10" x14ac:dyDescent="0.25">
      <c r="B940" s="3">
        <f t="shared" si="119"/>
        <v>4600</v>
      </c>
      <c r="C940" s="14">
        <f t="shared" si="120"/>
        <v>76.666666666666671</v>
      </c>
      <c r="D940" s="11">
        <f t="shared" si="121"/>
        <v>981.99940777229699</v>
      </c>
      <c r="E940" s="24">
        <f t="shared" si="122"/>
        <v>470.34141943288762</v>
      </c>
      <c r="F940" s="38">
        <f t="shared" si="117"/>
        <v>0.93509863044401897</v>
      </c>
      <c r="G940" s="14">
        <f t="shared" si="118"/>
        <v>0</v>
      </c>
      <c r="H940" s="24">
        <f t="shared" si="116"/>
        <v>645.70006050016036</v>
      </c>
      <c r="I940" s="12">
        <f t="shared" si="123"/>
        <v>0.4131785882965201</v>
      </c>
      <c r="J940" s="3"/>
    </row>
    <row r="941" spans="2:10" x14ac:dyDescent="0.25">
      <c r="B941" s="3">
        <f t="shared" si="119"/>
        <v>4605</v>
      </c>
      <c r="C941" s="14">
        <f t="shared" si="120"/>
        <v>76.75</v>
      </c>
      <c r="D941" s="11">
        <f t="shared" si="121"/>
        <v>982.16191494251859</v>
      </c>
      <c r="E941" s="24">
        <f t="shared" si="122"/>
        <v>470.75459802118417</v>
      </c>
      <c r="F941" s="38">
        <f t="shared" si="117"/>
        <v>0.93470556708118502</v>
      </c>
      <c r="G941" s="14">
        <f t="shared" si="118"/>
        <v>0</v>
      </c>
      <c r="H941" s="24">
        <f t="shared" si="116"/>
        <v>645.97159096504754</v>
      </c>
      <c r="I941" s="12">
        <f t="shared" si="123"/>
        <v>0.41285519766132456</v>
      </c>
      <c r="J941" s="3"/>
    </row>
    <row r="942" spans="2:10" x14ac:dyDescent="0.25">
      <c r="B942" s="3">
        <f t="shared" si="119"/>
        <v>4610</v>
      </c>
      <c r="C942" s="14">
        <f t="shared" si="120"/>
        <v>76.833333333333329</v>
      </c>
      <c r="D942" s="11">
        <f t="shared" si="121"/>
        <v>982.32424604859955</v>
      </c>
      <c r="E942" s="24">
        <f t="shared" si="122"/>
        <v>471.16745321884548</v>
      </c>
      <c r="F942" s="38">
        <f t="shared" si="117"/>
        <v>0.93431242871277775</v>
      </c>
      <c r="G942" s="14">
        <f t="shared" si="118"/>
        <v>0</v>
      </c>
      <c r="H942" s="24">
        <f t="shared" si="116"/>
        <v>646.24340177426416</v>
      </c>
      <c r="I942" s="12">
        <f t="shared" si="123"/>
        <v>0.41253195997430381</v>
      </c>
      <c r="J942" s="3"/>
    </row>
    <row r="943" spans="2:10" x14ac:dyDescent="0.25">
      <c r="B943" s="3">
        <f t="shared" si="119"/>
        <v>4615</v>
      </c>
      <c r="C943" s="14">
        <f t="shared" si="120"/>
        <v>76.916666666666671</v>
      </c>
      <c r="D943" s="11">
        <f t="shared" si="121"/>
        <v>982.48640147163121</v>
      </c>
      <c r="E943" s="24">
        <f t="shared" si="122"/>
        <v>471.57998517881981</v>
      </c>
      <c r="F943" s="38">
        <f t="shared" si="117"/>
        <v>0.93391921611893491</v>
      </c>
      <c r="G943" s="14">
        <f t="shared" si="118"/>
        <v>0</v>
      </c>
      <c r="H943" s="24">
        <f t="shared" si="116"/>
        <v>646.51549280727818</v>
      </c>
      <c r="I943" s="12">
        <f t="shared" si="123"/>
        <v>0.4122088757890579</v>
      </c>
      <c r="J943" s="3"/>
    </row>
    <row r="944" spans="2:10" x14ac:dyDescent="0.25">
      <c r="B944" s="3">
        <f t="shared" si="119"/>
        <v>4620</v>
      </c>
      <c r="C944" s="14">
        <f t="shared" si="120"/>
        <v>77</v>
      </c>
      <c r="D944" s="11">
        <f t="shared" si="121"/>
        <v>982.64838159146836</v>
      </c>
      <c r="E944" s="24">
        <f t="shared" si="122"/>
        <v>471.99219405460889</v>
      </c>
      <c r="F944" s="38">
        <f t="shared" si="117"/>
        <v>0.93352593008183959</v>
      </c>
      <c r="G944" s="14">
        <f t="shared" si="118"/>
        <v>0</v>
      </c>
      <c r="H944" s="24">
        <f t="shared" si="116"/>
        <v>646.78786394116264</v>
      </c>
      <c r="I944" s="12">
        <f t="shared" si="123"/>
        <v>0.41188594565707165</v>
      </c>
      <c r="J944" s="3"/>
    </row>
    <row r="945" spans="2:10" x14ac:dyDescent="0.25">
      <c r="B945" s="3">
        <f t="shared" si="119"/>
        <v>4625</v>
      </c>
      <c r="C945" s="14">
        <f t="shared" si="120"/>
        <v>77.083333333333329</v>
      </c>
      <c r="D945" s="11">
        <f t="shared" si="121"/>
        <v>982.81018678673604</v>
      </c>
      <c r="E945" s="24">
        <f t="shared" si="122"/>
        <v>472.40408000026594</v>
      </c>
      <c r="F945" s="38">
        <f t="shared" si="117"/>
        <v>0.93313257138568473</v>
      </c>
      <c r="G945" s="14">
        <f t="shared" si="118"/>
        <v>0</v>
      </c>
      <c r="H945" s="24">
        <f t="shared" si="116"/>
        <v>647.06051505060873</v>
      </c>
      <c r="I945" s="12">
        <f t="shared" si="123"/>
        <v>0.4115631701275797</v>
      </c>
      <c r="J945" s="3"/>
    </row>
    <row r="946" spans="2:10" x14ac:dyDescent="0.25">
      <c r="B946" s="3">
        <f t="shared" si="119"/>
        <v>4630</v>
      </c>
      <c r="C946" s="14">
        <f t="shared" si="120"/>
        <v>77.166666666666671</v>
      </c>
      <c r="D946" s="11">
        <f t="shared" si="121"/>
        <v>982.97181743483361</v>
      </c>
      <c r="E946" s="24">
        <f t="shared" si="122"/>
        <v>472.81564317039351</v>
      </c>
      <c r="F946" s="38">
        <f t="shared" si="117"/>
        <v>0.93273914081664233</v>
      </c>
      <c r="G946" s="14">
        <f t="shared" si="118"/>
        <v>0</v>
      </c>
      <c r="H946" s="24">
        <f t="shared" si="116"/>
        <v>647.33344600793771</v>
      </c>
      <c r="I946" s="12">
        <f t="shared" si="123"/>
        <v>0.41124054974783086</v>
      </c>
      <c r="J946" s="3"/>
    </row>
    <row r="947" spans="2:10" x14ac:dyDescent="0.25">
      <c r="B947" s="3">
        <f t="shared" si="119"/>
        <v>4635</v>
      </c>
      <c r="C947" s="14">
        <f t="shared" si="120"/>
        <v>77.25</v>
      </c>
      <c r="D947" s="11">
        <f t="shared" si="121"/>
        <v>983.13327391194059</v>
      </c>
      <c r="E947" s="24">
        <f t="shared" si="122"/>
        <v>473.22688372014136</v>
      </c>
      <c r="F947" s="38">
        <f t="shared" si="117"/>
        <v>0.9323456391628292</v>
      </c>
      <c r="G947" s="14">
        <f t="shared" si="118"/>
        <v>0</v>
      </c>
      <c r="H947" s="24">
        <f t="shared" si="116"/>
        <v>647.60665668311321</v>
      </c>
      <c r="I947" s="12">
        <f t="shared" si="123"/>
        <v>0.41091808506291927</v>
      </c>
      <c r="J947" s="3"/>
    </row>
    <row r="948" spans="2:10" x14ac:dyDescent="0.25">
      <c r="B948" s="3">
        <f t="shared" si="119"/>
        <v>4640</v>
      </c>
      <c r="C948" s="14">
        <f t="shared" si="120"/>
        <v>77.333333333333329</v>
      </c>
      <c r="D948" s="11">
        <f t="shared" si="121"/>
        <v>983.2945565930213</v>
      </c>
      <c r="E948" s="24">
        <f t="shared" si="122"/>
        <v>473.63780180520428</v>
      </c>
      <c r="F948" s="38">
        <f t="shared" si="117"/>
        <v>0.93195206721427393</v>
      </c>
      <c r="G948" s="14">
        <f t="shared" si="118"/>
        <v>0</v>
      </c>
      <c r="H948" s="24">
        <f t="shared" si="116"/>
        <v>647.88014694375499</v>
      </c>
      <c r="I948" s="12">
        <f t="shared" si="123"/>
        <v>0.41059577661589319</v>
      </c>
      <c r="J948" s="3"/>
    </row>
    <row r="949" spans="2:10" x14ac:dyDescent="0.25">
      <c r="B949" s="3">
        <f t="shared" si="119"/>
        <v>4645</v>
      </c>
      <c r="C949" s="14">
        <f t="shared" si="120"/>
        <v>77.416666666666671</v>
      </c>
      <c r="D949" s="11">
        <f t="shared" si="121"/>
        <v>983.45566585183099</v>
      </c>
      <c r="E949" s="24">
        <f t="shared" si="122"/>
        <v>474.04839758182015</v>
      </c>
      <c r="F949" s="38">
        <f t="shared" si="117"/>
        <v>0.93155842576288572</v>
      </c>
      <c r="G949" s="14">
        <f t="shared" si="118"/>
        <v>0</v>
      </c>
      <c r="H949" s="24">
        <f t="shared" si="116"/>
        <v>648.15391665514983</v>
      </c>
      <c r="I949" s="12">
        <f t="shared" si="123"/>
        <v>0.41027362494760894</v>
      </c>
      <c r="J949" s="3"/>
    </row>
    <row r="950" spans="2:10" x14ac:dyDescent="0.25">
      <c r="B950" s="3">
        <f t="shared" si="119"/>
        <v>4650</v>
      </c>
      <c r="C950" s="14">
        <f t="shared" si="120"/>
        <v>77.5</v>
      </c>
      <c r="D950" s="11">
        <f t="shared" si="121"/>
        <v>983.61660206092006</v>
      </c>
      <c r="E950" s="24">
        <f t="shared" si="122"/>
        <v>474.45867120676775</v>
      </c>
      <c r="F950" s="38">
        <f t="shared" si="117"/>
        <v>0.93116471560242031</v>
      </c>
      <c r="G950" s="14">
        <f t="shared" si="118"/>
        <v>0</v>
      </c>
      <c r="H950" s="24">
        <f t="shared" si="116"/>
        <v>648.42796568026529</v>
      </c>
      <c r="I950" s="12">
        <f t="shared" si="123"/>
        <v>0.40995163059691653</v>
      </c>
      <c r="J950" s="3"/>
    </row>
    <row r="951" spans="2:10" x14ac:dyDescent="0.25">
      <c r="B951" s="3">
        <f t="shared" si="119"/>
        <v>4655</v>
      </c>
      <c r="C951" s="14">
        <f t="shared" si="120"/>
        <v>77.583333333333329</v>
      </c>
      <c r="D951" s="11">
        <f t="shared" si="121"/>
        <v>983.7773655916402</v>
      </c>
      <c r="E951" s="24">
        <f t="shared" si="122"/>
        <v>474.86862283736468</v>
      </c>
      <c r="F951" s="38">
        <f t="shared" si="117"/>
        <v>0.93077093752844853</v>
      </c>
      <c r="G951" s="14">
        <f t="shared" si="118"/>
        <v>0</v>
      </c>
      <c r="H951" s="24">
        <f t="shared" ref="H951:H1014" si="124">IF(E951&lt;600,425+0.773*E951-1.69/1000*E951^2+2.22/1000^2*E951^3,IF(E951&lt;735,666+13002/(738-E951),IF(E951&lt;900,545+17820/(E951-731),650)))</f>
        <v>648.70229387976076</v>
      </c>
      <c r="I951" s="12">
        <f t="shared" si="123"/>
        <v>0.40962979410047068</v>
      </c>
      <c r="J951" s="3"/>
    </row>
    <row r="952" spans="2:10" x14ac:dyDescent="0.25">
      <c r="B952" s="3">
        <f t="shared" si="119"/>
        <v>4660</v>
      </c>
      <c r="C952" s="14">
        <f t="shared" si="120"/>
        <v>77.666666666666671</v>
      </c>
      <c r="D952" s="11">
        <f t="shared" si="121"/>
        <v>983.93795681414838</v>
      </c>
      <c r="E952" s="24">
        <f t="shared" si="122"/>
        <v>475.27825263146514</v>
      </c>
      <c r="F952" s="38">
        <f t="shared" si="117"/>
        <v>0.93037709233832422</v>
      </c>
      <c r="G952" s="14">
        <f t="shared" si="118"/>
        <v>0</v>
      </c>
      <c r="H952" s="24">
        <f t="shared" si="124"/>
        <v>648.97690111200143</v>
      </c>
      <c r="I952" s="12">
        <f t="shared" si="123"/>
        <v>0.40930811599293776</v>
      </c>
      <c r="J952" s="3"/>
    </row>
    <row r="953" spans="2:10" x14ac:dyDescent="0.25">
      <c r="B953" s="3">
        <f t="shared" si="119"/>
        <v>4665</v>
      </c>
      <c r="C953" s="14">
        <f t="shared" si="120"/>
        <v>77.75</v>
      </c>
      <c r="D953" s="11">
        <f t="shared" si="121"/>
        <v>984.09837609741339</v>
      </c>
      <c r="E953" s="24">
        <f t="shared" si="122"/>
        <v>475.68756074745806</v>
      </c>
      <c r="F953" s="38">
        <f t="shared" si="117"/>
        <v>0.92998318083115206</v>
      </c>
      <c r="G953" s="14">
        <f t="shared" si="118"/>
        <v>0</v>
      </c>
      <c r="H953" s="24">
        <f t="shared" si="124"/>
        <v>649.25178723306919</v>
      </c>
      <c r="I953" s="12">
        <f t="shared" si="123"/>
        <v>0.40898659680674027</v>
      </c>
      <c r="J953" s="3"/>
    </row>
    <row r="954" spans="2:10" x14ac:dyDescent="0.25">
      <c r="B954" s="3">
        <f t="shared" si="119"/>
        <v>4670</v>
      </c>
      <c r="C954" s="14">
        <f t="shared" si="120"/>
        <v>77.833333333333329</v>
      </c>
      <c r="D954" s="11">
        <f t="shared" si="121"/>
        <v>984.25862380921978</v>
      </c>
      <c r="E954" s="24">
        <f t="shared" si="122"/>
        <v>476.09654734426482</v>
      </c>
      <c r="F954" s="38">
        <f t="shared" si="117"/>
        <v>0.92958920380775567</v>
      </c>
      <c r="G954" s="14">
        <f t="shared" si="118"/>
        <v>0</v>
      </c>
      <c r="H954" s="24">
        <f t="shared" si="124"/>
        <v>649.52695209677597</v>
      </c>
      <c r="I954" s="12">
        <f t="shared" si="123"/>
        <v>0.40866523707231989</v>
      </c>
      <c r="J954" s="3"/>
    </row>
    <row r="955" spans="2:10" x14ac:dyDescent="0.25">
      <c r="B955" s="3">
        <f t="shared" si="119"/>
        <v>4675</v>
      </c>
      <c r="C955" s="14">
        <f t="shared" si="120"/>
        <v>77.916666666666671</v>
      </c>
      <c r="D955" s="11">
        <f t="shared" si="121"/>
        <v>984.41870031617327</v>
      </c>
      <c r="E955" s="24">
        <f t="shared" si="122"/>
        <v>476.50521258133716</v>
      </c>
      <c r="F955" s="38">
        <f t="shared" si="117"/>
        <v>0.92919516207064579</v>
      </c>
      <c r="G955" s="14">
        <f t="shared" si="118"/>
        <v>0</v>
      </c>
      <c r="H955" s="24">
        <f t="shared" si="124"/>
        <v>649.80239555467506</v>
      </c>
      <c r="I955" s="12">
        <f t="shared" si="123"/>
        <v>0.40834403731798141</v>
      </c>
      <c r="J955" s="3"/>
    </row>
    <row r="956" spans="2:10" x14ac:dyDescent="0.25">
      <c r="B956" s="3">
        <f t="shared" si="119"/>
        <v>4680</v>
      </c>
      <c r="C956" s="14">
        <f t="shared" si="120"/>
        <v>78</v>
      </c>
      <c r="D956" s="11">
        <f t="shared" si="121"/>
        <v>984.57860598370587</v>
      </c>
      <c r="E956" s="24">
        <f t="shared" si="122"/>
        <v>476.91355661865515</v>
      </c>
      <c r="F956" s="38">
        <f t="shared" si="117"/>
        <v>0.92880105642398914</v>
      </c>
      <c r="G956" s="14">
        <f t="shared" si="118"/>
        <v>0</v>
      </c>
      <c r="H956" s="24">
        <f t="shared" si="124"/>
        <v>650.07811745607455</v>
      </c>
      <c r="I956" s="12">
        <f t="shared" si="123"/>
        <v>0.40802299806992276</v>
      </c>
      <c r="J956" s="3"/>
    </row>
    <row r="957" spans="2:10" x14ac:dyDescent="0.25">
      <c r="B957" s="3">
        <f t="shared" si="119"/>
        <v>4685</v>
      </c>
      <c r="C957" s="14">
        <f t="shared" si="120"/>
        <v>78.083333333333329</v>
      </c>
      <c r="D957" s="11">
        <f t="shared" si="121"/>
        <v>984.73834117608101</v>
      </c>
      <c r="E957" s="24">
        <f t="shared" si="122"/>
        <v>477.32157961672505</v>
      </c>
      <c r="F957" s="38">
        <f t="shared" si="117"/>
        <v>0.92840688767357704</v>
      </c>
      <c r="G957" s="14">
        <f t="shared" si="118"/>
        <v>0</v>
      </c>
      <c r="H957" s="24">
        <f t="shared" si="124"/>
        <v>650.3541176480486</v>
      </c>
      <c r="I957" s="12">
        <f t="shared" si="123"/>
        <v>0.40770211985223476</v>
      </c>
      <c r="J957" s="3"/>
    </row>
    <row r="958" spans="2:10" x14ac:dyDescent="0.25">
      <c r="B958" s="3">
        <f t="shared" si="119"/>
        <v>4690</v>
      </c>
      <c r="C958" s="14">
        <f t="shared" si="120"/>
        <v>78.166666666666671</v>
      </c>
      <c r="D958" s="11">
        <f t="shared" si="121"/>
        <v>984.89790625639762</v>
      </c>
      <c r="E958" s="24">
        <f t="shared" si="122"/>
        <v>477.72928173657726</v>
      </c>
      <c r="F958" s="38">
        <f t="shared" si="117"/>
        <v>0.92801265662679311</v>
      </c>
      <c r="G958" s="14">
        <f t="shared" si="118"/>
        <v>0</v>
      </c>
      <c r="H958" s="24">
        <f t="shared" si="124"/>
        <v>650.63039597545048</v>
      </c>
      <c r="I958" s="12">
        <f t="shared" si="123"/>
        <v>0.40738140318699689</v>
      </c>
      <c r="J958" s="3"/>
    </row>
    <row r="959" spans="2:10" x14ac:dyDescent="0.25">
      <c r="B959" s="3">
        <f t="shared" si="119"/>
        <v>4695</v>
      </c>
      <c r="C959" s="14">
        <f t="shared" si="120"/>
        <v>78.25</v>
      </c>
      <c r="D959" s="11">
        <f t="shared" si="121"/>
        <v>985.05730158659719</v>
      </c>
      <c r="E959" s="24">
        <f t="shared" si="122"/>
        <v>478.13666313976427</v>
      </c>
      <c r="F959" s="38">
        <f t="shared" si="117"/>
        <v>0.92761836409258402</v>
      </c>
      <c r="G959" s="14">
        <f t="shared" si="118"/>
        <v>0</v>
      </c>
      <c r="H959" s="24">
        <f t="shared" si="124"/>
        <v>650.90695228092386</v>
      </c>
      <c r="I959" s="12">
        <f t="shared" si="123"/>
        <v>0.40706084859399078</v>
      </c>
      <c r="J959" s="3"/>
    </row>
    <row r="960" spans="2:10" x14ac:dyDescent="0.25">
      <c r="B960" s="3">
        <f t="shared" si="119"/>
        <v>4700</v>
      </c>
      <c r="C960" s="14">
        <f t="shared" si="120"/>
        <v>78.333333333333329</v>
      </c>
      <c r="D960" s="11">
        <f t="shared" si="121"/>
        <v>985.2165275274657</v>
      </c>
      <c r="E960" s="24">
        <f t="shared" si="122"/>
        <v>478.54372398835824</v>
      </c>
      <c r="F960" s="38">
        <f t="shared" si="117"/>
        <v>0.92722401088142703</v>
      </c>
      <c r="G960" s="14">
        <f t="shared" si="118"/>
        <v>0</v>
      </c>
      <c r="H960" s="24">
        <f t="shared" si="124"/>
        <v>651.18378640491539</v>
      </c>
      <c r="I960" s="12">
        <f t="shared" si="123"/>
        <v>0.4067404565911929</v>
      </c>
      <c r="J960" s="3"/>
    </row>
    <row r="961" spans="2:10" x14ac:dyDescent="0.25">
      <c r="B961" s="3">
        <f t="shared" si="119"/>
        <v>4705</v>
      </c>
      <c r="C961" s="14">
        <f t="shared" si="120"/>
        <v>78.416666666666671</v>
      </c>
      <c r="D961" s="11">
        <f t="shared" si="121"/>
        <v>985.37558443864134</v>
      </c>
      <c r="E961" s="24">
        <f t="shared" si="122"/>
        <v>478.95046444494943</v>
      </c>
      <c r="F961" s="38">
        <f t="shared" si="117"/>
        <v>0.92682959780530005</v>
      </c>
      <c r="G961" s="14">
        <f t="shared" si="118"/>
        <v>0</v>
      </c>
      <c r="H961" s="24">
        <f t="shared" si="124"/>
        <v>651.46089818568737</v>
      </c>
      <c r="I961" s="12">
        <f t="shared" si="123"/>
        <v>0.40642022769421154</v>
      </c>
      <c r="J961" s="3"/>
    </row>
    <row r="962" spans="2:10" x14ac:dyDescent="0.25">
      <c r="B962" s="3">
        <f t="shared" si="119"/>
        <v>4710</v>
      </c>
      <c r="C962" s="14">
        <f t="shared" si="120"/>
        <v>78.5</v>
      </c>
      <c r="D962" s="11">
        <f t="shared" si="121"/>
        <v>985.5344726786177</v>
      </c>
      <c r="E962" s="24">
        <f t="shared" si="122"/>
        <v>479.35688467264362</v>
      </c>
      <c r="F962" s="38">
        <f t="shared" si="117"/>
        <v>0.92643512567765085</v>
      </c>
      <c r="G962" s="14">
        <f t="shared" si="118"/>
        <v>0</v>
      </c>
      <c r="H962" s="24">
        <f t="shared" si="124"/>
        <v>651.73828745932872</v>
      </c>
      <c r="I962" s="12">
        <f t="shared" si="123"/>
        <v>0.40610016241672575</v>
      </c>
      <c r="J962" s="3"/>
    </row>
    <row r="963" spans="2:10" x14ac:dyDescent="0.25">
      <c r="B963" s="3">
        <f t="shared" si="119"/>
        <v>4715</v>
      </c>
      <c r="C963" s="14">
        <f t="shared" si="120"/>
        <v>78.583333333333329</v>
      </c>
      <c r="D963" s="11">
        <f t="shared" si="121"/>
        <v>985.69319260474902</v>
      </c>
      <c r="E963" s="24">
        <f t="shared" si="122"/>
        <v>479.76298483506037</v>
      </c>
      <c r="F963" s="38">
        <f t="shared" si="117"/>
        <v>0.92604059531336624</v>
      </c>
      <c r="G963" s="14">
        <f t="shared" si="118"/>
        <v>0</v>
      </c>
      <c r="H963" s="24">
        <f t="shared" si="124"/>
        <v>652.01595405976809</v>
      </c>
      <c r="I963" s="12">
        <f t="shared" si="123"/>
        <v>0.40578026127028555</v>
      </c>
      <c r="J963" s="3"/>
    </row>
    <row r="964" spans="2:10" x14ac:dyDescent="0.25">
      <c r="B964" s="3">
        <f t="shared" si="119"/>
        <v>4720</v>
      </c>
      <c r="C964" s="14">
        <f t="shared" si="120"/>
        <v>78.666666666666671</v>
      </c>
      <c r="D964" s="11">
        <f t="shared" si="121"/>
        <v>985.85174457325502</v>
      </c>
      <c r="E964" s="24">
        <f t="shared" si="122"/>
        <v>480.16876509633067</v>
      </c>
      <c r="F964" s="38">
        <f t="shared" si="117"/>
        <v>0.92564600752874204</v>
      </c>
      <c r="G964" s="14">
        <f t="shared" si="118"/>
        <v>0</v>
      </c>
      <c r="H964" s="24">
        <f t="shared" si="124"/>
        <v>652.29389781878558</v>
      </c>
      <c r="I964" s="12">
        <f t="shared" si="123"/>
        <v>0.40546052476434269</v>
      </c>
      <c r="J964" s="3"/>
    </row>
    <row r="965" spans="2:10" x14ac:dyDescent="0.25">
      <c r="B965" s="3">
        <f t="shared" si="119"/>
        <v>4725</v>
      </c>
      <c r="C965" s="14">
        <f t="shared" si="120"/>
        <v>78.75</v>
      </c>
      <c r="D965" s="11">
        <f t="shared" si="121"/>
        <v>986.01012893922621</v>
      </c>
      <c r="E965" s="24">
        <f t="shared" si="122"/>
        <v>480.57422562109502</v>
      </c>
      <c r="F965" s="38">
        <f t="shared" si="117"/>
        <v>0.92525136314145351</v>
      </c>
      <c r="G965" s="14">
        <f t="shared" si="118"/>
        <v>0</v>
      </c>
      <c r="H965" s="24">
        <f t="shared" si="124"/>
        <v>652.57211856602419</v>
      </c>
      <c r="I965" s="12">
        <f t="shared" si="123"/>
        <v>0.40514095340621742</v>
      </c>
      <c r="J965" s="3"/>
    </row>
    <row r="966" spans="2:10" x14ac:dyDescent="0.25">
      <c r="B966" s="3">
        <f t="shared" si="119"/>
        <v>4730</v>
      </c>
      <c r="C966" s="14">
        <f t="shared" si="120"/>
        <v>78.833333333333329</v>
      </c>
      <c r="D966" s="11">
        <f t="shared" si="121"/>
        <v>986.1683460566278</v>
      </c>
      <c r="E966" s="24">
        <f t="shared" si="122"/>
        <v>480.97936657450123</v>
      </c>
      <c r="F966" s="38">
        <f t="shared" si="117"/>
        <v>0.92485666297052394</v>
      </c>
      <c r="G966" s="14">
        <f t="shared" si="118"/>
        <v>0</v>
      </c>
      <c r="H966" s="24">
        <f t="shared" si="124"/>
        <v>652.8506161290029</v>
      </c>
      <c r="I966" s="12">
        <f t="shared" si="123"/>
        <v>0.40482154770121664</v>
      </c>
      <c r="J966" s="3"/>
    </row>
    <row r="967" spans="2:10" x14ac:dyDescent="0.25">
      <c r="B967" s="3">
        <f t="shared" si="119"/>
        <v>4735</v>
      </c>
      <c r="C967" s="14">
        <f t="shared" si="120"/>
        <v>78.916666666666671</v>
      </c>
      <c r="D967" s="11">
        <f t="shared" si="121"/>
        <v>986.32639627830486</v>
      </c>
      <c r="E967" s="24">
        <f t="shared" si="122"/>
        <v>481.38418812220243</v>
      </c>
      <c r="F967" s="38">
        <f t="shared" si="117"/>
        <v>0.92446190783629656</v>
      </c>
      <c r="G967" s="14">
        <f t="shared" si="118"/>
        <v>0</v>
      </c>
      <c r="H967" s="24">
        <f t="shared" si="124"/>
        <v>653.12939033312739</v>
      </c>
      <c r="I967" s="12">
        <f t="shared" si="123"/>
        <v>0.40450230815252297</v>
      </c>
      <c r="J967" s="3"/>
    </row>
    <row r="968" spans="2:10" x14ac:dyDescent="0.25">
      <c r="B968" s="3">
        <f t="shared" si="119"/>
        <v>4740</v>
      </c>
      <c r="C968" s="14">
        <f t="shared" si="120"/>
        <v>79</v>
      </c>
      <c r="D968" s="11">
        <f t="shared" si="121"/>
        <v>986.4842799559874</v>
      </c>
      <c r="E968" s="24">
        <f t="shared" si="122"/>
        <v>481.78869043035496</v>
      </c>
      <c r="F968" s="38">
        <f t="shared" si="117"/>
        <v>0.9240670985604027</v>
      </c>
      <c r="G968" s="14">
        <f t="shared" si="118"/>
        <v>0</v>
      </c>
      <c r="H968" s="24">
        <f t="shared" si="124"/>
        <v>653.40844100170341</v>
      </c>
      <c r="I968" s="12">
        <f t="shared" si="123"/>
        <v>0.40418323526119337</v>
      </c>
      <c r="J968" s="3"/>
    </row>
    <row r="969" spans="2:10" x14ac:dyDescent="0.25">
      <c r="B969" s="3">
        <f t="shared" si="119"/>
        <v>4745</v>
      </c>
      <c r="C969" s="14">
        <f t="shared" si="120"/>
        <v>79.083333333333329</v>
      </c>
      <c r="D969" s="11">
        <f t="shared" si="121"/>
        <v>986.64199744029429</v>
      </c>
      <c r="E969" s="24">
        <f t="shared" si="122"/>
        <v>482.19287366561616</v>
      </c>
      <c r="F969" s="38">
        <f t="shared" si="117"/>
        <v>0.92367223596573456</v>
      </c>
      <c r="G969" s="14">
        <f t="shared" si="118"/>
        <v>0</v>
      </c>
      <c r="H969" s="24">
        <f t="shared" si="124"/>
        <v>653.68776795594738</v>
      </c>
      <c r="I969" s="12">
        <f t="shared" si="123"/>
        <v>0.40386432952627843</v>
      </c>
      <c r="J969" s="3"/>
    </row>
    <row r="970" spans="2:10" x14ac:dyDescent="0.25">
      <c r="B970" s="3">
        <f t="shared" si="119"/>
        <v>4750</v>
      </c>
      <c r="C970" s="14">
        <f t="shared" si="120"/>
        <v>79.166666666666671</v>
      </c>
      <c r="D970" s="11">
        <f t="shared" si="121"/>
        <v>986.79954908073842</v>
      </c>
      <c r="E970" s="24">
        <f t="shared" si="122"/>
        <v>482.59673799514246</v>
      </c>
      <c r="F970" s="38">
        <f t="shared" si="117"/>
        <v>0.92327732087641401</v>
      </c>
      <c r="G970" s="14">
        <f t="shared" si="118"/>
        <v>0</v>
      </c>
      <c r="H970" s="24">
        <f t="shared" si="124"/>
        <v>653.96737101499889</v>
      </c>
      <c r="I970" s="12">
        <f t="shared" si="123"/>
        <v>0.4035455914446891</v>
      </c>
      <c r="J970" s="3"/>
    </row>
    <row r="971" spans="2:10" x14ac:dyDescent="0.25">
      <c r="B971" s="3">
        <f t="shared" si="119"/>
        <v>4755</v>
      </c>
      <c r="C971" s="14">
        <f t="shared" si="120"/>
        <v>79.25</v>
      </c>
      <c r="D971" s="11">
        <f t="shared" si="121"/>
        <v>986.95693522573151</v>
      </c>
      <c r="E971" s="24">
        <f t="shared" si="122"/>
        <v>483.00028358658716</v>
      </c>
      <c r="F971" s="38">
        <f t="shared" si="117"/>
        <v>0.92288235411776509</v>
      </c>
      <c r="G971" s="14">
        <f t="shared" si="118"/>
        <v>0</v>
      </c>
      <c r="H971" s="24">
        <f t="shared" si="124"/>
        <v>654.24724999593241</v>
      </c>
      <c r="I971" s="12">
        <f t="shared" si="123"/>
        <v>0.40322702151123935</v>
      </c>
      <c r="J971" s="3"/>
    </row>
    <row r="972" spans="2:10" x14ac:dyDescent="0.25">
      <c r="B972" s="3">
        <f t="shared" si="119"/>
        <v>4760</v>
      </c>
      <c r="C972" s="14">
        <f t="shared" si="120"/>
        <v>79.333333333333329</v>
      </c>
      <c r="D972" s="11">
        <f t="shared" si="121"/>
        <v>987.11415622258835</v>
      </c>
      <c r="E972" s="24">
        <f t="shared" si="122"/>
        <v>483.40351060809837</v>
      </c>
      <c r="F972" s="38">
        <f t="shared" si="117"/>
        <v>0.92248733651628267</v>
      </c>
      <c r="G972" s="14">
        <f t="shared" si="118"/>
        <v>0</v>
      </c>
      <c r="H972" s="24">
        <f t="shared" si="124"/>
        <v>654.52740471376933</v>
      </c>
      <c r="I972" s="12">
        <f t="shared" si="123"/>
        <v>0.40290862021869978</v>
      </c>
      <c r="J972" s="3"/>
    </row>
    <row r="973" spans="2:10" x14ac:dyDescent="0.25">
      <c r="B973" s="3">
        <f t="shared" si="119"/>
        <v>4765</v>
      </c>
      <c r="C973" s="14">
        <f t="shared" si="120"/>
        <v>79.416666666666671</v>
      </c>
      <c r="D973" s="11">
        <f t="shared" si="121"/>
        <v>987.2712124175315</v>
      </c>
      <c r="E973" s="24">
        <f t="shared" si="122"/>
        <v>483.80641922831705</v>
      </c>
      <c r="F973" s="38">
        <f t="shared" si="117"/>
        <v>0.9220922688996056</v>
      </c>
      <c r="G973" s="14">
        <f t="shared" si="118"/>
        <v>0</v>
      </c>
      <c r="H973" s="24">
        <f t="shared" si="124"/>
        <v>654.80783498148946</v>
      </c>
      <c r="I973" s="12">
        <f t="shared" si="123"/>
        <v>0.40259038805774139</v>
      </c>
      <c r="J973" s="3"/>
    </row>
    <row r="974" spans="2:10" x14ac:dyDescent="0.25">
      <c r="B974" s="3">
        <f t="shared" si="119"/>
        <v>4770</v>
      </c>
      <c r="C974" s="14">
        <f t="shared" si="120"/>
        <v>79.5</v>
      </c>
      <c r="D974" s="11">
        <f t="shared" si="121"/>
        <v>987.42810415569568</v>
      </c>
      <c r="E974" s="24">
        <f t="shared" si="122"/>
        <v>484.20900961637477</v>
      </c>
      <c r="F974" s="38">
        <f t="shared" si="117"/>
        <v>0.92169715209648606</v>
      </c>
      <c r="G974" s="14">
        <f t="shared" si="118"/>
        <v>0</v>
      </c>
      <c r="H974" s="24">
        <f t="shared" si="124"/>
        <v>655.0885406100432</v>
      </c>
      <c r="I974" s="12">
        <f t="shared" si="123"/>
        <v>0.40227232551697761</v>
      </c>
      <c r="J974" s="3"/>
    </row>
    <row r="975" spans="2:10" x14ac:dyDescent="0.25">
      <c r="B975" s="3">
        <f t="shared" si="119"/>
        <v>4775</v>
      </c>
      <c r="C975" s="14">
        <f t="shared" si="120"/>
        <v>79.583333333333329</v>
      </c>
      <c r="D975" s="11">
        <f t="shared" si="121"/>
        <v>987.58483178113329</v>
      </c>
      <c r="E975" s="24">
        <f t="shared" si="122"/>
        <v>484.61128194189178</v>
      </c>
      <c r="F975" s="38">
        <f t="shared" si="117"/>
        <v>0.92130198693676346</v>
      </c>
      <c r="G975" s="14">
        <f t="shared" si="118"/>
        <v>0</v>
      </c>
      <c r="H975" s="24">
        <f t="shared" si="124"/>
        <v>655.36952140836252</v>
      </c>
      <c r="I975" s="12">
        <f t="shared" si="123"/>
        <v>0.40195443308284373</v>
      </c>
      <c r="J975" s="3"/>
    </row>
    <row r="976" spans="2:10" x14ac:dyDescent="0.25">
      <c r="B976" s="3">
        <f t="shared" si="119"/>
        <v>4780</v>
      </c>
      <c r="C976" s="14">
        <f t="shared" si="120"/>
        <v>79.666666666666671</v>
      </c>
      <c r="D976" s="11">
        <f t="shared" si="121"/>
        <v>987.74139563681774</v>
      </c>
      <c r="E976" s="24">
        <f t="shared" si="122"/>
        <v>485.01323637497461</v>
      </c>
      <c r="F976" s="38">
        <f t="shared" si="117"/>
        <v>0.92090677425133327</v>
      </c>
      <c r="G976" s="14">
        <f t="shared" si="118"/>
        <v>0</v>
      </c>
      <c r="H976" s="24">
        <f t="shared" si="124"/>
        <v>655.65077718337341</v>
      </c>
      <c r="I976" s="12">
        <f t="shared" si="123"/>
        <v>0.40163671123981415</v>
      </c>
      <c r="J976" s="3"/>
    </row>
    <row r="977" spans="2:10" x14ac:dyDescent="0.25">
      <c r="B977" s="3">
        <f t="shared" si="119"/>
        <v>4785</v>
      </c>
      <c r="C977" s="14">
        <f t="shared" si="120"/>
        <v>79.75</v>
      </c>
      <c r="D977" s="11">
        <f t="shared" si="121"/>
        <v>987.89779606464788</v>
      </c>
      <c r="E977" s="24">
        <f t="shared" si="122"/>
        <v>485.41487308621441</v>
      </c>
      <c r="F977" s="38">
        <f t="shared" si="117"/>
        <v>0.92051151487212046</v>
      </c>
      <c r="G977" s="14">
        <f t="shared" si="118"/>
        <v>0</v>
      </c>
      <c r="H977" s="24">
        <f t="shared" si="124"/>
        <v>655.93230774000733</v>
      </c>
      <c r="I977" s="12">
        <f t="shared" si="123"/>
        <v>0.40131916047029104</v>
      </c>
      <c r="J977" s="3"/>
    </row>
    <row r="978" spans="2:10" x14ac:dyDescent="0.25">
      <c r="B978" s="3">
        <f t="shared" si="119"/>
        <v>4790</v>
      </c>
      <c r="C978" s="14">
        <f t="shared" si="120"/>
        <v>79.833333333333329</v>
      </c>
      <c r="D978" s="11">
        <f t="shared" si="121"/>
        <v>988.05403340545411</v>
      </c>
      <c r="E978" s="24">
        <f t="shared" si="122"/>
        <v>485.81619224668469</v>
      </c>
      <c r="F978" s="38">
        <f t="shared" si="117"/>
        <v>0.92011620963205032</v>
      </c>
      <c r="G978" s="14">
        <f t="shared" si="118"/>
        <v>0</v>
      </c>
      <c r="H978" s="24">
        <f t="shared" si="124"/>
        <v>656.21411288121294</v>
      </c>
      <c r="I978" s="12">
        <f t="shared" si="123"/>
        <v>0.4010017812544398</v>
      </c>
      <c r="J978" s="3"/>
    </row>
    <row r="979" spans="2:10" x14ac:dyDescent="0.25">
      <c r="B979" s="3">
        <f t="shared" si="119"/>
        <v>4795</v>
      </c>
      <c r="C979" s="14">
        <f t="shared" si="120"/>
        <v>79.916666666666671</v>
      </c>
      <c r="D979" s="11">
        <f t="shared" si="121"/>
        <v>988.21010799900068</v>
      </c>
      <c r="E979" s="24">
        <f t="shared" si="122"/>
        <v>486.21719402793912</v>
      </c>
      <c r="F979" s="38">
        <f t="shared" si="117"/>
        <v>0.91972085936502168</v>
      </c>
      <c r="G979" s="14">
        <f t="shared" si="118"/>
        <v>0</v>
      </c>
      <c r="H979" s="24">
        <f t="shared" si="124"/>
        <v>656.4961924079671</v>
      </c>
      <c r="I979" s="12">
        <f t="shared" si="123"/>
        <v>0.40068457407056018</v>
      </c>
      <c r="J979" s="3"/>
    </row>
    <row r="980" spans="2:10" x14ac:dyDescent="0.25">
      <c r="B980" s="3">
        <f t="shared" si="119"/>
        <v>4800</v>
      </c>
      <c r="C980" s="14">
        <f t="shared" si="120"/>
        <v>80</v>
      </c>
      <c r="D980" s="11">
        <f t="shared" si="121"/>
        <v>988.36602018399196</v>
      </c>
      <c r="E980" s="24">
        <f t="shared" si="122"/>
        <v>486.61787860200968</v>
      </c>
      <c r="F980" s="38">
        <f t="shared" ref="F980:F1043" si="125">Cp*RhoP/(RhoA*H980)*dp/1000*MassivP</f>
        <v>0.91932546490587719</v>
      </c>
      <c r="G980" s="14">
        <f t="shared" ref="G980:G1043" si="126">Phi*EpsilonF*Botzman/10^8*J980*((D980+273)^4-(E980+273)^4)</f>
        <v>0</v>
      </c>
      <c r="H980" s="24">
        <f t="shared" si="124"/>
        <v>656.77854611928763</v>
      </c>
      <c r="I980" s="12">
        <f t="shared" si="123"/>
        <v>0.40036753939470165</v>
      </c>
      <c r="J980" s="3"/>
    </row>
    <row r="981" spans="2:10" x14ac:dyDescent="0.25">
      <c r="B981" s="3">
        <f t="shared" ref="B981:B1044" si="127">B980+DeltaT</f>
        <v>4805</v>
      </c>
      <c r="C981" s="14">
        <f t="shared" ref="C981:C1044" si="128">B981/60</f>
        <v>80.083333333333329</v>
      </c>
      <c r="D981" s="11">
        <f t="shared" ref="D981:D1044" si="129">20+345*LOG(8*C981+1,10)</f>
        <v>988.52177029807558</v>
      </c>
      <c r="E981" s="24">
        <f t="shared" ref="E981:E1044" si="130">E980+IF(Limit=Oui,MAX(0,I980),I980)</f>
        <v>487.0182461414044</v>
      </c>
      <c r="F981" s="38">
        <f t="shared" si="125"/>
        <v>0.91893002709037697</v>
      </c>
      <c r="G981" s="14">
        <f t="shared" si="126"/>
        <v>0</v>
      </c>
      <c r="H981" s="24">
        <f t="shared" si="124"/>
        <v>657.06117381224385</v>
      </c>
      <c r="I981" s="12">
        <f t="shared" ref="I981:I1044" si="131">LambdaP*MassivP/(dp/1000)/(H981*RhoA)/(1+F981/3)*(D981-E981)*DeltaT-(EXP(F981/10)-1)*(D981-D980)</f>
        <v>0.40005067770095804</v>
      </c>
      <c r="J981" s="3"/>
    </row>
    <row r="982" spans="2:10" x14ac:dyDescent="0.25">
      <c r="B982" s="3">
        <f t="shared" si="127"/>
        <v>4810</v>
      </c>
      <c r="C982" s="14">
        <f t="shared" si="128"/>
        <v>80.166666666666671</v>
      </c>
      <c r="D982" s="11">
        <f t="shared" si="129"/>
        <v>988.67735867784756</v>
      </c>
      <c r="E982" s="24">
        <f t="shared" si="130"/>
        <v>487.41829681910536</v>
      </c>
      <c r="F982" s="38">
        <f t="shared" si="125"/>
        <v>0.91853454675517154</v>
      </c>
      <c r="G982" s="14">
        <f t="shared" si="126"/>
        <v>0</v>
      </c>
      <c r="H982" s="24">
        <f t="shared" si="124"/>
        <v>657.34407528196834</v>
      </c>
      <c r="I982" s="12">
        <f t="shared" si="131"/>
        <v>0.39973398946128069</v>
      </c>
      <c r="J982" s="3"/>
    </row>
    <row r="983" spans="2:10" x14ac:dyDescent="0.25">
      <c r="B983" s="3">
        <f t="shared" si="127"/>
        <v>4815</v>
      </c>
      <c r="C983" s="14">
        <f t="shared" si="128"/>
        <v>80.25</v>
      </c>
      <c r="D983" s="11">
        <f t="shared" si="129"/>
        <v>988.83278565885644</v>
      </c>
      <c r="E983" s="24">
        <f t="shared" si="130"/>
        <v>487.81803080856662</v>
      </c>
      <c r="F983" s="38">
        <f t="shared" si="125"/>
        <v>0.91813902473777254</v>
      </c>
      <c r="G983" s="14">
        <f t="shared" si="126"/>
        <v>0</v>
      </c>
      <c r="H983" s="24">
        <f t="shared" si="124"/>
        <v>657.62725032166895</v>
      </c>
      <c r="I983" s="12">
        <f t="shared" si="131"/>
        <v>0.39941747514557574</v>
      </c>
      <c r="J983" s="3"/>
    </row>
    <row r="984" spans="2:10" x14ac:dyDescent="0.25">
      <c r="B984" s="3">
        <f t="shared" si="127"/>
        <v>4820</v>
      </c>
      <c r="C984" s="14">
        <f t="shared" si="128"/>
        <v>80.333333333333329</v>
      </c>
      <c r="D984" s="11">
        <f t="shared" si="129"/>
        <v>988.98805157560753</v>
      </c>
      <c r="E984" s="24">
        <f t="shared" si="130"/>
        <v>488.2174482837122</v>
      </c>
      <c r="F984" s="38">
        <f t="shared" si="125"/>
        <v>0.91774346187652722</v>
      </c>
      <c r="G984" s="14">
        <f t="shared" si="126"/>
        <v>0</v>
      </c>
      <c r="H984" s="24">
        <f t="shared" si="124"/>
        <v>657.91069872263961</v>
      </c>
      <c r="I984" s="12">
        <f t="shared" si="131"/>
        <v>0.39910113522168156</v>
      </c>
      <c r="J984" s="3"/>
    </row>
    <row r="985" spans="2:10" x14ac:dyDescent="0.25">
      <c r="B985" s="3">
        <f t="shared" si="127"/>
        <v>4825</v>
      </c>
      <c r="C985" s="14">
        <f t="shared" si="128"/>
        <v>80.416666666666671</v>
      </c>
      <c r="D985" s="11">
        <f t="shared" si="129"/>
        <v>989.14315676156707</v>
      </c>
      <c r="E985" s="24">
        <f t="shared" si="130"/>
        <v>488.61654941893386</v>
      </c>
      <c r="F985" s="38">
        <f t="shared" si="125"/>
        <v>0.91734785901059024</v>
      </c>
      <c r="G985" s="14">
        <f t="shared" si="126"/>
        <v>0</v>
      </c>
      <c r="H985" s="24">
        <f t="shared" si="124"/>
        <v>658.19442027427226</v>
      </c>
      <c r="I985" s="12">
        <f t="shared" si="131"/>
        <v>0.39878497015538888</v>
      </c>
      <c r="J985" s="3"/>
    </row>
    <row r="986" spans="2:10" x14ac:dyDescent="0.25">
      <c r="B986" s="3">
        <f t="shared" si="127"/>
        <v>4830</v>
      </c>
      <c r="C986" s="14">
        <f t="shared" si="128"/>
        <v>80.5</v>
      </c>
      <c r="D986" s="11">
        <f t="shared" si="129"/>
        <v>989.29810154916731</v>
      </c>
      <c r="E986" s="24">
        <f t="shared" si="130"/>
        <v>489.01533438908922</v>
      </c>
      <c r="F986" s="38">
        <f t="shared" si="125"/>
        <v>0.91695221697989659</v>
      </c>
      <c r="G986" s="14">
        <f t="shared" si="126"/>
        <v>0</v>
      </c>
      <c r="H986" s="24">
        <f t="shared" si="124"/>
        <v>658.47841476406802</v>
      </c>
      <c r="I986" s="12">
        <f t="shared" si="131"/>
        <v>0.39846898041034295</v>
      </c>
      <c r="J986" s="3"/>
    </row>
    <row r="987" spans="2:10" x14ac:dyDescent="0.25">
      <c r="B987" s="3">
        <f t="shared" si="127"/>
        <v>4835</v>
      </c>
      <c r="C987" s="14">
        <f t="shared" si="128"/>
        <v>80.583333333333329</v>
      </c>
      <c r="D987" s="11">
        <f t="shared" si="129"/>
        <v>989.45288626980971</v>
      </c>
      <c r="E987" s="24">
        <f t="shared" si="130"/>
        <v>489.41380336949959</v>
      </c>
      <c r="F987" s="38">
        <f t="shared" si="125"/>
        <v>0.91655653662513714</v>
      </c>
      <c r="G987" s="14">
        <f t="shared" si="126"/>
        <v>0</v>
      </c>
      <c r="H987" s="24">
        <f t="shared" si="124"/>
        <v>658.76268197764853</v>
      </c>
      <c r="I987" s="12">
        <f t="shared" si="131"/>
        <v>0.39815316644822724</v>
      </c>
      <c r="J987" s="3"/>
    </row>
    <row r="988" spans="2:10" x14ac:dyDescent="0.25">
      <c r="B988" s="3">
        <f t="shared" si="127"/>
        <v>4840</v>
      </c>
      <c r="C988" s="14">
        <f t="shared" si="128"/>
        <v>80.666666666666671</v>
      </c>
      <c r="D988" s="11">
        <f t="shared" si="129"/>
        <v>989.60751125386969</v>
      </c>
      <c r="E988" s="24">
        <f t="shared" si="130"/>
        <v>489.81195653594784</v>
      </c>
      <c r="F988" s="38">
        <f t="shared" si="125"/>
        <v>0.91616081878772826</v>
      </c>
      <c r="G988" s="14">
        <f t="shared" si="126"/>
        <v>0</v>
      </c>
      <c r="H988" s="24">
        <f t="shared" si="124"/>
        <v>659.04722169876732</v>
      </c>
      <c r="I988" s="12">
        <f t="shared" si="131"/>
        <v>0.39783752872860995</v>
      </c>
      <c r="J988" s="3"/>
    </row>
    <row r="989" spans="2:10" x14ac:dyDescent="0.25">
      <c r="B989" s="3">
        <f t="shared" si="127"/>
        <v>4845</v>
      </c>
      <c r="C989" s="14">
        <f t="shared" si="128"/>
        <v>80.75</v>
      </c>
      <c r="D989" s="11">
        <f t="shared" si="129"/>
        <v>989.76197683070154</v>
      </c>
      <c r="E989" s="24">
        <f t="shared" si="130"/>
        <v>490.20979406467643</v>
      </c>
      <c r="F989" s="38">
        <f t="shared" si="125"/>
        <v>0.91576506430978777</v>
      </c>
      <c r="G989" s="14">
        <f t="shared" si="126"/>
        <v>0</v>
      </c>
      <c r="H989" s="24">
        <f t="shared" si="124"/>
        <v>659.33203370932165</v>
      </c>
      <c r="I989" s="12">
        <f t="shared" si="131"/>
        <v>0.39752206770893306</v>
      </c>
      <c r="J989" s="3"/>
    </row>
    <row r="990" spans="2:10" x14ac:dyDescent="0.25">
      <c r="B990" s="3">
        <f t="shared" si="127"/>
        <v>4850</v>
      </c>
      <c r="C990" s="14">
        <f t="shared" si="128"/>
        <v>80.833333333333329</v>
      </c>
      <c r="D990" s="11">
        <f t="shared" si="129"/>
        <v>989.91628332864138</v>
      </c>
      <c r="E990" s="24">
        <f t="shared" si="130"/>
        <v>490.60731613238534</v>
      </c>
      <c r="F990" s="38">
        <f t="shared" si="125"/>
        <v>0.91536927403410839</v>
      </c>
      <c r="G990" s="14">
        <f t="shared" si="126"/>
        <v>0</v>
      </c>
      <c r="H990" s="24">
        <f t="shared" si="124"/>
        <v>659.61711778936285</v>
      </c>
      <c r="I990" s="12">
        <f t="shared" si="131"/>
        <v>0.39720678384469643</v>
      </c>
      <c r="J990" s="3"/>
    </row>
    <row r="991" spans="2:10" x14ac:dyDescent="0.25">
      <c r="B991" s="3">
        <f t="shared" si="127"/>
        <v>4855</v>
      </c>
      <c r="C991" s="14">
        <f t="shared" si="128"/>
        <v>80.916666666666671</v>
      </c>
      <c r="D991" s="11">
        <f t="shared" si="129"/>
        <v>990.07043107501204</v>
      </c>
      <c r="E991" s="24">
        <f t="shared" si="130"/>
        <v>491.00452291623003</v>
      </c>
      <c r="F991" s="38">
        <f t="shared" si="125"/>
        <v>0.91497344880413067</v>
      </c>
      <c r="G991" s="14">
        <f t="shared" si="126"/>
        <v>0</v>
      </c>
      <c r="H991" s="24">
        <f t="shared" si="124"/>
        <v>659.90247371710859</v>
      </c>
      <c r="I991" s="12">
        <f t="shared" si="131"/>
        <v>0.3968916775892713</v>
      </c>
      <c r="J991" s="3"/>
    </row>
    <row r="992" spans="2:10" x14ac:dyDescent="0.25">
      <c r="B992" s="3">
        <f t="shared" si="127"/>
        <v>4860</v>
      </c>
      <c r="C992" s="14">
        <f t="shared" si="128"/>
        <v>81</v>
      </c>
      <c r="D992" s="11">
        <f t="shared" si="129"/>
        <v>990.22442039612736</v>
      </c>
      <c r="E992" s="24">
        <f t="shared" si="130"/>
        <v>491.40141459381931</v>
      </c>
      <c r="F992" s="38">
        <f t="shared" si="125"/>
        <v>0.91457758946391776</v>
      </c>
      <c r="G992" s="14">
        <f t="shared" si="126"/>
        <v>0</v>
      </c>
      <c r="H992" s="24">
        <f t="shared" si="124"/>
        <v>660.18810126895323</v>
      </c>
      <c r="I992" s="12">
        <f t="shared" si="131"/>
        <v>0.39657674939395515</v>
      </c>
      <c r="J992" s="3"/>
    </row>
    <row r="993" spans="2:10" x14ac:dyDescent="0.25">
      <c r="B993" s="3">
        <f t="shared" si="127"/>
        <v>4865</v>
      </c>
      <c r="C993" s="14">
        <f t="shared" si="128"/>
        <v>81.083333333333329</v>
      </c>
      <c r="D993" s="11">
        <f t="shared" si="129"/>
        <v>990.37825161729563</v>
      </c>
      <c r="E993" s="24">
        <f t="shared" si="130"/>
        <v>491.79799134321325</v>
      </c>
      <c r="F993" s="38">
        <f t="shared" si="125"/>
        <v>0.91418169685812878</v>
      </c>
      <c r="G993" s="14">
        <f t="shared" si="126"/>
        <v>0</v>
      </c>
      <c r="H993" s="24">
        <f t="shared" si="124"/>
        <v>660.47400021947965</v>
      </c>
      <c r="I993" s="12">
        <f t="shared" si="131"/>
        <v>0.39626199970805748</v>
      </c>
      <c r="J993" s="3"/>
    </row>
    <row r="994" spans="2:10" x14ac:dyDescent="0.25">
      <c r="B994" s="3">
        <f t="shared" si="127"/>
        <v>4870</v>
      </c>
      <c r="C994" s="14">
        <f t="shared" si="128"/>
        <v>81.166666666666671</v>
      </c>
      <c r="D994" s="11">
        <f t="shared" si="129"/>
        <v>990.53192506282517</v>
      </c>
      <c r="E994" s="24">
        <f t="shared" si="130"/>
        <v>492.19425334292129</v>
      </c>
      <c r="F994" s="38">
        <f t="shared" si="125"/>
        <v>0.91378577183199405</v>
      </c>
      <c r="G994" s="14">
        <f t="shared" si="126"/>
        <v>0</v>
      </c>
      <c r="H994" s="24">
        <f t="shared" si="124"/>
        <v>660.76017034147003</v>
      </c>
      <c r="I994" s="12">
        <f t="shared" si="131"/>
        <v>0.39594742897869295</v>
      </c>
      <c r="J994" s="3"/>
    </row>
    <row r="995" spans="2:10" x14ac:dyDescent="0.25">
      <c r="B995" s="3">
        <f t="shared" si="127"/>
        <v>4875</v>
      </c>
      <c r="C995" s="14">
        <f t="shared" si="128"/>
        <v>81.25</v>
      </c>
      <c r="D995" s="11">
        <f t="shared" si="129"/>
        <v>990.68544105602609</v>
      </c>
      <c r="E995" s="24">
        <f t="shared" si="130"/>
        <v>492.59020077189996</v>
      </c>
      <c r="F995" s="38">
        <f t="shared" si="125"/>
        <v>0.91338981523128793</v>
      </c>
      <c r="G995" s="14">
        <f t="shared" si="126"/>
        <v>0</v>
      </c>
      <c r="H995" s="24">
        <f t="shared" si="124"/>
        <v>661.0466114059177</v>
      </c>
      <c r="I995" s="12">
        <f t="shared" si="131"/>
        <v>0.39563303765113861</v>
      </c>
      <c r="J995" s="3"/>
    </row>
    <row r="996" spans="2:10" x14ac:dyDescent="0.25">
      <c r="B996" s="3">
        <f t="shared" si="127"/>
        <v>4880</v>
      </c>
      <c r="C996" s="14">
        <f t="shared" si="128"/>
        <v>81.333333333333329</v>
      </c>
      <c r="D996" s="11">
        <f t="shared" si="129"/>
        <v>990.83879991921685</v>
      </c>
      <c r="E996" s="24">
        <f t="shared" si="130"/>
        <v>492.98583380955108</v>
      </c>
      <c r="F996" s="38">
        <f t="shared" si="125"/>
        <v>0.91299382790230477</v>
      </c>
      <c r="G996" s="14">
        <f t="shared" si="126"/>
        <v>0</v>
      </c>
      <c r="H996" s="24">
        <f t="shared" si="124"/>
        <v>661.33332318203725</v>
      </c>
      <c r="I996" s="12">
        <f t="shared" si="131"/>
        <v>0.39531882616838893</v>
      </c>
      <c r="J996" s="3"/>
    </row>
    <row r="997" spans="2:10" x14ac:dyDescent="0.25">
      <c r="B997" s="3">
        <f t="shared" si="127"/>
        <v>4885</v>
      </c>
      <c r="C997" s="14">
        <f t="shared" si="128"/>
        <v>81.416666666666671</v>
      </c>
      <c r="D997" s="11">
        <f t="shared" si="129"/>
        <v>990.99200197372681</v>
      </c>
      <c r="E997" s="24">
        <f t="shared" si="130"/>
        <v>493.38115263571945</v>
      </c>
      <c r="F997" s="38">
        <f t="shared" si="125"/>
        <v>0.91259781069183354</v>
      </c>
      <c r="G997" s="14">
        <f t="shared" si="126"/>
        <v>0</v>
      </c>
      <c r="H997" s="24">
        <f t="shared" si="124"/>
        <v>661.62030543727576</v>
      </c>
      <c r="I997" s="12">
        <f t="shared" si="131"/>
        <v>0.3950047949715248</v>
      </c>
      <c r="J997" s="3"/>
    </row>
    <row r="998" spans="2:10" x14ac:dyDescent="0.25">
      <c r="B998" s="3">
        <f t="shared" si="127"/>
        <v>4890</v>
      </c>
      <c r="C998" s="14">
        <f t="shared" si="128"/>
        <v>81.5</v>
      </c>
      <c r="D998" s="11">
        <f t="shared" si="129"/>
        <v>991.14504753990047</v>
      </c>
      <c r="E998" s="24">
        <f t="shared" si="130"/>
        <v>493.77615743069094</v>
      </c>
      <c r="F998" s="38">
        <f t="shared" si="125"/>
        <v>0.91220176444713186</v>
      </c>
      <c r="G998" s="14">
        <f t="shared" si="126"/>
        <v>0</v>
      </c>
      <c r="H998" s="24">
        <f t="shared" si="124"/>
        <v>661.90755793732501</v>
      </c>
      <c r="I998" s="12">
        <f t="shared" si="131"/>
        <v>0.39469094449955905</v>
      </c>
      <c r="J998" s="3"/>
    </row>
    <row r="999" spans="2:10" x14ac:dyDescent="0.25">
      <c r="B999" s="3">
        <f t="shared" si="127"/>
        <v>4895</v>
      </c>
      <c r="C999" s="14">
        <f t="shared" si="128"/>
        <v>81.583333333333329</v>
      </c>
      <c r="D999" s="11">
        <f t="shared" si="129"/>
        <v>991.29793693710178</v>
      </c>
      <c r="E999" s="24">
        <f t="shared" si="130"/>
        <v>494.17084837519053</v>
      </c>
      <c r="F999" s="38">
        <f t="shared" si="125"/>
        <v>0.91180569001590128</v>
      </c>
      <c r="G999" s="14">
        <f t="shared" si="126"/>
        <v>0</v>
      </c>
      <c r="H999" s="24">
        <f t="shared" si="124"/>
        <v>662.19508044613144</v>
      </c>
      <c r="I999" s="12">
        <f t="shared" si="131"/>
        <v>0.39437727518942728</v>
      </c>
      <c r="J999" s="3"/>
    </row>
    <row r="1000" spans="2:10" x14ac:dyDescent="0.25">
      <c r="B1000" s="3">
        <f t="shared" si="127"/>
        <v>4900</v>
      </c>
      <c r="C1000" s="14">
        <f t="shared" si="128"/>
        <v>81.666666666666671</v>
      </c>
      <c r="D1000" s="11">
        <f t="shared" si="129"/>
        <v>991.45067048371857</v>
      </c>
      <c r="E1000" s="24">
        <f t="shared" si="130"/>
        <v>494.56522565037994</v>
      </c>
      <c r="F1000" s="38">
        <f t="shared" si="125"/>
        <v>0.91140958824626261</v>
      </c>
      <c r="G1000" s="14">
        <f t="shared" si="126"/>
        <v>0</v>
      </c>
      <c r="H1000" s="24">
        <f t="shared" si="124"/>
        <v>662.4828727259071</v>
      </c>
      <c r="I1000" s="12">
        <f t="shared" si="131"/>
        <v>0.39406378747597648</v>
      </c>
      <c r="J1000" s="3"/>
    </row>
    <row r="1001" spans="2:10" x14ac:dyDescent="0.25">
      <c r="B1001" s="3">
        <f t="shared" si="127"/>
        <v>4905</v>
      </c>
      <c r="C1001" s="14">
        <f t="shared" si="128"/>
        <v>81.75</v>
      </c>
      <c r="D1001" s="11">
        <f t="shared" si="129"/>
        <v>991.60324849716505</v>
      </c>
      <c r="E1001" s="24">
        <f t="shared" si="130"/>
        <v>494.95928943785594</v>
      </c>
      <c r="F1001" s="38">
        <f t="shared" si="125"/>
        <v>0.911013459986731</v>
      </c>
      <c r="G1001" s="14">
        <f t="shared" si="126"/>
        <v>0</v>
      </c>
      <c r="H1001" s="24">
        <f t="shared" si="124"/>
        <v>662.7709345371411</v>
      </c>
      <c r="I1001" s="12">
        <f t="shared" si="131"/>
        <v>0.393750481792147</v>
      </c>
      <c r="J1001" s="3"/>
    </row>
    <row r="1002" spans="2:10" x14ac:dyDescent="0.25">
      <c r="B1002" s="3">
        <f t="shared" si="127"/>
        <v>4910</v>
      </c>
      <c r="C1002" s="14">
        <f t="shared" si="128"/>
        <v>81.833333333333329</v>
      </c>
      <c r="D1002" s="11">
        <f t="shared" si="129"/>
        <v>991.75567129388753</v>
      </c>
      <c r="E1002" s="24">
        <f t="shared" si="130"/>
        <v>495.3530399196481</v>
      </c>
      <c r="F1002" s="38">
        <f t="shared" si="125"/>
        <v>0.91061730608619196</v>
      </c>
      <c r="G1002" s="14">
        <f t="shared" si="126"/>
        <v>0</v>
      </c>
      <c r="H1002" s="24">
        <f t="shared" si="124"/>
        <v>663.05926563861044</v>
      </c>
      <c r="I1002" s="12">
        <f t="shared" si="131"/>
        <v>0.39343735856867146</v>
      </c>
      <c r="J1002" s="3"/>
    </row>
    <row r="1003" spans="2:10" x14ac:dyDescent="0.25">
      <c r="B1003" s="3">
        <f t="shared" si="127"/>
        <v>4915</v>
      </c>
      <c r="C1003" s="14">
        <f t="shared" si="128"/>
        <v>81.916666666666671</v>
      </c>
      <c r="D1003" s="11">
        <f t="shared" si="129"/>
        <v>991.90793918936708</v>
      </c>
      <c r="E1003" s="24">
        <f t="shared" si="130"/>
        <v>495.74647727821679</v>
      </c>
      <c r="F1003" s="38">
        <f t="shared" si="125"/>
        <v>0.91022112739387573</v>
      </c>
      <c r="G1003" s="14">
        <f t="shared" si="126"/>
        <v>0</v>
      </c>
      <c r="H1003" s="24">
        <f t="shared" si="124"/>
        <v>663.34786578739067</v>
      </c>
      <c r="I1003" s="12">
        <f t="shared" si="131"/>
        <v>0.39312441823435368</v>
      </c>
      <c r="J1003" s="3"/>
    </row>
    <row r="1004" spans="2:10" x14ac:dyDescent="0.25">
      <c r="B1004" s="3">
        <f t="shared" si="127"/>
        <v>4920</v>
      </c>
      <c r="C1004" s="14">
        <f t="shared" si="128"/>
        <v>82</v>
      </c>
      <c r="D1004" s="11">
        <f t="shared" si="129"/>
        <v>992.06005249812415</v>
      </c>
      <c r="E1004" s="24">
        <f t="shared" si="130"/>
        <v>496.13960169645117</v>
      </c>
      <c r="F1004" s="38">
        <f t="shared" si="125"/>
        <v>0.90982492475933507</v>
      </c>
      <c r="G1004" s="14">
        <f t="shared" si="126"/>
        <v>0</v>
      </c>
      <c r="H1004" s="24">
        <f t="shared" si="124"/>
        <v>663.63673473886672</v>
      </c>
      <c r="I1004" s="12">
        <f t="shared" si="131"/>
        <v>0.39281166121589678</v>
      </c>
      <c r="J1004" s="3"/>
    </row>
    <row r="1005" spans="2:10" x14ac:dyDescent="0.25">
      <c r="B1005" s="3">
        <f t="shared" si="127"/>
        <v>4925</v>
      </c>
      <c r="C1005" s="14">
        <f t="shared" si="128"/>
        <v>82.083333333333329</v>
      </c>
      <c r="D1005" s="11">
        <f t="shared" si="129"/>
        <v>992.21201153372226</v>
      </c>
      <c r="E1005" s="24">
        <f t="shared" si="130"/>
        <v>496.53241335766705</v>
      </c>
      <c r="F1005" s="38">
        <f t="shared" si="125"/>
        <v>0.90942869903241785</v>
      </c>
      <c r="G1005" s="14">
        <f t="shared" si="126"/>
        <v>0</v>
      </c>
      <c r="H1005" s="24">
        <f t="shared" si="124"/>
        <v>663.92587224674458</v>
      </c>
      <c r="I1005" s="12">
        <f t="shared" si="131"/>
        <v>0.39249908793797822</v>
      </c>
      <c r="J1005" s="3"/>
    </row>
    <row r="1006" spans="2:10" x14ac:dyDescent="0.25">
      <c r="B1006" s="3">
        <f t="shared" si="127"/>
        <v>4930</v>
      </c>
      <c r="C1006" s="14">
        <f t="shared" si="128"/>
        <v>82.166666666666671</v>
      </c>
      <c r="D1006" s="11">
        <f t="shared" si="129"/>
        <v>992.36381660877157</v>
      </c>
      <c r="E1006" s="24">
        <f t="shared" si="130"/>
        <v>496.92491244560506</v>
      </c>
      <c r="F1006" s="38">
        <f t="shared" si="125"/>
        <v>0.90903245106324637</v>
      </c>
      <c r="G1006" s="14">
        <f t="shared" si="126"/>
        <v>0</v>
      </c>
      <c r="H1006" s="24">
        <f t="shared" si="124"/>
        <v>664.21527806306108</v>
      </c>
      <c r="I1006" s="12">
        <f t="shared" si="131"/>
        <v>0.39218669882327062</v>
      </c>
      <c r="J1006" s="3"/>
    </row>
    <row r="1007" spans="2:10" x14ac:dyDescent="0.25">
      <c r="B1007" s="3">
        <f t="shared" si="127"/>
        <v>4935</v>
      </c>
      <c r="C1007" s="14">
        <f t="shared" si="128"/>
        <v>82.25</v>
      </c>
      <c r="D1007" s="11">
        <f t="shared" si="129"/>
        <v>992.51546803493329</v>
      </c>
      <c r="E1007" s="24">
        <f t="shared" si="130"/>
        <v>497.31709914442831</v>
      </c>
      <c r="F1007" s="38">
        <f t="shared" si="125"/>
        <v>0.9086361817021924</v>
      </c>
      <c r="G1007" s="14">
        <f t="shared" si="126"/>
        <v>0</v>
      </c>
      <c r="H1007" s="24">
        <f t="shared" si="124"/>
        <v>664.50495193819461</v>
      </c>
      <c r="I1007" s="12">
        <f t="shared" si="131"/>
        <v>0.39187449429235616</v>
      </c>
      <c r="J1007" s="3"/>
    </row>
    <row r="1008" spans="2:10" x14ac:dyDescent="0.25">
      <c r="B1008" s="3">
        <f t="shared" si="127"/>
        <v>4940</v>
      </c>
      <c r="C1008" s="14">
        <f t="shared" si="128"/>
        <v>82.333333333333329</v>
      </c>
      <c r="D1008" s="11">
        <f t="shared" si="129"/>
        <v>992.66696612292299</v>
      </c>
      <c r="E1008" s="24">
        <f t="shared" si="130"/>
        <v>497.70897363872069</v>
      </c>
      <c r="F1008" s="38">
        <f t="shared" si="125"/>
        <v>0.90823989179985221</v>
      </c>
      <c r="G1008" s="14">
        <f t="shared" si="126"/>
        <v>0</v>
      </c>
      <c r="H1008" s="24">
        <f t="shared" si="124"/>
        <v>664.79489362087759</v>
      </c>
      <c r="I1008" s="12">
        <f t="shared" si="131"/>
        <v>0.39156247476383327</v>
      </c>
      <c r="J1008" s="3"/>
    </row>
    <row r="1009" spans="2:10" x14ac:dyDescent="0.25">
      <c r="B1009" s="3">
        <f t="shared" si="127"/>
        <v>4945</v>
      </c>
      <c r="C1009" s="14">
        <f t="shared" si="128"/>
        <v>82.416666666666671</v>
      </c>
      <c r="D1009" s="11">
        <f t="shared" si="129"/>
        <v>992.81831118251512</v>
      </c>
      <c r="E1009" s="24">
        <f t="shared" si="130"/>
        <v>498.10053611348451</v>
      </c>
      <c r="F1009" s="38">
        <f t="shared" si="125"/>
        <v>0.90784358220702488</v>
      </c>
      <c r="G1009" s="14">
        <f t="shared" si="126"/>
        <v>0</v>
      </c>
      <c r="H1009" s="24">
        <f t="shared" si="124"/>
        <v>665.08510285820455</v>
      </c>
      <c r="I1009" s="12">
        <f t="shared" si="131"/>
        <v>0.39125064065419907</v>
      </c>
      <c r="J1009" s="3"/>
    </row>
    <row r="1010" spans="2:10" x14ac:dyDescent="0.25">
      <c r="B1010" s="3">
        <f t="shared" si="127"/>
        <v>4950</v>
      </c>
      <c r="C1010" s="14">
        <f t="shared" si="128"/>
        <v>82.5</v>
      </c>
      <c r="D1010" s="11">
        <f t="shared" si="129"/>
        <v>992.96950352254566</v>
      </c>
      <c r="E1010" s="24">
        <f t="shared" si="130"/>
        <v>498.49178675413873</v>
      </c>
      <c r="F1010" s="38">
        <f t="shared" si="125"/>
        <v>0.90744725377468827</v>
      </c>
      <c r="G1010" s="14">
        <f t="shared" si="126"/>
        <v>0</v>
      </c>
      <c r="H1010" s="24">
        <f t="shared" si="124"/>
        <v>665.37557939564499</v>
      </c>
      <c r="I1010" s="12">
        <f t="shared" si="131"/>
        <v>0.39093899237803148</v>
      </c>
      <c r="J1010" s="3"/>
    </row>
    <row r="1011" spans="2:10" x14ac:dyDescent="0.25">
      <c r="B1011" s="3">
        <f t="shared" si="127"/>
        <v>4955</v>
      </c>
      <c r="C1011" s="14">
        <f t="shared" si="128"/>
        <v>82.583333333333329</v>
      </c>
      <c r="D1011" s="11">
        <f t="shared" si="129"/>
        <v>993.12054345091758</v>
      </c>
      <c r="E1011" s="24">
        <f t="shared" si="130"/>
        <v>498.88272574651677</v>
      </c>
      <c r="F1011" s="38">
        <f t="shared" si="125"/>
        <v>0.90705090735397509</v>
      </c>
      <c r="G1011" s="14">
        <f t="shared" si="126"/>
        <v>0</v>
      </c>
      <c r="H1011" s="24">
        <f t="shared" si="124"/>
        <v>665.66632297705303</v>
      </c>
      <c r="I1011" s="12">
        <f t="shared" si="131"/>
        <v>0.39062753034772069</v>
      </c>
      <c r="J1011" s="3"/>
    </row>
    <row r="1012" spans="2:10" x14ac:dyDescent="0.25">
      <c r="B1012" s="3">
        <f t="shared" si="127"/>
        <v>4960</v>
      </c>
      <c r="C1012" s="14">
        <f t="shared" si="128"/>
        <v>82.666666666666671</v>
      </c>
      <c r="D1012" s="11">
        <f t="shared" si="129"/>
        <v>993.27143127460261</v>
      </c>
      <c r="E1012" s="24">
        <f t="shared" si="130"/>
        <v>499.2733532768645</v>
      </c>
      <c r="F1012" s="38">
        <f t="shared" si="125"/>
        <v>0.90665454379615029</v>
      </c>
      <c r="G1012" s="14">
        <f t="shared" si="126"/>
        <v>0</v>
      </c>
      <c r="H1012" s="24">
        <f t="shared" si="124"/>
        <v>665.95733334467832</v>
      </c>
      <c r="I1012" s="12">
        <f t="shared" si="131"/>
        <v>0.39031625497381284</v>
      </c>
      <c r="J1012" s="3"/>
    </row>
    <row r="1013" spans="2:10" x14ac:dyDescent="0.25">
      <c r="B1013" s="3">
        <f t="shared" si="127"/>
        <v>4965</v>
      </c>
      <c r="C1013" s="14">
        <f t="shared" si="128"/>
        <v>82.75</v>
      </c>
      <c r="D1013" s="11">
        <f t="shared" si="129"/>
        <v>993.42216729964662</v>
      </c>
      <c r="E1013" s="24">
        <f t="shared" si="130"/>
        <v>499.66366953183831</v>
      </c>
      <c r="F1013" s="38">
        <f t="shared" si="125"/>
        <v>0.90625816395258896</v>
      </c>
      <c r="G1013" s="14">
        <f t="shared" si="126"/>
        <v>0</v>
      </c>
      <c r="H1013" s="24">
        <f t="shared" si="124"/>
        <v>666.24861023917651</v>
      </c>
      <c r="I1013" s="12">
        <f t="shared" si="131"/>
        <v>0.39000516666467722</v>
      </c>
      <c r="J1013" s="3"/>
    </row>
    <row r="1014" spans="2:10" x14ac:dyDescent="0.25">
      <c r="B1014" s="3">
        <f t="shared" si="127"/>
        <v>4970</v>
      </c>
      <c r="C1014" s="14">
        <f t="shared" si="128"/>
        <v>82.833333333333329</v>
      </c>
      <c r="D1014" s="11">
        <f t="shared" si="129"/>
        <v>993.5727518311727</v>
      </c>
      <c r="E1014" s="24">
        <f t="shared" si="130"/>
        <v>500.05367469850296</v>
      </c>
      <c r="F1014" s="38">
        <f t="shared" si="125"/>
        <v>0.9058617686747521</v>
      </c>
      <c r="G1014" s="14">
        <f t="shared" si="126"/>
        <v>0</v>
      </c>
      <c r="H1014" s="24">
        <f t="shared" si="124"/>
        <v>666.54015339961961</v>
      </c>
      <c r="I1014" s="12">
        <f t="shared" si="131"/>
        <v>0.38969426582672106</v>
      </c>
      <c r="J1014" s="3"/>
    </row>
    <row r="1015" spans="2:10" x14ac:dyDescent="0.25">
      <c r="B1015" s="3">
        <f t="shared" si="127"/>
        <v>4975</v>
      </c>
      <c r="C1015" s="14">
        <f t="shared" si="128"/>
        <v>82.916666666666671</v>
      </c>
      <c r="D1015" s="11">
        <f t="shared" si="129"/>
        <v>993.72318517338454</v>
      </c>
      <c r="E1015" s="24">
        <f t="shared" si="130"/>
        <v>500.44336896432969</v>
      </c>
      <c r="F1015" s="38">
        <f t="shared" si="125"/>
        <v>0.90546535881416468</v>
      </c>
      <c r="G1015" s="14">
        <f t="shared" si="126"/>
        <v>0</v>
      </c>
      <c r="H1015" s="24">
        <f t="shared" ref="H1015:H1078" si="132">IF(E1015&lt;600,425+0.773*E1015-1.69/1000*E1015^2+2.22/1000^2*E1015^3,IF(E1015&lt;735,666+13002/(738-E1015),IF(E1015&lt;900,545+17820/(E1015-731),650)))</f>
        <v>666.83196256350766</v>
      </c>
      <c r="I1015" s="12">
        <f t="shared" si="131"/>
        <v>0.38938355286435705</v>
      </c>
      <c r="J1015" s="3"/>
    </row>
    <row r="1016" spans="2:10" x14ac:dyDescent="0.25">
      <c r="B1016" s="3">
        <f t="shared" si="127"/>
        <v>4980</v>
      </c>
      <c r="C1016" s="14">
        <f t="shared" si="128"/>
        <v>83</v>
      </c>
      <c r="D1016" s="11">
        <f t="shared" si="129"/>
        <v>993.87346762957111</v>
      </c>
      <c r="E1016" s="24">
        <f t="shared" si="130"/>
        <v>500.83275251719402</v>
      </c>
      <c r="F1016" s="38">
        <f t="shared" si="125"/>
        <v>0.90506893522239351</v>
      </c>
      <c r="G1016" s="14">
        <f t="shared" si="126"/>
        <v>0</v>
      </c>
      <c r="H1016" s="24">
        <f t="shared" si="132"/>
        <v>667.12403746677705</v>
      </c>
      <c r="I1016" s="12">
        <f t="shared" si="131"/>
        <v>0.38907302817988626</v>
      </c>
      <c r="J1016" s="3"/>
    </row>
    <row r="1017" spans="2:10" x14ac:dyDescent="0.25">
      <c r="B1017" s="3">
        <f t="shared" si="127"/>
        <v>4985</v>
      </c>
      <c r="C1017" s="14">
        <f t="shared" si="128"/>
        <v>83.083333333333329</v>
      </c>
      <c r="D1017" s="11">
        <f t="shared" si="129"/>
        <v>994.02359950210871</v>
      </c>
      <c r="E1017" s="24">
        <f t="shared" si="130"/>
        <v>501.22182554537392</v>
      </c>
      <c r="F1017" s="38">
        <f t="shared" si="125"/>
        <v>0.90467249875102351</v>
      </c>
      <c r="G1017" s="14">
        <f t="shared" si="126"/>
        <v>0</v>
      </c>
      <c r="H1017" s="24">
        <f t="shared" si="132"/>
        <v>667.41637784381351</v>
      </c>
      <c r="I1017" s="12">
        <f t="shared" si="131"/>
        <v>0.38876269217374387</v>
      </c>
      <c r="J1017" s="3"/>
    </row>
    <row r="1018" spans="2:10" x14ac:dyDescent="0.25">
      <c r="B1018" s="3">
        <f t="shared" si="127"/>
        <v>4990</v>
      </c>
      <c r="C1018" s="14">
        <f t="shared" si="128"/>
        <v>83.166666666666671</v>
      </c>
      <c r="D1018" s="11">
        <f t="shared" si="129"/>
        <v>994.17358109246686</v>
      </c>
      <c r="E1018" s="24">
        <f t="shared" si="130"/>
        <v>501.61058823754769</v>
      </c>
      <c r="F1018" s="38">
        <f t="shared" si="125"/>
        <v>0.90427605025163782</v>
      </c>
      <c r="G1018" s="14">
        <f t="shared" si="126"/>
        <v>0</v>
      </c>
      <c r="H1018" s="24">
        <f t="shared" si="132"/>
        <v>667.70898342746045</v>
      </c>
      <c r="I1018" s="12">
        <f t="shared" si="131"/>
        <v>0.38845254524413581</v>
      </c>
      <c r="J1018" s="3"/>
    </row>
    <row r="1019" spans="2:10" x14ac:dyDescent="0.25">
      <c r="B1019" s="3">
        <f t="shared" si="127"/>
        <v>4995</v>
      </c>
      <c r="C1019" s="14">
        <f t="shared" si="128"/>
        <v>83.25</v>
      </c>
      <c r="D1019" s="11">
        <f t="shared" si="129"/>
        <v>994.32341270120935</v>
      </c>
      <c r="E1019" s="24">
        <f t="shared" si="130"/>
        <v>501.99904078279184</v>
      </c>
      <c r="F1019" s="38">
        <f t="shared" si="125"/>
        <v>0.90387959057579181</v>
      </c>
      <c r="G1019" s="14">
        <f t="shared" si="126"/>
        <v>0</v>
      </c>
      <c r="H1019" s="24">
        <f t="shared" si="132"/>
        <v>668.0018539490311</v>
      </c>
      <c r="I1019" s="12">
        <f t="shared" si="131"/>
        <v>0.3881425877874991</v>
      </c>
      <c r="J1019" s="3"/>
    </row>
    <row r="1020" spans="2:10" x14ac:dyDescent="0.25">
      <c r="B1020" s="3">
        <f t="shared" si="127"/>
        <v>5000</v>
      </c>
      <c r="C1020" s="14">
        <f t="shared" si="128"/>
        <v>83.333333333333329</v>
      </c>
      <c r="D1020" s="11">
        <f t="shared" si="129"/>
        <v>994.47309462800013</v>
      </c>
      <c r="E1020" s="24">
        <f t="shared" si="130"/>
        <v>502.38718337057935</v>
      </c>
      <c r="F1020" s="38">
        <f t="shared" si="125"/>
        <v>0.90348312057499602</v>
      </c>
      <c r="G1020" s="14">
        <f t="shared" si="126"/>
        <v>0</v>
      </c>
      <c r="H1020" s="24">
        <f t="shared" si="132"/>
        <v>668.29498913831742</v>
      </c>
      <c r="I1020" s="12">
        <f t="shared" si="131"/>
        <v>0.38783282019804149</v>
      </c>
      <c r="J1020" s="3"/>
    </row>
    <row r="1021" spans="2:10" x14ac:dyDescent="0.25">
      <c r="B1021" s="3">
        <f t="shared" si="127"/>
        <v>5005</v>
      </c>
      <c r="C1021" s="14">
        <f t="shared" si="128"/>
        <v>83.416666666666671</v>
      </c>
      <c r="D1021" s="11">
        <f t="shared" si="129"/>
        <v>994.6226271716057</v>
      </c>
      <c r="E1021" s="24">
        <f t="shared" si="130"/>
        <v>502.77501619077736</v>
      </c>
      <c r="F1021" s="38">
        <f t="shared" si="125"/>
        <v>0.90308664110069115</v>
      </c>
      <c r="G1021" s="14">
        <f t="shared" si="126"/>
        <v>0</v>
      </c>
      <c r="H1021" s="24">
        <f t="shared" si="132"/>
        <v>668.58838872360116</v>
      </c>
      <c r="I1021" s="12">
        <f t="shared" si="131"/>
        <v>0.38752324286807499</v>
      </c>
      <c r="J1021" s="3"/>
    </row>
    <row r="1022" spans="2:10" x14ac:dyDescent="0.25">
      <c r="B1022" s="3">
        <f t="shared" si="127"/>
        <v>5010</v>
      </c>
      <c r="C1022" s="14">
        <f t="shared" si="128"/>
        <v>83.5</v>
      </c>
      <c r="D1022" s="11">
        <f t="shared" si="129"/>
        <v>994.77201062989889</v>
      </c>
      <c r="E1022" s="24">
        <f t="shared" si="130"/>
        <v>503.16253943364546</v>
      </c>
      <c r="F1022" s="38">
        <f t="shared" si="125"/>
        <v>0.90269015300422661</v>
      </c>
      <c r="G1022" s="14">
        <f t="shared" si="126"/>
        <v>0</v>
      </c>
      <c r="H1022" s="24">
        <f t="shared" si="132"/>
        <v>668.88205243166419</v>
      </c>
      <c r="I1022" s="12">
        <f t="shared" si="131"/>
        <v>0.38721385618788551</v>
      </c>
      <c r="J1022" s="3"/>
    </row>
    <row r="1023" spans="2:10" x14ac:dyDescent="0.25">
      <c r="B1023" s="3">
        <f t="shared" si="127"/>
        <v>5015</v>
      </c>
      <c r="C1023" s="14">
        <f t="shared" si="128"/>
        <v>83.583333333333329</v>
      </c>
      <c r="D1023" s="11">
        <f t="shared" si="129"/>
        <v>994.92124529986245</v>
      </c>
      <c r="E1023" s="24">
        <f t="shared" si="130"/>
        <v>503.54975328983335</v>
      </c>
      <c r="F1023" s="38">
        <f t="shared" si="125"/>
        <v>0.9022936571368404</v>
      </c>
      <c r="G1023" s="14">
        <f t="shared" si="126"/>
        <v>0</v>
      </c>
      <c r="H1023" s="24">
        <f t="shared" si="132"/>
        <v>669.17597998779888</v>
      </c>
      <c r="I1023" s="12">
        <f t="shared" si="131"/>
        <v>0.38690466054574546</v>
      </c>
      <c r="J1023" s="3"/>
    </row>
    <row r="1024" spans="2:10" x14ac:dyDescent="0.25">
      <c r="B1024" s="3">
        <f t="shared" si="127"/>
        <v>5020</v>
      </c>
      <c r="C1024" s="14">
        <f t="shared" si="128"/>
        <v>83.666666666666671</v>
      </c>
      <c r="D1024" s="11">
        <f t="shared" si="129"/>
        <v>995.07033147759228</v>
      </c>
      <c r="E1024" s="24">
        <f t="shared" si="130"/>
        <v>503.93665795037907</v>
      </c>
      <c r="F1024" s="38">
        <f t="shared" si="125"/>
        <v>0.90189715434963569</v>
      </c>
      <c r="G1024" s="14">
        <f t="shared" si="126"/>
        <v>0</v>
      </c>
      <c r="H1024" s="24">
        <f t="shared" si="132"/>
        <v>669.47017111581818</v>
      </c>
      <c r="I1024" s="12">
        <f t="shared" si="131"/>
        <v>0.38659565632795628</v>
      </c>
      <c r="J1024" s="3"/>
    </row>
    <row r="1025" spans="2:10" x14ac:dyDescent="0.25">
      <c r="B1025" s="3">
        <f t="shared" si="127"/>
        <v>5025</v>
      </c>
      <c r="C1025" s="14">
        <f t="shared" si="128"/>
        <v>83.75</v>
      </c>
      <c r="D1025" s="11">
        <f t="shared" si="129"/>
        <v>995.21926945830228</v>
      </c>
      <c r="E1025" s="24">
        <f t="shared" si="130"/>
        <v>504.32325360670706</v>
      </c>
      <c r="F1025" s="38">
        <f t="shared" si="125"/>
        <v>0.9015006454935629</v>
      </c>
      <c r="G1025" s="14">
        <f t="shared" si="126"/>
        <v>0</v>
      </c>
      <c r="H1025" s="24">
        <f t="shared" si="132"/>
        <v>669.76462553806505</v>
      </c>
      <c r="I1025" s="12">
        <f t="shared" si="131"/>
        <v>0.386286843918689</v>
      </c>
      <c r="J1025" s="3"/>
    </row>
    <row r="1026" spans="2:10" x14ac:dyDescent="0.25">
      <c r="B1026" s="3">
        <f t="shared" si="127"/>
        <v>5030</v>
      </c>
      <c r="C1026" s="14">
        <f t="shared" si="128"/>
        <v>83.833333333333329</v>
      </c>
      <c r="D1026" s="11">
        <f t="shared" si="129"/>
        <v>995.36805953632563</v>
      </c>
      <c r="E1026" s="24">
        <f t="shared" si="130"/>
        <v>504.70954045062575</v>
      </c>
      <c r="F1026" s="38">
        <f t="shared" si="125"/>
        <v>0.90110413141939449</v>
      </c>
      <c r="G1026" s="14">
        <f t="shared" si="126"/>
        <v>0</v>
      </c>
      <c r="H1026" s="24">
        <f t="shared" si="132"/>
        <v>670.05934297542444</v>
      </c>
      <c r="I1026" s="12">
        <f t="shared" si="131"/>
        <v>0.3859782237003262</v>
      </c>
      <c r="J1026" s="3"/>
    </row>
    <row r="1027" spans="2:10" x14ac:dyDescent="0.25">
      <c r="B1027" s="3">
        <f t="shared" si="127"/>
        <v>5035</v>
      </c>
      <c r="C1027" s="14">
        <f t="shared" si="128"/>
        <v>83.916666666666671</v>
      </c>
      <c r="D1027" s="11">
        <f t="shared" si="129"/>
        <v>995.51670200512046</v>
      </c>
      <c r="E1027" s="24">
        <f t="shared" si="130"/>
        <v>505.09551867432606</v>
      </c>
      <c r="F1027" s="38">
        <f t="shared" si="125"/>
        <v>0.90070761297770752</v>
      </c>
      <c r="G1027" s="14">
        <f t="shared" si="126"/>
        <v>0</v>
      </c>
      <c r="H1027" s="24">
        <f t="shared" si="132"/>
        <v>670.35432314733202</v>
      </c>
      <c r="I1027" s="12">
        <f t="shared" si="131"/>
        <v>0.38566979605304541</v>
      </c>
      <c r="J1027" s="3"/>
    </row>
    <row r="1028" spans="2:10" x14ac:dyDescent="0.25">
      <c r="B1028" s="3">
        <f t="shared" si="127"/>
        <v>5040</v>
      </c>
      <c r="C1028" s="14">
        <f t="shared" si="128"/>
        <v>84</v>
      </c>
      <c r="D1028" s="11">
        <f t="shared" si="129"/>
        <v>995.6651971572719</v>
      </c>
      <c r="E1028" s="24">
        <f t="shared" si="130"/>
        <v>505.4811884703791</v>
      </c>
      <c r="F1028" s="38">
        <f t="shared" si="125"/>
        <v>0.90031109101885975</v>
      </c>
      <c r="G1028" s="14">
        <f t="shared" si="126"/>
        <v>0</v>
      </c>
      <c r="H1028" s="24">
        <f t="shared" si="132"/>
        <v>670.64956577178486</v>
      </c>
      <c r="I1028" s="12">
        <f t="shared" si="131"/>
        <v>0.38536156135516253</v>
      </c>
      <c r="J1028" s="3"/>
    </row>
    <row r="1029" spans="2:10" x14ac:dyDescent="0.25">
      <c r="B1029" s="3">
        <f t="shared" si="127"/>
        <v>5045</v>
      </c>
      <c r="C1029" s="14">
        <f t="shared" si="128"/>
        <v>84.083333333333329</v>
      </c>
      <c r="D1029" s="11">
        <f t="shared" si="129"/>
        <v>995.81354528449617</v>
      </c>
      <c r="E1029" s="24">
        <f t="shared" si="130"/>
        <v>505.86655003173428</v>
      </c>
      <c r="F1029" s="38">
        <f t="shared" si="125"/>
        <v>0.8999145663929724</v>
      </c>
      <c r="G1029" s="14">
        <f t="shared" si="126"/>
        <v>0</v>
      </c>
      <c r="H1029" s="24">
        <f t="shared" si="132"/>
        <v>670.94507056535099</v>
      </c>
      <c r="I1029" s="12">
        <f t="shared" si="131"/>
        <v>0.38505351998293902</v>
      </c>
      <c r="J1029" s="3"/>
    </row>
    <row r="1030" spans="2:10" x14ac:dyDescent="0.25">
      <c r="B1030" s="3">
        <f t="shared" si="127"/>
        <v>5050</v>
      </c>
      <c r="C1030" s="14">
        <f t="shared" si="128"/>
        <v>84.166666666666671</v>
      </c>
      <c r="D1030" s="11">
        <f t="shared" si="129"/>
        <v>995.96174667764399</v>
      </c>
      <c r="E1030" s="24">
        <f t="shared" si="130"/>
        <v>506.25160355171721</v>
      </c>
      <c r="F1030" s="38">
        <f t="shared" si="125"/>
        <v>0.89951803994990709</v>
      </c>
      <c r="G1030" s="14">
        <f t="shared" si="126"/>
        <v>0</v>
      </c>
      <c r="H1030" s="24">
        <f t="shared" si="132"/>
        <v>671.24083724318029</v>
      </c>
      <c r="I1030" s="12">
        <f t="shared" si="131"/>
        <v>0.38474567231064749</v>
      </c>
      <c r="J1030" s="3"/>
    </row>
    <row r="1031" spans="2:10" x14ac:dyDescent="0.25">
      <c r="B1031" s="3">
        <f t="shared" si="127"/>
        <v>5055</v>
      </c>
      <c r="C1031" s="14">
        <f t="shared" si="128"/>
        <v>84.25</v>
      </c>
      <c r="D1031" s="11">
        <f t="shared" si="129"/>
        <v>996.10980162670353</v>
      </c>
      <c r="E1031" s="24">
        <f t="shared" si="130"/>
        <v>506.63634922402787</v>
      </c>
      <c r="F1031" s="38">
        <f t="shared" si="125"/>
        <v>0.89912151253924588</v>
      </c>
      <c r="G1031" s="14">
        <f t="shared" si="126"/>
        <v>0</v>
      </c>
      <c r="H1031" s="24">
        <f t="shared" si="132"/>
        <v>671.5368655190141</v>
      </c>
      <c r="I1031" s="12">
        <f t="shared" si="131"/>
        <v>0.38443801871061367</v>
      </c>
      <c r="J1031" s="3"/>
    </row>
    <row r="1032" spans="2:10" x14ac:dyDescent="0.25">
      <c r="B1032" s="3">
        <f t="shared" si="127"/>
        <v>5060</v>
      </c>
      <c r="C1032" s="14">
        <f t="shared" si="128"/>
        <v>84.333333333333329</v>
      </c>
      <c r="D1032" s="11">
        <f t="shared" si="129"/>
        <v>996.25771042080441</v>
      </c>
      <c r="E1032" s="24">
        <f t="shared" si="130"/>
        <v>507.02078724273849</v>
      </c>
      <c r="F1032" s="38">
        <f t="shared" si="125"/>
        <v>0.8987249850102722</v>
      </c>
      <c r="G1032" s="14">
        <f t="shared" si="126"/>
        <v>0</v>
      </c>
      <c r="H1032" s="24">
        <f t="shared" si="132"/>
        <v>671.83315510519492</v>
      </c>
      <c r="I1032" s="12">
        <f t="shared" si="131"/>
        <v>0.38413055955312247</v>
      </c>
      <c r="J1032" s="3"/>
    </row>
    <row r="1033" spans="2:10" x14ac:dyDescent="0.25">
      <c r="B1033" s="3">
        <f t="shared" si="127"/>
        <v>5065</v>
      </c>
      <c r="C1033" s="14">
        <f t="shared" si="128"/>
        <v>84.416666666666671</v>
      </c>
      <c r="D1033" s="11">
        <f t="shared" si="129"/>
        <v>996.40547334822077</v>
      </c>
      <c r="E1033" s="24">
        <f t="shared" si="130"/>
        <v>507.40491780229161</v>
      </c>
      <c r="F1033" s="38">
        <f t="shared" si="125"/>
        <v>0.89832845821194907</v>
      </c>
      <c r="G1033" s="14">
        <f t="shared" si="126"/>
        <v>0</v>
      </c>
      <c r="H1033" s="24">
        <f t="shared" si="132"/>
        <v>672.12970571267692</v>
      </c>
      <c r="I1033" s="12">
        <f t="shared" si="131"/>
        <v>0.3838232952065026</v>
      </c>
      <c r="J1033" s="3"/>
    </row>
    <row r="1034" spans="2:10" x14ac:dyDescent="0.25">
      <c r="B1034" s="3">
        <f t="shared" si="127"/>
        <v>5070</v>
      </c>
      <c r="C1034" s="14">
        <f t="shared" si="128"/>
        <v>84.5</v>
      </c>
      <c r="D1034" s="11">
        <f t="shared" si="129"/>
        <v>996.55309069637474</v>
      </c>
      <c r="E1034" s="24">
        <f t="shared" si="130"/>
        <v>507.78874109749813</v>
      </c>
      <c r="F1034" s="38">
        <f t="shared" si="125"/>
        <v>0.89793193299290053</v>
      </c>
      <c r="G1034" s="14">
        <f t="shared" si="126"/>
        <v>0</v>
      </c>
      <c r="H1034" s="24">
        <f t="shared" si="132"/>
        <v>672.42651705103583</v>
      </c>
      <c r="I1034" s="12">
        <f t="shared" si="131"/>
        <v>0.38351622603708557</v>
      </c>
      <c r="J1034" s="3"/>
    </row>
    <row r="1035" spans="2:10" x14ac:dyDescent="0.25">
      <c r="B1035" s="3">
        <f t="shared" si="127"/>
        <v>5075</v>
      </c>
      <c r="C1035" s="14">
        <f t="shared" si="128"/>
        <v>84.583333333333329</v>
      </c>
      <c r="D1035" s="11">
        <f t="shared" si="129"/>
        <v>996.7005627518397</v>
      </c>
      <c r="E1035" s="24">
        <f t="shared" si="130"/>
        <v>508.17225732353523</v>
      </c>
      <c r="F1035" s="38">
        <f t="shared" si="125"/>
        <v>0.89753541020139105</v>
      </c>
      <c r="G1035" s="14">
        <f t="shared" si="126"/>
        <v>0</v>
      </c>
      <c r="H1035" s="24">
        <f t="shared" si="132"/>
        <v>672.72358882847834</v>
      </c>
      <c r="I1035" s="12">
        <f t="shared" si="131"/>
        <v>0.38320935240923798</v>
      </c>
      <c r="J1035" s="3"/>
    </row>
    <row r="1036" spans="2:10" x14ac:dyDescent="0.25">
      <c r="B1036" s="3">
        <f t="shared" si="127"/>
        <v>5080</v>
      </c>
      <c r="C1036" s="14">
        <f t="shared" si="128"/>
        <v>84.666666666666671</v>
      </c>
      <c r="D1036" s="11">
        <f t="shared" si="129"/>
        <v>996.84788980034375</v>
      </c>
      <c r="E1036" s="24">
        <f t="shared" si="130"/>
        <v>508.55546667594444</v>
      </c>
      <c r="F1036" s="38">
        <f t="shared" si="125"/>
        <v>0.89713889068530617</v>
      </c>
      <c r="G1036" s="14">
        <f t="shared" si="126"/>
        <v>0</v>
      </c>
      <c r="H1036" s="24">
        <f t="shared" si="132"/>
        <v>673.02092075185226</v>
      </c>
      <c r="I1036" s="12">
        <f t="shared" si="131"/>
        <v>0.38290267468533012</v>
      </c>
      <c r="J1036" s="3"/>
    </row>
    <row r="1037" spans="2:10" x14ac:dyDescent="0.25">
      <c r="B1037" s="3">
        <f t="shared" si="127"/>
        <v>5085</v>
      </c>
      <c r="C1037" s="14">
        <f t="shared" si="128"/>
        <v>84.75</v>
      </c>
      <c r="D1037" s="11">
        <f t="shared" si="129"/>
        <v>996.99507212677304</v>
      </c>
      <c r="E1037" s="24">
        <f t="shared" si="130"/>
        <v>508.93836935062978</v>
      </c>
      <c r="F1037" s="38">
        <f t="shared" si="125"/>
        <v>0.89674237529213296</v>
      </c>
      <c r="G1037" s="14">
        <f t="shared" si="126"/>
        <v>0</v>
      </c>
      <c r="H1037" s="24">
        <f t="shared" si="132"/>
        <v>673.31851252665695</v>
      </c>
      <c r="I1037" s="12">
        <f t="shared" si="131"/>
        <v>0.38259619322575816</v>
      </c>
      <c r="J1037" s="3"/>
    </row>
    <row r="1038" spans="2:10" x14ac:dyDescent="0.25">
      <c r="B1038" s="3">
        <f t="shared" si="127"/>
        <v>5090</v>
      </c>
      <c r="C1038" s="14">
        <f t="shared" si="128"/>
        <v>84.833333333333329</v>
      </c>
      <c r="D1038" s="11">
        <f t="shared" si="129"/>
        <v>997.14211001517469</v>
      </c>
      <c r="E1038" s="24">
        <f t="shared" si="130"/>
        <v>509.32096554385555</v>
      </c>
      <c r="F1038" s="38">
        <f t="shared" si="125"/>
        <v>0.89634586486894074</v>
      </c>
      <c r="G1038" s="14">
        <f t="shared" si="126"/>
        <v>0</v>
      </c>
      <c r="H1038" s="24">
        <f t="shared" si="132"/>
        <v>673.61636385705174</v>
      </c>
      <c r="I1038" s="12">
        <f t="shared" si="131"/>
        <v>0.38228990838897725</v>
      </c>
      <c r="J1038" s="3"/>
    </row>
    <row r="1039" spans="2:10" x14ac:dyDescent="0.25">
      <c r="B1039" s="3">
        <f t="shared" si="127"/>
        <v>5095</v>
      </c>
      <c r="C1039" s="14">
        <f t="shared" si="128"/>
        <v>84.916666666666671</v>
      </c>
      <c r="D1039" s="11">
        <f t="shared" si="129"/>
        <v>997.28900374876071</v>
      </c>
      <c r="E1039" s="24">
        <f t="shared" si="130"/>
        <v>509.70325545224455</v>
      </c>
      <c r="F1039" s="38">
        <f t="shared" si="125"/>
        <v>0.89594936026236072</v>
      </c>
      <c r="G1039" s="14">
        <f t="shared" si="126"/>
        <v>0</v>
      </c>
      <c r="H1039" s="24">
        <f t="shared" si="132"/>
        <v>673.91447444586765</v>
      </c>
      <c r="I1039" s="12">
        <f t="shared" si="131"/>
        <v>0.3819838205314165</v>
      </c>
      <c r="J1039" s="3"/>
    </row>
    <row r="1040" spans="2:10" x14ac:dyDescent="0.25">
      <c r="B1040" s="3">
        <f t="shared" si="127"/>
        <v>5100</v>
      </c>
      <c r="C1040" s="14">
        <f t="shared" si="128"/>
        <v>85</v>
      </c>
      <c r="D1040" s="11">
        <f t="shared" si="129"/>
        <v>997.43575360991076</v>
      </c>
      <c r="E1040" s="24">
        <f t="shared" si="130"/>
        <v>510.08523927277594</v>
      </c>
      <c r="F1040" s="38">
        <f t="shared" si="125"/>
        <v>0.89555286231856857</v>
      </c>
      <c r="G1040" s="14">
        <f t="shared" si="126"/>
        <v>0</v>
      </c>
      <c r="H1040" s="24">
        <f t="shared" si="132"/>
        <v>674.21284399461513</v>
      </c>
      <c r="I1040" s="12">
        <f t="shared" si="131"/>
        <v>0.38167793000757572</v>
      </c>
      <c r="J1040" s="3"/>
    </row>
    <row r="1041" spans="2:10" x14ac:dyDescent="0.25">
      <c r="B1041" s="3">
        <f t="shared" si="127"/>
        <v>5105</v>
      </c>
      <c r="C1041" s="14">
        <f t="shared" si="128"/>
        <v>85.083333333333329</v>
      </c>
      <c r="D1041" s="11">
        <f t="shared" si="129"/>
        <v>997.58235988017577</v>
      </c>
      <c r="E1041" s="24">
        <f t="shared" si="130"/>
        <v>510.46691720278352</v>
      </c>
      <c r="F1041" s="38">
        <f t="shared" si="125"/>
        <v>0.89515637188326458</v>
      </c>
      <c r="G1041" s="14">
        <f t="shared" si="126"/>
        <v>0</v>
      </c>
      <c r="H1041" s="24">
        <f t="shared" si="132"/>
        <v>674.51147220349515</v>
      </c>
      <c r="I1041" s="12">
        <f t="shared" si="131"/>
        <v>0.38137223716996338</v>
      </c>
      <c r="J1041" s="3"/>
    </row>
    <row r="1042" spans="2:10" x14ac:dyDescent="0.25">
      <c r="B1042" s="3">
        <f t="shared" si="127"/>
        <v>5110</v>
      </c>
      <c r="C1042" s="14">
        <f t="shared" si="128"/>
        <v>85.166666666666671</v>
      </c>
      <c r="D1042" s="11">
        <f t="shared" si="129"/>
        <v>997.72882284028094</v>
      </c>
      <c r="E1042" s="24">
        <f t="shared" si="130"/>
        <v>510.84828943995348</v>
      </c>
      <c r="F1042" s="38">
        <f t="shared" si="125"/>
        <v>0.89475988980165433</v>
      </c>
      <c r="G1042" s="14">
        <f t="shared" si="126"/>
        <v>0</v>
      </c>
      <c r="H1042" s="24">
        <f t="shared" si="132"/>
        <v>674.81035877140835</v>
      </c>
      <c r="I1042" s="12">
        <f t="shared" si="131"/>
        <v>0.38106674236913868</v>
      </c>
      <c r="J1042" s="3"/>
    </row>
    <row r="1043" spans="2:10" x14ac:dyDescent="0.25">
      <c r="B1043" s="3">
        <f t="shared" si="127"/>
        <v>5115</v>
      </c>
      <c r="C1043" s="14">
        <f t="shared" si="128"/>
        <v>85.25</v>
      </c>
      <c r="D1043" s="11">
        <f t="shared" si="129"/>
        <v>997.8751427701286</v>
      </c>
      <c r="E1043" s="24">
        <f t="shared" si="130"/>
        <v>511.22935618232259</v>
      </c>
      <c r="F1043" s="38">
        <f t="shared" si="125"/>
        <v>0.89436341691843069</v>
      </c>
      <c r="G1043" s="14">
        <f t="shared" si="126"/>
        <v>0</v>
      </c>
      <c r="H1043" s="24">
        <f t="shared" si="132"/>
        <v>675.10950339596491</v>
      </c>
      <c r="I1043" s="12">
        <f t="shared" si="131"/>
        <v>0.38076144595373451</v>
      </c>
      <c r="J1043" s="3"/>
    </row>
    <row r="1044" spans="2:10" x14ac:dyDescent="0.25">
      <c r="B1044" s="3">
        <f t="shared" si="127"/>
        <v>5120</v>
      </c>
      <c r="C1044" s="14">
        <f t="shared" si="128"/>
        <v>85.333333333333329</v>
      </c>
      <c r="D1044" s="11">
        <f t="shared" si="129"/>
        <v>998.02131994880278</v>
      </c>
      <c r="E1044" s="24">
        <f t="shared" si="130"/>
        <v>511.61011762827633</v>
      </c>
      <c r="F1044" s="38">
        <f t="shared" ref="F1044:F1107" si="133">Cp*RhoP/(RhoA*H1044)*dp/1000*MassivP</f>
        <v>0.8939669540777555</v>
      </c>
      <c r="G1044" s="14">
        <f t="shared" ref="G1044:G1107" si="134">Phi*EpsilonF*Botzman/10^8*J1044*((D1044+273)^4-(E1044+273)^4)</f>
        <v>0</v>
      </c>
      <c r="H1044" s="24">
        <f t="shared" si="132"/>
        <v>675.40890577349398</v>
      </c>
      <c r="I1044" s="12">
        <f t="shared" si="131"/>
        <v>0.38045634827029895</v>
      </c>
      <c r="J1044" s="3"/>
    </row>
    <row r="1045" spans="2:10" x14ac:dyDescent="0.25">
      <c r="B1045" s="3">
        <f t="shared" ref="B1045:B1108" si="135">B1044+DeltaT</f>
        <v>5125</v>
      </c>
      <c r="C1045" s="14">
        <f t="shared" ref="C1045:C1108" si="136">B1045/60</f>
        <v>85.416666666666671</v>
      </c>
      <c r="D1045" s="11">
        <f t="shared" ref="D1045:D1108" si="137">20+345*LOG(8*C1045+1,10)</f>
        <v>998.16735465457054</v>
      </c>
      <c r="E1045" s="24">
        <f t="shared" ref="E1045:E1108" si="138">E1044+IF(Limit=Oui,MAX(0,I1044),I1044)</f>
        <v>511.99057397654661</v>
      </c>
      <c r="F1045" s="38">
        <f t="shared" si="133"/>
        <v>0.89357050212323985</v>
      </c>
      <c r="G1045" s="14">
        <f t="shared" si="134"/>
        <v>0</v>
      </c>
      <c r="H1045" s="24">
        <f t="shared" si="132"/>
        <v>675.70856559905326</v>
      </c>
      <c r="I1045" s="12">
        <f t="shared" ref="I1045:I1108" si="139">LambdaP*MassivP/(dp/1000)/(H1045*RhoA)/(1+F1045/3)*(D1045-E1045)*DeltaT-(EXP(F1045/10)-1)*(D1045-D1044)</f>
        <v>0.38015144966359354</v>
      </c>
      <c r="J1045" s="3"/>
    </row>
    <row r="1046" spans="2:10" x14ac:dyDescent="0.25">
      <c r="B1046" s="3">
        <f t="shared" si="135"/>
        <v>5130</v>
      </c>
      <c r="C1046" s="14">
        <f t="shared" si="136"/>
        <v>85.5</v>
      </c>
      <c r="D1046" s="11">
        <f t="shared" si="137"/>
        <v>998.31324716488677</v>
      </c>
      <c r="E1046" s="24">
        <f t="shared" si="138"/>
        <v>512.37072542621024</v>
      </c>
      <c r="F1046" s="38">
        <f t="shared" si="133"/>
        <v>0.89317406189792725</v>
      </c>
      <c r="G1046" s="14">
        <f t="shared" si="134"/>
        <v>0</v>
      </c>
      <c r="H1046" s="24">
        <f t="shared" si="132"/>
        <v>676.00848256643872</v>
      </c>
      <c r="I1046" s="12">
        <f t="shared" si="139"/>
        <v>0.37984675047627586</v>
      </c>
      <c r="J1046" s="3"/>
    </row>
    <row r="1047" spans="2:10" x14ac:dyDescent="0.25">
      <c r="B1047" s="3">
        <f t="shared" si="135"/>
        <v>5135</v>
      </c>
      <c r="C1047" s="14">
        <f t="shared" si="136"/>
        <v>85.583333333333329</v>
      </c>
      <c r="D1047" s="11">
        <f t="shared" si="137"/>
        <v>998.45899775639612</v>
      </c>
      <c r="E1047" s="24">
        <f t="shared" si="138"/>
        <v>512.75057217668655</v>
      </c>
      <c r="F1047" s="38">
        <f t="shared" si="133"/>
        <v>0.89277763424427392</v>
      </c>
      <c r="G1047" s="14">
        <f t="shared" si="134"/>
        <v>0</v>
      </c>
      <c r="H1047" s="24">
        <f t="shared" si="132"/>
        <v>676.30865636819431</v>
      </c>
      <c r="I1047" s="12">
        <f t="shared" si="139"/>
        <v>0.37954225104916572</v>
      </c>
      <c r="J1047" s="3"/>
    </row>
    <row r="1048" spans="2:10" x14ac:dyDescent="0.25">
      <c r="B1048" s="3">
        <f t="shared" si="135"/>
        <v>5140</v>
      </c>
      <c r="C1048" s="14">
        <f t="shared" si="136"/>
        <v>85.666666666666671</v>
      </c>
      <c r="D1048" s="11">
        <f t="shared" si="137"/>
        <v>998.60460670493728</v>
      </c>
      <c r="E1048" s="24">
        <f t="shared" si="138"/>
        <v>513.13011442773575</v>
      </c>
      <c r="F1048" s="38">
        <f t="shared" si="133"/>
        <v>0.89238122000413278</v>
      </c>
      <c r="G1048" s="14">
        <f t="shared" si="134"/>
        <v>0</v>
      </c>
      <c r="H1048" s="24">
        <f t="shared" si="132"/>
        <v>676.60908669562082</v>
      </c>
      <c r="I1048" s="12">
        <f t="shared" si="139"/>
        <v>0.37923795172102409</v>
      </c>
      <c r="J1048" s="3"/>
    </row>
    <row r="1049" spans="2:10" x14ac:dyDescent="0.25">
      <c r="B1049" s="3">
        <f t="shared" si="135"/>
        <v>5145</v>
      </c>
      <c r="C1049" s="14">
        <f t="shared" si="136"/>
        <v>85.75</v>
      </c>
      <c r="D1049" s="11">
        <f t="shared" si="137"/>
        <v>998.75007428554477</v>
      </c>
      <c r="E1049" s="24">
        <f t="shared" si="138"/>
        <v>513.5093523794568</v>
      </c>
      <c r="F1049" s="38">
        <f t="shared" si="133"/>
        <v>0.89198482001873336</v>
      </c>
      <c r="G1049" s="14">
        <f t="shared" si="134"/>
        <v>0</v>
      </c>
      <c r="H1049" s="24">
        <f t="shared" si="132"/>
        <v>676.90977323878587</v>
      </c>
      <c r="I1049" s="12">
        <f t="shared" si="139"/>
        <v>0.37893385282879682</v>
      </c>
      <c r="J1049" s="3"/>
    </row>
    <row r="1050" spans="2:10" x14ac:dyDescent="0.25">
      <c r="B1050" s="3">
        <f t="shared" si="135"/>
        <v>5150</v>
      </c>
      <c r="C1050" s="14">
        <f t="shared" si="136"/>
        <v>85.833333333333329</v>
      </c>
      <c r="D1050" s="11">
        <f t="shared" si="137"/>
        <v>998.89540077245374</v>
      </c>
      <c r="E1050" s="24">
        <f t="shared" si="138"/>
        <v>513.88828623228562</v>
      </c>
      <c r="F1050" s="38">
        <f t="shared" si="133"/>
        <v>0.89158843512866581</v>
      </c>
      <c r="G1050" s="14">
        <f t="shared" si="134"/>
        <v>0</v>
      </c>
      <c r="H1050" s="24">
        <f t="shared" si="132"/>
        <v>677.21071568653349</v>
      </c>
      <c r="I1050" s="12">
        <f t="shared" si="139"/>
        <v>0.37862995470732014</v>
      </c>
      <c r="J1050" s="3"/>
    </row>
    <row r="1051" spans="2:10" x14ac:dyDescent="0.25">
      <c r="B1051" s="3">
        <f t="shared" si="135"/>
        <v>5155</v>
      </c>
      <c r="C1051" s="14">
        <f t="shared" si="136"/>
        <v>85.916666666666671</v>
      </c>
      <c r="D1051" s="11">
        <f t="shared" si="137"/>
        <v>999.04058643910128</v>
      </c>
      <c r="E1051" s="24">
        <f t="shared" si="138"/>
        <v>514.26691618699294</v>
      </c>
      <c r="F1051" s="38">
        <f t="shared" si="133"/>
        <v>0.8911920661738616</v>
      </c>
      <c r="G1051" s="14">
        <f t="shared" si="134"/>
        <v>0</v>
      </c>
      <c r="H1051" s="24">
        <f t="shared" si="132"/>
        <v>677.51191372649282</v>
      </c>
      <c r="I1051" s="12">
        <f t="shared" si="139"/>
        <v>0.37832625768966066</v>
      </c>
      <c r="J1051" s="3"/>
    </row>
    <row r="1052" spans="2:10" x14ac:dyDescent="0.25">
      <c r="B1052" s="3">
        <f t="shared" si="135"/>
        <v>5160</v>
      </c>
      <c r="C1052" s="14">
        <f t="shared" si="136"/>
        <v>86</v>
      </c>
      <c r="D1052" s="11">
        <f t="shared" si="137"/>
        <v>999.18563155813081</v>
      </c>
      <c r="E1052" s="24">
        <f t="shared" si="138"/>
        <v>514.64524244468259</v>
      </c>
      <c r="F1052" s="38">
        <f t="shared" si="133"/>
        <v>0.8907957139935776</v>
      </c>
      <c r="G1052" s="14">
        <f t="shared" si="134"/>
        <v>0</v>
      </c>
      <c r="H1052" s="24">
        <f t="shared" si="132"/>
        <v>677.81336704508828</v>
      </c>
      <c r="I1052" s="12">
        <f t="shared" si="139"/>
        <v>0.37802276210681907</v>
      </c>
      <c r="J1052" s="3"/>
    </row>
    <row r="1053" spans="2:10" x14ac:dyDescent="0.25">
      <c r="B1053" s="3">
        <f t="shared" si="135"/>
        <v>5165</v>
      </c>
      <c r="C1053" s="14">
        <f t="shared" si="136"/>
        <v>86.083333333333329</v>
      </c>
      <c r="D1053" s="11">
        <f t="shared" si="137"/>
        <v>999.33053640139485</v>
      </c>
      <c r="E1053" s="24">
        <f t="shared" si="138"/>
        <v>515.02326520678946</v>
      </c>
      <c r="F1053" s="38">
        <f t="shared" si="133"/>
        <v>0.89039937942637726</v>
      </c>
      <c r="G1053" s="14">
        <f t="shared" si="134"/>
        <v>0</v>
      </c>
      <c r="H1053" s="24">
        <f t="shared" si="132"/>
        <v>678.11507532754842</v>
      </c>
      <c r="I1053" s="12">
        <f t="shared" si="139"/>
        <v>0.3777194682878916</v>
      </c>
      <c r="J1053" s="3"/>
    </row>
    <row r="1054" spans="2:10" x14ac:dyDescent="0.25">
      <c r="B1054" s="3">
        <f t="shared" si="135"/>
        <v>5170</v>
      </c>
      <c r="C1054" s="14">
        <f t="shared" si="136"/>
        <v>86.166666666666671</v>
      </c>
      <c r="D1054" s="11">
        <f t="shared" si="137"/>
        <v>999.47530123995762</v>
      </c>
      <c r="E1054" s="24">
        <f t="shared" si="138"/>
        <v>515.40098467507732</v>
      </c>
      <c r="F1054" s="38">
        <f t="shared" si="133"/>
        <v>0.89000306331011514</v>
      </c>
      <c r="G1054" s="14">
        <f t="shared" si="134"/>
        <v>0</v>
      </c>
      <c r="H1054" s="24">
        <f t="shared" si="132"/>
        <v>678.41703825791512</v>
      </c>
      <c r="I1054" s="12">
        <f t="shared" si="139"/>
        <v>0.37741637656008092</v>
      </c>
      <c r="J1054" s="3"/>
    </row>
    <row r="1055" spans="2:10" x14ac:dyDescent="0.25">
      <c r="B1055" s="3">
        <f t="shared" si="135"/>
        <v>5175</v>
      </c>
      <c r="C1055" s="14">
        <f t="shared" si="136"/>
        <v>86.25</v>
      </c>
      <c r="D1055" s="11">
        <f t="shared" si="137"/>
        <v>999.6199263440983</v>
      </c>
      <c r="E1055" s="24">
        <f t="shared" si="138"/>
        <v>515.77840105163739</v>
      </c>
      <c r="F1055" s="38">
        <f t="shared" si="133"/>
        <v>0.8896067664819185</v>
      </c>
      <c r="G1055" s="14">
        <f t="shared" si="134"/>
        <v>0</v>
      </c>
      <c r="H1055" s="24">
        <f t="shared" si="132"/>
        <v>678.71925551905338</v>
      </c>
      <c r="I1055" s="12">
        <f t="shared" si="139"/>
        <v>0.37711348724863375</v>
      </c>
      <c r="J1055" s="3"/>
    </row>
    <row r="1056" spans="2:10" x14ac:dyDescent="0.25">
      <c r="B1056" s="3">
        <f t="shared" si="135"/>
        <v>5180</v>
      </c>
      <c r="C1056" s="14">
        <f t="shared" si="136"/>
        <v>86.333333333333329</v>
      </c>
      <c r="D1056" s="11">
        <f t="shared" si="137"/>
        <v>999.76441198331497</v>
      </c>
      <c r="E1056" s="24">
        <f t="shared" si="138"/>
        <v>516.155514538886</v>
      </c>
      <c r="F1056" s="38">
        <f t="shared" si="133"/>
        <v>0.88921048977816963</v>
      </c>
      <c r="G1056" s="14">
        <f t="shared" si="134"/>
        <v>0</v>
      </c>
      <c r="H1056" s="24">
        <f t="shared" si="132"/>
        <v>679.02172679266039</v>
      </c>
      <c r="I1056" s="12">
        <f t="shared" si="139"/>
        <v>0.3768108006767904</v>
      </c>
      <c r="J1056" s="3"/>
    </row>
    <row r="1057" spans="2:10" x14ac:dyDescent="0.25">
      <c r="B1057" s="3">
        <f t="shared" si="135"/>
        <v>5185</v>
      </c>
      <c r="C1057" s="14">
        <f t="shared" si="136"/>
        <v>86.416666666666671</v>
      </c>
      <c r="D1057" s="11">
        <f t="shared" si="137"/>
        <v>999.90875842632556</v>
      </c>
      <c r="E1057" s="24">
        <f t="shared" si="138"/>
        <v>516.53232533956282</v>
      </c>
      <c r="F1057" s="38">
        <f t="shared" si="133"/>
        <v>0.88881423403449134</v>
      </c>
      <c r="G1057" s="14">
        <f t="shared" si="134"/>
        <v>0</v>
      </c>
      <c r="H1057" s="24">
        <f t="shared" si="132"/>
        <v>679.32445175927444</v>
      </c>
      <c r="I1057" s="12">
        <f t="shared" si="139"/>
        <v>0.37650831716604832</v>
      </c>
      <c r="J1057" s="3"/>
    </row>
    <row r="1058" spans="2:10" x14ac:dyDescent="0.25">
      <c r="B1058" s="3">
        <f t="shared" si="135"/>
        <v>5190</v>
      </c>
      <c r="C1058" s="14">
        <f t="shared" si="136"/>
        <v>86.5</v>
      </c>
      <c r="D1058" s="11">
        <f t="shared" si="137"/>
        <v>1000.0529659410732</v>
      </c>
      <c r="E1058" s="24">
        <f t="shared" si="138"/>
        <v>516.90883365672892</v>
      </c>
      <c r="F1058" s="38">
        <f t="shared" si="133"/>
        <v>0.88841800008572736</v>
      </c>
      <c r="G1058" s="14">
        <f t="shared" si="134"/>
        <v>0</v>
      </c>
      <c r="H1058" s="24">
        <f t="shared" si="132"/>
        <v>679.62743009828409</v>
      </c>
      <c r="I1058" s="12">
        <f t="shared" si="139"/>
        <v>0.3762060370357645</v>
      </c>
      <c r="J1058" s="3"/>
    </row>
    <row r="1059" spans="2:10" x14ac:dyDescent="0.25">
      <c r="B1059" s="3">
        <f t="shared" si="135"/>
        <v>5195</v>
      </c>
      <c r="C1059" s="14">
        <f t="shared" si="136"/>
        <v>86.583333333333329</v>
      </c>
      <c r="D1059" s="11">
        <f t="shared" si="137"/>
        <v>1000.1970347947278</v>
      </c>
      <c r="E1059" s="24">
        <f t="shared" si="138"/>
        <v>517.2850396937647</v>
      </c>
      <c r="F1059" s="38">
        <f t="shared" si="133"/>
        <v>0.88802178876592919</v>
      </c>
      <c r="G1059" s="14">
        <f t="shared" si="134"/>
        <v>0</v>
      </c>
      <c r="H1059" s="24">
        <f t="shared" si="132"/>
        <v>679.93066148793787</v>
      </c>
      <c r="I1059" s="12">
        <f t="shared" si="139"/>
        <v>0.37590396060352471</v>
      </c>
      <c r="J1059" s="3"/>
    </row>
    <row r="1060" spans="2:10" x14ac:dyDescent="0.25">
      <c r="B1060" s="3">
        <f t="shared" si="135"/>
        <v>5200</v>
      </c>
      <c r="C1060" s="14">
        <f t="shared" si="136"/>
        <v>86.666666666666671</v>
      </c>
      <c r="D1060" s="11">
        <f t="shared" si="137"/>
        <v>1000.3409652536888</v>
      </c>
      <c r="E1060" s="24">
        <f t="shared" si="138"/>
        <v>517.66094365436822</v>
      </c>
      <c r="F1060" s="38">
        <f t="shared" si="133"/>
        <v>0.88762560090833653</v>
      </c>
      <c r="G1060" s="14">
        <f t="shared" si="134"/>
        <v>0</v>
      </c>
      <c r="H1060" s="24">
        <f t="shared" si="132"/>
        <v>680.23414560535275</v>
      </c>
      <c r="I1060" s="12">
        <f t="shared" si="139"/>
        <v>0.37560208818496565</v>
      </c>
      <c r="J1060" s="3"/>
    </row>
    <row r="1061" spans="2:10" x14ac:dyDescent="0.25">
      <c r="B1061" s="3">
        <f t="shared" si="135"/>
        <v>5205</v>
      </c>
      <c r="C1061" s="14">
        <f t="shared" si="136"/>
        <v>86.75</v>
      </c>
      <c r="D1061" s="11">
        <f t="shared" si="137"/>
        <v>1000.4847575835893</v>
      </c>
      <c r="E1061" s="24">
        <f t="shared" si="138"/>
        <v>518.03654574255324</v>
      </c>
      <c r="F1061" s="38">
        <f t="shared" si="133"/>
        <v>0.88722943734536186</v>
      </c>
      <c r="G1061" s="14">
        <f t="shared" si="134"/>
        <v>0</v>
      </c>
      <c r="H1061" s="24">
        <f t="shared" si="132"/>
        <v>680.5378821265241</v>
      </c>
      <c r="I1061" s="12">
        <f t="shared" si="139"/>
        <v>0.37530042009375575</v>
      </c>
      <c r="J1061" s="3"/>
    </row>
    <row r="1062" spans="2:10" x14ac:dyDescent="0.25">
      <c r="B1062" s="3">
        <f t="shared" si="135"/>
        <v>5210</v>
      </c>
      <c r="C1062" s="14">
        <f t="shared" si="136"/>
        <v>86.833333333333329</v>
      </c>
      <c r="D1062" s="11">
        <f t="shared" si="137"/>
        <v>1000.6284120492979</v>
      </c>
      <c r="E1062" s="24">
        <f t="shared" si="138"/>
        <v>518.41184616264695</v>
      </c>
      <c r="F1062" s="38">
        <f t="shared" si="133"/>
        <v>0.88683329890857521</v>
      </c>
      <c r="G1062" s="14">
        <f t="shared" si="134"/>
        <v>0</v>
      </c>
      <c r="H1062" s="24">
        <f t="shared" si="132"/>
        <v>680.84187072633358</v>
      </c>
      <c r="I1062" s="12">
        <f t="shared" si="139"/>
        <v>0.37499895664172289</v>
      </c>
      <c r="J1062" s="3"/>
    </row>
    <row r="1063" spans="2:10" x14ac:dyDescent="0.25">
      <c r="B1063" s="3">
        <f t="shared" si="135"/>
        <v>5215</v>
      </c>
      <c r="C1063" s="14">
        <f t="shared" si="136"/>
        <v>86.916666666666671</v>
      </c>
      <c r="D1063" s="11">
        <f t="shared" si="137"/>
        <v>1000.7719289149228</v>
      </c>
      <c r="E1063" s="24">
        <f t="shared" si="138"/>
        <v>518.78684511928873</v>
      </c>
      <c r="F1063" s="38">
        <f t="shared" si="133"/>
        <v>0.88643718642868741</v>
      </c>
      <c r="G1063" s="14">
        <f t="shared" si="134"/>
        <v>0</v>
      </c>
      <c r="H1063" s="24">
        <f t="shared" si="132"/>
        <v>681.14611107855922</v>
      </c>
      <c r="I1063" s="12">
        <f t="shared" si="139"/>
        <v>0.37469769813869797</v>
      </c>
      <c r="J1063" s="3"/>
    </row>
    <row r="1064" spans="2:10" x14ac:dyDescent="0.25">
      <c r="B1064" s="3">
        <f t="shared" si="135"/>
        <v>5220</v>
      </c>
      <c r="C1064" s="14">
        <f t="shared" si="136"/>
        <v>87</v>
      </c>
      <c r="D1064" s="11">
        <f t="shared" si="137"/>
        <v>1000.9153084438132</v>
      </c>
      <c r="E1064" s="24">
        <f t="shared" si="138"/>
        <v>519.1615428174274</v>
      </c>
      <c r="F1064" s="38">
        <f t="shared" si="133"/>
        <v>0.88604110073553422</v>
      </c>
      <c r="G1064" s="14">
        <f t="shared" si="134"/>
        <v>0</v>
      </c>
      <c r="H1064" s="24">
        <f t="shared" si="132"/>
        <v>681.45060285588329</v>
      </c>
      <c r="I1064" s="12">
        <f t="shared" si="139"/>
        <v>0.37439664489270591</v>
      </c>
      <c r="J1064" s="3"/>
    </row>
    <row r="1065" spans="2:10" x14ac:dyDescent="0.25">
      <c r="B1065" s="3">
        <f t="shared" si="135"/>
        <v>5225</v>
      </c>
      <c r="C1065" s="14">
        <f t="shared" si="136"/>
        <v>87.083333333333329</v>
      </c>
      <c r="D1065" s="11">
        <f t="shared" si="137"/>
        <v>1001.0585508985632</v>
      </c>
      <c r="E1065" s="24">
        <f t="shared" si="138"/>
        <v>519.53593946232013</v>
      </c>
      <c r="F1065" s="38">
        <f t="shared" si="133"/>
        <v>0.8856450426580601</v>
      </c>
      <c r="G1065" s="14">
        <f t="shared" si="134"/>
        <v>0</v>
      </c>
      <c r="H1065" s="24">
        <f t="shared" si="132"/>
        <v>681.75534572990273</v>
      </c>
      <c r="I1065" s="12">
        <f t="shared" si="139"/>
        <v>0.37409579720979808</v>
      </c>
      <c r="J1065" s="3"/>
    </row>
    <row r="1066" spans="2:10" x14ac:dyDescent="0.25">
      <c r="B1066" s="3">
        <f t="shared" si="135"/>
        <v>5230</v>
      </c>
      <c r="C1066" s="14">
        <f t="shared" si="136"/>
        <v>87.166666666666671</v>
      </c>
      <c r="D1066" s="11">
        <f t="shared" si="137"/>
        <v>1001.2016565410148</v>
      </c>
      <c r="E1066" s="24">
        <f t="shared" si="138"/>
        <v>519.91003525952988</v>
      </c>
      <c r="F1066" s="38">
        <f t="shared" si="133"/>
        <v>0.88524901302430337</v>
      </c>
      <c r="G1066" s="14">
        <f t="shared" si="134"/>
        <v>0</v>
      </c>
      <c r="H1066" s="24">
        <f t="shared" si="132"/>
        <v>682.06033937113671</v>
      </c>
      <c r="I1066" s="12">
        <f t="shared" si="139"/>
        <v>0.3737951553941396</v>
      </c>
      <c r="J1066" s="3"/>
    </row>
    <row r="1067" spans="2:10" x14ac:dyDescent="0.25">
      <c r="B1067" s="3">
        <f t="shared" si="135"/>
        <v>5235</v>
      </c>
      <c r="C1067" s="14">
        <f t="shared" si="136"/>
        <v>87.25</v>
      </c>
      <c r="D1067" s="11">
        <f t="shared" si="137"/>
        <v>1001.34462563226</v>
      </c>
      <c r="E1067" s="24">
        <f t="shared" si="138"/>
        <v>520.28383041492407</v>
      </c>
      <c r="F1067" s="38">
        <f t="shared" si="133"/>
        <v>0.8848530126613795</v>
      </c>
      <c r="G1067" s="14">
        <f t="shared" si="134"/>
        <v>0</v>
      </c>
      <c r="H1067" s="24">
        <f t="shared" si="132"/>
        <v>682.36558344903665</v>
      </c>
      <c r="I1067" s="12">
        <f t="shared" si="139"/>
        <v>0.37349471974801968</v>
      </c>
      <c r="J1067" s="3"/>
    </row>
    <row r="1068" spans="2:10" x14ac:dyDescent="0.25">
      <c r="B1068" s="3">
        <f t="shared" si="135"/>
        <v>5240</v>
      </c>
      <c r="C1068" s="14">
        <f t="shared" si="136"/>
        <v>87.333333333333329</v>
      </c>
      <c r="D1068" s="11">
        <f t="shared" si="137"/>
        <v>1001.4874584326444</v>
      </c>
      <c r="E1068" s="24">
        <f t="shared" si="138"/>
        <v>520.65732513467208</v>
      </c>
      <c r="F1068" s="38">
        <f t="shared" si="133"/>
        <v>0.88445704239546807</v>
      </c>
      <c r="G1068" s="14">
        <f t="shared" si="134"/>
        <v>0</v>
      </c>
      <c r="H1068" s="24">
        <f t="shared" si="132"/>
        <v>682.67107763199374</v>
      </c>
      <c r="I1068" s="12">
        <f t="shared" si="139"/>
        <v>0.37319449057178089</v>
      </c>
      <c r="J1068" s="3"/>
    </row>
    <row r="1069" spans="2:10" x14ac:dyDescent="0.25">
      <c r="B1069" s="3">
        <f t="shared" si="135"/>
        <v>5245</v>
      </c>
      <c r="C1069" s="14">
        <f t="shared" si="136"/>
        <v>87.416666666666671</v>
      </c>
      <c r="D1069" s="11">
        <f t="shared" si="137"/>
        <v>1001.6301552017701</v>
      </c>
      <c r="E1069" s="24">
        <f t="shared" si="138"/>
        <v>521.03051962524387</v>
      </c>
      <c r="F1069" s="38">
        <f t="shared" si="133"/>
        <v>0.88406110305179386</v>
      </c>
      <c r="G1069" s="14">
        <f t="shared" si="134"/>
        <v>0</v>
      </c>
      <c r="H1069" s="24">
        <f t="shared" si="132"/>
        <v>682.97682158734915</v>
      </c>
      <c r="I1069" s="12">
        <f t="shared" si="139"/>
        <v>0.3728944681638941</v>
      </c>
      <c r="J1069" s="3"/>
    </row>
    <row r="1070" spans="2:10" x14ac:dyDescent="0.25">
      <c r="B1070" s="3">
        <f t="shared" si="135"/>
        <v>5250</v>
      </c>
      <c r="C1070" s="14">
        <f t="shared" si="136"/>
        <v>87.5</v>
      </c>
      <c r="D1070" s="11">
        <f t="shared" si="137"/>
        <v>1001.7727161984972</v>
      </c>
      <c r="E1070" s="24">
        <f t="shared" si="138"/>
        <v>521.40341409340772</v>
      </c>
      <c r="F1070" s="38">
        <f t="shared" si="133"/>
        <v>0.88366519545461475</v>
      </c>
      <c r="G1070" s="14">
        <f t="shared" si="134"/>
        <v>0</v>
      </c>
      <c r="H1070" s="24">
        <f t="shared" si="132"/>
        <v>683.28281498140223</v>
      </c>
      <c r="I1070" s="12">
        <f t="shared" si="139"/>
        <v>0.37259465282102228</v>
      </c>
      <c r="J1070" s="3"/>
    </row>
    <row r="1071" spans="2:10" x14ac:dyDescent="0.25">
      <c r="B1071" s="3">
        <f t="shared" si="135"/>
        <v>5255</v>
      </c>
      <c r="C1071" s="14">
        <f t="shared" si="136"/>
        <v>87.583333333333329</v>
      </c>
      <c r="D1071" s="11">
        <f t="shared" si="137"/>
        <v>1001.9151416809483</v>
      </c>
      <c r="E1071" s="24">
        <f t="shared" si="138"/>
        <v>521.77600874622874</v>
      </c>
      <c r="F1071" s="38">
        <f t="shared" si="133"/>
        <v>0.88326932042720518</v>
      </c>
      <c r="G1071" s="14">
        <f t="shared" si="134"/>
        <v>0</v>
      </c>
      <c r="H1071" s="24">
        <f t="shared" si="132"/>
        <v>683.5890574794189</v>
      </c>
      <c r="I1071" s="12">
        <f t="shared" si="139"/>
        <v>0.37229504483780268</v>
      </c>
      <c r="J1071" s="3"/>
    </row>
    <row r="1072" spans="2:10" x14ac:dyDescent="0.25">
      <c r="B1072" s="3">
        <f t="shared" si="135"/>
        <v>5260</v>
      </c>
      <c r="C1072" s="14">
        <f t="shared" si="136"/>
        <v>87.666666666666671</v>
      </c>
      <c r="D1072" s="11">
        <f t="shared" si="137"/>
        <v>1002.0574319065109</v>
      </c>
      <c r="E1072" s="24">
        <f t="shared" si="138"/>
        <v>522.1483037910665</v>
      </c>
      <c r="F1072" s="38">
        <f t="shared" si="133"/>
        <v>0.88287347879184186</v>
      </c>
      <c r="G1072" s="14">
        <f t="shared" si="134"/>
        <v>0</v>
      </c>
      <c r="H1072" s="24">
        <f t="shared" si="132"/>
        <v>683.89554874564135</v>
      </c>
      <c r="I1072" s="12">
        <f t="shared" si="139"/>
        <v>0.37199564450703754</v>
      </c>
      <c r="J1072" s="3"/>
    </row>
    <row r="1073" spans="2:10" x14ac:dyDescent="0.25">
      <c r="B1073" s="3">
        <f t="shared" si="135"/>
        <v>5265</v>
      </c>
      <c r="C1073" s="14">
        <f t="shared" si="136"/>
        <v>87.75</v>
      </c>
      <c r="D1073" s="11">
        <f t="shared" si="137"/>
        <v>1002.1995871318393</v>
      </c>
      <c r="E1073" s="24">
        <f t="shared" si="138"/>
        <v>522.52029943557352</v>
      </c>
      <c r="F1073" s="38">
        <f t="shared" si="133"/>
        <v>0.88247767136978883</v>
      </c>
      <c r="G1073" s="14">
        <f t="shared" si="134"/>
        <v>0</v>
      </c>
      <c r="H1073" s="24">
        <f t="shared" si="132"/>
        <v>684.20228844329574</v>
      </c>
      <c r="I1073" s="12">
        <f t="shared" si="139"/>
        <v>0.37169645211972646</v>
      </c>
      <c r="J1073" s="3"/>
    </row>
    <row r="1074" spans="2:10" x14ac:dyDescent="0.25">
      <c r="B1074" s="3">
        <f t="shared" si="135"/>
        <v>5270</v>
      </c>
      <c r="C1074" s="14">
        <f t="shared" si="136"/>
        <v>87.833333333333329</v>
      </c>
      <c r="D1074" s="11">
        <f t="shared" si="137"/>
        <v>1002.3416076128578</v>
      </c>
      <c r="E1074" s="24">
        <f t="shared" si="138"/>
        <v>522.89199588769327</v>
      </c>
      <c r="F1074" s="38">
        <f t="shared" si="133"/>
        <v>0.88208189898128198</v>
      </c>
      <c r="G1074" s="14">
        <f t="shared" si="134"/>
        <v>0</v>
      </c>
      <c r="H1074" s="24">
        <f t="shared" si="132"/>
        <v>684.50927623460143</v>
      </c>
      <c r="I1074" s="12">
        <f t="shared" si="139"/>
        <v>0.3713974679649108</v>
      </c>
      <c r="J1074" s="3"/>
    </row>
    <row r="1075" spans="2:10" x14ac:dyDescent="0.25">
      <c r="B1075" s="3">
        <f t="shared" si="135"/>
        <v>5275</v>
      </c>
      <c r="C1075" s="14">
        <f t="shared" si="136"/>
        <v>87.916666666666671</v>
      </c>
      <c r="D1075" s="11">
        <f t="shared" si="137"/>
        <v>1002.4834936047645</v>
      </c>
      <c r="E1075" s="24">
        <f t="shared" si="138"/>
        <v>523.2633933556582</v>
      </c>
      <c r="F1075" s="38">
        <f t="shared" si="133"/>
        <v>0.88168616244551601</v>
      </c>
      <c r="G1075" s="14">
        <f t="shared" si="134"/>
        <v>0</v>
      </c>
      <c r="H1075" s="24">
        <f t="shared" si="132"/>
        <v>684.81651178077971</v>
      </c>
      <c r="I1075" s="12">
        <f t="shared" si="139"/>
        <v>0.37109869232974002</v>
      </c>
      <c r="J1075" s="3"/>
    </row>
    <row r="1076" spans="2:10" x14ac:dyDescent="0.25">
      <c r="B1076" s="3">
        <f t="shared" si="135"/>
        <v>5280</v>
      </c>
      <c r="C1076" s="14">
        <f t="shared" si="136"/>
        <v>88</v>
      </c>
      <c r="D1076" s="11">
        <f t="shared" si="137"/>
        <v>1002.6252453620325</v>
      </c>
      <c r="E1076" s="24">
        <f t="shared" si="138"/>
        <v>523.63449204798792</v>
      </c>
      <c r="F1076" s="38">
        <f t="shared" si="133"/>
        <v>0.88129046258062882</v>
      </c>
      <c r="G1076" s="14">
        <f t="shared" si="134"/>
        <v>0</v>
      </c>
      <c r="H1076" s="24">
        <f t="shared" si="132"/>
        <v>685.123994742062</v>
      </c>
      <c r="I1076" s="12">
        <f t="shared" si="139"/>
        <v>0.37080012549954483</v>
      </c>
      <c r="J1076" s="3"/>
    </row>
    <row r="1077" spans="2:10" x14ac:dyDescent="0.25">
      <c r="B1077" s="3">
        <f t="shared" si="135"/>
        <v>5285</v>
      </c>
      <c r="C1077" s="14">
        <f t="shared" si="136"/>
        <v>88.083333333333329</v>
      </c>
      <c r="D1077" s="11">
        <f t="shared" si="137"/>
        <v>1002.7668631384136</v>
      </c>
      <c r="E1077" s="24">
        <f t="shared" si="138"/>
        <v>524.00529217348742</v>
      </c>
      <c r="F1077" s="38">
        <f t="shared" si="133"/>
        <v>0.88089480020368827</v>
      </c>
      <c r="G1077" s="14">
        <f t="shared" si="134"/>
        <v>0</v>
      </c>
      <c r="H1077" s="24">
        <f t="shared" si="132"/>
        <v>685.43172477769849</v>
      </c>
      <c r="I1077" s="12">
        <f t="shared" si="139"/>
        <v>0.37050176775777727</v>
      </c>
      <c r="J1077" s="3"/>
    </row>
    <row r="1078" spans="2:10" x14ac:dyDescent="0.25">
      <c r="B1078" s="3">
        <f t="shared" si="135"/>
        <v>5290</v>
      </c>
      <c r="C1078" s="14">
        <f t="shared" si="136"/>
        <v>88.166666666666671</v>
      </c>
      <c r="D1078" s="11">
        <f t="shared" si="137"/>
        <v>1002.9083471869405</v>
      </c>
      <c r="E1078" s="24">
        <f t="shared" si="138"/>
        <v>524.37579394124521</v>
      </c>
      <c r="F1078" s="38">
        <f t="shared" si="133"/>
        <v>0.8804991761306763</v>
      </c>
      <c r="G1078" s="14">
        <f t="shared" si="134"/>
        <v>0</v>
      </c>
      <c r="H1078" s="24">
        <f t="shared" si="132"/>
        <v>685.73970154596736</v>
      </c>
      <c r="I1078" s="12">
        <f t="shared" si="139"/>
        <v>0.37020361938600138</v>
      </c>
      <c r="J1078" s="3"/>
    </row>
    <row r="1079" spans="2:10" x14ac:dyDescent="0.25">
      <c r="B1079" s="3">
        <f t="shared" si="135"/>
        <v>5295</v>
      </c>
      <c r="C1079" s="14">
        <f t="shared" si="136"/>
        <v>88.25</v>
      </c>
      <c r="D1079" s="11">
        <f t="shared" si="137"/>
        <v>1003.0496977599302</v>
      </c>
      <c r="E1079" s="24">
        <f t="shared" si="138"/>
        <v>524.74599756063117</v>
      </c>
      <c r="F1079" s="38">
        <f t="shared" si="133"/>
        <v>0.88010359117647696</v>
      </c>
      <c r="G1079" s="14">
        <f t="shared" si="134"/>
        <v>0</v>
      </c>
      <c r="H1079" s="24">
        <f t="shared" ref="H1079:H1142" si="140">IF(E1079&lt;600,425+0.773*E1079-1.69/1000*E1079^2+2.22/1000^2*E1079^3,IF(E1079&lt;735,666+13002/(738-E1079),IF(E1079&lt;900,545+17820/(E1079-731),650)))</f>
        <v>686.04792470418238</v>
      </c>
      <c r="I1079" s="12">
        <f t="shared" si="139"/>
        <v>0.36990568066393786</v>
      </c>
      <c r="J1079" s="3"/>
    </row>
    <row r="1080" spans="2:10" x14ac:dyDescent="0.25">
      <c r="B1080" s="3">
        <f t="shared" si="135"/>
        <v>5300</v>
      </c>
      <c r="C1080" s="14">
        <f t="shared" si="136"/>
        <v>88.333333333333329</v>
      </c>
      <c r="D1080" s="11">
        <f t="shared" si="137"/>
        <v>1003.190915108986</v>
      </c>
      <c r="E1080" s="24">
        <f t="shared" si="138"/>
        <v>525.11590324129509</v>
      </c>
      <c r="F1080" s="38">
        <f t="shared" si="133"/>
        <v>0.87970804615486076</v>
      </c>
      <c r="G1080" s="14">
        <f t="shared" si="134"/>
        <v>0</v>
      </c>
      <c r="H1080" s="24">
        <f t="shared" si="140"/>
        <v>686.35639390870199</v>
      </c>
      <c r="I1080" s="12">
        <f t="shared" si="139"/>
        <v>0.36960795186940304</v>
      </c>
      <c r="J1080" s="3"/>
    </row>
    <row r="1081" spans="2:10" x14ac:dyDescent="0.25">
      <c r="B1081" s="3">
        <f t="shared" si="135"/>
        <v>5305</v>
      </c>
      <c r="C1081" s="14">
        <f t="shared" si="136"/>
        <v>88.416666666666671</v>
      </c>
      <c r="D1081" s="11">
        <f t="shared" si="137"/>
        <v>1003.3319994850003</v>
      </c>
      <c r="E1081" s="24">
        <f t="shared" si="138"/>
        <v>525.48551119316448</v>
      </c>
      <c r="F1081" s="38">
        <f t="shared" si="133"/>
        <v>0.87931254187847163</v>
      </c>
      <c r="G1081" s="14">
        <f t="shared" si="134"/>
        <v>0</v>
      </c>
      <c r="H1081" s="24">
        <f t="shared" si="140"/>
        <v>686.66510881493764</v>
      </c>
      <c r="I1081" s="12">
        <f t="shared" si="139"/>
        <v>0.36931043327845542</v>
      </c>
      <c r="J1081" s="3"/>
    </row>
    <row r="1082" spans="2:10" x14ac:dyDescent="0.25">
      <c r="B1082" s="3">
        <f t="shared" si="135"/>
        <v>5310</v>
      </c>
      <c r="C1082" s="14">
        <f t="shared" si="136"/>
        <v>88.5</v>
      </c>
      <c r="D1082" s="11">
        <f t="shared" si="137"/>
        <v>1003.4729511381578</v>
      </c>
      <c r="E1082" s="24">
        <f t="shared" si="138"/>
        <v>525.85482162644291</v>
      </c>
      <c r="F1082" s="38">
        <f t="shared" si="133"/>
        <v>0.87891707915881412</v>
      </c>
      <c r="G1082" s="14">
        <f t="shared" si="134"/>
        <v>0</v>
      </c>
      <c r="H1082" s="24">
        <f t="shared" si="140"/>
        <v>686.97406907736161</v>
      </c>
      <c r="I1082" s="12">
        <f t="shared" si="139"/>
        <v>0.36901312516518125</v>
      </c>
      <c r="J1082" s="3"/>
    </row>
    <row r="1083" spans="2:10" x14ac:dyDescent="0.25">
      <c r="B1083" s="3">
        <f t="shared" si="135"/>
        <v>5315</v>
      </c>
      <c r="C1083" s="14">
        <f t="shared" si="136"/>
        <v>88.583333333333329</v>
      </c>
      <c r="D1083" s="11">
        <f t="shared" si="137"/>
        <v>1003.6137703179377</v>
      </c>
      <c r="E1083" s="24">
        <f t="shared" si="138"/>
        <v>526.22383475160814</v>
      </c>
      <c r="F1083" s="38">
        <f t="shared" si="133"/>
        <v>0.87852165880623778</v>
      </c>
      <c r="G1083" s="14">
        <f t="shared" si="134"/>
        <v>0</v>
      </c>
      <c r="H1083" s="24">
        <f t="shared" si="140"/>
        <v>687.28327434951677</v>
      </c>
      <c r="I1083" s="12">
        <f t="shared" si="139"/>
        <v>0.36871602780187168</v>
      </c>
      <c r="J1083" s="3"/>
    </row>
    <row r="1084" spans="2:10" x14ac:dyDescent="0.25">
      <c r="B1084" s="3">
        <f t="shared" si="135"/>
        <v>5320</v>
      </c>
      <c r="C1084" s="14">
        <f t="shared" si="136"/>
        <v>88.666666666666671</v>
      </c>
      <c r="D1084" s="11">
        <f t="shared" si="137"/>
        <v>1003.7544572731159</v>
      </c>
      <c r="E1084" s="24">
        <f t="shared" si="138"/>
        <v>526.59255077940998</v>
      </c>
      <c r="F1084" s="38">
        <f t="shared" si="133"/>
        <v>0.87812628162992512</v>
      </c>
      <c r="G1084" s="14">
        <f t="shared" si="134"/>
        <v>0</v>
      </c>
      <c r="H1084" s="24">
        <f t="shared" si="140"/>
        <v>687.59272428402369</v>
      </c>
      <c r="I1084" s="12">
        <f t="shared" si="139"/>
        <v>0.36841914145902499</v>
      </c>
      <c r="J1084" s="3"/>
    </row>
    <row r="1085" spans="2:10" x14ac:dyDescent="0.25">
      <c r="B1085" s="3">
        <f t="shared" si="135"/>
        <v>5325</v>
      </c>
      <c r="C1085" s="14">
        <f t="shared" si="136"/>
        <v>88.75</v>
      </c>
      <c r="D1085" s="11">
        <f t="shared" si="137"/>
        <v>1003.8950122517693</v>
      </c>
      <c r="E1085" s="24">
        <f t="shared" si="138"/>
        <v>526.96096992086905</v>
      </c>
      <c r="F1085" s="38">
        <f t="shared" si="133"/>
        <v>0.87773094843787858</v>
      </c>
      <c r="G1085" s="14">
        <f t="shared" si="134"/>
        <v>0</v>
      </c>
      <c r="H1085" s="24">
        <f t="shared" si="140"/>
        <v>687.90241853258931</v>
      </c>
      <c r="I1085" s="12">
        <f t="shared" si="139"/>
        <v>0.3681224664051414</v>
      </c>
      <c r="J1085" s="3"/>
    </row>
    <row r="1086" spans="2:10" x14ac:dyDescent="0.25">
      <c r="B1086" s="3">
        <f t="shared" si="135"/>
        <v>5330</v>
      </c>
      <c r="C1086" s="14">
        <f t="shared" si="136"/>
        <v>88.833333333333329</v>
      </c>
      <c r="D1086" s="11">
        <f t="shared" si="137"/>
        <v>1004.0354355012762</v>
      </c>
      <c r="E1086" s="24">
        <f t="shared" si="138"/>
        <v>527.32909238727416</v>
      </c>
      <c r="F1086" s="38">
        <f t="shared" si="133"/>
        <v>0.877335660036906</v>
      </c>
      <c r="G1086" s="14">
        <f t="shared" si="134"/>
        <v>0</v>
      </c>
      <c r="H1086" s="24">
        <f t="shared" si="140"/>
        <v>688.21235674601553</v>
      </c>
      <c r="I1086" s="12">
        <f t="shared" si="139"/>
        <v>0.36782600290707801</v>
      </c>
      <c r="J1086" s="3"/>
    </row>
    <row r="1087" spans="2:10" x14ac:dyDescent="0.25">
      <c r="B1087" s="3">
        <f t="shared" si="135"/>
        <v>5335</v>
      </c>
      <c r="C1087" s="14">
        <f t="shared" si="136"/>
        <v>88.916666666666671</v>
      </c>
      <c r="D1087" s="11">
        <f t="shared" si="137"/>
        <v>1004.1757272683202</v>
      </c>
      <c r="E1087" s="24">
        <f t="shared" si="138"/>
        <v>527.69691839018128</v>
      </c>
      <c r="F1087" s="38">
        <f t="shared" si="133"/>
        <v>0.87694041723260874</v>
      </c>
      <c r="G1087" s="14">
        <f t="shared" si="134"/>
        <v>0</v>
      </c>
      <c r="H1087" s="24">
        <f t="shared" si="140"/>
        <v>688.52253857420715</v>
      </c>
      <c r="I1087" s="12">
        <f t="shared" si="139"/>
        <v>0.36752975122971787</v>
      </c>
      <c r="J1087" s="3"/>
    </row>
    <row r="1088" spans="2:10" x14ac:dyDescent="0.25">
      <c r="B1088" s="3">
        <f t="shared" si="135"/>
        <v>5340</v>
      </c>
      <c r="C1088" s="14">
        <f t="shared" si="136"/>
        <v>89</v>
      </c>
      <c r="D1088" s="11">
        <f t="shared" si="137"/>
        <v>1004.3158877988935</v>
      </c>
      <c r="E1088" s="24">
        <f t="shared" si="138"/>
        <v>528.06444814141105</v>
      </c>
      <c r="F1088" s="38">
        <f t="shared" si="133"/>
        <v>0.87654522082936848</v>
      </c>
      <c r="G1088" s="14">
        <f t="shared" si="134"/>
        <v>0</v>
      </c>
      <c r="H1088" s="24">
        <f t="shared" si="140"/>
        <v>688.83296366618015</v>
      </c>
      <c r="I1088" s="12">
        <f t="shared" si="139"/>
        <v>0.36723371163607732</v>
      </c>
      <c r="J1088" s="3"/>
    </row>
    <row r="1089" spans="2:10" x14ac:dyDescent="0.25">
      <c r="B1089" s="3">
        <f t="shared" si="135"/>
        <v>5345</v>
      </c>
      <c r="C1089" s="14">
        <f t="shared" si="136"/>
        <v>89.083333333333329</v>
      </c>
      <c r="D1089" s="11">
        <f t="shared" si="137"/>
        <v>1004.4559173382975</v>
      </c>
      <c r="E1089" s="24">
        <f t="shared" si="138"/>
        <v>528.43168185304717</v>
      </c>
      <c r="F1089" s="38">
        <f t="shared" si="133"/>
        <v>0.87615007163033354</v>
      </c>
      <c r="G1089" s="14">
        <f t="shared" si="134"/>
        <v>0</v>
      </c>
      <c r="H1089" s="24">
        <f t="shared" si="140"/>
        <v>689.14363167007025</v>
      </c>
      <c r="I1089" s="12">
        <f t="shared" si="139"/>
        <v>0.36693788438751423</v>
      </c>
      <c r="J1089" s="3"/>
    </row>
    <row r="1090" spans="2:10" x14ac:dyDescent="0.25">
      <c r="B1090" s="3">
        <f t="shared" si="135"/>
        <v>5350</v>
      </c>
      <c r="C1090" s="14">
        <f t="shared" si="136"/>
        <v>89.166666666666671</v>
      </c>
      <c r="D1090" s="11">
        <f t="shared" si="137"/>
        <v>1004.5958161311473</v>
      </c>
      <c r="E1090" s="24">
        <f t="shared" si="138"/>
        <v>528.79861973743471</v>
      </c>
      <c r="F1090" s="38">
        <f t="shared" si="133"/>
        <v>0.87575497043740713</v>
      </c>
      <c r="G1090" s="14">
        <f t="shared" si="134"/>
        <v>0</v>
      </c>
      <c r="H1090" s="24">
        <f t="shared" si="140"/>
        <v>689.45454223314061</v>
      </c>
      <c r="I1090" s="12">
        <f t="shared" si="139"/>
        <v>0.36664226974334735</v>
      </c>
      <c r="J1090" s="3"/>
    </row>
    <row r="1091" spans="2:10" x14ac:dyDescent="0.25">
      <c r="B1091" s="3">
        <f t="shared" si="135"/>
        <v>5355</v>
      </c>
      <c r="C1091" s="14">
        <f t="shared" si="136"/>
        <v>89.25</v>
      </c>
      <c r="D1091" s="11">
        <f t="shared" si="137"/>
        <v>1004.7355844213727</v>
      </c>
      <c r="E1091" s="24">
        <f t="shared" si="138"/>
        <v>529.16526200717806</v>
      </c>
      <c r="F1091" s="38">
        <f t="shared" si="133"/>
        <v>0.87535991805123514</v>
      </c>
      <c r="G1091" s="14">
        <f t="shared" si="134"/>
        <v>0</v>
      </c>
      <c r="H1091" s="24">
        <f t="shared" si="140"/>
        <v>689.76569500179005</v>
      </c>
      <c r="I1091" s="12">
        <f t="shared" si="139"/>
        <v>0.36634686796128285</v>
      </c>
      <c r="J1091" s="3"/>
    </row>
    <row r="1092" spans="2:10" x14ac:dyDescent="0.25">
      <c r="B1092" s="3">
        <f t="shared" si="135"/>
        <v>5360</v>
      </c>
      <c r="C1092" s="14">
        <f t="shared" si="136"/>
        <v>89.333333333333329</v>
      </c>
      <c r="D1092" s="11">
        <f t="shared" si="137"/>
        <v>1004.875222452222</v>
      </c>
      <c r="E1092" s="24">
        <f t="shared" si="138"/>
        <v>529.53160887513934</v>
      </c>
      <c r="F1092" s="38">
        <f t="shared" si="133"/>
        <v>0.87496491527119136</v>
      </c>
      <c r="G1092" s="14">
        <f t="shared" si="134"/>
        <v>0</v>
      </c>
      <c r="H1092" s="24">
        <f t="shared" si="140"/>
        <v>690.07708962156175</v>
      </c>
      <c r="I1092" s="12">
        <f t="shared" si="139"/>
        <v>0.36605167929700205</v>
      </c>
      <c r="J1092" s="3"/>
    </row>
    <row r="1093" spans="2:10" x14ac:dyDescent="0.25">
      <c r="B1093" s="3">
        <f t="shared" si="135"/>
        <v>5365</v>
      </c>
      <c r="C1093" s="14">
        <f t="shared" si="136"/>
        <v>89.416666666666671</v>
      </c>
      <c r="D1093" s="11">
        <f t="shared" si="137"/>
        <v>1005.0147304662644</v>
      </c>
      <c r="E1093" s="24">
        <f t="shared" si="138"/>
        <v>529.89766055443636</v>
      </c>
      <c r="F1093" s="38">
        <f t="shared" si="133"/>
        <v>0.87456996289536815</v>
      </c>
      <c r="G1093" s="14">
        <f t="shared" si="134"/>
        <v>0</v>
      </c>
      <c r="H1093" s="24">
        <f t="shared" si="140"/>
        <v>690.38872573715048</v>
      </c>
      <c r="I1093" s="12">
        <f t="shared" si="139"/>
        <v>0.36575670400447513</v>
      </c>
      <c r="J1093" s="3"/>
    </row>
    <row r="1094" spans="2:10" x14ac:dyDescent="0.25">
      <c r="B1094" s="3">
        <f t="shared" si="135"/>
        <v>5370</v>
      </c>
      <c r="C1094" s="14">
        <f t="shared" si="136"/>
        <v>89.5</v>
      </c>
      <c r="D1094" s="11">
        <f t="shared" si="137"/>
        <v>1005.1541087053909</v>
      </c>
      <c r="E1094" s="24">
        <f t="shared" si="138"/>
        <v>530.26341725844088</v>
      </c>
      <c r="F1094" s="38">
        <f t="shared" si="133"/>
        <v>0.87417506172056159</v>
      </c>
      <c r="G1094" s="14">
        <f t="shared" si="134"/>
        <v>0</v>
      </c>
      <c r="H1094" s="24">
        <f t="shared" si="140"/>
        <v>690.70060299241118</v>
      </c>
      <c r="I1094" s="12">
        <f t="shared" si="139"/>
        <v>0.365461942335921</v>
      </c>
      <c r="J1094" s="3"/>
    </row>
    <row r="1095" spans="2:10" x14ac:dyDescent="0.25">
      <c r="B1095" s="3">
        <f t="shared" si="135"/>
        <v>5375</v>
      </c>
      <c r="C1095" s="14">
        <f t="shared" si="136"/>
        <v>89.583333333333329</v>
      </c>
      <c r="D1095" s="11">
        <f t="shared" si="137"/>
        <v>1005.2933574108196</v>
      </c>
      <c r="E1095" s="24">
        <f t="shared" si="138"/>
        <v>530.62887920077685</v>
      </c>
      <c r="F1095" s="38">
        <f t="shared" si="133"/>
        <v>0.87378021254226124</v>
      </c>
      <c r="G1095" s="14">
        <f t="shared" si="134"/>
        <v>0</v>
      </c>
      <c r="H1095" s="24">
        <f t="shared" si="140"/>
        <v>691.01272103036672</v>
      </c>
      <c r="I1095" s="12">
        <f t="shared" si="139"/>
        <v>0.36516739454154079</v>
      </c>
      <c r="J1095" s="3"/>
    </row>
    <row r="1096" spans="2:10" x14ac:dyDescent="0.25">
      <c r="B1096" s="3">
        <f t="shared" si="135"/>
        <v>5380</v>
      </c>
      <c r="C1096" s="14">
        <f t="shared" si="136"/>
        <v>89.666666666666671</v>
      </c>
      <c r="D1096" s="11">
        <f t="shared" si="137"/>
        <v>1005.4324768230953</v>
      </c>
      <c r="E1096" s="24">
        <f t="shared" si="138"/>
        <v>530.99404659531842</v>
      </c>
      <c r="F1096" s="38">
        <f t="shared" si="133"/>
        <v>0.87338541615463727</v>
      </c>
      <c r="G1096" s="14">
        <f t="shared" si="134"/>
        <v>0</v>
      </c>
      <c r="H1096" s="24">
        <f t="shared" si="140"/>
        <v>691.32507949321598</v>
      </c>
      <c r="I1096" s="12">
        <f t="shared" si="139"/>
        <v>0.36487306086998622</v>
      </c>
      <c r="J1096" s="3"/>
    </row>
    <row r="1097" spans="2:10" x14ac:dyDescent="0.25">
      <c r="B1097" s="3">
        <f t="shared" si="135"/>
        <v>5385</v>
      </c>
      <c r="C1097" s="14">
        <f t="shared" si="136"/>
        <v>89.75</v>
      </c>
      <c r="D1097" s="11">
        <f t="shared" si="137"/>
        <v>1005.5714671820945</v>
      </c>
      <c r="E1097" s="24">
        <f t="shared" si="138"/>
        <v>531.35891965618839</v>
      </c>
      <c r="F1097" s="38">
        <f t="shared" si="133"/>
        <v>0.87299067335052782</v>
      </c>
      <c r="G1097" s="14">
        <f t="shared" si="134"/>
        <v>0</v>
      </c>
      <c r="H1097" s="24">
        <f t="shared" si="140"/>
        <v>691.63767802234224</v>
      </c>
      <c r="I1097" s="12">
        <f t="shared" si="139"/>
        <v>0.36457894156786419</v>
      </c>
      <c r="J1097" s="3"/>
    </row>
    <row r="1098" spans="2:10" x14ac:dyDescent="0.25">
      <c r="B1098" s="3">
        <f t="shared" si="135"/>
        <v>5390</v>
      </c>
      <c r="C1098" s="14">
        <f t="shared" si="136"/>
        <v>89.833333333333329</v>
      </c>
      <c r="D1098" s="11">
        <f t="shared" si="137"/>
        <v>1005.710328727026</v>
      </c>
      <c r="E1098" s="24">
        <f t="shared" si="138"/>
        <v>531.72349859775625</v>
      </c>
      <c r="F1098" s="38">
        <f t="shared" si="133"/>
        <v>0.87259598492142887</v>
      </c>
      <c r="G1098" s="14">
        <f t="shared" si="134"/>
        <v>0</v>
      </c>
      <c r="H1098" s="24">
        <f t="shared" si="140"/>
        <v>691.95051625832025</v>
      </c>
      <c r="I1098" s="12">
        <f t="shared" si="139"/>
        <v>0.3642850368801539</v>
      </c>
      <c r="J1098" s="3"/>
    </row>
    <row r="1099" spans="2:10" x14ac:dyDescent="0.25">
      <c r="B1099" s="3">
        <f t="shared" si="135"/>
        <v>5395</v>
      </c>
      <c r="C1099" s="14">
        <f t="shared" si="136"/>
        <v>89.916666666666671</v>
      </c>
      <c r="D1099" s="11">
        <f t="shared" si="137"/>
        <v>1005.8490616964347</v>
      </c>
      <c r="E1099" s="24">
        <f t="shared" si="138"/>
        <v>532.08778363463637</v>
      </c>
      <c r="F1099" s="38">
        <f t="shared" si="133"/>
        <v>0.87220135165748114</v>
      </c>
      <c r="G1099" s="14">
        <f t="shared" si="134"/>
        <v>0</v>
      </c>
      <c r="H1099" s="24">
        <f t="shared" si="140"/>
        <v>692.26359384092484</v>
      </c>
      <c r="I1099" s="12">
        <f t="shared" si="139"/>
        <v>0.36399134704991931</v>
      </c>
      <c r="J1099" s="3"/>
    </row>
    <row r="1100" spans="2:10" x14ac:dyDescent="0.25">
      <c r="B1100" s="3">
        <f t="shared" si="135"/>
        <v>5400</v>
      </c>
      <c r="C1100" s="14">
        <f t="shared" si="136"/>
        <v>90</v>
      </c>
      <c r="D1100" s="11">
        <f t="shared" si="137"/>
        <v>1005.987666328203</v>
      </c>
      <c r="E1100" s="24">
        <f t="shared" si="138"/>
        <v>532.4517749816863</v>
      </c>
      <c r="F1100" s="38">
        <f t="shared" si="133"/>
        <v>0.87180677434745923</v>
      </c>
      <c r="G1100" s="14">
        <f t="shared" si="134"/>
        <v>0</v>
      </c>
      <c r="H1100" s="24">
        <f t="shared" si="140"/>
        <v>692.57691040913824</v>
      </c>
      <c r="I1100" s="12">
        <f t="shared" si="139"/>
        <v>0.36369787231851797</v>
      </c>
      <c r="J1100" s="3"/>
    </row>
    <row r="1101" spans="2:10" x14ac:dyDescent="0.25">
      <c r="B1101" s="3">
        <f t="shared" si="135"/>
        <v>5405</v>
      </c>
      <c r="C1101" s="14">
        <f t="shared" si="136"/>
        <v>90.083333333333329</v>
      </c>
      <c r="D1101" s="11">
        <f t="shared" si="137"/>
        <v>1006.1261428595539</v>
      </c>
      <c r="E1101" s="24">
        <f t="shared" si="138"/>
        <v>532.81547285400484</v>
      </c>
      <c r="F1101" s="38">
        <f t="shared" si="133"/>
        <v>0.87141225377876053</v>
      </c>
      <c r="G1101" s="14">
        <f t="shared" si="134"/>
        <v>0</v>
      </c>
      <c r="H1101" s="24">
        <f t="shared" si="140"/>
        <v>692.89046560115844</v>
      </c>
      <c r="I1101" s="12">
        <f t="shared" si="139"/>
        <v>0.36340461292546911</v>
      </c>
      <c r="J1101" s="3"/>
    </row>
    <row r="1102" spans="2:10" x14ac:dyDescent="0.25">
      <c r="B1102" s="3">
        <f t="shared" si="135"/>
        <v>5410</v>
      </c>
      <c r="C1102" s="14">
        <f t="shared" si="136"/>
        <v>90.166666666666671</v>
      </c>
      <c r="D1102" s="11">
        <f t="shared" si="137"/>
        <v>1006.2644915270536</v>
      </c>
      <c r="E1102" s="24">
        <f t="shared" si="138"/>
        <v>533.17887746693032</v>
      </c>
      <c r="F1102" s="38">
        <f t="shared" si="133"/>
        <v>0.87101779073739238</v>
      </c>
      <c r="G1102" s="14">
        <f t="shared" si="134"/>
        <v>0</v>
      </c>
      <c r="H1102" s="24">
        <f t="shared" si="140"/>
        <v>693.20425905440652</v>
      </c>
      <c r="I1102" s="12">
        <f t="shared" si="139"/>
        <v>0.36311156910846659</v>
      </c>
      <c r="J1102" s="3"/>
    </row>
    <row r="1103" spans="2:10" x14ac:dyDescent="0.25">
      <c r="B1103" s="3">
        <f t="shared" si="135"/>
        <v>5415</v>
      </c>
      <c r="C1103" s="14">
        <f t="shared" si="136"/>
        <v>90.25</v>
      </c>
      <c r="D1103" s="11">
        <f t="shared" si="137"/>
        <v>1006.402712566613</v>
      </c>
      <c r="E1103" s="24">
        <f t="shared" si="138"/>
        <v>533.54198903603879</v>
      </c>
      <c r="F1103" s="38">
        <f t="shared" si="133"/>
        <v>0.87062338600796207</v>
      </c>
      <c r="G1103" s="14">
        <f t="shared" si="134"/>
        <v>0</v>
      </c>
      <c r="H1103" s="24">
        <f t="shared" si="140"/>
        <v>693.51829040553514</v>
      </c>
      <c r="I1103" s="12">
        <f t="shared" si="139"/>
        <v>0.36281874110352624</v>
      </c>
      <c r="J1103" s="3"/>
    </row>
    <row r="1104" spans="2:10" x14ac:dyDescent="0.25">
      <c r="B1104" s="3">
        <f t="shared" si="135"/>
        <v>5420</v>
      </c>
      <c r="C1104" s="14">
        <f t="shared" si="136"/>
        <v>90.333333333333329</v>
      </c>
      <c r="D1104" s="11">
        <f t="shared" si="137"/>
        <v>1006.5408062134912</v>
      </c>
      <c r="E1104" s="24">
        <f t="shared" si="138"/>
        <v>533.90480777714231</v>
      </c>
      <c r="F1104" s="38">
        <f t="shared" si="133"/>
        <v>0.870229040373666</v>
      </c>
      <c r="G1104" s="14">
        <f t="shared" si="134"/>
        <v>0</v>
      </c>
      <c r="H1104" s="24">
        <f t="shared" si="140"/>
        <v>693.83255929043514</v>
      </c>
      <c r="I1104" s="12">
        <f t="shared" si="139"/>
        <v>0.36252612914477012</v>
      </c>
      <c r="J1104" s="3"/>
    </row>
    <row r="1105" spans="2:10" x14ac:dyDescent="0.25">
      <c r="B1105" s="3">
        <f t="shared" si="135"/>
        <v>5425</v>
      </c>
      <c r="C1105" s="14">
        <f t="shared" si="136"/>
        <v>90.416666666666671</v>
      </c>
      <c r="D1105" s="11">
        <f t="shared" si="137"/>
        <v>1006.6787727022974</v>
      </c>
      <c r="E1105" s="24">
        <f t="shared" si="138"/>
        <v>534.26733390628704</v>
      </c>
      <c r="F1105" s="38">
        <f t="shared" si="133"/>
        <v>0.86983475461627802</v>
      </c>
      <c r="G1105" s="14">
        <f t="shared" si="134"/>
        <v>0</v>
      </c>
      <c r="H1105" s="24">
        <f t="shared" si="140"/>
        <v>694.14706534424431</v>
      </c>
      <c r="I1105" s="12">
        <f t="shared" si="139"/>
        <v>0.36223373346460608</v>
      </c>
      <c r="J1105" s="3"/>
    </row>
    <row r="1106" spans="2:10" x14ac:dyDescent="0.25">
      <c r="B1106" s="3">
        <f t="shared" si="135"/>
        <v>5430</v>
      </c>
      <c r="C1106" s="14">
        <f t="shared" si="136"/>
        <v>90.5</v>
      </c>
      <c r="D1106" s="11">
        <f t="shared" si="137"/>
        <v>1006.8166122669928</v>
      </c>
      <c r="E1106" s="24">
        <f t="shared" si="138"/>
        <v>534.6295676397516</v>
      </c>
      <c r="F1106" s="38">
        <f t="shared" si="133"/>
        <v>0.86944052951613782</v>
      </c>
      <c r="G1106" s="14">
        <f t="shared" si="134"/>
        <v>0</v>
      </c>
      <c r="H1106" s="24">
        <f t="shared" si="140"/>
        <v>694.46180820135442</v>
      </c>
      <c r="I1106" s="12">
        <f t="shared" si="139"/>
        <v>0.36194155429365682</v>
      </c>
      <c r="J1106" s="3"/>
    </row>
    <row r="1107" spans="2:10" x14ac:dyDescent="0.25">
      <c r="B1107" s="3">
        <f t="shared" si="135"/>
        <v>5435</v>
      </c>
      <c r="C1107" s="14">
        <f t="shared" si="136"/>
        <v>90.583333333333329</v>
      </c>
      <c r="D1107" s="11">
        <f t="shared" si="137"/>
        <v>1006.9543251408938</v>
      </c>
      <c r="E1107" s="24">
        <f t="shared" si="138"/>
        <v>534.99150919404531</v>
      </c>
      <c r="F1107" s="38">
        <f t="shared" si="133"/>
        <v>0.8690463658521419</v>
      </c>
      <c r="G1107" s="14">
        <f t="shared" si="134"/>
        <v>0</v>
      </c>
      <c r="H1107" s="24">
        <f t="shared" si="140"/>
        <v>694.77678749541951</v>
      </c>
      <c r="I1107" s="12">
        <f t="shared" si="139"/>
        <v>0.36164959186078338</v>
      </c>
      <c r="J1107" s="3"/>
    </row>
    <row r="1108" spans="2:10" x14ac:dyDescent="0.25">
      <c r="B1108" s="3">
        <f t="shared" si="135"/>
        <v>5440</v>
      </c>
      <c r="C1108" s="14">
        <f t="shared" si="136"/>
        <v>90.666666666666671</v>
      </c>
      <c r="D1108" s="11">
        <f t="shared" si="137"/>
        <v>1007.0919115566745</v>
      </c>
      <c r="E1108" s="24">
        <f t="shared" si="138"/>
        <v>535.35315878590609</v>
      </c>
      <c r="F1108" s="38">
        <f t="shared" ref="F1108:F1171" si="141">Cp*RhoP/(RhoA*H1108)*dp/1000*MassivP</f>
        <v>0.86865226440173171</v>
      </c>
      <c r="G1108" s="14">
        <f t="shared" ref="G1108:G1171" si="142">Phi*EpsilonF*Botzman/10^8*J1108*((D1108+273)^4-(E1108+273)^4)</f>
        <v>0</v>
      </c>
      <c r="H1108" s="24">
        <f t="shared" si="140"/>
        <v>695.09200285936254</v>
      </c>
      <c r="I1108" s="12">
        <f t="shared" si="139"/>
        <v>0.36135784639300544</v>
      </c>
      <c r="J1108" s="3"/>
    </row>
    <row r="1109" spans="2:10" x14ac:dyDescent="0.25">
      <c r="B1109" s="3">
        <f t="shared" ref="B1109:B1172" si="143">B1108+DeltaT</f>
        <v>5445</v>
      </c>
      <c r="C1109" s="14">
        <f t="shared" ref="C1109:C1172" si="144">B1109/60</f>
        <v>90.75</v>
      </c>
      <c r="D1109" s="11">
        <f t="shared" ref="D1109:D1172" si="145">20+345*LOG(8*C1109+1,10)</f>
        <v>1007.229371746368</v>
      </c>
      <c r="E1109" s="24">
        <f t="shared" ref="E1109:E1172" si="146">E1108+IF(Limit=Oui,MAX(0,I1108),I1108)</f>
        <v>535.71451663229914</v>
      </c>
      <c r="F1109" s="38">
        <f t="shared" si="141"/>
        <v>0.86825822594088287</v>
      </c>
      <c r="G1109" s="14">
        <f t="shared" si="142"/>
        <v>0</v>
      </c>
      <c r="H1109" s="24">
        <f t="shared" si="140"/>
        <v>695.40745392538406</v>
      </c>
      <c r="I1109" s="12">
        <f t="shared" ref="I1109:I1172" si="147">LambdaP*MassivP/(dp/1000)/(H1109*RhoA)/(1+F1109/3)*(D1109-E1109)*DeltaT-(EXP(F1109/10)-1)*(D1109-D1108)</f>
        <v>0.36106631811568923</v>
      </c>
      <c r="J1109" s="3"/>
    </row>
    <row r="1110" spans="2:10" x14ac:dyDescent="0.25">
      <c r="B1110" s="3">
        <f t="shared" si="143"/>
        <v>5450</v>
      </c>
      <c r="C1110" s="14">
        <f t="shared" si="144"/>
        <v>90.833333333333329</v>
      </c>
      <c r="D1110" s="11">
        <f t="shared" si="145"/>
        <v>1007.3667059413694</v>
      </c>
      <c r="E1110" s="24">
        <f t="shared" si="146"/>
        <v>536.07558295041486</v>
      </c>
      <c r="F1110" s="38">
        <f t="shared" si="141"/>
        <v>0.86786425124409616</v>
      </c>
      <c r="G1110" s="14">
        <f t="shared" si="142"/>
        <v>0</v>
      </c>
      <c r="H1110" s="24">
        <f t="shared" si="140"/>
        <v>695.72314032496865</v>
      </c>
      <c r="I1110" s="12">
        <f t="shared" si="147"/>
        <v>0.36077500725237482</v>
      </c>
      <c r="J1110" s="3"/>
    </row>
    <row r="1111" spans="2:10" x14ac:dyDescent="0.25">
      <c r="B1111" s="3">
        <f t="shared" si="143"/>
        <v>5455</v>
      </c>
      <c r="C1111" s="14">
        <f t="shared" si="144"/>
        <v>90.916666666666671</v>
      </c>
      <c r="D1111" s="11">
        <f t="shared" si="145"/>
        <v>1007.5039143724384</v>
      </c>
      <c r="E1111" s="24">
        <f t="shared" si="146"/>
        <v>536.43635795766727</v>
      </c>
      <c r="F1111" s="38">
        <f t="shared" si="141"/>
        <v>0.86747034108438537</v>
      </c>
      <c r="G1111" s="14">
        <f t="shared" si="142"/>
        <v>0</v>
      </c>
      <c r="H1111" s="24">
        <f t="shared" si="140"/>
        <v>696.03906168889364</v>
      </c>
      <c r="I1111" s="12">
        <f t="shared" si="147"/>
        <v>0.36048391402486052</v>
      </c>
      <c r="J1111" s="3"/>
    </row>
    <row r="1112" spans="2:10" x14ac:dyDescent="0.25">
      <c r="B1112" s="3">
        <f t="shared" si="143"/>
        <v>5460</v>
      </c>
      <c r="C1112" s="14">
        <f t="shared" si="144"/>
        <v>91</v>
      </c>
      <c r="D1112" s="11">
        <f t="shared" si="145"/>
        <v>1007.6409972697011</v>
      </c>
      <c r="E1112" s="24">
        <f t="shared" si="146"/>
        <v>536.7968418716921</v>
      </c>
      <c r="F1112" s="38">
        <f t="shared" si="141"/>
        <v>0.86707649623326821</v>
      </c>
      <c r="G1112" s="14">
        <f t="shared" si="142"/>
        <v>0</v>
      </c>
      <c r="H1112" s="24">
        <f t="shared" si="140"/>
        <v>696.3552176472358</v>
      </c>
      <c r="I1112" s="12">
        <f t="shared" si="147"/>
        <v>0.36019303865318614</v>
      </c>
      <c r="J1112" s="3"/>
    </row>
    <row r="1113" spans="2:10" x14ac:dyDescent="0.25">
      <c r="B1113" s="3">
        <f t="shared" si="143"/>
        <v>5465</v>
      </c>
      <c r="C1113" s="14">
        <f t="shared" si="144"/>
        <v>91.083333333333329</v>
      </c>
      <c r="D1113" s="11">
        <f t="shared" si="145"/>
        <v>1007.7779548626527</v>
      </c>
      <c r="E1113" s="24">
        <f t="shared" si="146"/>
        <v>537.15703491034526</v>
      </c>
      <c r="F1113" s="38">
        <f t="shared" si="141"/>
        <v>0.86668271746075598</v>
      </c>
      <c r="G1113" s="14">
        <f t="shared" si="142"/>
        <v>0</v>
      </c>
      <c r="H1113" s="24">
        <f t="shared" si="140"/>
        <v>696.6716078293789</v>
      </c>
      <c r="I1113" s="12">
        <f t="shared" si="147"/>
        <v>0.35990238135562425</v>
      </c>
      <c r="J1113" s="3"/>
    </row>
    <row r="1114" spans="2:10" x14ac:dyDescent="0.25">
      <c r="B1114" s="3">
        <f t="shared" si="143"/>
        <v>5470</v>
      </c>
      <c r="C1114" s="14">
        <f t="shared" si="144"/>
        <v>91.166666666666671</v>
      </c>
      <c r="D1114" s="11">
        <f t="shared" si="145"/>
        <v>1007.9147873801597</v>
      </c>
      <c r="E1114" s="24">
        <f t="shared" si="146"/>
        <v>537.51693729170086</v>
      </c>
      <c r="F1114" s="38">
        <f t="shared" si="141"/>
        <v>0.86628900553534338</v>
      </c>
      <c r="G1114" s="14">
        <f t="shared" si="142"/>
        <v>0</v>
      </c>
      <c r="H1114" s="24">
        <f t="shared" si="140"/>
        <v>696.98823186402103</v>
      </c>
      <c r="I1114" s="12">
        <f t="shared" si="147"/>
        <v>0.35961194234872457</v>
      </c>
      <c r="J1114" s="3"/>
    </row>
    <row r="1115" spans="2:10" x14ac:dyDescent="0.25">
      <c r="B1115" s="3">
        <f t="shared" si="143"/>
        <v>5475</v>
      </c>
      <c r="C1115" s="14">
        <f t="shared" si="144"/>
        <v>91.25</v>
      </c>
      <c r="D1115" s="11">
        <f t="shared" si="145"/>
        <v>1008.0514950504617</v>
      </c>
      <c r="E1115" s="24">
        <f t="shared" si="146"/>
        <v>537.87654923404955</v>
      </c>
      <c r="F1115" s="38">
        <f t="shared" si="141"/>
        <v>0.86589536122399857</v>
      </c>
      <c r="G1115" s="14">
        <f t="shared" si="142"/>
        <v>0</v>
      </c>
      <c r="H1115" s="24">
        <f t="shared" si="140"/>
        <v>697.30508937918285</v>
      </c>
      <c r="I1115" s="12">
        <f t="shared" si="147"/>
        <v>0.35932172184734662</v>
      </c>
      <c r="J1115" s="3"/>
    </row>
    <row r="1116" spans="2:10" x14ac:dyDescent="0.25">
      <c r="B1116" s="3">
        <f t="shared" si="143"/>
        <v>5480</v>
      </c>
      <c r="C1116" s="14">
        <f t="shared" si="144"/>
        <v>91.333333333333329</v>
      </c>
      <c r="D1116" s="11">
        <f t="shared" si="145"/>
        <v>1008.1880781011747</v>
      </c>
      <c r="E1116" s="24">
        <f t="shared" si="146"/>
        <v>538.23587095589687</v>
      </c>
      <c r="F1116" s="38">
        <f t="shared" si="141"/>
        <v>0.86550178529215327</v>
      </c>
      <c r="G1116" s="14">
        <f t="shared" si="142"/>
        <v>0</v>
      </c>
      <c r="H1116" s="24">
        <f t="shared" si="140"/>
        <v>697.62218000221401</v>
      </c>
      <c r="I1116" s="12">
        <f t="shared" si="147"/>
        <v>0.35903172006445816</v>
      </c>
      <c r="J1116" s="3"/>
    </row>
    <row r="1117" spans="2:10" x14ac:dyDescent="0.25">
      <c r="B1117" s="3">
        <f t="shared" si="143"/>
        <v>5485</v>
      </c>
      <c r="C1117" s="14">
        <f t="shared" si="144"/>
        <v>91.416666666666671</v>
      </c>
      <c r="D1117" s="11">
        <f t="shared" si="145"/>
        <v>1008.3245367592925</v>
      </c>
      <c r="E1117" s="24">
        <f t="shared" si="146"/>
        <v>538.59490267596129</v>
      </c>
      <c r="F1117" s="38">
        <f t="shared" si="141"/>
        <v>0.86510827850369376</v>
      </c>
      <c r="G1117" s="14">
        <f t="shared" si="142"/>
        <v>0</v>
      </c>
      <c r="H1117" s="24">
        <f t="shared" si="140"/>
        <v>697.93950335980071</v>
      </c>
      <c r="I1117" s="12">
        <f t="shared" si="147"/>
        <v>0.35874193721145503</v>
      </c>
      <c r="J1117" s="3"/>
    </row>
    <row r="1118" spans="2:10" x14ac:dyDescent="0.25">
      <c r="B1118" s="3">
        <f t="shared" si="143"/>
        <v>5490</v>
      </c>
      <c r="C1118" s="14">
        <f t="shared" si="144"/>
        <v>91.5</v>
      </c>
      <c r="D1118" s="11">
        <f t="shared" si="145"/>
        <v>1008.4608712511891</v>
      </c>
      <c r="E1118" s="24">
        <f t="shared" si="146"/>
        <v>538.95364461317274</v>
      </c>
      <c r="F1118" s="38">
        <f t="shared" si="141"/>
        <v>0.86471484162095036</v>
      </c>
      <c r="G1118" s="14">
        <f t="shared" si="142"/>
        <v>0</v>
      </c>
      <c r="H1118" s="24">
        <f t="shared" si="140"/>
        <v>698.25705907797328</v>
      </c>
      <c r="I1118" s="12">
        <f t="shared" si="147"/>
        <v>0.35845237349792808</v>
      </c>
      <c r="J1118" s="3"/>
    </row>
    <row r="1119" spans="2:10" x14ac:dyDescent="0.25">
      <c r="B1119" s="3">
        <f t="shared" si="143"/>
        <v>5495</v>
      </c>
      <c r="C1119" s="14">
        <f t="shared" si="144"/>
        <v>91.583333333333329</v>
      </c>
      <c r="D1119" s="11">
        <f t="shared" si="145"/>
        <v>1008.5970818026213</v>
      </c>
      <c r="E1119" s="24">
        <f t="shared" si="146"/>
        <v>539.31209698667067</v>
      </c>
      <c r="F1119" s="38">
        <f t="shared" si="141"/>
        <v>0.86432147540468818</v>
      </c>
      <c r="G1119" s="14">
        <f t="shared" si="142"/>
        <v>0</v>
      </c>
      <c r="H1119" s="24">
        <f t="shared" si="140"/>
        <v>698.57484678211335</v>
      </c>
      <c r="I1119" s="12">
        <f t="shared" si="147"/>
        <v>0.35816302913172765</v>
      </c>
      <c r="J1119" s="3"/>
    </row>
    <row r="1120" spans="2:10" x14ac:dyDescent="0.25">
      <c r="B1120" s="3">
        <f t="shared" si="143"/>
        <v>5500</v>
      </c>
      <c r="C1120" s="14">
        <f t="shared" si="144"/>
        <v>91.666666666666671</v>
      </c>
      <c r="D1120" s="11">
        <f t="shared" si="145"/>
        <v>1008.7331686387313</v>
      </c>
      <c r="E1120" s="24">
        <f t="shared" si="146"/>
        <v>539.67026001580234</v>
      </c>
      <c r="F1120" s="38">
        <f t="shared" si="141"/>
        <v>0.86392818061409837</v>
      </c>
      <c r="G1120" s="14">
        <f t="shared" si="142"/>
        <v>0</v>
      </c>
      <c r="H1120" s="24">
        <f t="shared" si="140"/>
        <v>698.89286609696092</v>
      </c>
      <c r="I1120" s="12">
        <f t="shared" si="147"/>
        <v>0.35787390431895683</v>
      </c>
      <c r="J1120" s="3"/>
    </row>
    <row r="1121" spans="2:10" x14ac:dyDescent="0.25">
      <c r="B1121" s="3">
        <f t="shared" si="143"/>
        <v>5505</v>
      </c>
      <c r="C1121" s="14">
        <f t="shared" si="144"/>
        <v>91.75</v>
      </c>
      <c r="D1121" s="11">
        <f t="shared" si="145"/>
        <v>1008.8691319840472</v>
      </c>
      <c r="E1121" s="24">
        <f t="shared" si="146"/>
        <v>540.02813392012126</v>
      </c>
      <c r="F1121" s="38">
        <f t="shared" si="141"/>
        <v>0.86353495800678826</v>
      </c>
      <c r="G1121" s="14">
        <f t="shared" si="142"/>
        <v>0</v>
      </c>
      <c r="H1121" s="24">
        <f t="shared" si="140"/>
        <v>699.21111664662192</v>
      </c>
      <c r="I1121" s="12">
        <f t="shared" si="147"/>
        <v>0.35758499926412579</v>
      </c>
      <c r="J1121" s="3"/>
    </row>
    <row r="1122" spans="2:10" x14ac:dyDescent="0.25">
      <c r="B1122" s="3">
        <f t="shared" si="143"/>
        <v>5510</v>
      </c>
      <c r="C1122" s="14">
        <f t="shared" si="144"/>
        <v>91.833333333333329</v>
      </c>
      <c r="D1122" s="11">
        <f t="shared" si="145"/>
        <v>1009.0049720624874</v>
      </c>
      <c r="E1122" s="24">
        <f t="shared" si="146"/>
        <v>540.38571891938534</v>
      </c>
      <c r="F1122" s="38">
        <f t="shared" si="141"/>
        <v>0.86314180833877208</v>
      </c>
      <c r="G1122" s="14">
        <f t="shared" si="142"/>
        <v>0</v>
      </c>
      <c r="H1122" s="24">
        <f t="shared" si="140"/>
        <v>699.52959805457476</v>
      </c>
      <c r="I1122" s="12">
        <f t="shared" si="147"/>
        <v>0.3572963141698598</v>
      </c>
      <c r="J1122" s="3"/>
    </row>
    <row r="1123" spans="2:10" x14ac:dyDescent="0.25">
      <c r="B1123" s="3">
        <f t="shared" si="143"/>
        <v>5515</v>
      </c>
      <c r="C1123" s="14">
        <f t="shared" si="144"/>
        <v>91.916666666666671</v>
      </c>
      <c r="D1123" s="11">
        <f t="shared" si="145"/>
        <v>1009.1406890973615</v>
      </c>
      <c r="E1123" s="24">
        <f t="shared" si="146"/>
        <v>540.74301523355518</v>
      </c>
      <c r="F1123" s="38">
        <f t="shared" si="141"/>
        <v>0.86274873236446237</v>
      </c>
      <c r="G1123" s="14">
        <f t="shared" si="142"/>
        <v>0</v>
      </c>
      <c r="H1123" s="24">
        <f t="shared" si="140"/>
        <v>699.84830994367871</v>
      </c>
      <c r="I1123" s="12">
        <f t="shared" si="147"/>
        <v>0.35700784923717671</v>
      </c>
      <c r="J1123" s="3"/>
    </row>
    <row r="1124" spans="2:10" x14ac:dyDescent="0.25">
      <c r="B1124" s="3">
        <f t="shared" si="143"/>
        <v>5520</v>
      </c>
      <c r="C1124" s="14">
        <f t="shared" si="144"/>
        <v>92</v>
      </c>
      <c r="D1124" s="11">
        <f t="shared" si="145"/>
        <v>1009.2762833113726</v>
      </c>
      <c r="E1124" s="24">
        <f t="shared" si="146"/>
        <v>541.1000230827924</v>
      </c>
      <c r="F1124" s="38">
        <f t="shared" si="141"/>
        <v>0.86235573083666017</v>
      </c>
      <c r="G1124" s="14">
        <f t="shared" si="142"/>
        <v>0</v>
      </c>
      <c r="H1124" s="24">
        <f t="shared" si="140"/>
        <v>700.16725193617958</v>
      </c>
      <c r="I1124" s="12">
        <f t="shared" si="147"/>
        <v>0.35671960466537822</v>
      </c>
      <c r="J1124" s="3"/>
    </row>
    <row r="1125" spans="2:10" x14ac:dyDescent="0.25">
      <c r="B1125" s="3">
        <f t="shared" si="143"/>
        <v>5525</v>
      </c>
      <c r="C1125" s="14">
        <f t="shared" si="144"/>
        <v>92.083333333333329</v>
      </c>
      <c r="D1125" s="11">
        <f t="shared" si="145"/>
        <v>1009.4117549266202</v>
      </c>
      <c r="E1125" s="24">
        <f t="shared" si="146"/>
        <v>541.45674268745779</v>
      </c>
      <c r="F1125" s="38">
        <f t="shared" si="141"/>
        <v>0.8619628045065475</v>
      </c>
      <c r="G1125" s="14">
        <f t="shared" si="142"/>
        <v>0</v>
      </c>
      <c r="H1125" s="24">
        <f t="shared" si="140"/>
        <v>700.48642365371779</v>
      </c>
      <c r="I1125" s="12">
        <f t="shared" si="147"/>
        <v>0.35643158065199104</v>
      </c>
      <c r="J1125" s="3"/>
    </row>
    <row r="1126" spans="2:10" x14ac:dyDescent="0.25">
      <c r="B1126" s="3">
        <f t="shared" si="143"/>
        <v>5530</v>
      </c>
      <c r="C1126" s="14">
        <f t="shared" si="144"/>
        <v>92.166666666666671</v>
      </c>
      <c r="D1126" s="11">
        <f t="shared" si="145"/>
        <v>1009.5471041646018</v>
      </c>
      <c r="E1126" s="24">
        <f t="shared" si="146"/>
        <v>541.81317426810983</v>
      </c>
      <c r="F1126" s="38">
        <f t="shared" si="141"/>
        <v>0.86156995412367754</v>
      </c>
      <c r="G1126" s="14">
        <f t="shared" si="142"/>
        <v>0</v>
      </c>
      <c r="H1126" s="24">
        <f t="shared" si="140"/>
        <v>700.80582471733487</v>
      </c>
      <c r="I1126" s="12">
        <f t="shared" si="147"/>
        <v>0.35614377739290287</v>
      </c>
      <c r="J1126" s="3"/>
    </row>
    <row r="1127" spans="2:10" x14ac:dyDescent="0.25">
      <c r="B1127" s="3">
        <f t="shared" si="143"/>
        <v>5535</v>
      </c>
      <c r="C1127" s="14">
        <f t="shared" si="144"/>
        <v>92.25</v>
      </c>
      <c r="D1127" s="11">
        <f t="shared" si="145"/>
        <v>1009.6823312462149</v>
      </c>
      <c r="E1127" s="24">
        <f t="shared" si="146"/>
        <v>542.16931804550279</v>
      </c>
      <c r="F1127" s="38">
        <f t="shared" si="141"/>
        <v>0.86117718043596536</v>
      </c>
      <c r="G1127" s="14">
        <f t="shared" si="142"/>
        <v>0</v>
      </c>
      <c r="H1127" s="24">
        <f t="shared" si="140"/>
        <v>701.1254547474814</v>
      </c>
      <c r="I1127" s="12">
        <f t="shared" si="147"/>
        <v>0.35585619508230293</v>
      </c>
      <c r="J1127" s="3"/>
    </row>
    <row r="1128" spans="2:10" x14ac:dyDescent="0.25">
      <c r="B1128" s="3">
        <f t="shared" si="143"/>
        <v>5540</v>
      </c>
      <c r="C1128" s="14">
        <f t="shared" si="144"/>
        <v>92.333333333333329</v>
      </c>
      <c r="D1128" s="11">
        <f t="shared" si="145"/>
        <v>1009.8174363917592</v>
      </c>
      <c r="E1128" s="24">
        <f t="shared" si="146"/>
        <v>542.5251742405851</v>
      </c>
      <c r="F1128" s="38">
        <f t="shared" si="141"/>
        <v>0.86078448418968168</v>
      </c>
      <c r="G1128" s="14">
        <f t="shared" si="142"/>
        <v>0</v>
      </c>
      <c r="H1128" s="24">
        <f t="shared" si="140"/>
        <v>701.44531336402292</v>
      </c>
      <c r="I1128" s="12">
        <f t="shared" si="147"/>
        <v>0.35556883391267574</v>
      </c>
      <c r="J1128" s="3"/>
    </row>
    <row r="1129" spans="2:10" x14ac:dyDescent="0.25">
      <c r="B1129" s="3">
        <f t="shared" si="143"/>
        <v>5545</v>
      </c>
      <c r="C1129" s="14">
        <f t="shared" si="144"/>
        <v>92.416666666666671</v>
      </c>
      <c r="D1129" s="11">
        <f t="shared" si="145"/>
        <v>1009.9524198209398</v>
      </c>
      <c r="E1129" s="24">
        <f t="shared" si="146"/>
        <v>542.88074307449779</v>
      </c>
      <c r="F1129" s="38">
        <f t="shared" si="141"/>
        <v>0.86039186612944196</v>
      </c>
      <c r="G1129" s="14">
        <f t="shared" si="142"/>
        <v>0</v>
      </c>
      <c r="H1129" s="24">
        <f t="shared" si="140"/>
        <v>701.76540018624746</v>
      </c>
      <c r="I1129" s="12">
        <f t="shared" si="147"/>
        <v>0.35528169407476284</v>
      </c>
      <c r="J1129" s="3"/>
    </row>
    <row r="1130" spans="2:10" x14ac:dyDescent="0.25">
      <c r="B1130" s="3">
        <f t="shared" si="143"/>
        <v>5550</v>
      </c>
      <c r="C1130" s="14">
        <f t="shared" si="144"/>
        <v>92.5</v>
      </c>
      <c r="D1130" s="11">
        <f t="shared" si="145"/>
        <v>1010.0872817528682</v>
      </c>
      <c r="E1130" s="24">
        <f t="shared" si="146"/>
        <v>543.23602476857252</v>
      </c>
      <c r="F1130" s="38">
        <f t="shared" si="141"/>
        <v>0.85999932699819959</v>
      </c>
      <c r="G1130" s="14">
        <f t="shared" si="142"/>
        <v>0</v>
      </c>
      <c r="H1130" s="24">
        <f t="shared" si="140"/>
        <v>702.08571483287233</v>
      </c>
      <c r="I1130" s="12">
        <f t="shared" si="147"/>
        <v>0.3549947757576678</v>
      </c>
      <c r="J1130" s="3"/>
    </row>
    <row r="1131" spans="2:10" x14ac:dyDescent="0.25">
      <c r="B1131" s="3">
        <f t="shared" si="143"/>
        <v>5555</v>
      </c>
      <c r="C1131" s="14">
        <f t="shared" si="144"/>
        <v>92.583333333333329</v>
      </c>
      <c r="D1131" s="11">
        <f t="shared" si="145"/>
        <v>1010.2220224060643</v>
      </c>
      <c r="E1131" s="24">
        <f t="shared" si="146"/>
        <v>543.59101954433015</v>
      </c>
      <c r="F1131" s="38">
        <f t="shared" si="141"/>
        <v>0.85960686753723659</v>
      </c>
      <c r="G1131" s="14">
        <f t="shared" si="142"/>
        <v>0</v>
      </c>
      <c r="H1131" s="24">
        <f t="shared" si="140"/>
        <v>702.40625692205163</v>
      </c>
      <c r="I1131" s="12">
        <f t="shared" si="147"/>
        <v>0.35470807914885855</v>
      </c>
      <c r="J1131" s="3"/>
    </row>
    <row r="1132" spans="2:10" x14ac:dyDescent="0.25">
      <c r="B1132" s="3">
        <f t="shared" si="143"/>
        <v>5560</v>
      </c>
      <c r="C1132" s="14">
        <f t="shared" si="144"/>
        <v>92.666666666666671</v>
      </c>
      <c r="D1132" s="11">
        <f t="shared" si="145"/>
        <v>1010.3566419984595</v>
      </c>
      <c r="E1132" s="24">
        <f t="shared" si="146"/>
        <v>543.945727623479</v>
      </c>
      <c r="F1132" s="38">
        <f t="shared" si="141"/>
        <v>0.85921448848615589</v>
      </c>
      <c r="G1132" s="14">
        <f t="shared" si="142"/>
        <v>0</v>
      </c>
      <c r="H1132" s="24">
        <f t="shared" si="140"/>
        <v>702.72702607138217</v>
      </c>
      <c r="I1132" s="12">
        <f t="shared" si="147"/>
        <v>0.35442160443401788</v>
      </c>
      <c r="J1132" s="3"/>
    </row>
    <row r="1133" spans="2:10" x14ac:dyDescent="0.25">
      <c r="B1133" s="3">
        <f t="shared" si="143"/>
        <v>5565</v>
      </c>
      <c r="C1133" s="14">
        <f t="shared" si="144"/>
        <v>92.75</v>
      </c>
      <c r="D1133" s="11">
        <f t="shared" si="145"/>
        <v>1010.4911407473984</v>
      </c>
      <c r="E1133" s="24">
        <f t="shared" si="146"/>
        <v>544.30014922791304</v>
      </c>
      <c r="F1133" s="38">
        <f t="shared" si="141"/>
        <v>0.85882219058287379</v>
      </c>
      <c r="G1133" s="14">
        <f t="shared" si="142"/>
        <v>0</v>
      </c>
      <c r="H1133" s="24">
        <f t="shared" si="140"/>
        <v>703.04802189791098</v>
      </c>
      <c r="I1133" s="12">
        <f t="shared" si="147"/>
        <v>0.3541353517971994</v>
      </c>
      <c r="J1133" s="3"/>
    </row>
    <row r="1134" spans="2:10" x14ac:dyDescent="0.25">
      <c r="B1134" s="3">
        <f t="shared" si="143"/>
        <v>5570</v>
      </c>
      <c r="C1134" s="14">
        <f t="shared" si="144"/>
        <v>92.833333333333329</v>
      </c>
      <c r="D1134" s="11">
        <f t="shared" si="145"/>
        <v>1010.6255188696402</v>
      </c>
      <c r="E1134" s="24">
        <f t="shared" si="146"/>
        <v>544.65428457971029</v>
      </c>
      <c r="F1134" s="38">
        <f t="shared" si="141"/>
        <v>0.85842997456361103</v>
      </c>
      <c r="G1134" s="14">
        <f t="shared" si="142"/>
        <v>0</v>
      </c>
      <c r="H1134" s="24">
        <f t="shared" si="140"/>
        <v>703.36924401814213</v>
      </c>
      <c r="I1134" s="12">
        <f t="shared" si="147"/>
        <v>0.3538493214208302</v>
      </c>
      <c r="J1134" s="3"/>
    </row>
    <row r="1135" spans="2:10" x14ac:dyDescent="0.25">
      <c r="B1135" s="3">
        <f t="shared" si="143"/>
        <v>5575</v>
      </c>
      <c r="C1135" s="14">
        <f t="shared" si="144"/>
        <v>92.916666666666671</v>
      </c>
      <c r="D1135" s="11">
        <f t="shared" si="145"/>
        <v>1010.7597765813623</v>
      </c>
      <c r="E1135" s="24">
        <f t="shared" si="146"/>
        <v>545.00813390113115</v>
      </c>
      <c r="F1135" s="38">
        <f t="shared" si="141"/>
        <v>0.85803784116288584</v>
      </c>
      <c r="G1135" s="14">
        <f t="shared" si="142"/>
        <v>0</v>
      </c>
      <c r="H1135" s="24">
        <f t="shared" si="140"/>
        <v>703.69069204804327</v>
      </c>
      <c r="I1135" s="12">
        <f t="shared" si="147"/>
        <v>0.35356351348557141</v>
      </c>
      <c r="J1135" s="3"/>
    </row>
    <row r="1136" spans="2:10" x14ac:dyDescent="0.25">
      <c r="B1136" s="3">
        <f t="shared" si="143"/>
        <v>5580</v>
      </c>
      <c r="C1136" s="14">
        <f t="shared" si="144"/>
        <v>93</v>
      </c>
      <c r="D1136" s="11">
        <f t="shared" si="145"/>
        <v>1010.893914098161</v>
      </c>
      <c r="E1136" s="24">
        <f t="shared" si="146"/>
        <v>545.36169741461674</v>
      </c>
      <c r="F1136" s="38">
        <f t="shared" si="141"/>
        <v>0.85764579111350525</v>
      </c>
      <c r="G1136" s="14">
        <f t="shared" si="142"/>
        <v>0</v>
      </c>
      <c r="H1136" s="24">
        <f t="shared" si="140"/>
        <v>704.01236560305233</v>
      </c>
      <c r="I1136" s="12">
        <f t="shared" si="147"/>
        <v>0.35327792817049469</v>
      </c>
      <c r="J1136" s="3"/>
    </row>
    <row r="1137" spans="2:10" x14ac:dyDescent="0.25">
      <c r="B1137" s="3">
        <f t="shared" si="143"/>
        <v>5585</v>
      </c>
      <c r="C1137" s="14">
        <f t="shared" si="144"/>
        <v>93.083333333333329</v>
      </c>
      <c r="D1137" s="11">
        <f t="shared" si="145"/>
        <v>1011.0279316350535</v>
      </c>
      <c r="E1137" s="24">
        <f t="shared" si="146"/>
        <v>545.71497534278728</v>
      </c>
      <c r="F1137" s="38">
        <f t="shared" si="141"/>
        <v>0.85725382514655868</v>
      </c>
      <c r="G1137" s="14">
        <f t="shared" si="142"/>
        <v>0</v>
      </c>
      <c r="H1137" s="24">
        <f t="shared" si="140"/>
        <v>704.33426429808446</v>
      </c>
      <c r="I1137" s="12">
        <f t="shared" si="147"/>
        <v>0.35299256565304277</v>
      </c>
      <c r="J1137" s="3"/>
    </row>
    <row r="1138" spans="2:10" x14ac:dyDescent="0.25">
      <c r="B1138" s="3">
        <f t="shared" si="143"/>
        <v>5590</v>
      </c>
      <c r="C1138" s="14">
        <f t="shared" si="144"/>
        <v>93.166666666666671</v>
      </c>
      <c r="D1138" s="11">
        <f t="shared" si="145"/>
        <v>1011.1618294064818</v>
      </c>
      <c r="E1138" s="24">
        <f t="shared" si="146"/>
        <v>546.06796790844032</v>
      </c>
      <c r="F1138" s="38">
        <f t="shared" si="141"/>
        <v>0.85686194399140792</v>
      </c>
      <c r="G1138" s="14">
        <f t="shared" si="142"/>
        <v>0</v>
      </c>
      <c r="H1138" s="24">
        <f t="shared" si="140"/>
        <v>704.65638774753972</v>
      </c>
      <c r="I1138" s="12">
        <f t="shared" si="147"/>
        <v>0.3527074261088517</v>
      </c>
      <c r="J1138" s="3"/>
    </row>
    <row r="1139" spans="2:10" x14ac:dyDescent="0.25">
      <c r="B1139" s="3">
        <f t="shared" si="143"/>
        <v>5595</v>
      </c>
      <c r="C1139" s="14">
        <f t="shared" si="144"/>
        <v>93.25</v>
      </c>
      <c r="D1139" s="11">
        <f t="shared" si="145"/>
        <v>1011.2956076263125</v>
      </c>
      <c r="E1139" s="24">
        <f t="shared" si="146"/>
        <v>546.42067533454917</v>
      </c>
      <c r="F1139" s="38">
        <f t="shared" si="141"/>
        <v>0.8564701483756828</v>
      </c>
      <c r="G1139" s="14">
        <f t="shared" si="142"/>
        <v>0</v>
      </c>
      <c r="H1139" s="24">
        <f t="shared" si="140"/>
        <v>704.97873556530726</v>
      </c>
      <c r="I1139" s="12">
        <f t="shared" si="147"/>
        <v>0.35242250971208788</v>
      </c>
      <c r="J1139" s="3"/>
    </row>
    <row r="1140" spans="2:10" x14ac:dyDescent="0.25">
      <c r="B1140" s="3">
        <f t="shared" si="143"/>
        <v>5600</v>
      </c>
      <c r="C1140" s="14">
        <f t="shared" si="144"/>
        <v>93.333333333333329</v>
      </c>
      <c r="D1140" s="11">
        <f t="shared" si="145"/>
        <v>1011.4292665078403</v>
      </c>
      <c r="E1140" s="24">
        <f t="shared" si="146"/>
        <v>546.77309784426132</v>
      </c>
      <c r="F1140" s="38">
        <f t="shared" si="141"/>
        <v>0.85607843902527259</v>
      </c>
      <c r="G1140" s="14">
        <f t="shared" si="142"/>
        <v>0</v>
      </c>
      <c r="H1140" s="24">
        <f t="shared" si="140"/>
        <v>705.30130736477452</v>
      </c>
      <c r="I1140" s="12">
        <f t="shared" si="147"/>
        <v>0.35213781663512672</v>
      </c>
      <c r="J1140" s="3"/>
    </row>
    <row r="1141" spans="2:10" x14ac:dyDescent="0.25">
      <c r="B1141" s="3">
        <f t="shared" si="143"/>
        <v>5605</v>
      </c>
      <c r="C1141" s="14">
        <f t="shared" si="144"/>
        <v>93.416666666666671</v>
      </c>
      <c r="D1141" s="11">
        <f t="shared" si="145"/>
        <v>1011.5628062637894</v>
      </c>
      <c r="E1141" s="24">
        <f t="shared" si="146"/>
        <v>547.12523566089646</v>
      </c>
      <c r="F1141" s="38">
        <f t="shared" si="141"/>
        <v>0.85568681666431667</v>
      </c>
      <c r="G1141" s="14">
        <f t="shared" si="142"/>
        <v>0</v>
      </c>
      <c r="H1141" s="24">
        <f t="shared" si="140"/>
        <v>705.62410275883258</v>
      </c>
      <c r="I1141" s="12">
        <f t="shared" si="147"/>
        <v>0.35185334704878851</v>
      </c>
      <c r="J1141" s="3"/>
    </row>
    <row r="1142" spans="2:10" x14ac:dyDescent="0.25">
      <c r="B1142" s="3">
        <f t="shared" si="143"/>
        <v>5610</v>
      </c>
      <c r="C1142" s="14">
        <f t="shared" si="144"/>
        <v>93.5</v>
      </c>
      <c r="D1142" s="11">
        <f t="shared" si="145"/>
        <v>1011.6962271063159</v>
      </c>
      <c r="E1142" s="24">
        <f t="shared" si="146"/>
        <v>547.47708900794521</v>
      </c>
      <c r="F1142" s="38">
        <f t="shared" si="141"/>
        <v>0.85529528201520055</v>
      </c>
      <c r="G1142" s="14">
        <f t="shared" si="142"/>
        <v>0</v>
      </c>
      <c r="H1142" s="24">
        <f t="shared" si="140"/>
        <v>705.94712135988289</v>
      </c>
      <c r="I1142" s="12">
        <f t="shared" si="147"/>
        <v>0.35156910112219009</v>
      </c>
      <c r="J1142" s="3"/>
    </row>
    <row r="1143" spans="2:10" x14ac:dyDescent="0.25">
      <c r="B1143" s="3">
        <f t="shared" si="143"/>
        <v>5615</v>
      </c>
      <c r="C1143" s="14">
        <f t="shared" si="144"/>
        <v>93.583333333333329</v>
      </c>
      <c r="D1143" s="11">
        <f t="shared" si="145"/>
        <v>1011.8295292470094</v>
      </c>
      <c r="E1143" s="24">
        <f t="shared" si="146"/>
        <v>547.82865810906742</v>
      </c>
      <c r="F1143" s="38">
        <f t="shared" si="141"/>
        <v>0.85490383579854634</v>
      </c>
      <c r="G1143" s="14">
        <f t="shared" si="142"/>
        <v>0</v>
      </c>
      <c r="H1143" s="24">
        <f t="shared" ref="H1143:H1206" si="148">IF(E1143&lt;600,425+0.773*E1143-1.69/1000*E1143^2+2.22/1000^2*E1143^3,IF(E1143&lt;735,666+13002/(738-E1143),IF(E1143&lt;900,545+17820/(E1143-731),650)))</f>
        <v>706.27036277984462</v>
      </c>
      <c r="I1143" s="12">
        <f t="shared" si="147"/>
        <v>0.35128507902284883</v>
      </c>
      <c r="J1143" s="3"/>
    </row>
    <row r="1144" spans="2:10" x14ac:dyDescent="0.25">
      <c r="B1144" s="3">
        <f t="shared" si="143"/>
        <v>5620</v>
      </c>
      <c r="C1144" s="14">
        <f t="shared" si="144"/>
        <v>93.666666666666671</v>
      </c>
      <c r="D1144" s="11">
        <f t="shared" si="145"/>
        <v>1011.9627128968958</v>
      </c>
      <c r="E1144" s="24">
        <f t="shared" si="146"/>
        <v>548.17994318809031</v>
      </c>
      <c r="F1144" s="38">
        <f t="shared" si="141"/>
        <v>0.85451247873320801</v>
      </c>
      <c r="G1144" s="14">
        <f t="shared" si="142"/>
        <v>0</v>
      </c>
      <c r="H1144" s="24">
        <f t="shared" si="148"/>
        <v>706.59382663015936</v>
      </c>
      <c r="I1144" s="12">
        <f t="shared" si="147"/>
        <v>0.35100128091661531</v>
      </c>
      <c r="J1144" s="3"/>
    </row>
    <row r="1145" spans="2:10" x14ac:dyDescent="0.25">
      <c r="B1145" s="3">
        <f t="shared" si="143"/>
        <v>5625</v>
      </c>
      <c r="C1145" s="14">
        <f t="shared" si="144"/>
        <v>93.75</v>
      </c>
      <c r="D1145" s="11">
        <f t="shared" si="145"/>
        <v>1012.0957782664379</v>
      </c>
      <c r="E1145" s="24">
        <f t="shared" si="146"/>
        <v>548.53094446900695</v>
      </c>
      <c r="F1145" s="38">
        <f t="shared" si="141"/>
        <v>0.85412121153626142</v>
      </c>
      <c r="G1145" s="14">
        <f t="shared" si="142"/>
        <v>0</v>
      </c>
      <c r="H1145" s="24">
        <f t="shared" si="148"/>
        <v>706.91751252180018</v>
      </c>
      <c r="I1145" s="12">
        <f t="shared" si="147"/>
        <v>0.35071770696778665</v>
      </c>
      <c r="J1145" s="3"/>
    </row>
    <row r="1146" spans="2:10" x14ac:dyDescent="0.25">
      <c r="B1146" s="3">
        <f t="shared" si="143"/>
        <v>5630</v>
      </c>
      <c r="C1146" s="14">
        <f t="shared" si="144"/>
        <v>93.833333333333329</v>
      </c>
      <c r="D1146" s="11">
        <f t="shared" si="145"/>
        <v>1012.2287255655392</v>
      </c>
      <c r="E1146" s="24">
        <f t="shared" si="146"/>
        <v>548.88166217597472</v>
      </c>
      <c r="F1146" s="38">
        <f t="shared" si="141"/>
        <v>0.85373003492300037</v>
      </c>
      <c r="G1146" s="14">
        <f t="shared" si="142"/>
        <v>0</v>
      </c>
      <c r="H1146" s="24">
        <f t="shared" si="148"/>
        <v>707.24142006527575</v>
      </c>
      <c r="I1146" s="12">
        <f t="shared" si="147"/>
        <v>0.35043435733890888</v>
      </c>
      <c r="J1146" s="3"/>
    </row>
    <row r="1147" spans="2:10" x14ac:dyDescent="0.25">
      <c r="B1147" s="3">
        <f t="shared" si="143"/>
        <v>5635</v>
      </c>
      <c r="C1147" s="14">
        <f t="shared" si="144"/>
        <v>93.916666666666671</v>
      </c>
      <c r="D1147" s="11">
        <f t="shared" si="145"/>
        <v>1012.3615550035444</v>
      </c>
      <c r="E1147" s="24">
        <f t="shared" si="146"/>
        <v>549.23209653331367</v>
      </c>
      <c r="F1147" s="38">
        <f t="shared" si="141"/>
        <v>0.85333894960692847</v>
      </c>
      <c r="G1147" s="14">
        <f t="shared" si="142"/>
        <v>0</v>
      </c>
      <c r="H1147" s="24">
        <f t="shared" si="148"/>
        <v>707.56554887063817</v>
      </c>
      <c r="I1147" s="12">
        <f t="shared" si="147"/>
        <v>0.35015123219101196</v>
      </c>
      <c r="J1147" s="3"/>
    </row>
    <row r="1148" spans="2:10" x14ac:dyDescent="0.25">
      <c r="B1148" s="3">
        <f t="shared" si="143"/>
        <v>5640</v>
      </c>
      <c r="C1148" s="14">
        <f t="shared" si="144"/>
        <v>94</v>
      </c>
      <c r="D1148" s="11">
        <f t="shared" si="145"/>
        <v>1012.4942667892416</v>
      </c>
      <c r="E1148" s="24">
        <f t="shared" si="146"/>
        <v>549.58224776550469</v>
      </c>
      <c r="F1148" s="38">
        <f t="shared" si="141"/>
        <v>0.85294795629975273</v>
      </c>
      <c r="G1148" s="14">
        <f t="shared" si="142"/>
        <v>0</v>
      </c>
      <c r="H1148" s="24">
        <f t="shared" si="148"/>
        <v>707.88989854748911</v>
      </c>
      <c r="I1148" s="12">
        <f t="shared" si="147"/>
        <v>0.34986833168350084</v>
      </c>
      <c r="J1148" s="3"/>
    </row>
    <row r="1149" spans="2:10" x14ac:dyDescent="0.25">
      <c r="B1149" s="3">
        <f t="shared" si="143"/>
        <v>5645</v>
      </c>
      <c r="C1149" s="14">
        <f t="shared" si="144"/>
        <v>94.083333333333329</v>
      </c>
      <c r="D1149" s="11">
        <f t="shared" si="145"/>
        <v>1012.6268611308654</v>
      </c>
      <c r="E1149" s="24">
        <f t="shared" si="146"/>
        <v>549.93211609718821</v>
      </c>
      <c r="F1149" s="38">
        <f t="shared" si="141"/>
        <v>0.8525570557113773</v>
      </c>
      <c r="G1149" s="14">
        <f t="shared" si="142"/>
        <v>0</v>
      </c>
      <c r="H1149" s="24">
        <f t="shared" si="148"/>
        <v>708.21446870498585</v>
      </c>
      <c r="I1149" s="12">
        <f t="shared" si="147"/>
        <v>0.34958565597406949</v>
      </c>
      <c r="J1149" s="3"/>
    </row>
    <row r="1150" spans="2:10" x14ac:dyDescent="0.25">
      <c r="B1150" s="3">
        <f t="shared" si="143"/>
        <v>5650</v>
      </c>
      <c r="C1150" s="14">
        <f t="shared" si="144"/>
        <v>94.166666666666671</v>
      </c>
      <c r="D1150" s="11">
        <f t="shared" si="145"/>
        <v>1012.7593382360977</v>
      </c>
      <c r="E1150" s="24">
        <f t="shared" si="146"/>
        <v>550.28170175316234</v>
      </c>
      <c r="F1150" s="38">
        <f t="shared" si="141"/>
        <v>0.85216624854989609</v>
      </c>
      <c r="G1150" s="14">
        <f t="shared" si="142"/>
        <v>0</v>
      </c>
      <c r="H1150" s="24">
        <f t="shared" si="148"/>
        <v>708.53925895184852</v>
      </c>
      <c r="I1150" s="12">
        <f t="shared" si="147"/>
        <v>0.34930320521891467</v>
      </c>
      <c r="J1150" s="3"/>
    </row>
    <row r="1151" spans="2:10" x14ac:dyDescent="0.25">
      <c r="B1151" s="3">
        <f t="shared" si="143"/>
        <v>5655</v>
      </c>
      <c r="C1151" s="14">
        <f t="shared" si="144"/>
        <v>94.25</v>
      </c>
      <c r="D1151" s="11">
        <f t="shared" si="145"/>
        <v>1012.8916983120698</v>
      </c>
      <c r="E1151" s="24">
        <f t="shared" si="146"/>
        <v>550.63100495838125</v>
      </c>
      <c r="F1151" s="38">
        <f t="shared" si="141"/>
        <v>0.85177553552158769</v>
      </c>
      <c r="G1151" s="14">
        <f t="shared" si="142"/>
        <v>0</v>
      </c>
      <c r="H1151" s="24">
        <f t="shared" si="148"/>
        <v>708.86426889636505</v>
      </c>
      <c r="I1151" s="12">
        <f t="shared" si="147"/>
        <v>0.34902097957257849</v>
      </c>
      <c r="J1151" s="3"/>
    </row>
    <row r="1152" spans="2:10" x14ac:dyDescent="0.25">
      <c r="B1152" s="3">
        <f t="shared" si="143"/>
        <v>5660</v>
      </c>
      <c r="C1152" s="14">
        <f t="shared" si="144"/>
        <v>94.333333333333329</v>
      </c>
      <c r="D1152" s="11">
        <f t="shared" si="145"/>
        <v>1013.0239415653649</v>
      </c>
      <c r="E1152" s="24">
        <f t="shared" si="146"/>
        <v>550.98002593795388</v>
      </c>
      <c r="F1152" s="38">
        <f t="shared" si="141"/>
        <v>0.8513849173309086</v>
      </c>
      <c r="G1152" s="14">
        <f t="shared" si="142"/>
        <v>0</v>
      </c>
      <c r="H1152" s="24">
        <f t="shared" si="148"/>
        <v>709.18949814639859</v>
      </c>
      <c r="I1152" s="12">
        <f t="shared" si="147"/>
        <v>0.34873897918798169</v>
      </c>
      <c r="J1152" s="3"/>
    </row>
    <row r="1153" spans="2:10" x14ac:dyDescent="0.25">
      <c r="B1153" s="3">
        <f t="shared" si="143"/>
        <v>5665</v>
      </c>
      <c r="C1153" s="14">
        <f t="shared" si="144"/>
        <v>94.416666666666671</v>
      </c>
      <c r="D1153" s="11">
        <f t="shared" si="145"/>
        <v>1013.1560682020194</v>
      </c>
      <c r="E1153" s="24">
        <f t="shared" si="146"/>
        <v>551.32876491714183</v>
      </c>
      <c r="F1153" s="38">
        <f t="shared" si="141"/>
        <v>0.85099439468048621</v>
      </c>
      <c r="G1153" s="14">
        <f t="shared" si="142"/>
        <v>0</v>
      </c>
      <c r="H1153" s="24">
        <f t="shared" si="148"/>
        <v>709.51494630939374</v>
      </c>
      <c r="I1153" s="12">
        <f t="shared" si="147"/>
        <v>0.34845720421649706</v>
      </c>
      <c r="J1153" s="3"/>
    </row>
    <row r="1154" spans="2:10" x14ac:dyDescent="0.25">
      <c r="B1154" s="3">
        <f t="shared" si="143"/>
        <v>5670</v>
      </c>
      <c r="C1154" s="14">
        <f t="shared" si="144"/>
        <v>94.5</v>
      </c>
      <c r="D1154" s="11">
        <f t="shared" si="145"/>
        <v>1013.288078427525</v>
      </c>
      <c r="E1154" s="24">
        <f t="shared" si="146"/>
        <v>551.67722212135834</v>
      </c>
      <c r="F1154" s="38">
        <f t="shared" si="141"/>
        <v>0.85060396827111373</v>
      </c>
      <c r="G1154" s="14">
        <f t="shared" si="142"/>
        <v>0</v>
      </c>
      <c r="H1154" s="24">
        <f t="shared" si="148"/>
        <v>709.84061299238215</v>
      </c>
      <c r="I1154" s="12">
        <f t="shared" si="147"/>
        <v>0.34817565480787233</v>
      </c>
      <c r="J1154" s="3"/>
    </row>
    <row r="1155" spans="2:10" x14ac:dyDescent="0.25">
      <c r="B1155" s="3">
        <f t="shared" si="143"/>
        <v>5675</v>
      </c>
      <c r="C1155" s="14">
        <f t="shared" si="144"/>
        <v>94.583333333333329</v>
      </c>
      <c r="D1155" s="11">
        <f t="shared" si="145"/>
        <v>1013.4199724468314</v>
      </c>
      <c r="E1155" s="24">
        <f t="shared" si="146"/>
        <v>552.02539777616619</v>
      </c>
      <c r="F1155" s="38">
        <f t="shared" si="141"/>
        <v>0.85021363880174416</v>
      </c>
      <c r="G1155" s="14">
        <f t="shared" si="142"/>
        <v>0</v>
      </c>
      <c r="H1155" s="24">
        <f t="shared" si="148"/>
        <v>710.16649780198918</v>
      </c>
      <c r="I1155" s="12">
        <f t="shared" si="147"/>
        <v>0.347894331110224</v>
      </c>
      <c r="J1155" s="3"/>
    </row>
    <row r="1156" spans="2:10" x14ac:dyDescent="0.25">
      <c r="B1156" s="3">
        <f t="shared" si="143"/>
        <v>5680</v>
      </c>
      <c r="C1156" s="14">
        <f t="shared" si="144"/>
        <v>94.666666666666671</v>
      </c>
      <c r="D1156" s="11">
        <f t="shared" si="145"/>
        <v>1013.5517504643466</v>
      </c>
      <c r="E1156" s="24">
        <f t="shared" si="146"/>
        <v>552.37329210727637</v>
      </c>
      <c r="F1156" s="38">
        <f t="shared" si="141"/>
        <v>0.84982340696948355</v>
      </c>
      <c r="G1156" s="14">
        <f t="shared" si="142"/>
        <v>0</v>
      </c>
      <c r="H1156" s="24">
        <f t="shared" si="148"/>
        <v>710.49260034444046</v>
      </c>
      <c r="I1156" s="12">
        <f t="shared" si="147"/>
        <v>0.34761323327020033</v>
      </c>
      <c r="J1156" s="3"/>
    </row>
    <row r="1157" spans="2:10" x14ac:dyDescent="0.25">
      <c r="B1157" s="3">
        <f t="shared" si="143"/>
        <v>5685</v>
      </c>
      <c r="C1157" s="14">
        <f t="shared" si="144"/>
        <v>94.75</v>
      </c>
      <c r="D1157" s="11">
        <f t="shared" si="145"/>
        <v>1013.6834126839407</v>
      </c>
      <c r="E1157" s="24">
        <f t="shared" si="146"/>
        <v>552.72090534054655</v>
      </c>
      <c r="F1157" s="38">
        <f t="shared" si="141"/>
        <v>0.84943327346958619</v>
      </c>
      <c r="G1157" s="14">
        <f t="shared" si="142"/>
        <v>0</v>
      </c>
      <c r="H1157" s="24">
        <f t="shared" si="148"/>
        <v>710.81892022556713</v>
      </c>
      <c r="I1157" s="12">
        <f t="shared" si="147"/>
        <v>0.34733236143271412</v>
      </c>
      <c r="J1157" s="3"/>
    </row>
    <row r="1158" spans="2:10" x14ac:dyDescent="0.25">
      <c r="B1158" s="3">
        <f t="shared" si="143"/>
        <v>5690</v>
      </c>
      <c r="C1158" s="14">
        <f t="shared" si="144"/>
        <v>94.833333333333329</v>
      </c>
      <c r="D1158" s="11">
        <f t="shared" si="145"/>
        <v>1013.8149593089458</v>
      </c>
      <c r="E1158" s="24">
        <f t="shared" si="146"/>
        <v>553.06823770197923</v>
      </c>
      <c r="F1158" s="38">
        <f t="shared" si="141"/>
        <v>0.8490432389954482</v>
      </c>
      <c r="G1158" s="14">
        <f t="shared" si="142"/>
        <v>0</v>
      </c>
      <c r="H1158" s="24">
        <f t="shared" si="148"/>
        <v>711.14545705081241</v>
      </c>
      <c r="I1158" s="12">
        <f t="shared" si="147"/>
        <v>0.34705171574125737</v>
      </c>
      <c r="J1158" s="3"/>
    </row>
    <row r="1159" spans="2:10" x14ac:dyDescent="0.25">
      <c r="B1159" s="3">
        <f t="shared" si="143"/>
        <v>5695</v>
      </c>
      <c r="C1159" s="14">
        <f t="shared" si="144"/>
        <v>94.916666666666671</v>
      </c>
      <c r="D1159" s="11">
        <f t="shared" si="145"/>
        <v>1013.9463905421601</v>
      </c>
      <c r="E1159" s="24">
        <f t="shared" si="146"/>
        <v>553.41528941772049</v>
      </c>
      <c r="F1159" s="38">
        <f t="shared" si="141"/>
        <v>0.8486533042386013</v>
      </c>
      <c r="G1159" s="14">
        <f t="shared" si="142"/>
        <v>0</v>
      </c>
      <c r="H1159" s="24">
        <f t="shared" si="148"/>
        <v>711.47221042523847</v>
      </c>
      <c r="I1159" s="12">
        <f t="shared" si="147"/>
        <v>0.34677129633759241</v>
      </c>
      <c r="J1159" s="3"/>
    </row>
    <row r="1160" spans="2:10" x14ac:dyDescent="0.25">
      <c r="B1160" s="3">
        <f t="shared" si="143"/>
        <v>5700</v>
      </c>
      <c r="C1160" s="14">
        <f t="shared" si="144"/>
        <v>95</v>
      </c>
      <c r="D1160" s="11">
        <f t="shared" si="145"/>
        <v>1014.0777065858476</v>
      </c>
      <c r="E1160" s="24">
        <f t="shared" si="146"/>
        <v>553.76206071405807</v>
      </c>
      <c r="F1160" s="38">
        <f t="shared" si="141"/>
        <v>0.84826346988870927</v>
      </c>
      <c r="G1160" s="14">
        <f t="shared" si="142"/>
        <v>0</v>
      </c>
      <c r="H1160" s="24">
        <f t="shared" si="148"/>
        <v>711.79917995353117</v>
      </c>
      <c r="I1160" s="12">
        <f t="shared" si="147"/>
        <v>0.34649110336203803</v>
      </c>
      <c r="J1160" s="3"/>
    </row>
    <row r="1161" spans="2:10" x14ac:dyDescent="0.25">
      <c r="B1161" s="3">
        <f t="shared" si="143"/>
        <v>5705</v>
      </c>
      <c r="C1161" s="14">
        <f t="shared" si="144"/>
        <v>95.083333333333329</v>
      </c>
      <c r="D1161" s="11">
        <f t="shared" si="145"/>
        <v>1014.2089076417412</v>
      </c>
      <c r="E1161" s="24">
        <f t="shared" si="146"/>
        <v>554.10855181742011</v>
      </c>
      <c r="F1161" s="38">
        <f t="shared" si="141"/>
        <v>0.84787373663356047</v>
      </c>
      <c r="G1161" s="14">
        <f t="shared" si="142"/>
        <v>0</v>
      </c>
      <c r="H1161" s="24">
        <f t="shared" si="148"/>
        <v>712.12636524000663</v>
      </c>
      <c r="I1161" s="12">
        <f t="shared" si="147"/>
        <v>0.34621113695331018</v>
      </c>
      <c r="J1161" s="3"/>
    </row>
    <row r="1162" spans="2:10" x14ac:dyDescent="0.25">
      <c r="B1162" s="3">
        <f t="shared" si="143"/>
        <v>5710</v>
      </c>
      <c r="C1162" s="14">
        <f t="shared" si="144"/>
        <v>95.166666666666671</v>
      </c>
      <c r="D1162" s="11">
        <f t="shared" si="145"/>
        <v>1014.3399939110446</v>
      </c>
      <c r="E1162" s="24">
        <f t="shared" si="146"/>
        <v>554.45476295437345</v>
      </c>
      <c r="F1162" s="38">
        <f t="shared" si="141"/>
        <v>0.84748410515906281</v>
      </c>
      <c r="G1162" s="14">
        <f t="shared" si="142"/>
        <v>0</v>
      </c>
      <c r="H1162" s="24">
        <f t="shared" si="148"/>
        <v>712.45376588861836</v>
      </c>
      <c r="I1162" s="12">
        <f t="shared" si="147"/>
        <v>0.34593139724850652</v>
      </c>
      <c r="J1162" s="3"/>
    </row>
    <row r="1163" spans="2:10" x14ac:dyDescent="0.25">
      <c r="B1163" s="3">
        <f t="shared" si="143"/>
        <v>5715</v>
      </c>
      <c r="C1163" s="14">
        <f t="shared" si="144"/>
        <v>95.25</v>
      </c>
      <c r="D1163" s="11">
        <f t="shared" si="145"/>
        <v>1014.4709655944337</v>
      </c>
      <c r="E1163" s="24">
        <f t="shared" si="146"/>
        <v>554.80069435162193</v>
      </c>
      <c r="F1163" s="38">
        <f t="shared" si="141"/>
        <v>0.84709457614923922</v>
      </c>
      <c r="G1163" s="14">
        <f t="shared" si="142"/>
        <v>0</v>
      </c>
      <c r="H1163" s="24">
        <f t="shared" si="148"/>
        <v>712.78138150296138</v>
      </c>
      <c r="I1163" s="12">
        <f t="shared" si="147"/>
        <v>0.34565188438324007</v>
      </c>
      <c r="J1163" s="3"/>
    </row>
    <row r="1164" spans="2:10" x14ac:dyDescent="0.25">
      <c r="B1164" s="3">
        <f t="shared" si="143"/>
        <v>5720</v>
      </c>
      <c r="C1164" s="14">
        <f t="shared" si="144"/>
        <v>95.333333333333329</v>
      </c>
      <c r="D1164" s="11">
        <f t="shared" si="145"/>
        <v>1014.6018228920585</v>
      </c>
      <c r="E1164" s="24">
        <f t="shared" si="146"/>
        <v>555.14634623600512</v>
      </c>
      <c r="F1164" s="38">
        <f t="shared" si="141"/>
        <v>0.84670515028622162</v>
      </c>
      <c r="G1164" s="14">
        <f t="shared" si="142"/>
        <v>0</v>
      </c>
      <c r="H1164" s="24">
        <f t="shared" si="148"/>
        <v>713.1092116862792</v>
      </c>
      <c r="I1164" s="12">
        <f t="shared" si="147"/>
        <v>0.3453725984915223</v>
      </c>
      <c r="J1164" s="3"/>
    </row>
    <row r="1165" spans="2:10" x14ac:dyDescent="0.25">
      <c r="B1165" s="3">
        <f t="shared" si="143"/>
        <v>5725</v>
      </c>
      <c r="C1165" s="14">
        <f t="shared" si="144"/>
        <v>95.416666666666671</v>
      </c>
      <c r="D1165" s="11">
        <f t="shared" si="145"/>
        <v>1014.7325660035452</v>
      </c>
      <c r="E1165" s="24">
        <f t="shared" si="146"/>
        <v>555.49171883449662</v>
      </c>
      <c r="F1165" s="38">
        <f t="shared" si="141"/>
        <v>0.84631582825024676</v>
      </c>
      <c r="G1165" s="14">
        <f t="shared" si="142"/>
        <v>0</v>
      </c>
      <c r="H1165" s="24">
        <f t="shared" si="148"/>
        <v>713.43725604147016</v>
      </c>
      <c r="I1165" s="12">
        <f t="shared" si="147"/>
        <v>0.34509353970585571</v>
      </c>
      <c r="J1165" s="3"/>
    </row>
    <row r="1166" spans="2:10" x14ac:dyDescent="0.25">
      <c r="B1166" s="3">
        <f t="shared" si="143"/>
        <v>5730</v>
      </c>
      <c r="C1166" s="14">
        <f t="shared" si="144"/>
        <v>95.5</v>
      </c>
      <c r="D1166" s="11">
        <f t="shared" si="145"/>
        <v>1014.8631951279979</v>
      </c>
      <c r="E1166" s="24">
        <f t="shared" si="146"/>
        <v>555.83681237420251</v>
      </c>
      <c r="F1166" s="38">
        <f t="shared" si="141"/>
        <v>0.84592661071964959</v>
      </c>
      <c r="G1166" s="14">
        <f t="shared" si="142"/>
        <v>0</v>
      </c>
      <c r="H1166" s="24">
        <f t="shared" si="148"/>
        <v>713.76551417109215</v>
      </c>
      <c r="I1166" s="12">
        <f t="shared" si="147"/>
        <v>0.34481470815715815</v>
      </c>
      <c r="J1166" s="3"/>
    </row>
    <row r="1167" spans="2:10" x14ac:dyDescent="0.25">
      <c r="B1167" s="3">
        <f t="shared" si="143"/>
        <v>5735</v>
      </c>
      <c r="C1167" s="14">
        <f t="shared" si="144"/>
        <v>95.583333333333329</v>
      </c>
      <c r="D1167" s="11">
        <f t="shared" si="145"/>
        <v>1014.9937104640003</v>
      </c>
      <c r="E1167" s="24">
        <f t="shared" si="146"/>
        <v>556.18162708235968</v>
      </c>
      <c r="F1167" s="38">
        <f t="shared" si="141"/>
        <v>0.84553749837086045</v>
      </c>
      <c r="G1167" s="14">
        <f t="shared" si="142"/>
        <v>0</v>
      </c>
      <c r="H1167" s="24">
        <f t="shared" si="148"/>
        <v>714.09398567736957</v>
      </c>
      <c r="I1167" s="12">
        <f t="shared" si="147"/>
        <v>0.34453610397481649</v>
      </c>
      <c r="J1167" s="3"/>
    </row>
    <row r="1168" spans="2:10" x14ac:dyDescent="0.25">
      <c r="B1168" s="3">
        <f t="shared" si="143"/>
        <v>5740</v>
      </c>
      <c r="C1168" s="14">
        <f t="shared" si="144"/>
        <v>95.666666666666671</v>
      </c>
      <c r="D1168" s="11">
        <f t="shared" si="145"/>
        <v>1015.1241122096176</v>
      </c>
      <c r="E1168" s="24">
        <f t="shared" si="146"/>
        <v>556.52616318633454</v>
      </c>
      <c r="F1168" s="38">
        <f t="shared" si="141"/>
        <v>0.84514849187839702</v>
      </c>
      <c r="G1168" s="14">
        <f t="shared" si="142"/>
        <v>0</v>
      </c>
      <c r="H1168" s="24">
        <f t="shared" si="148"/>
        <v>714.42267016219921</v>
      </c>
      <c r="I1168" s="12">
        <f t="shared" si="147"/>
        <v>0.34425772728670873</v>
      </c>
      <c r="J1168" s="3"/>
    </row>
    <row r="1169" spans="2:10" x14ac:dyDescent="0.25">
      <c r="B1169" s="3">
        <f t="shared" si="143"/>
        <v>5745</v>
      </c>
      <c r="C1169" s="14">
        <f t="shared" si="144"/>
        <v>95.75</v>
      </c>
      <c r="D1169" s="11">
        <f t="shared" si="145"/>
        <v>1015.2544005623984</v>
      </c>
      <c r="E1169" s="24">
        <f t="shared" si="146"/>
        <v>556.87042091362127</v>
      </c>
      <c r="F1169" s="38">
        <f t="shared" si="141"/>
        <v>0.84475959191486294</v>
      </c>
      <c r="G1169" s="14">
        <f t="shared" si="142"/>
        <v>0</v>
      </c>
      <c r="H1169" s="24">
        <f t="shared" si="148"/>
        <v>714.75156722715496</v>
      </c>
      <c r="I1169" s="12">
        <f t="shared" si="147"/>
        <v>0.34397957821913838</v>
      </c>
      <c r="J1169" s="3"/>
    </row>
    <row r="1170" spans="2:10" x14ac:dyDescent="0.25">
      <c r="B1170" s="3">
        <f t="shared" si="143"/>
        <v>5750</v>
      </c>
      <c r="C1170" s="14">
        <f t="shared" si="144"/>
        <v>95.833333333333329</v>
      </c>
      <c r="D1170" s="11">
        <f t="shared" si="145"/>
        <v>1015.384575719376</v>
      </c>
      <c r="E1170" s="24">
        <f t="shared" si="146"/>
        <v>557.21440049184037</v>
      </c>
      <c r="F1170" s="38">
        <f t="shared" si="141"/>
        <v>0.84437079915094138</v>
      </c>
      <c r="G1170" s="14">
        <f t="shared" si="142"/>
        <v>0</v>
      </c>
      <c r="H1170" s="24">
        <f t="shared" si="148"/>
        <v>715.08067647349435</v>
      </c>
      <c r="I1170" s="12">
        <f t="shared" si="147"/>
        <v>0.34370165689692794</v>
      </c>
      <c r="J1170" s="3"/>
    </row>
    <row r="1171" spans="2:10" x14ac:dyDescent="0.25">
      <c r="B1171" s="3">
        <f t="shared" si="143"/>
        <v>5755</v>
      </c>
      <c r="C1171" s="14">
        <f t="shared" si="144"/>
        <v>95.916666666666671</v>
      </c>
      <c r="D1171" s="11">
        <f t="shared" si="145"/>
        <v>1015.5146378770714</v>
      </c>
      <c r="E1171" s="24">
        <f t="shared" si="146"/>
        <v>557.55810214873725</v>
      </c>
      <c r="F1171" s="38">
        <f t="shared" si="141"/>
        <v>0.84398211425538938</v>
      </c>
      <c r="G1171" s="14">
        <f t="shared" si="142"/>
        <v>0</v>
      </c>
      <c r="H1171" s="24">
        <f t="shared" si="148"/>
        <v>715.40999750216508</v>
      </c>
      <c r="I1171" s="12">
        <f t="shared" si="147"/>
        <v>0.34342396344329168</v>
      </c>
      <c r="J1171" s="3"/>
    </row>
    <row r="1172" spans="2:10" x14ac:dyDescent="0.25">
      <c r="B1172" s="3">
        <f t="shared" si="143"/>
        <v>5760</v>
      </c>
      <c r="C1172" s="14">
        <f t="shared" si="144"/>
        <v>96</v>
      </c>
      <c r="D1172" s="11">
        <f t="shared" si="145"/>
        <v>1015.6445872314937</v>
      </c>
      <c r="E1172" s="24">
        <f t="shared" si="146"/>
        <v>557.90152611218059</v>
      </c>
      <c r="F1172" s="38">
        <f t="shared" ref="F1172:F1235" si="149">Cp*RhoP/(RhoA*H1172)*dp/1000*MassivP</f>
        <v>0.84359353789503577</v>
      </c>
      <c r="G1172" s="14">
        <f t="shared" ref="G1172:G1235" si="150">Phi*EpsilonF*Botzman/10^8*J1172*((D1172+273)^4-(E1172+273)^4)</f>
        <v>0</v>
      </c>
      <c r="H1172" s="24">
        <f t="shared" si="148"/>
        <v>715.73952991380918</v>
      </c>
      <c r="I1172" s="12">
        <f t="shared" si="147"/>
        <v>0.34314649798001967</v>
      </c>
      <c r="J1172" s="3"/>
    </row>
    <row r="1173" spans="2:10" x14ac:dyDescent="0.25">
      <c r="B1173" s="3">
        <f t="shared" ref="B1173:B1236" si="151">B1172+DeltaT</f>
        <v>5765</v>
      </c>
      <c r="C1173" s="14">
        <f t="shared" ref="C1173:C1236" si="152">B1173/60</f>
        <v>96.083333333333329</v>
      </c>
      <c r="D1173" s="11">
        <f t="shared" ref="D1173:D1236" si="153">20+345*LOG(8*C1173+1,10)</f>
        <v>1015.7744239781423</v>
      </c>
      <c r="E1173" s="24">
        <f t="shared" ref="E1173:E1236" si="154">E1172+IF(Limit=Oui,MAX(0,I1172),I1172)</f>
        <v>558.24467261016059</v>
      </c>
      <c r="F1173" s="38">
        <f t="shared" si="149"/>
        <v>0.84320507073477491</v>
      </c>
      <c r="G1173" s="14">
        <f t="shared" si="150"/>
        <v>0</v>
      </c>
      <c r="H1173" s="24">
        <f t="shared" si="148"/>
        <v>716.06927330876977</v>
      </c>
      <c r="I1173" s="12">
        <f t="shared" ref="I1173:I1236" si="155">LambdaP*MassivP/(dp/1000)/(H1173*RhoA)/(1+F1173/3)*(D1173-E1173)*DeltaT-(EXP(F1173/10)-1)*(D1173-D1172)</f>
        <v>0.34286926062734091</v>
      </c>
      <c r="J1173" s="3"/>
    </row>
    <row r="1174" spans="2:10" x14ac:dyDescent="0.25">
      <c r="B1174" s="3">
        <f t="shared" si="151"/>
        <v>5770</v>
      </c>
      <c r="C1174" s="14">
        <f t="shared" si="152"/>
        <v>96.166666666666671</v>
      </c>
      <c r="D1174" s="11">
        <f t="shared" si="153"/>
        <v>1015.9041483120091</v>
      </c>
      <c r="E1174" s="24">
        <f t="shared" si="154"/>
        <v>558.58754187078796</v>
      </c>
      <c r="F1174" s="38">
        <f t="shared" si="149"/>
        <v>0.84281671343756215</v>
      </c>
      <c r="G1174" s="14">
        <f t="shared" si="150"/>
        <v>0</v>
      </c>
      <c r="H1174" s="24">
        <f t="shared" si="148"/>
        <v>716.39922728709689</v>
      </c>
      <c r="I1174" s="12">
        <f t="shared" si="155"/>
        <v>0.34259225150396677</v>
      </c>
      <c r="J1174" s="3"/>
    </row>
    <row r="1175" spans="2:10" x14ac:dyDescent="0.25">
      <c r="B1175" s="3">
        <f t="shared" si="151"/>
        <v>5775</v>
      </c>
      <c r="C1175" s="14">
        <f t="shared" si="152"/>
        <v>96.25</v>
      </c>
      <c r="D1175" s="11">
        <f t="shared" si="153"/>
        <v>1016.0337604275801</v>
      </c>
      <c r="E1175" s="24">
        <f t="shared" si="154"/>
        <v>558.93013412229197</v>
      </c>
      <c r="F1175" s="38">
        <f t="shared" si="149"/>
        <v>0.84242846666441107</v>
      </c>
      <c r="G1175" s="14">
        <f t="shared" si="150"/>
        <v>0</v>
      </c>
      <c r="H1175" s="24">
        <f t="shared" si="148"/>
        <v>716.72939144855195</v>
      </c>
      <c r="I1175" s="12">
        <f t="shared" si="155"/>
        <v>0.34231547072707513</v>
      </c>
      <c r="J1175" s="3"/>
    </row>
    <row r="1176" spans="2:10" x14ac:dyDescent="0.25">
      <c r="B1176" s="3">
        <f t="shared" si="151"/>
        <v>5780</v>
      </c>
      <c r="C1176" s="14">
        <f t="shared" si="152"/>
        <v>96.333333333333329</v>
      </c>
      <c r="D1176" s="11">
        <f t="shared" si="153"/>
        <v>1016.1632605188366</v>
      </c>
      <c r="E1176" s="24">
        <f t="shared" si="154"/>
        <v>559.27244959301902</v>
      </c>
      <c r="F1176" s="38">
        <f t="shared" si="149"/>
        <v>0.84204033107438747</v>
      </c>
      <c r="G1176" s="14">
        <f t="shared" si="150"/>
        <v>0</v>
      </c>
      <c r="H1176" s="24">
        <f t="shared" si="148"/>
        <v>717.05976539261496</v>
      </c>
      <c r="I1176" s="12">
        <f t="shared" si="155"/>
        <v>0.3420389184124229</v>
      </c>
      <c r="J1176" s="3"/>
    </row>
    <row r="1177" spans="2:10" x14ac:dyDescent="0.25">
      <c r="B1177" s="3">
        <f t="shared" si="151"/>
        <v>5785</v>
      </c>
      <c r="C1177" s="14">
        <f t="shared" si="152"/>
        <v>96.416666666666671</v>
      </c>
      <c r="D1177" s="11">
        <f t="shared" si="153"/>
        <v>1016.2926487792579</v>
      </c>
      <c r="E1177" s="24">
        <f t="shared" si="154"/>
        <v>559.61448851143143</v>
      </c>
      <c r="F1177" s="38">
        <f t="shared" si="149"/>
        <v>0.84165230732460572</v>
      </c>
      <c r="G1177" s="14">
        <f t="shared" si="150"/>
        <v>0</v>
      </c>
      <c r="H1177" s="24">
        <f t="shared" si="148"/>
        <v>717.39034871848935</v>
      </c>
      <c r="I1177" s="12">
        <f t="shared" si="155"/>
        <v>0.34176259467416975</v>
      </c>
      <c r="J1177" s="3"/>
    </row>
    <row r="1178" spans="2:10" x14ac:dyDescent="0.25">
      <c r="B1178" s="3">
        <f t="shared" si="151"/>
        <v>5790</v>
      </c>
      <c r="C1178" s="14">
        <f t="shared" si="152"/>
        <v>96.5</v>
      </c>
      <c r="D1178" s="11">
        <f t="shared" si="153"/>
        <v>1016.4219254018221</v>
      </c>
      <c r="E1178" s="24">
        <f t="shared" si="154"/>
        <v>559.95625110610558</v>
      </c>
      <c r="F1178" s="38">
        <f t="shared" si="149"/>
        <v>0.84126439607022585</v>
      </c>
      <c r="G1178" s="14">
        <f t="shared" si="150"/>
        <v>0</v>
      </c>
      <c r="H1178" s="24">
        <f t="shared" si="148"/>
        <v>717.72114102510716</v>
      </c>
      <c r="I1178" s="12">
        <f t="shared" si="155"/>
        <v>0.34148649962503252</v>
      </c>
      <c r="J1178" s="3"/>
    </row>
    <row r="1179" spans="2:10" x14ac:dyDescent="0.25">
      <c r="B1179" s="3">
        <f t="shared" si="151"/>
        <v>5795</v>
      </c>
      <c r="C1179" s="14">
        <f t="shared" si="152"/>
        <v>96.583333333333329</v>
      </c>
      <c r="D1179" s="11">
        <f t="shared" si="153"/>
        <v>1016.5510905790079</v>
      </c>
      <c r="E1179" s="24">
        <f t="shared" si="154"/>
        <v>560.29773760573062</v>
      </c>
      <c r="F1179" s="38">
        <f t="shared" si="149"/>
        <v>0.84087659796444725</v>
      </c>
      <c r="G1179" s="14">
        <f t="shared" si="150"/>
        <v>0</v>
      </c>
      <c r="H1179" s="24">
        <f t="shared" si="148"/>
        <v>718.05214191113544</v>
      </c>
      <c r="I1179" s="12">
        <f t="shared" si="155"/>
        <v>0.34121063337628665</v>
      </c>
      <c r="J1179" s="3"/>
    </row>
    <row r="1180" spans="2:10" x14ac:dyDescent="0.25">
      <c r="B1180" s="3">
        <f t="shared" si="151"/>
        <v>5800</v>
      </c>
      <c r="C1180" s="14">
        <f t="shared" si="152"/>
        <v>96.666666666666671</v>
      </c>
      <c r="D1180" s="11">
        <f t="shared" si="153"/>
        <v>1016.6801445027976</v>
      </c>
      <c r="E1180" s="24">
        <f t="shared" si="154"/>
        <v>560.63894823910687</v>
      </c>
      <c r="F1180" s="38">
        <f t="shared" si="149"/>
        <v>0.84048891365850753</v>
      </c>
      <c r="G1180" s="14">
        <f t="shared" si="150"/>
        <v>0</v>
      </c>
      <c r="H1180" s="24">
        <f t="shared" si="148"/>
        <v>718.38335097498089</v>
      </c>
      <c r="I1180" s="12">
        <f t="shared" si="155"/>
        <v>0.34093499603755312</v>
      </c>
      <c r="J1180" s="3"/>
    </row>
    <row r="1181" spans="2:10" x14ac:dyDescent="0.25">
      <c r="B1181" s="3">
        <f t="shared" si="151"/>
        <v>5805</v>
      </c>
      <c r="C1181" s="14">
        <f t="shared" si="152"/>
        <v>96.75</v>
      </c>
      <c r="D1181" s="11">
        <f t="shared" si="153"/>
        <v>1016.809087364677</v>
      </c>
      <c r="E1181" s="24">
        <f t="shared" si="154"/>
        <v>560.97988323514437</v>
      </c>
      <c r="F1181" s="38">
        <f t="shared" si="149"/>
        <v>0.84010134380167578</v>
      </c>
      <c r="G1181" s="14">
        <f t="shared" si="150"/>
        <v>0</v>
      </c>
      <c r="H1181" s="24">
        <f t="shared" si="148"/>
        <v>718.71476781479669</v>
      </c>
      <c r="I1181" s="12">
        <f t="shared" si="155"/>
        <v>0.3406595877171576</v>
      </c>
      <c r="J1181" s="3"/>
    </row>
    <row r="1182" spans="2:10" x14ac:dyDescent="0.25">
      <c r="B1182" s="3">
        <f t="shared" si="151"/>
        <v>5810</v>
      </c>
      <c r="C1182" s="14">
        <f t="shared" si="152"/>
        <v>96.833333333333329</v>
      </c>
      <c r="D1182" s="11">
        <f t="shared" si="153"/>
        <v>1016.9379193556382</v>
      </c>
      <c r="E1182" s="24">
        <f t="shared" si="154"/>
        <v>561.32054282286151</v>
      </c>
      <c r="F1182" s="38">
        <f t="shared" si="149"/>
        <v>0.83971388904125155</v>
      </c>
      <c r="G1182" s="14">
        <f t="shared" si="150"/>
        <v>0</v>
      </c>
      <c r="H1182" s="24">
        <f t="shared" si="148"/>
        <v>719.0463920284858</v>
      </c>
      <c r="I1182" s="12">
        <f t="shared" si="155"/>
        <v>0.34038440852184787</v>
      </c>
      <c r="J1182" s="3"/>
    </row>
    <row r="1183" spans="2:10" x14ac:dyDescent="0.25">
      <c r="B1183" s="3">
        <f t="shared" si="151"/>
        <v>5815</v>
      </c>
      <c r="C1183" s="14">
        <f t="shared" si="152"/>
        <v>96.916666666666671</v>
      </c>
      <c r="D1183" s="11">
        <f t="shared" si="153"/>
        <v>1017.0666406661811</v>
      </c>
      <c r="E1183" s="24">
        <f t="shared" si="154"/>
        <v>561.66092723138331</v>
      </c>
      <c r="F1183" s="38">
        <f t="shared" si="149"/>
        <v>0.83932655002255818</v>
      </c>
      <c r="G1183" s="14">
        <f t="shared" si="150"/>
        <v>0</v>
      </c>
      <c r="H1183" s="24">
        <f t="shared" si="148"/>
        <v>719.37822321370902</v>
      </c>
      <c r="I1183" s="12">
        <f t="shared" si="155"/>
        <v>0.34010945855690539</v>
      </c>
      <c r="J1183" s="3"/>
    </row>
    <row r="1184" spans="2:10" x14ac:dyDescent="0.25">
      <c r="B1184" s="3">
        <f t="shared" si="151"/>
        <v>5820</v>
      </c>
      <c r="C1184" s="14">
        <f t="shared" si="152"/>
        <v>97</v>
      </c>
      <c r="D1184" s="11">
        <f t="shared" si="153"/>
        <v>1017.1952514863153</v>
      </c>
      <c r="E1184" s="24">
        <f t="shared" si="154"/>
        <v>562.00103668994018</v>
      </c>
      <c r="F1184" s="38">
        <f t="shared" si="149"/>
        <v>0.8389393273889415</v>
      </c>
      <c r="G1184" s="14">
        <f t="shared" si="150"/>
        <v>0</v>
      </c>
      <c r="H1184" s="24">
        <f t="shared" si="148"/>
        <v>719.71026096788864</v>
      </c>
      <c r="I1184" s="12">
        <f t="shared" si="155"/>
        <v>0.33983473792612884</v>
      </c>
      <c r="J1184" s="3"/>
    </row>
    <row r="1185" spans="2:10" x14ac:dyDescent="0.25">
      <c r="B1185" s="3">
        <f t="shared" si="151"/>
        <v>5825</v>
      </c>
      <c r="C1185" s="14">
        <f t="shared" si="152"/>
        <v>97.083333333333329</v>
      </c>
      <c r="D1185" s="11">
        <f t="shared" si="153"/>
        <v>1017.3237520055609</v>
      </c>
      <c r="E1185" s="24">
        <f t="shared" si="154"/>
        <v>562.34087142786632</v>
      </c>
      <c r="F1185" s="38">
        <f t="shared" si="149"/>
        <v>0.83855222178176614</v>
      </c>
      <c r="G1185" s="14">
        <f t="shared" si="150"/>
        <v>0</v>
      </c>
      <c r="H1185" s="24">
        <f t="shared" si="148"/>
        <v>720.04250488821401</v>
      </c>
      <c r="I1185" s="12">
        <f t="shared" si="155"/>
        <v>0.33956024673192825</v>
      </c>
      <c r="J1185" s="3"/>
    </row>
    <row r="1186" spans="2:10" x14ac:dyDescent="0.25">
      <c r="B1186" s="3">
        <f t="shared" si="151"/>
        <v>5830</v>
      </c>
      <c r="C1186" s="14">
        <f t="shared" si="152"/>
        <v>97.166666666666671</v>
      </c>
      <c r="D1186" s="11">
        <f t="shared" si="153"/>
        <v>1017.4521424129516</v>
      </c>
      <c r="E1186" s="24">
        <f t="shared" si="154"/>
        <v>562.68043167459825</v>
      </c>
      <c r="F1186" s="38">
        <f t="shared" si="149"/>
        <v>0.83816523384041064</v>
      </c>
      <c r="G1186" s="14">
        <f t="shared" si="150"/>
        <v>0</v>
      </c>
      <c r="H1186" s="24">
        <f t="shared" si="148"/>
        <v>720.37495457164755</v>
      </c>
      <c r="I1186" s="12">
        <f t="shared" si="155"/>
        <v>0.33928598507510921</v>
      </c>
      <c r="J1186" s="3"/>
    </row>
    <row r="1187" spans="2:10" x14ac:dyDescent="0.25">
      <c r="B1187" s="3">
        <f t="shared" si="151"/>
        <v>5835</v>
      </c>
      <c r="C1187" s="14">
        <f t="shared" si="152"/>
        <v>97.25</v>
      </c>
      <c r="D1187" s="11">
        <f t="shared" si="153"/>
        <v>1017.5804228970347</v>
      </c>
      <c r="E1187" s="24">
        <f t="shared" si="154"/>
        <v>563.01971765967335</v>
      </c>
      <c r="F1187" s="38">
        <f t="shared" si="149"/>
        <v>0.83777836420226492</v>
      </c>
      <c r="G1187" s="14">
        <f t="shared" si="150"/>
        <v>0</v>
      </c>
      <c r="H1187" s="24">
        <f t="shared" si="148"/>
        <v>720.70760961492942</v>
      </c>
      <c r="I1187" s="12">
        <f t="shared" si="155"/>
        <v>0.33901195305519394</v>
      </c>
      <c r="J1187" s="3"/>
    </row>
    <row r="1188" spans="2:10" x14ac:dyDescent="0.25">
      <c r="B1188" s="3">
        <f t="shared" si="151"/>
        <v>5840</v>
      </c>
      <c r="C1188" s="14">
        <f t="shared" si="152"/>
        <v>97.333333333333329</v>
      </c>
      <c r="D1188" s="11">
        <f t="shared" si="153"/>
        <v>1017.7085936458741</v>
      </c>
      <c r="E1188" s="24">
        <f t="shared" si="154"/>
        <v>563.35872961272855</v>
      </c>
      <c r="F1188" s="38">
        <f t="shared" si="149"/>
        <v>0.83739161350272662</v>
      </c>
      <c r="G1188" s="14">
        <f t="shared" si="150"/>
        <v>0</v>
      </c>
      <c r="H1188" s="24">
        <f t="shared" si="148"/>
        <v>721.04046961458391</v>
      </c>
      <c r="I1188" s="12">
        <f t="shared" si="155"/>
        <v>0.33873815077011771</v>
      </c>
      <c r="J1188" s="3"/>
    </row>
    <row r="1189" spans="2:10" x14ac:dyDescent="0.25">
      <c r="B1189" s="3">
        <f t="shared" si="151"/>
        <v>5845</v>
      </c>
      <c r="C1189" s="14">
        <f t="shared" si="152"/>
        <v>97.416666666666671</v>
      </c>
      <c r="D1189" s="11">
        <f t="shared" si="153"/>
        <v>1017.8366548470518</v>
      </c>
      <c r="E1189" s="24">
        <f t="shared" si="154"/>
        <v>563.69746776349871</v>
      </c>
      <c r="F1189" s="38">
        <f t="shared" si="149"/>
        <v>0.83700498237519849</v>
      </c>
      <c r="G1189" s="14">
        <f t="shared" si="150"/>
        <v>0</v>
      </c>
      <c r="H1189" s="24">
        <f t="shared" si="148"/>
        <v>721.37353416692326</v>
      </c>
      <c r="I1189" s="12">
        <f t="shared" si="155"/>
        <v>0.33846457831636156</v>
      </c>
      <c r="J1189" s="3"/>
    </row>
    <row r="1190" spans="2:10" x14ac:dyDescent="0.25">
      <c r="B1190" s="3">
        <f t="shared" si="151"/>
        <v>5850</v>
      </c>
      <c r="C1190" s="14">
        <f t="shared" si="152"/>
        <v>97.5</v>
      </c>
      <c r="D1190" s="11">
        <f t="shared" si="153"/>
        <v>1017.9646066876685</v>
      </c>
      <c r="E1190" s="24">
        <f t="shared" si="154"/>
        <v>564.03593234181506</v>
      </c>
      <c r="F1190" s="38">
        <f t="shared" si="149"/>
        <v>0.83661847145108426</v>
      </c>
      <c r="G1190" s="14">
        <f t="shared" si="150"/>
        <v>0</v>
      </c>
      <c r="H1190" s="24">
        <f t="shared" si="148"/>
        <v>721.70680286805361</v>
      </c>
      <c r="I1190" s="12">
        <f t="shared" si="155"/>
        <v>0.33819123578909438</v>
      </c>
      <c r="J1190" s="3"/>
    </row>
    <row r="1191" spans="2:10" x14ac:dyDescent="0.25">
      <c r="B1191" s="3">
        <f t="shared" si="151"/>
        <v>5855</v>
      </c>
      <c r="C1191" s="14">
        <f t="shared" si="152"/>
        <v>97.583333333333329</v>
      </c>
      <c r="D1191" s="11">
        <f t="shared" si="153"/>
        <v>1018.0924493543465</v>
      </c>
      <c r="E1191" s="24">
        <f t="shared" si="154"/>
        <v>564.37412357760411</v>
      </c>
      <c r="F1191" s="38">
        <f t="shared" si="149"/>
        <v>0.83623208135978677</v>
      </c>
      <c r="G1191" s="14">
        <f t="shared" si="150"/>
        <v>0</v>
      </c>
      <c r="H1191" s="24">
        <f t="shared" si="148"/>
        <v>722.0402753138809</v>
      </c>
      <c r="I1191" s="12">
        <f t="shared" si="155"/>
        <v>0.33791812328188903</v>
      </c>
      <c r="J1191" s="3"/>
    </row>
    <row r="1192" spans="2:10" x14ac:dyDescent="0.25">
      <c r="B1192" s="3">
        <f t="shared" si="151"/>
        <v>5860</v>
      </c>
      <c r="C1192" s="14">
        <f t="shared" si="152"/>
        <v>97.666666666666671</v>
      </c>
      <c r="D1192" s="11">
        <f t="shared" si="153"/>
        <v>1018.2201830332308</v>
      </c>
      <c r="E1192" s="24">
        <f t="shared" si="154"/>
        <v>564.71204170088595</v>
      </c>
      <c r="F1192" s="38">
        <f t="shared" si="149"/>
        <v>0.83584581272870351</v>
      </c>
      <c r="G1192" s="14">
        <f t="shared" si="150"/>
        <v>0</v>
      </c>
      <c r="H1192" s="24">
        <f t="shared" si="148"/>
        <v>722.37395110011471</v>
      </c>
      <c r="I1192" s="12">
        <f t="shared" si="155"/>
        <v>0.33764524088696374</v>
      </c>
      <c r="J1192" s="3"/>
    </row>
    <row r="1193" spans="2:10" x14ac:dyDescent="0.25">
      <c r="B1193" s="3">
        <f t="shared" si="151"/>
        <v>5865</v>
      </c>
      <c r="C1193" s="14">
        <f t="shared" si="152"/>
        <v>97.75</v>
      </c>
      <c r="D1193" s="11">
        <f t="shared" si="153"/>
        <v>1018.3478079099904</v>
      </c>
      <c r="E1193" s="24">
        <f t="shared" si="154"/>
        <v>565.04968694177296</v>
      </c>
      <c r="F1193" s="38">
        <f t="shared" si="149"/>
        <v>0.83545966618322398</v>
      </c>
      <c r="G1193" s="14">
        <f t="shared" si="150"/>
        <v>0</v>
      </c>
      <c r="H1193" s="24">
        <f t="shared" si="148"/>
        <v>722.70782982227502</v>
      </c>
      <c r="I1193" s="12">
        <f t="shared" si="155"/>
        <v>0.33737258869510656</v>
      </c>
      <c r="J1193" s="3"/>
    </row>
    <row r="1194" spans="2:10" x14ac:dyDescent="0.25">
      <c r="B1194" s="3">
        <f t="shared" si="151"/>
        <v>5870</v>
      </c>
      <c r="C1194" s="14">
        <f t="shared" si="152"/>
        <v>97.833333333333329</v>
      </c>
      <c r="D1194" s="11">
        <f t="shared" si="153"/>
        <v>1018.4753241698205</v>
      </c>
      <c r="E1194" s="24">
        <f t="shared" si="154"/>
        <v>565.38705953046804</v>
      </c>
      <c r="F1194" s="38">
        <f t="shared" si="149"/>
        <v>0.83507364234672798</v>
      </c>
      <c r="G1194" s="14">
        <f t="shared" si="150"/>
        <v>0</v>
      </c>
      <c r="H1194" s="24">
        <f t="shared" si="148"/>
        <v>723.04191107569557</v>
      </c>
      <c r="I1194" s="12">
        <f t="shared" si="155"/>
        <v>0.3371001667956301</v>
      </c>
      <c r="J1194" s="3"/>
    </row>
    <row r="1195" spans="2:10" x14ac:dyDescent="0.25">
      <c r="B1195" s="3">
        <f t="shared" si="151"/>
        <v>5875</v>
      </c>
      <c r="C1195" s="14">
        <f t="shared" si="152"/>
        <v>97.916666666666671</v>
      </c>
      <c r="D1195" s="11">
        <f t="shared" si="153"/>
        <v>1018.6027319974438</v>
      </c>
      <c r="E1195" s="24">
        <f t="shared" si="154"/>
        <v>565.72415969726364</v>
      </c>
      <c r="F1195" s="38">
        <f t="shared" si="149"/>
        <v>0.83468774184058114</v>
      </c>
      <c r="G1195" s="14">
        <f t="shared" si="150"/>
        <v>0</v>
      </c>
      <c r="H1195" s="24">
        <f t="shared" si="148"/>
        <v>723.37619445553082</v>
      </c>
      <c r="I1195" s="12">
        <f t="shared" si="155"/>
        <v>0.3368279752764729</v>
      </c>
      <c r="J1195" s="3"/>
    </row>
    <row r="1196" spans="2:10" x14ac:dyDescent="0.25">
      <c r="B1196" s="3">
        <f t="shared" si="151"/>
        <v>5880</v>
      </c>
      <c r="C1196" s="14">
        <f t="shared" si="152"/>
        <v>98</v>
      </c>
      <c r="D1196" s="11">
        <f t="shared" si="153"/>
        <v>1018.7300315771121</v>
      </c>
      <c r="E1196" s="24">
        <f t="shared" si="154"/>
        <v>566.06098767254014</v>
      </c>
      <c r="F1196" s="38">
        <f t="shared" si="149"/>
        <v>0.8343019652841337</v>
      </c>
      <c r="G1196" s="14">
        <f t="shared" si="150"/>
        <v>0</v>
      </c>
      <c r="H1196" s="24">
        <f t="shared" si="148"/>
        <v>723.71067955675926</v>
      </c>
      <c r="I1196" s="12">
        <f t="shared" si="155"/>
        <v>0.3365560142241249</v>
      </c>
      <c r="J1196" s="3"/>
    </row>
    <row r="1197" spans="2:10" x14ac:dyDescent="0.25">
      <c r="B1197" s="3">
        <f t="shared" si="151"/>
        <v>5885</v>
      </c>
      <c r="C1197" s="14">
        <f t="shared" si="152"/>
        <v>98.083333333333329</v>
      </c>
      <c r="D1197" s="11">
        <f t="shared" si="153"/>
        <v>1018.8572230926081</v>
      </c>
      <c r="E1197" s="24">
        <f t="shared" si="154"/>
        <v>566.39754368676427</v>
      </c>
      <c r="F1197" s="38">
        <f t="shared" si="149"/>
        <v>0.83391631329471572</v>
      </c>
      <c r="G1197" s="14">
        <f t="shared" si="150"/>
        <v>0</v>
      </c>
      <c r="H1197" s="24">
        <f t="shared" si="148"/>
        <v>724.04536597419042</v>
      </c>
      <c r="I1197" s="12">
        <f t="shared" si="155"/>
        <v>0.33628428372364055</v>
      </c>
      <c r="J1197" s="3"/>
    </row>
    <row r="1198" spans="2:10" x14ac:dyDescent="0.25">
      <c r="B1198" s="3">
        <f t="shared" si="151"/>
        <v>5890</v>
      </c>
      <c r="C1198" s="14">
        <f t="shared" si="152"/>
        <v>98.166666666666671</v>
      </c>
      <c r="D1198" s="11">
        <f t="shared" si="153"/>
        <v>1018.9843067272467</v>
      </c>
      <c r="E1198" s="24">
        <f t="shared" si="154"/>
        <v>566.73382797048794</v>
      </c>
      <c r="F1198" s="38">
        <f t="shared" si="149"/>
        <v>0.83353078648763723</v>
      </c>
      <c r="G1198" s="14">
        <f t="shared" si="150"/>
        <v>0</v>
      </c>
      <c r="H1198" s="24">
        <f t="shared" si="148"/>
        <v>724.38025330246808</v>
      </c>
      <c r="I1198" s="12">
        <f t="shared" si="155"/>
        <v>0.33601278385873151</v>
      </c>
      <c r="J1198" s="3"/>
    </row>
    <row r="1199" spans="2:10" x14ac:dyDescent="0.25">
      <c r="B1199" s="3">
        <f t="shared" si="151"/>
        <v>5895</v>
      </c>
      <c r="C1199" s="14">
        <f t="shared" si="152"/>
        <v>98.25</v>
      </c>
      <c r="D1199" s="11">
        <f t="shared" si="153"/>
        <v>1019.1112826638772</v>
      </c>
      <c r="E1199" s="24">
        <f t="shared" si="154"/>
        <v>567.06984075434661</v>
      </c>
      <c r="F1199" s="38">
        <f t="shared" si="149"/>
        <v>0.83314538547618289</v>
      </c>
      <c r="G1199" s="14">
        <f t="shared" si="150"/>
        <v>0</v>
      </c>
      <c r="H1199" s="24">
        <f t="shared" si="148"/>
        <v>724.71534113607686</v>
      </c>
      <c r="I1199" s="12">
        <f t="shared" si="155"/>
        <v>0.33574151471158337</v>
      </c>
      <c r="J1199" s="3"/>
    </row>
    <row r="1200" spans="2:10" x14ac:dyDescent="0.25">
      <c r="B1200" s="3">
        <f t="shared" si="151"/>
        <v>5900</v>
      </c>
      <c r="C1200" s="14">
        <f t="shared" si="152"/>
        <v>98.333333333333329</v>
      </c>
      <c r="D1200" s="11">
        <f t="shared" si="153"/>
        <v>1019.2381510848837</v>
      </c>
      <c r="E1200" s="24">
        <f t="shared" si="154"/>
        <v>567.40558226905819</v>
      </c>
      <c r="F1200" s="38">
        <f t="shared" si="149"/>
        <v>0.83276011087161173</v>
      </c>
      <c r="G1200" s="14">
        <f t="shared" si="150"/>
        <v>0</v>
      </c>
      <c r="H1200" s="24">
        <f t="shared" si="148"/>
        <v>725.05062906934563</v>
      </c>
      <c r="I1200" s="12">
        <f t="shared" si="155"/>
        <v>0.33547047636313387</v>
      </c>
      <c r="J1200" s="3"/>
    </row>
    <row r="1201" spans="2:10" x14ac:dyDescent="0.25">
      <c r="B1201" s="3">
        <f t="shared" si="151"/>
        <v>5905</v>
      </c>
      <c r="C1201" s="14">
        <f t="shared" si="152"/>
        <v>98.416666666666671</v>
      </c>
      <c r="D1201" s="11">
        <f t="shared" si="153"/>
        <v>1019.3649121721878</v>
      </c>
      <c r="E1201" s="24">
        <f t="shared" si="154"/>
        <v>567.74105274542137</v>
      </c>
      <c r="F1201" s="38">
        <f t="shared" si="149"/>
        <v>0.8323749632831533</v>
      </c>
      <c r="G1201" s="14">
        <f t="shared" si="150"/>
        <v>0</v>
      </c>
      <c r="H1201" s="24">
        <f t="shared" si="148"/>
        <v>725.38611669645411</v>
      </c>
      <c r="I1201" s="12">
        <f t="shared" si="155"/>
        <v>0.33519966889280201</v>
      </c>
      <c r="J1201" s="3"/>
    </row>
    <row r="1202" spans="2:10" x14ac:dyDescent="0.25">
      <c r="B1202" s="3">
        <f t="shared" si="151"/>
        <v>5910</v>
      </c>
      <c r="C1202" s="14">
        <f t="shared" si="152"/>
        <v>98.5</v>
      </c>
      <c r="D1202" s="11">
        <f t="shared" si="153"/>
        <v>1019.4915661072498</v>
      </c>
      <c r="E1202" s="24">
        <f t="shared" si="154"/>
        <v>568.07625241431413</v>
      </c>
      <c r="F1202" s="38">
        <f t="shared" si="149"/>
        <v>0.83198994331800591</v>
      </c>
      <c r="G1202" s="14">
        <f t="shared" si="150"/>
        <v>0</v>
      </c>
      <c r="H1202" s="24">
        <f t="shared" si="148"/>
        <v>725.72180361143648</v>
      </c>
      <c r="I1202" s="12">
        <f t="shared" si="155"/>
        <v>0.33492909237863938</v>
      </c>
      <c r="J1202" s="3"/>
    </row>
    <row r="1203" spans="2:10" x14ac:dyDescent="0.25">
      <c r="B1203" s="3">
        <f t="shared" si="151"/>
        <v>5915</v>
      </c>
      <c r="C1203" s="14">
        <f t="shared" si="152"/>
        <v>98.583333333333329</v>
      </c>
      <c r="D1203" s="11">
        <f t="shared" si="153"/>
        <v>1019.6181130710703</v>
      </c>
      <c r="E1203" s="24">
        <f t="shared" si="154"/>
        <v>568.41118150669274</v>
      </c>
      <c r="F1203" s="38">
        <f t="shared" si="149"/>
        <v>0.83160505158133435</v>
      </c>
      <c r="G1203" s="14">
        <f t="shared" si="150"/>
        <v>0</v>
      </c>
      <c r="H1203" s="24">
        <f t="shared" si="148"/>
        <v>726.05768940818734</v>
      </c>
      <c r="I1203" s="12">
        <f t="shared" si="155"/>
        <v>0.33465874689731356</v>
      </c>
      <c r="J1203" s="3"/>
    </row>
    <row r="1204" spans="2:10" x14ac:dyDescent="0.25">
      <c r="B1204" s="3">
        <f t="shared" si="151"/>
        <v>5920</v>
      </c>
      <c r="C1204" s="14">
        <f t="shared" si="152"/>
        <v>98.666666666666671</v>
      </c>
      <c r="D1204" s="11">
        <f t="shared" si="153"/>
        <v>1019.7445532441913</v>
      </c>
      <c r="E1204" s="24">
        <f t="shared" si="154"/>
        <v>568.74584025359002</v>
      </c>
      <c r="F1204" s="38">
        <f t="shared" si="149"/>
        <v>0.83122028867626796</v>
      </c>
      <c r="G1204" s="14">
        <f t="shared" si="150"/>
        <v>0</v>
      </c>
      <c r="H1204" s="24">
        <f t="shared" si="148"/>
        <v>726.39377368046553</v>
      </c>
      <c r="I1204" s="12">
        <f t="shared" si="155"/>
        <v>0.33438863252414175</v>
      </c>
      <c r="J1204" s="3"/>
    </row>
    <row r="1205" spans="2:10" x14ac:dyDescent="0.25">
      <c r="B1205" s="3">
        <f t="shared" si="151"/>
        <v>5925</v>
      </c>
      <c r="C1205" s="14">
        <f t="shared" si="152"/>
        <v>98.75</v>
      </c>
      <c r="D1205" s="11">
        <f t="shared" si="153"/>
        <v>1019.8708868066984</v>
      </c>
      <c r="E1205" s="24">
        <f t="shared" si="154"/>
        <v>569.08022888611413</v>
      </c>
      <c r="F1205" s="38">
        <f t="shared" si="149"/>
        <v>0.83083565520389657</v>
      </c>
      <c r="G1205" s="14">
        <f t="shared" si="150"/>
        <v>0</v>
      </c>
      <c r="H1205" s="24">
        <f t="shared" si="148"/>
        <v>726.73005602190051</v>
      </c>
      <c r="I1205" s="12">
        <f t="shared" si="155"/>
        <v>0.33411874933298596</v>
      </c>
      <c r="J1205" s="3"/>
    </row>
    <row r="1206" spans="2:10" x14ac:dyDescent="0.25">
      <c r="B1206" s="3">
        <f t="shared" si="151"/>
        <v>5930</v>
      </c>
      <c r="C1206" s="14">
        <f t="shared" si="152"/>
        <v>98.833333333333329</v>
      </c>
      <c r="D1206" s="11">
        <f t="shared" si="153"/>
        <v>1019.9971139382218</v>
      </c>
      <c r="E1206" s="24">
        <f t="shared" si="154"/>
        <v>569.41434763544714</v>
      </c>
      <c r="F1206" s="38">
        <f t="shared" si="149"/>
        <v>0.83045115176327167</v>
      </c>
      <c r="G1206" s="14">
        <f t="shared" si="150"/>
        <v>0</v>
      </c>
      <c r="H1206" s="24">
        <f t="shared" si="148"/>
        <v>727.06653602599545</v>
      </c>
      <c r="I1206" s="12">
        <f t="shared" si="155"/>
        <v>0.33384909739642393</v>
      </c>
      <c r="J1206" s="3"/>
    </row>
    <row r="1207" spans="2:10" x14ac:dyDescent="0.25">
      <c r="B1207" s="3">
        <f t="shared" si="151"/>
        <v>5935</v>
      </c>
      <c r="C1207" s="14">
        <f t="shared" si="152"/>
        <v>98.916666666666671</v>
      </c>
      <c r="D1207" s="11">
        <f t="shared" si="153"/>
        <v>1020.1232348179385</v>
      </c>
      <c r="E1207" s="24">
        <f t="shared" si="154"/>
        <v>569.74819673284355</v>
      </c>
      <c r="F1207" s="38">
        <f t="shared" si="149"/>
        <v>0.83006677895140124</v>
      </c>
      <c r="G1207" s="14">
        <f t="shared" si="150"/>
        <v>0</v>
      </c>
      <c r="H1207" s="24">
        <f t="shared" ref="H1207:H1270" si="156">IF(E1207&lt;600,425+0.773*E1207-1.69/1000*E1207^2+2.22/1000^2*E1207^3,IF(E1207&lt;735,666+13002/(738-E1207),IF(E1207&lt;900,545+17820/(E1207-731),650)))</f>
        <v>727.40321328613368</v>
      </c>
      <c r="I1207" s="12">
        <f t="shared" si="155"/>
        <v>0.33357967678553713</v>
      </c>
      <c r="J1207" s="3"/>
    </row>
    <row r="1208" spans="2:10" x14ac:dyDescent="0.25">
      <c r="B1208" s="3">
        <f t="shared" si="151"/>
        <v>5940</v>
      </c>
      <c r="C1208" s="14">
        <f t="shared" si="152"/>
        <v>99</v>
      </c>
      <c r="D1208" s="11">
        <f t="shared" si="153"/>
        <v>1020.2492496245731</v>
      </c>
      <c r="E1208" s="24">
        <f t="shared" si="154"/>
        <v>570.08177640962913</v>
      </c>
      <c r="F1208" s="38">
        <f t="shared" si="149"/>
        <v>0.82968253736325082</v>
      </c>
      <c r="G1208" s="14">
        <f t="shared" si="150"/>
        <v>0</v>
      </c>
      <c r="H1208" s="24">
        <f t="shared" si="156"/>
        <v>727.74008739558167</v>
      </c>
      <c r="I1208" s="12">
        <f t="shared" si="155"/>
        <v>0.33331048757015969</v>
      </c>
      <c r="J1208" s="3"/>
    </row>
    <row r="1209" spans="2:10" x14ac:dyDescent="0.25">
      <c r="B1209" s="3">
        <f t="shared" si="151"/>
        <v>5945</v>
      </c>
      <c r="C1209" s="14">
        <f t="shared" si="152"/>
        <v>99.083333333333329</v>
      </c>
      <c r="D1209" s="11">
        <f t="shared" si="153"/>
        <v>1020.3751585363999</v>
      </c>
      <c r="E1209" s="24">
        <f t="shared" si="154"/>
        <v>570.41508689719933</v>
      </c>
      <c r="F1209" s="38">
        <f t="shared" si="149"/>
        <v>0.82929842759173855</v>
      </c>
      <c r="G1209" s="14">
        <f t="shared" si="150"/>
        <v>0</v>
      </c>
      <c r="H1209" s="24">
        <f t="shared" si="156"/>
        <v>728.07715794749583</v>
      </c>
      <c r="I1209" s="12">
        <f t="shared" si="155"/>
        <v>0.33304152981865587</v>
      </c>
      <c r="J1209" s="3"/>
    </row>
    <row r="1210" spans="2:10" x14ac:dyDescent="0.25">
      <c r="B1210" s="3">
        <f t="shared" si="151"/>
        <v>5950</v>
      </c>
      <c r="C1210" s="14">
        <f t="shared" si="152"/>
        <v>99.166666666666671</v>
      </c>
      <c r="D1210" s="11">
        <f t="shared" si="153"/>
        <v>1020.5009617312437</v>
      </c>
      <c r="E1210" s="24">
        <f t="shared" si="154"/>
        <v>570.74812842701795</v>
      </c>
      <c r="F1210" s="38">
        <f t="shared" si="149"/>
        <v>0.82891445022773513</v>
      </c>
      <c r="G1210" s="14">
        <f t="shared" si="150"/>
        <v>0</v>
      </c>
      <c r="H1210" s="24">
        <f t="shared" si="156"/>
        <v>728.41442453492584</v>
      </c>
      <c r="I1210" s="12">
        <f t="shared" si="155"/>
        <v>0.33277280359815042</v>
      </c>
      <c r="J1210" s="3"/>
    </row>
    <row r="1211" spans="2:10" x14ac:dyDescent="0.25">
      <c r="B1211" s="3">
        <f t="shared" si="151"/>
        <v>5955</v>
      </c>
      <c r="C1211" s="14">
        <f t="shared" si="152"/>
        <v>99.25</v>
      </c>
      <c r="D1211" s="11">
        <f t="shared" si="153"/>
        <v>1020.6266593864822</v>
      </c>
      <c r="E1211" s="24">
        <f t="shared" si="154"/>
        <v>571.08090123061606</v>
      </c>
      <c r="F1211" s="38">
        <f t="shared" si="149"/>
        <v>0.82853060586006222</v>
      </c>
      <c r="G1211" s="14">
        <f t="shared" si="150"/>
        <v>0</v>
      </c>
      <c r="H1211" s="24">
        <f t="shared" si="156"/>
        <v>728.75188675081972</v>
      </c>
      <c r="I1211" s="12">
        <f t="shared" si="155"/>
        <v>0.33250430897428612</v>
      </c>
      <c r="J1211" s="3"/>
    </row>
    <row r="1212" spans="2:10" x14ac:dyDescent="0.25">
      <c r="B1212" s="3">
        <f t="shared" si="151"/>
        <v>5960</v>
      </c>
      <c r="C1212" s="14">
        <f t="shared" si="152"/>
        <v>99.333333333333329</v>
      </c>
      <c r="D1212" s="11">
        <f t="shared" si="153"/>
        <v>1020.7522516790467</v>
      </c>
      <c r="E1212" s="24">
        <f t="shared" si="154"/>
        <v>571.41340553959037</v>
      </c>
      <c r="F1212" s="38">
        <f t="shared" si="149"/>
        <v>0.82814689507548944</v>
      </c>
      <c r="G1212" s="14">
        <f t="shared" si="150"/>
        <v>0</v>
      </c>
      <c r="H1212" s="24">
        <f t="shared" si="156"/>
        <v>729.08954418802909</v>
      </c>
      <c r="I1212" s="12">
        <f t="shared" si="155"/>
        <v>0.33223604601143392</v>
      </c>
      <c r="J1212" s="3"/>
    </row>
    <row r="1213" spans="2:10" x14ac:dyDescent="0.25">
      <c r="B1213" s="3">
        <f t="shared" si="151"/>
        <v>5965</v>
      </c>
      <c r="C1213" s="14">
        <f t="shared" si="152"/>
        <v>99.416666666666671</v>
      </c>
      <c r="D1213" s="11">
        <f t="shared" si="153"/>
        <v>1020.8777387854243</v>
      </c>
      <c r="E1213" s="24">
        <f t="shared" si="154"/>
        <v>571.74564158560179</v>
      </c>
      <c r="F1213" s="38">
        <f t="shared" si="149"/>
        <v>0.82776331845873385</v>
      </c>
      <c r="G1213" s="14">
        <f t="shared" si="150"/>
        <v>0</v>
      </c>
      <c r="H1213" s="24">
        <f t="shared" si="156"/>
        <v>729.42739643931282</v>
      </c>
      <c r="I1213" s="12">
        <f t="shared" si="155"/>
        <v>0.3319680147725792</v>
      </c>
      <c r="J1213" s="3"/>
    </row>
    <row r="1214" spans="2:10" x14ac:dyDescent="0.25">
      <c r="B1214" s="3">
        <f t="shared" si="151"/>
        <v>5970</v>
      </c>
      <c r="C1214" s="14">
        <f t="shared" si="152"/>
        <v>99.5</v>
      </c>
      <c r="D1214" s="11">
        <f t="shared" si="153"/>
        <v>1021.0031208816587</v>
      </c>
      <c r="E1214" s="24">
        <f t="shared" si="154"/>
        <v>572.07760960037433</v>
      </c>
      <c r="F1214" s="38">
        <f t="shared" si="149"/>
        <v>0.8273798765924586</v>
      </c>
      <c r="G1214" s="14">
        <f t="shared" si="150"/>
        <v>0</v>
      </c>
      <c r="H1214" s="24">
        <f t="shared" si="156"/>
        <v>729.76544309734254</v>
      </c>
      <c r="I1214" s="12">
        <f t="shared" si="155"/>
        <v>0.33170021531939353</v>
      </c>
      <c r="J1214" s="3"/>
    </row>
    <row r="1215" spans="2:10" x14ac:dyDescent="0.25">
      <c r="B1215" s="3">
        <f t="shared" si="151"/>
        <v>5975</v>
      </c>
      <c r="C1215" s="14">
        <f t="shared" si="152"/>
        <v>99.583333333333329</v>
      </c>
      <c r="D1215" s="11">
        <f t="shared" si="153"/>
        <v>1021.1283981433522</v>
      </c>
      <c r="E1215" s="24">
        <f t="shared" si="154"/>
        <v>572.40930981569375</v>
      </c>
      <c r="F1215" s="38">
        <f t="shared" si="149"/>
        <v>0.8269965700572699</v>
      </c>
      <c r="G1215" s="14">
        <f t="shared" si="150"/>
        <v>0</v>
      </c>
      <c r="H1215" s="24">
        <f t="shared" si="156"/>
        <v>730.10368375470671</v>
      </c>
      <c r="I1215" s="12">
        <f t="shared" si="155"/>
        <v>0.33143264771217068</v>
      </c>
      <c r="J1215" s="3"/>
    </row>
    <row r="1216" spans="2:10" x14ac:dyDescent="0.25">
      <c r="B1216" s="3">
        <f t="shared" si="151"/>
        <v>5980</v>
      </c>
      <c r="C1216" s="14">
        <f t="shared" si="152"/>
        <v>99.666666666666671</v>
      </c>
      <c r="D1216" s="11">
        <f t="shared" si="153"/>
        <v>1021.2535707456672</v>
      </c>
      <c r="E1216" s="24">
        <f t="shared" si="154"/>
        <v>572.74074246340592</v>
      </c>
      <c r="F1216" s="38">
        <f t="shared" si="149"/>
        <v>0.82661339943171708</v>
      </c>
      <c r="G1216" s="14">
        <f t="shared" si="150"/>
        <v>0</v>
      </c>
      <c r="H1216" s="24">
        <f t="shared" si="156"/>
        <v>730.44211800391554</v>
      </c>
      <c r="I1216" s="12">
        <f t="shared" si="155"/>
        <v>0.33116531200989846</v>
      </c>
      <c r="J1216" s="3"/>
    </row>
    <row r="1217" spans="2:10" x14ac:dyDescent="0.25">
      <c r="B1217" s="3">
        <f t="shared" si="151"/>
        <v>5985</v>
      </c>
      <c r="C1217" s="14">
        <f t="shared" si="152"/>
        <v>99.75</v>
      </c>
      <c r="D1217" s="11">
        <f t="shared" si="153"/>
        <v>1021.378638863327</v>
      </c>
      <c r="E1217" s="24">
        <f t="shared" si="154"/>
        <v>573.07190777541587</v>
      </c>
      <c r="F1217" s="38">
        <f t="shared" si="149"/>
        <v>0.82623036529229099</v>
      </c>
      <c r="G1217" s="14">
        <f t="shared" si="150"/>
        <v>0</v>
      </c>
      <c r="H1217" s="24">
        <f t="shared" si="156"/>
        <v>730.78074543740536</v>
      </c>
      <c r="I1217" s="12">
        <f t="shared" si="155"/>
        <v>0.33089820827023275</v>
      </c>
      <c r="J1217" s="3"/>
    </row>
    <row r="1218" spans="2:10" x14ac:dyDescent="0.25">
      <c r="B1218" s="3">
        <f t="shared" si="151"/>
        <v>5990</v>
      </c>
      <c r="C1218" s="14">
        <f t="shared" si="152"/>
        <v>99.833333333333329</v>
      </c>
      <c r="D1218" s="11">
        <f t="shared" si="153"/>
        <v>1021.5036026706179</v>
      </c>
      <c r="E1218" s="24">
        <f t="shared" si="154"/>
        <v>573.40280598368611</v>
      </c>
      <c r="F1218" s="38">
        <f t="shared" si="149"/>
        <v>0.82584746821342114</v>
      </c>
      <c r="G1218" s="14">
        <f t="shared" si="150"/>
        <v>0</v>
      </c>
      <c r="H1218" s="24">
        <f t="shared" si="156"/>
        <v>731.11956564754371</v>
      </c>
      <c r="I1218" s="12">
        <f t="shared" si="155"/>
        <v>0.33063133654950178</v>
      </c>
      <c r="J1218" s="3"/>
    </row>
    <row r="1219" spans="2:10" x14ac:dyDescent="0.25">
      <c r="B1219" s="3">
        <f t="shared" si="151"/>
        <v>5995</v>
      </c>
      <c r="C1219" s="14">
        <f t="shared" si="152"/>
        <v>99.916666666666671</v>
      </c>
      <c r="D1219" s="11">
        <f t="shared" si="153"/>
        <v>1021.6284623413908</v>
      </c>
      <c r="E1219" s="24">
        <f t="shared" si="154"/>
        <v>573.73343732023557</v>
      </c>
      <c r="F1219" s="38">
        <f t="shared" si="149"/>
        <v>0.82546470876747668</v>
      </c>
      <c r="G1219" s="14">
        <f t="shared" si="150"/>
        <v>0</v>
      </c>
      <c r="H1219" s="24">
        <f t="shared" si="156"/>
        <v>731.45857822663299</v>
      </c>
      <c r="I1219" s="12">
        <f t="shared" si="155"/>
        <v>0.33036469690267078</v>
      </c>
      <c r="J1219" s="3"/>
    </row>
    <row r="1220" spans="2:10" x14ac:dyDescent="0.25">
      <c r="B1220" s="3">
        <f t="shared" si="151"/>
        <v>6000</v>
      </c>
      <c r="C1220" s="14">
        <f t="shared" si="152"/>
        <v>100</v>
      </c>
      <c r="D1220" s="11">
        <f t="shared" si="153"/>
        <v>1021.753218049062</v>
      </c>
      <c r="E1220" s="24">
        <f t="shared" si="154"/>
        <v>574.06380201713819</v>
      </c>
      <c r="F1220" s="38">
        <f t="shared" si="149"/>
        <v>0.82508208752476386</v>
      </c>
      <c r="G1220" s="14">
        <f t="shared" si="150"/>
        <v>0</v>
      </c>
      <c r="H1220" s="24">
        <f t="shared" si="156"/>
        <v>731.79778276691536</v>
      </c>
      <c r="I1220" s="12">
        <f t="shared" si="155"/>
        <v>0.33009828938346281</v>
      </c>
      <c r="J1220" s="3"/>
    </row>
    <row r="1221" spans="2:10" x14ac:dyDescent="0.25">
      <c r="B1221" s="3">
        <f t="shared" si="151"/>
        <v>6005</v>
      </c>
      <c r="C1221" s="14">
        <f t="shared" si="152"/>
        <v>100.08333333333333</v>
      </c>
      <c r="D1221" s="11">
        <f t="shared" si="153"/>
        <v>1021.8778699666148</v>
      </c>
      <c r="E1221" s="24">
        <f t="shared" si="154"/>
        <v>574.39390030652169</v>
      </c>
      <c r="F1221" s="38">
        <f t="shared" si="149"/>
        <v>0.82469960505352446</v>
      </c>
      <c r="G1221" s="14">
        <f t="shared" si="150"/>
        <v>0</v>
      </c>
      <c r="H1221" s="24">
        <f t="shared" si="156"/>
        <v>732.13717886057771</v>
      </c>
      <c r="I1221" s="12">
        <f t="shared" si="155"/>
        <v>0.32983211404424501</v>
      </c>
      <c r="J1221" s="3"/>
    </row>
    <row r="1222" spans="2:10" x14ac:dyDescent="0.25">
      <c r="B1222" s="3">
        <f t="shared" si="151"/>
        <v>6010</v>
      </c>
      <c r="C1222" s="14">
        <f t="shared" si="152"/>
        <v>100.16666666666667</v>
      </c>
      <c r="D1222" s="11">
        <f t="shared" si="153"/>
        <v>1022.0024182666017</v>
      </c>
      <c r="E1222" s="24">
        <f t="shared" si="154"/>
        <v>574.72373242056597</v>
      </c>
      <c r="F1222" s="38">
        <f t="shared" si="149"/>
        <v>0.82431726191993659</v>
      </c>
      <c r="G1222" s="14">
        <f t="shared" si="150"/>
        <v>0</v>
      </c>
      <c r="H1222" s="24">
        <f t="shared" si="156"/>
        <v>732.47676609975531</v>
      </c>
      <c r="I1222" s="12">
        <f t="shared" si="155"/>
        <v>0.32956617093603302</v>
      </c>
      <c r="J1222" s="3"/>
    </row>
    <row r="1223" spans="2:10" x14ac:dyDescent="0.25">
      <c r="B1223" s="3">
        <f t="shared" si="151"/>
        <v>6015</v>
      </c>
      <c r="C1223" s="14">
        <f t="shared" si="152"/>
        <v>100.25</v>
      </c>
      <c r="D1223" s="11">
        <f t="shared" si="153"/>
        <v>1022.1268631211449</v>
      </c>
      <c r="E1223" s="24">
        <f t="shared" si="154"/>
        <v>575.05329859150197</v>
      </c>
      <c r="F1223" s="38">
        <f t="shared" si="149"/>
        <v>0.8239350586881119</v>
      </c>
      <c r="G1223" s="14">
        <f t="shared" si="150"/>
        <v>0</v>
      </c>
      <c r="H1223" s="24">
        <f t="shared" si="156"/>
        <v>732.81654407653616</v>
      </c>
      <c r="I1223" s="12">
        <f t="shared" si="155"/>
        <v>0.32930046010862174</v>
      </c>
      <c r="J1223" s="3"/>
    </row>
    <row r="1224" spans="2:10" x14ac:dyDescent="0.25">
      <c r="B1224" s="3">
        <f t="shared" si="151"/>
        <v>6020</v>
      </c>
      <c r="C1224" s="14">
        <f t="shared" si="152"/>
        <v>100.33333333333333</v>
      </c>
      <c r="D1224" s="11">
        <f t="shared" si="153"/>
        <v>1022.2512047019379</v>
      </c>
      <c r="E1224" s="24">
        <f t="shared" si="154"/>
        <v>575.38259905161055</v>
      </c>
      <c r="F1224" s="38">
        <f t="shared" si="149"/>
        <v>0.82355299592009423</v>
      </c>
      <c r="G1224" s="14">
        <f t="shared" si="150"/>
        <v>0</v>
      </c>
      <c r="H1224" s="24">
        <f t="shared" si="156"/>
        <v>733.15651238296687</v>
      </c>
      <c r="I1224" s="12">
        <f t="shared" si="155"/>
        <v>0.32903498161046124</v>
      </c>
      <c r="J1224" s="3"/>
    </row>
    <row r="1225" spans="2:10" x14ac:dyDescent="0.25">
      <c r="B1225" s="3">
        <f t="shared" si="151"/>
        <v>6025</v>
      </c>
      <c r="C1225" s="14">
        <f t="shared" si="152"/>
        <v>100.41666666666667</v>
      </c>
      <c r="D1225" s="11">
        <f t="shared" si="153"/>
        <v>1022.3754431802474</v>
      </c>
      <c r="E1225" s="24">
        <f t="shared" si="154"/>
        <v>575.711634033221</v>
      </c>
      <c r="F1225" s="38">
        <f t="shared" si="149"/>
        <v>0.82317107417586155</v>
      </c>
      <c r="G1225" s="14">
        <f t="shared" si="150"/>
        <v>0</v>
      </c>
      <c r="H1225" s="24">
        <f t="shared" si="156"/>
        <v>733.49667061105492</v>
      </c>
      <c r="I1225" s="12">
        <f t="shared" si="155"/>
        <v>0.32876973548870064</v>
      </c>
      <c r="J1225" s="3"/>
    </row>
    <row r="1226" spans="2:10" x14ac:dyDescent="0.25">
      <c r="B1226" s="3">
        <f t="shared" si="151"/>
        <v>6030</v>
      </c>
      <c r="C1226" s="14">
        <f t="shared" si="152"/>
        <v>100.5</v>
      </c>
      <c r="D1226" s="11">
        <f t="shared" si="153"/>
        <v>1022.4995787269146</v>
      </c>
      <c r="E1226" s="24">
        <f t="shared" si="154"/>
        <v>576.04040376870967</v>
      </c>
      <c r="F1226" s="38">
        <f t="shared" si="149"/>
        <v>0.82278929401332113</v>
      </c>
      <c r="G1226" s="14">
        <f t="shared" si="150"/>
        <v>0</v>
      </c>
      <c r="H1226" s="24">
        <f t="shared" si="156"/>
        <v>733.83701835277475</v>
      </c>
      <c r="I1226" s="12">
        <f t="shared" si="155"/>
        <v>0.32850472178918144</v>
      </c>
      <c r="J1226" s="3"/>
    </row>
    <row r="1227" spans="2:10" x14ac:dyDescent="0.25">
      <c r="B1227" s="3">
        <f t="shared" si="151"/>
        <v>6035</v>
      </c>
      <c r="C1227" s="14">
        <f t="shared" si="152"/>
        <v>100.58333333333333</v>
      </c>
      <c r="D1227" s="11">
        <f t="shared" si="153"/>
        <v>1022.6236115123558</v>
      </c>
      <c r="E1227" s="24">
        <f t="shared" si="154"/>
        <v>576.36890849049882</v>
      </c>
      <c r="F1227" s="38">
        <f t="shared" si="149"/>
        <v>0.82240765598831223</v>
      </c>
      <c r="G1227" s="14">
        <f t="shared" si="150"/>
        <v>0</v>
      </c>
      <c r="H1227" s="24">
        <f t="shared" si="156"/>
        <v>734.17755520007108</v>
      </c>
      <c r="I1227" s="12">
        <f t="shared" si="155"/>
        <v>0.32823994055652961</v>
      </c>
      <c r="J1227" s="3"/>
    </row>
    <row r="1228" spans="2:10" x14ac:dyDescent="0.25">
      <c r="B1228" s="3">
        <f t="shared" si="151"/>
        <v>6040</v>
      </c>
      <c r="C1228" s="14">
        <f t="shared" si="152"/>
        <v>100.66666666666667</v>
      </c>
      <c r="D1228" s="11">
        <f t="shared" si="153"/>
        <v>1022.7475417065649</v>
      </c>
      <c r="E1228" s="24">
        <f t="shared" si="154"/>
        <v>576.69714843105533</v>
      </c>
      <c r="F1228" s="38">
        <f t="shared" si="149"/>
        <v>0.82202616065460321</v>
      </c>
      <c r="G1228" s="14">
        <f t="shared" si="150"/>
        <v>0</v>
      </c>
      <c r="H1228" s="24">
        <f t="shared" si="156"/>
        <v>734.51828074486355</v>
      </c>
      <c r="I1228" s="12">
        <f t="shared" si="155"/>
        <v>0.3279753918339931</v>
      </c>
      <c r="J1228" s="3"/>
    </row>
    <row r="1229" spans="2:10" x14ac:dyDescent="0.25">
      <c r="B1229" s="3">
        <f t="shared" si="151"/>
        <v>6045</v>
      </c>
      <c r="C1229" s="14">
        <f t="shared" si="152"/>
        <v>100.75</v>
      </c>
      <c r="D1229" s="11">
        <f t="shared" si="153"/>
        <v>1022.8713694791143</v>
      </c>
      <c r="E1229" s="24">
        <f t="shared" si="154"/>
        <v>577.02512382288933</v>
      </c>
      <c r="F1229" s="38">
        <f t="shared" si="149"/>
        <v>0.82164480856389188</v>
      </c>
      <c r="G1229" s="14">
        <f t="shared" si="150"/>
        <v>0</v>
      </c>
      <c r="H1229" s="24">
        <f t="shared" si="156"/>
        <v>734.85919457905106</v>
      </c>
      <c r="I1229" s="12">
        <f t="shared" si="155"/>
        <v>0.32771107566361196</v>
      </c>
      <c r="J1229" s="3"/>
    </row>
    <row r="1230" spans="2:10" x14ac:dyDescent="0.25">
      <c r="B1230" s="3">
        <f t="shared" si="151"/>
        <v>6050</v>
      </c>
      <c r="C1230" s="14">
        <f t="shared" si="152"/>
        <v>100.83333333333333</v>
      </c>
      <c r="D1230" s="11">
        <f t="shared" si="153"/>
        <v>1022.995094999156</v>
      </c>
      <c r="E1230" s="24">
        <f t="shared" si="154"/>
        <v>577.35283489855294</v>
      </c>
      <c r="F1230" s="38">
        <f t="shared" si="149"/>
        <v>0.82126360026580369</v>
      </c>
      <c r="G1230" s="14">
        <f t="shared" si="150"/>
        <v>0</v>
      </c>
      <c r="H1230" s="24">
        <f t="shared" si="156"/>
        <v>735.20029629451631</v>
      </c>
      <c r="I1230" s="12">
        <f t="shared" si="155"/>
        <v>0.32744699208612393</v>
      </c>
      <c r="J1230" s="3"/>
    </row>
    <row r="1231" spans="2:10" x14ac:dyDescent="0.25">
      <c r="B1231" s="3">
        <f t="shared" si="151"/>
        <v>6055</v>
      </c>
      <c r="C1231" s="14">
        <f t="shared" si="152"/>
        <v>100.91666666666667</v>
      </c>
      <c r="D1231" s="11">
        <f t="shared" si="153"/>
        <v>1023.1187184354238</v>
      </c>
      <c r="E1231" s="24">
        <f t="shared" si="154"/>
        <v>577.68028189063909</v>
      </c>
      <c r="F1231" s="38">
        <f t="shared" si="149"/>
        <v>0.82088253630789343</v>
      </c>
      <c r="G1231" s="14">
        <f t="shared" si="150"/>
        <v>0</v>
      </c>
      <c r="H1231" s="24">
        <f t="shared" si="156"/>
        <v>735.54158548312898</v>
      </c>
      <c r="I1231" s="12">
        <f t="shared" si="155"/>
        <v>0.32718314114096919</v>
      </c>
      <c r="J1231" s="3"/>
    </row>
    <row r="1232" spans="2:10" x14ac:dyDescent="0.25">
      <c r="B1232" s="3">
        <f t="shared" si="151"/>
        <v>6060</v>
      </c>
      <c r="C1232" s="14">
        <f t="shared" si="152"/>
        <v>101</v>
      </c>
      <c r="D1232" s="11">
        <f t="shared" si="153"/>
        <v>1023.2422399562338</v>
      </c>
      <c r="E1232" s="24">
        <f t="shared" si="154"/>
        <v>578.00746503178004</v>
      </c>
      <c r="F1232" s="38">
        <f t="shared" si="149"/>
        <v>0.82050161723564197</v>
      </c>
      <c r="G1232" s="14">
        <f t="shared" si="150"/>
        <v>0</v>
      </c>
      <c r="H1232" s="24">
        <f t="shared" si="156"/>
        <v>735.88306173675119</v>
      </c>
      <c r="I1232" s="12">
        <f t="shared" si="155"/>
        <v>0.32691952286639059</v>
      </c>
      <c r="J1232" s="3"/>
    </row>
    <row r="1233" spans="2:10" x14ac:dyDescent="0.25">
      <c r="B1233" s="3">
        <f t="shared" si="151"/>
        <v>6065</v>
      </c>
      <c r="C1233" s="14">
        <f t="shared" si="152"/>
        <v>101.08333333333333</v>
      </c>
      <c r="D1233" s="11">
        <f t="shared" si="153"/>
        <v>1023.3656597294864</v>
      </c>
      <c r="E1233" s="24">
        <f t="shared" si="154"/>
        <v>578.33438455464648</v>
      </c>
      <c r="F1233" s="38">
        <f t="shared" si="149"/>
        <v>0.82012084359245796</v>
      </c>
      <c r="G1233" s="14">
        <f t="shared" si="150"/>
        <v>0</v>
      </c>
      <c r="H1233" s="24">
        <f t="shared" si="156"/>
        <v>736.22472464724069</v>
      </c>
      <c r="I1233" s="12">
        <f t="shared" si="155"/>
        <v>0.32665613729928261</v>
      </c>
      <c r="J1233" s="3"/>
    </row>
    <row r="1234" spans="2:10" x14ac:dyDescent="0.25">
      <c r="B1234" s="3">
        <f t="shared" si="151"/>
        <v>6070</v>
      </c>
      <c r="C1234" s="14">
        <f t="shared" si="152"/>
        <v>101.16666666666667</v>
      </c>
      <c r="D1234" s="11">
        <f t="shared" si="153"/>
        <v>1023.4889779226673</v>
      </c>
      <c r="E1234" s="24">
        <f t="shared" si="154"/>
        <v>578.6610406919458</v>
      </c>
      <c r="F1234" s="38">
        <f t="shared" si="149"/>
        <v>0.8197402159196755</v>
      </c>
      <c r="G1234" s="14">
        <f t="shared" si="150"/>
        <v>0</v>
      </c>
      <c r="H1234" s="24">
        <f t="shared" si="156"/>
        <v>736.56657380645629</v>
      </c>
      <c r="I1234" s="12">
        <f t="shared" si="155"/>
        <v>0.32639298447535947</v>
      </c>
      <c r="J1234" s="3"/>
    </row>
    <row r="1235" spans="2:10" x14ac:dyDescent="0.25">
      <c r="B1235" s="3">
        <f t="shared" si="151"/>
        <v>6075</v>
      </c>
      <c r="C1235" s="14">
        <f t="shared" si="152"/>
        <v>101.25</v>
      </c>
      <c r="D1235" s="11">
        <f t="shared" si="153"/>
        <v>1023.6121947028488</v>
      </c>
      <c r="E1235" s="24">
        <f t="shared" si="154"/>
        <v>578.98743367642112</v>
      </c>
      <c r="F1235" s="38">
        <f t="shared" si="149"/>
        <v>0.81935973475655643</v>
      </c>
      <c r="G1235" s="14">
        <f t="shared" si="150"/>
        <v>0</v>
      </c>
      <c r="H1235" s="24">
        <f t="shared" si="156"/>
        <v>736.90860880625996</v>
      </c>
      <c r="I1235" s="12">
        <f t="shared" si="155"/>
        <v>0.32613006442906273</v>
      </c>
      <c r="J1235" s="3"/>
    </row>
    <row r="1236" spans="2:10" x14ac:dyDescent="0.25">
      <c r="B1236" s="3">
        <f t="shared" si="151"/>
        <v>6080</v>
      </c>
      <c r="C1236" s="14">
        <f t="shared" si="152"/>
        <v>101.33333333333333</v>
      </c>
      <c r="D1236" s="11">
        <f t="shared" si="153"/>
        <v>1023.7353102366916</v>
      </c>
      <c r="E1236" s="24">
        <f t="shared" si="154"/>
        <v>579.31356374085021</v>
      </c>
      <c r="F1236" s="38">
        <f t="shared" ref="F1236:F1299" si="157">Cp*RhoP/(RhoA*H1236)*dp/1000*MassivP</f>
        <v>0.8189794006402864</v>
      </c>
      <c r="G1236" s="14">
        <f t="shared" ref="G1236:G1299" si="158">Phi*EpsilonF*Botzman/10^8*J1236*((D1236+273)^4-(E1236+273)^4)</f>
        <v>0</v>
      </c>
      <c r="H1236" s="24">
        <f t="shared" si="156"/>
        <v>737.25082923852347</v>
      </c>
      <c r="I1236" s="12">
        <f t="shared" si="155"/>
        <v>0.32586737719353548</v>
      </c>
      <c r="J1236" s="3"/>
    </row>
    <row r="1237" spans="2:10" x14ac:dyDescent="0.25">
      <c r="B1237" s="3">
        <f t="shared" ref="B1237:B1300" si="159">B1236+DeltaT</f>
        <v>6085</v>
      </c>
      <c r="C1237" s="14">
        <f t="shared" ref="C1237:C1300" si="160">B1237/60</f>
        <v>101.41666666666667</v>
      </c>
      <c r="D1237" s="11">
        <f t="shared" ref="D1237:D1300" si="161">20+345*LOG(8*C1237+1,10)</f>
        <v>1023.8583246904462</v>
      </c>
      <c r="E1237" s="24">
        <f t="shared" ref="E1237:E1300" si="162">E1236+IF(Limit=Oui,MAX(0,I1236),I1236)</f>
        <v>579.63943111804372</v>
      </c>
      <c r="F1237" s="38">
        <f t="shared" si="157"/>
        <v>0.81859921410597869</v>
      </c>
      <c r="G1237" s="14">
        <f t="shared" si="158"/>
        <v>0</v>
      </c>
      <c r="H1237" s="24">
        <f t="shared" si="156"/>
        <v>737.59323469513004</v>
      </c>
      <c r="I1237" s="12">
        <f t="shared" ref="I1237:I1300" si="163">LambdaP*MassivP/(dp/1000)/(H1237*RhoA)/(1+F1237/3)*(D1237-E1237)*DeltaT-(EXP(F1237/10)-1)*(D1237-D1236)</f>
        <v>0.32560492280069459</v>
      </c>
      <c r="J1237" s="3"/>
    </row>
    <row r="1238" spans="2:10" x14ac:dyDescent="0.25">
      <c r="B1238" s="3">
        <f t="shared" si="159"/>
        <v>6090</v>
      </c>
      <c r="C1238" s="14">
        <f t="shared" si="160"/>
        <v>101.5</v>
      </c>
      <c r="D1238" s="11">
        <f t="shared" si="161"/>
        <v>1023.9812382299533</v>
      </c>
      <c r="E1238" s="24">
        <f t="shared" si="162"/>
        <v>579.96503604084444</v>
      </c>
      <c r="F1238" s="38">
        <f t="shared" si="157"/>
        <v>0.81821917568667013</v>
      </c>
      <c r="G1238" s="14">
        <f t="shared" si="158"/>
        <v>0</v>
      </c>
      <c r="H1238" s="24">
        <f t="shared" si="156"/>
        <v>737.93582476798053</v>
      </c>
      <c r="I1238" s="12">
        <f t="shared" si="163"/>
        <v>0.32534270128130133</v>
      </c>
      <c r="J1238" s="3"/>
    </row>
    <row r="1239" spans="2:10" x14ac:dyDescent="0.25">
      <c r="B1239" s="3">
        <f t="shared" si="159"/>
        <v>6095</v>
      </c>
      <c r="C1239" s="14">
        <f t="shared" si="160"/>
        <v>101.58333333333333</v>
      </c>
      <c r="D1239" s="11">
        <f t="shared" si="161"/>
        <v>1024.1040510206462</v>
      </c>
      <c r="E1239" s="24">
        <f t="shared" si="162"/>
        <v>580.29037874212577</v>
      </c>
      <c r="F1239" s="38">
        <f t="shared" si="157"/>
        <v>0.817839285913324</v>
      </c>
      <c r="G1239" s="14">
        <f t="shared" si="158"/>
        <v>0</v>
      </c>
      <c r="H1239" s="24">
        <f t="shared" si="156"/>
        <v>738.27859904899606</v>
      </c>
      <c r="I1239" s="12">
        <f t="shared" si="163"/>
        <v>0.32508071266475308</v>
      </c>
      <c r="J1239" s="3"/>
    </row>
    <row r="1240" spans="2:10" x14ac:dyDescent="0.25">
      <c r="B1240" s="3">
        <f t="shared" si="159"/>
        <v>6100</v>
      </c>
      <c r="C1240" s="14">
        <f t="shared" si="160"/>
        <v>101.66666666666667</v>
      </c>
      <c r="D1240" s="11">
        <f t="shared" si="161"/>
        <v>1024.2267632275521</v>
      </c>
      <c r="E1240" s="24">
        <f t="shared" si="162"/>
        <v>580.61545945479054</v>
      </c>
      <c r="F1240" s="38">
        <f t="shared" si="157"/>
        <v>0.81745954531482834</v>
      </c>
      <c r="G1240" s="14">
        <f t="shared" si="158"/>
        <v>0</v>
      </c>
      <c r="H1240" s="24">
        <f t="shared" si="156"/>
        <v>738.62155713012214</v>
      </c>
      <c r="I1240" s="12">
        <f t="shared" si="163"/>
        <v>0.32481895697927121</v>
      </c>
      <c r="J1240" s="3"/>
    </row>
    <row r="1241" spans="2:10" x14ac:dyDescent="0.25">
      <c r="B1241" s="3">
        <f t="shared" si="159"/>
        <v>6105</v>
      </c>
      <c r="C1241" s="14">
        <f t="shared" si="160"/>
        <v>101.75</v>
      </c>
      <c r="D1241" s="11">
        <f t="shared" si="161"/>
        <v>1024.349375015292</v>
      </c>
      <c r="E1241" s="24">
        <f t="shared" si="162"/>
        <v>580.94027841176978</v>
      </c>
      <c r="F1241" s="38">
        <f t="shared" si="157"/>
        <v>0.81707995441799619</v>
      </c>
      <c r="G1241" s="14">
        <f t="shared" si="158"/>
        <v>0</v>
      </c>
      <c r="H1241" s="24">
        <f t="shared" si="156"/>
        <v>738.96469860333355</v>
      </c>
      <c r="I1241" s="12">
        <f t="shared" si="163"/>
        <v>0.32455743425190348</v>
      </c>
      <c r="J1241" s="3"/>
    </row>
    <row r="1242" spans="2:10" x14ac:dyDescent="0.25">
      <c r="B1242" s="3">
        <f t="shared" si="159"/>
        <v>6110</v>
      </c>
      <c r="C1242" s="14">
        <f t="shared" si="160"/>
        <v>101.83333333333333</v>
      </c>
      <c r="D1242" s="11">
        <f t="shared" si="161"/>
        <v>1024.4718865480836</v>
      </c>
      <c r="E1242" s="24">
        <f t="shared" si="162"/>
        <v>581.2648358460217</v>
      </c>
      <c r="F1242" s="38">
        <f t="shared" si="157"/>
        <v>0.81670051374756569</v>
      </c>
      <c r="G1242" s="14">
        <f t="shared" si="158"/>
        <v>0</v>
      </c>
      <c r="H1242" s="24">
        <f t="shared" si="156"/>
        <v>739.30802306063788</v>
      </c>
      <c r="I1242" s="12">
        <f t="shared" si="163"/>
        <v>0.32429614450842276</v>
      </c>
      <c r="J1242" s="3"/>
    </row>
    <row r="1243" spans="2:10" x14ac:dyDescent="0.25">
      <c r="B1243" s="3">
        <f t="shared" si="159"/>
        <v>6115</v>
      </c>
      <c r="C1243" s="14">
        <f t="shared" si="160"/>
        <v>101.91666666666667</v>
      </c>
      <c r="D1243" s="11">
        <f t="shared" si="161"/>
        <v>1024.5942979897427</v>
      </c>
      <c r="E1243" s="24">
        <f t="shared" si="162"/>
        <v>581.58913199053006</v>
      </c>
      <c r="F1243" s="38">
        <f t="shared" si="157"/>
        <v>0.81632122382620043</v>
      </c>
      <c r="G1243" s="14">
        <f t="shared" si="158"/>
        <v>0</v>
      </c>
      <c r="H1243" s="24">
        <f t="shared" si="156"/>
        <v>739.65153009407891</v>
      </c>
      <c r="I1243" s="12">
        <f t="shared" si="163"/>
        <v>0.32403508777330214</v>
      </c>
      <c r="J1243" s="3"/>
    </row>
    <row r="1244" spans="2:10" x14ac:dyDescent="0.25">
      <c r="B1244" s="3">
        <f t="shared" si="159"/>
        <v>6120</v>
      </c>
      <c r="C1244" s="14">
        <f t="shared" si="160"/>
        <v>102</v>
      </c>
      <c r="D1244" s="11">
        <f t="shared" si="161"/>
        <v>1024.7166095036832</v>
      </c>
      <c r="E1244" s="24">
        <f t="shared" si="162"/>
        <v>581.91316707830333</v>
      </c>
      <c r="F1244" s="38">
        <f t="shared" si="157"/>
        <v>0.81594208517448874</v>
      </c>
      <c r="G1244" s="14">
        <f t="shared" si="158"/>
        <v>0</v>
      </c>
      <c r="H1244" s="24">
        <f t="shared" si="156"/>
        <v>739.99521929574109</v>
      </c>
      <c r="I1244" s="12">
        <f t="shared" si="163"/>
        <v>0.32377426406994941</v>
      </c>
      <c r="J1244" s="3"/>
    </row>
    <row r="1245" spans="2:10" x14ac:dyDescent="0.25">
      <c r="B1245" s="3">
        <f t="shared" si="159"/>
        <v>6125</v>
      </c>
      <c r="C1245" s="14">
        <f t="shared" si="160"/>
        <v>102.08333333333333</v>
      </c>
      <c r="D1245" s="11">
        <f t="shared" si="161"/>
        <v>1024.8388212529194</v>
      </c>
      <c r="E1245" s="24">
        <f t="shared" si="162"/>
        <v>582.23694134237326</v>
      </c>
      <c r="F1245" s="38">
        <f t="shared" si="157"/>
        <v>0.81556309831094509</v>
      </c>
      <c r="G1245" s="14">
        <f t="shared" si="158"/>
        <v>0</v>
      </c>
      <c r="H1245" s="24">
        <f t="shared" si="156"/>
        <v>740.33909025775392</v>
      </c>
      <c r="I1245" s="12">
        <f t="shared" si="163"/>
        <v>0.32351367342047987</v>
      </c>
      <c r="J1245" s="3"/>
    </row>
    <row r="1246" spans="2:10" x14ac:dyDescent="0.25">
      <c r="B1246" s="3">
        <f t="shared" si="159"/>
        <v>6130</v>
      </c>
      <c r="C1246" s="14">
        <f t="shared" si="160"/>
        <v>102.16666666666667</v>
      </c>
      <c r="D1246" s="11">
        <f t="shared" si="161"/>
        <v>1024.960933400067</v>
      </c>
      <c r="E1246" s="24">
        <f t="shared" si="162"/>
        <v>582.56045501579376</v>
      </c>
      <c r="F1246" s="38">
        <f t="shared" si="157"/>
        <v>0.81518426375200859</v>
      </c>
      <c r="G1246" s="14">
        <f t="shared" si="158"/>
        <v>0</v>
      </c>
      <c r="H1246" s="24">
        <f t="shared" si="156"/>
        <v>740.68314257229486</v>
      </c>
      <c r="I1246" s="12">
        <f t="shared" si="163"/>
        <v>0.32325331584579725</v>
      </c>
      <c r="J1246" s="3"/>
    </row>
    <row r="1247" spans="2:10" x14ac:dyDescent="0.25">
      <c r="B1247" s="3">
        <f t="shared" si="159"/>
        <v>6135</v>
      </c>
      <c r="C1247" s="14">
        <f t="shared" si="160"/>
        <v>102.25</v>
      </c>
      <c r="D1247" s="11">
        <f t="shared" si="161"/>
        <v>1025.0829461073442</v>
      </c>
      <c r="E1247" s="24">
        <f t="shared" si="162"/>
        <v>582.88370833163958</v>
      </c>
      <c r="F1247" s="38">
        <f t="shared" si="157"/>
        <v>0.81480558201204512</v>
      </c>
      <c r="G1247" s="14">
        <f t="shared" si="158"/>
        <v>0</v>
      </c>
      <c r="H1247" s="24">
        <f t="shared" si="156"/>
        <v>741.02737583159364</v>
      </c>
      <c r="I1247" s="12">
        <f t="shared" si="163"/>
        <v>0.32299319136565557</v>
      </c>
      <c r="J1247" s="3"/>
    </row>
    <row r="1248" spans="2:10" x14ac:dyDescent="0.25">
      <c r="B1248" s="3">
        <f t="shared" si="159"/>
        <v>6140</v>
      </c>
      <c r="C1248" s="14">
        <f t="shared" si="160"/>
        <v>102.33333333333333</v>
      </c>
      <c r="D1248" s="11">
        <f t="shared" si="161"/>
        <v>1025.2048595365738</v>
      </c>
      <c r="E1248" s="24">
        <f t="shared" si="162"/>
        <v>583.20670152300522</v>
      </c>
      <c r="F1248" s="38">
        <f t="shared" si="157"/>
        <v>0.81442705360334655</v>
      </c>
      <c r="G1248" s="14">
        <f t="shared" si="158"/>
        <v>0</v>
      </c>
      <c r="H1248" s="24">
        <f t="shared" si="156"/>
        <v>741.37178962793621</v>
      </c>
      <c r="I1248" s="12">
        <f t="shared" si="163"/>
        <v>0.32273329999852812</v>
      </c>
      <c r="J1248" s="3"/>
    </row>
    <row r="1249" spans="2:10" x14ac:dyDescent="0.25">
      <c r="B1249" s="3">
        <f t="shared" si="159"/>
        <v>6145</v>
      </c>
      <c r="C1249" s="14">
        <f t="shared" si="160"/>
        <v>102.41666666666667</v>
      </c>
      <c r="D1249" s="11">
        <f t="shared" si="161"/>
        <v>1025.3266738491832</v>
      </c>
      <c r="E1249" s="24">
        <f t="shared" si="162"/>
        <v>583.52943482300373</v>
      </c>
      <c r="F1249" s="38">
        <f t="shared" si="157"/>
        <v>0.81404867903613098</v>
      </c>
      <c r="G1249" s="14">
        <f t="shared" si="158"/>
        <v>0</v>
      </c>
      <c r="H1249" s="24">
        <f t="shared" si="156"/>
        <v>741.71638355366849</v>
      </c>
      <c r="I1249" s="12">
        <f t="shared" si="163"/>
        <v>0.32247364176180277</v>
      </c>
      <c r="J1249" s="3"/>
    </row>
    <row r="1250" spans="2:10" x14ac:dyDescent="0.25">
      <c r="B1250" s="3">
        <f t="shared" si="159"/>
        <v>6150</v>
      </c>
      <c r="C1250" s="14">
        <f t="shared" si="160"/>
        <v>102.5</v>
      </c>
      <c r="D1250" s="11">
        <f t="shared" si="161"/>
        <v>1025.4483892062069</v>
      </c>
      <c r="E1250" s="24">
        <f t="shared" si="162"/>
        <v>583.85190846476553</v>
      </c>
      <c r="F1250" s="38">
        <f t="shared" si="157"/>
        <v>0.81367045881854394</v>
      </c>
      <c r="G1250" s="14">
        <f t="shared" si="158"/>
        <v>0</v>
      </c>
      <c r="H1250" s="24">
        <f t="shared" si="156"/>
        <v>742.06115720119999</v>
      </c>
      <c r="I1250" s="12">
        <f t="shared" si="163"/>
        <v>0.32221421667155659</v>
      </c>
      <c r="J1250" s="3"/>
    </row>
    <row r="1251" spans="2:10" x14ac:dyDescent="0.25">
      <c r="B1251" s="3">
        <f t="shared" si="159"/>
        <v>6155</v>
      </c>
      <c r="C1251" s="14">
        <f t="shared" si="160"/>
        <v>102.58333333333333</v>
      </c>
      <c r="D1251" s="11">
        <f t="shared" si="161"/>
        <v>1025.570005768287</v>
      </c>
      <c r="E1251" s="24">
        <f t="shared" si="162"/>
        <v>584.1741226814371</v>
      </c>
      <c r="F1251" s="38">
        <f t="shared" si="157"/>
        <v>0.81329239345665827</v>
      </c>
      <c r="G1251" s="14">
        <f t="shared" si="158"/>
        <v>0</v>
      </c>
      <c r="H1251" s="24">
        <f t="shared" si="156"/>
        <v>742.40611016300772</v>
      </c>
      <c r="I1251" s="12">
        <f t="shared" si="163"/>
        <v>0.32195502474278948</v>
      </c>
      <c r="J1251" s="3"/>
    </row>
    <row r="1252" spans="2:10" x14ac:dyDescent="0.25">
      <c r="B1252" s="3">
        <f t="shared" si="159"/>
        <v>6160</v>
      </c>
      <c r="C1252" s="14">
        <f t="shared" si="160"/>
        <v>102.66666666666667</v>
      </c>
      <c r="D1252" s="11">
        <f t="shared" si="161"/>
        <v>1025.6915236956752</v>
      </c>
      <c r="E1252" s="24">
        <f t="shared" si="162"/>
        <v>584.4960777061799</v>
      </c>
      <c r="F1252" s="38">
        <f t="shared" si="157"/>
        <v>0.81291448345447426</v>
      </c>
      <c r="G1252" s="14">
        <f t="shared" si="158"/>
        <v>0</v>
      </c>
      <c r="H1252" s="24">
        <f t="shared" si="156"/>
        <v>742.75124203164046</v>
      </c>
      <c r="I1252" s="12">
        <f t="shared" si="163"/>
        <v>0.32169606598923561</v>
      </c>
      <c r="J1252" s="3"/>
    </row>
    <row r="1253" spans="2:10" x14ac:dyDescent="0.25">
      <c r="B1253" s="3">
        <f t="shared" si="159"/>
        <v>6165</v>
      </c>
      <c r="C1253" s="14">
        <f t="shared" si="160"/>
        <v>102.75</v>
      </c>
      <c r="D1253" s="11">
        <f t="shared" si="161"/>
        <v>1025.812943148233</v>
      </c>
      <c r="E1253" s="24">
        <f t="shared" si="162"/>
        <v>584.81777377216918</v>
      </c>
      <c r="F1253" s="38">
        <f t="shared" si="157"/>
        <v>0.81253672931392107</v>
      </c>
      <c r="G1253" s="14">
        <f t="shared" si="158"/>
        <v>0</v>
      </c>
      <c r="H1253" s="24">
        <f t="shared" si="156"/>
        <v>743.09655239972108</v>
      </c>
      <c r="I1253" s="12">
        <f t="shared" si="163"/>
        <v>0.32143734042352184</v>
      </c>
      <c r="J1253" s="3"/>
    </row>
    <row r="1254" spans="2:10" x14ac:dyDescent="0.25">
      <c r="B1254" s="3">
        <f t="shared" si="159"/>
        <v>6170</v>
      </c>
      <c r="C1254" s="14">
        <f t="shared" si="160"/>
        <v>102.83333333333333</v>
      </c>
      <c r="D1254" s="11">
        <f t="shared" si="161"/>
        <v>1025.9342642854338</v>
      </c>
      <c r="E1254" s="24">
        <f t="shared" si="162"/>
        <v>585.13921111259265</v>
      </c>
      <c r="F1254" s="38">
        <f t="shared" si="157"/>
        <v>0.81215913153485708</v>
      </c>
      <c r="G1254" s="14">
        <f t="shared" si="158"/>
        <v>0</v>
      </c>
      <c r="H1254" s="24">
        <f t="shared" si="156"/>
        <v>743.4420408599517</v>
      </c>
      <c r="I1254" s="12">
        <f t="shared" si="163"/>
        <v>0.32117884805707453</v>
      </c>
      <c r="J1254" s="3"/>
    </row>
    <row r="1255" spans="2:10" x14ac:dyDescent="0.25">
      <c r="B1255" s="3">
        <f t="shared" si="159"/>
        <v>6175</v>
      </c>
      <c r="C1255" s="14">
        <f t="shared" si="160"/>
        <v>102.91666666666667</v>
      </c>
      <c r="D1255" s="11">
        <f t="shared" si="161"/>
        <v>1026.0554872663638</v>
      </c>
      <c r="E1255" s="24">
        <f t="shared" si="162"/>
        <v>585.46038996064976</v>
      </c>
      <c r="F1255" s="38">
        <f t="shared" si="157"/>
        <v>0.81178169061506977</v>
      </c>
      <c r="G1255" s="14">
        <f t="shared" si="158"/>
        <v>0</v>
      </c>
      <c r="H1255" s="24">
        <f t="shared" si="156"/>
        <v>743.78770700511711</v>
      </c>
      <c r="I1255" s="12">
        <f t="shared" si="163"/>
        <v>0.32092058890014291</v>
      </c>
      <c r="J1255" s="3"/>
    </row>
    <row r="1256" spans="2:10" x14ac:dyDescent="0.25">
      <c r="B1256" s="3">
        <f t="shared" si="159"/>
        <v>6180</v>
      </c>
      <c r="C1256" s="14">
        <f t="shared" si="160"/>
        <v>103</v>
      </c>
      <c r="D1256" s="11">
        <f t="shared" si="161"/>
        <v>1026.176612249724</v>
      </c>
      <c r="E1256" s="24">
        <f t="shared" si="162"/>
        <v>585.78131054954986</v>
      </c>
      <c r="F1256" s="38">
        <f t="shared" si="157"/>
        <v>0.81140440705027772</v>
      </c>
      <c r="G1256" s="14">
        <f t="shared" si="158"/>
        <v>0</v>
      </c>
      <c r="H1256" s="24">
        <f t="shared" si="156"/>
        <v>744.13355042808735</v>
      </c>
      <c r="I1256" s="12">
        <f t="shared" si="163"/>
        <v>0.32066256296178436</v>
      </c>
      <c r="J1256" s="3"/>
    </row>
    <row r="1257" spans="2:10" x14ac:dyDescent="0.25">
      <c r="B1257" s="3">
        <f t="shared" si="159"/>
        <v>6185</v>
      </c>
      <c r="C1257" s="14">
        <f t="shared" si="160"/>
        <v>103.08333333333333</v>
      </c>
      <c r="D1257" s="11">
        <f t="shared" si="161"/>
        <v>1026.2976393938302</v>
      </c>
      <c r="E1257" s="24">
        <f t="shared" si="162"/>
        <v>586.10197311251159</v>
      </c>
      <c r="F1257" s="38">
        <f t="shared" si="157"/>
        <v>0.81102728133412982</v>
      </c>
      <c r="G1257" s="14">
        <f t="shared" si="158"/>
        <v>0</v>
      </c>
      <c r="H1257" s="24">
        <f t="shared" si="156"/>
        <v>744.47957072182294</v>
      </c>
      <c r="I1257" s="12">
        <f t="shared" si="163"/>
        <v>0.3204047702499826</v>
      </c>
      <c r="J1257" s="3"/>
    </row>
    <row r="1258" spans="2:10" x14ac:dyDescent="0.25">
      <c r="B1258" s="3">
        <f t="shared" si="159"/>
        <v>6190</v>
      </c>
      <c r="C1258" s="14">
        <f t="shared" si="160"/>
        <v>103.16666666666667</v>
      </c>
      <c r="D1258" s="11">
        <f t="shared" si="161"/>
        <v>1026.4185688566147</v>
      </c>
      <c r="E1258" s="24">
        <f t="shared" si="162"/>
        <v>586.42237788276157</v>
      </c>
      <c r="F1258" s="38">
        <f t="shared" si="157"/>
        <v>0.81065031395820752</v>
      </c>
      <c r="G1258" s="14">
        <f t="shared" si="158"/>
        <v>0</v>
      </c>
      <c r="H1258" s="24">
        <f t="shared" si="156"/>
        <v>744.82576747937742</v>
      </c>
      <c r="I1258" s="12">
        <f t="shared" si="163"/>
        <v>0.32014721077151703</v>
      </c>
      <c r="J1258" s="3"/>
    </row>
    <row r="1259" spans="2:10" x14ac:dyDescent="0.25">
      <c r="B1259" s="3">
        <f t="shared" si="159"/>
        <v>6195</v>
      </c>
      <c r="C1259" s="14">
        <f t="shared" si="160"/>
        <v>103.25</v>
      </c>
      <c r="D1259" s="11">
        <f t="shared" si="161"/>
        <v>1026.5394007956284</v>
      </c>
      <c r="E1259" s="24">
        <f t="shared" si="162"/>
        <v>586.74252509353312</v>
      </c>
      <c r="F1259" s="38">
        <f t="shared" si="157"/>
        <v>0.8102735054120247</v>
      </c>
      <c r="G1259" s="14">
        <f t="shared" si="158"/>
        <v>0</v>
      </c>
      <c r="H1259" s="24">
        <f t="shared" si="156"/>
        <v>745.17214029390084</v>
      </c>
      <c r="I1259" s="12">
        <f t="shared" si="163"/>
        <v>0.31988988453196804</v>
      </c>
      <c r="J1259" s="3"/>
    </row>
    <row r="1260" spans="2:10" x14ac:dyDescent="0.25">
      <c r="B1260" s="3">
        <f t="shared" si="159"/>
        <v>6200</v>
      </c>
      <c r="C1260" s="14">
        <f t="shared" si="160"/>
        <v>103.33333333333333</v>
      </c>
      <c r="D1260" s="11">
        <f t="shared" si="161"/>
        <v>1026.660135368041</v>
      </c>
      <c r="E1260" s="24">
        <f t="shared" si="162"/>
        <v>587.06241497806514</v>
      </c>
      <c r="F1260" s="38">
        <f t="shared" si="157"/>
        <v>0.80989685618302865</v>
      </c>
      <c r="G1260" s="14">
        <f t="shared" si="158"/>
        <v>0</v>
      </c>
      <c r="H1260" s="24">
        <f t="shared" si="156"/>
        <v>745.51868875864466</v>
      </c>
      <c r="I1260" s="12">
        <f t="shared" si="163"/>
        <v>0.31963279153583396</v>
      </c>
      <c r="J1260" s="3"/>
    </row>
    <row r="1261" spans="2:10" x14ac:dyDescent="0.25">
      <c r="B1261" s="3">
        <f t="shared" si="159"/>
        <v>6205</v>
      </c>
      <c r="C1261" s="14">
        <f t="shared" si="160"/>
        <v>103.41666666666667</v>
      </c>
      <c r="D1261" s="11">
        <f t="shared" si="161"/>
        <v>1026.7807727306424</v>
      </c>
      <c r="E1261" s="24">
        <f t="shared" si="162"/>
        <v>587.38204776960094</v>
      </c>
      <c r="F1261" s="38">
        <f t="shared" si="157"/>
        <v>0.80952036675660155</v>
      </c>
      <c r="G1261" s="14">
        <f t="shared" si="158"/>
        <v>0</v>
      </c>
      <c r="H1261" s="24">
        <f t="shared" si="156"/>
        <v>745.86541246696345</v>
      </c>
      <c r="I1261" s="12">
        <f t="shared" si="163"/>
        <v>0.31937593178647888</v>
      </c>
      <c r="J1261" s="3"/>
    </row>
    <row r="1262" spans="2:10" x14ac:dyDescent="0.25">
      <c r="B1262" s="3">
        <f t="shared" si="159"/>
        <v>6210</v>
      </c>
      <c r="C1262" s="14">
        <f t="shared" si="160"/>
        <v>103.5</v>
      </c>
      <c r="D1262" s="11">
        <f t="shared" si="161"/>
        <v>1026.9013130398444</v>
      </c>
      <c r="E1262" s="24">
        <f t="shared" si="162"/>
        <v>587.7014237013874</v>
      </c>
      <c r="F1262" s="38">
        <f t="shared" si="157"/>
        <v>0.80914403761606057</v>
      </c>
      <c r="G1262" s="14">
        <f t="shared" si="158"/>
        <v>0</v>
      </c>
      <c r="H1262" s="24">
        <f t="shared" si="156"/>
        <v>746.2123110123199</v>
      </c>
      <c r="I1262" s="12">
        <f t="shared" si="163"/>
        <v>0.31911930528607818</v>
      </c>
      <c r="J1262" s="3"/>
    </row>
    <row r="1263" spans="2:10" x14ac:dyDescent="0.25">
      <c r="B1263" s="3">
        <f t="shared" si="159"/>
        <v>6215</v>
      </c>
      <c r="C1263" s="14">
        <f t="shared" si="160"/>
        <v>103.58333333333333</v>
      </c>
      <c r="D1263" s="11">
        <f t="shared" si="161"/>
        <v>1027.0217564516811</v>
      </c>
      <c r="E1263" s="24">
        <f t="shared" si="162"/>
        <v>588.02054300667351</v>
      </c>
      <c r="F1263" s="38">
        <f t="shared" si="157"/>
        <v>0.80876786924265986</v>
      </c>
      <c r="G1263" s="14">
        <f t="shared" si="158"/>
        <v>0</v>
      </c>
      <c r="H1263" s="24">
        <f t="shared" si="156"/>
        <v>746.55938398828766</v>
      </c>
      <c r="I1263" s="12">
        <f t="shared" si="163"/>
        <v>0.3188629120357182</v>
      </c>
      <c r="J1263" s="3"/>
    </row>
    <row r="1264" spans="2:10" x14ac:dyDescent="0.25">
      <c r="B1264" s="3">
        <f t="shared" si="159"/>
        <v>6220</v>
      </c>
      <c r="C1264" s="14">
        <f t="shared" si="160"/>
        <v>103.66666666666667</v>
      </c>
      <c r="D1264" s="11">
        <f t="shared" si="161"/>
        <v>1027.142103121811</v>
      </c>
      <c r="E1264" s="24">
        <f t="shared" si="162"/>
        <v>588.33940591870919</v>
      </c>
      <c r="F1264" s="38">
        <f t="shared" si="157"/>
        <v>0.80839186211559044</v>
      </c>
      <c r="G1264" s="14">
        <f t="shared" si="158"/>
        <v>0</v>
      </c>
      <c r="H1264" s="24">
        <f t="shared" si="156"/>
        <v>746.90663098855498</v>
      </c>
      <c r="I1264" s="12">
        <f t="shared" si="163"/>
        <v>0.31860675203532385</v>
      </c>
      <c r="J1264" s="3"/>
    </row>
    <row r="1265" spans="2:10" x14ac:dyDescent="0.25">
      <c r="B1265" s="3">
        <f t="shared" si="159"/>
        <v>6225</v>
      </c>
      <c r="C1265" s="14">
        <f t="shared" si="160"/>
        <v>103.75</v>
      </c>
      <c r="D1265" s="11">
        <f t="shared" si="161"/>
        <v>1027.2623532055181</v>
      </c>
      <c r="E1265" s="24">
        <f t="shared" si="162"/>
        <v>588.65801267074448</v>
      </c>
      <c r="F1265" s="38">
        <f t="shared" si="157"/>
        <v>0.80801601671198175</v>
      </c>
      <c r="G1265" s="14">
        <f t="shared" si="158"/>
        <v>0</v>
      </c>
      <c r="H1265" s="24">
        <f t="shared" si="156"/>
        <v>747.25405160692856</v>
      </c>
      <c r="I1265" s="12">
        <f t="shared" si="163"/>
        <v>0.31835082528368164</v>
      </c>
      <c r="J1265" s="3"/>
    </row>
    <row r="1266" spans="2:10" x14ac:dyDescent="0.25">
      <c r="B1266" s="3">
        <f t="shared" si="159"/>
        <v>6230</v>
      </c>
      <c r="C1266" s="14">
        <f t="shared" si="160"/>
        <v>103.83333333333333</v>
      </c>
      <c r="D1266" s="11">
        <f t="shared" si="161"/>
        <v>1027.3825068577123</v>
      </c>
      <c r="E1266" s="24">
        <f t="shared" si="162"/>
        <v>588.97636349602817</v>
      </c>
      <c r="F1266" s="38">
        <f t="shared" si="157"/>
        <v>0.8076403335069039</v>
      </c>
      <c r="G1266" s="14">
        <f t="shared" si="158"/>
        <v>0</v>
      </c>
      <c r="H1266" s="24">
        <f t="shared" si="156"/>
        <v>747.60164543733595</v>
      </c>
      <c r="I1266" s="12">
        <f t="shared" si="163"/>
        <v>0.3180951317785195</v>
      </c>
      <c r="J1266" s="3"/>
    </row>
    <row r="1267" spans="2:10" x14ac:dyDescent="0.25">
      <c r="B1267" s="3">
        <f t="shared" si="159"/>
        <v>6235</v>
      </c>
      <c r="C1267" s="14">
        <f t="shared" si="160"/>
        <v>103.91666666666667</v>
      </c>
      <c r="D1267" s="11">
        <f t="shared" si="161"/>
        <v>1027.5025642329315</v>
      </c>
      <c r="E1267" s="24">
        <f t="shared" si="162"/>
        <v>589.29445862780665</v>
      </c>
      <c r="F1267" s="38">
        <f t="shared" si="157"/>
        <v>0.80726481297336716</v>
      </c>
      <c r="G1267" s="14">
        <f t="shared" si="158"/>
        <v>0</v>
      </c>
      <c r="H1267" s="24">
        <f t="shared" si="156"/>
        <v>747.94941207382976</v>
      </c>
      <c r="I1267" s="12">
        <f t="shared" si="163"/>
        <v>0.31783967151637726</v>
      </c>
      <c r="J1267" s="3"/>
    </row>
    <row r="1268" spans="2:10" x14ac:dyDescent="0.25">
      <c r="B1268" s="3">
        <f t="shared" si="159"/>
        <v>6240</v>
      </c>
      <c r="C1268" s="14">
        <f t="shared" si="160"/>
        <v>104</v>
      </c>
      <c r="D1268" s="11">
        <f t="shared" si="161"/>
        <v>1027.6225254853416</v>
      </c>
      <c r="E1268" s="24">
        <f t="shared" si="162"/>
        <v>589.61229829932302</v>
      </c>
      <c r="F1268" s="38">
        <f t="shared" si="157"/>
        <v>0.80688945558232383</v>
      </c>
      <c r="G1268" s="14">
        <f t="shared" si="158"/>
        <v>0</v>
      </c>
      <c r="H1268" s="24">
        <f t="shared" si="156"/>
        <v>748.29735111059131</v>
      </c>
      <c r="I1268" s="12">
        <f t="shared" si="163"/>
        <v>0.31758444449278178</v>
      </c>
      <c r="J1268" s="3"/>
    </row>
    <row r="1269" spans="2:10" x14ac:dyDescent="0.25">
      <c r="B1269" s="3">
        <f t="shared" si="159"/>
        <v>6245</v>
      </c>
      <c r="C1269" s="14">
        <f t="shared" si="160"/>
        <v>104.08333333333333</v>
      </c>
      <c r="D1269" s="11">
        <f t="shared" si="161"/>
        <v>1027.7423907687398</v>
      </c>
      <c r="E1269" s="24">
        <f t="shared" si="162"/>
        <v>589.92988274381582</v>
      </c>
      <c r="F1269" s="38">
        <f t="shared" si="157"/>
        <v>0.80651426180266927</v>
      </c>
      <c r="G1269" s="14">
        <f t="shared" si="158"/>
        <v>0</v>
      </c>
      <c r="H1269" s="24">
        <f t="shared" si="156"/>
        <v>748.64546214193388</v>
      </c>
      <c r="I1269" s="12">
        <f t="shared" si="163"/>
        <v>0.31732945070198443</v>
      </c>
      <c r="J1269" s="3"/>
    </row>
    <row r="1270" spans="2:10" x14ac:dyDescent="0.25">
      <c r="B1270" s="3">
        <f t="shared" si="159"/>
        <v>6250</v>
      </c>
      <c r="C1270" s="14">
        <f t="shared" si="160"/>
        <v>104.16666666666667</v>
      </c>
      <c r="D1270" s="11">
        <f t="shared" si="161"/>
        <v>1027.8621602365533</v>
      </c>
      <c r="E1270" s="24">
        <f t="shared" si="162"/>
        <v>590.24721219451783</v>
      </c>
      <c r="F1270" s="38">
        <f t="shared" si="157"/>
        <v>0.80613923210124472</v>
      </c>
      <c r="G1270" s="14">
        <f t="shared" si="158"/>
        <v>0</v>
      </c>
      <c r="H1270" s="24">
        <f t="shared" si="156"/>
        <v>748.99374476230491</v>
      </c>
      <c r="I1270" s="12">
        <f t="shared" si="163"/>
        <v>0.31707469013732686</v>
      </c>
      <c r="J1270" s="3"/>
    </row>
    <row r="1271" spans="2:10" x14ac:dyDescent="0.25">
      <c r="B1271" s="3">
        <f t="shared" si="159"/>
        <v>6255</v>
      </c>
      <c r="C1271" s="14">
        <f t="shared" si="160"/>
        <v>104.25</v>
      </c>
      <c r="D1271" s="11">
        <f t="shared" si="161"/>
        <v>1027.9818340418426</v>
      </c>
      <c r="E1271" s="24">
        <f t="shared" si="162"/>
        <v>590.56428688465519</v>
      </c>
      <c r="F1271" s="38">
        <f t="shared" si="157"/>
        <v>0.80576436694283515</v>
      </c>
      <c r="G1271" s="14">
        <f t="shared" si="158"/>
        <v>0</v>
      </c>
      <c r="H1271" s="24">
        <f t="shared" ref="H1271:H1334" si="164">IF(E1271&lt;600,425+0.773*E1271-1.69/1000*E1271^2+2.22/1000^2*E1271^3,IF(E1271&lt;735,666+13002/(738-E1271),IF(E1271&lt;900,545+17820/(E1271-731),650)))</f>
        <v>749.34219856629147</v>
      </c>
      <c r="I1271" s="12">
        <f t="shared" si="163"/>
        <v>0.31682016279088238</v>
      </c>
      <c r="J1271" s="3"/>
    </row>
    <row r="1272" spans="2:10" x14ac:dyDescent="0.25">
      <c r="B1272" s="3">
        <f t="shared" si="159"/>
        <v>6260</v>
      </c>
      <c r="C1272" s="14">
        <f t="shared" si="160"/>
        <v>104.33333333333333</v>
      </c>
      <c r="D1272" s="11">
        <f t="shared" si="161"/>
        <v>1028.1014123373011</v>
      </c>
      <c r="E1272" s="24">
        <f t="shared" si="162"/>
        <v>590.88110704744611</v>
      </c>
      <c r="F1272" s="38">
        <f t="shared" si="157"/>
        <v>0.80538966679017499</v>
      </c>
      <c r="G1272" s="14">
        <f t="shared" si="158"/>
        <v>0</v>
      </c>
      <c r="H1272" s="24">
        <f t="shared" si="164"/>
        <v>749.69082314862135</v>
      </c>
      <c r="I1272" s="12">
        <f t="shared" si="163"/>
        <v>0.31656586865374636</v>
      </c>
      <c r="J1272" s="3"/>
    </row>
    <row r="1273" spans="2:10" x14ac:dyDescent="0.25">
      <c r="B1273" s="3">
        <f t="shared" si="159"/>
        <v>6265</v>
      </c>
      <c r="C1273" s="14">
        <f t="shared" si="160"/>
        <v>104.41666666666667</v>
      </c>
      <c r="D1273" s="11">
        <f t="shared" si="161"/>
        <v>1028.2208952752571</v>
      </c>
      <c r="E1273" s="24">
        <f t="shared" si="162"/>
        <v>591.1976729160998</v>
      </c>
      <c r="F1273" s="38">
        <f t="shared" si="157"/>
        <v>0.80501513210394626</v>
      </c>
      <c r="G1273" s="14">
        <f t="shared" si="158"/>
        <v>0</v>
      </c>
      <c r="H1273" s="24">
        <f t="shared" si="164"/>
        <v>750.03961810416786</v>
      </c>
      <c r="I1273" s="12">
        <f t="shared" si="163"/>
        <v>0.31631180771586781</v>
      </c>
      <c r="J1273" s="3"/>
    </row>
    <row r="1274" spans="2:10" x14ac:dyDescent="0.25">
      <c r="B1274" s="3">
        <f t="shared" si="159"/>
        <v>6270</v>
      </c>
      <c r="C1274" s="14">
        <f t="shared" si="160"/>
        <v>104.5</v>
      </c>
      <c r="D1274" s="11">
        <f t="shared" si="161"/>
        <v>1028.3402830076745</v>
      </c>
      <c r="E1274" s="24">
        <f t="shared" si="162"/>
        <v>591.51398472381572</v>
      </c>
      <c r="F1274" s="38">
        <f t="shared" si="157"/>
        <v>0.80464076334278112</v>
      </c>
      <c r="G1274" s="14">
        <f t="shared" si="158"/>
        <v>0</v>
      </c>
      <c r="H1274" s="24">
        <f t="shared" si="164"/>
        <v>750.38858302795325</v>
      </c>
      <c r="I1274" s="12">
        <f t="shared" si="163"/>
        <v>0.31605797996614826</v>
      </c>
      <c r="J1274" s="3"/>
    </row>
    <row r="1275" spans="2:10" x14ac:dyDescent="0.25">
      <c r="B1275" s="3">
        <f t="shared" si="159"/>
        <v>6275</v>
      </c>
      <c r="C1275" s="14">
        <f t="shared" si="160"/>
        <v>104.58333333333333</v>
      </c>
      <c r="D1275" s="11">
        <f t="shared" si="161"/>
        <v>1028.4595756861549</v>
      </c>
      <c r="E1275" s="24">
        <f t="shared" si="162"/>
        <v>591.83004270378183</v>
      </c>
      <c r="F1275" s="38">
        <f t="shared" si="157"/>
        <v>0.8042665609632641</v>
      </c>
      <c r="G1275" s="14">
        <f t="shared" si="158"/>
        <v>0</v>
      </c>
      <c r="H1275" s="24">
        <f t="shared" si="164"/>
        <v>750.73771751515005</v>
      </c>
      <c r="I1275" s="12">
        <f t="shared" si="163"/>
        <v>0.31580438539231387</v>
      </c>
      <c r="J1275" s="3"/>
    </row>
    <row r="1276" spans="2:10" x14ac:dyDescent="0.25">
      <c r="B1276" s="3">
        <f t="shared" si="159"/>
        <v>6280</v>
      </c>
      <c r="C1276" s="14">
        <f t="shared" si="160"/>
        <v>104.66666666666667</v>
      </c>
      <c r="D1276" s="11">
        <f t="shared" si="161"/>
        <v>1028.5787734619378</v>
      </c>
      <c r="E1276" s="24">
        <f t="shared" si="162"/>
        <v>592.14584708917414</v>
      </c>
      <c r="F1276" s="38">
        <f t="shared" si="157"/>
        <v>0.80389252541993172</v>
      </c>
      <c r="G1276" s="14">
        <f t="shared" si="158"/>
        <v>0</v>
      </c>
      <c r="H1276" s="24">
        <f t="shared" si="164"/>
        <v>751.08702116108725</v>
      </c>
      <c r="I1276" s="12">
        <f t="shared" si="163"/>
        <v>0.31555102398110801</v>
      </c>
      <c r="J1276" s="3"/>
    </row>
    <row r="1277" spans="2:10" x14ac:dyDescent="0.25">
      <c r="B1277" s="3">
        <f t="shared" si="159"/>
        <v>6285</v>
      </c>
      <c r="C1277" s="14">
        <f t="shared" si="160"/>
        <v>104.75</v>
      </c>
      <c r="D1277" s="11">
        <f t="shared" si="161"/>
        <v>1028.6978764859014</v>
      </c>
      <c r="E1277" s="24">
        <f t="shared" si="162"/>
        <v>592.46139811315527</v>
      </c>
      <c r="F1277" s="38">
        <f t="shared" si="157"/>
        <v>0.80351865716527648</v>
      </c>
      <c r="G1277" s="14">
        <f t="shared" si="158"/>
        <v>0</v>
      </c>
      <c r="H1277" s="24">
        <f t="shared" si="164"/>
        <v>751.4364935612507</v>
      </c>
      <c r="I1277" s="12">
        <f t="shared" si="163"/>
        <v>0.31529789571820005</v>
      </c>
      <c r="J1277" s="3"/>
    </row>
    <row r="1278" spans="2:10" x14ac:dyDescent="0.25">
      <c r="B1278" s="3">
        <f t="shared" si="159"/>
        <v>6290</v>
      </c>
      <c r="C1278" s="14">
        <f t="shared" si="160"/>
        <v>104.83333333333333</v>
      </c>
      <c r="D1278" s="11">
        <f t="shared" si="161"/>
        <v>1028.8168849085655</v>
      </c>
      <c r="E1278" s="24">
        <f t="shared" si="162"/>
        <v>592.7766960088735</v>
      </c>
      <c r="F1278" s="38">
        <f t="shared" si="157"/>
        <v>0.80314495664974683</v>
      </c>
      <c r="G1278" s="14">
        <f t="shared" si="158"/>
        <v>0</v>
      </c>
      <c r="H1278" s="24">
        <f t="shared" si="164"/>
        <v>751.78613431128792</v>
      </c>
      <c r="I1278" s="12">
        <f t="shared" si="163"/>
        <v>0.31504500058807633</v>
      </c>
      <c r="J1278" s="3"/>
    </row>
    <row r="1279" spans="2:10" x14ac:dyDescent="0.25">
      <c r="B1279" s="3">
        <f t="shared" si="159"/>
        <v>6295</v>
      </c>
      <c r="C1279" s="14">
        <f t="shared" si="160"/>
        <v>104.91666666666667</v>
      </c>
      <c r="D1279" s="11">
        <f t="shared" si="161"/>
        <v>1028.9357988800903</v>
      </c>
      <c r="E1279" s="24">
        <f t="shared" si="162"/>
        <v>593.09174100946154</v>
      </c>
      <c r="F1279" s="38">
        <f t="shared" si="157"/>
        <v>0.80277142432174853</v>
      </c>
      <c r="G1279" s="14">
        <f t="shared" si="158"/>
        <v>0</v>
      </c>
      <c r="H1279" s="24">
        <f t="shared" si="164"/>
        <v>752.13594300701152</v>
      </c>
      <c r="I1279" s="12">
        <f t="shared" si="163"/>
        <v>0.31479233857434608</v>
      </c>
      <c r="J1279" s="3"/>
    </row>
    <row r="1280" spans="2:10" x14ac:dyDescent="0.25">
      <c r="B1280" s="3">
        <f t="shared" si="159"/>
        <v>6300</v>
      </c>
      <c r="C1280" s="14">
        <f t="shared" si="160"/>
        <v>105</v>
      </c>
      <c r="D1280" s="11">
        <f t="shared" si="161"/>
        <v>1029.0546185502797</v>
      </c>
      <c r="E1280" s="24">
        <f t="shared" si="162"/>
        <v>593.40653334803585</v>
      </c>
      <c r="F1280" s="38">
        <f t="shared" si="157"/>
        <v>0.80239806062764851</v>
      </c>
      <c r="G1280" s="14">
        <f t="shared" si="158"/>
        <v>0</v>
      </c>
      <c r="H1280" s="24">
        <f t="shared" si="164"/>
        <v>752.48591924440029</v>
      </c>
      <c r="I1280" s="12">
        <f t="shared" si="163"/>
        <v>0.31453990965934847</v>
      </c>
      <c r="J1280" s="3"/>
    </row>
    <row r="1281" spans="2:10" x14ac:dyDescent="0.25">
      <c r="B1281" s="3">
        <f t="shared" si="159"/>
        <v>6305</v>
      </c>
      <c r="C1281" s="14">
        <f t="shared" si="160"/>
        <v>105.08333333333333</v>
      </c>
      <c r="D1281" s="11">
        <f t="shared" si="161"/>
        <v>1029.1733440685812</v>
      </c>
      <c r="E1281" s="24">
        <f t="shared" si="162"/>
        <v>593.72107325769525</v>
      </c>
      <c r="F1281" s="38">
        <f t="shared" si="157"/>
        <v>0.80202486601177314</v>
      </c>
      <c r="G1281" s="14">
        <f t="shared" si="158"/>
        <v>0</v>
      </c>
      <c r="H1281" s="24">
        <f t="shared" si="164"/>
        <v>752.83606261960585</v>
      </c>
      <c r="I1281" s="12">
        <f t="shared" si="163"/>
        <v>0.31428771382449655</v>
      </c>
      <c r="J1281" s="3"/>
    </row>
    <row r="1282" spans="2:10" x14ac:dyDescent="0.25">
      <c r="B1282" s="3">
        <f t="shared" si="159"/>
        <v>6310</v>
      </c>
      <c r="C1282" s="14">
        <f t="shared" si="160"/>
        <v>105.16666666666667</v>
      </c>
      <c r="D1282" s="11">
        <f t="shared" si="161"/>
        <v>1029.2919755840869</v>
      </c>
      <c r="E1282" s="24">
        <f t="shared" si="162"/>
        <v>594.03536097151971</v>
      </c>
      <c r="F1282" s="38">
        <f t="shared" si="157"/>
        <v>0.80165184091641328</v>
      </c>
      <c r="G1282" s="14">
        <f t="shared" si="158"/>
        <v>0</v>
      </c>
      <c r="H1282" s="24">
        <f t="shared" si="164"/>
        <v>753.18637272895194</v>
      </c>
      <c r="I1282" s="12">
        <f t="shared" si="163"/>
        <v>0.31403575105014891</v>
      </c>
      <c r="J1282" s="3"/>
    </row>
    <row r="1283" spans="2:10" x14ac:dyDescent="0.25">
      <c r="B1283" s="3">
        <f t="shared" si="159"/>
        <v>6315</v>
      </c>
      <c r="C1283" s="14">
        <f t="shared" si="160"/>
        <v>105.25</v>
      </c>
      <c r="D1283" s="11">
        <f t="shared" si="161"/>
        <v>1029.4105132455361</v>
      </c>
      <c r="E1283" s="24">
        <f t="shared" si="162"/>
        <v>594.34939672256985</v>
      </c>
      <c r="F1283" s="38">
        <f t="shared" si="157"/>
        <v>0.80127898578182466</v>
      </c>
      <c r="G1283" s="14">
        <f t="shared" si="158"/>
        <v>0</v>
      </c>
      <c r="H1283" s="24">
        <f t="shared" si="164"/>
        <v>753.53684916894008</v>
      </c>
      <c r="I1283" s="12">
        <f t="shared" si="163"/>
        <v>0.31378402131550021</v>
      </c>
      <c r="J1283" s="3"/>
    </row>
    <row r="1284" spans="2:10" x14ac:dyDescent="0.25">
      <c r="B1284" s="3">
        <f t="shared" si="159"/>
        <v>6320</v>
      </c>
      <c r="C1284" s="14">
        <f t="shared" si="160"/>
        <v>105.33333333333333</v>
      </c>
      <c r="D1284" s="11">
        <f t="shared" si="161"/>
        <v>1029.5289572013139</v>
      </c>
      <c r="E1284" s="24">
        <f t="shared" si="162"/>
        <v>594.66318074388539</v>
      </c>
      <c r="F1284" s="38">
        <f t="shared" si="157"/>
        <v>0.80090630104622973</v>
      </c>
      <c r="G1284" s="14">
        <f t="shared" si="158"/>
        <v>0</v>
      </c>
      <c r="H1284" s="24">
        <f t="shared" si="164"/>
        <v>753.88749153625167</v>
      </c>
      <c r="I1284" s="12">
        <f t="shared" si="163"/>
        <v>0.31353252459888648</v>
      </c>
      <c r="J1284" s="3"/>
    </row>
    <row r="1285" spans="2:10" x14ac:dyDescent="0.25">
      <c r="B1285" s="3">
        <f t="shared" si="159"/>
        <v>6325</v>
      </c>
      <c r="C1285" s="14">
        <f t="shared" si="160"/>
        <v>105.41666666666667</v>
      </c>
      <c r="D1285" s="11">
        <f t="shared" si="161"/>
        <v>1029.6473075994554</v>
      </c>
      <c r="E1285" s="24">
        <f t="shared" si="162"/>
        <v>594.97671326848433</v>
      </c>
      <c r="F1285" s="38">
        <f t="shared" si="157"/>
        <v>0.80053378714581902</v>
      </c>
      <c r="G1285" s="14">
        <f t="shared" si="158"/>
        <v>0</v>
      </c>
      <c r="H1285" s="24">
        <f t="shared" si="164"/>
        <v>754.23829942775137</v>
      </c>
      <c r="I1285" s="12">
        <f t="shared" si="163"/>
        <v>0.31328126087737485</v>
      </c>
      <c r="J1285" s="3"/>
    </row>
    <row r="1286" spans="2:10" x14ac:dyDescent="0.25">
      <c r="B1286" s="3">
        <f t="shared" si="159"/>
        <v>6330</v>
      </c>
      <c r="C1286" s="14">
        <f t="shared" si="160"/>
        <v>105.5</v>
      </c>
      <c r="D1286" s="11">
        <f t="shared" si="161"/>
        <v>1029.7655645876439</v>
      </c>
      <c r="E1286" s="24">
        <f t="shared" si="162"/>
        <v>595.28999452936171</v>
      </c>
      <c r="F1286" s="38">
        <f t="shared" si="157"/>
        <v>0.80016144451475424</v>
      </c>
      <c r="G1286" s="14">
        <f t="shared" si="158"/>
        <v>0</v>
      </c>
      <c r="H1286" s="24">
        <f t="shared" si="164"/>
        <v>754.58927244049028</v>
      </c>
      <c r="I1286" s="12">
        <f t="shared" si="163"/>
        <v>0.31303023012721898</v>
      </c>
      <c r="J1286" s="3"/>
    </row>
    <row r="1287" spans="2:10" x14ac:dyDescent="0.25">
      <c r="B1287" s="3">
        <f t="shared" si="159"/>
        <v>6335</v>
      </c>
      <c r="C1287" s="14">
        <f t="shared" si="160"/>
        <v>105.58333333333333</v>
      </c>
      <c r="D1287" s="11">
        <f t="shared" si="161"/>
        <v>1029.8837283132134</v>
      </c>
      <c r="E1287" s="24">
        <f t="shared" si="162"/>
        <v>595.6030247594889</v>
      </c>
      <c r="F1287" s="38">
        <f t="shared" si="157"/>
        <v>0.7997892735851696</v>
      </c>
      <c r="G1287" s="14">
        <f t="shared" si="158"/>
        <v>0</v>
      </c>
      <c r="H1287" s="24">
        <f t="shared" si="164"/>
        <v>754.94041017170787</v>
      </c>
      <c r="I1287" s="12">
        <f t="shared" si="163"/>
        <v>0.31277943232352379</v>
      </c>
      <c r="J1287" s="3"/>
    </row>
    <row r="1288" spans="2:10" x14ac:dyDescent="0.25">
      <c r="B1288" s="3">
        <f t="shared" si="159"/>
        <v>6340</v>
      </c>
      <c r="C1288" s="14">
        <f t="shared" si="160"/>
        <v>105.66666666666667</v>
      </c>
      <c r="D1288" s="11">
        <f t="shared" si="161"/>
        <v>1030.0017989231505</v>
      </c>
      <c r="E1288" s="24">
        <f t="shared" si="162"/>
        <v>595.91580419181241</v>
      </c>
      <c r="F1288" s="38">
        <f t="shared" si="157"/>
        <v>0.79941727478717273</v>
      </c>
      <c r="G1288" s="14">
        <f t="shared" si="158"/>
        <v>0</v>
      </c>
      <c r="H1288" s="24">
        <f t="shared" si="164"/>
        <v>755.29171221883689</v>
      </c>
      <c r="I1288" s="12">
        <f t="shared" si="163"/>
        <v>0.31252886744030595</v>
      </c>
      <c r="J1288" s="3"/>
    </row>
    <row r="1289" spans="2:10" x14ac:dyDescent="0.25">
      <c r="B1289" s="3">
        <f t="shared" si="159"/>
        <v>6345</v>
      </c>
      <c r="C1289" s="14">
        <f t="shared" si="160"/>
        <v>105.75</v>
      </c>
      <c r="D1289" s="11">
        <f t="shared" si="161"/>
        <v>1030.1197765640939</v>
      </c>
      <c r="E1289" s="24">
        <f t="shared" si="162"/>
        <v>596.22833305925269</v>
      </c>
      <c r="F1289" s="38">
        <f t="shared" si="157"/>
        <v>0.79904544854884896</v>
      </c>
      <c r="G1289" s="14">
        <f t="shared" si="158"/>
        <v>0</v>
      </c>
      <c r="H1289" s="24">
        <f t="shared" si="164"/>
        <v>755.64317817950473</v>
      </c>
      <c r="I1289" s="12">
        <f t="shared" si="163"/>
        <v>0.31227853545070522</v>
      </c>
      <c r="J1289" s="3"/>
    </row>
    <row r="1290" spans="2:10" x14ac:dyDescent="0.25">
      <c r="B1290" s="3">
        <f t="shared" si="159"/>
        <v>6350</v>
      </c>
      <c r="C1290" s="14">
        <f t="shared" si="160"/>
        <v>105.83333333333333</v>
      </c>
      <c r="D1290" s="11">
        <f t="shared" si="161"/>
        <v>1030.237661382336</v>
      </c>
      <c r="E1290" s="24">
        <f t="shared" si="162"/>
        <v>596.54061159470336</v>
      </c>
      <c r="F1290" s="38">
        <f t="shared" si="157"/>
        <v>0.79867379529626203</v>
      </c>
      <c r="G1290" s="14">
        <f t="shared" si="158"/>
        <v>0</v>
      </c>
      <c r="H1290" s="24">
        <f t="shared" si="164"/>
        <v>755.99480765153635</v>
      </c>
      <c r="I1290" s="12">
        <f t="shared" si="163"/>
        <v>0.31202843632674282</v>
      </c>
      <c r="J1290" s="3"/>
    </row>
    <row r="1291" spans="2:10" x14ac:dyDescent="0.25">
      <c r="B1291" s="3">
        <f t="shared" si="159"/>
        <v>6355</v>
      </c>
      <c r="C1291" s="14">
        <f t="shared" si="160"/>
        <v>105.91666666666667</v>
      </c>
      <c r="D1291" s="11">
        <f t="shared" si="161"/>
        <v>1030.3554535238245</v>
      </c>
      <c r="E1291" s="24">
        <f t="shared" si="162"/>
        <v>596.85264003103009</v>
      </c>
      <c r="F1291" s="38">
        <f t="shared" si="157"/>
        <v>0.79830231545345498</v>
      </c>
      <c r="G1291" s="14">
        <f t="shared" si="158"/>
        <v>0</v>
      </c>
      <c r="H1291" s="24">
        <f t="shared" si="164"/>
        <v>756.3466002329593</v>
      </c>
      <c r="I1291" s="12">
        <f t="shared" si="163"/>
        <v>0.31177857003945691</v>
      </c>
      <c r="J1291" s="3"/>
    </row>
    <row r="1292" spans="2:10" x14ac:dyDescent="0.25">
      <c r="B1292" s="3">
        <f t="shared" si="159"/>
        <v>6360</v>
      </c>
      <c r="C1292" s="14">
        <f t="shared" si="160"/>
        <v>106</v>
      </c>
      <c r="D1292" s="11">
        <f t="shared" si="161"/>
        <v>1030.4731531341636</v>
      </c>
      <c r="E1292" s="24">
        <f t="shared" si="162"/>
        <v>597.16441860106954</v>
      </c>
      <c r="F1292" s="38">
        <f t="shared" si="157"/>
        <v>0.7979310094424551</v>
      </c>
      <c r="G1292" s="14">
        <f t="shared" si="158"/>
        <v>0</v>
      </c>
      <c r="H1292" s="24">
        <f t="shared" si="164"/>
        <v>756.69855552200386</v>
      </c>
      <c r="I1292" s="12">
        <f t="shared" si="163"/>
        <v>0.31152893655881325</v>
      </c>
      <c r="J1292" s="3"/>
    </row>
    <row r="1293" spans="2:10" x14ac:dyDescent="0.25">
      <c r="B1293" s="3">
        <f t="shared" si="159"/>
        <v>6365</v>
      </c>
      <c r="C1293" s="14">
        <f t="shared" si="160"/>
        <v>106.08333333333333</v>
      </c>
      <c r="D1293" s="11">
        <f t="shared" si="161"/>
        <v>1030.5907603586136</v>
      </c>
      <c r="E1293" s="24">
        <f t="shared" si="162"/>
        <v>597.47594753762837</v>
      </c>
      <c r="F1293" s="38">
        <f t="shared" si="157"/>
        <v>0.7975598776832733</v>
      </c>
      <c r="G1293" s="14">
        <f t="shared" si="158"/>
        <v>0</v>
      </c>
      <c r="H1293" s="24">
        <f t="shared" si="164"/>
        <v>757.05067311710775</v>
      </c>
      <c r="I1293" s="12">
        <f t="shared" si="163"/>
        <v>0.31127953585389589</v>
      </c>
      <c r="J1293" s="3"/>
    </row>
    <row r="1294" spans="2:10" x14ac:dyDescent="0.25">
      <c r="B1294" s="3">
        <f t="shared" si="159"/>
        <v>6370</v>
      </c>
      <c r="C1294" s="14">
        <f t="shared" si="160"/>
        <v>106.16666666666667</v>
      </c>
      <c r="D1294" s="11">
        <f t="shared" si="161"/>
        <v>1030.7082753420941</v>
      </c>
      <c r="E1294" s="24">
        <f t="shared" si="162"/>
        <v>597.78722707348231</v>
      </c>
      <c r="F1294" s="38">
        <f t="shared" si="157"/>
        <v>0.79718892059390822</v>
      </c>
      <c r="G1294" s="14">
        <f t="shared" si="158"/>
        <v>0</v>
      </c>
      <c r="H1294" s="24">
        <f t="shared" si="164"/>
        <v>757.40295261691836</v>
      </c>
      <c r="I1294" s="12">
        <f t="shared" si="163"/>
        <v>0.31103036789262978</v>
      </c>
      <c r="J1294" s="3"/>
    </row>
    <row r="1295" spans="2:10" x14ac:dyDescent="0.25">
      <c r="B1295" s="3">
        <f t="shared" si="159"/>
        <v>6375</v>
      </c>
      <c r="C1295" s="14">
        <f t="shared" si="160"/>
        <v>106.25</v>
      </c>
      <c r="D1295" s="11">
        <f t="shared" si="161"/>
        <v>1030.8256982291828</v>
      </c>
      <c r="E1295" s="24">
        <f t="shared" si="162"/>
        <v>598.09825744137493</v>
      </c>
      <c r="F1295" s="38">
        <f t="shared" si="157"/>
        <v>0.79681813859034734</v>
      </c>
      <c r="G1295" s="14">
        <f t="shared" si="158"/>
        <v>0</v>
      </c>
      <c r="H1295" s="24">
        <f t="shared" si="164"/>
        <v>757.75539362029599</v>
      </c>
      <c r="I1295" s="12">
        <f t="shared" si="163"/>
        <v>0.31078143264212238</v>
      </c>
      <c r="J1295" s="3"/>
    </row>
    <row r="1296" spans="2:10" x14ac:dyDescent="0.25">
      <c r="B1296" s="3">
        <f t="shared" si="159"/>
        <v>6380</v>
      </c>
      <c r="C1296" s="14">
        <f t="shared" si="160"/>
        <v>106.33333333333333</v>
      </c>
      <c r="D1296" s="11">
        <f t="shared" si="161"/>
        <v>1030.9430291641188</v>
      </c>
      <c r="E1296" s="24">
        <f t="shared" si="162"/>
        <v>598.40903887401703</v>
      </c>
      <c r="F1296" s="38">
        <f t="shared" si="157"/>
        <v>0.79644753208656949</v>
      </c>
      <c r="G1296" s="14">
        <f t="shared" si="158"/>
        <v>0</v>
      </c>
      <c r="H1296" s="24">
        <f t="shared" si="164"/>
        <v>758.10799572631618</v>
      </c>
      <c r="I1296" s="12">
        <f t="shared" si="163"/>
        <v>0.31053273006827298</v>
      </c>
      <c r="J1296" s="3"/>
    </row>
    <row r="1297" spans="2:10" x14ac:dyDescent="0.25">
      <c r="B1297" s="3">
        <f t="shared" si="159"/>
        <v>6385</v>
      </c>
      <c r="C1297" s="14">
        <f t="shared" si="160"/>
        <v>106.41666666666667</v>
      </c>
      <c r="D1297" s="11">
        <f t="shared" si="161"/>
        <v>1031.060268290802</v>
      </c>
      <c r="E1297" s="24">
        <f t="shared" si="162"/>
        <v>598.71957160408533</v>
      </c>
      <c r="F1297" s="38">
        <f t="shared" si="157"/>
        <v>0.79607710149454769</v>
      </c>
      <c r="G1297" s="14">
        <f t="shared" si="158"/>
        <v>0</v>
      </c>
      <c r="H1297" s="24">
        <f t="shared" si="164"/>
        <v>758.46075853427305</v>
      </c>
      <c r="I1297" s="12">
        <f t="shared" si="163"/>
        <v>0.31028426013617105</v>
      </c>
      <c r="J1297" s="3"/>
    </row>
    <row r="1298" spans="2:10" x14ac:dyDescent="0.25">
      <c r="B1298" s="3">
        <f t="shared" si="159"/>
        <v>6390</v>
      </c>
      <c r="C1298" s="14">
        <f t="shared" si="160"/>
        <v>106.5</v>
      </c>
      <c r="D1298" s="11">
        <f t="shared" si="161"/>
        <v>1031.1774157527952</v>
      </c>
      <c r="E1298" s="24">
        <f t="shared" si="162"/>
        <v>599.02985586422153</v>
      </c>
      <c r="F1298" s="38">
        <f t="shared" si="157"/>
        <v>0.79570684722425056</v>
      </c>
      <c r="G1298" s="14">
        <f t="shared" si="158"/>
        <v>0</v>
      </c>
      <c r="H1298" s="24">
        <f t="shared" si="164"/>
        <v>758.81368164368178</v>
      </c>
      <c r="I1298" s="12">
        <f t="shared" si="163"/>
        <v>0.31003602280979942</v>
      </c>
      <c r="J1298" s="3"/>
    </row>
    <row r="1299" spans="2:10" x14ac:dyDescent="0.25">
      <c r="B1299" s="3">
        <f t="shared" si="159"/>
        <v>6395</v>
      </c>
      <c r="C1299" s="14">
        <f t="shared" si="160"/>
        <v>106.58333333333333</v>
      </c>
      <c r="D1299" s="11">
        <f t="shared" si="161"/>
        <v>1031.2944716933248</v>
      </c>
      <c r="E1299" s="24">
        <f t="shared" si="162"/>
        <v>599.33989188703129</v>
      </c>
      <c r="F1299" s="38">
        <f t="shared" si="157"/>
        <v>0.79533676968364486</v>
      </c>
      <c r="G1299" s="14">
        <f t="shared" si="158"/>
        <v>0</v>
      </c>
      <c r="H1299" s="24">
        <f t="shared" si="164"/>
        <v>759.16676465428156</v>
      </c>
      <c r="I1299" s="12">
        <f t="shared" si="163"/>
        <v>0.30978801805220746</v>
      </c>
      <c r="J1299" s="3"/>
    </row>
    <row r="1300" spans="2:10" x14ac:dyDescent="0.25">
      <c r="B1300" s="3">
        <f t="shared" si="159"/>
        <v>6400</v>
      </c>
      <c r="C1300" s="14">
        <f t="shared" si="160"/>
        <v>106.66666666666667</v>
      </c>
      <c r="D1300" s="11">
        <f t="shared" si="161"/>
        <v>1031.4114362552807</v>
      </c>
      <c r="E1300" s="24">
        <f t="shared" si="162"/>
        <v>599.64967990508353</v>
      </c>
      <c r="F1300" s="38">
        <f t="shared" ref="F1300:F1363" si="165">Cp*RhoP/(RhoA*H1300)*dp/1000*MassivP</f>
        <v>0.79496686927869875</v>
      </c>
      <c r="G1300" s="14">
        <f t="shared" ref="G1300:G1363" si="166">Phi*EpsilonF*Botzman/10^8*J1300*((D1300+273)^4-(E1300+273)^4)</f>
        <v>0</v>
      </c>
      <c r="H1300" s="24">
        <f t="shared" si="164"/>
        <v>759.52000716603811</v>
      </c>
      <c r="I1300" s="12">
        <f t="shared" si="163"/>
        <v>0.30954024582553247</v>
      </c>
      <c r="J1300" s="3"/>
    </row>
    <row r="1301" spans="2:10" x14ac:dyDescent="0.25">
      <c r="B1301" s="3">
        <f t="shared" ref="B1301:B1364" si="167">B1300+DeltaT</f>
        <v>6405</v>
      </c>
      <c r="C1301" s="14">
        <f t="shared" ref="C1301:C1364" si="168">B1301/60</f>
        <v>106.75</v>
      </c>
      <c r="D1301" s="11">
        <f t="shared" ref="D1301:D1364" si="169">20+345*LOG(8*C1301+1,10)</f>
        <v>1031.5283095812194</v>
      </c>
      <c r="E1301" s="24">
        <f t="shared" ref="E1301:E1364" si="170">E1300+IF(Limit=Oui,MAX(0,I1300),I1300)</f>
        <v>599.95922015090912</v>
      </c>
      <c r="F1301" s="38">
        <f t="shared" si="165"/>
        <v>0.7945971464133823</v>
      </c>
      <c r="G1301" s="14">
        <f t="shared" si="166"/>
        <v>0</v>
      </c>
      <c r="H1301" s="24">
        <f t="shared" si="164"/>
        <v>759.87340877914744</v>
      </c>
      <c r="I1301" s="12">
        <f t="shared" ref="I1301:I1364" si="171">LambdaP*MassivP/(dp/1000)/(H1301*RhoA)/(1+F1301/3)*(D1301-E1301)*DeltaT-(EXP(F1301/10)-1)*(D1301-D1300)</f>
        <v>0.30929270609079756</v>
      </c>
      <c r="J1301" s="3"/>
    </row>
    <row r="1302" spans="2:10" x14ac:dyDescent="0.25">
      <c r="B1302" s="3">
        <f t="shared" si="167"/>
        <v>6410</v>
      </c>
      <c r="C1302" s="14">
        <f t="shared" si="168"/>
        <v>106.83333333333333</v>
      </c>
      <c r="D1302" s="11">
        <f t="shared" si="169"/>
        <v>1031.6450918133642</v>
      </c>
      <c r="E1302" s="24">
        <f t="shared" si="170"/>
        <v>600.26851285699991</v>
      </c>
      <c r="F1302" s="38">
        <f t="shared" si="165"/>
        <v>0.79404575385705145</v>
      </c>
      <c r="G1302" s="14">
        <f t="shared" si="166"/>
        <v>0</v>
      </c>
      <c r="H1302" s="24">
        <f t="shared" si="164"/>
        <v>760.40107174985076</v>
      </c>
      <c r="I1302" s="12">
        <f t="shared" si="171"/>
        <v>0.30898999984460485</v>
      </c>
      <c r="J1302" s="3"/>
    </row>
    <row r="1303" spans="2:10" x14ac:dyDescent="0.25">
      <c r="B1303" s="3">
        <f t="shared" si="167"/>
        <v>6415</v>
      </c>
      <c r="C1303" s="14">
        <f t="shared" si="168"/>
        <v>106.91666666666667</v>
      </c>
      <c r="D1303" s="11">
        <f t="shared" si="169"/>
        <v>1031.7617830936058</v>
      </c>
      <c r="E1303" s="24">
        <f t="shared" si="170"/>
        <v>600.57750285684449</v>
      </c>
      <c r="F1303" s="38">
        <f t="shared" si="165"/>
        <v>0.79382416643301423</v>
      </c>
      <c r="G1303" s="14">
        <f t="shared" si="166"/>
        <v>0</v>
      </c>
      <c r="H1303" s="24">
        <f t="shared" si="164"/>
        <v>760.61332947876485</v>
      </c>
      <c r="I1303" s="12">
        <f t="shared" si="171"/>
        <v>0.30878798884865177</v>
      </c>
      <c r="J1303" s="3"/>
    </row>
    <row r="1304" spans="2:10" x14ac:dyDescent="0.25">
      <c r="B1304" s="3">
        <f t="shared" si="167"/>
        <v>6420</v>
      </c>
      <c r="C1304" s="14">
        <f t="shared" si="168"/>
        <v>107</v>
      </c>
      <c r="D1304" s="11">
        <f t="shared" si="169"/>
        <v>1031.8783835635033</v>
      </c>
      <c r="E1304" s="24">
        <f t="shared" si="170"/>
        <v>600.88629084569311</v>
      </c>
      <c r="F1304" s="38">
        <f t="shared" si="165"/>
        <v>0.79360185050198584</v>
      </c>
      <c r="G1304" s="14">
        <f t="shared" si="166"/>
        <v>0</v>
      </c>
      <c r="H1304" s="24">
        <f t="shared" si="164"/>
        <v>760.82640415895708</v>
      </c>
      <c r="I1304" s="12">
        <f t="shared" si="171"/>
        <v>0.30858587651105873</v>
      </c>
      <c r="J1304" s="3"/>
    </row>
    <row r="1305" spans="2:10" x14ac:dyDescent="0.25">
      <c r="B1305" s="3">
        <f t="shared" si="167"/>
        <v>6425</v>
      </c>
      <c r="C1305" s="14">
        <f t="shared" si="168"/>
        <v>107.08333333333333</v>
      </c>
      <c r="D1305" s="11">
        <f t="shared" si="169"/>
        <v>1031.9948933642859</v>
      </c>
      <c r="E1305" s="24">
        <f t="shared" si="170"/>
        <v>601.19487672220419</v>
      </c>
      <c r="F1305" s="38">
        <f t="shared" si="165"/>
        <v>0.79337880268223437</v>
      </c>
      <c r="G1305" s="14">
        <f t="shared" si="166"/>
        <v>0</v>
      </c>
      <c r="H1305" s="24">
        <f t="shared" si="164"/>
        <v>761.04030030803892</v>
      </c>
      <c r="I1305" s="12">
        <f t="shared" si="171"/>
        <v>0.30838366217988172</v>
      </c>
      <c r="J1305" s="3"/>
    </row>
    <row r="1306" spans="2:10" x14ac:dyDescent="0.25">
      <c r="B1306" s="3">
        <f t="shared" si="167"/>
        <v>6430</v>
      </c>
      <c r="C1306" s="14">
        <f t="shared" si="168"/>
        <v>107.16666666666667</v>
      </c>
      <c r="D1306" s="11">
        <f t="shared" si="169"/>
        <v>1032.1113126368537</v>
      </c>
      <c r="E1306" s="24">
        <f t="shared" si="170"/>
        <v>601.50326038438402</v>
      </c>
      <c r="F1306" s="38">
        <f t="shared" si="165"/>
        <v>0.79315501957200651</v>
      </c>
      <c r="G1306" s="14">
        <f t="shared" si="166"/>
        <v>0</v>
      </c>
      <c r="H1306" s="24">
        <f t="shared" si="164"/>
        <v>761.25502247610098</v>
      </c>
      <c r="I1306" s="12">
        <f t="shared" si="171"/>
        <v>0.30818134519785417</v>
      </c>
      <c r="J1306" s="3"/>
    </row>
    <row r="1307" spans="2:10" x14ac:dyDescent="0.25">
      <c r="B1307" s="3">
        <f t="shared" si="167"/>
        <v>6435</v>
      </c>
      <c r="C1307" s="14">
        <f t="shared" si="168"/>
        <v>107.25</v>
      </c>
      <c r="D1307" s="11">
        <f t="shared" si="169"/>
        <v>1032.2276415217784</v>
      </c>
      <c r="E1307" s="24">
        <f t="shared" si="170"/>
        <v>601.81144172958193</v>
      </c>
      <c r="F1307" s="38">
        <f t="shared" si="165"/>
        <v>0.79293049774938518</v>
      </c>
      <c r="G1307" s="14">
        <f t="shared" si="166"/>
        <v>0</v>
      </c>
      <c r="H1307" s="24">
        <f t="shared" si="164"/>
        <v>761.47057524599848</v>
      </c>
      <c r="I1307" s="12">
        <f t="shared" si="171"/>
        <v>0.30797892490242573</v>
      </c>
      <c r="J1307" s="3"/>
    </row>
    <row r="1308" spans="2:10" x14ac:dyDescent="0.25">
      <c r="B1308" s="3">
        <f t="shared" si="167"/>
        <v>6440</v>
      </c>
      <c r="C1308" s="14">
        <f t="shared" si="168"/>
        <v>107.33333333333333</v>
      </c>
      <c r="D1308" s="11">
        <f t="shared" si="169"/>
        <v>1032.3438801593047</v>
      </c>
      <c r="E1308" s="24">
        <f t="shared" si="170"/>
        <v>602.11942065448432</v>
      </c>
      <c r="F1308" s="38">
        <f t="shared" si="165"/>
        <v>0.79270523377214841</v>
      </c>
      <c r="G1308" s="14">
        <f t="shared" si="166"/>
        <v>0</v>
      </c>
      <c r="H1308" s="24">
        <f t="shared" si="164"/>
        <v>761.68696323363952</v>
      </c>
      <c r="I1308" s="12">
        <f t="shared" si="171"/>
        <v>0.30777640062563266</v>
      </c>
      <c r="J1308" s="3"/>
    </row>
    <row r="1309" spans="2:10" x14ac:dyDescent="0.25">
      <c r="B1309" s="3">
        <f t="shared" si="167"/>
        <v>6445</v>
      </c>
      <c r="C1309" s="14">
        <f t="shared" si="168"/>
        <v>107.41666666666667</v>
      </c>
      <c r="D1309" s="11">
        <f t="shared" si="169"/>
        <v>1032.460028689351</v>
      </c>
      <c r="E1309" s="24">
        <f t="shared" si="170"/>
        <v>602.4271970551099</v>
      </c>
      <c r="F1309" s="38">
        <f t="shared" si="165"/>
        <v>0.79247922417762739</v>
      </c>
      <c r="G1309" s="14">
        <f t="shared" si="166"/>
        <v>0</v>
      </c>
      <c r="H1309" s="24">
        <f t="shared" si="164"/>
        <v>761.90419108827655</v>
      </c>
      <c r="I1309" s="12">
        <f t="shared" si="171"/>
        <v>0.30757377169407968</v>
      </c>
      <c r="J1309" s="3"/>
    </row>
    <row r="1310" spans="2:10" x14ac:dyDescent="0.25">
      <c r="B1310" s="3">
        <f t="shared" si="167"/>
        <v>6450</v>
      </c>
      <c r="C1310" s="14">
        <f t="shared" si="168"/>
        <v>107.5</v>
      </c>
      <c r="D1310" s="11">
        <f t="shared" si="169"/>
        <v>1032.5760872515107</v>
      </c>
      <c r="E1310" s="24">
        <f t="shared" si="170"/>
        <v>602.73477082680392</v>
      </c>
      <c r="F1310" s="38">
        <f t="shared" si="165"/>
        <v>0.79225246548255968</v>
      </c>
      <c r="G1310" s="14">
        <f t="shared" si="166"/>
        <v>0</v>
      </c>
      <c r="H1310" s="24">
        <f t="shared" si="164"/>
        <v>762.12226349280047</v>
      </c>
      <c r="I1310" s="12">
        <f t="shared" si="171"/>
        <v>0.30737103742892219</v>
      </c>
      <c r="J1310" s="3"/>
    </row>
    <row r="1311" spans="2:10" x14ac:dyDescent="0.25">
      <c r="B1311" s="3">
        <f t="shared" si="167"/>
        <v>6455</v>
      </c>
      <c r="C1311" s="14">
        <f t="shared" si="168"/>
        <v>107.58333333333333</v>
      </c>
      <c r="D1311" s="11">
        <f t="shared" si="169"/>
        <v>1032.692055985053</v>
      </c>
      <c r="E1311" s="24">
        <f t="shared" si="170"/>
        <v>603.0421418642328</v>
      </c>
      <c r="F1311" s="38">
        <f t="shared" si="165"/>
        <v>0.7920249541829455</v>
      </c>
      <c r="G1311" s="14">
        <f t="shared" si="166"/>
        <v>0</v>
      </c>
      <c r="H1311" s="24">
        <f t="shared" si="164"/>
        <v>762.34118516403862</v>
      </c>
      <c r="I1311" s="12">
        <f t="shared" si="171"/>
        <v>0.30716819714580995</v>
      </c>
      <c r="J1311" s="3"/>
    </row>
    <row r="1312" spans="2:10" x14ac:dyDescent="0.25">
      <c r="B1312" s="3">
        <f t="shared" si="167"/>
        <v>6460</v>
      </c>
      <c r="C1312" s="14">
        <f t="shared" si="168"/>
        <v>107.66666666666667</v>
      </c>
      <c r="D1312" s="11">
        <f t="shared" si="169"/>
        <v>1032.8079350289238</v>
      </c>
      <c r="E1312" s="24">
        <f t="shared" si="170"/>
        <v>603.34931006137856</v>
      </c>
      <c r="F1312" s="38">
        <f t="shared" si="165"/>
        <v>0.79179668675390158</v>
      </c>
      <c r="G1312" s="14">
        <f t="shared" si="166"/>
        <v>0</v>
      </c>
      <c r="H1312" s="24">
        <f t="shared" si="164"/>
        <v>762.56096085305444</v>
      </c>
      <c r="I1312" s="12">
        <f t="shared" si="171"/>
        <v>0.30696525015490606</v>
      </c>
      <c r="J1312" s="3"/>
    </row>
    <row r="1313" spans="2:10" x14ac:dyDescent="0.25">
      <c r="B1313" s="3">
        <f t="shared" si="167"/>
        <v>6465</v>
      </c>
      <c r="C1313" s="14">
        <f t="shared" si="168"/>
        <v>107.75</v>
      </c>
      <c r="D1313" s="11">
        <f t="shared" si="169"/>
        <v>1032.9237245217473</v>
      </c>
      <c r="E1313" s="24">
        <f t="shared" si="170"/>
        <v>603.65627531153348</v>
      </c>
      <c r="F1313" s="38">
        <f t="shared" si="165"/>
        <v>0.79156765964951137</v>
      </c>
      <c r="G1313" s="14">
        <f t="shared" si="166"/>
        <v>0</v>
      </c>
      <c r="H1313" s="24">
        <f t="shared" si="164"/>
        <v>762.78159534545216</v>
      </c>
      <c r="I1313" s="12">
        <f t="shared" si="171"/>
        <v>0.30676219576071806</v>
      </c>
      <c r="J1313" s="3"/>
    </row>
    <row r="1314" spans="2:10" x14ac:dyDescent="0.25">
      <c r="B1314" s="3">
        <f t="shared" si="167"/>
        <v>6470</v>
      </c>
      <c r="C1314" s="14">
        <f t="shared" si="168"/>
        <v>107.83333333333333</v>
      </c>
      <c r="D1314" s="11">
        <f t="shared" si="169"/>
        <v>1033.0394246018259</v>
      </c>
      <c r="E1314" s="24">
        <f t="shared" si="170"/>
        <v>603.96303750729419</v>
      </c>
      <c r="F1314" s="38">
        <f t="shared" si="165"/>
        <v>0.79133786930267802</v>
      </c>
      <c r="G1314" s="14">
        <f t="shared" si="166"/>
        <v>0</v>
      </c>
      <c r="H1314" s="24">
        <f t="shared" si="164"/>
        <v>763.00309346168274</v>
      </c>
      <c r="I1314" s="12">
        <f t="shared" si="171"/>
        <v>0.30655903326226475</v>
      </c>
      <c r="J1314" s="3"/>
    </row>
    <row r="1315" spans="2:10" x14ac:dyDescent="0.25">
      <c r="B1315" s="3">
        <f t="shared" si="167"/>
        <v>6475</v>
      </c>
      <c r="C1315" s="14">
        <f t="shared" si="168"/>
        <v>107.91666666666667</v>
      </c>
      <c r="D1315" s="11">
        <f t="shared" si="169"/>
        <v>1033.1550354071426</v>
      </c>
      <c r="E1315" s="24">
        <f t="shared" si="170"/>
        <v>604.26959654055645</v>
      </c>
      <c r="F1315" s="38">
        <f t="shared" si="165"/>
        <v>0.79110731212497387</v>
      </c>
      <c r="G1315" s="14">
        <f t="shared" si="166"/>
        <v>0</v>
      </c>
      <c r="H1315" s="24">
        <f t="shared" si="164"/>
        <v>763.22546005735421</v>
      </c>
      <c r="I1315" s="12">
        <f t="shared" si="171"/>
        <v>0.30635576195277714</v>
      </c>
      <c r="J1315" s="3"/>
    </row>
    <row r="1316" spans="2:10" x14ac:dyDescent="0.25">
      <c r="B1316" s="3">
        <f t="shared" si="167"/>
        <v>6480</v>
      </c>
      <c r="C1316" s="14">
        <f t="shared" si="168"/>
        <v>108</v>
      </c>
      <c r="D1316" s="11">
        <f t="shared" si="169"/>
        <v>1033.2705570753608</v>
      </c>
      <c r="E1316" s="24">
        <f t="shared" si="170"/>
        <v>604.57595230250922</v>
      </c>
      <c r="F1316" s="38">
        <f t="shared" si="165"/>
        <v>0.79087598450648822</v>
      </c>
      <c r="G1316" s="14">
        <f t="shared" si="166"/>
        <v>0</v>
      </c>
      <c r="H1316" s="24">
        <f t="shared" si="164"/>
        <v>763.44870002354548</v>
      </c>
      <c r="I1316" s="12">
        <f t="shared" si="171"/>
        <v>0.30615238111991999</v>
      </c>
      <c r="J1316" s="3"/>
    </row>
    <row r="1317" spans="2:10" x14ac:dyDescent="0.25">
      <c r="B1317" s="3">
        <f t="shared" si="167"/>
        <v>6485</v>
      </c>
      <c r="C1317" s="14">
        <f t="shared" si="168"/>
        <v>108.08333333333333</v>
      </c>
      <c r="D1317" s="11">
        <f t="shared" si="169"/>
        <v>1033.3859897438258</v>
      </c>
      <c r="E1317" s="24">
        <f t="shared" si="170"/>
        <v>604.88210468362911</v>
      </c>
      <c r="F1317" s="38">
        <f t="shared" si="165"/>
        <v>0.79064388281567577</v>
      </c>
      <c r="G1317" s="14">
        <f t="shared" si="166"/>
        <v>0</v>
      </c>
      <c r="H1317" s="24">
        <f t="shared" si="164"/>
        <v>763.6728182871218</v>
      </c>
      <c r="I1317" s="12">
        <f t="shared" si="171"/>
        <v>0.30594889004558495</v>
      </c>
      <c r="J1317" s="3"/>
    </row>
    <row r="1318" spans="2:10" x14ac:dyDescent="0.25">
      <c r="B1318" s="3">
        <f t="shared" si="167"/>
        <v>6490</v>
      </c>
      <c r="C1318" s="14">
        <f t="shared" si="168"/>
        <v>108.16666666666667</v>
      </c>
      <c r="D1318" s="11">
        <f t="shared" si="169"/>
        <v>1033.5013335495657</v>
      </c>
      <c r="E1318" s="24">
        <f t="shared" si="170"/>
        <v>605.18805357367467</v>
      </c>
      <c r="F1318" s="38">
        <f t="shared" si="165"/>
        <v>0.79041100339920289</v>
      </c>
      <c r="G1318" s="14">
        <f t="shared" si="166"/>
        <v>0</v>
      </c>
      <c r="H1318" s="24">
        <f t="shared" si="164"/>
        <v>763.8978198110558</v>
      </c>
      <c r="I1318" s="12">
        <f t="shared" si="171"/>
        <v>0.30574528800590678</v>
      </c>
      <c r="J1318" s="3"/>
    </row>
    <row r="1319" spans="2:10" x14ac:dyDescent="0.25">
      <c r="B1319" s="3">
        <f t="shared" si="167"/>
        <v>6495</v>
      </c>
      <c r="C1319" s="14">
        <f t="shared" si="168"/>
        <v>108.25</v>
      </c>
      <c r="D1319" s="11">
        <f t="shared" si="169"/>
        <v>1033.6165886292924</v>
      </c>
      <c r="E1319" s="24">
        <f t="shared" si="170"/>
        <v>605.4937988616806</v>
      </c>
      <c r="F1319" s="38">
        <f t="shared" si="165"/>
        <v>0.7901773425817914</v>
      </c>
      <c r="G1319" s="14">
        <f t="shared" si="166"/>
        <v>0</v>
      </c>
      <c r="H1319" s="24">
        <f t="shared" si="164"/>
        <v>764.12370959475015</v>
      </c>
      <c r="I1319" s="12">
        <f t="shared" si="171"/>
        <v>0.30554157427122275</v>
      </c>
      <c r="J1319" s="3"/>
    </row>
    <row r="1320" spans="2:10" x14ac:dyDescent="0.25">
      <c r="B1320" s="3">
        <f t="shared" si="167"/>
        <v>6500</v>
      </c>
      <c r="C1320" s="14">
        <f t="shared" si="168"/>
        <v>108.33333333333333</v>
      </c>
      <c r="D1320" s="11">
        <f t="shared" si="169"/>
        <v>1033.7317551194028</v>
      </c>
      <c r="E1320" s="24">
        <f t="shared" si="170"/>
        <v>605.79934043595188</v>
      </c>
      <c r="F1320" s="38">
        <f t="shared" si="165"/>
        <v>0.78994289666606388</v>
      </c>
      <c r="G1320" s="14">
        <f t="shared" si="166"/>
        <v>0</v>
      </c>
      <c r="H1320" s="24">
        <f t="shared" si="164"/>
        <v>764.35049267436398</v>
      </c>
      <c r="I1320" s="12">
        <f t="shared" si="171"/>
        <v>0.30533774810599662</v>
      </c>
      <c r="J1320" s="3"/>
    </row>
    <row r="1321" spans="2:10" x14ac:dyDescent="0.25">
      <c r="B1321" s="3">
        <f t="shared" si="167"/>
        <v>6505</v>
      </c>
      <c r="C1321" s="14">
        <f t="shared" si="168"/>
        <v>108.41666666666667</v>
      </c>
      <c r="D1321" s="11">
        <f t="shared" si="169"/>
        <v>1033.8468331559789</v>
      </c>
      <c r="E1321" s="24">
        <f t="shared" si="170"/>
        <v>606.10467818405789</v>
      </c>
      <c r="F1321" s="38">
        <f t="shared" si="165"/>
        <v>0.78970766193238562</v>
      </c>
      <c r="G1321" s="14">
        <f t="shared" si="166"/>
        <v>0</v>
      </c>
      <c r="H1321" s="24">
        <f t="shared" si="164"/>
        <v>764.57817412314353</v>
      </c>
      <c r="I1321" s="12">
        <f t="shared" si="171"/>
        <v>0.30513380876888763</v>
      </c>
      <c r="J1321" s="3"/>
    </row>
    <row r="1322" spans="2:10" x14ac:dyDescent="0.25">
      <c r="B1322" s="3">
        <f t="shared" si="167"/>
        <v>6510</v>
      </c>
      <c r="C1322" s="14">
        <f t="shared" si="168"/>
        <v>108.5</v>
      </c>
      <c r="D1322" s="11">
        <f t="shared" si="169"/>
        <v>1033.96182287479</v>
      </c>
      <c r="E1322" s="24">
        <f t="shared" si="170"/>
        <v>606.4098119928268</v>
      </c>
      <c r="F1322" s="38">
        <f t="shared" si="165"/>
        <v>0.7894716346387054</v>
      </c>
      <c r="G1322" s="14">
        <f t="shared" si="166"/>
        <v>0</v>
      </c>
      <c r="H1322" s="24">
        <f t="shared" si="164"/>
        <v>764.80675905175576</v>
      </c>
      <c r="I1322" s="12">
        <f t="shared" si="171"/>
        <v>0.30492975551252466</v>
      </c>
      <c r="J1322" s="3"/>
    </row>
    <row r="1323" spans="2:10" x14ac:dyDescent="0.25">
      <c r="B1323" s="3">
        <f t="shared" si="167"/>
        <v>6515</v>
      </c>
      <c r="C1323" s="14">
        <f t="shared" si="168"/>
        <v>108.58333333333333</v>
      </c>
      <c r="D1323" s="11">
        <f t="shared" si="169"/>
        <v>1034.0767244112926</v>
      </c>
      <c r="E1323" s="24">
        <f t="shared" si="170"/>
        <v>606.71474174833929</v>
      </c>
      <c r="F1323" s="38">
        <f t="shared" si="165"/>
        <v>0.78923481102039639</v>
      </c>
      <c r="G1323" s="14">
        <f t="shared" si="166"/>
        <v>0</v>
      </c>
      <c r="H1323" s="24">
        <f t="shared" si="164"/>
        <v>765.03625260862464</v>
      </c>
      <c r="I1323" s="12">
        <f t="shared" si="171"/>
        <v>0.30472558758366869</v>
      </c>
      <c r="J1323" s="3"/>
    </row>
    <row r="1324" spans="2:10" x14ac:dyDescent="0.25">
      <c r="B1324" s="3">
        <f t="shared" si="167"/>
        <v>6520</v>
      </c>
      <c r="C1324" s="14">
        <f t="shared" si="168"/>
        <v>108.66666666666667</v>
      </c>
      <c r="D1324" s="11">
        <f t="shared" si="169"/>
        <v>1034.1915379006323</v>
      </c>
      <c r="E1324" s="24">
        <f t="shared" si="170"/>
        <v>607.01946733592297</v>
      </c>
      <c r="F1324" s="38">
        <f t="shared" si="165"/>
        <v>0.78899718729009383</v>
      </c>
      <c r="G1324" s="14">
        <f t="shared" si="166"/>
        <v>0</v>
      </c>
      <c r="H1324" s="24">
        <f t="shared" si="164"/>
        <v>765.26665998027318</v>
      </c>
      <c r="I1324" s="12">
        <f t="shared" si="171"/>
        <v>0.30452130422300383</v>
      </c>
      <c r="J1324" s="3"/>
    </row>
    <row r="1325" spans="2:10" x14ac:dyDescent="0.25">
      <c r="B1325" s="3">
        <f t="shared" si="167"/>
        <v>6525</v>
      </c>
      <c r="C1325" s="14">
        <f t="shared" si="168"/>
        <v>108.75</v>
      </c>
      <c r="D1325" s="11">
        <f t="shared" si="169"/>
        <v>1034.3062634776438</v>
      </c>
      <c r="E1325" s="24">
        <f t="shared" si="170"/>
        <v>607.32398864014601</v>
      </c>
      <c r="F1325" s="38">
        <f t="shared" si="165"/>
        <v>0.78875875963753317</v>
      </c>
      <c r="G1325" s="14">
        <f t="shared" si="166"/>
        <v>0</v>
      </c>
      <c r="H1325" s="24">
        <f t="shared" si="164"/>
        <v>765.49798639166647</v>
      </c>
      <c r="I1325" s="12">
        <f t="shared" si="171"/>
        <v>0.30431690466520644</v>
      </c>
      <c r="J1325" s="3"/>
    </row>
    <row r="1326" spans="2:10" x14ac:dyDescent="0.25">
      <c r="B1326" s="3">
        <f t="shared" si="167"/>
        <v>6530</v>
      </c>
      <c r="C1326" s="14">
        <f t="shared" si="168"/>
        <v>108.83333333333333</v>
      </c>
      <c r="D1326" s="11">
        <f t="shared" si="169"/>
        <v>1034.4209012768524</v>
      </c>
      <c r="E1326" s="24">
        <f t="shared" si="170"/>
        <v>607.62830554481127</v>
      </c>
      <c r="F1326" s="38">
        <f t="shared" si="165"/>
        <v>0.78851952422938631</v>
      </c>
      <c r="G1326" s="14">
        <f t="shared" si="166"/>
        <v>0</v>
      </c>
      <c r="H1326" s="24">
        <f t="shared" si="164"/>
        <v>765.73023710656025</v>
      </c>
      <c r="I1326" s="12">
        <f t="shared" si="171"/>
        <v>0.30411238813886521</v>
      </c>
      <c r="J1326" s="3"/>
    </row>
    <row r="1327" spans="2:10" x14ac:dyDescent="0.25">
      <c r="B1327" s="3">
        <f t="shared" si="167"/>
        <v>6535</v>
      </c>
      <c r="C1327" s="14">
        <f t="shared" si="168"/>
        <v>108.91666666666667</v>
      </c>
      <c r="D1327" s="11">
        <f t="shared" si="169"/>
        <v>1034.5354514324754</v>
      </c>
      <c r="E1327" s="24">
        <f t="shared" si="170"/>
        <v>607.9324179329501</v>
      </c>
      <c r="F1327" s="38">
        <f t="shared" si="165"/>
        <v>0.78827947720909575</v>
      </c>
      <c r="G1327" s="14">
        <f t="shared" si="166"/>
        <v>0</v>
      </c>
      <c r="H1327" s="24">
        <f t="shared" si="164"/>
        <v>765.96341742785273</v>
      </c>
      <c r="I1327" s="12">
        <f t="shared" si="171"/>
        <v>0.30390775386636421</v>
      </c>
      <c r="J1327" s="3"/>
    </row>
    <row r="1328" spans="2:10" x14ac:dyDescent="0.25">
      <c r="B1328" s="3">
        <f t="shared" si="167"/>
        <v>6540</v>
      </c>
      <c r="C1328" s="14">
        <f t="shared" si="168"/>
        <v>109</v>
      </c>
      <c r="D1328" s="11">
        <f t="shared" si="169"/>
        <v>1034.6499140784215</v>
      </c>
      <c r="E1328" s="24">
        <f t="shared" si="170"/>
        <v>608.23632568681649</v>
      </c>
      <c r="F1328" s="38">
        <f t="shared" si="165"/>
        <v>0.78803861469670811</v>
      </c>
      <c r="G1328" s="14">
        <f t="shared" si="166"/>
        <v>0</v>
      </c>
      <c r="H1328" s="24">
        <f t="shared" si="164"/>
        <v>766.19753269793966</v>
      </c>
      <c r="I1328" s="12">
        <f t="shared" si="171"/>
        <v>0.3037030010640433</v>
      </c>
      <c r="J1328" s="3"/>
    </row>
    <row r="1329" spans="2:10" x14ac:dyDescent="0.25">
      <c r="B1329" s="3">
        <f t="shared" si="167"/>
        <v>6545</v>
      </c>
      <c r="C1329" s="14">
        <f t="shared" si="168"/>
        <v>109.08333333333333</v>
      </c>
      <c r="D1329" s="11">
        <f t="shared" si="169"/>
        <v>1034.7642893482935</v>
      </c>
      <c r="E1329" s="24">
        <f t="shared" si="170"/>
        <v>608.54002868788052</v>
      </c>
      <c r="F1329" s="38">
        <f t="shared" si="165"/>
        <v>0.78779693278870688</v>
      </c>
      <c r="G1329" s="14">
        <f t="shared" si="166"/>
        <v>0</v>
      </c>
      <c r="H1329" s="24">
        <f t="shared" si="164"/>
        <v>766.43258829907381</v>
      </c>
      <c r="I1329" s="12">
        <f t="shared" si="171"/>
        <v>0.30349812894189443</v>
      </c>
      <c r="J1329" s="3"/>
    </row>
    <row r="1330" spans="2:10" x14ac:dyDescent="0.25">
      <c r="B1330" s="3">
        <f t="shared" si="167"/>
        <v>6550</v>
      </c>
      <c r="C1330" s="14">
        <f t="shared" si="168"/>
        <v>109.16666666666667</v>
      </c>
      <c r="D1330" s="11">
        <f t="shared" si="169"/>
        <v>1034.8785773753884</v>
      </c>
      <c r="E1330" s="24">
        <f t="shared" si="170"/>
        <v>608.84352681682242</v>
      </c>
      <c r="F1330" s="38">
        <f t="shared" si="165"/>
        <v>0.78755442755784266</v>
      </c>
      <c r="G1330" s="14">
        <f t="shared" si="166"/>
        <v>0</v>
      </c>
      <c r="H1330" s="24">
        <f t="shared" si="164"/>
        <v>766.66858965372774</v>
      </c>
      <c r="I1330" s="12">
        <f t="shared" si="171"/>
        <v>0.30329313670368502</v>
      </c>
      <c r="J1330" s="3"/>
    </row>
    <row r="1331" spans="2:10" x14ac:dyDescent="0.25">
      <c r="B1331" s="3">
        <f t="shared" si="167"/>
        <v>6555</v>
      </c>
      <c r="C1331" s="14">
        <f t="shared" si="168"/>
        <v>109.25</v>
      </c>
      <c r="D1331" s="11">
        <f t="shared" si="169"/>
        <v>1034.9927782926979</v>
      </c>
      <c r="E1331" s="24">
        <f t="shared" si="170"/>
        <v>609.14681995352612</v>
      </c>
      <c r="F1331" s="38">
        <f t="shared" si="165"/>
        <v>0.78731109505296248</v>
      </c>
      <c r="G1331" s="14">
        <f t="shared" si="166"/>
        <v>0</v>
      </c>
      <c r="H1331" s="24">
        <f t="shared" si="164"/>
        <v>766.90554222496121</v>
      </c>
      <c r="I1331" s="12">
        <f t="shared" si="171"/>
        <v>0.30308802354694919</v>
      </c>
      <c r="J1331" s="3"/>
    </row>
    <row r="1332" spans="2:10" x14ac:dyDescent="0.25">
      <c r="B1332" s="3">
        <f t="shared" si="167"/>
        <v>6560</v>
      </c>
      <c r="C1332" s="14">
        <f t="shared" si="168"/>
        <v>109.33333333333333</v>
      </c>
      <c r="D1332" s="11">
        <f t="shared" si="169"/>
        <v>1035.1068922329105</v>
      </c>
      <c r="E1332" s="24">
        <f t="shared" si="170"/>
        <v>609.44990797707305</v>
      </c>
      <c r="F1332" s="38">
        <f t="shared" si="165"/>
        <v>0.7870669312988382</v>
      </c>
      <c r="G1332" s="14">
        <f t="shared" si="166"/>
        <v>0</v>
      </c>
      <c r="H1332" s="24">
        <f t="shared" si="164"/>
        <v>767.14345151679152</v>
      </c>
      <c r="I1332" s="12">
        <f t="shared" si="171"/>
        <v>0.30288278866273999</v>
      </c>
      <c r="J1332" s="3"/>
    </row>
    <row r="1333" spans="2:10" x14ac:dyDescent="0.25">
      <c r="B1333" s="3">
        <f t="shared" si="167"/>
        <v>6565</v>
      </c>
      <c r="C1333" s="14">
        <f t="shared" si="168"/>
        <v>109.41666666666667</v>
      </c>
      <c r="D1333" s="11">
        <f t="shared" si="169"/>
        <v>1035.2209193284116</v>
      </c>
      <c r="E1333" s="24">
        <f t="shared" si="170"/>
        <v>609.75279076573577</v>
      </c>
      <c r="F1333" s="38">
        <f t="shared" si="165"/>
        <v>0.78682193229599295</v>
      </c>
      <c r="G1333" s="14">
        <f t="shared" si="166"/>
        <v>0</v>
      </c>
      <c r="H1333" s="24">
        <f t="shared" si="164"/>
        <v>767.38232307456883</v>
      </c>
      <c r="I1333" s="12">
        <f t="shared" si="171"/>
        <v>0.30267743123576862</v>
      </c>
      <c r="J1333" s="3"/>
    </row>
    <row r="1334" spans="2:10" x14ac:dyDescent="0.25">
      <c r="B1334" s="3">
        <f t="shared" si="167"/>
        <v>6570</v>
      </c>
      <c r="C1334" s="14">
        <f t="shared" si="168"/>
        <v>109.5</v>
      </c>
      <c r="D1334" s="11">
        <f t="shared" si="169"/>
        <v>1035.334859711284</v>
      </c>
      <c r="E1334" s="24">
        <f t="shared" si="170"/>
        <v>610.05546819697156</v>
      </c>
      <c r="F1334" s="38">
        <f t="shared" si="165"/>
        <v>0.7865760940205262</v>
      </c>
      <c r="G1334" s="14">
        <f t="shared" si="166"/>
        <v>0</v>
      </c>
      <c r="H1334" s="24">
        <f t="shared" si="164"/>
        <v>767.62216248535481</v>
      </c>
      <c r="I1334" s="12">
        <f t="shared" si="171"/>
        <v>0.30247195044437736</v>
      </c>
      <c r="J1334" s="3"/>
    </row>
    <row r="1335" spans="2:10" x14ac:dyDescent="0.25">
      <c r="B1335" s="3">
        <f t="shared" si="167"/>
        <v>6575</v>
      </c>
      <c r="C1335" s="14">
        <f t="shared" si="168"/>
        <v>109.58333333333333</v>
      </c>
      <c r="D1335" s="11">
        <f t="shared" si="169"/>
        <v>1035.4487135133099</v>
      </c>
      <c r="E1335" s="24">
        <f t="shared" si="170"/>
        <v>610.35794014741589</v>
      </c>
      <c r="F1335" s="38">
        <f t="shared" si="165"/>
        <v>0.78632941242393828</v>
      </c>
      <c r="G1335" s="14">
        <f t="shared" si="166"/>
        <v>0</v>
      </c>
      <c r="H1335" s="24">
        <f t="shared" ref="H1335:H1398" si="172">IF(E1335&lt;600,425+0.773*E1335-1.69/1000*E1335^2+2.22/1000^2*E1335^3,IF(E1335&lt;735,666+13002/(738-E1335),IF(E1335&lt;900,545+17820/(E1335-731),650)))</f>
        <v>767.86297537830569</v>
      </c>
      <c r="I1335" s="12">
        <f t="shared" si="171"/>
        <v>0.30226634546030712</v>
      </c>
      <c r="J1335" s="3"/>
    </row>
    <row r="1336" spans="2:10" x14ac:dyDescent="0.25">
      <c r="B1336" s="3">
        <f t="shared" si="167"/>
        <v>6580</v>
      </c>
      <c r="C1336" s="14">
        <f t="shared" si="168"/>
        <v>109.66666666666667</v>
      </c>
      <c r="D1336" s="11">
        <f t="shared" si="169"/>
        <v>1035.5624808659713</v>
      </c>
      <c r="E1336" s="24">
        <f t="shared" si="170"/>
        <v>610.66020649287623</v>
      </c>
      <c r="F1336" s="38">
        <f t="shared" si="165"/>
        <v>0.78608188343295149</v>
      </c>
      <c r="G1336" s="14">
        <f t="shared" si="166"/>
        <v>0</v>
      </c>
      <c r="H1336" s="24">
        <f t="shared" si="172"/>
        <v>768.10476742505966</v>
      </c>
      <c r="I1336" s="12">
        <f t="shared" si="171"/>
        <v>0.30206061544880014</v>
      </c>
      <c r="J1336" s="3"/>
    </row>
    <row r="1337" spans="2:10" x14ac:dyDescent="0.25">
      <c r="B1337" s="3">
        <f t="shared" si="167"/>
        <v>6585</v>
      </c>
      <c r="C1337" s="14">
        <f t="shared" si="168"/>
        <v>109.75</v>
      </c>
      <c r="D1337" s="11">
        <f t="shared" si="169"/>
        <v>1035.6761619004512</v>
      </c>
      <c r="E1337" s="24">
        <f t="shared" si="170"/>
        <v>610.96226710832502</v>
      </c>
      <c r="F1337" s="38">
        <f t="shared" si="165"/>
        <v>0.78583350294933263</v>
      </c>
      <c r="G1337" s="14">
        <f t="shared" si="166"/>
        <v>0</v>
      </c>
      <c r="H1337" s="24">
        <f t="shared" si="172"/>
        <v>768.34754434012768</v>
      </c>
      <c r="I1337" s="12">
        <f t="shared" si="171"/>
        <v>0.30185475956849694</v>
      </c>
      <c r="J1337" s="3"/>
    </row>
    <row r="1338" spans="2:10" x14ac:dyDescent="0.25">
      <c r="B1338" s="3">
        <f t="shared" si="167"/>
        <v>6590</v>
      </c>
      <c r="C1338" s="14">
        <f t="shared" si="168"/>
        <v>109.83333333333333</v>
      </c>
      <c r="D1338" s="11">
        <f t="shared" si="169"/>
        <v>1035.7897567476334</v>
      </c>
      <c r="E1338" s="24">
        <f t="shared" si="170"/>
        <v>611.26412186789355</v>
      </c>
      <c r="F1338" s="38">
        <f t="shared" si="165"/>
        <v>0.78558426684971094</v>
      </c>
      <c r="G1338" s="14">
        <f t="shared" si="166"/>
        <v>0</v>
      </c>
      <c r="H1338" s="24">
        <f t="shared" si="172"/>
        <v>768.59131188128924</v>
      </c>
      <c r="I1338" s="12">
        <f t="shared" si="171"/>
        <v>0.30164877697149911</v>
      </c>
      <c r="J1338" s="3"/>
    </row>
    <row r="1339" spans="2:10" x14ac:dyDescent="0.25">
      <c r="B1339" s="3">
        <f t="shared" si="167"/>
        <v>6595</v>
      </c>
      <c r="C1339" s="14">
        <f t="shared" si="168"/>
        <v>109.91666666666667</v>
      </c>
      <c r="D1339" s="11">
        <f t="shared" si="169"/>
        <v>1035.9032655381052</v>
      </c>
      <c r="E1339" s="24">
        <f t="shared" si="170"/>
        <v>611.5657706448651</v>
      </c>
      <c r="F1339" s="38">
        <f t="shared" si="165"/>
        <v>0.78533417098539748</v>
      </c>
      <c r="G1339" s="14">
        <f t="shared" si="166"/>
        <v>0</v>
      </c>
      <c r="H1339" s="24">
        <f t="shared" si="172"/>
        <v>768.83607584999254</v>
      </c>
      <c r="I1339" s="12">
        <f t="shared" si="171"/>
        <v>0.30144266680308118</v>
      </c>
      <c r="J1339" s="3"/>
    </row>
    <row r="1340" spans="2:10" x14ac:dyDescent="0.25">
      <c r="B1340" s="3">
        <f t="shared" si="167"/>
        <v>6600</v>
      </c>
      <c r="C1340" s="14">
        <f t="shared" si="168"/>
        <v>110</v>
      </c>
      <c r="D1340" s="11">
        <f t="shared" si="169"/>
        <v>1036.0166884021564</v>
      </c>
      <c r="E1340" s="24">
        <f t="shared" si="170"/>
        <v>611.86721331166814</v>
      </c>
      <c r="F1340" s="38">
        <f t="shared" si="165"/>
        <v>0.78508321118220159</v>
      </c>
      <c r="G1340" s="14">
        <f t="shared" si="166"/>
        <v>0</v>
      </c>
      <c r="H1340" s="24">
        <f t="shared" si="172"/>
        <v>769.08184209175784</v>
      </c>
      <c r="I1340" s="12">
        <f t="shared" si="171"/>
        <v>0.30123642820193824</v>
      </c>
      <c r="J1340" s="3"/>
    </row>
    <row r="1341" spans="2:10" x14ac:dyDescent="0.25">
      <c r="B1341" s="3">
        <f t="shared" si="167"/>
        <v>6605</v>
      </c>
      <c r="C1341" s="14">
        <f t="shared" si="168"/>
        <v>110.08333333333333</v>
      </c>
      <c r="D1341" s="11">
        <f t="shared" si="169"/>
        <v>1036.1300254697819</v>
      </c>
      <c r="E1341" s="24">
        <f t="shared" si="170"/>
        <v>612.16844973987008</v>
      </c>
      <c r="F1341" s="38">
        <f t="shared" si="165"/>
        <v>0.78483138324024448</v>
      </c>
      <c r="G1341" s="14">
        <f t="shared" si="166"/>
        <v>0</v>
      </c>
      <c r="H1341" s="24">
        <f t="shared" si="172"/>
        <v>769.32861649658719</v>
      </c>
      <c r="I1341" s="12">
        <f t="shared" si="171"/>
        <v>0.30103006029987756</v>
      </c>
      <c r="J1341" s="3"/>
    </row>
    <row r="1342" spans="2:10" x14ac:dyDescent="0.25">
      <c r="B1342" s="3">
        <f t="shared" si="167"/>
        <v>6610</v>
      </c>
      <c r="C1342" s="14">
        <f t="shared" si="168"/>
        <v>110.16666666666667</v>
      </c>
      <c r="D1342" s="11">
        <f t="shared" si="169"/>
        <v>1036.2432768706815</v>
      </c>
      <c r="E1342" s="24">
        <f t="shared" si="170"/>
        <v>612.46947980017001</v>
      </c>
      <c r="F1342" s="38">
        <f t="shared" si="165"/>
        <v>0.78457868293377497</v>
      </c>
      <c r="G1342" s="14">
        <f t="shared" si="166"/>
        <v>0</v>
      </c>
      <c r="H1342" s="24">
        <f t="shared" si="172"/>
        <v>769.57640499937645</v>
      </c>
      <c r="I1342" s="12">
        <f t="shared" si="171"/>
        <v>0.30082356222193629</v>
      </c>
      <c r="J1342" s="3"/>
    </row>
    <row r="1343" spans="2:10" x14ac:dyDescent="0.25">
      <c r="B1343" s="3">
        <f t="shared" si="167"/>
        <v>6615</v>
      </c>
      <c r="C1343" s="14">
        <f t="shared" si="168"/>
        <v>110.25</v>
      </c>
      <c r="D1343" s="11">
        <f t="shared" si="169"/>
        <v>1036.356442734261</v>
      </c>
      <c r="E1343" s="24">
        <f t="shared" si="170"/>
        <v>612.77030336239193</v>
      </c>
      <c r="F1343" s="38">
        <f t="shared" si="165"/>
        <v>0.78432510601097993</v>
      </c>
      <c r="G1343" s="14">
        <f t="shared" si="166"/>
        <v>0</v>
      </c>
      <c r="H1343" s="24">
        <f t="shared" si="172"/>
        <v>769.8252135803333</v>
      </c>
      <c r="I1343" s="12">
        <f t="shared" si="171"/>
        <v>0.30061693308627568</v>
      </c>
      <c r="J1343" s="3"/>
    </row>
    <row r="1344" spans="2:10" x14ac:dyDescent="0.25">
      <c r="B1344" s="3">
        <f t="shared" si="167"/>
        <v>6620</v>
      </c>
      <c r="C1344" s="14">
        <f t="shared" si="168"/>
        <v>110.33333333333333</v>
      </c>
      <c r="D1344" s="11">
        <f t="shared" si="169"/>
        <v>1036.4695231896335</v>
      </c>
      <c r="E1344" s="24">
        <f t="shared" si="170"/>
        <v>613.07092029547823</v>
      </c>
      <c r="F1344" s="38">
        <f t="shared" si="165"/>
        <v>0.78407064819379602</v>
      </c>
      <c r="G1344" s="14">
        <f t="shared" si="166"/>
        <v>0</v>
      </c>
      <c r="H1344" s="24">
        <f t="shared" si="172"/>
        <v>770.07504826539912</v>
      </c>
      <c r="I1344" s="12">
        <f t="shared" si="171"/>
        <v>0.30041017200411235</v>
      </c>
      <c r="J1344" s="3"/>
    </row>
    <row r="1345" spans="2:10" x14ac:dyDescent="0.25">
      <c r="B1345" s="3">
        <f t="shared" si="167"/>
        <v>6625</v>
      </c>
      <c r="C1345" s="14">
        <f t="shared" si="168"/>
        <v>110.41666666666667</v>
      </c>
      <c r="D1345" s="11">
        <f t="shared" si="169"/>
        <v>1036.58251836562</v>
      </c>
      <c r="E1345" s="24">
        <f t="shared" si="170"/>
        <v>613.37133046748238</v>
      </c>
      <c r="F1345" s="38">
        <f t="shared" si="165"/>
        <v>0.78381530517771747</v>
      </c>
      <c r="G1345" s="14">
        <f t="shared" si="166"/>
        <v>0</v>
      </c>
      <c r="H1345" s="24">
        <f t="shared" si="172"/>
        <v>770.32591512667614</v>
      </c>
      <c r="I1345" s="12">
        <f t="shared" si="171"/>
        <v>0.30020327807968639</v>
      </c>
      <c r="J1345" s="3"/>
    </row>
    <row r="1346" spans="2:10" x14ac:dyDescent="0.25">
      <c r="B1346" s="3">
        <f t="shared" si="167"/>
        <v>6630</v>
      </c>
      <c r="C1346" s="14">
        <f t="shared" si="168"/>
        <v>110.5</v>
      </c>
      <c r="D1346" s="11">
        <f t="shared" si="169"/>
        <v>1036.6954283907498</v>
      </c>
      <c r="E1346" s="24">
        <f t="shared" si="170"/>
        <v>613.6715337455621</v>
      </c>
      <c r="F1346" s="38">
        <f t="shared" si="165"/>
        <v>0.78355907263160518</v>
      </c>
      <c r="G1346" s="14">
        <f t="shared" si="166"/>
        <v>0</v>
      </c>
      <c r="H1346" s="24">
        <f t="shared" si="172"/>
        <v>770.57782028285817</v>
      </c>
      <c r="I1346" s="12">
        <f t="shared" si="171"/>
        <v>0.29999625041026495</v>
      </c>
      <c r="J1346" s="3"/>
    </row>
    <row r="1347" spans="2:10" x14ac:dyDescent="0.25">
      <c r="B1347" s="3">
        <f t="shared" si="167"/>
        <v>6635</v>
      </c>
      <c r="C1347" s="14">
        <f t="shared" si="168"/>
        <v>110.58333333333333</v>
      </c>
      <c r="D1347" s="11">
        <f t="shared" si="169"/>
        <v>1036.808253393262</v>
      </c>
      <c r="E1347" s="24">
        <f t="shared" si="170"/>
        <v>613.97152999597233</v>
      </c>
      <c r="F1347" s="38">
        <f t="shared" si="165"/>
        <v>0.78330194619749161</v>
      </c>
      <c r="G1347" s="14">
        <f t="shared" si="166"/>
        <v>0</v>
      </c>
      <c r="H1347" s="24">
        <f t="shared" si="172"/>
        <v>770.83076989966719</v>
      </c>
      <c r="I1347" s="12">
        <f t="shared" si="171"/>
        <v>0.29978908808599836</v>
      </c>
      <c r="J1347" s="3"/>
    </row>
    <row r="1348" spans="2:10" x14ac:dyDescent="0.25">
      <c r="B1348" s="3">
        <f t="shared" si="167"/>
        <v>6640</v>
      </c>
      <c r="C1348" s="14">
        <f t="shared" si="168"/>
        <v>110.66666666666667</v>
      </c>
      <c r="D1348" s="11">
        <f t="shared" si="169"/>
        <v>1036.9209935011072</v>
      </c>
      <c r="E1348" s="24">
        <f t="shared" si="170"/>
        <v>614.27131908405829</v>
      </c>
      <c r="F1348" s="38">
        <f t="shared" si="165"/>
        <v>0.7830439214903846</v>
      </c>
      <c r="G1348" s="14">
        <f t="shared" si="166"/>
        <v>0</v>
      </c>
      <c r="H1348" s="24">
        <f t="shared" si="172"/>
        <v>771.08477019029442</v>
      </c>
      <c r="I1348" s="12">
        <f t="shared" si="171"/>
        <v>0.29958179018981307</v>
      </c>
      <c r="J1348" s="3"/>
    </row>
    <row r="1349" spans="2:10" x14ac:dyDescent="0.25">
      <c r="B1349" s="3">
        <f t="shared" si="167"/>
        <v>6645</v>
      </c>
      <c r="C1349" s="14">
        <f t="shared" si="168"/>
        <v>110.75</v>
      </c>
      <c r="D1349" s="11">
        <f t="shared" si="169"/>
        <v>1037.0336488419453</v>
      </c>
      <c r="E1349" s="24">
        <f t="shared" si="170"/>
        <v>614.57090087424808</v>
      </c>
      <c r="F1349" s="38">
        <f t="shared" si="165"/>
        <v>0.78278499409807156</v>
      </c>
      <c r="G1349" s="14">
        <f t="shared" si="166"/>
        <v>0</v>
      </c>
      <c r="H1349" s="24">
        <f t="shared" si="172"/>
        <v>771.33982741584555</v>
      </c>
      <c r="I1349" s="12">
        <f t="shared" si="171"/>
        <v>0.2993743557977272</v>
      </c>
      <c r="J1349" s="3"/>
    </row>
    <row r="1350" spans="2:10" x14ac:dyDescent="0.25">
      <c r="B1350" s="3">
        <f t="shared" si="167"/>
        <v>6650</v>
      </c>
      <c r="C1350" s="14">
        <f t="shared" si="168"/>
        <v>110.83333333333333</v>
      </c>
      <c r="D1350" s="11">
        <f t="shared" si="169"/>
        <v>1037.1462195431509</v>
      </c>
      <c r="E1350" s="24">
        <f t="shared" si="170"/>
        <v>614.87027523004576</v>
      </c>
      <c r="F1350" s="38">
        <f t="shared" si="165"/>
        <v>0.7825251595809195</v>
      </c>
      <c r="G1350" s="14">
        <f t="shared" si="166"/>
        <v>0</v>
      </c>
      <c r="H1350" s="24">
        <f t="shared" si="172"/>
        <v>771.59594788579204</v>
      </c>
      <c r="I1350" s="12">
        <f t="shared" si="171"/>
        <v>0.29916678397813395</v>
      </c>
      <c r="J1350" s="3"/>
    </row>
    <row r="1351" spans="2:10" x14ac:dyDescent="0.25">
      <c r="B1351" s="3">
        <f t="shared" si="167"/>
        <v>6655</v>
      </c>
      <c r="C1351" s="14">
        <f t="shared" si="168"/>
        <v>110.91666666666667</v>
      </c>
      <c r="D1351" s="11">
        <f t="shared" si="169"/>
        <v>1037.2587057318103</v>
      </c>
      <c r="E1351" s="24">
        <f t="shared" si="170"/>
        <v>615.16944201402384</v>
      </c>
      <c r="F1351" s="38">
        <f t="shared" si="165"/>
        <v>0.78226441347167508</v>
      </c>
      <c r="G1351" s="14">
        <f t="shared" si="166"/>
        <v>0</v>
      </c>
      <c r="H1351" s="24">
        <f t="shared" si="172"/>
        <v>771.85313795842615</v>
      </c>
      <c r="I1351" s="12">
        <f t="shared" si="171"/>
        <v>0.29895907379248593</v>
      </c>
      <c r="J1351" s="3"/>
    </row>
    <row r="1352" spans="2:10" x14ac:dyDescent="0.25">
      <c r="B1352" s="3">
        <f t="shared" si="167"/>
        <v>6660</v>
      </c>
      <c r="C1352" s="14">
        <f t="shared" si="168"/>
        <v>111</v>
      </c>
      <c r="D1352" s="11">
        <f t="shared" si="169"/>
        <v>1037.3711075347237</v>
      </c>
      <c r="E1352" s="24">
        <f t="shared" si="170"/>
        <v>615.46840108781635</v>
      </c>
      <c r="F1352" s="38">
        <f t="shared" si="165"/>
        <v>0.78200275127526253</v>
      </c>
      <c r="G1352" s="14">
        <f t="shared" si="166"/>
        <v>0</v>
      </c>
      <c r="H1352" s="24">
        <f t="shared" si="172"/>
        <v>772.11140404132254</v>
      </c>
      <c r="I1352" s="12">
        <f t="shared" si="171"/>
        <v>0.29875122429476009</v>
      </c>
      <c r="J1352" s="3"/>
    </row>
    <row r="1353" spans="2:10" x14ac:dyDescent="0.25">
      <c r="B1353" s="3">
        <f t="shared" si="167"/>
        <v>6665</v>
      </c>
      <c r="C1353" s="14">
        <f t="shared" si="168"/>
        <v>111.08333333333333</v>
      </c>
      <c r="D1353" s="11">
        <f t="shared" si="169"/>
        <v>1037.4834250784065</v>
      </c>
      <c r="E1353" s="24">
        <f t="shared" si="170"/>
        <v>615.76715231211108</v>
      </c>
      <c r="F1353" s="38">
        <f t="shared" si="165"/>
        <v>0.78174016846857985</v>
      </c>
      <c r="G1353" s="14">
        <f t="shared" si="166"/>
        <v>0</v>
      </c>
      <c r="H1353" s="24">
        <f t="shared" si="172"/>
        <v>772.37075259180324</v>
      </c>
      <c r="I1353" s="12">
        <f t="shared" si="171"/>
        <v>0.29854323453149684</v>
      </c>
      <c r="J1353" s="3"/>
    </row>
    <row r="1354" spans="2:10" x14ac:dyDescent="0.25">
      <c r="B1354" s="3">
        <f t="shared" si="167"/>
        <v>6670</v>
      </c>
      <c r="C1354" s="14">
        <f t="shared" si="168"/>
        <v>111.16666666666667</v>
      </c>
      <c r="D1354" s="11">
        <f t="shared" si="169"/>
        <v>1037.5956584890901</v>
      </c>
      <c r="E1354" s="24">
        <f t="shared" si="170"/>
        <v>616.06569554664259</v>
      </c>
      <c r="F1354" s="38">
        <f t="shared" si="165"/>
        <v>0.78147666050029341</v>
      </c>
      <c r="G1354" s="14">
        <f t="shared" si="166"/>
        <v>0</v>
      </c>
      <c r="H1354" s="24">
        <f t="shared" si="172"/>
        <v>772.63119011740912</v>
      </c>
      <c r="I1354" s="12">
        <f t="shared" si="171"/>
        <v>0.2983351035418178</v>
      </c>
      <c r="J1354" s="3"/>
    </row>
    <row r="1355" spans="2:10" x14ac:dyDescent="0.25">
      <c r="B1355" s="3">
        <f t="shared" si="167"/>
        <v>6675</v>
      </c>
      <c r="C1355" s="14">
        <f t="shared" si="168"/>
        <v>111.25</v>
      </c>
      <c r="D1355" s="11">
        <f t="shared" si="169"/>
        <v>1037.7078078927216</v>
      </c>
      <c r="E1355" s="24">
        <f t="shared" si="170"/>
        <v>616.36403065018442</v>
      </c>
      <c r="F1355" s="38">
        <f t="shared" si="165"/>
        <v>0.7812122227906303</v>
      </c>
      <c r="G1355" s="14">
        <f t="shared" si="166"/>
        <v>0</v>
      </c>
      <c r="H1355" s="24">
        <f t="shared" si="172"/>
        <v>772.89272317637608</v>
      </c>
      <c r="I1355" s="12">
        <f t="shared" si="171"/>
        <v>0.29812683035738907</v>
      </c>
      <c r="J1355" s="3"/>
    </row>
    <row r="1356" spans="2:10" x14ac:dyDescent="0.25">
      <c r="B1356" s="3">
        <f t="shared" si="167"/>
        <v>6680</v>
      </c>
      <c r="C1356" s="14">
        <f t="shared" si="168"/>
        <v>111.33333333333333</v>
      </c>
      <c r="D1356" s="11">
        <f t="shared" si="169"/>
        <v>1037.8198734149664</v>
      </c>
      <c r="E1356" s="24">
        <f t="shared" si="170"/>
        <v>616.66215748054185</v>
      </c>
      <c r="F1356" s="38">
        <f t="shared" si="165"/>
        <v>0.7809468507311712</v>
      </c>
      <c r="G1356" s="14">
        <f t="shared" si="166"/>
        <v>0</v>
      </c>
      <c r="H1356" s="24">
        <f t="shared" si="172"/>
        <v>773.15535837811649</v>
      </c>
      <c r="I1356" s="12">
        <f t="shared" si="171"/>
        <v>0.29791841400221708</v>
      </c>
      <c r="J1356" s="3"/>
    </row>
    <row r="1357" spans="2:10" x14ac:dyDescent="0.25">
      <c r="B1357" s="3">
        <f t="shared" si="167"/>
        <v>6685</v>
      </c>
      <c r="C1357" s="14">
        <f t="shared" si="168"/>
        <v>111.41666666666667</v>
      </c>
      <c r="D1357" s="11">
        <f t="shared" si="169"/>
        <v>1037.9318551812082</v>
      </c>
      <c r="E1357" s="24">
        <f t="shared" si="170"/>
        <v>616.96007589454405</v>
      </c>
      <c r="F1357" s="38">
        <f t="shared" si="165"/>
        <v>0.78068053968463791</v>
      </c>
      <c r="G1357" s="14">
        <f t="shared" si="166"/>
        <v>0</v>
      </c>
      <c r="H1357" s="24">
        <f t="shared" si="172"/>
        <v>773.41910238370622</v>
      </c>
      <c r="I1357" s="12">
        <f t="shared" si="171"/>
        <v>0.29770985349274026</v>
      </c>
      <c r="J1357" s="3"/>
    </row>
    <row r="1358" spans="2:10" x14ac:dyDescent="0.25">
      <c r="B1358" s="3">
        <f t="shared" si="167"/>
        <v>6690</v>
      </c>
      <c r="C1358" s="14">
        <f t="shared" si="168"/>
        <v>111.5</v>
      </c>
      <c r="D1358" s="11">
        <f t="shared" si="169"/>
        <v>1038.0437533165482</v>
      </c>
      <c r="E1358" s="24">
        <f t="shared" si="170"/>
        <v>617.25778574803678</v>
      </c>
      <c r="F1358" s="38">
        <f t="shared" si="165"/>
        <v>0.78041328498468321</v>
      </c>
      <c r="G1358" s="14">
        <f t="shared" si="166"/>
        <v>0</v>
      </c>
      <c r="H1358" s="24">
        <f t="shared" si="172"/>
        <v>773.68396190637691</v>
      </c>
      <c r="I1358" s="12">
        <f t="shared" si="171"/>
        <v>0.29750114783784337</v>
      </c>
      <c r="J1358" s="3"/>
    </row>
    <row r="1359" spans="2:10" x14ac:dyDescent="0.25">
      <c r="B1359" s="3">
        <f t="shared" si="167"/>
        <v>6695</v>
      </c>
      <c r="C1359" s="14">
        <f t="shared" si="168"/>
        <v>111.58333333333333</v>
      </c>
      <c r="D1359" s="11">
        <f t="shared" si="169"/>
        <v>1038.1555679458099</v>
      </c>
      <c r="E1359" s="24">
        <f t="shared" si="170"/>
        <v>617.55528689587459</v>
      </c>
      <c r="F1359" s="38">
        <f t="shared" si="165"/>
        <v>0.780145081935675</v>
      </c>
      <c r="G1359" s="14">
        <f t="shared" si="166"/>
        <v>0</v>
      </c>
      <c r="H1359" s="24">
        <f t="shared" si="172"/>
        <v>773.94994371201392</v>
      </c>
      <c r="I1359" s="12">
        <f t="shared" si="171"/>
        <v>0.29729229603836055</v>
      </c>
      <c r="J1359" s="3"/>
    </row>
    <row r="1360" spans="2:10" x14ac:dyDescent="0.25">
      <c r="B1360" s="3">
        <f t="shared" si="167"/>
        <v>6700</v>
      </c>
      <c r="C1360" s="14">
        <f t="shared" si="168"/>
        <v>111.66666666666667</v>
      </c>
      <c r="D1360" s="11">
        <f t="shared" si="169"/>
        <v>1038.2672991935353</v>
      </c>
      <c r="E1360" s="24">
        <f t="shared" si="170"/>
        <v>617.85257919191292</v>
      </c>
      <c r="F1360" s="38">
        <f t="shared" si="165"/>
        <v>0.77987592581248222</v>
      </c>
      <c r="G1360" s="14">
        <f t="shared" si="166"/>
        <v>0</v>
      </c>
      <c r="H1360" s="24">
        <f t="shared" si="172"/>
        <v>774.21705461965973</v>
      </c>
      <c r="I1360" s="12">
        <f t="shared" si="171"/>
        <v>0.2970832970877329</v>
      </c>
      <c r="J1360" s="3"/>
    </row>
    <row r="1361" spans="2:10" x14ac:dyDescent="0.25">
      <c r="B1361" s="3">
        <f t="shared" si="167"/>
        <v>6705</v>
      </c>
      <c r="C1361" s="14">
        <f t="shared" si="168"/>
        <v>111.75</v>
      </c>
      <c r="D1361" s="11">
        <f t="shared" si="169"/>
        <v>1038.3789471839896</v>
      </c>
      <c r="E1361" s="24">
        <f t="shared" si="170"/>
        <v>618.14966248900066</v>
      </c>
      <c r="F1361" s="38">
        <f t="shared" si="165"/>
        <v>0.77960581186025635</v>
      </c>
      <c r="G1361" s="14">
        <f t="shared" si="166"/>
        <v>0</v>
      </c>
      <c r="H1361" s="24">
        <f t="shared" si="172"/>
        <v>774.48530150202316</v>
      </c>
      <c r="I1361" s="12">
        <f t="shared" si="171"/>
        <v>0.29687414997121392</v>
      </c>
      <c r="J1361" s="3"/>
    </row>
    <row r="1362" spans="2:10" x14ac:dyDescent="0.25">
      <c r="B1362" s="3">
        <f t="shared" si="167"/>
        <v>6710</v>
      </c>
      <c r="C1362" s="14">
        <f t="shared" si="168"/>
        <v>111.83333333333333</v>
      </c>
      <c r="D1362" s="11">
        <f t="shared" si="169"/>
        <v>1038.4905120411595</v>
      </c>
      <c r="E1362" s="24">
        <f t="shared" si="170"/>
        <v>618.44653663897191</v>
      </c>
      <c r="F1362" s="38">
        <f t="shared" si="165"/>
        <v>0.77933473529421349</v>
      </c>
      <c r="G1362" s="14">
        <f t="shared" si="166"/>
        <v>0</v>
      </c>
      <c r="H1362" s="24">
        <f t="shared" si="172"/>
        <v>774.754691285994</v>
      </c>
      <c r="I1362" s="12">
        <f t="shared" si="171"/>
        <v>0.29666485366634471</v>
      </c>
      <c r="J1362" s="3"/>
    </row>
    <row r="1363" spans="2:10" x14ac:dyDescent="0.25">
      <c r="B1363" s="3">
        <f t="shared" si="167"/>
        <v>6715</v>
      </c>
      <c r="C1363" s="14">
        <f t="shared" si="168"/>
        <v>111.91666666666667</v>
      </c>
      <c r="D1363" s="11">
        <f t="shared" si="169"/>
        <v>1038.6019938887555</v>
      </c>
      <c r="E1363" s="24">
        <f t="shared" si="170"/>
        <v>618.74320149263826</v>
      </c>
      <c r="F1363" s="38">
        <f t="shared" si="165"/>
        <v>0.7790626912994123</v>
      </c>
      <c r="G1363" s="14">
        <f t="shared" si="166"/>
        <v>0</v>
      </c>
      <c r="H1363" s="24">
        <f t="shared" si="172"/>
        <v>775.02523095316349</v>
      </c>
      <c r="I1363" s="12">
        <f t="shared" si="171"/>
        <v>0.29645540714261709</v>
      </c>
      <c r="J1363" s="3"/>
    </row>
    <row r="1364" spans="2:10" x14ac:dyDescent="0.25">
      <c r="B1364" s="3">
        <f t="shared" si="167"/>
        <v>6720</v>
      </c>
      <c r="C1364" s="14">
        <f t="shared" si="168"/>
        <v>112</v>
      </c>
      <c r="D1364" s="11">
        <f t="shared" si="169"/>
        <v>1038.7133928502117</v>
      </c>
      <c r="E1364" s="24">
        <f t="shared" si="170"/>
        <v>619.03965689978088</v>
      </c>
      <c r="F1364" s="38">
        <f t="shared" ref="F1364:F1427" si="173">Cp*RhoP/(RhoA*H1364)*dp/1000*MassivP</f>
        <v>0.77878967503053176</v>
      </c>
      <c r="G1364" s="14">
        <f t="shared" ref="G1364:G1427" si="174">Phi*EpsilonF*Botzman/10^8*J1364*((D1364+273)^4-(E1364+273)^4)</f>
        <v>0</v>
      </c>
      <c r="H1364" s="24">
        <f t="shared" si="172"/>
        <v>775.29692754035148</v>
      </c>
      <c r="I1364" s="12">
        <f t="shared" si="171"/>
        <v>0.29624580936154177</v>
      </c>
      <c r="J1364" s="3"/>
    </row>
    <row r="1365" spans="2:10" x14ac:dyDescent="0.25">
      <c r="B1365" s="3">
        <f t="shared" ref="B1365:B1428" si="175">B1364+DeltaT</f>
        <v>6725</v>
      </c>
      <c r="C1365" s="14">
        <f t="shared" ref="C1365:C1428" si="176">B1365/60</f>
        <v>112.08333333333333</v>
      </c>
      <c r="D1365" s="11">
        <f t="shared" ref="D1365:D1428" si="177">20+345*LOG(8*C1365+1,10)</f>
        <v>1038.8247090486875</v>
      </c>
      <c r="E1365" s="24">
        <f t="shared" ref="E1365:E1428" si="178">E1364+IF(Limit=Oui,MAX(0,I1364),I1364)</f>
        <v>619.33590270914237</v>
      </c>
      <c r="F1365" s="38">
        <f t="shared" si="173"/>
        <v>0.77851568161164697</v>
      </c>
      <c r="G1365" s="14">
        <f t="shared" si="174"/>
        <v>0</v>
      </c>
      <c r="H1365" s="24">
        <f t="shared" si="172"/>
        <v>775.56978814013803</v>
      </c>
      <c r="I1365" s="12">
        <f t="shared" ref="I1365:I1428" si="179">LambdaP*MassivP/(dp/1000)/(H1365*RhoA)/(1+F1365/3)*(D1365-E1365)*DeltaT-(EXP(F1365/10)-1)*(D1365-D1364)</f>
        <v>0.29603605927647797</v>
      </c>
      <c r="J1365" s="3"/>
    </row>
    <row r="1366" spans="2:10" x14ac:dyDescent="0.25">
      <c r="B1366" s="3">
        <f t="shared" si="175"/>
        <v>6730</v>
      </c>
      <c r="C1366" s="14">
        <f t="shared" si="176"/>
        <v>112.16666666666667</v>
      </c>
      <c r="D1366" s="11">
        <f t="shared" si="177"/>
        <v>1038.9359426070678</v>
      </c>
      <c r="E1366" s="24">
        <f t="shared" si="178"/>
        <v>619.63193876841888</v>
      </c>
      <c r="F1366" s="38">
        <f t="shared" si="173"/>
        <v>0.77824070613600105</v>
      </c>
      <c r="G1366" s="14">
        <f t="shared" si="174"/>
        <v>0</v>
      </c>
      <c r="H1366" s="24">
        <f t="shared" si="172"/>
        <v>775.84381990140264</v>
      </c>
      <c r="I1366" s="12">
        <f t="shared" si="179"/>
        <v>0.29582615583269872</v>
      </c>
      <c r="J1366" s="3"/>
    </row>
    <row r="1367" spans="2:10" x14ac:dyDescent="0.25">
      <c r="B1367" s="3">
        <f t="shared" si="175"/>
        <v>6735</v>
      </c>
      <c r="C1367" s="14">
        <f t="shared" si="176"/>
        <v>112.25</v>
      </c>
      <c r="D1367" s="11">
        <f t="shared" si="177"/>
        <v>1039.0470936479637</v>
      </c>
      <c r="E1367" s="24">
        <f t="shared" si="178"/>
        <v>619.92776492425162</v>
      </c>
      <c r="F1367" s="38">
        <f t="shared" si="173"/>
        <v>0.77796474366577983</v>
      </c>
      <c r="G1367" s="14">
        <f t="shared" si="174"/>
        <v>0</v>
      </c>
      <c r="H1367" s="24">
        <f t="shared" si="172"/>
        <v>776.11903002986821</v>
      </c>
      <c r="I1367" s="12">
        <f t="shared" si="179"/>
        <v>0.2956160979672387</v>
      </c>
      <c r="J1367" s="3"/>
    </row>
    <row r="1368" spans="2:10" x14ac:dyDescent="0.25">
      <c r="B1368" s="3">
        <f t="shared" si="175"/>
        <v>6740</v>
      </c>
      <c r="C1368" s="14">
        <f t="shared" si="176"/>
        <v>112.33333333333333</v>
      </c>
      <c r="D1368" s="11">
        <f t="shared" si="177"/>
        <v>1039.1581622937147</v>
      </c>
      <c r="E1368" s="24">
        <f t="shared" si="178"/>
        <v>620.22338102221886</v>
      </c>
      <c r="F1368" s="38">
        <f t="shared" si="173"/>
        <v>0.77768778923187898</v>
      </c>
      <c r="G1368" s="14">
        <f t="shared" si="174"/>
        <v>0</v>
      </c>
      <c r="H1368" s="24">
        <f t="shared" si="172"/>
        <v>776.39542578865212</v>
      </c>
      <c r="I1368" s="12">
        <f t="shared" si="179"/>
        <v>0.29540588460879375</v>
      </c>
      <c r="J1368" s="3"/>
    </row>
    <row r="1369" spans="2:10" x14ac:dyDescent="0.25">
      <c r="B1369" s="3">
        <f t="shared" si="175"/>
        <v>6745</v>
      </c>
      <c r="C1369" s="14">
        <f t="shared" si="176"/>
        <v>112.41666666666667</v>
      </c>
      <c r="D1369" s="11">
        <f t="shared" si="177"/>
        <v>1039.2691486663871</v>
      </c>
      <c r="E1369" s="24">
        <f t="shared" si="178"/>
        <v>620.5187869068277</v>
      </c>
      <c r="F1369" s="38">
        <f t="shared" si="173"/>
        <v>0.7774098378336729</v>
      </c>
      <c r="G1369" s="14">
        <f t="shared" si="174"/>
        <v>0</v>
      </c>
      <c r="H1369" s="24">
        <f t="shared" si="172"/>
        <v>776.67301449882325</v>
      </c>
      <c r="I1369" s="12">
        <f t="shared" si="179"/>
        <v>0.29519551467785943</v>
      </c>
      <c r="J1369" s="3"/>
    </row>
    <row r="1370" spans="2:10" x14ac:dyDescent="0.25">
      <c r="B1370" s="3">
        <f t="shared" si="175"/>
        <v>6750</v>
      </c>
      <c r="C1370" s="14">
        <f t="shared" si="176"/>
        <v>112.5</v>
      </c>
      <c r="D1370" s="11">
        <f t="shared" si="177"/>
        <v>1039.3800528877764</v>
      </c>
      <c r="E1370" s="24">
        <f t="shared" si="178"/>
        <v>620.81398242150556</v>
      </c>
      <c r="F1370" s="38">
        <f t="shared" si="173"/>
        <v>0.77713088443878242</v>
      </c>
      <c r="G1370" s="14">
        <f t="shared" si="174"/>
        <v>0</v>
      </c>
      <c r="H1370" s="24">
        <f t="shared" si="172"/>
        <v>776.951803539965</v>
      </c>
      <c r="I1370" s="12">
        <f t="shared" si="179"/>
        <v>0.29498498708644644</v>
      </c>
      <c r="J1370" s="3"/>
    </row>
    <row r="1371" spans="2:10" x14ac:dyDescent="0.25">
      <c r="B1371" s="3">
        <f t="shared" si="175"/>
        <v>6755</v>
      </c>
      <c r="C1371" s="14">
        <f t="shared" si="176"/>
        <v>112.58333333333333</v>
      </c>
      <c r="D1371" s="11">
        <f t="shared" si="177"/>
        <v>1039.4908750794093</v>
      </c>
      <c r="E1371" s="24">
        <f t="shared" si="178"/>
        <v>621.10896740859198</v>
      </c>
      <c r="F1371" s="38">
        <f t="shared" si="173"/>
        <v>0.77685092398283639</v>
      </c>
      <c r="G1371" s="14">
        <f t="shared" si="174"/>
        <v>0</v>
      </c>
      <c r="H1371" s="24">
        <f t="shared" si="172"/>
        <v>777.23180035074563</v>
      </c>
      <c r="I1371" s="12">
        <f t="shared" si="179"/>
        <v>0.29477430073798117</v>
      </c>
      <c r="J1371" s="3"/>
    </row>
    <row r="1372" spans="2:10" x14ac:dyDescent="0.25">
      <c r="B1372" s="3">
        <f t="shared" si="175"/>
        <v>6760</v>
      </c>
      <c r="C1372" s="14">
        <f t="shared" si="176"/>
        <v>112.66666666666667</v>
      </c>
      <c r="D1372" s="11">
        <f t="shared" si="177"/>
        <v>1039.601615362541</v>
      </c>
      <c r="E1372" s="24">
        <f t="shared" si="178"/>
        <v>621.40374170933001</v>
      </c>
      <c r="F1372" s="38">
        <f t="shared" si="173"/>
        <v>0.77656995136923557</v>
      </c>
      <c r="G1372" s="14">
        <f t="shared" si="174"/>
        <v>0</v>
      </c>
      <c r="H1372" s="24">
        <f t="shared" si="172"/>
        <v>777.51301242949421</v>
      </c>
      <c r="I1372" s="12">
        <f t="shared" si="179"/>
        <v>0.29456345452764138</v>
      </c>
      <c r="J1372" s="3"/>
    </row>
    <row r="1373" spans="2:10" x14ac:dyDescent="0.25">
      <c r="B1373" s="3">
        <f t="shared" si="175"/>
        <v>6765</v>
      </c>
      <c r="C1373" s="14">
        <f t="shared" si="176"/>
        <v>112.75</v>
      </c>
      <c r="D1373" s="11">
        <f t="shared" si="177"/>
        <v>1039.7122738581595</v>
      </c>
      <c r="E1373" s="24">
        <f t="shared" si="178"/>
        <v>621.69830516385764</v>
      </c>
      <c r="F1373" s="38">
        <f t="shared" si="173"/>
        <v>0.77628796146891277</v>
      </c>
      <c r="G1373" s="14">
        <f t="shared" si="174"/>
        <v>0</v>
      </c>
      <c r="H1373" s="24">
        <f t="shared" si="172"/>
        <v>777.79544733478338</v>
      </c>
      <c r="I1373" s="12">
        <f t="shared" si="179"/>
        <v>0.29435244734172417</v>
      </c>
      <c r="J1373" s="3"/>
    </row>
    <row r="1374" spans="2:10" x14ac:dyDescent="0.25">
      <c r="B1374" s="3">
        <f t="shared" si="175"/>
        <v>6770</v>
      </c>
      <c r="C1374" s="14">
        <f t="shared" si="176"/>
        <v>112.83333333333333</v>
      </c>
      <c r="D1374" s="11">
        <f t="shared" si="177"/>
        <v>1039.8228506869837</v>
      </c>
      <c r="E1374" s="24">
        <f t="shared" si="178"/>
        <v>621.99265761119932</v>
      </c>
      <c r="F1374" s="38">
        <f t="shared" si="173"/>
        <v>0.77600494912009144</v>
      </c>
      <c r="G1374" s="14">
        <f t="shared" si="174"/>
        <v>0</v>
      </c>
      <c r="H1374" s="24">
        <f t="shared" si="172"/>
        <v>778.07911268601913</v>
      </c>
      <c r="I1374" s="12">
        <f t="shared" si="179"/>
        <v>0.29414127805809154</v>
      </c>
      <c r="J1374" s="3"/>
    </row>
    <row r="1375" spans="2:10" x14ac:dyDescent="0.25">
      <c r="B1375" s="3">
        <f t="shared" si="175"/>
        <v>6775</v>
      </c>
      <c r="C1375" s="14">
        <f t="shared" si="176"/>
        <v>112.91666666666667</v>
      </c>
      <c r="D1375" s="11">
        <f t="shared" si="177"/>
        <v>1039.9333459694672</v>
      </c>
      <c r="E1375" s="24">
        <f t="shared" si="178"/>
        <v>622.2867988892574</v>
      </c>
      <c r="F1375" s="38">
        <f t="shared" si="173"/>
        <v>0.7757209091280407</v>
      </c>
      <c r="G1375" s="14">
        <f t="shared" si="174"/>
        <v>0</v>
      </c>
      <c r="H1375" s="24">
        <f t="shared" si="172"/>
        <v>778.36401616403748</v>
      </c>
      <c r="I1375" s="12">
        <f t="shared" si="179"/>
        <v>0.29392994554560986</v>
      </c>
      <c r="J1375" s="3"/>
    </row>
    <row r="1376" spans="2:10" x14ac:dyDescent="0.25">
      <c r="B1376" s="3">
        <f t="shared" si="175"/>
        <v>6780</v>
      </c>
      <c r="C1376" s="14">
        <f t="shared" si="176"/>
        <v>113</v>
      </c>
      <c r="D1376" s="11">
        <f t="shared" si="177"/>
        <v>1040.043759825795</v>
      </c>
      <c r="E1376" s="24">
        <f t="shared" si="178"/>
        <v>622.58072883480304</v>
      </c>
      <c r="F1376" s="38">
        <f t="shared" si="173"/>
        <v>0.77543583626483192</v>
      </c>
      <c r="G1376" s="14">
        <f t="shared" si="174"/>
        <v>0</v>
      </c>
      <c r="H1376" s="24">
        <f t="shared" si="172"/>
        <v>778.65016551170675</v>
      </c>
      <c r="I1376" s="12">
        <f t="shared" si="179"/>
        <v>0.29371844866470348</v>
      </c>
      <c r="J1376" s="3"/>
    </row>
    <row r="1377" spans="2:10" x14ac:dyDescent="0.25">
      <c r="B1377" s="3">
        <f t="shared" si="175"/>
        <v>6785</v>
      </c>
      <c r="C1377" s="14">
        <f t="shared" si="176"/>
        <v>113.08333333333333</v>
      </c>
      <c r="D1377" s="11">
        <f t="shared" si="177"/>
        <v>1040.1540923758887</v>
      </c>
      <c r="E1377" s="24">
        <f t="shared" si="178"/>
        <v>622.8744472834677</v>
      </c>
      <c r="F1377" s="38">
        <f t="shared" si="173"/>
        <v>0.77514972526908954</v>
      </c>
      <c r="G1377" s="14">
        <f t="shared" si="174"/>
        <v>0</v>
      </c>
      <c r="H1377" s="24">
        <f t="shared" si="172"/>
        <v>778.93756853453851</v>
      </c>
      <c r="I1377" s="12">
        <f t="shared" si="179"/>
        <v>0.29350678626655557</v>
      </c>
      <c r="J1377" s="3"/>
    </row>
    <row r="1378" spans="2:10" x14ac:dyDescent="0.25">
      <c r="B1378" s="3">
        <f t="shared" si="175"/>
        <v>6790</v>
      </c>
      <c r="C1378" s="14">
        <f t="shared" si="176"/>
        <v>113.16666666666667</v>
      </c>
      <c r="D1378" s="11">
        <f t="shared" si="177"/>
        <v>1040.2643437394038</v>
      </c>
      <c r="E1378" s="24">
        <f t="shared" si="178"/>
        <v>623.16795406973426</v>
      </c>
      <c r="F1378" s="38">
        <f t="shared" si="173"/>
        <v>0.77486257084574173</v>
      </c>
      <c r="G1378" s="14">
        <f t="shared" si="174"/>
        <v>0</v>
      </c>
      <c r="H1378" s="24">
        <f t="shared" si="172"/>
        <v>779.22623310130473</v>
      </c>
      <c r="I1378" s="12">
        <f t="shared" si="179"/>
        <v>0.29329495719371518</v>
      </c>
      <c r="J1378" s="3"/>
    </row>
    <row r="1379" spans="2:10" x14ac:dyDescent="0.25">
      <c r="B1379" s="3">
        <f t="shared" si="175"/>
        <v>6795</v>
      </c>
      <c r="C1379" s="14">
        <f t="shared" si="176"/>
        <v>113.25</v>
      </c>
      <c r="D1379" s="11">
        <f t="shared" si="177"/>
        <v>1040.3745140357328</v>
      </c>
      <c r="E1379" s="24">
        <f t="shared" si="178"/>
        <v>623.46124902692793</v>
      </c>
      <c r="F1379" s="38">
        <f t="shared" si="173"/>
        <v>0.77457436766576926</v>
      </c>
      <c r="G1379" s="14">
        <f t="shared" si="174"/>
        <v>0</v>
      </c>
      <c r="H1379" s="24">
        <f t="shared" si="172"/>
        <v>779.51616714466138</v>
      </c>
      <c r="I1379" s="12">
        <f t="shared" si="179"/>
        <v>0.29308296027951664</v>
      </c>
      <c r="J1379" s="3"/>
    </row>
    <row r="1380" spans="2:10" x14ac:dyDescent="0.25">
      <c r="B1380" s="3">
        <f t="shared" si="175"/>
        <v>6800</v>
      </c>
      <c r="C1380" s="14">
        <f t="shared" si="176"/>
        <v>113.33333333333333</v>
      </c>
      <c r="D1380" s="11">
        <f t="shared" si="177"/>
        <v>1040.4846033840042</v>
      </c>
      <c r="E1380" s="24">
        <f t="shared" si="178"/>
        <v>623.75433198720748</v>
      </c>
      <c r="F1380" s="38">
        <f t="shared" si="173"/>
        <v>0.77428511036595116</v>
      </c>
      <c r="G1380" s="14">
        <f t="shared" si="174"/>
        <v>0</v>
      </c>
      <c r="H1380" s="24">
        <f t="shared" si="172"/>
        <v>779.80737866178106</v>
      </c>
      <c r="I1380" s="12">
        <f t="shared" si="179"/>
        <v>0.29287079434837371</v>
      </c>
      <c r="J1380" s="3"/>
    </row>
    <row r="1381" spans="2:10" x14ac:dyDescent="0.25">
      <c r="B1381" s="3">
        <f t="shared" si="175"/>
        <v>6805</v>
      </c>
      <c r="C1381" s="14">
        <f t="shared" si="176"/>
        <v>113.41666666666667</v>
      </c>
      <c r="D1381" s="11">
        <f t="shared" si="177"/>
        <v>1040.5946119030843</v>
      </c>
      <c r="E1381" s="24">
        <f t="shared" si="178"/>
        <v>624.04720278155582</v>
      </c>
      <c r="F1381" s="38">
        <f t="shared" si="173"/>
        <v>0.77399479354860956</v>
      </c>
      <c r="G1381" s="14">
        <f t="shared" si="174"/>
        <v>0</v>
      </c>
      <c r="H1381" s="24">
        <f t="shared" si="172"/>
        <v>780.0998757149905</v>
      </c>
      <c r="I1381" s="12">
        <f t="shared" si="179"/>
        <v>0.29265845821549047</v>
      </c>
      <c r="J1381" s="3"/>
    </row>
    <row r="1382" spans="2:10" x14ac:dyDescent="0.25">
      <c r="B1382" s="3">
        <f t="shared" si="175"/>
        <v>6810</v>
      </c>
      <c r="C1382" s="14">
        <f t="shared" si="176"/>
        <v>113.5</v>
      </c>
      <c r="D1382" s="11">
        <f t="shared" si="177"/>
        <v>1040.7045397115785</v>
      </c>
      <c r="E1382" s="24">
        <f t="shared" si="178"/>
        <v>624.33986123977127</v>
      </c>
      <c r="F1382" s="38">
        <f t="shared" si="173"/>
        <v>0.7737034117813516</v>
      </c>
      <c r="G1382" s="14">
        <f t="shared" si="174"/>
        <v>0</v>
      </c>
      <c r="H1382" s="24">
        <f t="shared" si="172"/>
        <v>780.3936664324184</v>
      </c>
      <c r="I1382" s="12">
        <f t="shared" si="179"/>
        <v>0.29244595068678958</v>
      </c>
      <c r="J1382" s="3"/>
    </row>
    <row r="1383" spans="2:10" x14ac:dyDescent="0.25">
      <c r="B1383" s="3">
        <f t="shared" si="175"/>
        <v>6815</v>
      </c>
      <c r="C1383" s="14">
        <f t="shared" si="176"/>
        <v>113.58333333333333</v>
      </c>
      <c r="D1383" s="11">
        <f t="shared" si="177"/>
        <v>1040.8143869278306</v>
      </c>
      <c r="E1383" s="24">
        <f t="shared" si="178"/>
        <v>624.63230719045805</v>
      </c>
      <c r="F1383" s="38">
        <f t="shared" si="173"/>
        <v>0.7734109595968085</v>
      </c>
      <c r="G1383" s="14">
        <f t="shared" si="174"/>
        <v>0</v>
      </c>
      <c r="H1383" s="24">
        <f t="shared" si="172"/>
        <v>780.68875900864805</v>
      </c>
      <c r="I1383" s="12">
        <f t="shared" si="179"/>
        <v>0.29223327055902226</v>
      </c>
      <c r="J1383" s="3"/>
    </row>
    <row r="1384" spans="2:10" x14ac:dyDescent="0.25">
      <c r="B1384" s="3">
        <f t="shared" si="175"/>
        <v>6820</v>
      </c>
      <c r="C1384" s="14">
        <f t="shared" si="176"/>
        <v>113.66666666666667</v>
      </c>
      <c r="D1384" s="11">
        <f t="shared" si="177"/>
        <v>1040.9241536699244</v>
      </c>
      <c r="E1384" s="24">
        <f t="shared" si="178"/>
        <v>624.92454046101705</v>
      </c>
      <c r="F1384" s="38">
        <f t="shared" si="173"/>
        <v>0.77311743149237533</v>
      </c>
      <c r="G1384" s="14">
        <f t="shared" si="174"/>
        <v>0</v>
      </c>
      <c r="H1384" s="24">
        <f t="shared" si="172"/>
        <v>780.98516170537903</v>
      </c>
      <c r="I1384" s="12">
        <f t="shared" si="179"/>
        <v>0.29202041661953188</v>
      </c>
      <c r="J1384" s="3"/>
    </row>
    <row r="1385" spans="2:10" x14ac:dyDescent="0.25">
      <c r="B1385" s="3">
        <f t="shared" si="175"/>
        <v>6825</v>
      </c>
      <c r="C1385" s="14">
        <f t="shared" si="176"/>
        <v>113.75</v>
      </c>
      <c r="D1385" s="11">
        <f t="shared" si="177"/>
        <v>1041.0338400556843</v>
      </c>
      <c r="E1385" s="24">
        <f t="shared" si="178"/>
        <v>625.21656087763654</v>
      </c>
      <c r="F1385" s="38">
        <f t="shared" si="173"/>
        <v>0.77282282192994511</v>
      </c>
      <c r="G1385" s="14">
        <f t="shared" si="174"/>
        <v>0</v>
      </c>
      <c r="H1385" s="24">
        <f t="shared" si="172"/>
        <v>781.28288285209669</v>
      </c>
      <c r="I1385" s="12">
        <f t="shared" si="179"/>
        <v>0.29180738764623393</v>
      </c>
      <c r="J1385" s="3"/>
    </row>
    <row r="1386" spans="2:10" x14ac:dyDescent="0.25">
      <c r="B1386" s="3">
        <f t="shared" si="175"/>
        <v>6830</v>
      </c>
      <c r="C1386" s="14">
        <f t="shared" si="176"/>
        <v>113.83333333333333</v>
      </c>
      <c r="D1386" s="11">
        <f t="shared" si="177"/>
        <v>1041.1434462026764</v>
      </c>
      <c r="E1386" s="24">
        <f t="shared" si="178"/>
        <v>625.5083682652828</v>
      </c>
      <c r="F1386" s="38">
        <f t="shared" si="173"/>
        <v>0.77252712533564327</v>
      </c>
      <c r="G1386" s="14">
        <f t="shared" si="174"/>
        <v>0</v>
      </c>
      <c r="H1386" s="24">
        <f t="shared" si="172"/>
        <v>781.58193084674861</v>
      </c>
      <c r="I1386" s="12">
        <f t="shared" si="179"/>
        <v>0.29159418240750673</v>
      </c>
      <c r="J1386" s="3"/>
    </row>
    <row r="1387" spans="2:10" x14ac:dyDescent="0.25">
      <c r="B1387" s="3">
        <f t="shared" si="175"/>
        <v>6835</v>
      </c>
      <c r="C1387" s="14">
        <f t="shared" si="176"/>
        <v>113.91666666666667</v>
      </c>
      <c r="D1387" s="11">
        <f t="shared" si="177"/>
        <v>1041.252972228209</v>
      </c>
      <c r="E1387" s="24">
        <f t="shared" si="178"/>
        <v>625.79996244769029</v>
      </c>
      <c r="F1387" s="38">
        <f t="shared" si="173"/>
        <v>0.77223033609955782</v>
      </c>
      <c r="G1387" s="14">
        <f t="shared" si="174"/>
        <v>0</v>
      </c>
      <c r="H1387" s="24">
        <f t="shared" si="172"/>
        <v>781.88231415643008</v>
      </c>
      <c r="I1387" s="12">
        <f t="shared" si="179"/>
        <v>0.29138079966215213</v>
      </c>
      <c r="J1387" s="3"/>
    </row>
    <row r="1388" spans="2:10" x14ac:dyDescent="0.25">
      <c r="B1388" s="3">
        <f t="shared" si="175"/>
        <v>6840</v>
      </c>
      <c r="C1388" s="14">
        <f t="shared" si="176"/>
        <v>114</v>
      </c>
      <c r="D1388" s="11">
        <f t="shared" si="177"/>
        <v>1041.3624182493331</v>
      </c>
      <c r="E1388" s="24">
        <f t="shared" si="178"/>
        <v>626.09134324735248</v>
      </c>
      <c r="F1388" s="38">
        <f t="shared" si="173"/>
        <v>0.77193244857547128</v>
      </c>
      <c r="G1388" s="14">
        <f t="shared" si="174"/>
        <v>0</v>
      </c>
      <c r="H1388" s="24">
        <f t="shared" si="172"/>
        <v>782.1840413180762</v>
      </c>
      <c r="I1388" s="12">
        <f t="shared" si="179"/>
        <v>0.29116723815937456</v>
      </c>
      <c r="J1388" s="3"/>
    </row>
    <row r="1389" spans="2:10" x14ac:dyDescent="0.25">
      <c r="B1389" s="3">
        <f t="shared" si="175"/>
        <v>6845</v>
      </c>
      <c r="C1389" s="14">
        <f t="shared" si="176"/>
        <v>114.08333333333333</v>
      </c>
      <c r="D1389" s="11">
        <f t="shared" si="177"/>
        <v>1041.4717843828435</v>
      </c>
      <c r="E1389" s="24">
        <f t="shared" si="178"/>
        <v>626.38251048551183</v>
      </c>
      <c r="F1389" s="38">
        <f t="shared" si="173"/>
        <v>0.77163345708058428</v>
      </c>
      <c r="G1389" s="14">
        <f t="shared" si="174"/>
        <v>0</v>
      </c>
      <c r="H1389" s="24">
        <f t="shared" si="172"/>
        <v>782.48712093916356</v>
      </c>
      <c r="I1389" s="12">
        <f t="shared" si="179"/>
        <v>0.29095349663857778</v>
      </c>
      <c r="J1389" s="3"/>
    </row>
    <row r="1390" spans="2:10" x14ac:dyDescent="0.25">
      <c r="B1390" s="3">
        <f t="shared" si="175"/>
        <v>6850</v>
      </c>
      <c r="C1390" s="14">
        <f t="shared" si="176"/>
        <v>114.16666666666667</v>
      </c>
      <c r="D1390" s="11">
        <f t="shared" si="177"/>
        <v>1041.5810707452792</v>
      </c>
      <c r="E1390" s="24">
        <f t="shared" si="178"/>
        <v>626.67346398215045</v>
      </c>
      <c r="F1390" s="38">
        <f t="shared" si="173"/>
        <v>0.77133335589524288</v>
      </c>
      <c r="G1390" s="14">
        <f t="shared" si="174"/>
        <v>0</v>
      </c>
      <c r="H1390" s="24">
        <f t="shared" si="172"/>
        <v>782.79156169841951</v>
      </c>
      <c r="I1390" s="12">
        <f t="shared" si="179"/>
        <v>0.29073957382937743</v>
      </c>
      <c r="J1390" s="3"/>
    </row>
    <row r="1391" spans="2:10" x14ac:dyDescent="0.25">
      <c r="B1391" s="3">
        <f t="shared" si="175"/>
        <v>6855</v>
      </c>
      <c r="C1391" s="14">
        <f t="shared" si="176"/>
        <v>114.25</v>
      </c>
      <c r="D1391" s="11">
        <f t="shared" si="177"/>
        <v>1041.6902774529244</v>
      </c>
      <c r="E1391" s="24">
        <f t="shared" si="178"/>
        <v>626.96420355597979</v>
      </c>
      <c r="F1391" s="38">
        <f t="shared" si="173"/>
        <v>0.77103213926266001</v>
      </c>
      <c r="G1391" s="14">
        <f t="shared" si="174"/>
        <v>0</v>
      </c>
      <c r="H1391" s="24">
        <f t="shared" si="172"/>
        <v>783.09737234653949</v>
      </c>
      <c r="I1391" s="12">
        <f t="shared" si="179"/>
        <v>0.29052546845154298</v>
      </c>
      <c r="J1391" s="3"/>
    </row>
    <row r="1392" spans="2:10" x14ac:dyDescent="0.25">
      <c r="B1392" s="3">
        <f t="shared" si="175"/>
        <v>6860</v>
      </c>
      <c r="C1392" s="14">
        <f t="shared" si="176"/>
        <v>114.33333333333333</v>
      </c>
      <c r="D1392" s="11">
        <f t="shared" si="177"/>
        <v>1041.7994046218103</v>
      </c>
      <c r="E1392" s="24">
        <f t="shared" si="178"/>
        <v>627.2547290244313</v>
      </c>
      <c r="F1392" s="38">
        <f t="shared" si="173"/>
        <v>0.77072980138863534</v>
      </c>
      <c r="G1392" s="14">
        <f t="shared" si="174"/>
        <v>0</v>
      </c>
      <c r="H1392" s="24">
        <f t="shared" si="172"/>
        <v>783.40456170691334</v>
      </c>
      <c r="I1392" s="12">
        <f t="shared" si="179"/>
        <v>0.29031117921471883</v>
      </c>
      <c r="J1392" s="3"/>
    </row>
    <row r="1393" spans="2:10" x14ac:dyDescent="0.25">
      <c r="B1393" s="3">
        <f t="shared" si="175"/>
        <v>6865</v>
      </c>
      <c r="C1393" s="14">
        <f t="shared" si="176"/>
        <v>114.41666666666667</v>
      </c>
      <c r="D1393" s="11">
        <f t="shared" si="177"/>
        <v>1041.9084523677129</v>
      </c>
      <c r="E1393" s="24">
        <f t="shared" si="178"/>
        <v>627.54504020364607</v>
      </c>
      <c r="F1393" s="38">
        <f t="shared" si="173"/>
        <v>0.77042633644127378</v>
      </c>
      <c r="G1393" s="14">
        <f t="shared" si="174"/>
        <v>0</v>
      </c>
      <c r="H1393" s="24">
        <f t="shared" si="172"/>
        <v>783.71313867636013</v>
      </c>
      <c r="I1393" s="12">
        <f t="shared" si="179"/>
        <v>0.29009670481876221</v>
      </c>
      <c r="J1393" s="3"/>
    </row>
    <row r="1394" spans="2:10" x14ac:dyDescent="0.25">
      <c r="B1394" s="3">
        <f t="shared" si="175"/>
        <v>6870</v>
      </c>
      <c r="C1394" s="14">
        <f t="shared" si="176"/>
        <v>114.5</v>
      </c>
      <c r="D1394" s="11">
        <f t="shared" si="177"/>
        <v>1042.0174208061571</v>
      </c>
      <c r="E1394" s="24">
        <f t="shared" si="178"/>
        <v>627.83513690846485</v>
      </c>
      <c r="F1394" s="38">
        <f t="shared" si="173"/>
        <v>0.7701217385507021</v>
      </c>
      <c r="G1394" s="14">
        <f t="shared" si="174"/>
        <v>0</v>
      </c>
      <c r="H1394" s="24">
        <f t="shared" si="172"/>
        <v>784.02311222587127</v>
      </c>
      <c r="I1394" s="12">
        <f t="shared" si="179"/>
        <v>0.28988204395317352</v>
      </c>
      <c r="J1394" s="3"/>
    </row>
    <row r="1395" spans="2:10" x14ac:dyDescent="0.25">
      <c r="B1395" s="3">
        <f t="shared" si="175"/>
        <v>6875</v>
      </c>
      <c r="C1395" s="14">
        <f t="shared" si="176"/>
        <v>114.58333333333333</v>
      </c>
      <c r="D1395" s="11">
        <f t="shared" si="177"/>
        <v>1042.1263100524152</v>
      </c>
      <c r="E1395" s="24">
        <f t="shared" si="178"/>
        <v>628.12501895241803</v>
      </c>
      <c r="F1395" s="38">
        <f t="shared" si="173"/>
        <v>0.76981600180878007</v>
      </c>
      <c r="G1395" s="14">
        <f t="shared" si="174"/>
        <v>0</v>
      </c>
      <c r="H1395" s="24">
        <f t="shared" si="172"/>
        <v>784.33449140136292</v>
      </c>
      <c r="I1395" s="12">
        <f t="shared" si="179"/>
        <v>0.2896671952973785</v>
      </c>
      <c r="J1395" s="3"/>
    </row>
    <row r="1396" spans="2:10" x14ac:dyDescent="0.25">
      <c r="B1396" s="3">
        <f t="shared" si="175"/>
        <v>6880</v>
      </c>
      <c r="C1396" s="14">
        <f t="shared" si="176"/>
        <v>114.66666666666667</v>
      </c>
      <c r="D1396" s="11">
        <f t="shared" si="177"/>
        <v>1042.2351202215086</v>
      </c>
      <c r="E1396" s="24">
        <f t="shared" si="178"/>
        <v>628.41468614771543</v>
      </c>
      <c r="F1396" s="38">
        <f t="shared" si="173"/>
        <v>0.76950912026881335</v>
      </c>
      <c r="G1396" s="14">
        <f t="shared" si="174"/>
        <v>0</v>
      </c>
      <c r="H1396" s="24">
        <f t="shared" si="172"/>
        <v>784.64728532443712</v>
      </c>
      <c r="I1396" s="12">
        <f t="shared" si="179"/>
        <v>0.2894521575204469</v>
      </c>
      <c r="J1396" s="3"/>
    </row>
    <row r="1397" spans="2:10" x14ac:dyDescent="0.25">
      <c r="B1397" s="3">
        <f t="shared" si="175"/>
        <v>6885</v>
      </c>
      <c r="C1397" s="14">
        <f t="shared" si="176"/>
        <v>114.75</v>
      </c>
      <c r="D1397" s="11">
        <f t="shared" si="177"/>
        <v>1042.3438514282084</v>
      </c>
      <c r="E1397" s="24">
        <f t="shared" si="178"/>
        <v>628.70413830523592</v>
      </c>
      <c r="F1397" s="38">
        <f t="shared" si="173"/>
        <v>0.76920108794526099</v>
      </c>
      <c r="G1397" s="14">
        <f t="shared" si="174"/>
        <v>0</v>
      </c>
      <c r="H1397" s="24">
        <f t="shared" si="172"/>
        <v>784.96150319315223</v>
      </c>
      <c r="I1397" s="12">
        <f t="shared" si="179"/>
        <v>0.28923692928111933</v>
      </c>
      <c r="J1397" s="3"/>
    </row>
    <row r="1398" spans="2:10" x14ac:dyDescent="0.25">
      <c r="B1398" s="3">
        <f t="shared" si="175"/>
        <v>6890</v>
      </c>
      <c r="C1398" s="14">
        <f t="shared" si="176"/>
        <v>114.83333333333333</v>
      </c>
      <c r="D1398" s="11">
        <f t="shared" si="177"/>
        <v>1042.4525037870353</v>
      </c>
      <c r="E1398" s="24">
        <f t="shared" si="178"/>
        <v>628.99337523451709</v>
      </c>
      <c r="F1398" s="38">
        <f t="shared" si="173"/>
        <v>0.76889189881344233</v>
      </c>
      <c r="G1398" s="14">
        <f t="shared" si="174"/>
        <v>0</v>
      </c>
      <c r="H1398" s="24">
        <f t="shared" si="172"/>
        <v>785.27715428280192</v>
      </c>
      <c r="I1398" s="12">
        <f t="shared" si="179"/>
        <v>0.28902150922770548</v>
      </c>
      <c r="J1398" s="3"/>
    </row>
    <row r="1399" spans="2:10" x14ac:dyDescent="0.25">
      <c r="B1399" s="3">
        <f t="shared" si="175"/>
        <v>6895</v>
      </c>
      <c r="C1399" s="14">
        <f t="shared" si="176"/>
        <v>114.91666666666667</v>
      </c>
      <c r="D1399" s="11">
        <f t="shared" si="177"/>
        <v>1042.5610774122624</v>
      </c>
      <c r="E1399" s="24">
        <f t="shared" si="178"/>
        <v>629.28239674374481</v>
      </c>
      <c r="F1399" s="38">
        <f t="shared" si="173"/>
        <v>0.76858154680924073</v>
      </c>
      <c r="G1399" s="14">
        <f t="shared" si="174"/>
        <v>0</v>
      </c>
      <c r="H1399" s="24">
        <f t="shared" ref="H1399:H1462" si="180">IF(E1399&lt;600,425+0.773*E1399-1.69/1000*E1399^2+2.22/1000^2*E1399^3,IF(E1399&lt;735,666+13002/(738-E1399),IF(E1399&lt;900,545+17820/(E1399-731),650)))</f>
        <v>785.59424794670417</v>
      </c>
      <c r="I1399" s="12">
        <f t="shared" si="179"/>
        <v>0.28880589599785633</v>
      </c>
      <c r="J1399" s="3"/>
    </row>
    <row r="1400" spans="2:10" x14ac:dyDescent="0.25">
      <c r="B1400" s="3">
        <f t="shared" si="175"/>
        <v>6900</v>
      </c>
      <c r="C1400" s="14">
        <f t="shared" si="176"/>
        <v>115</v>
      </c>
      <c r="D1400" s="11">
        <f t="shared" si="177"/>
        <v>1042.6695724179128</v>
      </c>
      <c r="E1400" s="24">
        <f t="shared" si="178"/>
        <v>629.57120263974264</v>
      </c>
      <c r="F1400" s="38">
        <f t="shared" si="173"/>
        <v>0.76827002582880455</v>
      </c>
      <c r="G1400" s="14">
        <f t="shared" si="174"/>
        <v>0</v>
      </c>
      <c r="H1400" s="24">
        <f t="shared" si="180"/>
        <v>785.91279361699947</v>
      </c>
      <c r="I1400" s="12">
        <f t="shared" si="179"/>
        <v>0.28859008821882243</v>
      </c>
      <c r="J1400" s="3"/>
    </row>
    <row r="1401" spans="2:10" x14ac:dyDescent="0.25">
      <c r="B1401" s="3">
        <f t="shared" si="175"/>
        <v>6905</v>
      </c>
      <c r="C1401" s="14">
        <f t="shared" si="176"/>
        <v>115.08333333333333</v>
      </c>
      <c r="D1401" s="11">
        <f t="shared" si="177"/>
        <v>1042.7779889177637</v>
      </c>
      <c r="E1401" s="24">
        <f t="shared" si="178"/>
        <v>629.85979272796146</v>
      </c>
      <c r="F1401" s="38">
        <f t="shared" si="173"/>
        <v>0.76795732972824637</v>
      </c>
      <c r="G1401" s="14">
        <f t="shared" si="174"/>
        <v>0</v>
      </c>
      <c r="H1401" s="24">
        <f t="shared" si="180"/>
        <v>786.23280080545851</v>
      </c>
      <c r="I1401" s="12">
        <f t="shared" si="179"/>
        <v>0.28837408450689817</v>
      </c>
      <c r="J1401" s="3"/>
    </row>
    <row r="1402" spans="2:10" x14ac:dyDescent="0.25">
      <c r="B1402" s="3">
        <f t="shared" si="175"/>
        <v>6910</v>
      </c>
      <c r="C1402" s="14">
        <f t="shared" si="176"/>
        <v>115.16666666666667</v>
      </c>
      <c r="D1402" s="11">
        <f t="shared" si="177"/>
        <v>1042.8863270253448</v>
      </c>
      <c r="E1402" s="24">
        <f t="shared" si="178"/>
        <v>630.14816681246839</v>
      </c>
      <c r="F1402" s="38">
        <f t="shared" si="173"/>
        <v>0.76764345232334008</v>
      </c>
      <c r="G1402" s="14">
        <f t="shared" si="174"/>
        <v>0</v>
      </c>
      <c r="H1402" s="24">
        <f t="shared" si="180"/>
        <v>786.55427910429921</v>
      </c>
      <c r="I1402" s="12">
        <f t="shared" si="179"/>
        <v>0.28815788346773474</v>
      </c>
      <c r="J1402" s="3"/>
    </row>
    <row r="1403" spans="2:10" x14ac:dyDescent="0.25">
      <c r="B1403" s="3">
        <f t="shared" si="175"/>
        <v>6915</v>
      </c>
      <c r="C1403" s="14">
        <f t="shared" si="176"/>
        <v>115.25</v>
      </c>
      <c r="D1403" s="11">
        <f t="shared" si="177"/>
        <v>1042.9945868539394</v>
      </c>
      <c r="E1403" s="24">
        <f t="shared" si="178"/>
        <v>630.43632469593615</v>
      </c>
      <c r="F1403" s="38">
        <f t="shared" si="173"/>
        <v>0.76732838738921394</v>
      </c>
      <c r="G1403" s="14">
        <f t="shared" si="174"/>
        <v>0</v>
      </c>
      <c r="H1403" s="24">
        <f t="shared" si="180"/>
        <v>786.87723818701431</v>
      </c>
      <c r="I1403" s="12">
        <f t="shared" si="179"/>
        <v>0.28794148369614292</v>
      </c>
      <c r="J1403" s="3"/>
    </row>
    <row r="1404" spans="2:10" x14ac:dyDescent="0.25">
      <c r="B1404" s="3">
        <f t="shared" si="175"/>
        <v>6920</v>
      </c>
      <c r="C1404" s="14">
        <f t="shared" si="176"/>
        <v>115.33333333333333</v>
      </c>
      <c r="D1404" s="11">
        <f t="shared" si="177"/>
        <v>1043.1027685165864</v>
      </c>
      <c r="E1404" s="24">
        <f t="shared" si="178"/>
        <v>630.72426617963231</v>
      </c>
      <c r="F1404" s="38">
        <f t="shared" si="173"/>
        <v>0.7670121286600432</v>
      </c>
      <c r="G1404" s="14">
        <f t="shared" si="174"/>
        <v>0</v>
      </c>
      <c r="H1404" s="24">
        <f t="shared" si="180"/>
        <v>787.20168780920892</v>
      </c>
      <c r="I1404" s="12">
        <f t="shared" si="179"/>
        <v>0.28772488377578903</v>
      </c>
      <c r="J1404" s="3"/>
    </row>
    <row r="1405" spans="2:10" x14ac:dyDescent="0.25">
      <c r="B1405" s="3">
        <f t="shared" si="175"/>
        <v>6925</v>
      </c>
      <c r="C1405" s="14">
        <f t="shared" si="176"/>
        <v>115.41666666666667</v>
      </c>
      <c r="D1405" s="11">
        <f t="shared" si="177"/>
        <v>1043.2108721260786</v>
      </c>
      <c r="E1405" s="24">
        <f t="shared" si="178"/>
        <v>631.01199106340812</v>
      </c>
      <c r="F1405" s="38">
        <f t="shared" si="173"/>
        <v>0.76669466982873846</v>
      </c>
      <c r="G1405" s="14">
        <f t="shared" si="174"/>
        <v>0</v>
      </c>
      <c r="H1405" s="24">
        <f t="shared" si="180"/>
        <v>787.52763780944679</v>
      </c>
      <c r="I1405" s="12">
        <f t="shared" si="179"/>
        <v>0.2875080822795219</v>
      </c>
      <c r="J1405" s="3"/>
    </row>
    <row r="1406" spans="2:10" x14ac:dyDescent="0.25">
      <c r="B1406" s="3">
        <f t="shared" si="175"/>
        <v>6930</v>
      </c>
      <c r="C1406" s="14">
        <f t="shared" si="176"/>
        <v>115.5</v>
      </c>
      <c r="D1406" s="11">
        <f t="shared" si="177"/>
        <v>1043.318897794966</v>
      </c>
      <c r="E1406" s="24">
        <f t="shared" si="178"/>
        <v>631.29949914568761</v>
      </c>
      <c r="F1406" s="38">
        <f t="shared" si="173"/>
        <v>0.76637600454663224</v>
      </c>
      <c r="G1406" s="14">
        <f t="shared" si="174"/>
        <v>0</v>
      </c>
      <c r="H1406" s="24">
        <f t="shared" si="180"/>
        <v>787.85509811010888</v>
      </c>
      <c r="I1406" s="12">
        <f t="shared" si="179"/>
        <v>0.28729107776883145</v>
      </c>
      <c r="J1406" s="3"/>
    </row>
    <row r="1407" spans="2:10" x14ac:dyDescent="0.25">
      <c r="B1407" s="3">
        <f t="shared" si="175"/>
        <v>6935</v>
      </c>
      <c r="C1407" s="14">
        <f t="shared" si="176"/>
        <v>115.58333333333333</v>
      </c>
      <c r="D1407" s="11">
        <f t="shared" si="177"/>
        <v>1043.4268456355551</v>
      </c>
      <c r="E1407" s="24">
        <f t="shared" si="178"/>
        <v>631.58679022345643</v>
      </c>
      <c r="F1407" s="38">
        <f t="shared" si="173"/>
        <v>0.76605612642316279</v>
      </c>
      <c r="G1407" s="14">
        <f t="shared" si="174"/>
        <v>0</v>
      </c>
      <c r="H1407" s="24">
        <f t="shared" si="180"/>
        <v>788.18407871826082</v>
      </c>
      <c r="I1407" s="12">
        <f t="shared" si="179"/>
        <v>0.28707386879408331</v>
      </c>
      <c r="J1407" s="3"/>
    </row>
    <row r="1408" spans="2:10" x14ac:dyDescent="0.25">
      <c r="B1408" s="3">
        <f t="shared" si="175"/>
        <v>6940</v>
      </c>
      <c r="C1408" s="14">
        <f t="shared" si="176"/>
        <v>115.66666666666667</v>
      </c>
      <c r="D1408" s="11">
        <f t="shared" si="177"/>
        <v>1043.5347157599097</v>
      </c>
      <c r="E1408" s="24">
        <f t="shared" si="178"/>
        <v>631.87386409225053</v>
      </c>
      <c r="F1408" s="38">
        <f t="shared" si="173"/>
        <v>0.76573502902555646</v>
      </c>
      <c r="G1408" s="14">
        <f t="shared" si="174"/>
        <v>0</v>
      </c>
      <c r="H1408" s="24">
        <f t="shared" si="180"/>
        <v>788.51458972653109</v>
      </c>
      <c r="I1408" s="12">
        <f t="shared" si="179"/>
        <v>0.28685645389430203</v>
      </c>
      <c r="J1408" s="3"/>
    </row>
    <row r="1409" spans="2:10" x14ac:dyDescent="0.25">
      <c r="B1409" s="3">
        <f t="shared" si="175"/>
        <v>6945</v>
      </c>
      <c r="C1409" s="14">
        <f t="shared" si="176"/>
        <v>115.75</v>
      </c>
      <c r="D1409" s="11">
        <f t="shared" si="177"/>
        <v>1043.6425082798514</v>
      </c>
      <c r="E1409" s="24">
        <f t="shared" si="178"/>
        <v>632.16072054614483</v>
      </c>
      <c r="F1409" s="38">
        <f t="shared" si="173"/>
        <v>0.76541270587850585</v>
      </c>
      <c r="G1409" s="14">
        <f t="shared" si="174"/>
        <v>0</v>
      </c>
      <c r="H1409" s="24">
        <f t="shared" si="180"/>
        <v>788.84664131400041</v>
      </c>
      <c r="I1409" s="12">
        <f t="shared" si="179"/>
        <v>0.28663883159711379</v>
      </c>
      <c r="J1409" s="3"/>
    </row>
    <row r="1410" spans="2:10" x14ac:dyDescent="0.25">
      <c r="B1410" s="3">
        <f t="shared" si="175"/>
        <v>6950</v>
      </c>
      <c r="C1410" s="14">
        <f t="shared" si="176"/>
        <v>115.83333333333333</v>
      </c>
      <c r="D1410" s="11">
        <f t="shared" si="177"/>
        <v>1043.7502233069613</v>
      </c>
      <c r="E1410" s="24">
        <f t="shared" si="178"/>
        <v>632.44735937774192</v>
      </c>
      <c r="F1410" s="38">
        <f t="shared" si="173"/>
        <v>0.76508915046384474</v>
      </c>
      <c r="G1410" s="14">
        <f t="shared" si="174"/>
        <v>0</v>
      </c>
      <c r="H1410" s="24">
        <f t="shared" si="180"/>
        <v>789.18024374710194</v>
      </c>
      <c r="I1410" s="12">
        <f t="shared" si="179"/>
        <v>0.28642100041858193</v>
      </c>
      <c r="J1410" s="3"/>
    </row>
    <row r="1411" spans="2:10" x14ac:dyDescent="0.25">
      <c r="B1411" s="3">
        <f t="shared" si="175"/>
        <v>6955</v>
      </c>
      <c r="C1411" s="14">
        <f t="shared" si="176"/>
        <v>115.91666666666667</v>
      </c>
      <c r="D1411" s="11">
        <f t="shared" si="177"/>
        <v>1043.8578609525794</v>
      </c>
      <c r="E1411" s="24">
        <f t="shared" si="178"/>
        <v>632.73378037816053</v>
      </c>
      <c r="F1411" s="38">
        <f t="shared" si="173"/>
        <v>0.76476435622022398</v>
      </c>
      <c r="G1411" s="14">
        <f t="shared" si="174"/>
        <v>0</v>
      </c>
      <c r="H1411" s="24">
        <f t="shared" si="180"/>
        <v>789.51540738053154</v>
      </c>
      <c r="I1411" s="12">
        <f t="shared" si="179"/>
        <v>0.28620295886322134</v>
      </c>
      <c r="J1411" s="3"/>
    </row>
    <row r="1412" spans="2:10" x14ac:dyDescent="0.25">
      <c r="B1412" s="3">
        <f t="shared" si="175"/>
        <v>6960</v>
      </c>
      <c r="C1412" s="14">
        <f t="shared" si="176"/>
        <v>116</v>
      </c>
      <c r="D1412" s="11">
        <f t="shared" si="177"/>
        <v>1043.9654213278063</v>
      </c>
      <c r="E1412" s="24">
        <f t="shared" si="178"/>
        <v>633.01998333702375</v>
      </c>
      <c r="F1412" s="38">
        <f t="shared" si="173"/>
        <v>0.76443831654278116</v>
      </c>
      <c r="G1412" s="14">
        <f t="shared" si="174"/>
        <v>0</v>
      </c>
      <c r="H1412" s="24">
        <f t="shared" si="180"/>
        <v>789.85214265817001</v>
      </c>
      <c r="I1412" s="12">
        <f t="shared" si="179"/>
        <v>0.28598470542379567</v>
      </c>
      <c r="J1412" s="3"/>
    </row>
    <row r="1413" spans="2:10" x14ac:dyDescent="0.25">
      <c r="B1413" s="3">
        <f t="shared" si="175"/>
        <v>6965</v>
      </c>
      <c r="C1413" s="14">
        <f t="shared" si="176"/>
        <v>116.08333333333333</v>
      </c>
      <c r="D1413" s="11">
        <f t="shared" si="177"/>
        <v>1044.0729045435035</v>
      </c>
      <c r="E1413" s="24">
        <f t="shared" si="178"/>
        <v>633.30596804244749</v>
      </c>
      <c r="F1413" s="38">
        <f t="shared" si="173"/>
        <v>0.76411102478280857</v>
      </c>
      <c r="G1413" s="14">
        <f t="shared" si="174"/>
        <v>0</v>
      </c>
      <c r="H1413" s="24">
        <f t="shared" si="180"/>
        <v>790.19046011401656</v>
      </c>
      <c r="I1413" s="12">
        <f t="shared" si="179"/>
        <v>0.28576623858132932</v>
      </c>
      <c r="J1413" s="3"/>
    </row>
    <row r="1414" spans="2:10" x14ac:dyDescent="0.25">
      <c r="B1414" s="3">
        <f t="shared" si="175"/>
        <v>6970</v>
      </c>
      <c r="C1414" s="14">
        <f t="shared" si="176"/>
        <v>116.16666666666667</v>
      </c>
      <c r="D1414" s="11">
        <f t="shared" si="177"/>
        <v>1044.1803107102942</v>
      </c>
      <c r="E1414" s="24">
        <f t="shared" si="178"/>
        <v>633.59173428102883</v>
      </c>
      <c r="F1414" s="38">
        <f t="shared" si="173"/>
        <v>0.76378247424741874</v>
      </c>
      <c r="G1414" s="14">
        <f t="shared" si="174"/>
        <v>0</v>
      </c>
      <c r="H1414" s="24">
        <f t="shared" si="180"/>
        <v>790.53037037313334</v>
      </c>
      <c r="I1414" s="12">
        <f t="shared" si="179"/>
        <v>0.28554755680488519</v>
      </c>
      <c r="J1414" s="3"/>
    </row>
    <row r="1415" spans="2:10" x14ac:dyDescent="0.25">
      <c r="B1415" s="3">
        <f t="shared" si="175"/>
        <v>6975</v>
      </c>
      <c r="C1415" s="14">
        <f t="shared" si="176"/>
        <v>116.25</v>
      </c>
      <c r="D1415" s="11">
        <f t="shared" si="177"/>
        <v>1044.2876399385632</v>
      </c>
      <c r="E1415" s="24">
        <f t="shared" si="178"/>
        <v>633.87728183783372</v>
      </c>
      <c r="F1415" s="38">
        <f t="shared" si="173"/>
        <v>0.76345265819920849</v>
      </c>
      <c r="G1415" s="14">
        <f t="shared" si="174"/>
        <v>0</v>
      </c>
      <c r="H1415" s="24">
        <f t="shared" si="180"/>
        <v>790.87188415260152</v>
      </c>
      <c r="I1415" s="12">
        <f t="shared" si="179"/>
        <v>0.28532865855166512</v>
      </c>
      <c r="J1415" s="3"/>
    </row>
    <row r="1416" spans="2:10" x14ac:dyDescent="0.25">
      <c r="B1416" s="3">
        <f t="shared" si="175"/>
        <v>6980</v>
      </c>
      <c r="C1416" s="14">
        <f t="shared" si="176"/>
        <v>116.33333333333333</v>
      </c>
      <c r="D1416" s="11">
        <f t="shared" si="177"/>
        <v>1044.3948923384589</v>
      </c>
      <c r="E1416" s="24">
        <f t="shared" si="178"/>
        <v>634.16261049638535</v>
      </c>
      <c r="F1416" s="38">
        <f t="shared" si="173"/>
        <v>0.76312156985591773</v>
      </c>
      <c r="G1416" s="14">
        <f t="shared" si="174"/>
        <v>0</v>
      </c>
      <c r="H1416" s="24">
        <f t="shared" si="180"/>
        <v>791.21501226248938</v>
      </c>
      <c r="I1416" s="12">
        <f t="shared" si="179"/>
        <v>0.28510954226664154</v>
      </c>
      <c r="J1416" s="3"/>
    </row>
    <row r="1417" spans="2:10" x14ac:dyDescent="0.25">
      <c r="B1417" s="3">
        <f t="shared" si="175"/>
        <v>6985</v>
      </c>
      <c r="C1417" s="14">
        <f t="shared" si="176"/>
        <v>116.41666666666667</v>
      </c>
      <c r="D1417" s="11">
        <f t="shared" si="177"/>
        <v>1044.5020680198934</v>
      </c>
      <c r="E1417" s="24">
        <f t="shared" si="178"/>
        <v>634.44772003865205</v>
      </c>
      <c r="F1417" s="38">
        <f t="shared" si="173"/>
        <v>0.76278920239008674</v>
      </c>
      <c r="G1417" s="14">
        <f t="shared" si="174"/>
        <v>0</v>
      </c>
      <c r="H1417" s="24">
        <f t="shared" si="180"/>
        <v>791.55976560683303</v>
      </c>
      <c r="I1417" s="12">
        <f t="shared" si="179"/>
        <v>0.28489020638267415</v>
      </c>
      <c r="J1417" s="3"/>
    </row>
    <row r="1418" spans="2:10" x14ac:dyDescent="0.25">
      <c r="B1418" s="3">
        <f t="shared" si="175"/>
        <v>6990</v>
      </c>
      <c r="C1418" s="14">
        <f t="shared" si="176"/>
        <v>116.5</v>
      </c>
      <c r="D1418" s="11">
        <f t="shared" si="177"/>
        <v>1044.6091670925423</v>
      </c>
      <c r="E1418" s="24">
        <f t="shared" si="178"/>
        <v>634.73261024503472</v>
      </c>
      <c r="F1418" s="38">
        <f t="shared" si="173"/>
        <v>0.76245554892871159</v>
      </c>
      <c r="G1418" s="14">
        <f t="shared" si="174"/>
        <v>0</v>
      </c>
      <c r="H1418" s="24">
        <f t="shared" si="180"/>
        <v>791.90615518462687</v>
      </c>
      <c r="I1418" s="12">
        <f t="shared" si="179"/>
        <v>0.28467064932037367</v>
      </c>
      <c r="J1418" s="3"/>
    </row>
    <row r="1419" spans="2:10" x14ac:dyDescent="0.25">
      <c r="B1419" s="3">
        <f t="shared" si="175"/>
        <v>6995</v>
      </c>
      <c r="C1419" s="14">
        <f t="shared" si="176"/>
        <v>116.58333333333333</v>
      </c>
      <c r="D1419" s="11">
        <f t="shared" si="177"/>
        <v>1044.7161896658474</v>
      </c>
      <c r="E1419" s="24">
        <f t="shared" si="178"/>
        <v>635.01728089435505</v>
      </c>
      <c r="F1419" s="38">
        <f t="shared" si="173"/>
        <v>0.76212060255289538</v>
      </c>
      <c r="G1419" s="14">
        <f t="shared" si="174"/>
        <v>0</v>
      </c>
      <c r="H1419" s="24">
        <f t="shared" si="180"/>
        <v>792.25419209082918</v>
      </c>
      <c r="I1419" s="12">
        <f t="shared" si="179"/>
        <v>0.28445086948783893</v>
      </c>
      <c r="J1419" s="3"/>
    </row>
    <row r="1420" spans="2:10" x14ac:dyDescent="0.25">
      <c r="B1420" s="3">
        <f t="shared" si="175"/>
        <v>7000</v>
      </c>
      <c r="C1420" s="14">
        <f t="shared" si="176"/>
        <v>116.66666666666667</v>
      </c>
      <c r="D1420" s="11">
        <f t="shared" si="177"/>
        <v>1044.823135849015</v>
      </c>
      <c r="E1420" s="24">
        <f t="shared" si="178"/>
        <v>635.30173176384289</v>
      </c>
      <c r="F1420" s="38">
        <f t="shared" si="173"/>
        <v>0.76178435629749719</v>
      </c>
      <c r="G1420" s="14">
        <f t="shared" si="174"/>
        <v>0</v>
      </c>
      <c r="H1420" s="24">
        <f t="shared" si="180"/>
        <v>792.60388751737855</v>
      </c>
      <c r="I1420" s="12">
        <f t="shared" si="179"/>
        <v>0.28423086528085978</v>
      </c>
      <c r="J1420" s="3"/>
    </row>
    <row r="1421" spans="2:10" x14ac:dyDescent="0.25">
      <c r="B1421" s="3">
        <f t="shared" si="175"/>
        <v>7005</v>
      </c>
      <c r="C1421" s="14">
        <f t="shared" si="176"/>
        <v>116.75</v>
      </c>
      <c r="D1421" s="11">
        <f t="shared" si="177"/>
        <v>1044.9300057510186</v>
      </c>
      <c r="E1421" s="24">
        <f t="shared" si="178"/>
        <v>635.58596262912374</v>
      </c>
      <c r="F1421" s="38">
        <f t="shared" si="173"/>
        <v>0.76144680315077806</v>
      </c>
      <c r="G1421" s="14">
        <f t="shared" si="174"/>
        <v>0</v>
      </c>
      <c r="H1421" s="24">
        <f t="shared" si="180"/>
        <v>792.95525275422267</v>
      </c>
      <c r="I1421" s="12">
        <f t="shared" si="179"/>
        <v>0.28401063508245528</v>
      </c>
      <c r="J1421" s="3"/>
    </row>
    <row r="1422" spans="2:10" x14ac:dyDescent="0.25">
      <c r="B1422" s="3">
        <f t="shared" si="175"/>
        <v>7010</v>
      </c>
      <c r="C1422" s="14">
        <f t="shared" si="176"/>
        <v>116.83333333333333</v>
      </c>
      <c r="D1422" s="11">
        <f t="shared" si="177"/>
        <v>1045.0367994805979</v>
      </c>
      <c r="E1422" s="24">
        <f t="shared" si="178"/>
        <v>635.86997326420624</v>
      </c>
      <c r="F1422" s="38">
        <f t="shared" si="173"/>
        <v>0.76110793605404459</v>
      </c>
      <c r="G1422" s="14">
        <f t="shared" si="174"/>
        <v>0</v>
      </c>
      <c r="H1422" s="24">
        <f t="shared" si="180"/>
        <v>793.30829919036103</v>
      </c>
      <c r="I1422" s="12">
        <f t="shared" si="179"/>
        <v>0.28379017726311034</v>
      </c>
      <c r="J1422" s="3"/>
    </row>
    <row r="1423" spans="2:10" x14ac:dyDescent="0.25">
      <c r="B1423" s="3">
        <f t="shared" si="175"/>
        <v>7015</v>
      </c>
      <c r="C1423" s="14">
        <f t="shared" si="176"/>
        <v>116.91666666666667</v>
      </c>
      <c r="D1423" s="11">
        <f t="shared" si="177"/>
        <v>1045.1435171462608</v>
      </c>
      <c r="E1423" s="24">
        <f t="shared" si="178"/>
        <v>636.15376344146932</v>
      </c>
      <c r="F1423" s="38">
        <f t="shared" si="173"/>
        <v>0.76076774790128865</v>
      </c>
      <c r="G1423" s="14">
        <f t="shared" si="174"/>
        <v>0</v>
      </c>
      <c r="H1423" s="24">
        <f t="shared" si="180"/>
        <v>793.66303831489927</v>
      </c>
      <c r="I1423" s="12">
        <f t="shared" si="179"/>
        <v>0.28356949018038363</v>
      </c>
      <c r="J1423" s="3"/>
    </row>
    <row r="1424" spans="2:10" x14ac:dyDescent="0.25">
      <c r="B1424" s="3">
        <f t="shared" si="175"/>
        <v>7020</v>
      </c>
      <c r="C1424" s="14">
        <f t="shared" si="176"/>
        <v>117</v>
      </c>
      <c r="D1424" s="11">
        <f t="shared" si="177"/>
        <v>1045.2501588562834</v>
      </c>
      <c r="E1424" s="24">
        <f t="shared" si="178"/>
        <v>636.43733293164973</v>
      </c>
      <c r="F1424" s="38">
        <f t="shared" si="173"/>
        <v>0.7604262315388256</v>
      </c>
      <c r="G1424" s="14">
        <f t="shared" si="174"/>
        <v>0</v>
      </c>
      <c r="H1424" s="24">
        <f t="shared" si="180"/>
        <v>794.0194817181183</v>
      </c>
      <c r="I1424" s="12">
        <f t="shared" si="179"/>
        <v>0.28334857217899884</v>
      </c>
      <c r="J1424" s="3"/>
    </row>
    <row r="1425" spans="2:10" x14ac:dyDescent="0.25">
      <c r="B1425" s="3">
        <f t="shared" si="175"/>
        <v>7025</v>
      </c>
      <c r="C1425" s="14">
        <f t="shared" si="176"/>
        <v>117.08333333333333</v>
      </c>
      <c r="D1425" s="11">
        <f t="shared" si="177"/>
        <v>1045.3567247187107</v>
      </c>
      <c r="E1425" s="24">
        <f t="shared" si="178"/>
        <v>636.7206815038287</v>
      </c>
      <c r="F1425" s="38">
        <f t="shared" si="173"/>
        <v>0.76008337976492846</v>
      </c>
      <c r="G1425" s="14">
        <f t="shared" si="174"/>
        <v>0</v>
      </c>
      <c r="H1425" s="24">
        <f t="shared" si="180"/>
        <v>794.37764109255454</v>
      </c>
      <c r="I1425" s="12">
        <f t="shared" si="179"/>
        <v>0.28312742159064808</v>
      </c>
      <c r="J1425" s="3"/>
    </row>
    <row r="1426" spans="2:10" x14ac:dyDescent="0.25">
      <c r="B1426" s="3">
        <f t="shared" si="175"/>
        <v>7030</v>
      </c>
      <c r="C1426" s="14">
        <f t="shared" si="176"/>
        <v>117.16666666666667</v>
      </c>
      <c r="D1426" s="11">
        <f t="shared" si="177"/>
        <v>1045.4632148413573</v>
      </c>
      <c r="E1426" s="24">
        <f t="shared" si="178"/>
        <v>637.00380892541932</v>
      </c>
      <c r="F1426" s="38">
        <f t="shared" si="173"/>
        <v>0.75973918532945905</v>
      </c>
      <c r="G1426" s="14">
        <f t="shared" si="174"/>
        <v>0</v>
      </c>
      <c r="H1426" s="24">
        <f t="shared" si="180"/>
        <v>794.73752823409609</v>
      </c>
      <c r="I1426" s="12">
        <f t="shared" si="179"/>
        <v>0.28290603673390124</v>
      </c>
      <c r="J1426" s="3"/>
    </row>
    <row r="1427" spans="2:10" x14ac:dyDescent="0.25">
      <c r="B1427" s="3">
        <f t="shared" si="175"/>
        <v>7035</v>
      </c>
      <c r="C1427" s="14">
        <f t="shared" si="176"/>
        <v>117.25</v>
      </c>
      <c r="D1427" s="11">
        <f t="shared" si="177"/>
        <v>1045.5696293318081</v>
      </c>
      <c r="E1427" s="24">
        <f t="shared" si="178"/>
        <v>637.28671496215327</v>
      </c>
      <c r="F1427" s="38">
        <f t="shared" si="173"/>
        <v>0.75939364093349726</v>
      </c>
      <c r="G1427" s="14">
        <f t="shared" si="174"/>
        <v>0</v>
      </c>
      <c r="H1427" s="24">
        <f t="shared" si="180"/>
        <v>795.09915504309106</v>
      </c>
      <c r="I1427" s="12">
        <f t="shared" si="179"/>
        <v>0.28268441591411514</v>
      </c>
      <c r="J1427" s="3"/>
    </row>
    <row r="1428" spans="2:10" x14ac:dyDescent="0.25">
      <c r="B1428" s="3">
        <f t="shared" si="175"/>
        <v>7040</v>
      </c>
      <c r="C1428" s="14">
        <f t="shared" si="176"/>
        <v>117.33333333333333</v>
      </c>
      <c r="D1428" s="11">
        <f t="shared" si="177"/>
        <v>1045.6759682974191</v>
      </c>
      <c r="E1428" s="24">
        <f t="shared" si="178"/>
        <v>637.56939937806737</v>
      </c>
      <c r="F1428" s="38">
        <f t="shared" ref="F1428:F1491" si="181">Cp*RhoP/(RhoA*H1428)*dp/1000*MassivP</f>
        <v>0.75904673922896659</v>
      </c>
      <c r="G1428" s="14">
        <f t="shared" ref="G1428:G1491" si="182">Phi*EpsilonF*Botzman/10^8*J1428*((D1428+273)^4-(E1428+273)^4)</f>
        <v>0</v>
      </c>
      <c r="H1428" s="24">
        <f t="shared" si="180"/>
        <v>795.46253352546955</v>
      </c>
      <c r="I1428" s="12">
        <f t="shared" si="179"/>
        <v>0.28246255742326992</v>
      </c>
      <c r="J1428" s="3"/>
    </row>
    <row r="1429" spans="2:10" x14ac:dyDescent="0.25">
      <c r="B1429" s="3">
        <f t="shared" ref="B1429:B1492" si="183">B1428+DeltaT</f>
        <v>7045</v>
      </c>
      <c r="C1429" s="14">
        <f t="shared" ref="C1429:C1492" si="184">B1429/60</f>
        <v>117.41666666666667</v>
      </c>
      <c r="D1429" s="11">
        <f t="shared" ref="D1429:D1492" si="185">20+345*LOG(8*C1429+1,10)</f>
        <v>1045.7822318453179</v>
      </c>
      <c r="E1429" s="24">
        <f t="shared" ref="E1429:E1492" si="186">E1428+IF(Limit=Oui,MAX(0,I1428),I1428)</f>
        <v>637.85186193549066</v>
      </c>
      <c r="F1429" s="38">
        <f t="shared" si="181"/>
        <v>0.75869847281825598</v>
      </c>
      <c r="G1429" s="14">
        <f t="shared" si="182"/>
        <v>0</v>
      </c>
      <c r="H1429" s="24">
        <f t="shared" si="180"/>
        <v>795.82767579388155</v>
      </c>
      <c r="I1429" s="12">
        <f t="shared" ref="I1429:I1492" si="187">LambdaP*MassivP/(dp/1000)/(H1429*RhoA)/(1+F1429/3)*(D1429-E1429)*DeltaT-(EXP(F1429/10)-1)*(D1429-D1428)</f>
        <v>0.28224045953992877</v>
      </c>
      <c r="J1429" s="3"/>
    </row>
    <row r="1430" spans="2:10" x14ac:dyDescent="0.25">
      <c r="B1430" s="3">
        <f t="shared" si="183"/>
        <v>7050</v>
      </c>
      <c r="C1430" s="14">
        <f t="shared" si="184"/>
        <v>117.5</v>
      </c>
      <c r="D1430" s="11">
        <f t="shared" si="185"/>
        <v>1045.8884200824034</v>
      </c>
      <c r="E1430" s="24">
        <f t="shared" si="186"/>
        <v>638.1341023950306</v>
      </c>
      <c r="F1430" s="38">
        <f t="shared" si="181"/>
        <v>0.75834883425384103</v>
      </c>
      <c r="G1430" s="14">
        <f t="shared" si="182"/>
        <v>0</v>
      </c>
      <c r="H1430" s="24">
        <f t="shared" si="180"/>
        <v>796.19459406884675</v>
      </c>
      <c r="I1430" s="12">
        <f t="shared" si="187"/>
        <v>0.28201812052916142</v>
      </c>
      <c r="J1430" s="3"/>
    </row>
    <row r="1431" spans="2:10" x14ac:dyDescent="0.25">
      <c r="B1431" s="3">
        <f t="shared" si="183"/>
        <v>7055</v>
      </c>
      <c r="C1431" s="14">
        <f t="shared" si="184"/>
        <v>117.58333333333333</v>
      </c>
      <c r="D1431" s="11">
        <f t="shared" si="185"/>
        <v>1045.9945331153492</v>
      </c>
      <c r="E1431" s="24">
        <f t="shared" si="186"/>
        <v>638.41612051555978</v>
      </c>
      <c r="F1431" s="38">
        <f t="shared" si="181"/>
        <v>0.75799781603789851</v>
      </c>
      <c r="G1431" s="14">
        <f t="shared" si="182"/>
        <v>0</v>
      </c>
      <c r="H1431" s="24">
        <f t="shared" si="180"/>
        <v>796.56330067992121</v>
      </c>
      <c r="I1431" s="12">
        <f t="shared" si="187"/>
        <v>0.28179553864212803</v>
      </c>
      <c r="J1431" s="3"/>
    </row>
    <row r="1432" spans="2:10" x14ac:dyDescent="0.25">
      <c r="B1432" s="3">
        <f t="shared" si="183"/>
        <v>7060</v>
      </c>
      <c r="C1432" s="14">
        <f t="shared" si="184"/>
        <v>117.66666666666667</v>
      </c>
      <c r="D1432" s="11">
        <f t="shared" si="185"/>
        <v>1046.1005710506006</v>
      </c>
      <c r="E1432" s="24">
        <f t="shared" si="186"/>
        <v>638.69791605420187</v>
      </c>
      <c r="F1432" s="38">
        <f t="shared" si="181"/>
        <v>0.75764541062192126</v>
      </c>
      <c r="G1432" s="14">
        <f t="shared" si="182"/>
        <v>0</v>
      </c>
      <c r="H1432" s="24">
        <f t="shared" si="180"/>
        <v>796.93380806687662</v>
      </c>
      <c r="I1432" s="12">
        <f t="shared" si="187"/>
        <v>0.28157271211651747</v>
      </c>
      <c r="J1432" s="3"/>
    </row>
    <row r="1433" spans="2:10" x14ac:dyDescent="0.25">
      <c r="B1433" s="3">
        <f t="shared" si="183"/>
        <v>7065</v>
      </c>
      <c r="C1433" s="14">
        <f t="shared" si="184"/>
        <v>117.75</v>
      </c>
      <c r="D1433" s="11">
        <f t="shared" si="185"/>
        <v>1046.2065339943781</v>
      </c>
      <c r="E1433" s="24">
        <f t="shared" si="186"/>
        <v>638.97948876631835</v>
      </c>
      <c r="F1433" s="38">
        <f t="shared" si="181"/>
        <v>0.75729161040632786</v>
      </c>
      <c r="G1433" s="14">
        <f t="shared" si="182"/>
        <v>0</v>
      </c>
      <c r="H1433" s="24">
        <f t="shared" si="180"/>
        <v>797.30612878089642</v>
      </c>
      <c r="I1433" s="12">
        <f t="shared" si="187"/>
        <v>0.2813496391758607</v>
      </c>
      <c r="J1433" s="3"/>
    </row>
    <row r="1434" spans="2:10" x14ac:dyDescent="0.25">
      <c r="B1434" s="3">
        <f t="shared" si="183"/>
        <v>7070</v>
      </c>
      <c r="C1434" s="14">
        <f t="shared" si="184"/>
        <v>117.83333333333333</v>
      </c>
      <c r="D1434" s="11">
        <f t="shared" si="185"/>
        <v>1046.312422052677</v>
      </c>
      <c r="E1434" s="24">
        <f t="shared" si="186"/>
        <v>639.26083840549427</v>
      </c>
      <c r="F1434" s="38">
        <f t="shared" si="181"/>
        <v>0.75693640774007043</v>
      </c>
      <c r="G1434" s="14">
        <f t="shared" si="182"/>
        <v>0</v>
      </c>
      <c r="H1434" s="24">
        <f t="shared" si="180"/>
        <v>797.68027548578539</v>
      </c>
      <c r="I1434" s="12">
        <f t="shared" si="187"/>
        <v>0.2811263180297715</v>
      </c>
      <c r="J1434" s="3"/>
    </row>
    <row r="1435" spans="2:10" x14ac:dyDescent="0.25">
      <c r="B1435" s="3">
        <f t="shared" si="183"/>
        <v>7075</v>
      </c>
      <c r="C1435" s="14">
        <f t="shared" si="184"/>
        <v>117.91666666666667</v>
      </c>
      <c r="D1435" s="11">
        <f t="shared" si="185"/>
        <v>1046.4182353312672</v>
      </c>
      <c r="E1435" s="24">
        <f t="shared" si="186"/>
        <v>639.54196472352407</v>
      </c>
      <c r="F1435" s="38">
        <f t="shared" si="181"/>
        <v>0.75657979492023797</v>
      </c>
      <c r="G1435" s="14">
        <f t="shared" si="182"/>
        <v>0</v>
      </c>
      <c r="H1435" s="24">
        <f t="shared" si="180"/>
        <v>798.0562609591957</v>
      </c>
      <c r="I1435" s="12">
        <f t="shared" si="187"/>
        <v>0.28090274687377514</v>
      </c>
      <c r="J1435" s="3"/>
    </row>
    <row r="1436" spans="2:10" x14ac:dyDescent="0.25">
      <c r="B1436" s="3">
        <f t="shared" si="183"/>
        <v>7080</v>
      </c>
      <c r="C1436" s="14">
        <f t="shared" si="184"/>
        <v>118</v>
      </c>
      <c r="D1436" s="11">
        <f t="shared" si="185"/>
        <v>1046.5239739356955</v>
      </c>
      <c r="E1436" s="24">
        <f t="shared" si="186"/>
        <v>639.8228674703978</v>
      </c>
      <c r="F1436" s="38">
        <f t="shared" si="181"/>
        <v>0.7562217641916581</v>
      </c>
      <c r="G1436" s="14">
        <f t="shared" si="182"/>
        <v>0</v>
      </c>
      <c r="H1436" s="24">
        <f t="shared" si="180"/>
        <v>798.43409809386776</v>
      </c>
      <c r="I1436" s="12">
        <f t="shared" si="187"/>
        <v>0.280678923889011</v>
      </c>
      <c r="J1436" s="3"/>
    </row>
    <row r="1437" spans="2:10" x14ac:dyDescent="0.25">
      <c r="B1437" s="3">
        <f t="shared" si="183"/>
        <v>7085</v>
      </c>
      <c r="C1437" s="14">
        <f t="shared" si="184"/>
        <v>118.08333333333333</v>
      </c>
      <c r="D1437" s="11">
        <f t="shared" si="185"/>
        <v>1046.6296379712853</v>
      </c>
      <c r="E1437" s="24">
        <f t="shared" si="186"/>
        <v>640.10354639428681</v>
      </c>
      <c r="F1437" s="38">
        <f t="shared" si="181"/>
        <v>0.75586230774649432</v>
      </c>
      <c r="G1437" s="14">
        <f t="shared" si="182"/>
        <v>0</v>
      </c>
      <c r="H1437" s="24">
        <f t="shared" si="180"/>
        <v>798.81379989888842</v>
      </c>
      <c r="I1437" s="12">
        <f t="shared" si="187"/>
        <v>0.28045484724232672</v>
      </c>
      <c r="J1437" s="3"/>
    </row>
    <row r="1438" spans="2:10" x14ac:dyDescent="0.25">
      <c r="B1438" s="3">
        <f t="shared" si="183"/>
        <v>7090</v>
      </c>
      <c r="C1438" s="14">
        <f t="shared" si="184"/>
        <v>118.16666666666667</v>
      </c>
      <c r="D1438" s="11">
        <f t="shared" si="185"/>
        <v>1046.7352275431369</v>
      </c>
      <c r="E1438" s="24">
        <f t="shared" si="186"/>
        <v>640.38400124152918</v>
      </c>
      <c r="F1438" s="38">
        <f t="shared" si="181"/>
        <v>0.75550141772384083</v>
      </c>
      <c r="G1438" s="14">
        <f t="shared" si="182"/>
        <v>0</v>
      </c>
      <c r="H1438" s="24">
        <f t="shared" si="180"/>
        <v>799.19537950096242</v>
      </c>
      <c r="I1438" s="12">
        <f t="shared" si="187"/>
        <v>0.28023051508608626</v>
      </c>
      <c r="J1438" s="3"/>
    </row>
    <row r="1439" spans="2:10" x14ac:dyDescent="0.25">
      <c r="B1439" s="3">
        <f t="shared" si="183"/>
        <v>7095</v>
      </c>
      <c r="C1439" s="14">
        <f t="shared" si="184"/>
        <v>118.25</v>
      </c>
      <c r="D1439" s="11">
        <f t="shared" si="185"/>
        <v>1046.8407427561292</v>
      </c>
      <c r="E1439" s="24">
        <f t="shared" si="186"/>
        <v>640.66423175661521</v>
      </c>
      <c r="F1439" s="38">
        <f t="shared" si="181"/>
        <v>0.75513908620931369</v>
      </c>
      <c r="G1439" s="14">
        <f t="shared" si="182"/>
        <v>0</v>
      </c>
      <c r="H1439" s="24">
        <f t="shared" si="180"/>
        <v>799.5788501457032</v>
      </c>
      <c r="I1439" s="12">
        <f t="shared" si="187"/>
        <v>0.28000592555795784</v>
      </c>
      <c r="J1439" s="3"/>
    </row>
    <row r="1440" spans="2:10" x14ac:dyDescent="0.25">
      <c r="B1440" s="3">
        <f t="shared" si="183"/>
        <v>7100</v>
      </c>
      <c r="C1440" s="14">
        <f t="shared" si="184"/>
        <v>118.33333333333333</v>
      </c>
      <c r="D1440" s="11">
        <f t="shared" si="185"/>
        <v>1046.9461837149188</v>
      </c>
      <c r="E1440" s="24">
        <f t="shared" si="186"/>
        <v>640.94423768217314</v>
      </c>
      <c r="F1440" s="38">
        <f t="shared" si="181"/>
        <v>0.75477530523463865</v>
      </c>
      <c r="G1440" s="14">
        <f t="shared" si="182"/>
        <v>0</v>
      </c>
      <c r="H1440" s="24">
        <f t="shared" si="180"/>
        <v>799.96422519893849</v>
      </c>
      <c r="I1440" s="12">
        <f t="shared" si="187"/>
        <v>0.27978107678096942</v>
      </c>
      <c r="J1440" s="3"/>
    </row>
    <row r="1441" spans="2:10" x14ac:dyDescent="0.25">
      <c r="B1441" s="3">
        <f t="shared" si="183"/>
        <v>7105</v>
      </c>
      <c r="C1441" s="14">
        <f t="shared" si="184"/>
        <v>118.41666666666667</v>
      </c>
      <c r="D1441" s="11">
        <f t="shared" si="185"/>
        <v>1047.0515505239423</v>
      </c>
      <c r="E1441" s="24">
        <f t="shared" si="186"/>
        <v>641.22401875895412</v>
      </c>
      <c r="F1441" s="38">
        <f t="shared" si="181"/>
        <v>0.75441006677723721</v>
      </c>
      <c r="G1441" s="14">
        <f t="shared" si="182"/>
        <v>0</v>
      </c>
      <c r="H1441" s="24">
        <f t="shared" si="180"/>
        <v>800.35151814803226</v>
      </c>
      <c r="I1441" s="12">
        <f t="shared" si="187"/>
        <v>0.27955596686316997</v>
      </c>
      <c r="J1441" s="3"/>
    </row>
    <row r="1442" spans="2:10" x14ac:dyDescent="0.25">
      <c r="B1442" s="3">
        <f t="shared" si="183"/>
        <v>7110</v>
      </c>
      <c r="C1442" s="14">
        <f t="shared" si="184"/>
        <v>118.5</v>
      </c>
      <c r="D1442" s="11">
        <f t="shared" si="185"/>
        <v>1047.1568432874158</v>
      </c>
      <c r="E1442" s="24">
        <f t="shared" si="186"/>
        <v>641.50357472581732</v>
      </c>
      <c r="F1442" s="38">
        <f t="shared" si="181"/>
        <v>0.75404336275980599</v>
      </c>
      <c r="G1442" s="14">
        <f t="shared" si="182"/>
        <v>0</v>
      </c>
      <c r="H1442" s="24">
        <f t="shared" si="180"/>
        <v>800.74074260322516</v>
      </c>
      <c r="I1442" s="12">
        <f t="shared" si="187"/>
        <v>0.27933059389769982</v>
      </c>
      <c r="J1442" s="3"/>
    </row>
    <row r="1443" spans="2:10" x14ac:dyDescent="0.25">
      <c r="B1443" s="3">
        <f t="shared" si="183"/>
        <v>7115</v>
      </c>
      <c r="C1443" s="14">
        <f t="shared" si="184"/>
        <v>118.58333333333333</v>
      </c>
      <c r="D1443" s="11">
        <f t="shared" si="185"/>
        <v>1047.2620621093358</v>
      </c>
      <c r="E1443" s="24">
        <f t="shared" si="186"/>
        <v>641.78290531971504</v>
      </c>
      <c r="F1443" s="38">
        <f t="shared" si="181"/>
        <v>0.75367518504989717</v>
      </c>
      <c r="G1443" s="14">
        <f t="shared" si="182"/>
        <v>0</v>
      </c>
      <c r="H1443" s="24">
        <f t="shared" si="180"/>
        <v>801.13191229899121</v>
      </c>
      <c r="I1443" s="12">
        <f t="shared" si="187"/>
        <v>0.27910495596253948</v>
      </c>
      <c r="J1443" s="3"/>
    </row>
    <row r="1444" spans="2:10" x14ac:dyDescent="0.25">
      <c r="B1444" s="3">
        <f t="shared" si="183"/>
        <v>7120</v>
      </c>
      <c r="C1444" s="14">
        <f t="shared" si="184"/>
        <v>118.66666666666667</v>
      </c>
      <c r="D1444" s="11">
        <f t="shared" si="185"/>
        <v>1047.3672070934801</v>
      </c>
      <c r="E1444" s="24">
        <f t="shared" si="186"/>
        <v>642.06201027567761</v>
      </c>
      <c r="F1444" s="38">
        <f t="shared" si="181"/>
        <v>0.75330552545949192</v>
      </c>
      <c r="G1444" s="14">
        <f t="shared" si="182"/>
        <v>0</v>
      </c>
      <c r="H1444" s="24">
        <f t="shared" si="180"/>
        <v>801.52504109541189</v>
      </c>
      <c r="I1444" s="12">
        <f t="shared" si="187"/>
        <v>0.27887905112043448</v>
      </c>
      <c r="J1444" s="3"/>
    </row>
    <row r="1445" spans="2:10" x14ac:dyDescent="0.25">
      <c r="B1445" s="3">
        <f t="shared" si="183"/>
        <v>7125</v>
      </c>
      <c r="C1445" s="14">
        <f t="shared" si="184"/>
        <v>118.75</v>
      </c>
      <c r="D1445" s="11">
        <f t="shared" si="185"/>
        <v>1047.4722783434077</v>
      </c>
      <c r="E1445" s="24">
        <f t="shared" si="186"/>
        <v>642.34088932679799</v>
      </c>
      <c r="F1445" s="38">
        <f t="shared" si="181"/>
        <v>0.75293437574457267</v>
      </c>
      <c r="G1445" s="14">
        <f t="shared" si="182"/>
        <v>0</v>
      </c>
      <c r="H1445" s="24">
        <f t="shared" si="180"/>
        <v>801.92014297956871</v>
      </c>
      <c r="I1445" s="12">
        <f t="shared" si="187"/>
        <v>0.27865287741878353</v>
      </c>
      <c r="J1445" s="3"/>
    </row>
    <row r="1446" spans="2:10" x14ac:dyDescent="0.25">
      <c r="B1446" s="3">
        <f t="shared" si="183"/>
        <v>7130</v>
      </c>
      <c r="C1446" s="14">
        <f t="shared" si="184"/>
        <v>118.83333333333333</v>
      </c>
      <c r="D1446" s="11">
        <f t="shared" si="185"/>
        <v>1047.5772759624606</v>
      </c>
      <c r="E1446" s="24">
        <f t="shared" si="186"/>
        <v>642.61954220421683</v>
      </c>
      <c r="F1446" s="38">
        <f t="shared" si="181"/>
        <v>0.75256172760469109</v>
      </c>
      <c r="G1446" s="14">
        <f t="shared" si="182"/>
        <v>0</v>
      </c>
      <c r="H1446" s="24">
        <f t="shared" si="180"/>
        <v>802.31723206695312</v>
      </c>
      <c r="I1446" s="12">
        <f t="shared" si="187"/>
        <v>0.27842643288936691</v>
      </c>
      <c r="J1446" s="3"/>
    </row>
    <row r="1447" spans="2:10" x14ac:dyDescent="0.25">
      <c r="B1447" s="3">
        <f t="shared" si="183"/>
        <v>7135</v>
      </c>
      <c r="C1447" s="14">
        <f t="shared" si="184"/>
        <v>118.91666666666667</v>
      </c>
      <c r="D1447" s="11">
        <f t="shared" si="185"/>
        <v>1047.6822000537627</v>
      </c>
      <c r="E1447" s="24">
        <f t="shared" si="186"/>
        <v>642.89796863710615</v>
      </c>
      <c r="F1447" s="38">
        <f t="shared" si="181"/>
        <v>0.75218757268253267</v>
      </c>
      <c r="G1447" s="14">
        <f t="shared" si="182"/>
        <v>0</v>
      </c>
      <c r="H1447" s="24">
        <f t="shared" si="180"/>
        <v>802.71632260289471</v>
      </c>
      <c r="I1447" s="12">
        <f t="shared" si="187"/>
        <v>0.27819971554851569</v>
      </c>
      <c r="J1447" s="3"/>
    </row>
    <row r="1448" spans="2:10" x14ac:dyDescent="0.25">
      <c r="B1448" s="3">
        <f t="shared" si="183"/>
        <v>7140</v>
      </c>
      <c r="C1448" s="14">
        <f t="shared" si="184"/>
        <v>119</v>
      </c>
      <c r="D1448" s="11">
        <f t="shared" si="185"/>
        <v>1047.7870507202224</v>
      </c>
      <c r="E1448" s="24">
        <f t="shared" si="186"/>
        <v>643.17616835265471</v>
      </c>
      <c r="F1448" s="38">
        <f t="shared" si="181"/>
        <v>0.75181190256347785</v>
      </c>
      <c r="G1448" s="14">
        <f t="shared" si="182"/>
        <v>0</v>
      </c>
      <c r="H1448" s="24">
        <f t="shared" si="180"/>
        <v>803.11742896400881</v>
      </c>
      <c r="I1448" s="12">
        <f t="shared" si="187"/>
        <v>0.27797272339658841</v>
      </c>
      <c r="J1448" s="3"/>
    </row>
    <row r="1449" spans="2:10" x14ac:dyDescent="0.25">
      <c r="B1449" s="3">
        <f t="shared" si="183"/>
        <v>7145</v>
      </c>
      <c r="C1449" s="14">
        <f t="shared" si="184"/>
        <v>119.08333333333333</v>
      </c>
      <c r="D1449" s="11">
        <f t="shared" si="185"/>
        <v>1047.8918280645321</v>
      </c>
      <c r="E1449" s="24">
        <f t="shared" si="186"/>
        <v>643.45414107605131</v>
      </c>
      <c r="F1449" s="38">
        <f t="shared" si="181"/>
        <v>0.75143470877516039</v>
      </c>
      <c r="G1449" s="14">
        <f t="shared" si="182"/>
        <v>0</v>
      </c>
      <c r="H1449" s="24">
        <f t="shared" si="180"/>
        <v>803.52056565966177</v>
      </c>
      <c r="I1449" s="12">
        <f t="shared" si="187"/>
        <v>0.27774545441813914</v>
      </c>
      <c r="J1449" s="3"/>
    </row>
    <row r="1450" spans="2:10" x14ac:dyDescent="0.25">
      <c r="B1450" s="3">
        <f t="shared" si="183"/>
        <v>7150</v>
      </c>
      <c r="C1450" s="14">
        <f t="shared" si="184"/>
        <v>119.16666666666667</v>
      </c>
      <c r="D1450" s="11">
        <f t="shared" si="185"/>
        <v>1047.996532189168</v>
      </c>
      <c r="E1450" s="24">
        <f t="shared" si="186"/>
        <v>643.73188653046941</v>
      </c>
      <c r="F1450" s="38">
        <f t="shared" si="181"/>
        <v>0.75105598278702268</v>
      </c>
      <c r="G1450" s="14">
        <f t="shared" si="182"/>
        <v>0</v>
      </c>
      <c r="H1450" s="24">
        <f t="shared" si="180"/>
        <v>803.92574733345555</v>
      </c>
      <c r="I1450" s="12">
        <f t="shared" si="187"/>
        <v>0.27751790658174497</v>
      </c>
      <c r="J1450" s="3"/>
    </row>
    <row r="1451" spans="2:10" x14ac:dyDescent="0.25">
      <c r="B1451" s="3">
        <f t="shared" si="183"/>
        <v>7155</v>
      </c>
      <c r="C1451" s="14">
        <f t="shared" si="184"/>
        <v>119.25</v>
      </c>
      <c r="D1451" s="11">
        <f t="shared" si="185"/>
        <v>1048.1011631963925</v>
      </c>
      <c r="E1451" s="24">
        <f t="shared" si="186"/>
        <v>644.0094044370511</v>
      </c>
      <c r="F1451" s="38">
        <f t="shared" si="181"/>
        <v>0.75067571600986405</v>
      </c>
      <c r="G1451" s="14">
        <f t="shared" si="182"/>
        <v>0</v>
      </c>
      <c r="H1451" s="24">
        <f t="shared" si="180"/>
        <v>804.33298876473327</v>
      </c>
      <c r="I1451" s="12">
        <f t="shared" si="187"/>
        <v>0.27729007783965798</v>
      </c>
      <c r="J1451" s="3"/>
    </row>
    <row r="1452" spans="2:10" x14ac:dyDescent="0.25">
      <c r="B1452" s="3">
        <f t="shared" si="183"/>
        <v>7160</v>
      </c>
      <c r="C1452" s="14">
        <f t="shared" si="184"/>
        <v>119.33333333333333</v>
      </c>
      <c r="D1452" s="11">
        <f t="shared" si="185"/>
        <v>1048.2057211882534</v>
      </c>
      <c r="E1452" s="24">
        <f t="shared" si="186"/>
        <v>644.28669451489077</v>
      </c>
      <c r="F1452" s="38">
        <f t="shared" si="181"/>
        <v>0.75029389979539096</v>
      </c>
      <c r="G1452" s="14">
        <f t="shared" si="182"/>
        <v>0</v>
      </c>
      <c r="H1452" s="24">
        <f t="shared" si="180"/>
        <v>804.74230487010175</v>
      </c>
      <c r="I1452" s="12">
        <f t="shared" si="187"/>
        <v>0.2770619661279316</v>
      </c>
      <c r="J1452" s="3"/>
    </row>
    <row r="1453" spans="2:10" x14ac:dyDescent="0.25">
      <c r="B1453" s="3">
        <f t="shared" si="183"/>
        <v>7165</v>
      </c>
      <c r="C1453" s="14">
        <f t="shared" si="184"/>
        <v>119.41666666666667</v>
      </c>
      <c r="D1453" s="11">
        <f t="shared" si="185"/>
        <v>1048.310206266586</v>
      </c>
      <c r="E1453" s="24">
        <f t="shared" si="186"/>
        <v>644.56375648101869</v>
      </c>
      <c r="F1453" s="38">
        <f t="shared" si="181"/>
        <v>0.74991052543575976</v>
      </c>
      <c r="G1453" s="14">
        <f t="shared" si="182"/>
        <v>0</v>
      </c>
      <c r="H1453" s="24">
        <f t="shared" si="180"/>
        <v>805.15371070497588</v>
      </c>
      <c r="I1453" s="12">
        <f t="shared" si="187"/>
        <v>0.27683356936605297</v>
      </c>
      <c r="J1453" s="3"/>
    </row>
    <row r="1454" spans="2:10" x14ac:dyDescent="0.25">
      <c r="B1454" s="3">
        <f t="shared" si="183"/>
        <v>7170</v>
      </c>
      <c r="C1454" s="14">
        <f t="shared" si="184"/>
        <v>119.5</v>
      </c>
      <c r="D1454" s="11">
        <f t="shared" si="185"/>
        <v>1048.414618533011</v>
      </c>
      <c r="E1454" s="24">
        <f t="shared" si="186"/>
        <v>644.84059005038478</v>
      </c>
      <c r="F1454" s="38">
        <f t="shared" si="181"/>
        <v>0.74952558416311654</v>
      </c>
      <c r="G1454" s="14">
        <f t="shared" si="182"/>
        <v>0</v>
      </c>
      <c r="H1454" s="24">
        <f t="shared" si="180"/>
        <v>805.56722146514312</v>
      </c>
      <c r="I1454" s="12">
        <f t="shared" si="187"/>
        <v>0.27660488545710021</v>
      </c>
      <c r="J1454" s="3"/>
    </row>
    <row r="1455" spans="2:10" x14ac:dyDescent="0.25">
      <c r="B1455" s="3">
        <f t="shared" si="183"/>
        <v>7175</v>
      </c>
      <c r="C1455" s="14">
        <f t="shared" si="184"/>
        <v>119.58333333333333</v>
      </c>
      <c r="D1455" s="11">
        <f t="shared" si="185"/>
        <v>1048.5189580889382</v>
      </c>
      <c r="E1455" s="24">
        <f t="shared" si="186"/>
        <v>645.11719493584189</v>
      </c>
      <c r="F1455" s="38">
        <f t="shared" si="181"/>
        <v>0.74913906714913558</v>
      </c>
      <c r="G1455" s="14">
        <f t="shared" si="182"/>
        <v>0</v>
      </c>
      <c r="H1455" s="24">
        <f t="shared" si="180"/>
        <v>805.9828524883477</v>
      </c>
      <c r="I1455" s="12">
        <f t="shared" si="187"/>
        <v>0.27637591228719621</v>
      </c>
      <c r="J1455" s="3"/>
    </row>
    <row r="1456" spans="2:10" x14ac:dyDescent="0.25">
      <c r="B1456" s="3">
        <f t="shared" si="183"/>
        <v>7180</v>
      </c>
      <c r="C1456" s="14">
        <f t="shared" si="184"/>
        <v>119.66666666666667</v>
      </c>
      <c r="D1456" s="11">
        <f t="shared" si="185"/>
        <v>1048.6232250355654</v>
      </c>
      <c r="E1456" s="24">
        <f t="shared" si="186"/>
        <v>645.39357084812912</v>
      </c>
      <c r="F1456" s="38">
        <f t="shared" si="181"/>
        <v>0.74875096550455045</v>
      </c>
      <c r="G1456" s="14">
        <f t="shared" si="182"/>
        <v>0</v>
      </c>
      <c r="H1456" s="24">
        <f t="shared" si="180"/>
        <v>806.4006192558968</v>
      </c>
      <c r="I1456" s="12">
        <f t="shared" si="187"/>
        <v>0.27614664772571723</v>
      </c>
      <c r="J1456" s="3"/>
    </row>
    <row r="1457" spans="2:10" x14ac:dyDescent="0.25">
      <c r="B1457" s="3">
        <f t="shared" si="183"/>
        <v>7185</v>
      </c>
      <c r="C1457" s="14">
        <f t="shared" si="184"/>
        <v>119.75</v>
      </c>
      <c r="D1457" s="11">
        <f t="shared" si="185"/>
        <v>1048.7274194738789</v>
      </c>
      <c r="E1457" s="24">
        <f t="shared" si="186"/>
        <v>645.6697174958548</v>
      </c>
      <c r="F1457" s="38">
        <f t="shared" si="181"/>
        <v>0.74836127027868582</v>
      </c>
      <c r="G1457" s="14">
        <f t="shared" si="182"/>
        <v>0</v>
      </c>
      <c r="H1457" s="24">
        <f t="shared" si="180"/>
        <v>806.82053739428636</v>
      </c>
      <c r="I1457" s="12">
        <f t="shared" si="187"/>
        <v>0.27591708962498968</v>
      </c>
      <c r="J1457" s="3"/>
    </row>
    <row r="1458" spans="2:10" x14ac:dyDescent="0.25">
      <c r="B1458" s="3">
        <f t="shared" si="183"/>
        <v>7190</v>
      </c>
      <c r="C1458" s="14">
        <f t="shared" si="184"/>
        <v>119.83333333333333</v>
      </c>
      <c r="D1458" s="11">
        <f t="shared" si="185"/>
        <v>1048.8315415046548</v>
      </c>
      <c r="E1458" s="24">
        <f t="shared" si="186"/>
        <v>645.94563458547975</v>
      </c>
      <c r="F1458" s="38">
        <f t="shared" si="181"/>
        <v>0.74796997245898178</v>
      </c>
      <c r="G1458" s="14">
        <f t="shared" si="182"/>
        <v>0</v>
      </c>
      <c r="H1458" s="24">
        <f t="shared" si="180"/>
        <v>807.24262267685049</v>
      </c>
      <c r="I1458" s="12">
        <f t="shared" si="187"/>
        <v>0.27568723582014382</v>
      </c>
      <c r="J1458" s="3"/>
    </row>
    <row r="1459" spans="2:10" x14ac:dyDescent="0.25">
      <c r="B1459" s="3">
        <f t="shared" si="183"/>
        <v>7195</v>
      </c>
      <c r="C1459" s="14">
        <f t="shared" si="184"/>
        <v>119.91666666666667</v>
      </c>
      <c r="D1459" s="11">
        <f t="shared" si="185"/>
        <v>1048.9355912284589</v>
      </c>
      <c r="E1459" s="24">
        <f t="shared" si="186"/>
        <v>646.22132182129985</v>
      </c>
      <c r="F1459" s="38">
        <f t="shared" si="181"/>
        <v>0.74757706297051696</v>
      </c>
      <c r="G1459" s="14">
        <f t="shared" si="182"/>
        <v>0</v>
      </c>
      <c r="H1459" s="24">
        <f t="shared" si="180"/>
        <v>807.6668910254308</v>
      </c>
      <c r="I1459" s="12">
        <f t="shared" si="187"/>
        <v>0.27545708412903691</v>
      </c>
      <c r="J1459" s="3"/>
    </row>
    <row r="1460" spans="2:10" x14ac:dyDescent="0.25">
      <c r="B1460" s="3">
        <f t="shared" si="183"/>
        <v>7200</v>
      </c>
      <c r="C1460" s="14">
        <f t="shared" si="184"/>
        <v>120</v>
      </c>
      <c r="D1460" s="11">
        <f t="shared" si="185"/>
        <v>1049.039568745648</v>
      </c>
      <c r="E1460" s="24">
        <f t="shared" si="186"/>
        <v>646.49677890542887</v>
      </c>
      <c r="F1460" s="38">
        <f t="shared" si="181"/>
        <v>0.74718253267552692</v>
      </c>
      <c r="G1460" s="14">
        <f t="shared" si="182"/>
        <v>0</v>
      </c>
      <c r="H1460" s="24">
        <f t="shared" si="180"/>
        <v>808.0933585120689</v>
      </c>
      <c r="I1460" s="12">
        <f t="shared" si="187"/>
        <v>0.27522663235199857</v>
      </c>
      <c r="J1460" s="3"/>
    </row>
    <row r="1461" spans="2:10" x14ac:dyDescent="0.25">
      <c r="B1461" s="3">
        <f t="shared" si="183"/>
        <v>7205</v>
      </c>
      <c r="C1461" s="14">
        <f t="shared" si="184"/>
        <v>120.08333333333333</v>
      </c>
      <c r="D1461" s="11">
        <f t="shared" si="185"/>
        <v>1049.1434741563701</v>
      </c>
      <c r="E1461" s="24">
        <f t="shared" si="186"/>
        <v>646.77200553778084</v>
      </c>
      <c r="F1461" s="38">
        <f t="shared" si="181"/>
        <v>0.74678637237291934</v>
      </c>
      <c r="G1461" s="14">
        <f t="shared" si="182"/>
        <v>0</v>
      </c>
      <c r="H1461" s="24">
        <f t="shared" si="180"/>
        <v>808.52204136072078</v>
      </c>
      <c r="I1461" s="12">
        <f t="shared" si="187"/>
        <v>0.27499587827178629</v>
      </c>
      <c r="J1461" s="3"/>
    </row>
    <row r="1462" spans="2:10" x14ac:dyDescent="0.25">
      <c r="B1462" s="3">
        <f t="shared" si="183"/>
        <v>7210</v>
      </c>
      <c r="C1462" s="14">
        <f t="shared" si="184"/>
        <v>120.16666666666667</v>
      </c>
      <c r="D1462" s="11">
        <f t="shared" si="185"/>
        <v>1049.2473075605649</v>
      </c>
      <c r="E1462" s="24">
        <f t="shared" si="186"/>
        <v>647.04700141605258</v>
      </c>
      <c r="F1462" s="38">
        <f t="shared" si="181"/>
        <v>0.7463885727977857</v>
      </c>
      <c r="G1462" s="14">
        <f t="shared" si="182"/>
        <v>0</v>
      </c>
      <c r="H1462" s="24">
        <f t="shared" si="180"/>
        <v>808.9529559489946</v>
      </c>
      <c r="I1462" s="12">
        <f t="shared" si="187"/>
        <v>0.27476481965336313</v>
      </c>
      <c r="J1462" s="3"/>
    </row>
    <row r="1463" spans="2:10" x14ac:dyDescent="0.25">
      <c r="B1463" s="3">
        <f t="shared" si="183"/>
        <v>7215</v>
      </c>
      <c r="C1463" s="14">
        <f t="shared" si="184"/>
        <v>120.25</v>
      </c>
      <c r="D1463" s="11">
        <f t="shared" si="185"/>
        <v>1049.3510690579644</v>
      </c>
      <c r="E1463" s="24">
        <f t="shared" si="186"/>
        <v>647.32176623570592</v>
      </c>
      <c r="F1463" s="38">
        <f t="shared" si="181"/>
        <v>0.74598912462090794</v>
      </c>
      <c r="G1463" s="14">
        <f t="shared" si="182"/>
        <v>0</v>
      </c>
      <c r="H1463" s="24">
        <f t="shared" ref="H1463:H1526" si="188">IF(E1463&lt;600,425+0.773*E1463-1.69/1000*E1463^2+2.22/1000^2*E1463^3,IF(E1463&lt;735,666+13002/(738-E1463),IF(E1463&lt;900,545+17820/(E1463-731),650)))</f>
        <v>809.38611880991152</v>
      </c>
      <c r="I1463" s="12">
        <f t="shared" si="187"/>
        <v>0.27453345424379771</v>
      </c>
      <c r="J1463" s="3"/>
    </row>
    <row r="1464" spans="2:10" x14ac:dyDescent="0.25">
      <c r="B1464" s="3">
        <f t="shared" si="183"/>
        <v>7220</v>
      </c>
      <c r="C1464" s="14">
        <f t="shared" si="184"/>
        <v>120.33333333333333</v>
      </c>
      <c r="D1464" s="11">
        <f t="shared" si="185"/>
        <v>1049.4547587480934</v>
      </c>
      <c r="E1464" s="24">
        <f t="shared" si="186"/>
        <v>647.59629968994977</v>
      </c>
      <c r="F1464" s="38">
        <f t="shared" si="181"/>
        <v>0.74558801844826272</v>
      </c>
      <c r="G1464" s="14">
        <f t="shared" si="182"/>
        <v>0</v>
      </c>
      <c r="H1464" s="24">
        <f t="shared" si="188"/>
        <v>809.82154663368976</v>
      </c>
      <c r="I1464" s="12">
        <f t="shared" si="187"/>
        <v>0.27430177977209097</v>
      </c>
      <c r="J1464" s="3"/>
    </row>
    <row r="1465" spans="2:10" x14ac:dyDescent="0.25">
      <c r="B1465" s="3">
        <f t="shared" si="183"/>
        <v>7225</v>
      </c>
      <c r="C1465" s="14">
        <f t="shared" si="184"/>
        <v>120.41666666666667</v>
      </c>
      <c r="D1465" s="11">
        <f t="shared" si="185"/>
        <v>1049.5583767302705</v>
      </c>
      <c r="E1465" s="24">
        <f t="shared" si="186"/>
        <v>647.87060146972192</v>
      </c>
      <c r="F1465" s="38">
        <f t="shared" si="181"/>
        <v>0.74518524482052151</v>
      </c>
      <c r="G1465" s="14">
        <f t="shared" si="182"/>
        <v>0</v>
      </c>
      <c r="H1465" s="24">
        <f t="shared" si="188"/>
        <v>810.25925626955234</v>
      </c>
      <c r="I1465" s="12">
        <f t="shared" si="187"/>
        <v>0.27406979394893394</v>
      </c>
      <c r="J1465" s="3"/>
    </row>
    <row r="1466" spans="2:10" x14ac:dyDescent="0.25">
      <c r="B1466" s="3">
        <f t="shared" si="183"/>
        <v>7230</v>
      </c>
      <c r="C1466" s="14">
        <f t="shared" si="184"/>
        <v>120.5</v>
      </c>
      <c r="D1466" s="11">
        <f t="shared" si="185"/>
        <v>1049.6619231036084</v>
      </c>
      <c r="E1466" s="24">
        <f t="shared" si="186"/>
        <v>648.14467126367083</v>
      </c>
      <c r="F1466" s="38">
        <f t="shared" si="181"/>
        <v>0.7447807942125475</v>
      </c>
      <c r="G1466" s="14">
        <f t="shared" si="182"/>
        <v>0</v>
      </c>
      <c r="H1466" s="24">
        <f t="shared" si="188"/>
        <v>810.69926472755969</v>
      </c>
      <c r="I1466" s="12">
        <f t="shared" si="187"/>
        <v>0.27383749446672495</v>
      </c>
      <c r="J1466" s="3"/>
    </row>
    <row r="1467" spans="2:10" x14ac:dyDescent="0.25">
      <c r="B1467" s="3">
        <f t="shared" si="183"/>
        <v>7235</v>
      </c>
      <c r="C1467" s="14">
        <f t="shared" si="184"/>
        <v>120.58333333333333</v>
      </c>
      <c r="D1467" s="11">
        <f t="shared" si="185"/>
        <v>1049.7653979670142</v>
      </c>
      <c r="E1467" s="24">
        <f t="shared" si="186"/>
        <v>648.41850875813759</v>
      </c>
      <c r="F1467" s="38">
        <f t="shared" si="181"/>
        <v>0.74437465703288586</v>
      </c>
      <c r="G1467" s="14">
        <f t="shared" si="182"/>
        <v>0</v>
      </c>
      <c r="H1467" s="24">
        <f t="shared" si="188"/>
        <v>811.14158918046701</v>
      </c>
      <c r="I1467" s="12">
        <f t="shared" si="187"/>
        <v>0.27360487899925262</v>
      </c>
      <c r="J1467" s="3"/>
    </row>
    <row r="1468" spans="2:10" x14ac:dyDescent="0.25">
      <c r="B1468" s="3">
        <f t="shared" si="183"/>
        <v>7240</v>
      </c>
      <c r="C1468" s="14">
        <f t="shared" si="184"/>
        <v>120.66666666666667</v>
      </c>
      <c r="D1468" s="11">
        <f t="shared" si="185"/>
        <v>1049.8688014191905</v>
      </c>
      <c r="E1468" s="24">
        <f t="shared" si="186"/>
        <v>648.6921136371368</v>
      </c>
      <c r="F1468" s="38">
        <f t="shared" si="181"/>
        <v>0.74396682362325528</v>
      </c>
      <c r="G1468" s="14">
        <f t="shared" si="182"/>
        <v>0</v>
      </c>
      <c r="H1468" s="24">
        <f t="shared" si="188"/>
        <v>811.58624696560514</v>
      </c>
      <c r="I1468" s="12">
        <f t="shared" si="187"/>
        <v>0.27337194520162333</v>
      </c>
      <c r="J1468" s="3"/>
    </row>
    <row r="1469" spans="2:10" x14ac:dyDescent="0.25">
      <c r="B1469" s="3">
        <f t="shared" si="183"/>
        <v>7245</v>
      </c>
      <c r="C1469" s="14">
        <f t="shared" si="184"/>
        <v>120.75</v>
      </c>
      <c r="D1469" s="11">
        <f t="shared" si="185"/>
        <v>1049.9721335586355</v>
      </c>
      <c r="E1469" s="24">
        <f t="shared" si="186"/>
        <v>648.96548558233837</v>
      </c>
      <c r="F1469" s="38">
        <f t="shared" si="181"/>
        <v>0.74355728425803091</v>
      </c>
      <c r="G1469" s="14">
        <f t="shared" si="182"/>
        <v>0</v>
      </c>
      <c r="H1469" s="24">
        <f t="shared" si="188"/>
        <v>812.03325558678864</v>
      </c>
      <c r="I1469" s="12">
        <f t="shared" si="187"/>
        <v>0.27313869071006414</v>
      </c>
      <c r="J1469" s="3"/>
    </row>
    <row r="1470" spans="2:10" x14ac:dyDescent="0.25">
      <c r="B1470" s="3">
        <f t="shared" si="183"/>
        <v>7250</v>
      </c>
      <c r="C1470" s="14">
        <f t="shared" si="184"/>
        <v>120.83333333333333</v>
      </c>
      <c r="D1470" s="11">
        <f t="shared" si="185"/>
        <v>1050.0753944836438</v>
      </c>
      <c r="E1470" s="24">
        <f t="shared" si="186"/>
        <v>649.23862427304846</v>
      </c>
      <c r="F1470" s="38">
        <f t="shared" si="181"/>
        <v>0.74314602914372541</v>
      </c>
      <c r="G1470" s="14">
        <f t="shared" si="182"/>
        <v>0</v>
      </c>
      <c r="H1470" s="24">
        <f t="shared" si="188"/>
        <v>812.48263271624876</v>
      </c>
      <c r="I1470" s="12">
        <f t="shared" si="187"/>
        <v>0.27290511314177701</v>
      </c>
      <c r="J1470" s="3"/>
    </row>
    <row r="1471" spans="2:10" x14ac:dyDescent="0.25">
      <c r="B1471" s="3">
        <f t="shared" si="183"/>
        <v>7255</v>
      </c>
      <c r="C1471" s="14">
        <f t="shared" si="184"/>
        <v>120.91666666666667</v>
      </c>
      <c r="D1471" s="11">
        <f t="shared" si="185"/>
        <v>1050.1785842923071</v>
      </c>
      <c r="E1471" s="24">
        <f t="shared" si="186"/>
        <v>649.5115293861902</v>
      </c>
      <c r="F1471" s="38">
        <f t="shared" si="181"/>
        <v>0.74273304841846666</v>
      </c>
      <c r="G1471" s="14">
        <f t="shared" si="182"/>
        <v>0</v>
      </c>
      <c r="H1471" s="24">
        <f t="shared" si="188"/>
        <v>812.93439619659182</v>
      </c>
      <c r="I1471" s="12">
        <f t="shared" si="187"/>
        <v>0.2726712100947386</v>
      </c>
      <c r="J1471" s="3"/>
    </row>
    <row r="1472" spans="2:10" x14ac:dyDescent="0.25">
      <c r="B1472" s="3">
        <f t="shared" si="183"/>
        <v>7260</v>
      </c>
      <c r="C1472" s="14">
        <f t="shared" si="184"/>
        <v>121</v>
      </c>
      <c r="D1472" s="11">
        <f t="shared" si="185"/>
        <v>1050.281703082514</v>
      </c>
      <c r="E1472" s="24">
        <f t="shared" si="186"/>
        <v>649.7842005962849</v>
      </c>
      <c r="F1472" s="38">
        <f t="shared" si="181"/>
        <v>0.74231833215147047</v>
      </c>
      <c r="G1472" s="14">
        <f t="shared" si="182"/>
        <v>0</v>
      </c>
      <c r="H1472" s="24">
        <f t="shared" si="188"/>
        <v>813.38856404278567</v>
      </c>
      <c r="I1472" s="12">
        <f t="shared" si="187"/>
        <v>0.27243697914762133</v>
      </c>
      <c r="J1472" s="3"/>
    </row>
    <row r="1473" spans="2:10" x14ac:dyDescent="0.25">
      <c r="B1473" s="3">
        <f t="shared" si="183"/>
        <v>7265</v>
      </c>
      <c r="C1473" s="14">
        <f t="shared" si="184"/>
        <v>121.08333333333333</v>
      </c>
      <c r="D1473" s="11">
        <f t="shared" si="185"/>
        <v>1050.3847509519517</v>
      </c>
      <c r="E1473" s="24">
        <f t="shared" si="186"/>
        <v>650.05663757543255</v>
      </c>
      <c r="F1473" s="38">
        <f t="shared" si="181"/>
        <v>0.74190187034250954</v>
      </c>
      <c r="G1473" s="14">
        <f t="shared" si="182"/>
        <v>0</v>
      </c>
      <c r="H1473" s="24">
        <f t="shared" si="188"/>
        <v>813.84515444417241</v>
      </c>
      <c r="I1473" s="12">
        <f t="shared" si="187"/>
        <v>0.27220241785950233</v>
      </c>
      <c r="J1473" s="3"/>
    </row>
    <row r="1474" spans="2:10" x14ac:dyDescent="0.25">
      <c r="B1474" s="3">
        <f t="shared" si="183"/>
        <v>7270</v>
      </c>
      <c r="C1474" s="14">
        <f t="shared" si="184"/>
        <v>121.16666666666667</v>
      </c>
      <c r="D1474" s="11">
        <f t="shared" si="185"/>
        <v>1050.487727998106</v>
      </c>
      <c r="E1474" s="24">
        <f t="shared" si="186"/>
        <v>650.32883999329204</v>
      </c>
      <c r="F1474" s="38">
        <f t="shared" si="181"/>
        <v>0.7414836529213803</v>
      </c>
      <c r="G1474" s="14">
        <f t="shared" si="182"/>
        <v>0</v>
      </c>
      <c r="H1474" s="24">
        <f t="shared" si="188"/>
        <v>814.30418576650732</v>
      </c>
      <c r="I1474" s="12">
        <f t="shared" si="187"/>
        <v>0.27196752376974742</v>
      </c>
      <c r="J1474" s="3"/>
    </row>
    <row r="1475" spans="2:10" x14ac:dyDescent="0.25">
      <c r="B1475" s="3">
        <f t="shared" si="183"/>
        <v>7275</v>
      </c>
      <c r="C1475" s="14">
        <f t="shared" si="184"/>
        <v>121.25</v>
      </c>
      <c r="D1475" s="11">
        <f t="shared" si="185"/>
        <v>1050.5906343182617</v>
      </c>
      <c r="E1475" s="24">
        <f t="shared" si="186"/>
        <v>650.60080751706175</v>
      </c>
      <c r="F1475" s="38">
        <f t="shared" si="181"/>
        <v>0.74106366974736237</v>
      </c>
      <c r="G1475" s="14">
        <f t="shared" si="182"/>
        <v>0</v>
      </c>
      <c r="H1475" s="24">
        <f t="shared" si="188"/>
        <v>814.76567655402766</v>
      </c>
      <c r="I1475" s="12">
        <f t="shared" si="187"/>
        <v>0.2717322943979264</v>
      </c>
      <c r="J1475" s="3"/>
    </row>
    <row r="1476" spans="2:10" x14ac:dyDescent="0.25">
      <c r="B1476" s="3">
        <f t="shared" si="183"/>
        <v>7280</v>
      </c>
      <c r="C1476" s="14">
        <f t="shared" si="184"/>
        <v>121.33333333333333</v>
      </c>
      <c r="D1476" s="11">
        <f t="shared" si="185"/>
        <v>1050.6934700095028</v>
      </c>
      <c r="E1476" s="24">
        <f t="shared" si="186"/>
        <v>650.87253981145966</v>
      </c>
      <c r="F1476" s="38">
        <f t="shared" si="181"/>
        <v>0.74064191060867612</v>
      </c>
      <c r="G1476" s="14">
        <f t="shared" si="182"/>
        <v>0</v>
      </c>
      <c r="H1476" s="24">
        <f t="shared" si="188"/>
        <v>815.22964553154873</v>
      </c>
      <c r="I1476" s="12">
        <f t="shared" si="187"/>
        <v>0.27149672724351726</v>
      </c>
      <c r="J1476" s="3"/>
    </row>
    <row r="1477" spans="2:10" x14ac:dyDescent="0.25">
      <c r="B1477" s="3">
        <f t="shared" si="183"/>
        <v>7285</v>
      </c>
      <c r="C1477" s="14">
        <f t="shared" si="184"/>
        <v>121.41666666666667</v>
      </c>
      <c r="D1477" s="11">
        <f t="shared" si="185"/>
        <v>1050.7962351687142</v>
      </c>
      <c r="E1477" s="24">
        <f t="shared" si="186"/>
        <v>651.14403653870318</v>
      </c>
      <c r="F1477" s="38">
        <f t="shared" si="181"/>
        <v>0.74021836522193829</v>
      </c>
      <c r="G1477" s="14">
        <f t="shared" si="182"/>
        <v>0</v>
      </c>
      <c r="H1477" s="24">
        <f t="shared" si="188"/>
        <v>815.69611160658781</v>
      </c>
      <c r="I1477" s="12">
        <f t="shared" si="187"/>
        <v>0.27126081978575067</v>
      </c>
      <c r="J1477" s="3"/>
    </row>
    <row r="1478" spans="2:10" x14ac:dyDescent="0.25">
      <c r="B1478" s="3">
        <f t="shared" si="183"/>
        <v>7290</v>
      </c>
      <c r="C1478" s="14">
        <f t="shared" si="184"/>
        <v>121.5</v>
      </c>
      <c r="D1478" s="11">
        <f t="shared" si="185"/>
        <v>1050.8989298925812</v>
      </c>
      <c r="E1478" s="24">
        <f t="shared" si="186"/>
        <v>651.41529735848894</v>
      </c>
      <c r="F1478" s="38">
        <f t="shared" si="181"/>
        <v>0.73979302323160856</v>
      </c>
      <c r="G1478" s="14">
        <f t="shared" si="182"/>
        <v>0</v>
      </c>
      <c r="H1478" s="24">
        <f t="shared" si="188"/>
        <v>816.16509387151825</v>
      </c>
      <c r="I1478" s="12">
        <f t="shared" si="187"/>
        <v>0.27102456948352005</v>
      </c>
      <c r="J1478" s="3"/>
    </row>
    <row r="1479" spans="2:10" x14ac:dyDescent="0.25">
      <c r="B1479" s="3">
        <f t="shared" si="183"/>
        <v>7295</v>
      </c>
      <c r="C1479" s="14">
        <f t="shared" si="184"/>
        <v>121.58333333333333</v>
      </c>
      <c r="D1479" s="11">
        <f t="shared" si="185"/>
        <v>1051.0015542775909</v>
      </c>
      <c r="E1479" s="24">
        <f t="shared" si="186"/>
        <v>651.68632192797247</v>
      </c>
      <c r="F1479" s="38">
        <f t="shared" si="181"/>
        <v>0.73936587420943711</v>
      </c>
      <c r="G1479" s="14">
        <f t="shared" si="182"/>
        <v>0</v>
      </c>
      <c r="H1479" s="24">
        <f t="shared" si="188"/>
        <v>816.63661160575293</v>
      </c>
      <c r="I1479" s="12">
        <f t="shared" si="187"/>
        <v>0.27078797377506525</v>
      </c>
      <c r="J1479" s="3"/>
    </row>
    <row r="1480" spans="2:10" x14ac:dyDescent="0.25">
      <c r="B1480" s="3">
        <f t="shared" si="183"/>
        <v>7300</v>
      </c>
      <c r="C1480" s="14">
        <f t="shared" si="184"/>
        <v>121.66666666666667</v>
      </c>
      <c r="D1480" s="11">
        <f t="shared" si="185"/>
        <v>1051.1041084200319</v>
      </c>
      <c r="E1480" s="24">
        <f t="shared" si="186"/>
        <v>651.95710990174757</v>
      </c>
      <c r="F1480" s="38">
        <f t="shared" si="181"/>
        <v>0.73893690765390518</v>
      </c>
      <c r="G1480" s="14">
        <f t="shared" si="182"/>
        <v>0</v>
      </c>
      <c r="H1480" s="24">
        <f t="shared" si="188"/>
        <v>817.11068427795726</v>
      </c>
      <c r="I1480" s="12">
        <f t="shared" si="187"/>
        <v>0.2705510300779489</v>
      </c>
      <c r="J1480" s="3"/>
    </row>
    <row r="1481" spans="2:10" x14ac:dyDescent="0.25">
      <c r="B1481" s="3">
        <f t="shared" si="183"/>
        <v>7305</v>
      </c>
      <c r="C1481" s="14">
        <f t="shared" si="184"/>
        <v>121.75</v>
      </c>
      <c r="D1481" s="11">
        <f t="shared" si="185"/>
        <v>1051.2065924159951</v>
      </c>
      <c r="E1481" s="24">
        <f t="shared" si="186"/>
        <v>652.22766093182554</v>
      </c>
      <c r="F1481" s="38">
        <f t="shared" si="181"/>
        <v>0.73850611298966196</v>
      </c>
      <c r="G1481" s="14">
        <f t="shared" si="182"/>
        <v>0</v>
      </c>
      <c r="H1481" s="24">
        <f t="shared" si="188"/>
        <v>817.58733154829338</v>
      </c>
      <c r="I1481" s="12">
        <f t="shared" si="187"/>
        <v>0.27031373578878926</v>
      </c>
      <c r="J1481" s="3"/>
    </row>
    <row r="1482" spans="2:10" x14ac:dyDescent="0.25">
      <c r="B1482" s="3">
        <f t="shared" si="183"/>
        <v>7310</v>
      </c>
      <c r="C1482" s="14">
        <f t="shared" si="184"/>
        <v>121.83333333333333</v>
      </c>
      <c r="D1482" s="11">
        <f t="shared" si="185"/>
        <v>1051.3090063613747</v>
      </c>
      <c r="E1482" s="24">
        <f t="shared" si="186"/>
        <v>652.49797466761436</v>
      </c>
      <c r="F1482" s="38">
        <f t="shared" si="181"/>
        <v>0.7380734795669589</v>
      </c>
      <c r="G1482" s="14">
        <f t="shared" si="182"/>
        <v>0</v>
      </c>
      <c r="H1482" s="24">
        <f t="shared" si="188"/>
        <v>818.06657327069456</v>
      </c>
      <c r="I1482" s="12">
        <f t="shared" si="187"/>
        <v>0.2700760882830423</v>
      </c>
      <c r="J1482" s="3"/>
    </row>
    <row r="1483" spans="2:10" x14ac:dyDescent="0.25">
      <c r="B1483" s="3">
        <f t="shared" si="183"/>
        <v>7315</v>
      </c>
      <c r="C1483" s="14">
        <f t="shared" si="184"/>
        <v>121.91666666666667</v>
      </c>
      <c r="D1483" s="11">
        <f t="shared" si="185"/>
        <v>1051.4113503518679</v>
      </c>
      <c r="E1483" s="24">
        <f t="shared" si="186"/>
        <v>652.76805075589743</v>
      </c>
      <c r="F1483" s="38">
        <f t="shared" si="181"/>
        <v>0.73763899666107879</v>
      </c>
      <c r="G1483" s="14">
        <f t="shared" si="182"/>
        <v>0</v>
      </c>
      <c r="H1483" s="24">
        <f t="shared" si="188"/>
        <v>818.54842949517138</v>
      </c>
      <c r="I1483" s="12">
        <f t="shared" si="187"/>
        <v>0.26983808491492134</v>
      </c>
      <c r="J1483" s="3"/>
    </row>
    <row r="1484" spans="2:10" x14ac:dyDescent="0.25">
      <c r="B1484" s="3">
        <f t="shared" si="183"/>
        <v>7320</v>
      </c>
      <c r="C1484" s="14">
        <f t="shared" si="184"/>
        <v>122</v>
      </c>
      <c r="D1484" s="11">
        <f t="shared" si="185"/>
        <v>1051.5136244829766</v>
      </c>
      <c r="E1484" s="24">
        <f t="shared" si="186"/>
        <v>653.03788884081234</v>
      </c>
      <c r="F1484" s="38">
        <f t="shared" si="181"/>
        <v>0.73720265347176084</v>
      </c>
      <c r="G1484" s="14">
        <f t="shared" si="182"/>
        <v>0</v>
      </c>
      <c r="H1484" s="24">
        <f t="shared" si="188"/>
        <v>819.03292047014986</v>
      </c>
      <c r="I1484" s="12">
        <f t="shared" si="187"/>
        <v>0.26959972301707291</v>
      </c>
      <c r="J1484" s="3"/>
    </row>
    <row r="1485" spans="2:10" x14ac:dyDescent="0.25">
      <c r="B1485" s="3">
        <f t="shared" si="183"/>
        <v>7325</v>
      </c>
      <c r="C1485" s="14">
        <f t="shared" si="184"/>
        <v>122.08333333333333</v>
      </c>
      <c r="D1485" s="11">
        <f t="shared" si="185"/>
        <v>1051.6158288500067</v>
      </c>
      <c r="E1485" s="24">
        <f t="shared" si="186"/>
        <v>653.30748856382945</v>
      </c>
      <c r="F1485" s="38">
        <f t="shared" si="181"/>
        <v>0.73676443912262057</v>
      </c>
      <c r="G1485" s="14">
        <f t="shared" si="182"/>
        <v>0</v>
      </c>
      <c r="H1485" s="24">
        <f t="shared" si="188"/>
        <v>819.5200666448427</v>
      </c>
      <c r="I1485" s="12">
        <f t="shared" si="187"/>
        <v>0.26936099990057871</v>
      </c>
      <c r="J1485" s="3"/>
    </row>
    <row r="1486" spans="2:10" x14ac:dyDescent="0.25">
      <c r="B1486" s="3">
        <f t="shared" si="183"/>
        <v>7330</v>
      </c>
      <c r="C1486" s="14">
        <f t="shared" si="184"/>
        <v>122.16666666666667</v>
      </c>
      <c r="D1486" s="11">
        <f t="shared" si="185"/>
        <v>1051.7179635480697</v>
      </c>
      <c r="E1486" s="24">
        <f t="shared" si="186"/>
        <v>653.57684956372998</v>
      </c>
      <c r="F1486" s="38">
        <f t="shared" si="181"/>
        <v>0.73632434266056945</v>
      </c>
      <c r="G1486" s="14">
        <f t="shared" si="182"/>
        <v>0</v>
      </c>
      <c r="H1486" s="24">
        <f t="shared" si="188"/>
        <v>820.00988867165108</v>
      </c>
      <c r="I1486" s="12">
        <f t="shared" si="187"/>
        <v>0.26912191285452441</v>
      </c>
      <c r="J1486" s="3"/>
    </row>
    <row r="1487" spans="2:10" x14ac:dyDescent="0.25">
      <c r="B1487" s="3">
        <f t="shared" si="183"/>
        <v>7335</v>
      </c>
      <c r="C1487" s="14">
        <f t="shared" si="184"/>
        <v>122.25</v>
      </c>
      <c r="D1487" s="11">
        <f t="shared" si="185"/>
        <v>1051.8200286720826</v>
      </c>
      <c r="E1487" s="24">
        <f t="shared" si="186"/>
        <v>653.84597147658451</v>
      </c>
      <c r="F1487" s="38">
        <f t="shared" si="181"/>
        <v>0.73588235305522487</v>
      </c>
      <c r="G1487" s="14">
        <f t="shared" si="182"/>
        <v>0</v>
      </c>
      <c r="H1487" s="24">
        <f t="shared" si="188"/>
        <v>820.50240740860374</v>
      </c>
      <c r="I1487" s="12">
        <f t="shared" si="187"/>
        <v>0.2688824591460674</v>
      </c>
      <c r="J1487" s="3"/>
    </row>
    <row r="1488" spans="2:10" x14ac:dyDescent="0.25">
      <c r="B1488" s="3">
        <f t="shared" si="183"/>
        <v>7340</v>
      </c>
      <c r="C1488" s="14">
        <f t="shared" si="184"/>
        <v>122.33333333333333</v>
      </c>
      <c r="D1488" s="11">
        <f t="shared" si="185"/>
        <v>1051.9220243167676</v>
      </c>
      <c r="E1488" s="24">
        <f t="shared" si="186"/>
        <v>654.11485393573059</v>
      </c>
      <c r="F1488" s="38">
        <f t="shared" si="181"/>
        <v>0.73543845919832174</v>
      </c>
      <c r="G1488" s="14">
        <f t="shared" si="182"/>
        <v>0</v>
      </c>
      <c r="H1488" s="24">
        <f t="shared" si="188"/>
        <v>820.99764392182601</v>
      </c>
      <c r="I1488" s="12">
        <f t="shared" si="187"/>
        <v>0.2686426360200877</v>
      </c>
      <c r="J1488" s="3"/>
    </row>
    <row r="1489" spans="2:10" x14ac:dyDescent="0.25">
      <c r="B1489" s="3">
        <f t="shared" si="183"/>
        <v>7345</v>
      </c>
      <c r="C1489" s="14">
        <f t="shared" si="184"/>
        <v>122.41666666666667</v>
      </c>
      <c r="D1489" s="11">
        <f t="shared" si="185"/>
        <v>1052.0239505766554</v>
      </c>
      <c r="E1489" s="24">
        <f t="shared" si="186"/>
        <v>654.3834965717507</v>
      </c>
      <c r="F1489" s="38">
        <f t="shared" si="181"/>
        <v>0.73499264990311475</v>
      </c>
      <c r="G1489" s="14">
        <f t="shared" si="182"/>
        <v>0</v>
      </c>
      <c r="H1489" s="24">
        <f t="shared" si="188"/>
        <v>821.4956194880466</v>
      </c>
      <c r="I1489" s="12">
        <f t="shared" si="187"/>
        <v>0.26840244069890773</v>
      </c>
      <c r="J1489" s="3"/>
    </row>
    <row r="1490" spans="2:10" x14ac:dyDescent="0.25">
      <c r="B1490" s="3">
        <f t="shared" si="183"/>
        <v>7350</v>
      </c>
      <c r="C1490" s="14">
        <f t="shared" si="184"/>
        <v>122.5</v>
      </c>
      <c r="D1490" s="11">
        <f t="shared" si="185"/>
        <v>1052.1258075460823</v>
      </c>
      <c r="E1490" s="24">
        <f t="shared" si="186"/>
        <v>654.65189901244958</v>
      </c>
      <c r="F1490" s="38">
        <f t="shared" si="181"/>
        <v>0.73454491390378018</v>
      </c>
      <c r="G1490" s="14">
        <f t="shared" si="182"/>
        <v>0</v>
      </c>
      <c r="H1490" s="24">
        <f t="shared" si="188"/>
        <v>821.99635559713693</v>
      </c>
      <c r="I1490" s="12">
        <f t="shared" si="187"/>
        <v>0.26816187038237188</v>
      </c>
      <c r="J1490" s="3"/>
    </row>
    <row r="1491" spans="2:10" x14ac:dyDescent="0.25">
      <c r="B1491" s="3">
        <f t="shared" si="183"/>
        <v>7355</v>
      </c>
      <c r="C1491" s="14">
        <f t="shared" si="184"/>
        <v>122.58333333333333</v>
      </c>
      <c r="D1491" s="11">
        <f t="shared" si="185"/>
        <v>1052.2275953191929</v>
      </c>
      <c r="E1491" s="24">
        <f t="shared" si="186"/>
        <v>654.92006088283199</v>
      </c>
      <c r="F1491" s="38">
        <f t="shared" si="181"/>
        <v>0.7340952398548124</v>
      </c>
      <c r="G1491" s="14">
        <f t="shared" si="182"/>
        <v>0</v>
      </c>
      <c r="H1491" s="24">
        <f t="shared" si="188"/>
        <v>822.49987395468861</v>
      </c>
      <c r="I1491" s="12">
        <f t="shared" si="187"/>
        <v>0.26792092224742231</v>
      </c>
      <c r="J1491" s="3"/>
    </row>
    <row r="1492" spans="2:10" x14ac:dyDescent="0.25">
      <c r="B1492" s="3">
        <f t="shared" si="183"/>
        <v>7360</v>
      </c>
      <c r="C1492" s="14">
        <f t="shared" si="184"/>
        <v>122.66666666666667</v>
      </c>
      <c r="D1492" s="11">
        <f t="shared" si="185"/>
        <v>1052.3293139899406</v>
      </c>
      <c r="E1492" s="24">
        <f t="shared" si="186"/>
        <v>655.1879818050794</v>
      </c>
      <c r="F1492" s="38">
        <f t="shared" ref="F1492:F1555" si="189">Cp*RhoP/(RhoA*H1492)*dp/1000*MassivP</f>
        <v>0.73364361633041508</v>
      </c>
      <c r="G1492" s="14">
        <f t="shared" ref="G1492:G1555" si="190">Phi*EpsilonF*Botzman/10^8*J1492*((D1492+273)^4-(E1492+273)^4)</f>
        <v>0</v>
      </c>
      <c r="H1492" s="24">
        <f t="shared" si="188"/>
        <v>823.00619648462452</v>
      </c>
      <c r="I1492" s="12">
        <f t="shared" si="187"/>
        <v>0.26767959344788339</v>
      </c>
      <c r="J1492" s="3"/>
    </row>
    <row r="1493" spans="2:10" x14ac:dyDescent="0.25">
      <c r="B1493" s="3">
        <f t="shared" ref="B1493:B1556" si="191">B1492+DeltaT</f>
        <v>7365</v>
      </c>
      <c r="C1493" s="14">
        <f t="shared" ref="C1493:C1556" si="192">B1493/60</f>
        <v>122.75</v>
      </c>
      <c r="D1493" s="11">
        <f t="shared" ref="D1493:D1556" si="193">20+345*LOG(8*C1493+1,10)</f>
        <v>1052.4309636520868</v>
      </c>
      <c r="E1493" s="24">
        <f t="shared" ref="E1493:E1556" si="194">E1492+IF(Limit=Oui,MAX(0,I1492),I1492)</f>
        <v>655.45566139852724</v>
      </c>
      <c r="F1493" s="38">
        <f t="shared" si="189"/>
        <v>0.73319003182389064</v>
      </c>
      <c r="G1493" s="14">
        <f t="shared" si="190"/>
        <v>0</v>
      </c>
      <c r="H1493" s="24">
        <f t="shared" si="188"/>
        <v>823.51534533184827</v>
      </c>
      <c r="I1493" s="12">
        <f t="shared" ref="I1493:I1556" si="195">LambdaP*MassivP/(dp/1000)/(H1493*RhoA)/(1+F1493/3)*(D1493-E1493)*DeltaT-(EXP(F1493/10)-1)*(D1493-D1492)</f>
        <v>0.26743788111448291</v>
      </c>
      <c r="J1493" s="3"/>
    </row>
    <row r="1494" spans="2:10" x14ac:dyDescent="0.25">
      <c r="B1494" s="3">
        <f t="shared" si="191"/>
        <v>7370</v>
      </c>
      <c r="C1494" s="14">
        <f t="shared" si="192"/>
        <v>122.83333333333333</v>
      </c>
      <c r="D1494" s="11">
        <f t="shared" si="193"/>
        <v>1052.5325443992024</v>
      </c>
      <c r="E1494" s="24">
        <f t="shared" si="194"/>
        <v>655.7230992796417</v>
      </c>
      <c r="F1494" s="38">
        <f t="shared" si="189"/>
        <v>0.73273447474702225</v>
      </c>
      <c r="G1494" s="14">
        <f t="shared" si="190"/>
        <v>0</v>
      </c>
      <c r="H1494" s="24">
        <f t="shared" si="188"/>
        <v>824.0273428649316</v>
      </c>
      <c r="I1494" s="12">
        <f t="shared" si="195"/>
        <v>0.26719578235442365</v>
      </c>
      <c r="J1494" s="3"/>
    </row>
    <row r="1495" spans="2:10" x14ac:dyDescent="0.25">
      <c r="B1495" s="3">
        <f t="shared" si="191"/>
        <v>7375</v>
      </c>
      <c r="C1495" s="14">
        <f t="shared" si="192"/>
        <v>122.91666666666667</v>
      </c>
      <c r="D1495" s="11">
        <f t="shared" si="193"/>
        <v>1052.6340563246683</v>
      </c>
      <c r="E1495" s="24">
        <f t="shared" si="194"/>
        <v>655.99029506199611</v>
      </c>
      <c r="F1495" s="38">
        <f t="shared" si="189"/>
        <v>0.73227693342945577</v>
      </c>
      <c r="G1495" s="14">
        <f t="shared" si="190"/>
        <v>0</v>
      </c>
      <c r="H1495" s="24">
        <f t="shared" si="188"/>
        <v>824.54221167883725</v>
      </c>
      <c r="I1495" s="12">
        <f t="shared" si="195"/>
        <v>0.26695329425124714</v>
      </c>
      <c r="J1495" s="3"/>
    </row>
    <row r="1496" spans="2:10" x14ac:dyDescent="0.25">
      <c r="B1496" s="3">
        <f t="shared" si="191"/>
        <v>7380</v>
      </c>
      <c r="C1496" s="14">
        <f t="shared" si="192"/>
        <v>123</v>
      </c>
      <c r="D1496" s="11">
        <f t="shared" si="193"/>
        <v>1052.735499521676</v>
      </c>
      <c r="E1496" s="24">
        <f t="shared" si="194"/>
        <v>656.25724835624737</v>
      </c>
      <c r="F1496" s="38">
        <f t="shared" si="189"/>
        <v>0.73181739611807328</v>
      </c>
      <c r="G1496" s="14">
        <f t="shared" si="190"/>
        <v>0</v>
      </c>
      <c r="H1496" s="24">
        <f t="shared" si="188"/>
        <v>825.05997459768298</v>
      </c>
      <c r="I1496" s="12">
        <f t="shared" si="195"/>
        <v>0.26671041386466071</v>
      </c>
      <c r="J1496" s="3"/>
    </row>
    <row r="1497" spans="2:10" x14ac:dyDescent="0.25">
      <c r="B1497" s="3">
        <f t="shared" si="191"/>
        <v>7385</v>
      </c>
      <c r="C1497" s="14">
        <f t="shared" si="192"/>
        <v>123.08333333333333</v>
      </c>
      <c r="D1497" s="11">
        <f t="shared" si="193"/>
        <v>1052.836874083227</v>
      </c>
      <c r="E1497" s="24">
        <f t="shared" si="194"/>
        <v>656.52395877011202</v>
      </c>
      <c r="F1497" s="38">
        <f t="shared" si="189"/>
        <v>0.73135585097636646</v>
      </c>
      <c r="G1497" s="14">
        <f t="shared" si="190"/>
        <v>0</v>
      </c>
      <c r="H1497" s="24">
        <f t="shared" si="188"/>
        <v>825.58065467754284</v>
      </c>
      <c r="I1497" s="12">
        <f t="shared" si="195"/>
        <v>0.26646713823036156</v>
      </c>
      <c r="J1497" s="3"/>
    </row>
    <row r="1498" spans="2:10" x14ac:dyDescent="0.25">
      <c r="B1498" s="3">
        <f t="shared" si="191"/>
        <v>7390</v>
      </c>
      <c r="C1498" s="14">
        <f t="shared" si="192"/>
        <v>123.16666666666667</v>
      </c>
      <c r="D1498" s="11">
        <f t="shared" si="193"/>
        <v>1052.9381801021348</v>
      </c>
      <c r="E1498" s="24">
        <f t="shared" si="194"/>
        <v>656.7904259083424</v>
      </c>
      <c r="F1498" s="38">
        <f t="shared" si="189"/>
        <v>0.73089228608380152</v>
      </c>
      <c r="G1498" s="14">
        <f t="shared" si="190"/>
        <v>0</v>
      </c>
      <c r="H1498" s="24">
        <f t="shared" si="188"/>
        <v>826.10427520929034</v>
      </c>
      <c r="I1498" s="12">
        <f t="shared" si="195"/>
        <v>0.26622346435967109</v>
      </c>
      <c r="J1498" s="3"/>
    </row>
    <row r="1499" spans="2:10" x14ac:dyDescent="0.25">
      <c r="B1499" s="3">
        <f t="shared" si="191"/>
        <v>7395</v>
      </c>
      <c r="C1499" s="14">
        <f t="shared" si="192"/>
        <v>123.25</v>
      </c>
      <c r="D1499" s="11">
        <f t="shared" si="193"/>
        <v>1053.0394176710247</v>
      </c>
      <c r="E1499" s="24">
        <f t="shared" si="194"/>
        <v>657.05664937270205</v>
      </c>
      <c r="F1499" s="38">
        <f t="shared" si="189"/>
        <v>0.73042668943518407</v>
      </c>
      <c r="G1499" s="14">
        <f t="shared" si="190"/>
        <v>0</v>
      </c>
      <c r="H1499" s="24">
        <f t="shared" si="188"/>
        <v>826.63085972147917</v>
      </c>
      <c r="I1499" s="12">
        <f t="shared" si="195"/>
        <v>0.2659793892394593</v>
      </c>
      <c r="J1499" s="3"/>
    </row>
    <row r="1500" spans="2:10" x14ac:dyDescent="0.25">
      <c r="B1500" s="3">
        <f t="shared" si="191"/>
        <v>7400</v>
      </c>
      <c r="C1500" s="14">
        <f t="shared" si="192"/>
        <v>123.33333333333333</v>
      </c>
      <c r="D1500" s="11">
        <f t="shared" si="193"/>
        <v>1053.140586882334</v>
      </c>
      <c r="E1500" s="24">
        <f t="shared" si="194"/>
        <v>657.32262876194147</v>
      </c>
      <c r="F1500" s="38">
        <f t="shared" si="189"/>
        <v>0.72995904894001706</v>
      </c>
      <c r="G1500" s="14">
        <f t="shared" si="190"/>
        <v>0</v>
      </c>
      <c r="H1500" s="24">
        <f t="shared" si="188"/>
        <v>827.16043198326815</v>
      </c>
      <c r="I1500" s="12">
        <f t="shared" si="195"/>
        <v>0.26573490983194609</v>
      </c>
      <c r="J1500" s="3"/>
    </row>
    <row r="1501" spans="2:10" x14ac:dyDescent="0.25">
      <c r="B1501" s="3">
        <f t="shared" si="191"/>
        <v>7405</v>
      </c>
      <c r="C1501" s="14">
        <f t="shared" si="192"/>
        <v>123.41666666666667</v>
      </c>
      <c r="D1501" s="11">
        <f t="shared" si="193"/>
        <v>1053.2416878283134</v>
      </c>
      <c r="E1501" s="24">
        <f t="shared" si="194"/>
        <v>657.58836367177344</v>
      </c>
      <c r="F1501" s="38">
        <f t="shared" si="189"/>
        <v>0.72948935242185553</v>
      </c>
      <c r="G1501" s="14">
        <f t="shared" si="190"/>
        <v>0</v>
      </c>
      <c r="H1501" s="24">
        <f t="shared" si="188"/>
        <v>827.69301600738549</v>
      </c>
      <c r="I1501" s="12">
        <f t="shared" si="195"/>
        <v>0.2654900230743299</v>
      </c>
      <c r="J1501" s="3"/>
    </row>
    <row r="1502" spans="2:10" x14ac:dyDescent="0.25">
      <c r="B1502" s="3">
        <f t="shared" si="191"/>
        <v>7410</v>
      </c>
      <c r="C1502" s="14">
        <f t="shared" si="192"/>
        <v>123.5</v>
      </c>
      <c r="D1502" s="11">
        <f t="shared" si="193"/>
        <v>1053.3427206010269</v>
      </c>
      <c r="E1502" s="24">
        <f t="shared" si="194"/>
        <v>657.85385369484777</v>
      </c>
      <c r="F1502" s="38">
        <f t="shared" si="189"/>
        <v>0.72901758761765689</v>
      </c>
      <c r="G1502" s="14">
        <f t="shared" si="190"/>
        <v>0</v>
      </c>
      <c r="H1502" s="24">
        <f t="shared" si="188"/>
        <v>828.22863605313682</v>
      </c>
      <c r="I1502" s="12">
        <f t="shared" si="195"/>
        <v>0.2652447258787235</v>
      </c>
      <c r="J1502" s="3"/>
    </row>
    <row r="1503" spans="2:10" x14ac:dyDescent="0.25">
      <c r="B1503" s="3">
        <f t="shared" si="191"/>
        <v>7415</v>
      </c>
      <c r="C1503" s="14">
        <f t="shared" si="192"/>
        <v>123.58333333333333</v>
      </c>
      <c r="D1503" s="11">
        <f t="shared" si="193"/>
        <v>1053.4436852923518</v>
      </c>
      <c r="E1503" s="24">
        <f t="shared" si="194"/>
        <v>658.11909842072646</v>
      </c>
      <c r="F1503" s="38">
        <f t="shared" si="189"/>
        <v>0.7285437421771277</v>
      </c>
      <c r="G1503" s="14">
        <f t="shared" si="190"/>
        <v>0</v>
      </c>
      <c r="H1503" s="24">
        <f t="shared" si="188"/>
        <v>828.76731662945565</v>
      </c>
      <c r="I1503" s="12">
        <f t="shared" si="195"/>
        <v>0.26499901513193158</v>
      </c>
      <c r="J1503" s="3"/>
    </row>
    <row r="1504" spans="2:10" x14ac:dyDescent="0.25">
      <c r="B1504" s="3">
        <f t="shared" si="191"/>
        <v>7420</v>
      </c>
      <c r="C1504" s="14">
        <f t="shared" si="192"/>
        <v>123.66666666666667</v>
      </c>
      <c r="D1504" s="11">
        <f t="shared" si="193"/>
        <v>1053.5445819939805</v>
      </c>
      <c r="E1504" s="24">
        <f t="shared" si="194"/>
        <v>658.38409743585839</v>
      </c>
      <c r="F1504" s="38">
        <f t="shared" si="189"/>
        <v>0.72806780366206514</v>
      </c>
      <c r="G1504" s="14">
        <f t="shared" si="190"/>
        <v>0</v>
      </c>
      <c r="H1504" s="24">
        <f t="shared" si="188"/>
        <v>829.30908249799836</v>
      </c>
      <c r="I1504" s="12">
        <f t="shared" si="195"/>
        <v>0.26475288769504018</v>
      </c>
      <c r="J1504" s="3"/>
    </row>
    <row r="1505" spans="2:10" x14ac:dyDescent="0.25">
      <c r="B1505" s="3">
        <f t="shared" si="191"/>
        <v>7425</v>
      </c>
      <c r="C1505" s="14">
        <f t="shared" si="192"/>
        <v>123.75</v>
      </c>
      <c r="D1505" s="11">
        <f t="shared" si="193"/>
        <v>1053.64541079742</v>
      </c>
      <c r="E1505" s="24">
        <f t="shared" si="194"/>
        <v>658.64885032355346</v>
      </c>
      <c r="F1505" s="38">
        <f t="shared" si="189"/>
        <v>0.72758975954569549</v>
      </c>
      <c r="G1505" s="14">
        <f t="shared" si="190"/>
        <v>0</v>
      </c>
      <c r="H1505" s="24">
        <f t="shared" si="188"/>
        <v>829.85395867628279</v>
      </c>
      <c r="I1505" s="12">
        <f t="shared" si="195"/>
        <v>0.26450634040343152</v>
      </c>
      <c r="J1505" s="3"/>
    </row>
    <row r="1506" spans="2:10" x14ac:dyDescent="0.25">
      <c r="B1506" s="3">
        <f t="shared" si="191"/>
        <v>7430</v>
      </c>
      <c r="C1506" s="14">
        <f t="shared" si="192"/>
        <v>123.83333333333333</v>
      </c>
      <c r="D1506" s="11">
        <f t="shared" si="193"/>
        <v>1053.7461717939925</v>
      </c>
      <c r="E1506" s="24">
        <f t="shared" si="194"/>
        <v>658.91335666395685</v>
      </c>
      <c r="F1506" s="38">
        <f t="shared" si="189"/>
        <v>0.72710959721200741</v>
      </c>
      <c r="G1506" s="14">
        <f t="shared" si="190"/>
        <v>0</v>
      </c>
      <c r="H1506" s="24">
        <f t="shared" si="188"/>
        <v>830.40197044087256</v>
      </c>
      <c r="I1506" s="12">
        <f t="shared" si="195"/>
        <v>0.26425937006643641</v>
      </c>
      <c r="J1506" s="3"/>
    </row>
    <row r="1507" spans="2:10" x14ac:dyDescent="0.25">
      <c r="B1507" s="3">
        <f t="shared" si="191"/>
        <v>7435</v>
      </c>
      <c r="C1507" s="14">
        <f t="shared" si="192"/>
        <v>123.91666666666667</v>
      </c>
      <c r="D1507" s="11">
        <f t="shared" si="193"/>
        <v>1053.8468650748364</v>
      </c>
      <c r="E1507" s="24">
        <f t="shared" si="194"/>
        <v>659.17761603402323</v>
      </c>
      <c r="F1507" s="38">
        <f t="shared" si="189"/>
        <v>0.72662730395508135</v>
      </c>
      <c r="G1507" s="14">
        <f t="shared" si="190"/>
        <v>0</v>
      </c>
      <c r="H1507" s="24">
        <f t="shared" si="188"/>
        <v>830.95314333060821</v>
      </c>
      <c r="I1507" s="12">
        <f t="shared" si="195"/>
        <v>0.264011973467071</v>
      </c>
      <c r="J1507" s="3"/>
    </row>
    <row r="1508" spans="2:10" x14ac:dyDescent="0.25">
      <c r="B1508" s="3">
        <f t="shared" si="191"/>
        <v>7440</v>
      </c>
      <c r="C1508" s="14">
        <f t="shared" si="192"/>
        <v>124</v>
      </c>
      <c r="D1508" s="11">
        <f t="shared" si="193"/>
        <v>1053.9474907309066</v>
      </c>
      <c r="E1508" s="24">
        <f t="shared" si="194"/>
        <v>659.44162800749029</v>
      </c>
      <c r="F1508" s="38">
        <f t="shared" si="189"/>
        <v>0.72614286697841568</v>
      </c>
      <c r="G1508" s="14">
        <f t="shared" si="190"/>
        <v>0</v>
      </c>
      <c r="H1508" s="24">
        <f t="shared" si="188"/>
        <v>831.50750314988318</v>
      </c>
      <c r="I1508" s="12">
        <f t="shared" si="195"/>
        <v>0.26376414736187492</v>
      </c>
      <c r="J1508" s="3"/>
    </row>
    <row r="1509" spans="2:10" x14ac:dyDescent="0.25">
      <c r="B1509" s="3">
        <f t="shared" si="191"/>
        <v>7445</v>
      </c>
      <c r="C1509" s="14">
        <f t="shared" si="192"/>
        <v>124.08333333333333</v>
      </c>
      <c r="D1509" s="11">
        <f t="shared" si="193"/>
        <v>1054.048048852974</v>
      </c>
      <c r="E1509" s="24">
        <f t="shared" si="194"/>
        <v>659.70539215485212</v>
      </c>
      <c r="F1509" s="38">
        <f t="shared" si="189"/>
        <v>0.72565627339424699</v>
      </c>
      <c r="G1509" s="14">
        <f t="shared" si="190"/>
        <v>0</v>
      </c>
      <c r="H1509" s="24">
        <f t="shared" si="188"/>
        <v>832.06507597196901</v>
      </c>
      <c r="I1509" s="12">
        <f t="shared" si="195"/>
        <v>0.26351588848072788</v>
      </c>
      <c r="J1509" s="3"/>
    </row>
    <row r="1510" spans="2:10" x14ac:dyDescent="0.25">
      <c r="B1510" s="3">
        <f t="shared" si="191"/>
        <v>7450</v>
      </c>
      <c r="C1510" s="14">
        <f t="shared" si="192"/>
        <v>124.16666666666667</v>
      </c>
      <c r="D1510" s="11">
        <f t="shared" si="193"/>
        <v>1054.1485395316279</v>
      </c>
      <c r="E1510" s="24">
        <f t="shared" si="194"/>
        <v>659.96890804333282</v>
      </c>
      <c r="F1510" s="38">
        <f t="shared" si="189"/>
        <v>0.72516751022286874</v>
      </c>
      <c r="G1510" s="14">
        <f t="shared" si="190"/>
        <v>0</v>
      </c>
      <c r="H1510" s="24">
        <f t="shared" si="188"/>
        <v>832.62588814238779</v>
      </c>
      <c r="I1510" s="12">
        <f t="shared" si="195"/>
        <v>0.26326719352642775</v>
      </c>
      <c r="J1510" s="3"/>
    </row>
    <row r="1511" spans="2:10" x14ac:dyDescent="0.25">
      <c r="B1511" s="3">
        <f t="shared" si="191"/>
        <v>7455</v>
      </c>
      <c r="C1511" s="14">
        <f t="shared" si="192"/>
        <v>124.25</v>
      </c>
      <c r="D1511" s="11">
        <f t="shared" si="193"/>
        <v>1054.2489628572753</v>
      </c>
      <c r="E1511" s="24">
        <f t="shared" si="194"/>
        <v>660.23217523685923</v>
      </c>
      <c r="F1511" s="38">
        <f t="shared" si="189"/>
        <v>0.72467656439194206</v>
      </c>
      <c r="G1511" s="14">
        <f t="shared" si="190"/>
        <v>0</v>
      </c>
      <c r="H1511" s="24">
        <f t="shared" si="188"/>
        <v>833.18996628233447</v>
      </c>
      <c r="I1511" s="12">
        <f t="shared" si="195"/>
        <v>0.26301805917460686</v>
      </c>
      <c r="J1511" s="3"/>
    </row>
    <row r="1512" spans="2:10" x14ac:dyDescent="0.25">
      <c r="B1512" s="3">
        <f t="shared" si="191"/>
        <v>7460</v>
      </c>
      <c r="C1512" s="14">
        <f t="shared" si="192"/>
        <v>124.33333333333333</v>
      </c>
      <c r="D1512" s="11">
        <f t="shared" si="193"/>
        <v>1054.3493189201408</v>
      </c>
      <c r="E1512" s="24">
        <f t="shared" si="194"/>
        <v>660.49519329603379</v>
      </c>
      <c r="F1512" s="38">
        <f t="shared" si="189"/>
        <v>0.7241834227358066</v>
      </c>
      <c r="G1512" s="14">
        <f t="shared" si="190"/>
        <v>0</v>
      </c>
      <c r="H1512" s="24">
        <f t="shared" si="188"/>
        <v>833.75733729214812</v>
      </c>
      <c r="I1512" s="12">
        <f t="shared" si="195"/>
        <v>0.26276848207354292</v>
      </c>
      <c r="J1512" s="3"/>
    </row>
    <row r="1513" spans="2:10" x14ac:dyDescent="0.25">
      <c r="B1513" s="3">
        <f t="shared" si="191"/>
        <v>7465</v>
      </c>
      <c r="C1513" s="14">
        <f t="shared" si="192"/>
        <v>124.41666666666667</v>
      </c>
      <c r="D1513" s="11">
        <f t="shared" si="193"/>
        <v>1054.4496078102682</v>
      </c>
      <c r="E1513" s="24">
        <f t="shared" si="194"/>
        <v>660.7579617781073</v>
      </c>
      <c r="F1513" s="38">
        <f t="shared" si="189"/>
        <v>0.72368807199478435</v>
      </c>
      <c r="G1513" s="14">
        <f t="shared" si="190"/>
        <v>0</v>
      </c>
      <c r="H1513" s="24">
        <f t="shared" si="188"/>
        <v>834.32802835483494</v>
      </c>
      <c r="I1513" s="12">
        <f t="shared" si="195"/>
        <v>0.26251845884374725</v>
      </c>
      <c r="J1513" s="3"/>
    </row>
    <row r="1514" spans="2:10" x14ac:dyDescent="0.25">
      <c r="B1514" s="3">
        <f t="shared" si="191"/>
        <v>7470</v>
      </c>
      <c r="C1514" s="14">
        <f t="shared" si="192"/>
        <v>124.5</v>
      </c>
      <c r="D1514" s="11">
        <f t="shared" si="193"/>
        <v>1054.549829617521</v>
      </c>
      <c r="E1514" s="24">
        <f t="shared" si="194"/>
        <v>661.02048023695102</v>
      </c>
      <c r="F1514" s="38">
        <f t="shared" si="189"/>
        <v>0.72319049881447994</v>
      </c>
      <c r="G1514" s="14">
        <f t="shared" si="190"/>
        <v>0</v>
      </c>
      <c r="H1514" s="24">
        <f t="shared" si="188"/>
        <v>834.90206693964205</v>
      </c>
      <c r="I1514" s="12">
        <f t="shared" si="195"/>
        <v>0.26226798607775609</v>
      </c>
      <c r="J1514" s="3"/>
    </row>
    <row r="1515" spans="2:10" x14ac:dyDescent="0.25">
      <c r="B1515" s="3">
        <f t="shared" si="191"/>
        <v>7475</v>
      </c>
      <c r="C1515" s="14">
        <f t="shared" si="192"/>
        <v>124.58333333333333</v>
      </c>
      <c r="D1515" s="11">
        <f t="shared" si="193"/>
        <v>1054.6499844315824</v>
      </c>
      <c r="E1515" s="24">
        <f t="shared" si="194"/>
        <v>661.28274822302876</v>
      </c>
      <c r="F1515" s="38">
        <f t="shared" si="189"/>
        <v>0.72269068974507911</v>
      </c>
      <c r="G1515" s="14">
        <f t="shared" si="190"/>
        <v>0</v>
      </c>
      <c r="H1515" s="24">
        <f t="shared" si="188"/>
        <v>835.47948080568369</v>
      </c>
      <c r="I1515" s="12">
        <f t="shared" si="195"/>
        <v>0.26201706034003724</v>
      </c>
      <c r="J1515" s="3"/>
    </row>
    <row r="1516" spans="2:10" x14ac:dyDescent="0.25">
      <c r="B1516" s="3">
        <f t="shared" si="191"/>
        <v>7480</v>
      </c>
      <c r="C1516" s="14">
        <f t="shared" si="192"/>
        <v>124.66666666666667</v>
      </c>
      <c r="D1516" s="11">
        <f t="shared" si="193"/>
        <v>1054.7500723419553</v>
      </c>
      <c r="E1516" s="24">
        <f t="shared" si="194"/>
        <v>661.54476528336875</v>
      </c>
      <c r="F1516" s="38">
        <f t="shared" si="189"/>
        <v>0.72218863124063915</v>
      </c>
      <c r="G1516" s="14">
        <f t="shared" si="190"/>
        <v>0</v>
      </c>
      <c r="H1516" s="24">
        <f t="shared" si="188"/>
        <v>836.06029800562089</v>
      </c>
      <c r="I1516" s="12">
        <f t="shared" si="195"/>
        <v>0.26176567816662355</v>
      </c>
      <c r="J1516" s="3"/>
    </row>
    <row r="1517" spans="2:10" x14ac:dyDescent="0.25">
      <c r="B1517" s="3">
        <f t="shared" si="191"/>
        <v>7485</v>
      </c>
      <c r="C1517" s="14">
        <f t="shared" si="192"/>
        <v>124.75</v>
      </c>
      <c r="D1517" s="11">
        <f t="shared" si="193"/>
        <v>1054.850093437964</v>
      </c>
      <c r="E1517" s="24">
        <f t="shared" si="194"/>
        <v>661.80653096153537</v>
      </c>
      <c r="F1517" s="38">
        <f t="shared" si="189"/>
        <v>0.72168430965837804</v>
      </c>
      <c r="G1517" s="14">
        <f t="shared" si="190"/>
        <v>0</v>
      </c>
      <c r="H1517" s="24">
        <f t="shared" si="188"/>
        <v>836.64454688939577</v>
      </c>
      <c r="I1517" s="12">
        <f t="shared" si="195"/>
        <v>0.2615138360647945</v>
      </c>
      <c r="J1517" s="3"/>
    </row>
    <row r="1518" spans="2:10" x14ac:dyDescent="0.25">
      <c r="B1518" s="3">
        <f t="shared" si="191"/>
        <v>7490</v>
      </c>
      <c r="C1518" s="14">
        <f t="shared" si="192"/>
        <v>124.83333333333333</v>
      </c>
      <c r="D1518" s="11">
        <f t="shared" si="193"/>
        <v>1054.9500478087532</v>
      </c>
      <c r="E1518" s="24">
        <f t="shared" si="194"/>
        <v>662.06804479760012</v>
      </c>
      <c r="F1518" s="38">
        <f t="shared" si="189"/>
        <v>0.72117771125796049</v>
      </c>
      <c r="G1518" s="14">
        <f t="shared" si="190"/>
        <v>0</v>
      </c>
      <c r="H1518" s="24">
        <f t="shared" si="188"/>
        <v>837.23225610801956</v>
      </c>
      <c r="I1518" s="12">
        <f t="shared" si="195"/>
        <v>0.26126153051304485</v>
      </c>
      <c r="J1518" s="3"/>
    </row>
    <row r="1519" spans="2:10" x14ac:dyDescent="0.25">
      <c r="B1519" s="3">
        <f t="shared" si="191"/>
        <v>7495</v>
      </c>
      <c r="C1519" s="14">
        <f t="shared" si="192"/>
        <v>124.91666666666667</v>
      </c>
      <c r="D1519" s="11">
        <f t="shared" si="193"/>
        <v>1055.0499355432905</v>
      </c>
      <c r="E1519" s="24">
        <f t="shared" si="194"/>
        <v>662.32930632811315</v>
      </c>
      <c r="F1519" s="38">
        <f t="shared" si="189"/>
        <v>0.72066882220077633</v>
      </c>
      <c r="G1519" s="14">
        <f t="shared" si="190"/>
        <v>0</v>
      </c>
      <c r="H1519" s="24">
        <f t="shared" si="188"/>
        <v>837.82345461741807</v>
      </c>
      <c r="I1519" s="12">
        <f t="shared" si="195"/>
        <v>0.26100875796050826</v>
      </c>
      <c r="J1519" s="3"/>
    </row>
    <row r="1520" spans="2:10" x14ac:dyDescent="0.25">
      <c r="B1520" s="3">
        <f t="shared" si="191"/>
        <v>7500</v>
      </c>
      <c r="C1520" s="14">
        <f t="shared" si="192"/>
        <v>125</v>
      </c>
      <c r="D1520" s="11">
        <f t="shared" si="193"/>
        <v>1055.1497567303647</v>
      </c>
      <c r="E1520" s="24">
        <f t="shared" si="194"/>
        <v>662.5903150860737</v>
      </c>
      <c r="F1520" s="38">
        <f t="shared" si="189"/>
        <v>0.72015762854921794</v>
      </c>
      <c r="G1520" s="14">
        <f t="shared" si="190"/>
        <v>0</v>
      </c>
      <c r="H1520" s="24">
        <f t="shared" si="188"/>
        <v>838.4181716823332</v>
      </c>
      <c r="I1520" s="12">
        <f t="shared" si="195"/>
        <v>0.26075551482707376</v>
      </c>
      <c r="J1520" s="3"/>
    </row>
    <row r="1521" spans="2:10" x14ac:dyDescent="0.25">
      <c r="B1521" s="3">
        <f t="shared" si="191"/>
        <v>7505</v>
      </c>
      <c r="C1521" s="14">
        <f t="shared" si="192"/>
        <v>125.08333333333333</v>
      </c>
      <c r="D1521" s="11">
        <f t="shared" si="193"/>
        <v>1055.2495114585879</v>
      </c>
      <c r="E1521" s="24">
        <f t="shared" si="194"/>
        <v>662.85107060090081</v>
      </c>
      <c r="F1521" s="38">
        <f t="shared" si="189"/>
        <v>0.71964411626595415</v>
      </c>
      <c r="G1521" s="14">
        <f t="shared" si="190"/>
        <v>0</v>
      </c>
      <c r="H1521" s="24">
        <f t="shared" si="188"/>
        <v>839.01643688028184</v>
      </c>
      <c r="I1521" s="12">
        <f t="shared" si="195"/>
        <v>0.26050179750280483</v>
      </c>
      <c r="J1521" s="3"/>
    </row>
    <row r="1522" spans="2:10" x14ac:dyDescent="0.25">
      <c r="B1522" s="3">
        <f t="shared" si="191"/>
        <v>7510</v>
      </c>
      <c r="C1522" s="14">
        <f t="shared" si="192"/>
        <v>125.16666666666667</v>
      </c>
      <c r="D1522" s="11">
        <f t="shared" si="193"/>
        <v>1055.349199816395</v>
      </c>
      <c r="E1522" s="24">
        <f t="shared" si="194"/>
        <v>663.11157239840361</v>
      </c>
      <c r="F1522" s="38">
        <f t="shared" si="189"/>
        <v>0.71912827121319767</v>
      </c>
      <c r="G1522" s="14">
        <f t="shared" si="190"/>
        <v>0</v>
      </c>
      <c r="H1522" s="24">
        <f t="shared" si="188"/>
        <v>839.61828010557451</v>
      </c>
      <c r="I1522" s="12">
        <f t="shared" si="195"/>
        <v>0.26024760234788186</v>
      </c>
      <c r="J1522" s="3"/>
    </row>
    <row r="1523" spans="2:10" x14ac:dyDescent="0.25">
      <c r="B1523" s="3">
        <f t="shared" si="191"/>
        <v>7515</v>
      </c>
      <c r="C1523" s="14">
        <f t="shared" si="192"/>
        <v>125.25</v>
      </c>
      <c r="D1523" s="11">
        <f t="shared" si="193"/>
        <v>1055.4488218920442</v>
      </c>
      <c r="E1523" s="24">
        <f t="shared" si="194"/>
        <v>663.37182000075154</v>
      </c>
      <c r="F1523" s="38">
        <f t="shared" si="189"/>
        <v>0.71861007915196973</v>
      </c>
      <c r="G1523" s="14">
        <f t="shared" si="190"/>
        <v>0</v>
      </c>
      <c r="H1523" s="24">
        <f t="shared" si="188"/>
        <v>840.22373157339405</v>
      </c>
      <c r="I1523" s="12">
        <f t="shared" si="195"/>
        <v>0.25999292569227084</v>
      </c>
      <c r="J1523" s="3"/>
    </row>
    <row r="1524" spans="2:10" x14ac:dyDescent="0.25">
      <c r="B1524" s="3">
        <f t="shared" si="191"/>
        <v>7520</v>
      </c>
      <c r="C1524" s="14">
        <f t="shared" si="192"/>
        <v>125.33333333333333</v>
      </c>
      <c r="D1524" s="11">
        <f t="shared" si="193"/>
        <v>1055.5483777736183</v>
      </c>
      <c r="E1524" s="24">
        <f t="shared" si="194"/>
        <v>663.63181292644379</v>
      </c>
      <c r="F1524" s="38">
        <f t="shared" si="189"/>
        <v>0.71808952574136298</v>
      </c>
      <c r="G1524" s="14">
        <f t="shared" si="190"/>
        <v>0</v>
      </c>
      <c r="H1524" s="24">
        <f t="shared" si="188"/>
        <v>840.83282182393339</v>
      </c>
      <c r="I1524" s="12">
        <f t="shared" si="195"/>
        <v>0.25973776383540786</v>
      </c>
      <c r="J1524" s="3"/>
    </row>
    <row r="1525" spans="2:10" x14ac:dyDescent="0.25">
      <c r="B1525" s="3">
        <f t="shared" si="191"/>
        <v>7525</v>
      </c>
      <c r="C1525" s="14">
        <f t="shared" si="192"/>
        <v>125.41666666666667</v>
      </c>
      <c r="D1525" s="11">
        <f t="shared" si="193"/>
        <v>1055.6478675490246</v>
      </c>
      <c r="E1525" s="24">
        <f t="shared" si="194"/>
        <v>663.89155069027925</v>
      </c>
      <c r="F1525" s="38">
        <f t="shared" si="189"/>
        <v>0.71756659653779575</v>
      </c>
      <c r="G1525" s="14">
        <f t="shared" si="190"/>
        <v>0</v>
      </c>
      <c r="H1525" s="24">
        <f t="shared" si="188"/>
        <v>841.4455817265972</v>
      </c>
      <c r="I1525" s="12">
        <f t="shared" si="195"/>
        <v>0.25948211304601587</v>
      </c>
      <c r="J1525" s="3"/>
    </row>
    <row r="1526" spans="2:10" x14ac:dyDescent="0.25">
      <c r="B1526" s="3">
        <f t="shared" si="191"/>
        <v>7530</v>
      </c>
      <c r="C1526" s="14">
        <f t="shared" si="192"/>
        <v>125.5</v>
      </c>
      <c r="D1526" s="11">
        <f t="shared" si="193"/>
        <v>1055.7472913059951</v>
      </c>
      <c r="E1526" s="24">
        <f t="shared" si="194"/>
        <v>664.15103280332528</v>
      </c>
      <c r="F1526" s="38">
        <f t="shared" si="189"/>
        <v>0.71704127699426989</v>
      </c>
      <c r="G1526" s="14">
        <f t="shared" si="190"/>
        <v>0</v>
      </c>
      <c r="H1526" s="24">
        <f t="shared" si="188"/>
        <v>842.06204248426457</v>
      </c>
      <c r="I1526" s="12">
        <f t="shared" si="195"/>
        <v>0.25922596956180077</v>
      </c>
      <c r="J1526" s="3"/>
    </row>
    <row r="1527" spans="2:10" x14ac:dyDescent="0.25">
      <c r="B1527" s="3">
        <f t="shared" si="191"/>
        <v>7535</v>
      </c>
      <c r="C1527" s="14">
        <f t="shared" si="192"/>
        <v>125.58333333333333</v>
      </c>
      <c r="D1527" s="11">
        <f t="shared" si="193"/>
        <v>1055.8466491320874</v>
      </c>
      <c r="E1527" s="24">
        <f t="shared" si="194"/>
        <v>664.41025877288712</v>
      </c>
      <c r="F1527" s="38">
        <f t="shared" si="189"/>
        <v>0.71651355245961612</v>
      </c>
      <c r="G1527" s="14">
        <f t="shared" si="190"/>
        <v>0</v>
      </c>
      <c r="H1527" s="24">
        <f t="shared" ref="H1527:H1590" si="196">IF(E1527&lt;600,425+0.773*E1527-1.69/1000*E1527^2+2.22/1000^2*E1527^3,IF(E1527&lt;735,666+13002/(738-E1527),IF(E1527&lt;900,545+17820/(E1527-731),650)))</f>
        <v>842.68223563761671</v>
      </c>
      <c r="I1527" s="12">
        <f t="shared" si="195"/>
        <v>0.25896932958917973</v>
      </c>
      <c r="J1527" s="3"/>
    </row>
    <row r="1528" spans="2:10" x14ac:dyDescent="0.25">
      <c r="B1528" s="3">
        <f t="shared" si="191"/>
        <v>7540</v>
      </c>
      <c r="C1528" s="14">
        <f t="shared" si="192"/>
        <v>125.66666666666667</v>
      </c>
      <c r="D1528" s="11">
        <f t="shared" si="193"/>
        <v>1055.945941114685</v>
      </c>
      <c r="E1528" s="24">
        <f t="shared" si="194"/>
        <v>664.66922810247627</v>
      </c>
      <c r="F1528" s="38">
        <f t="shared" si="189"/>
        <v>0.71598340817774342</v>
      </c>
      <c r="G1528" s="14">
        <f t="shared" si="190"/>
        <v>0</v>
      </c>
      <c r="H1528" s="24">
        <f t="shared" si="196"/>
        <v>843.30619306952985</v>
      </c>
      <c r="I1528" s="12">
        <f t="shared" si="195"/>
        <v>0.25871218930298928</v>
      </c>
      <c r="J1528" s="3"/>
    </row>
    <row r="1529" spans="2:10" x14ac:dyDescent="0.25">
      <c r="B1529" s="3">
        <f t="shared" si="191"/>
        <v>7545</v>
      </c>
      <c r="C1529" s="14">
        <f t="shared" si="192"/>
        <v>125.75</v>
      </c>
      <c r="D1529" s="11">
        <f t="shared" si="193"/>
        <v>1056.0451673409982</v>
      </c>
      <c r="E1529" s="24">
        <f t="shared" si="194"/>
        <v>664.92794029177924</v>
      </c>
      <c r="F1529" s="38">
        <f t="shared" si="189"/>
        <v>0.71545082928687964</v>
      </c>
      <c r="G1529" s="14">
        <f t="shared" si="190"/>
        <v>0</v>
      </c>
      <c r="H1529" s="24">
        <f t="shared" si="196"/>
        <v>843.9339470095332</v>
      </c>
      <c r="I1529" s="12">
        <f t="shared" si="195"/>
        <v>0.25845454484620972</v>
      </c>
      <c r="J1529" s="3"/>
    </row>
    <row r="1530" spans="2:10" x14ac:dyDescent="0.25">
      <c r="B1530" s="3">
        <f t="shared" si="191"/>
        <v>7550</v>
      </c>
      <c r="C1530" s="14">
        <f t="shared" si="192"/>
        <v>125.83333333333333</v>
      </c>
      <c r="D1530" s="11">
        <f t="shared" si="193"/>
        <v>1056.1443278980632</v>
      </c>
      <c r="E1530" s="24">
        <f t="shared" si="194"/>
        <v>665.18639483662548</v>
      </c>
      <c r="F1530" s="38">
        <f t="shared" si="189"/>
        <v>0.71491580081881145</v>
      </c>
      <c r="G1530" s="14">
        <f t="shared" si="190"/>
        <v>0</v>
      </c>
      <c r="H1530" s="24">
        <f t="shared" si="196"/>
        <v>844.56553003833483</v>
      </c>
      <c r="I1530" s="12">
        <f t="shared" si="195"/>
        <v>0.25819639232980268</v>
      </c>
      <c r="J1530" s="3"/>
    </row>
    <row r="1531" spans="2:10" x14ac:dyDescent="0.25">
      <c r="B1531" s="3">
        <f t="shared" si="191"/>
        <v>7555</v>
      </c>
      <c r="C1531" s="14">
        <f t="shared" si="192"/>
        <v>125.91666666666667</v>
      </c>
      <c r="D1531" s="11">
        <f t="shared" si="193"/>
        <v>1056.2434228727448</v>
      </c>
      <c r="E1531" s="24">
        <f t="shared" si="194"/>
        <v>665.44459122895523</v>
      </c>
      <c r="F1531" s="38">
        <f t="shared" si="189"/>
        <v>0.71437830769811961</v>
      </c>
      <c r="G1531" s="14">
        <f t="shared" si="190"/>
        <v>0</v>
      </c>
      <c r="H1531" s="24">
        <f t="shared" si="196"/>
        <v>845.20097509241521</v>
      </c>
      <c r="I1531" s="12">
        <f t="shared" si="195"/>
        <v>0.2579377278321619</v>
      </c>
      <c r="J1531" s="3"/>
    </row>
    <row r="1532" spans="2:10" x14ac:dyDescent="0.25">
      <c r="B1532" s="3">
        <f t="shared" si="191"/>
        <v>7560</v>
      </c>
      <c r="C1532" s="14">
        <f t="shared" si="192"/>
        <v>126</v>
      </c>
      <c r="D1532" s="11">
        <f t="shared" si="193"/>
        <v>1056.342452351734</v>
      </c>
      <c r="E1532" s="24">
        <f t="shared" si="194"/>
        <v>665.70252895678743</v>
      </c>
      <c r="F1532" s="38">
        <f t="shared" si="189"/>
        <v>0.7138383347414099</v>
      </c>
      <c r="G1532" s="14">
        <f t="shared" si="190"/>
        <v>0</v>
      </c>
      <c r="H1532" s="24">
        <f t="shared" si="196"/>
        <v>845.84031546869232</v>
      </c>
      <c r="I1532" s="12">
        <f t="shared" si="195"/>
        <v>0.25767854739918189</v>
      </c>
      <c r="J1532" s="3"/>
    </row>
    <row r="1533" spans="2:10" x14ac:dyDescent="0.25">
      <c r="B1533" s="3">
        <f t="shared" si="191"/>
        <v>7565</v>
      </c>
      <c r="C1533" s="14">
        <f t="shared" si="192"/>
        <v>126.08333333333333</v>
      </c>
      <c r="D1533" s="11">
        <f t="shared" si="193"/>
        <v>1056.4414164215516</v>
      </c>
      <c r="E1533" s="24">
        <f t="shared" si="194"/>
        <v>665.96020750418666</v>
      </c>
      <c r="F1533" s="38">
        <f t="shared" si="189"/>
        <v>0.71329586665654288</v>
      </c>
      <c r="G1533" s="14">
        <f t="shared" si="190"/>
        <v>0</v>
      </c>
      <c r="H1533" s="24">
        <f t="shared" si="196"/>
        <v>846.48358482925426</v>
      </c>
      <c r="I1533" s="12">
        <f t="shared" si="195"/>
        <v>0.2574188470436034</v>
      </c>
      <c r="J1533" s="3"/>
    </row>
    <row r="1534" spans="2:10" x14ac:dyDescent="0.25">
      <c r="B1534" s="3">
        <f t="shared" si="191"/>
        <v>7570</v>
      </c>
      <c r="C1534" s="14">
        <f t="shared" si="192"/>
        <v>126.16666666666667</v>
      </c>
      <c r="D1534" s="11">
        <f t="shared" si="193"/>
        <v>1056.5403151685459</v>
      </c>
      <c r="E1534" s="24">
        <f t="shared" si="194"/>
        <v>666.21762635123025</v>
      </c>
      <c r="F1534" s="38">
        <f t="shared" si="189"/>
        <v>0.71275088804185871</v>
      </c>
      <c r="G1534" s="14">
        <f t="shared" si="190"/>
        <v>0</v>
      </c>
      <c r="H1534" s="24">
        <f t="shared" si="196"/>
        <v>847.13081720616572</v>
      </c>
      <c r="I1534" s="12">
        <f t="shared" si="195"/>
        <v>0.25715862274507689</v>
      </c>
      <c r="J1534" s="3"/>
    </row>
    <row r="1535" spans="2:10" x14ac:dyDescent="0.25">
      <c r="B1535" s="3">
        <f t="shared" si="191"/>
        <v>7575</v>
      </c>
      <c r="C1535" s="14">
        <f t="shared" si="192"/>
        <v>126.25</v>
      </c>
      <c r="D1535" s="11">
        <f t="shared" si="193"/>
        <v>1056.6391486788953</v>
      </c>
      <c r="E1535" s="24">
        <f t="shared" si="194"/>
        <v>666.47478497397537</v>
      </c>
      <c r="F1535" s="38">
        <f t="shared" si="189"/>
        <v>0.71220338338539813</v>
      </c>
      <c r="G1535" s="14">
        <f t="shared" si="190"/>
        <v>0</v>
      </c>
      <c r="H1535" s="24">
        <f t="shared" si="196"/>
        <v>847.78204700634865</v>
      </c>
      <c r="I1535" s="12">
        <f t="shared" si="195"/>
        <v>0.25689787044957041</v>
      </c>
      <c r="J1535" s="3"/>
    </row>
    <row r="1536" spans="2:10" x14ac:dyDescent="0.25">
      <c r="B1536" s="3">
        <f t="shared" si="191"/>
        <v>7580</v>
      </c>
      <c r="C1536" s="14">
        <f t="shared" si="192"/>
        <v>126.33333333333333</v>
      </c>
      <c r="D1536" s="11">
        <f t="shared" si="193"/>
        <v>1056.7379170386066</v>
      </c>
      <c r="E1536" s="24">
        <f t="shared" si="194"/>
        <v>666.73168284442499</v>
      </c>
      <c r="F1536" s="38">
        <f t="shared" si="189"/>
        <v>0.71165333706412182</v>
      </c>
      <c r="G1536" s="14">
        <f t="shared" si="190"/>
        <v>0</v>
      </c>
      <c r="H1536" s="24">
        <f t="shared" si="196"/>
        <v>848.43730901653419</v>
      </c>
      <c r="I1536" s="12">
        <f t="shared" si="195"/>
        <v>0.2566365860693286</v>
      </c>
      <c r="J1536" s="3"/>
    </row>
    <row r="1537" spans="2:10" x14ac:dyDescent="0.25">
      <c r="B1537" s="3">
        <f t="shared" si="191"/>
        <v>7585</v>
      </c>
      <c r="C1537" s="14">
        <f t="shared" si="192"/>
        <v>126.41666666666667</v>
      </c>
      <c r="D1537" s="11">
        <f t="shared" si="193"/>
        <v>1056.8366203335177</v>
      </c>
      <c r="E1537" s="24">
        <f t="shared" si="194"/>
        <v>666.98831943049436</v>
      </c>
      <c r="F1537" s="38">
        <f t="shared" si="189"/>
        <v>0.71110073334312562</v>
      </c>
      <c r="G1537" s="14">
        <f t="shared" si="190"/>
        <v>0</v>
      </c>
      <c r="H1537" s="24">
        <f t="shared" si="196"/>
        <v>849.0966384082933</v>
      </c>
      <c r="I1537" s="12">
        <f t="shared" si="195"/>
        <v>0.25637476548235927</v>
      </c>
      <c r="J1537" s="3"/>
    </row>
    <row r="1538" spans="2:10" x14ac:dyDescent="0.25">
      <c r="B1538" s="3">
        <f t="shared" si="191"/>
        <v>7590</v>
      </c>
      <c r="C1538" s="14">
        <f t="shared" si="192"/>
        <v>126.5</v>
      </c>
      <c r="D1538" s="11">
        <f t="shared" si="193"/>
        <v>1056.9352586492967</v>
      </c>
      <c r="E1538" s="24">
        <f t="shared" si="194"/>
        <v>667.24469419597676</v>
      </c>
      <c r="F1538" s="38">
        <f t="shared" si="189"/>
        <v>0.71054555637485228</v>
      </c>
      <c r="G1538" s="14">
        <f t="shared" si="190"/>
        <v>0</v>
      </c>
      <c r="H1538" s="24">
        <f t="shared" si="196"/>
        <v>849.76007074314259</v>
      </c>
      <c r="I1538" s="12">
        <f t="shared" si="195"/>
        <v>0.2561124045322703</v>
      </c>
      <c r="J1538" s="3"/>
    </row>
    <row r="1539" spans="2:10" x14ac:dyDescent="0.25">
      <c r="B1539" s="3">
        <f t="shared" si="191"/>
        <v>7595</v>
      </c>
      <c r="C1539" s="14">
        <f t="shared" si="192"/>
        <v>126.58333333333333</v>
      </c>
      <c r="D1539" s="11">
        <f t="shared" si="193"/>
        <v>1057.033832071442</v>
      </c>
      <c r="E1539" s="24">
        <f t="shared" si="194"/>
        <v>667.50080660050901</v>
      </c>
      <c r="F1539" s="38">
        <f t="shared" si="189"/>
        <v>0.70998779019830149</v>
      </c>
      <c r="G1539" s="14">
        <f t="shared" si="190"/>
        <v>0</v>
      </c>
      <c r="H1539" s="24">
        <f t="shared" si="196"/>
        <v>850.42764197772897</v>
      </c>
      <c r="I1539" s="12">
        <f t="shared" si="195"/>
        <v>0.25584949902800258</v>
      </c>
      <c r="J1539" s="3"/>
    </row>
    <row r="1540" spans="2:10" x14ac:dyDescent="0.25">
      <c r="B1540" s="3">
        <f t="shared" si="191"/>
        <v>7600</v>
      </c>
      <c r="C1540" s="14">
        <f t="shared" si="192"/>
        <v>126.66666666666667</v>
      </c>
      <c r="D1540" s="11">
        <f t="shared" si="193"/>
        <v>1057.1323406852839</v>
      </c>
      <c r="E1540" s="24">
        <f t="shared" si="194"/>
        <v>667.75665609953705</v>
      </c>
      <c r="F1540" s="38">
        <f t="shared" si="189"/>
        <v>0.709427418738235</v>
      </c>
      <c r="G1540" s="14">
        <f t="shared" si="190"/>
        <v>0</v>
      </c>
      <c r="H1540" s="24">
        <f t="shared" si="196"/>
        <v>851.09938846909461</v>
      </c>
      <c r="I1540" s="12">
        <f t="shared" si="195"/>
        <v>0.25558604474337754</v>
      </c>
      <c r="J1540" s="3"/>
    </row>
    <row r="1541" spans="2:10" x14ac:dyDescent="0.25">
      <c r="B1541" s="3">
        <f t="shared" si="191"/>
        <v>7605</v>
      </c>
      <c r="C1541" s="14">
        <f t="shared" si="192"/>
        <v>126.75</v>
      </c>
      <c r="D1541" s="11">
        <f t="shared" si="193"/>
        <v>1057.2307845759849</v>
      </c>
      <c r="E1541" s="24">
        <f t="shared" si="194"/>
        <v>668.01224214428044</v>
      </c>
      <c r="F1541" s="38">
        <f t="shared" si="189"/>
        <v>0.70886442580438103</v>
      </c>
      <c r="G1541" s="14">
        <f t="shared" si="190"/>
        <v>0</v>
      </c>
      <c r="H1541" s="24">
        <f t="shared" si="196"/>
        <v>851.77534698002114</v>
      </c>
      <c r="I1541" s="12">
        <f t="shared" si="195"/>
        <v>0.25532203741686083</v>
      </c>
      <c r="J1541" s="3"/>
    </row>
    <row r="1542" spans="2:10" x14ac:dyDescent="0.25">
      <c r="B1542" s="3">
        <f t="shared" si="191"/>
        <v>7610</v>
      </c>
      <c r="C1542" s="14">
        <f t="shared" si="192"/>
        <v>126.83333333333333</v>
      </c>
      <c r="D1542" s="11">
        <f t="shared" si="193"/>
        <v>1057.3291638285389</v>
      </c>
      <c r="E1542" s="24">
        <f t="shared" si="194"/>
        <v>668.26756418169725</v>
      </c>
      <c r="F1542" s="38">
        <f t="shared" si="189"/>
        <v>0.70829879509063465</v>
      </c>
      <c r="G1542" s="14">
        <f t="shared" si="190"/>
        <v>0</v>
      </c>
      <c r="H1542" s="24">
        <f t="shared" si="196"/>
        <v>852.45555468445787</v>
      </c>
      <c r="I1542" s="12">
        <f t="shared" si="195"/>
        <v>0.25505747275138657</v>
      </c>
      <c r="J1542" s="3"/>
    </row>
    <row r="1543" spans="2:10" x14ac:dyDescent="0.25">
      <c r="B1543" s="3">
        <f t="shared" si="191"/>
        <v>7615</v>
      </c>
      <c r="C1543" s="14">
        <f t="shared" si="192"/>
        <v>126.91666666666667</v>
      </c>
      <c r="D1543" s="11">
        <f t="shared" si="193"/>
        <v>1057.4274785277728</v>
      </c>
      <c r="E1543" s="24">
        <f t="shared" si="194"/>
        <v>668.52262165444859</v>
      </c>
      <c r="F1543" s="38">
        <f t="shared" si="189"/>
        <v>0.70773051017425459</v>
      </c>
      <c r="G1543" s="14">
        <f t="shared" si="190"/>
        <v>0</v>
      </c>
      <c r="H1543" s="24">
        <f t="shared" si="196"/>
        <v>853.1400491730343</v>
      </c>
      <c r="I1543" s="12">
        <f t="shared" si="195"/>
        <v>0.25479234641383286</v>
      </c>
      <c r="J1543" s="3"/>
    </row>
    <row r="1544" spans="2:10" x14ac:dyDescent="0.25">
      <c r="B1544" s="3">
        <f t="shared" si="191"/>
        <v>7620</v>
      </c>
      <c r="C1544" s="14">
        <f t="shared" si="192"/>
        <v>127</v>
      </c>
      <c r="D1544" s="11">
        <f t="shared" si="193"/>
        <v>1057.5257287583468</v>
      </c>
      <c r="E1544" s="24">
        <f t="shared" si="194"/>
        <v>668.77741400086245</v>
      </c>
      <c r="F1544" s="38">
        <f t="shared" si="189"/>
        <v>0.70715955451505919</v>
      </c>
      <c r="G1544" s="14">
        <f t="shared" si="190"/>
        <v>0</v>
      </c>
      <c r="H1544" s="24">
        <f t="shared" si="196"/>
        <v>853.82886845865585</v>
      </c>
      <c r="I1544" s="12">
        <f t="shared" si="195"/>
        <v>0.25452665403484281</v>
      </c>
      <c r="J1544" s="3"/>
    </row>
    <row r="1545" spans="2:10" x14ac:dyDescent="0.25">
      <c r="B1545" s="3">
        <f t="shared" si="191"/>
        <v>7625</v>
      </c>
      <c r="C1545" s="14">
        <f t="shared" si="192"/>
        <v>127.08333333333333</v>
      </c>
      <c r="D1545" s="11">
        <f t="shared" si="193"/>
        <v>1057.6239146047546</v>
      </c>
      <c r="E1545" s="24">
        <f t="shared" si="194"/>
        <v>669.03194065489731</v>
      </c>
      <c r="F1545" s="38">
        <f t="shared" si="189"/>
        <v>0.7065859114546198</v>
      </c>
      <c r="G1545" s="14">
        <f t="shared" si="190"/>
        <v>0</v>
      </c>
      <c r="H1545" s="24">
        <f t="shared" si="196"/>
        <v>854.52205098218769</v>
      </c>
      <c r="I1545" s="12">
        <f t="shared" si="195"/>
        <v>0.2542603912084615</v>
      </c>
      <c r="J1545" s="3"/>
    </row>
    <row r="1546" spans="2:10" x14ac:dyDescent="0.25">
      <c r="B1546" s="3">
        <f t="shared" si="191"/>
        <v>7630</v>
      </c>
      <c r="C1546" s="14">
        <f t="shared" si="192"/>
        <v>127.16666666666667</v>
      </c>
      <c r="D1546" s="11">
        <f t="shared" si="193"/>
        <v>1057.7220361513241</v>
      </c>
      <c r="E1546" s="24">
        <f t="shared" si="194"/>
        <v>669.28620104610582</v>
      </c>
      <c r="F1546" s="38">
        <f t="shared" si="189"/>
        <v>0.70600956421544925</v>
      </c>
      <c r="G1546" s="14">
        <f t="shared" si="190"/>
        <v>0</v>
      </c>
      <c r="H1546" s="24">
        <f t="shared" si="196"/>
        <v>855.21963561822747</v>
      </c>
      <c r="I1546" s="12">
        <f t="shared" si="195"/>
        <v>0.25399355349186836</v>
      </c>
      <c r="J1546" s="3"/>
    </row>
    <row r="1547" spans="2:10" x14ac:dyDescent="0.25">
      <c r="B1547" s="3">
        <f t="shared" si="191"/>
        <v>7635</v>
      </c>
      <c r="C1547" s="14">
        <f t="shared" si="192"/>
        <v>127.25</v>
      </c>
      <c r="D1547" s="11">
        <f t="shared" si="193"/>
        <v>1057.8200934822169</v>
      </c>
      <c r="E1547" s="24">
        <f t="shared" si="194"/>
        <v>669.54019459959773</v>
      </c>
      <c r="F1547" s="38">
        <f t="shared" si="189"/>
        <v>0.70543049590019147</v>
      </c>
      <c r="G1547" s="14">
        <f t="shared" si="190"/>
        <v>0</v>
      </c>
      <c r="H1547" s="24">
        <f t="shared" si="196"/>
        <v>855.92166168096651</v>
      </c>
      <c r="I1547" s="12">
        <f t="shared" si="195"/>
        <v>0.2537261364050421</v>
      </c>
      <c r="J1547" s="3"/>
    </row>
    <row r="1548" spans="2:10" x14ac:dyDescent="0.25">
      <c r="B1548" s="3">
        <f t="shared" si="191"/>
        <v>7640</v>
      </c>
      <c r="C1548" s="14">
        <f t="shared" si="192"/>
        <v>127.33333333333333</v>
      </c>
      <c r="D1548" s="11">
        <f t="shared" si="193"/>
        <v>1057.9180866814304</v>
      </c>
      <c r="E1548" s="24">
        <f t="shared" si="194"/>
        <v>669.79392073600275</v>
      </c>
      <c r="F1548" s="38">
        <f t="shared" si="189"/>
        <v>0.70484868949080604</v>
      </c>
      <c r="G1548" s="14">
        <f t="shared" si="190"/>
        <v>0</v>
      </c>
      <c r="H1548" s="24">
        <f t="shared" si="196"/>
        <v>856.62816893014315</v>
      </c>
      <c r="I1548" s="12">
        <f t="shared" si="195"/>
        <v>0.25345813543032403</v>
      </c>
      <c r="J1548" s="3"/>
    </row>
    <row r="1549" spans="2:10" x14ac:dyDescent="0.25">
      <c r="B1549" s="3">
        <f t="shared" si="191"/>
        <v>7645</v>
      </c>
      <c r="C1549" s="14">
        <f t="shared" si="192"/>
        <v>127.41666666666667</v>
      </c>
      <c r="D1549" s="11">
        <f t="shared" si="193"/>
        <v>1058.0160158327967</v>
      </c>
      <c r="E1549" s="24">
        <f t="shared" si="194"/>
        <v>670.04737887143312</v>
      </c>
      <c r="F1549" s="38">
        <f t="shared" si="189"/>
        <v>0.70426412784775105</v>
      </c>
      <c r="G1549" s="14">
        <f t="shared" si="190"/>
        <v>0</v>
      </c>
      <c r="H1549" s="24">
        <f t="shared" si="196"/>
        <v>857.33919757709009</v>
      </c>
      <c r="I1549" s="12">
        <f t="shared" si="195"/>
        <v>0.25318954601232591</v>
      </c>
      <c r="J1549" s="3"/>
    </row>
    <row r="1550" spans="2:10" x14ac:dyDescent="0.25">
      <c r="B1550" s="3">
        <f t="shared" si="191"/>
        <v>7650</v>
      </c>
      <c r="C1550" s="14">
        <f t="shared" si="192"/>
        <v>127.5</v>
      </c>
      <c r="D1550" s="11">
        <f t="shared" si="193"/>
        <v>1058.1138810199839</v>
      </c>
      <c r="E1550" s="24">
        <f t="shared" si="194"/>
        <v>670.30056841744545</v>
      </c>
      <c r="F1550" s="38">
        <f t="shared" si="189"/>
        <v>0.70367679370916714</v>
      </c>
      <c r="G1550" s="14">
        <f t="shared" si="190"/>
        <v>0</v>
      </c>
      <c r="H1550" s="24">
        <f t="shared" si="196"/>
        <v>858.0547882908736</v>
      </c>
      <c r="I1550" s="12">
        <f t="shared" si="195"/>
        <v>0.25292036355738923</v>
      </c>
      <c r="J1550" s="3"/>
    </row>
    <row r="1551" spans="2:10" x14ac:dyDescent="0.25">
      <c r="B1551" s="3">
        <f t="shared" si="191"/>
        <v>7655</v>
      </c>
      <c r="C1551" s="14">
        <f t="shared" si="192"/>
        <v>127.58333333333333</v>
      </c>
      <c r="D1551" s="11">
        <f t="shared" si="193"/>
        <v>1058.211682326496</v>
      </c>
      <c r="E1551" s="24">
        <f t="shared" si="194"/>
        <v>670.55348878100278</v>
      </c>
      <c r="F1551" s="38">
        <f t="shared" si="189"/>
        <v>0.70308666969005384</v>
      </c>
      <c r="G1551" s="14">
        <f t="shared" si="190"/>
        <v>0</v>
      </c>
      <c r="H1551" s="24">
        <f t="shared" si="196"/>
        <v>858.77498220453265</v>
      </c>
      <c r="I1551" s="12">
        <f t="shared" si="195"/>
        <v>0.25265058343337282</v>
      </c>
      <c r="J1551" s="3"/>
    </row>
    <row r="1552" spans="2:10" x14ac:dyDescent="0.25">
      <c r="B1552" s="3">
        <f t="shared" si="191"/>
        <v>7660</v>
      </c>
      <c r="C1552" s="14">
        <f t="shared" si="192"/>
        <v>127.66666666666667</v>
      </c>
      <c r="D1552" s="11">
        <f t="shared" si="193"/>
        <v>1058.3094198356739</v>
      </c>
      <c r="E1552" s="24">
        <f t="shared" si="194"/>
        <v>670.80613936443615</v>
      </c>
      <c r="F1552" s="38">
        <f t="shared" si="189"/>
        <v>0.70249373828144968</v>
      </c>
      <c r="G1552" s="14">
        <f t="shared" si="190"/>
        <v>0</v>
      </c>
      <c r="H1552" s="24">
        <f t="shared" si="196"/>
        <v>859.49982092141317</v>
      </c>
      <c r="I1552" s="12">
        <f t="shared" si="195"/>
        <v>0.25238020096927233</v>
      </c>
      <c r="J1552" s="3"/>
    </row>
    <row r="1553" spans="2:10" x14ac:dyDescent="0.25">
      <c r="B1553" s="3">
        <f t="shared" si="191"/>
        <v>7665</v>
      </c>
      <c r="C1553" s="14">
        <f t="shared" si="192"/>
        <v>127.75</v>
      </c>
      <c r="D1553" s="11">
        <f t="shared" si="193"/>
        <v>1058.407093630695</v>
      </c>
      <c r="E1553" s="24">
        <f t="shared" si="194"/>
        <v>671.05851956540539</v>
      </c>
      <c r="F1553" s="38">
        <f t="shared" si="189"/>
        <v>0.70189798184960772</v>
      </c>
      <c r="G1553" s="14">
        <f t="shared" si="190"/>
        <v>0</v>
      </c>
      <c r="H1553" s="24">
        <f t="shared" si="196"/>
        <v>860.22934652160325</v>
      </c>
      <c r="I1553" s="12">
        <f t="shared" si="195"/>
        <v>0.25210921145495369</v>
      </c>
      <c r="J1553" s="3"/>
    </row>
    <row r="1554" spans="2:10" x14ac:dyDescent="0.25">
      <c r="B1554" s="3">
        <f t="shared" si="191"/>
        <v>7670</v>
      </c>
      <c r="C1554" s="14">
        <f t="shared" si="192"/>
        <v>127.83333333333333</v>
      </c>
      <c r="D1554" s="11">
        <f t="shared" si="193"/>
        <v>1058.5047037945751</v>
      </c>
      <c r="E1554" s="24">
        <f t="shared" si="194"/>
        <v>671.31062877686031</v>
      </c>
      <c r="F1554" s="38">
        <f t="shared" si="189"/>
        <v>0.70129938263516955</v>
      </c>
      <c r="G1554" s="14">
        <f t="shared" si="190"/>
        <v>0</v>
      </c>
      <c r="H1554" s="24">
        <f t="shared" si="196"/>
        <v>860.96360156847004</v>
      </c>
      <c r="I1554" s="12">
        <f t="shared" si="195"/>
        <v>0.25183761014066908</v>
      </c>
      <c r="J1554" s="3"/>
    </row>
    <row r="1555" spans="2:10" x14ac:dyDescent="0.25">
      <c r="B1555" s="3">
        <f t="shared" si="191"/>
        <v>7675</v>
      </c>
      <c r="C1555" s="14">
        <f t="shared" si="192"/>
        <v>127.91666666666667</v>
      </c>
      <c r="D1555" s="11">
        <f t="shared" si="193"/>
        <v>1058.6022504101668</v>
      </c>
      <c r="E1555" s="24">
        <f t="shared" si="194"/>
        <v>671.562466387001</v>
      </c>
      <c r="F1555" s="38">
        <f t="shared" si="189"/>
        <v>0.70069792275233955</v>
      </c>
      <c r="G1555" s="14">
        <f t="shared" si="190"/>
        <v>0</v>
      </c>
      <c r="H1555" s="24">
        <f t="shared" si="196"/>
        <v>861.70262911529971</v>
      </c>
      <c r="I1555" s="12">
        <f t="shared" si="195"/>
        <v>0.25156539223695068</v>
      </c>
      <c r="J1555" s="3"/>
    </row>
    <row r="1556" spans="2:10" x14ac:dyDescent="0.25">
      <c r="B1556" s="3">
        <f t="shared" si="191"/>
        <v>7680</v>
      </c>
      <c r="C1556" s="14">
        <f t="shared" si="192"/>
        <v>128</v>
      </c>
      <c r="D1556" s="11">
        <f t="shared" si="193"/>
        <v>1058.6997335601616</v>
      </c>
      <c r="E1556" s="24">
        <f t="shared" si="194"/>
        <v>671.81403177923789</v>
      </c>
      <c r="F1556" s="38">
        <f t="shared" ref="F1556:F1619" si="197">Cp*RhoP/(RhoA*H1556)*dp/1000*MassivP</f>
        <v>0.70009358418805656</v>
      </c>
      <c r="G1556" s="14">
        <f t="shared" ref="G1556:G1619" si="198">Phi*EpsilonF*Botzman/10^8*J1556*((D1556+273)^4-(E1556+273)^4)</f>
        <v>0</v>
      </c>
      <c r="H1556" s="24">
        <f t="shared" si="196"/>
        <v>862.44647271204167</v>
      </c>
      <c r="I1556" s="12">
        <f t="shared" si="195"/>
        <v>0.25129255291403929</v>
      </c>
      <c r="J1556" s="3"/>
    </row>
    <row r="1557" spans="2:10" x14ac:dyDescent="0.25">
      <c r="B1557" s="3">
        <f t="shared" ref="B1557:B1620" si="199">B1556+DeltaT</f>
        <v>7685</v>
      </c>
      <c r="C1557" s="14">
        <f t="shared" ref="C1557:C1620" si="200">B1557/60</f>
        <v>128.08333333333334</v>
      </c>
      <c r="D1557" s="11">
        <f t="shared" ref="D1557:D1620" si="201">20+345*LOG(8*C1557+1,10)</f>
        <v>1058.7971533270895</v>
      </c>
      <c r="E1557" s="24">
        <f t="shared" ref="E1557:E1620" si="202">E1556+IF(Limit=Oui,MAX(0,I1556),I1556)</f>
        <v>672.06532433215193</v>
      </c>
      <c r="F1557" s="38">
        <f t="shared" si="197"/>
        <v>0.69948634880116412</v>
      </c>
      <c r="G1557" s="14">
        <f t="shared" si="198"/>
        <v>0</v>
      </c>
      <c r="H1557" s="24">
        <f t="shared" si="196"/>
        <v>863.19517641216225</v>
      </c>
      <c r="I1557" s="12">
        <f t="shared" ref="I1557:I1620" si="203">LambdaP*MassivP/(dp/1000)/(H1557*RhoA)/(1+F1557/3)*(D1557-E1557)*DeltaT-(EXP(F1557/10)-1)*(D1557-D1556)</f>
        <v>0.25101908730169026</v>
      </c>
      <c r="J1557" s="3"/>
    </row>
    <row r="1558" spans="2:10" x14ac:dyDescent="0.25">
      <c r="B1558" s="3">
        <f t="shared" si="199"/>
        <v>7690</v>
      </c>
      <c r="C1558" s="14">
        <f t="shared" si="200"/>
        <v>128.16666666666666</v>
      </c>
      <c r="D1558" s="11">
        <f t="shared" si="201"/>
        <v>1058.8945097933197</v>
      </c>
      <c r="E1558" s="24">
        <f t="shared" si="202"/>
        <v>672.31634341945357</v>
      </c>
      <c r="F1558" s="38">
        <f t="shared" si="197"/>
        <v>0.69887619832158199</v>
      </c>
      <c r="G1558" s="14">
        <f t="shared" si="198"/>
        <v>0</v>
      </c>
      <c r="H1558" s="24">
        <f t="shared" si="196"/>
        <v>863.9487847796039</v>
      </c>
      <c r="I1558" s="12">
        <f t="shared" si="203"/>
        <v>0.25074499048878024</v>
      </c>
      <c r="J1558" s="3"/>
    </row>
    <row r="1559" spans="2:10" x14ac:dyDescent="0.25">
      <c r="B1559" s="3">
        <f t="shared" si="199"/>
        <v>7695</v>
      </c>
      <c r="C1559" s="14">
        <f t="shared" si="200"/>
        <v>128.25</v>
      </c>
      <c r="D1559" s="11">
        <f t="shared" si="201"/>
        <v>1058.9918030410608</v>
      </c>
      <c r="E1559" s="24">
        <f t="shared" si="202"/>
        <v>672.56708840994236</v>
      </c>
      <c r="F1559" s="38">
        <f t="shared" si="197"/>
        <v>0.69826311434947319</v>
      </c>
      <c r="G1559" s="14">
        <f t="shared" si="198"/>
        <v>0</v>
      </c>
      <c r="H1559" s="24">
        <f t="shared" si="196"/>
        <v>864.7073428958588</v>
      </c>
      <c r="I1559" s="12">
        <f t="shared" si="203"/>
        <v>0.250470257522943</v>
      </c>
      <c r="J1559" s="3"/>
    </row>
    <row r="1560" spans="2:10" x14ac:dyDescent="0.25">
      <c r="B1560" s="3">
        <f t="shared" si="199"/>
        <v>7700</v>
      </c>
      <c r="C1560" s="14">
        <f t="shared" si="200"/>
        <v>128.33333333333334</v>
      </c>
      <c r="D1560" s="11">
        <f t="shared" si="201"/>
        <v>1059.0890331523617</v>
      </c>
      <c r="E1560" s="24">
        <f t="shared" si="202"/>
        <v>672.81755866746528</v>
      </c>
      <c r="F1560" s="38">
        <f t="shared" si="197"/>
        <v>0.69764707835441486</v>
      </c>
      <c r="G1560" s="14">
        <f t="shared" si="198"/>
        <v>0</v>
      </c>
      <c r="H1560" s="24">
        <f t="shared" si="196"/>
        <v>865.47089636715202</v>
      </c>
      <c r="I1560" s="12">
        <f t="shared" si="203"/>
        <v>0.25019488341025342</v>
      </c>
      <c r="J1560" s="3"/>
    </row>
    <row r="1561" spans="2:10" x14ac:dyDescent="0.25">
      <c r="B1561" s="3">
        <f t="shared" si="199"/>
        <v>7705</v>
      </c>
      <c r="C1561" s="14">
        <f t="shared" si="200"/>
        <v>128.41666666666666</v>
      </c>
      <c r="D1561" s="11">
        <f t="shared" si="201"/>
        <v>1059.1862002091111</v>
      </c>
      <c r="E1561" s="24">
        <f t="shared" si="202"/>
        <v>673.06775355087552</v>
      </c>
      <c r="F1561" s="38">
        <f t="shared" si="197"/>
        <v>0.69702807167456493</v>
      </c>
      <c r="G1561" s="14">
        <f t="shared" si="198"/>
        <v>0</v>
      </c>
      <c r="H1561" s="24">
        <f t="shared" si="196"/>
        <v>866.2394913317421</v>
      </c>
      <c r="I1561" s="12">
        <f t="shared" si="203"/>
        <v>0.24991886311487568</v>
      </c>
      <c r="J1561" s="3"/>
    </row>
    <row r="1562" spans="2:10" x14ac:dyDescent="0.25">
      <c r="B1562" s="3">
        <f t="shared" si="199"/>
        <v>7710</v>
      </c>
      <c r="C1562" s="14">
        <f t="shared" si="200"/>
        <v>128.5</v>
      </c>
      <c r="D1562" s="11">
        <f t="shared" si="201"/>
        <v>1059.2833042930392</v>
      </c>
      <c r="E1562" s="24">
        <f t="shared" si="202"/>
        <v>673.31767241399041</v>
      </c>
      <c r="F1562" s="38">
        <f t="shared" si="197"/>
        <v>0.69640607551583011</v>
      </c>
      <c r="G1562" s="14">
        <f t="shared" si="198"/>
        <v>0</v>
      </c>
      <c r="H1562" s="24">
        <f t="shared" si="196"/>
        <v>867.01317446733719</v>
      </c>
      <c r="I1562" s="12">
        <f t="shared" si="203"/>
        <v>0.24964219155864423</v>
      </c>
      <c r="J1562" s="3"/>
    </row>
    <row r="1563" spans="2:10" x14ac:dyDescent="0.25">
      <c r="B1563" s="3">
        <f t="shared" si="199"/>
        <v>7715</v>
      </c>
      <c r="C1563" s="14">
        <f t="shared" si="200"/>
        <v>128.58333333333334</v>
      </c>
      <c r="D1563" s="11">
        <f t="shared" si="201"/>
        <v>1059.3803454857168</v>
      </c>
      <c r="E1563" s="24">
        <f t="shared" si="202"/>
        <v>673.56731460554909</v>
      </c>
      <c r="F1563" s="38">
        <f t="shared" si="197"/>
        <v>0.69578107095103492</v>
      </c>
      <c r="G1563" s="14">
        <f t="shared" si="198"/>
        <v>0</v>
      </c>
      <c r="H1563" s="24">
        <f t="shared" si="196"/>
        <v>867.79199299863046</v>
      </c>
      <c r="I1563" s="12">
        <f t="shared" si="203"/>
        <v>0.24936486362083848</v>
      </c>
      <c r="J1563" s="3"/>
    </row>
    <row r="1564" spans="2:10" x14ac:dyDescent="0.25">
      <c r="B1564" s="3">
        <f t="shared" si="199"/>
        <v>7720</v>
      </c>
      <c r="C1564" s="14">
        <f t="shared" si="200"/>
        <v>128.66666666666666</v>
      </c>
      <c r="D1564" s="11">
        <f t="shared" si="201"/>
        <v>1059.4773238685566</v>
      </c>
      <c r="E1564" s="24">
        <f t="shared" si="202"/>
        <v>673.81667946916991</v>
      </c>
      <c r="F1564" s="38">
        <f t="shared" si="197"/>
        <v>0.69515303891908742</v>
      </c>
      <c r="G1564" s="14">
        <f t="shared" si="198"/>
        <v>0</v>
      </c>
      <c r="H1564" s="24">
        <f t="shared" si="196"/>
        <v>868.57599470495711</v>
      </c>
      <c r="I1564" s="12">
        <f t="shared" si="203"/>
        <v>0.24908687413767711</v>
      </c>
      <c r="J1564" s="3"/>
    </row>
    <row r="1565" spans="2:10" x14ac:dyDescent="0.25">
      <c r="B1565" s="3">
        <f t="shared" si="199"/>
        <v>7725</v>
      </c>
      <c r="C1565" s="14">
        <f t="shared" si="200"/>
        <v>128.75</v>
      </c>
      <c r="D1565" s="11">
        <f t="shared" si="201"/>
        <v>1059.5742395228131</v>
      </c>
      <c r="E1565" s="24">
        <f t="shared" si="202"/>
        <v>674.06576634330759</v>
      </c>
      <c r="F1565" s="38">
        <f t="shared" si="197"/>
        <v>0.69452196022414903</v>
      </c>
      <c r="G1565" s="14">
        <f t="shared" si="198"/>
        <v>0</v>
      </c>
      <c r="H1565" s="24">
        <f t="shared" si="196"/>
        <v>869.36522792807409</v>
      </c>
      <c r="I1565" s="12">
        <f t="shared" si="203"/>
        <v>0.24880821790207192</v>
      </c>
      <c r="J1565" s="3"/>
    </row>
    <row r="1566" spans="2:10" x14ac:dyDescent="0.25">
      <c r="B1566" s="3">
        <f t="shared" si="199"/>
        <v>7730</v>
      </c>
      <c r="C1566" s="14">
        <f t="shared" si="200"/>
        <v>128.83333333333334</v>
      </c>
      <c r="D1566" s="11">
        <f t="shared" si="201"/>
        <v>1059.6710925295833</v>
      </c>
      <c r="E1566" s="24">
        <f t="shared" si="202"/>
        <v>674.31457456120961</v>
      </c>
      <c r="F1566" s="38">
        <f t="shared" si="197"/>
        <v>0.69388781553480239</v>
      </c>
      <c r="G1566" s="14">
        <f t="shared" si="198"/>
        <v>0</v>
      </c>
      <c r="H1566" s="24">
        <f t="shared" si="196"/>
        <v>870.15974158006588</v>
      </c>
      <c r="I1566" s="12">
        <f t="shared" si="203"/>
        <v>0.24852888966318373</v>
      </c>
      <c r="J1566" s="3"/>
    </row>
    <row r="1567" spans="2:10" x14ac:dyDescent="0.25">
      <c r="B1567" s="3">
        <f t="shared" si="199"/>
        <v>7735</v>
      </c>
      <c r="C1567" s="14">
        <f t="shared" si="200"/>
        <v>128.91666666666666</v>
      </c>
      <c r="D1567" s="11">
        <f t="shared" si="201"/>
        <v>1059.7678829698077</v>
      </c>
      <c r="E1567" s="24">
        <f t="shared" si="202"/>
        <v>674.56310345087275</v>
      </c>
      <c r="F1567" s="38">
        <f t="shared" si="197"/>
        <v>0.69325058538322104</v>
      </c>
      <c r="G1567" s="14">
        <f t="shared" si="198"/>
        <v>0</v>
      </c>
      <c r="H1567" s="24">
        <f t="shared" si="196"/>
        <v>870.95958515137795</v>
      </c>
      <c r="I1567" s="12">
        <f t="shared" si="203"/>
        <v>0.24824888412608984</v>
      </c>
      <c r="J1567" s="3"/>
    </row>
    <row r="1568" spans="2:10" x14ac:dyDescent="0.25">
      <c r="B1568" s="3">
        <f t="shared" si="199"/>
        <v>7740</v>
      </c>
      <c r="C1568" s="14">
        <f t="shared" si="200"/>
        <v>129</v>
      </c>
      <c r="D1568" s="11">
        <f t="shared" si="201"/>
        <v>1059.8646109242691</v>
      </c>
      <c r="E1568" s="24">
        <f t="shared" si="202"/>
        <v>674.81135233499879</v>
      </c>
      <c r="F1568" s="38">
        <f t="shared" si="197"/>
        <v>0.69261025016433941</v>
      </c>
      <c r="G1568" s="14">
        <f t="shared" si="198"/>
        <v>0</v>
      </c>
      <c r="H1568" s="24">
        <f t="shared" si="196"/>
        <v>871.76480871898002</v>
      </c>
      <c r="I1568" s="12">
        <f t="shared" si="203"/>
        <v>0.24796819595148187</v>
      </c>
      <c r="J1568" s="3"/>
    </row>
    <row r="1569" spans="2:10" x14ac:dyDescent="0.25">
      <c r="B1569" s="3">
        <f t="shared" si="199"/>
        <v>7745</v>
      </c>
      <c r="C1569" s="14">
        <f t="shared" si="200"/>
        <v>129.08333333333334</v>
      </c>
      <c r="D1569" s="11">
        <f t="shared" si="201"/>
        <v>1059.9612764735939</v>
      </c>
      <c r="E1569" s="24">
        <f t="shared" si="202"/>
        <v>675.05932053095023</v>
      </c>
      <c r="F1569" s="38">
        <f t="shared" si="197"/>
        <v>0.69196679013502349</v>
      </c>
      <c r="G1569" s="14">
        <f t="shared" si="198"/>
        <v>0</v>
      </c>
      <c r="H1569" s="24">
        <f t="shared" si="196"/>
        <v>872.57546295466284</v>
      </c>
      <c r="I1569" s="12">
        <f t="shared" si="203"/>
        <v>0.24768681975519863</v>
      </c>
      <c r="J1569" s="3"/>
    </row>
    <row r="1570" spans="2:10" x14ac:dyDescent="0.25">
      <c r="B1570" s="3">
        <f t="shared" si="199"/>
        <v>7750</v>
      </c>
      <c r="C1570" s="14">
        <f t="shared" si="200"/>
        <v>129.16666666666666</v>
      </c>
      <c r="D1570" s="11">
        <f t="shared" si="201"/>
        <v>1060.0578796982534</v>
      </c>
      <c r="E1570" s="24">
        <f t="shared" si="202"/>
        <v>675.30700735070548</v>
      </c>
      <c r="F1570" s="38">
        <f t="shared" si="197"/>
        <v>0.69132018541324491</v>
      </c>
      <c r="G1570" s="14">
        <f t="shared" si="198"/>
        <v>0</v>
      </c>
      <c r="H1570" s="24">
        <f t="shared" si="196"/>
        <v>873.39159913346884</v>
      </c>
      <c r="I1570" s="12">
        <f t="shared" si="203"/>
        <v>0.24740475010783891</v>
      </c>
      <c r="J1570" s="3"/>
    </row>
    <row r="1571" spans="2:10" x14ac:dyDescent="0.25">
      <c r="B1571" s="3">
        <f t="shared" si="199"/>
        <v>7755</v>
      </c>
      <c r="C1571" s="14">
        <f t="shared" si="200"/>
        <v>129.25</v>
      </c>
      <c r="D1571" s="11">
        <f t="shared" si="201"/>
        <v>1060.1544206785629</v>
      </c>
      <c r="E1571" s="24">
        <f t="shared" si="202"/>
        <v>675.55441210081335</v>
      </c>
      <c r="F1571" s="38">
        <f t="shared" si="197"/>
        <v>0.69067041597725432</v>
      </c>
      <c r="G1571" s="14">
        <f t="shared" si="198"/>
        <v>0</v>
      </c>
      <c r="H1571" s="24">
        <f t="shared" si="196"/>
        <v>874.21326914225995</v>
      </c>
      <c r="I1571" s="12">
        <f t="shared" si="203"/>
        <v>0.24712198153450174</v>
      </c>
      <c r="J1571" s="3"/>
    </row>
    <row r="1572" spans="2:10" x14ac:dyDescent="0.25">
      <c r="B1572" s="3">
        <f t="shared" si="199"/>
        <v>7760</v>
      </c>
      <c r="C1572" s="14">
        <f t="shared" si="200"/>
        <v>129.33333333333334</v>
      </c>
      <c r="D1572" s="11">
        <f t="shared" si="201"/>
        <v>1060.2508994946827</v>
      </c>
      <c r="E1572" s="24">
        <f t="shared" si="202"/>
        <v>675.80153408234787</v>
      </c>
      <c r="F1572" s="38">
        <f t="shared" si="197"/>
        <v>0.69001746166475797</v>
      </c>
      <c r="G1572" s="14">
        <f t="shared" si="198"/>
        <v>0</v>
      </c>
      <c r="H1572" s="24">
        <f t="shared" si="196"/>
        <v>875.04052548842674</v>
      </c>
      <c r="I1572" s="12">
        <f t="shared" si="203"/>
        <v>0.24683850851434549</v>
      </c>
      <c r="J1572" s="3"/>
    </row>
    <row r="1573" spans="2:10" x14ac:dyDescent="0.25">
      <c r="B1573" s="3">
        <f t="shared" si="199"/>
        <v>7765</v>
      </c>
      <c r="C1573" s="14">
        <f t="shared" si="200"/>
        <v>129.41666666666666</v>
      </c>
      <c r="D1573" s="11">
        <f t="shared" si="201"/>
        <v>1060.3473162266175</v>
      </c>
      <c r="E1573" s="24">
        <f t="shared" si="202"/>
        <v>676.04837259086219</v>
      </c>
      <c r="F1573" s="38">
        <f t="shared" si="197"/>
        <v>0.6893613021720949</v>
      </c>
      <c r="G1573" s="14">
        <f t="shared" si="198"/>
        <v>0</v>
      </c>
      <c r="H1573" s="24">
        <f t="shared" si="196"/>
        <v>875.8734213087389</v>
      </c>
      <c r="I1573" s="12">
        <f t="shared" si="203"/>
        <v>0.24655432548024211</v>
      </c>
      <c r="J1573" s="3"/>
    </row>
    <row r="1574" spans="2:10" x14ac:dyDescent="0.25">
      <c r="B1574" s="3">
        <f t="shared" si="199"/>
        <v>7770</v>
      </c>
      <c r="C1574" s="14">
        <f t="shared" si="200"/>
        <v>129.5</v>
      </c>
      <c r="D1574" s="11">
        <f t="shared" si="201"/>
        <v>1060.443670954219</v>
      </c>
      <c r="E1574" s="24">
        <f t="shared" si="202"/>
        <v>676.29492691634243</v>
      </c>
      <c r="F1574" s="38">
        <f t="shared" si="197"/>
        <v>0.68870191705341799</v>
      </c>
      <c r="G1574" s="14">
        <f t="shared" si="198"/>
        <v>0</v>
      </c>
      <c r="H1574" s="24">
        <f t="shared" si="196"/>
        <v>876.71201037834192</v>
      </c>
      <c r="I1574" s="12">
        <f t="shared" si="203"/>
        <v>0.24626942681825248</v>
      </c>
      <c r="J1574" s="3"/>
    </row>
    <row r="1575" spans="2:10" x14ac:dyDescent="0.25">
      <c r="B1575" s="3">
        <f t="shared" si="199"/>
        <v>7775</v>
      </c>
      <c r="C1575" s="14">
        <f t="shared" si="200"/>
        <v>129.58333333333334</v>
      </c>
      <c r="D1575" s="11">
        <f t="shared" si="201"/>
        <v>1060.5399637571841</v>
      </c>
      <c r="E1575" s="24">
        <f t="shared" si="202"/>
        <v>676.54119634316066</v>
      </c>
      <c r="F1575" s="38">
        <f t="shared" si="197"/>
        <v>0.68803928571987771</v>
      </c>
      <c r="G1575" s="14">
        <f t="shared" si="198"/>
        <v>0</v>
      </c>
      <c r="H1575" s="24">
        <f t="shared" si="196"/>
        <v>877.55634711989865</v>
      </c>
      <c r="I1575" s="12">
        <f t="shared" si="203"/>
        <v>0.24598380686748761</v>
      </c>
      <c r="J1575" s="3"/>
    </row>
    <row r="1576" spans="2:10" x14ac:dyDescent="0.25">
      <c r="B1576" s="3">
        <f t="shared" si="199"/>
        <v>7780</v>
      </c>
      <c r="C1576" s="14">
        <f t="shared" si="200"/>
        <v>129.66666666666666</v>
      </c>
      <c r="D1576" s="11">
        <f t="shared" si="201"/>
        <v>1060.6361947150563</v>
      </c>
      <c r="E1576" s="24">
        <f t="shared" si="202"/>
        <v>676.78718015002812</v>
      </c>
      <c r="F1576" s="38">
        <f t="shared" si="197"/>
        <v>0.68737338743880727</v>
      </c>
      <c r="G1576" s="14">
        <f t="shared" si="198"/>
        <v>0</v>
      </c>
      <c r="H1576" s="24">
        <f t="shared" si="196"/>
        <v>878.40648661288515</v>
      </c>
      <c r="I1576" s="12">
        <f t="shared" si="203"/>
        <v>0.24569745991954625</v>
      </c>
      <c r="J1576" s="3"/>
    </row>
    <row r="1577" spans="2:10" x14ac:dyDescent="0.25">
      <c r="B1577" s="3">
        <f t="shared" si="199"/>
        <v>7785</v>
      </c>
      <c r="C1577" s="14">
        <f t="shared" si="200"/>
        <v>129.75</v>
      </c>
      <c r="D1577" s="11">
        <f t="shared" si="201"/>
        <v>1060.732363907226</v>
      </c>
      <c r="E1577" s="24">
        <f t="shared" si="202"/>
        <v>677.03287760994772</v>
      </c>
      <c r="F1577" s="38">
        <f t="shared" si="197"/>
        <v>0.68670420133291166</v>
      </c>
      <c r="G1577" s="14">
        <f t="shared" si="198"/>
        <v>0</v>
      </c>
      <c r="H1577" s="24">
        <f t="shared" si="196"/>
        <v>879.26248460303702</v>
      </c>
      <c r="I1577" s="12">
        <f t="shared" si="203"/>
        <v>0.24541038021817871</v>
      </c>
      <c r="J1577" s="3"/>
    </row>
    <row r="1578" spans="2:10" x14ac:dyDescent="0.25">
      <c r="B1578" s="3">
        <f t="shared" si="199"/>
        <v>7790</v>
      </c>
      <c r="C1578" s="14">
        <f t="shared" si="200"/>
        <v>129.83333333333334</v>
      </c>
      <c r="D1578" s="11">
        <f t="shared" si="201"/>
        <v>1060.8284714129309</v>
      </c>
      <c r="E1578" s="24">
        <f t="shared" si="202"/>
        <v>677.27828799016595</v>
      </c>
      <c r="F1578" s="38">
        <f t="shared" si="197"/>
        <v>0.68603170637946154</v>
      </c>
      <c r="G1578" s="14">
        <f t="shared" si="198"/>
        <v>0</v>
      </c>
      <c r="H1578" s="24">
        <f t="shared" si="196"/>
        <v>880.12439751195234</v>
      </c>
      <c r="I1578" s="12">
        <f t="shared" si="203"/>
        <v>0.24512256195893137</v>
      </c>
      <c r="J1578" s="3"/>
    </row>
    <row r="1579" spans="2:10" x14ac:dyDescent="0.25">
      <c r="B1579" s="3">
        <f t="shared" si="199"/>
        <v>7795</v>
      </c>
      <c r="C1579" s="14">
        <f t="shared" si="200"/>
        <v>129.91666666666666</v>
      </c>
      <c r="D1579" s="11">
        <f t="shared" si="201"/>
        <v>1060.9245173112561</v>
      </c>
      <c r="E1579" s="24">
        <f t="shared" si="202"/>
        <v>677.52341055212491</v>
      </c>
      <c r="F1579" s="38">
        <f t="shared" si="197"/>
        <v>0.68535588140948789</v>
      </c>
      <c r="G1579" s="14">
        <f t="shared" si="198"/>
        <v>0</v>
      </c>
      <c r="H1579" s="24">
        <f t="shared" si="196"/>
        <v>880.99228244685412</v>
      </c>
      <c r="I1579" s="12">
        <f t="shared" si="203"/>
        <v>0.2448339992886924</v>
      </c>
      <c r="J1579" s="3"/>
    </row>
    <row r="1580" spans="2:10" x14ac:dyDescent="0.25">
      <c r="B1580" s="3">
        <f t="shared" si="199"/>
        <v>7800</v>
      </c>
      <c r="C1580" s="14">
        <f t="shared" si="200"/>
        <v>130</v>
      </c>
      <c r="D1580" s="11">
        <f t="shared" si="201"/>
        <v>1061.0205016811349</v>
      </c>
      <c r="E1580" s="24">
        <f t="shared" si="202"/>
        <v>677.76824455141366</v>
      </c>
      <c r="F1580" s="38">
        <f t="shared" si="197"/>
        <v>0.68467670510698342</v>
      </c>
      <c r="G1580" s="14">
        <f t="shared" si="198"/>
        <v>0</v>
      </c>
      <c r="H1580" s="24">
        <f t="shared" si="196"/>
        <v>881.8661972105142</v>
      </c>
      <c r="I1580" s="12">
        <f t="shared" si="203"/>
        <v>0.2445446863053663</v>
      </c>
      <c r="J1580" s="3"/>
    </row>
    <row r="1581" spans="2:10" x14ac:dyDescent="0.25">
      <c r="B1581" s="3">
        <f t="shared" si="199"/>
        <v>7805</v>
      </c>
      <c r="C1581" s="14">
        <f t="shared" si="200"/>
        <v>130.08333333333334</v>
      </c>
      <c r="D1581" s="11">
        <f t="shared" si="201"/>
        <v>1061.1164246013489</v>
      </c>
      <c r="E1581" s="24">
        <f t="shared" si="202"/>
        <v>678.01278923771906</v>
      </c>
      <c r="F1581" s="38">
        <f t="shared" si="197"/>
        <v>0.68399415600810787</v>
      </c>
      <c r="G1581" s="14">
        <f t="shared" si="198"/>
        <v>0</v>
      </c>
      <c r="H1581" s="24">
        <f t="shared" si="196"/>
        <v>882.74620031134145</v>
      </c>
      <c r="I1581" s="12">
        <f t="shared" si="203"/>
        <v>0.24425461705744791</v>
      </c>
      <c r="J1581" s="3"/>
    </row>
    <row r="1582" spans="2:10" x14ac:dyDescent="0.25">
      <c r="B1582" s="3">
        <f t="shared" si="199"/>
        <v>7810</v>
      </c>
      <c r="C1582" s="14">
        <f t="shared" si="200"/>
        <v>130.16666666666666</v>
      </c>
      <c r="D1582" s="11">
        <f t="shared" si="201"/>
        <v>1061.2122861505284</v>
      </c>
      <c r="E1582" s="24">
        <f t="shared" si="202"/>
        <v>678.2570438547765</v>
      </c>
      <c r="F1582" s="38">
        <f t="shared" si="197"/>
        <v>0.68330821250039631</v>
      </c>
      <c r="G1582" s="14">
        <f t="shared" si="198"/>
        <v>0</v>
      </c>
      <c r="H1582" s="24">
        <f t="shared" si="196"/>
        <v>883.63235097363895</v>
      </c>
      <c r="I1582" s="12">
        <f t="shared" si="203"/>
        <v>0.24396378554362824</v>
      </c>
      <c r="J1582" s="3"/>
    </row>
    <row r="1583" spans="2:10" x14ac:dyDescent="0.25">
      <c r="B1583" s="3">
        <f t="shared" si="199"/>
        <v>7815</v>
      </c>
      <c r="C1583" s="14">
        <f t="shared" si="200"/>
        <v>130.25</v>
      </c>
      <c r="D1583" s="11">
        <f t="shared" si="201"/>
        <v>1061.308086407153</v>
      </c>
      <c r="E1583" s="24">
        <f t="shared" si="202"/>
        <v>678.50100764032015</v>
      </c>
      <c r="F1583" s="38">
        <f t="shared" si="197"/>
        <v>0.68261885282197454</v>
      </c>
      <c r="G1583" s="14">
        <f t="shared" si="198"/>
        <v>0</v>
      </c>
      <c r="H1583" s="24">
        <f t="shared" si="196"/>
        <v>884.52470914803166</v>
      </c>
      <c r="I1583" s="12">
        <f t="shared" si="203"/>
        <v>0.24367218571239824</v>
      </c>
      <c r="J1583" s="3"/>
    </row>
    <row r="1584" spans="2:10" x14ac:dyDescent="0.25">
      <c r="B1584" s="3">
        <f t="shared" si="199"/>
        <v>7820</v>
      </c>
      <c r="C1584" s="14">
        <f t="shared" si="200"/>
        <v>130.33333333333334</v>
      </c>
      <c r="D1584" s="11">
        <f t="shared" si="201"/>
        <v>1061.4038254495522</v>
      </c>
      <c r="E1584" s="24">
        <f t="shared" si="202"/>
        <v>678.74467982603255</v>
      </c>
      <c r="F1584" s="38">
        <f t="shared" si="197"/>
        <v>0.68192605506077908</v>
      </c>
      <c r="G1584" s="14">
        <f t="shared" si="198"/>
        <v>0</v>
      </c>
      <c r="H1584" s="24">
        <f t="shared" si="196"/>
        <v>885.42333552206765</v>
      </c>
      <c r="I1584" s="12">
        <f t="shared" si="203"/>
        <v>0.24337981146165139</v>
      </c>
      <c r="J1584" s="3"/>
    </row>
    <row r="1585" spans="2:10" x14ac:dyDescent="0.25">
      <c r="B1585" s="3">
        <f t="shared" si="199"/>
        <v>7825</v>
      </c>
      <c r="C1585" s="14">
        <f t="shared" si="200"/>
        <v>130.41666666666666</v>
      </c>
      <c r="D1585" s="11">
        <f t="shared" si="201"/>
        <v>1061.4995033559046</v>
      </c>
      <c r="E1585" s="24">
        <f t="shared" si="202"/>
        <v>678.98805963749419</v>
      </c>
      <c r="F1585" s="38">
        <f t="shared" si="197"/>
        <v>0.68122979715378285</v>
      </c>
      <c r="G1585" s="14">
        <f t="shared" si="198"/>
        <v>0</v>
      </c>
      <c r="H1585" s="24">
        <f t="shared" si="196"/>
        <v>886.32829153099715</v>
      </c>
      <c r="I1585" s="12">
        <f t="shared" si="203"/>
        <v>0.24308665663833195</v>
      </c>
      <c r="J1585" s="3"/>
    </row>
    <row r="1586" spans="2:10" x14ac:dyDescent="0.25">
      <c r="B1586" s="3">
        <f t="shared" si="199"/>
        <v>7830</v>
      </c>
      <c r="C1586" s="14">
        <f t="shared" si="200"/>
        <v>130.5</v>
      </c>
      <c r="D1586" s="11">
        <f t="shared" si="201"/>
        <v>1061.5951202042399</v>
      </c>
      <c r="E1586" s="24">
        <f t="shared" si="202"/>
        <v>679.23114629413249</v>
      </c>
      <c r="F1586" s="38">
        <f t="shared" si="197"/>
        <v>0.68053005688622714</v>
      </c>
      <c r="G1586" s="14">
        <f t="shared" si="198"/>
        <v>0</v>
      </c>
      <c r="H1586" s="24">
        <f t="shared" si="196"/>
        <v>887.23963936873372</v>
      </c>
      <c r="I1586" s="12">
        <f t="shared" si="203"/>
        <v>0.24279271503792205</v>
      </c>
      <c r="J1586" s="3"/>
    </row>
    <row r="1587" spans="2:10" x14ac:dyDescent="0.25">
      <c r="B1587" s="3">
        <f t="shared" si="199"/>
        <v>7835</v>
      </c>
      <c r="C1587" s="14">
        <f t="shared" si="200"/>
        <v>130.58333333333334</v>
      </c>
      <c r="D1587" s="11">
        <f t="shared" si="201"/>
        <v>1061.6906760724385</v>
      </c>
      <c r="E1587" s="24">
        <f t="shared" si="202"/>
        <v>679.47393900917041</v>
      </c>
      <c r="F1587" s="38">
        <f t="shared" si="197"/>
        <v>0.67982681189086058</v>
      </c>
      <c r="G1587" s="14">
        <f t="shared" si="198"/>
        <v>0</v>
      </c>
      <c r="H1587" s="24">
        <f t="shared" si="196"/>
        <v>888.15744199899723</v>
      </c>
      <c r="I1587" s="12">
        <f t="shared" si="203"/>
        <v>0.24249798040415224</v>
      </c>
      <c r="J1587" s="3"/>
    </row>
    <row r="1588" spans="2:10" x14ac:dyDescent="0.25">
      <c r="B1588" s="3">
        <f t="shared" si="199"/>
        <v>7840</v>
      </c>
      <c r="C1588" s="14">
        <f t="shared" si="200"/>
        <v>130.66666666666666</v>
      </c>
      <c r="D1588" s="11">
        <f t="shared" si="201"/>
        <v>1061.786171038231</v>
      </c>
      <c r="E1588" s="24">
        <f t="shared" si="202"/>
        <v>679.7164369895745</v>
      </c>
      <c r="F1588" s="38">
        <f t="shared" si="197"/>
        <v>0.67912003964718348</v>
      </c>
      <c r="G1588" s="14">
        <f t="shared" si="198"/>
        <v>0</v>
      </c>
      <c r="H1588" s="24">
        <f t="shared" si="196"/>
        <v>889.08176316664549</v>
      </c>
      <c r="I1588" s="12">
        <f t="shared" si="203"/>
        <v>0.2422024464285806</v>
      </c>
      <c r="J1588" s="3"/>
    </row>
    <row r="1589" spans="2:10" x14ac:dyDescent="0.25">
      <c r="B1589" s="3">
        <f t="shared" si="199"/>
        <v>7845</v>
      </c>
      <c r="C1589" s="14">
        <f t="shared" si="200"/>
        <v>130.75</v>
      </c>
      <c r="D1589" s="11">
        <f t="shared" si="201"/>
        <v>1061.8816051792005</v>
      </c>
      <c r="E1589" s="24">
        <f t="shared" si="202"/>
        <v>679.95863943600307</v>
      </c>
      <c r="F1589" s="38">
        <f t="shared" si="197"/>
        <v>0.67840971748070189</v>
      </c>
      <c r="G1589" s="14">
        <f t="shared" si="198"/>
        <v>0</v>
      </c>
      <c r="H1589" s="24">
        <f t="shared" si="196"/>
        <v>890.01266740919823</v>
      </c>
      <c r="I1589" s="12">
        <f t="shared" si="203"/>
        <v>0.24190610675009283</v>
      </c>
      <c r="J1589" s="3"/>
    </row>
    <row r="1590" spans="2:10" x14ac:dyDescent="0.25">
      <c r="B1590" s="3">
        <f t="shared" si="199"/>
        <v>7850</v>
      </c>
      <c r="C1590" s="14">
        <f t="shared" si="200"/>
        <v>130.83333333333334</v>
      </c>
      <c r="D1590" s="11">
        <f t="shared" si="201"/>
        <v>1061.9769785727815</v>
      </c>
      <c r="E1590" s="24">
        <f t="shared" si="202"/>
        <v>680.20054554275316</v>
      </c>
      <c r="F1590" s="38">
        <f t="shared" si="197"/>
        <v>0.67769582256218741</v>
      </c>
      <c r="G1590" s="14">
        <f t="shared" si="198"/>
        <v>0</v>
      </c>
      <c r="H1590" s="24">
        <f t="shared" si="196"/>
        <v>890.95022006855334</v>
      </c>
      <c r="I1590" s="12">
        <f t="shared" si="203"/>
        <v>0.2416089549546076</v>
      </c>
      <c r="J1590" s="3"/>
    </row>
    <row r="1591" spans="2:10" x14ac:dyDescent="0.25">
      <c r="B1591" s="3">
        <f t="shared" si="199"/>
        <v>7855</v>
      </c>
      <c r="C1591" s="14">
        <f t="shared" si="200"/>
        <v>130.91666666666666</v>
      </c>
      <c r="D1591" s="11">
        <f t="shared" si="201"/>
        <v>1062.0722912962608</v>
      </c>
      <c r="E1591" s="24">
        <f t="shared" si="202"/>
        <v>680.44215449770775</v>
      </c>
      <c r="F1591" s="38">
        <f t="shared" si="197"/>
        <v>0.67697833190694612</v>
      </c>
      <c r="G1591" s="14">
        <f t="shared" si="198"/>
        <v>0</v>
      </c>
      <c r="H1591" s="24">
        <f t="shared" ref="H1591:H1654" si="204">IF(E1591&lt;600,425+0.773*E1591-1.69/1000*E1591^2+2.22/1000^2*E1591^3,IF(E1591&lt;735,666+13002/(738-E1591),IF(E1591&lt;900,545+17820/(E1591-731),650)))</f>
        <v>891.8944873029028</v>
      </c>
      <c r="I1591" s="12">
        <f t="shared" si="203"/>
        <v>0.2413109845746215</v>
      </c>
      <c r="J1591" s="3"/>
    </row>
    <row r="1592" spans="2:10" x14ac:dyDescent="0.25">
      <c r="B1592" s="3">
        <f t="shared" si="199"/>
        <v>7860</v>
      </c>
      <c r="C1592" s="14">
        <f t="shared" si="200"/>
        <v>131</v>
      </c>
      <c r="D1592" s="11">
        <f t="shared" si="201"/>
        <v>1062.1675434267775</v>
      </c>
      <c r="E1592" s="24">
        <f t="shared" si="202"/>
        <v>680.68346548228237</v>
      </c>
      <c r="F1592" s="38">
        <f t="shared" si="197"/>
        <v>0.67625722237409591</v>
      </c>
      <c r="G1592" s="14">
        <f t="shared" si="198"/>
        <v>0</v>
      </c>
      <c r="H1592" s="24">
        <f t="shared" si="204"/>
        <v>892.84553609885188</v>
      </c>
      <c r="I1592" s="12">
        <f t="shared" si="203"/>
        <v>0.2410121890888316</v>
      </c>
      <c r="J1592" s="3"/>
    </row>
    <row r="1593" spans="2:10" x14ac:dyDescent="0.25">
      <c r="B1593" s="3">
        <f t="shared" si="199"/>
        <v>7865</v>
      </c>
      <c r="C1593" s="14">
        <f t="shared" si="200"/>
        <v>131.08333333333334</v>
      </c>
      <c r="D1593" s="11">
        <f t="shared" si="201"/>
        <v>1062.262735041324</v>
      </c>
      <c r="E1593" s="24">
        <f t="shared" si="202"/>
        <v>680.92447767137116</v>
      </c>
      <c r="F1593" s="38">
        <f t="shared" si="197"/>
        <v>0.6755324706658532</v>
      </c>
      <c r="G1593" s="14">
        <f t="shared" si="198"/>
        <v>0</v>
      </c>
      <c r="H1593" s="24">
        <f t="shared" si="204"/>
        <v>893.80343428374113</v>
      </c>
      <c r="I1593" s="12">
        <f t="shared" si="203"/>
        <v>0.24071256192163168</v>
      </c>
      <c r="J1593" s="3"/>
    </row>
    <row r="1594" spans="2:10" x14ac:dyDescent="0.25">
      <c r="B1594" s="3">
        <f t="shared" si="199"/>
        <v>7870</v>
      </c>
      <c r="C1594" s="14">
        <f t="shared" si="200"/>
        <v>131.16666666666666</v>
      </c>
      <c r="D1594" s="11">
        <f t="shared" si="201"/>
        <v>1062.3578662167461</v>
      </c>
      <c r="E1594" s="24">
        <f t="shared" si="202"/>
        <v>681.16519023329283</v>
      </c>
      <c r="F1594" s="38">
        <f t="shared" si="197"/>
        <v>0.67480405332682791</v>
      </c>
      <c r="G1594" s="14">
        <f t="shared" si="198"/>
        <v>0</v>
      </c>
      <c r="H1594" s="24">
        <f t="shared" si="204"/>
        <v>894.76825053818243</v>
      </c>
      <c r="I1594" s="12">
        <f t="shared" si="203"/>
        <v>0.24041209644284361</v>
      </c>
      <c r="J1594" s="3"/>
    </row>
    <row r="1595" spans="2:10" x14ac:dyDescent="0.25">
      <c r="B1595" s="3">
        <f t="shared" si="199"/>
        <v>7875</v>
      </c>
      <c r="C1595" s="14">
        <f t="shared" si="200"/>
        <v>131.25</v>
      </c>
      <c r="D1595" s="11">
        <f t="shared" si="201"/>
        <v>1062.4529370297435</v>
      </c>
      <c r="E1595" s="24">
        <f t="shared" si="202"/>
        <v>681.40560232973564</v>
      </c>
      <c r="F1595" s="38">
        <f t="shared" si="197"/>
        <v>0.6740719467433316</v>
      </c>
      <c r="G1595" s="14">
        <f t="shared" si="198"/>
        <v>0</v>
      </c>
      <c r="H1595" s="24">
        <f t="shared" si="204"/>
        <v>895.74005440880364</v>
      </c>
      <c r="I1595" s="12">
        <f t="shared" si="203"/>
        <v>0.24011078596714883</v>
      </c>
      <c r="J1595" s="3"/>
    </row>
    <row r="1596" spans="2:10" x14ac:dyDescent="0.25">
      <c r="B1596" s="3">
        <f t="shared" si="199"/>
        <v>7880</v>
      </c>
      <c r="C1596" s="14">
        <f t="shared" si="200"/>
        <v>131.33333333333334</v>
      </c>
      <c r="D1596" s="11">
        <f t="shared" si="201"/>
        <v>1062.5479475568693</v>
      </c>
      <c r="E1596" s="24">
        <f t="shared" si="202"/>
        <v>681.64571311570285</v>
      </c>
      <c r="F1596" s="38">
        <f t="shared" si="197"/>
        <v>0.67333612714269231</v>
      </c>
      <c r="G1596" s="14">
        <f t="shared" si="198"/>
        <v>0</v>
      </c>
      <c r="H1596" s="24">
        <f t="shared" si="204"/>
        <v>896.71891632121674</v>
      </c>
      <c r="I1596" s="12">
        <f t="shared" si="203"/>
        <v>0.2398086237538806</v>
      </c>
      <c r="J1596" s="3"/>
    </row>
    <row r="1597" spans="2:10" x14ac:dyDescent="0.25">
      <c r="B1597" s="3">
        <f t="shared" si="199"/>
        <v>7885</v>
      </c>
      <c r="C1597" s="14">
        <f t="shared" si="200"/>
        <v>131.41666666666666</v>
      </c>
      <c r="D1597" s="11">
        <f t="shared" si="201"/>
        <v>1062.6428978745314</v>
      </c>
      <c r="E1597" s="24">
        <f t="shared" si="202"/>
        <v>681.88552173945675</v>
      </c>
      <c r="F1597" s="38">
        <f t="shared" si="197"/>
        <v>0.67259657059258271</v>
      </c>
      <c r="G1597" s="14">
        <f t="shared" si="198"/>
        <v>0</v>
      </c>
      <c r="H1597" s="24">
        <f t="shared" si="204"/>
        <v>897.70490759320353</v>
      </c>
      <c r="I1597" s="12">
        <f t="shared" si="203"/>
        <v>0.23950560300640625</v>
      </c>
      <c r="J1597" s="3"/>
    </row>
    <row r="1598" spans="2:10" x14ac:dyDescent="0.25">
      <c r="B1598" s="3">
        <f t="shared" si="199"/>
        <v>7890</v>
      </c>
      <c r="C1598" s="14">
        <f t="shared" si="200"/>
        <v>131.5</v>
      </c>
      <c r="D1598" s="11">
        <f t="shared" si="201"/>
        <v>1062.7377880589927</v>
      </c>
      <c r="E1598" s="24">
        <f t="shared" si="202"/>
        <v>682.12502734246311</v>
      </c>
      <c r="F1598" s="38">
        <f t="shared" si="197"/>
        <v>0.67185325300036014</v>
      </c>
      <c r="G1598" s="14">
        <f t="shared" si="198"/>
        <v>0</v>
      </c>
      <c r="H1598" s="24">
        <f t="shared" si="204"/>
        <v>898.69810044812937</v>
      </c>
      <c r="I1598" s="12">
        <f t="shared" si="203"/>
        <v>0.23920171687179312</v>
      </c>
      <c r="J1598" s="3"/>
    </row>
    <row r="1599" spans="2:10" x14ac:dyDescent="0.25">
      <c r="B1599" s="3">
        <f t="shared" si="199"/>
        <v>7895</v>
      </c>
      <c r="C1599" s="14">
        <f t="shared" si="200"/>
        <v>131.58333333333334</v>
      </c>
      <c r="D1599" s="11">
        <f t="shared" si="201"/>
        <v>1062.8326181863713</v>
      </c>
      <c r="E1599" s="24">
        <f t="shared" si="202"/>
        <v>682.36422905933489</v>
      </c>
      <c r="F1599" s="38">
        <f t="shared" si="197"/>
        <v>0.67110615011241648</v>
      </c>
      <c r="G1599" s="14">
        <f t="shared" si="198"/>
        <v>0</v>
      </c>
      <c r="H1599" s="24">
        <f t="shared" si="204"/>
        <v>899.69856802858862</v>
      </c>
      <c r="I1599" s="12">
        <f t="shared" si="203"/>
        <v>0.23889695844042574</v>
      </c>
      <c r="J1599" s="3"/>
    </row>
    <row r="1600" spans="2:10" x14ac:dyDescent="0.25">
      <c r="B1600" s="3">
        <f t="shared" si="199"/>
        <v>7900</v>
      </c>
      <c r="C1600" s="14">
        <f t="shared" si="200"/>
        <v>131.66666666666666</v>
      </c>
      <c r="D1600" s="11">
        <f t="shared" si="201"/>
        <v>1062.9273883326409</v>
      </c>
      <c r="E1600" s="24">
        <f t="shared" si="202"/>
        <v>682.60312601777537</v>
      </c>
      <c r="F1600" s="38">
        <f t="shared" si="197"/>
        <v>0.67035523751354364</v>
      </c>
      <c r="G1600" s="14">
        <f t="shared" si="198"/>
        <v>0</v>
      </c>
      <c r="H1600" s="24">
        <f t="shared" si="204"/>
        <v>900.70638441028268</v>
      </c>
      <c r="I1600" s="12">
        <f t="shared" si="203"/>
        <v>0.23859132074556055</v>
      </c>
      <c r="J1600" s="3"/>
    </row>
    <row r="1601" spans="2:10" x14ac:dyDescent="0.25">
      <c r="B1601" s="3">
        <f t="shared" si="199"/>
        <v>7905</v>
      </c>
      <c r="C1601" s="14">
        <f t="shared" si="200"/>
        <v>131.75</v>
      </c>
      <c r="D1601" s="11">
        <f t="shared" si="201"/>
        <v>1063.0220985736305</v>
      </c>
      <c r="E1601" s="24">
        <f t="shared" si="202"/>
        <v>682.84171733852088</v>
      </c>
      <c r="F1601" s="38">
        <f t="shared" si="197"/>
        <v>0.669600490626311</v>
      </c>
      <c r="G1601" s="14">
        <f t="shared" si="198"/>
        <v>0</v>
      </c>
      <c r="H1601" s="24">
        <f t="shared" si="204"/>
        <v>901.72162461613777</v>
      </c>
      <c r="I1601" s="12">
        <f t="shared" si="203"/>
        <v>0.23828479676297343</v>
      </c>
      <c r="J1601" s="3"/>
    </row>
    <row r="1602" spans="2:10" x14ac:dyDescent="0.25">
      <c r="B1602" s="3">
        <f t="shared" si="199"/>
        <v>7910</v>
      </c>
      <c r="C1602" s="14">
        <f t="shared" si="200"/>
        <v>131.83333333333334</v>
      </c>
      <c r="D1602" s="11">
        <f t="shared" si="201"/>
        <v>1063.1167489850259</v>
      </c>
      <c r="E1602" s="24">
        <f t="shared" si="202"/>
        <v>683.08000213528385</v>
      </c>
      <c r="F1602" s="38">
        <f t="shared" si="197"/>
        <v>0.66884188471045547</v>
      </c>
      <c r="G1602" s="14">
        <f t="shared" si="198"/>
        <v>0</v>
      </c>
      <c r="H1602" s="24">
        <f t="shared" si="204"/>
        <v>902.74436463067036</v>
      </c>
      <c r="I1602" s="12">
        <f t="shared" si="203"/>
        <v>0.23797737941038793</v>
      </c>
      <c r="J1602" s="3"/>
    </row>
    <row r="1603" spans="2:10" x14ac:dyDescent="0.25">
      <c r="B1603" s="3">
        <f t="shared" si="199"/>
        <v>7915</v>
      </c>
      <c r="C1603" s="14">
        <f t="shared" si="200"/>
        <v>131.91666666666666</v>
      </c>
      <c r="D1603" s="11">
        <f t="shared" si="201"/>
        <v>1063.2113396423701</v>
      </c>
      <c r="E1603" s="24">
        <f t="shared" si="202"/>
        <v>683.31797951469423</v>
      </c>
      <c r="F1603" s="38">
        <f t="shared" si="197"/>
        <v>0.66807939486228762</v>
      </c>
      <c r="G1603" s="14">
        <f t="shared" si="198"/>
        <v>0</v>
      </c>
      <c r="H1603" s="24">
        <f t="shared" si="204"/>
        <v>903.77468141459622</v>
      </c>
      <c r="I1603" s="12">
        <f t="shared" si="203"/>
        <v>0.23766906154717177</v>
      </c>
      <c r="J1603" s="3"/>
    </row>
    <row r="1604" spans="2:10" x14ac:dyDescent="0.25">
      <c r="B1604" s="3">
        <f t="shared" si="199"/>
        <v>7920</v>
      </c>
      <c r="C1604" s="14">
        <f t="shared" si="200"/>
        <v>132</v>
      </c>
      <c r="D1604" s="11">
        <f t="shared" si="201"/>
        <v>1063.305870621062</v>
      </c>
      <c r="E1604" s="24">
        <f t="shared" si="202"/>
        <v>683.55564857624142</v>
      </c>
      <c r="F1604" s="38">
        <f t="shared" si="197"/>
        <v>0.66731299601411309</v>
      </c>
      <c r="G1604" s="14">
        <f t="shared" si="198"/>
        <v>0</v>
      </c>
      <c r="H1604" s="24">
        <f t="shared" si="204"/>
        <v>904.81265291969578</v>
      </c>
      <c r="I1604" s="12">
        <f t="shared" si="203"/>
        <v>0.23735983597404534</v>
      </c>
      <c r="J1604" s="3"/>
    </row>
    <row r="1605" spans="2:10" x14ac:dyDescent="0.25">
      <c r="B1605" s="3">
        <f t="shared" si="199"/>
        <v>7925</v>
      </c>
      <c r="C1605" s="14">
        <f t="shared" si="200"/>
        <v>132.08333333333334</v>
      </c>
      <c r="D1605" s="11">
        <f t="shared" si="201"/>
        <v>1063.4003419963585</v>
      </c>
      <c r="E1605" s="24">
        <f t="shared" si="202"/>
        <v>683.7930084122155</v>
      </c>
      <c r="F1605" s="38">
        <f t="shared" si="197"/>
        <v>0.66654266293366882</v>
      </c>
      <c r="G1605" s="14">
        <f t="shared" si="198"/>
        <v>0</v>
      </c>
      <c r="H1605" s="24">
        <f t="shared" si="204"/>
        <v>905.8583581039386</v>
      </c>
      <c r="I1605" s="12">
        <f t="shared" si="203"/>
        <v>0.23704969543237076</v>
      </c>
      <c r="J1605" s="3"/>
    </row>
    <row r="1606" spans="2:10" x14ac:dyDescent="0.25">
      <c r="B1606" s="3">
        <f t="shared" si="199"/>
        <v>7930</v>
      </c>
      <c r="C1606" s="14">
        <f t="shared" si="200"/>
        <v>132.16666666666666</v>
      </c>
      <c r="D1606" s="11">
        <f t="shared" si="201"/>
        <v>1063.4947538433744</v>
      </c>
      <c r="E1606" s="24">
        <f t="shared" si="202"/>
        <v>684.03005810764785</v>
      </c>
      <c r="F1606" s="38">
        <f t="shared" si="197"/>
        <v>0.66576837022357482</v>
      </c>
      <c r="G1606" s="14">
        <f t="shared" si="198"/>
        <v>0</v>
      </c>
      <c r="H1606" s="24">
        <f t="shared" si="204"/>
        <v>906.9118769468688</v>
      </c>
      <c r="I1606" s="12">
        <f t="shared" si="203"/>
        <v>0.23673863260397207</v>
      </c>
      <c r="J1606" s="3"/>
    </row>
    <row r="1607" spans="2:10" x14ac:dyDescent="0.25">
      <c r="B1607" s="3">
        <f t="shared" si="199"/>
        <v>7935</v>
      </c>
      <c r="C1607" s="14">
        <f t="shared" si="200"/>
        <v>132.25</v>
      </c>
      <c r="D1607" s="11">
        <f t="shared" si="201"/>
        <v>1063.5891062370822</v>
      </c>
      <c r="E1607" s="24">
        <f t="shared" si="202"/>
        <v>684.26679674025183</v>
      </c>
      <c r="F1607" s="38">
        <f t="shared" si="197"/>
        <v>0.66499009232080553</v>
      </c>
      <c r="G1607" s="14">
        <f t="shared" si="198"/>
        <v>0</v>
      </c>
      <c r="H1607" s="24">
        <f t="shared" si="204"/>
        <v>907.97329046526193</v>
      </c>
      <c r="I1607" s="12">
        <f t="shared" si="203"/>
        <v>0.23642664011065853</v>
      </c>
      <c r="J1607" s="3"/>
    </row>
    <row r="1608" spans="2:10" x14ac:dyDescent="0.25">
      <c r="B1608" s="3">
        <f t="shared" si="199"/>
        <v>7940</v>
      </c>
      <c r="C1608" s="14">
        <f t="shared" si="200"/>
        <v>132.33333333333334</v>
      </c>
      <c r="D1608" s="11">
        <f t="shared" si="201"/>
        <v>1063.6833992523129</v>
      </c>
      <c r="E1608" s="24">
        <f t="shared" si="202"/>
        <v>684.50322338036244</v>
      </c>
      <c r="F1608" s="38">
        <f t="shared" si="197"/>
        <v>0.6642078034961767</v>
      </c>
      <c r="G1608" s="14">
        <f t="shared" si="198"/>
        <v>0</v>
      </c>
      <c r="H1608" s="24">
        <f t="shared" si="204"/>
        <v>909.04268072905234</v>
      </c>
      <c r="I1608" s="12">
        <f t="shared" si="203"/>
        <v>0.23611371051379557</v>
      </c>
      <c r="J1608" s="3"/>
    </row>
    <row r="1609" spans="2:10" x14ac:dyDescent="0.25">
      <c r="B1609" s="3">
        <f t="shared" si="199"/>
        <v>7945</v>
      </c>
      <c r="C1609" s="14">
        <f t="shared" si="200"/>
        <v>132.41666666666666</v>
      </c>
      <c r="D1609" s="11">
        <f t="shared" si="201"/>
        <v>1063.7776329637568</v>
      </c>
      <c r="E1609" s="24">
        <f t="shared" si="202"/>
        <v>684.73933709087623</v>
      </c>
      <c r="F1609" s="38">
        <f t="shared" si="197"/>
        <v>0.66342147785385119</v>
      </c>
      <c r="G1609" s="14">
        <f t="shared" si="198"/>
        <v>0</v>
      </c>
      <c r="H1609" s="24">
        <f t="shared" si="204"/>
        <v>910.12013087754315</v>
      </c>
      <c r="I1609" s="12">
        <f t="shared" si="203"/>
        <v>0.23579983631386128</v>
      </c>
      <c r="J1609" s="3"/>
    </row>
    <row r="1610" spans="2:10" x14ac:dyDescent="0.25">
      <c r="B1610" s="3">
        <f t="shared" si="199"/>
        <v>7950</v>
      </c>
      <c r="C1610" s="14">
        <f t="shared" si="200"/>
        <v>132.5</v>
      </c>
      <c r="D1610" s="11">
        <f t="shared" si="201"/>
        <v>1063.8718074459625</v>
      </c>
      <c r="E1610" s="24">
        <f t="shared" si="202"/>
        <v>684.97513692719008</v>
      </c>
      <c r="F1610" s="38">
        <f t="shared" si="197"/>
        <v>0.6626310893308649</v>
      </c>
      <c r="G1610" s="14">
        <f t="shared" si="198"/>
        <v>0</v>
      </c>
      <c r="H1610" s="24">
        <f t="shared" si="204"/>
        <v>911.20572513589696</v>
      </c>
      <c r="I1610" s="12">
        <f t="shared" si="203"/>
        <v>0.23548500995014346</v>
      </c>
      <c r="J1610" s="3"/>
    </row>
    <row r="1611" spans="2:10" x14ac:dyDescent="0.25">
      <c r="B1611" s="3">
        <f t="shared" si="199"/>
        <v>7955</v>
      </c>
      <c r="C1611" s="14">
        <f t="shared" si="200"/>
        <v>132.58333333333334</v>
      </c>
      <c r="D1611" s="11">
        <f t="shared" si="201"/>
        <v>1063.9659227733387</v>
      </c>
      <c r="E1611" s="24">
        <f t="shared" si="202"/>
        <v>685.21062193714022</v>
      </c>
      <c r="F1611" s="38">
        <f t="shared" si="197"/>
        <v>0.66183661169667196</v>
      </c>
      <c r="G1611" s="14">
        <f t="shared" si="198"/>
        <v>0</v>
      </c>
      <c r="H1611" s="24">
        <f t="shared" si="204"/>
        <v>912.29954883191965</v>
      </c>
      <c r="I1611" s="12">
        <f t="shared" si="203"/>
        <v>0.23516922380020372</v>
      </c>
      <c r="J1611" s="3"/>
    </row>
    <row r="1612" spans="2:10" x14ac:dyDescent="0.25">
      <c r="B1612" s="3">
        <f t="shared" si="199"/>
        <v>7960</v>
      </c>
      <c r="C1612" s="14">
        <f t="shared" si="200"/>
        <v>132.66666666666666</v>
      </c>
      <c r="D1612" s="11">
        <f t="shared" si="201"/>
        <v>1064.0599790201543</v>
      </c>
      <c r="E1612" s="24">
        <f t="shared" si="202"/>
        <v>685.44579116094042</v>
      </c>
      <c r="F1612" s="38">
        <f t="shared" si="197"/>
        <v>0.66103801855270972</v>
      </c>
      <c r="G1612" s="14">
        <f t="shared" si="198"/>
        <v>0</v>
      </c>
      <c r="H1612" s="24">
        <f t="shared" si="204"/>
        <v>913.40168841313789</v>
      </c>
      <c r="I1612" s="12">
        <f t="shared" si="203"/>
        <v>0.23485247017948502</v>
      </c>
      <c r="J1612" s="3"/>
    </row>
    <row r="1613" spans="2:10" x14ac:dyDescent="0.25">
      <c r="B1613" s="3">
        <f t="shared" si="199"/>
        <v>7965</v>
      </c>
      <c r="C1613" s="14">
        <f t="shared" si="200"/>
        <v>132.75</v>
      </c>
      <c r="D1613" s="11">
        <f t="shared" si="201"/>
        <v>1064.1539762605373</v>
      </c>
      <c r="E1613" s="24">
        <f t="shared" si="202"/>
        <v>685.68064363111989</v>
      </c>
      <c r="F1613" s="38">
        <f t="shared" si="197"/>
        <v>0.66023528333198744</v>
      </c>
      <c r="G1613" s="14">
        <f t="shared" si="198"/>
        <v>0</v>
      </c>
      <c r="H1613" s="24">
        <f t="shared" si="204"/>
        <v>914.51223146417897</v>
      </c>
      <c r="I1613" s="12">
        <f t="shared" si="203"/>
        <v>0.23453474134108748</v>
      </c>
      <c r="J1613" s="3"/>
    </row>
    <row r="1614" spans="2:10" x14ac:dyDescent="0.25">
      <c r="B1614" s="3">
        <f t="shared" si="199"/>
        <v>7970</v>
      </c>
      <c r="C1614" s="14">
        <f t="shared" si="200"/>
        <v>132.83333333333334</v>
      </c>
      <c r="D1614" s="11">
        <f t="shared" si="201"/>
        <v>1064.2479145684774</v>
      </c>
      <c r="E1614" s="24">
        <f t="shared" si="202"/>
        <v>685.91517837246101</v>
      </c>
      <c r="F1614" s="38">
        <f t="shared" si="197"/>
        <v>0.65942837929869469</v>
      </c>
      <c r="G1614" s="14">
        <f t="shared" si="198"/>
        <v>0</v>
      </c>
      <c r="H1614" s="24">
        <f t="shared" si="204"/>
        <v>915.63126672445787</v>
      </c>
      <c r="I1614" s="12">
        <f t="shared" si="203"/>
        <v>0.23421602947503714</v>
      </c>
      <c r="J1614" s="3"/>
    </row>
    <row r="1615" spans="2:10" x14ac:dyDescent="0.25">
      <c r="B1615" s="3">
        <f t="shared" si="199"/>
        <v>7975</v>
      </c>
      <c r="C1615" s="14">
        <f t="shared" si="200"/>
        <v>132.91666666666666</v>
      </c>
      <c r="D1615" s="11">
        <f t="shared" si="201"/>
        <v>1064.3417940178249</v>
      </c>
      <c r="E1615" s="24">
        <f t="shared" si="202"/>
        <v>686.14939440193609</v>
      </c>
      <c r="F1615" s="38">
        <f t="shared" si="197"/>
        <v>0.65861727954783589</v>
      </c>
      <c r="G1615" s="14">
        <f t="shared" si="198"/>
        <v>0</v>
      </c>
      <c r="H1615" s="24">
        <f t="shared" si="204"/>
        <v>916.75888410617699</v>
      </c>
      <c r="I1615" s="12">
        <f t="shared" si="203"/>
        <v>0.23389632670815946</v>
      </c>
      <c r="J1615" s="3"/>
    </row>
    <row r="1616" spans="2:10" x14ac:dyDescent="0.25">
      <c r="B1616" s="3">
        <f t="shared" si="199"/>
        <v>7980</v>
      </c>
      <c r="C1616" s="14">
        <f t="shared" si="200"/>
        <v>133</v>
      </c>
      <c r="D1616" s="11">
        <f t="shared" si="201"/>
        <v>1064.4356146822909</v>
      </c>
      <c r="E1616" s="24">
        <f t="shared" si="202"/>
        <v>686.38329072864428</v>
      </c>
      <c r="F1616" s="38">
        <f t="shared" si="197"/>
        <v>0.65780195700488586</v>
      </c>
      <c r="G1616" s="14">
        <f t="shared" si="198"/>
        <v>0</v>
      </c>
      <c r="H1616" s="24">
        <f t="shared" si="204"/>
        <v>917.89517471264594</v>
      </c>
      <c r="I1616" s="12">
        <f t="shared" si="203"/>
        <v>0.23357562510358254</v>
      </c>
      <c r="J1616" s="3"/>
    </row>
    <row r="1617" spans="2:10" x14ac:dyDescent="0.25">
      <c r="B1617" s="3">
        <f t="shared" si="199"/>
        <v>7985</v>
      </c>
      <c r="C1617" s="14">
        <f t="shared" si="200"/>
        <v>133.08333333333334</v>
      </c>
      <c r="D1617" s="11">
        <f t="shared" si="201"/>
        <v>1064.5293766354487</v>
      </c>
      <c r="E1617" s="24">
        <f t="shared" si="202"/>
        <v>686.61686635374781</v>
      </c>
      <c r="F1617" s="38">
        <f t="shared" si="197"/>
        <v>0.65698238442547174</v>
      </c>
      <c r="G1617" s="14">
        <f t="shared" si="198"/>
        <v>0</v>
      </c>
      <c r="H1617" s="24">
        <f t="shared" si="204"/>
        <v>919.04023085692722</v>
      </c>
      <c r="I1617" s="12">
        <f t="shared" si="203"/>
        <v>0.23325391666025913</v>
      </c>
      <c r="J1617" s="3"/>
    </row>
    <row r="1618" spans="2:10" x14ac:dyDescent="0.25">
      <c r="B1618" s="3">
        <f t="shared" si="199"/>
        <v>7990</v>
      </c>
      <c r="C1618" s="14">
        <f t="shared" si="200"/>
        <v>133.16666666666666</v>
      </c>
      <c r="D1618" s="11">
        <f t="shared" si="201"/>
        <v>1064.6230799507332</v>
      </c>
      <c r="E1618" s="24">
        <f t="shared" si="202"/>
        <v>686.85012027040807</v>
      </c>
      <c r="F1618" s="38">
        <f t="shared" si="197"/>
        <v>0.65615853439508054</v>
      </c>
      <c r="G1618" s="14">
        <f t="shared" si="198"/>
        <v>0</v>
      </c>
      <c r="H1618" s="24">
        <f t="shared" si="204"/>
        <v>920.19414608081479</v>
      </c>
      <c r="I1618" s="12">
        <f t="shared" si="203"/>
        <v>0.23293119331270545</v>
      </c>
      <c r="J1618" s="3"/>
    </row>
    <row r="1619" spans="2:10" x14ac:dyDescent="0.25">
      <c r="B1619" s="3">
        <f t="shared" si="199"/>
        <v>7995</v>
      </c>
      <c r="C1619" s="14">
        <f t="shared" si="200"/>
        <v>133.25</v>
      </c>
      <c r="D1619" s="11">
        <f t="shared" si="201"/>
        <v>1064.716724701442</v>
      </c>
      <c r="E1619" s="24">
        <f t="shared" si="202"/>
        <v>687.08305146372072</v>
      </c>
      <c r="F1619" s="38">
        <f t="shared" si="197"/>
        <v>0.65533037932879401</v>
      </c>
      <c r="G1619" s="14">
        <f t="shared" si="198"/>
        <v>0</v>
      </c>
      <c r="H1619" s="24">
        <f t="shared" si="204"/>
        <v>921.35701517414839</v>
      </c>
      <c r="I1619" s="12">
        <f t="shared" si="203"/>
        <v>0.23260744693048224</v>
      </c>
      <c r="J1619" s="3"/>
    </row>
    <row r="1620" spans="2:10" x14ac:dyDescent="0.25">
      <c r="B1620" s="3">
        <f t="shared" si="199"/>
        <v>8000</v>
      </c>
      <c r="C1620" s="14">
        <f t="shared" si="200"/>
        <v>133.33333333333334</v>
      </c>
      <c r="D1620" s="11">
        <f t="shared" si="201"/>
        <v>1064.8103109607348</v>
      </c>
      <c r="E1620" s="24">
        <f t="shared" si="202"/>
        <v>687.31565891065122</v>
      </c>
      <c r="F1620" s="38">
        <f t="shared" ref="F1620:F1683" si="205">Cp*RhoP/(RhoA*H1620)*dp/1000*MassivP</f>
        <v>0.65449789147104964</v>
      </c>
      <c r="G1620" s="14">
        <f t="shared" ref="G1620:G1683" si="206">Phi*EpsilonF*Botzman/10^8*J1620*((D1620+273)^4-(E1620+273)^4)</f>
        <v>0</v>
      </c>
      <c r="H1620" s="24">
        <f t="shared" si="204"/>
        <v>922.52893419447742</v>
      </c>
      <c r="I1620" s="12">
        <f t="shared" si="203"/>
        <v>0.23228266931790742</v>
      </c>
      <c r="J1620" s="3"/>
    </row>
    <row r="1621" spans="2:10" x14ac:dyDescent="0.25">
      <c r="B1621" s="3">
        <f t="shared" ref="B1621:B1684" si="207">B1620+DeltaT</f>
        <v>8005</v>
      </c>
      <c r="C1621" s="14">
        <f t="shared" ref="C1621:C1684" si="208">B1621/60</f>
        <v>133.41666666666666</v>
      </c>
      <c r="D1621" s="11">
        <f t="shared" ref="D1621:D1684" si="209">20+345*LOG(8*C1621+1,10)</f>
        <v>1064.9038388016347</v>
      </c>
      <c r="E1621" s="24">
        <f t="shared" ref="E1621:E1684" si="210">E1620+IF(Limit=Oui,MAX(0,I1620),I1620)</f>
        <v>687.54794157996912</v>
      </c>
      <c r="F1621" s="38">
        <f t="shared" si="205"/>
        <v>0.65366104289543192</v>
      </c>
      <c r="G1621" s="14">
        <f t="shared" si="206"/>
        <v>0</v>
      </c>
      <c r="H1621" s="24">
        <f t="shared" si="204"/>
        <v>923.7100004870731</v>
      </c>
      <c r="I1621" s="12">
        <f t="shared" ref="I1621:I1684" si="211">LambdaP*MassivP/(dp/1000)/(H1621*RhoA)/(1+F1621/3)*(D1621-E1621)*DeltaT-(EXP(F1621/10)-1)*(D1621-D1620)</f>
        <v>0.23195685221355777</v>
      </c>
      <c r="J1621" s="3"/>
    </row>
    <row r="1622" spans="2:10" x14ac:dyDescent="0.25">
      <c r="B1622" s="3">
        <f t="shared" si="207"/>
        <v>8010</v>
      </c>
      <c r="C1622" s="14">
        <f t="shared" si="208"/>
        <v>133.5</v>
      </c>
      <c r="D1622" s="11">
        <f t="shared" si="209"/>
        <v>1064.9973082970284</v>
      </c>
      <c r="E1622" s="24">
        <f t="shared" si="210"/>
        <v>687.77989843218268</v>
      </c>
      <c r="F1622" s="38">
        <f t="shared" si="205"/>
        <v>0.65281980550449215</v>
      </c>
      <c r="G1622" s="14">
        <f t="shared" si="206"/>
        <v>0</v>
      </c>
      <c r="H1622" s="24">
        <f t="shared" si="204"/>
        <v>924.90031270530335</v>
      </c>
      <c r="I1622" s="12">
        <f t="shared" si="211"/>
        <v>0.23162998728994177</v>
      </c>
      <c r="J1622" s="3"/>
    </row>
    <row r="1623" spans="2:10" x14ac:dyDescent="0.25">
      <c r="B1623" s="3">
        <f t="shared" si="207"/>
        <v>8015</v>
      </c>
      <c r="C1623" s="14">
        <f t="shared" si="208"/>
        <v>133.58333333333334</v>
      </c>
      <c r="D1623" s="11">
        <f t="shared" si="209"/>
        <v>1065.0907195196653</v>
      </c>
      <c r="E1623" s="24">
        <f t="shared" si="210"/>
        <v>688.0115284194726</v>
      </c>
      <c r="F1623" s="38">
        <f t="shared" si="205"/>
        <v>0.65197415102959966</v>
      </c>
      <c r="G1623" s="14">
        <f t="shared" si="206"/>
        <v>0</v>
      </c>
      <c r="H1623" s="24">
        <f t="shared" si="204"/>
        <v>926.09997083137114</v>
      </c>
      <c r="I1623" s="12">
        <f t="shared" si="211"/>
        <v>0.23130206615319124</v>
      </c>
      <c r="J1623" s="3"/>
    </row>
    <row r="1624" spans="2:10" x14ac:dyDescent="0.25">
      <c r="B1624" s="3">
        <f t="shared" si="207"/>
        <v>8020</v>
      </c>
      <c r="C1624" s="14">
        <f t="shared" si="208"/>
        <v>133.66666666666666</v>
      </c>
      <c r="D1624" s="11">
        <f t="shared" si="209"/>
        <v>1065.1840725421596</v>
      </c>
      <c r="E1624" s="24">
        <f t="shared" si="210"/>
        <v>688.24283048562575</v>
      </c>
      <c r="F1624" s="38">
        <f t="shared" si="205"/>
        <v>0.65112405103082316</v>
      </c>
      <c r="G1624" s="14">
        <f t="shared" si="206"/>
        <v>0</v>
      </c>
      <c r="H1624" s="24">
        <f t="shared" si="204"/>
        <v>927.30907619742879</v>
      </c>
      <c r="I1624" s="12">
        <f t="shared" si="211"/>
        <v>0.23097308034246544</v>
      </c>
      <c r="J1624" s="3"/>
    </row>
    <row r="1625" spans="2:10" x14ac:dyDescent="0.25">
      <c r="B1625" s="3">
        <f t="shared" si="207"/>
        <v>8025</v>
      </c>
      <c r="C1625" s="14">
        <f t="shared" si="208"/>
        <v>133.75</v>
      </c>
      <c r="D1625" s="11">
        <f t="shared" si="209"/>
        <v>1065.2773674369901</v>
      </c>
      <c r="E1625" s="24">
        <f t="shared" si="210"/>
        <v>688.47380356596818</v>
      </c>
      <c r="F1625" s="38">
        <f t="shared" si="205"/>
        <v>0.65026947689684755</v>
      </c>
      <c r="G1625" s="14">
        <f t="shared" si="206"/>
        <v>0</v>
      </c>
      <c r="H1625" s="24">
        <f t="shared" si="204"/>
        <v>928.52773150707185</v>
      </c>
      <c r="I1625" s="12">
        <f t="shared" si="211"/>
        <v>0.23064302132975745</v>
      </c>
      <c r="J1625" s="3"/>
    </row>
    <row r="1626" spans="2:10" x14ac:dyDescent="0.25">
      <c r="B1626" s="3">
        <f t="shared" si="207"/>
        <v>8030</v>
      </c>
      <c r="C1626" s="14">
        <f t="shared" si="208"/>
        <v>133.83333333333334</v>
      </c>
      <c r="D1626" s="11">
        <f t="shared" si="209"/>
        <v>1065.3706042764995</v>
      </c>
      <c r="E1626" s="24">
        <f t="shared" si="210"/>
        <v>688.70444658729798</v>
      </c>
      <c r="F1626" s="38">
        <f t="shared" si="205"/>
        <v>0.64941039984492199</v>
      </c>
      <c r="G1626" s="14">
        <f t="shared" si="206"/>
        <v>0</v>
      </c>
      <c r="H1626" s="24">
        <f t="shared" si="204"/>
        <v>929.75604085722193</v>
      </c>
      <c r="I1626" s="12">
        <f t="shared" si="211"/>
        <v>0.23031188051951962</v>
      </c>
      <c r="J1626" s="3"/>
    </row>
    <row r="1627" spans="2:10" x14ac:dyDescent="0.25">
      <c r="B1627" s="3">
        <f t="shared" si="207"/>
        <v>8035</v>
      </c>
      <c r="C1627" s="14">
        <f t="shared" si="208"/>
        <v>133.91666666666666</v>
      </c>
      <c r="D1627" s="11">
        <f t="shared" si="209"/>
        <v>1065.463783132896</v>
      </c>
      <c r="E1627" s="24">
        <f t="shared" si="210"/>
        <v>688.93475846781746</v>
      </c>
      <c r="F1627" s="38">
        <f t="shared" si="205"/>
        <v>0.648546790920845</v>
      </c>
      <c r="G1627" s="14">
        <f t="shared" si="206"/>
        <v>0</v>
      </c>
      <c r="H1627" s="24">
        <f t="shared" si="204"/>
        <v>930.99410976040576</v>
      </c>
      <c r="I1627" s="12">
        <f t="shared" si="211"/>
        <v>0.22997964924818759</v>
      </c>
      <c r="J1627" s="3"/>
    </row>
    <row r="1628" spans="2:10" x14ac:dyDescent="0.25">
      <c r="B1628" s="3">
        <f t="shared" si="207"/>
        <v>8040</v>
      </c>
      <c r="C1628" s="14">
        <f t="shared" si="208"/>
        <v>134</v>
      </c>
      <c r="D1628" s="11">
        <f t="shared" si="209"/>
        <v>1065.556904078253</v>
      </c>
      <c r="E1628" s="24">
        <f t="shared" si="210"/>
        <v>689.16473811706567</v>
      </c>
      <c r="F1628" s="38">
        <f t="shared" si="205"/>
        <v>0.64767862099898355</v>
      </c>
      <c r="G1628" s="14">
        <f t="shared" si="206"/>
        <v>0</v>
      </c>
      <c r="H1628" s="24">
        <f t="shared" si="204"/>
        <v>932.24204516744066</v>
      </c>
      <c r="I1628" s="12">
        <f t="shared" si="211"/>
        <v>0.22964631878386108</v>
      </c>
      <c r="J1628" s="3"/>
    </row>
    <row r="1629" spans="2:10" x14ac:dyDescent="0.25">
      <c r="B1629" s="3">
        <f t="shared" si="207"/>
        <v>8045</v>
      </c>
      <c r="C1629" s="14">
        <f t="shared" si="208"/>
        <v>134.08333333333334</v>
      </c>
      <c r="D1629" s="11">
        <f t="shared" si="209"/>
        <v>1065.6499671845099</v>
      </c>
      <c r="E1629" s="24">
        <f t="shared" si="210"/>
        <v>689.39438443584947</v>
      </c>
      <c r="F1629" s="38">
        <f t="shared" si="205"/>
        <v>0.64680586078233238</v>
      </c>
      <c r="G1629" s="14">
        <f t="shared" si="206"/>
        <v>0</v>
      </c>
      <c r="H1629" s="24">
        <f t="shared" si="204"/>
        <v>933.49995549052846</v>
      </c>
      <c r="I1629" s="12">
        <f t="shared" si="211"/>
        <v>0.22931188032595953</v>
      </c>
      <c r="J1629" s="3"/>
    </row>
    <row r="1630" spans="2:10" x14ac:dyDescent="0.25">
      <c r="B1630" s="3">
        <f t="shared" si="207"/>
        <v>8050</v>
      </c>
      <c r="C1630" s="14">
        <f t="shared" si="208"/>
        <v>134.16666666666666</v>
      </c>
      <c r="D1630" s="11">
        <f t="shared" si="209"/>
        <v>1065.7429725234717</v>
      </c>
      <c r="E1630" s="24">
        <f t="shared" si="210"/>
        <v>689.62369631617548</v>
      </c>
      <c r="F1630" s="38">
        <f t="shared" si="205"/>
        <v>0.64592848080260845</v>
      </c>
      <c r="G1630" s="14">
        <f t="shared" si="206"/>
        <v>0</v>
      </c>
      <c r="H1630" s="24">
        <f t="shared" si="204"/>
        <v>934.76795062677456</v>
      </c>
      <c r="I1630" s="12">
        <f t="shared" si="211"/>
        <v>0.22897632500491105</v>
      </c>
      <c r="J1630" s="3"/>
    </row>
    <row r="1631" spans="2:10" x14ac:dyDescent="0.25">
      <c r="B1631" s="3">
        <f t="shared" si="207"/>
        <v>8055</v>
      </c>
      <c r="C1631" s="14">
        <f t="shared" si="208"/>
        <v>134.25</v>
      </c>
      <c r="D1631" s="11">
        <f t="shared" si="209"/>
        <v>1065.8359201668102</v>
      </c>
      <c r="E1631" s="24">
        <f t="shared" si="210"/>
        <v>689.85267264118045</v>
      </c>
      <c r="F1631" s="38">
        <f t="shared" si="205"/>
        <v>0.64504645142038897</v>
      </c>
      <c r="G1631" s="14">
        <f t="shared" si="206"/>
        <v>0</v>
      </c>
      <c r="H1631" s="24">
        <f t="shared" si="204"/>
        <v>936.04614198213255</v>
      </c>
      <c r="I1631" s="12">
        <f t="shared" si="211"/>
        <v>0.2286396438816681</v>
      </c>
      <c r="J1631" s="3"/>
    </row>
    <row r="1632" spans="2:10" x14ac:dyDescent="0.25">
      <c r="B1632" s="3">
        <f t="shared" si="207"/>
        <v>8060</v>
      </c>
      <c r="C1632" s="14">
        <f t="shared" si="208"/>
        <v>134.33333333333334</v>
      </c>
      <c r="D1632" s="11">
        <f t="shared" si="209"/>
        <v>1065.9288101860636</v>
      </c>
      <c r="E1632" s="24">
        <f t="shared" si="210"/>
        <v>690.08131228506215</v>
      </c>
      <c r="F1632" s="38">
        <f t="shared" si="205"/>
        <v>0.64415974282528765</v>
      </c>
      <c r="G1632" s="14">
        <f t="shared" si="206"/>
        <v>0</v>
      </c>
      <c r="H1632" s="24">
        <f t="shared" si="204"/>
        <v>937.33464249578867</v>
      </c>
      <c r="I1632" s="12">
        <f t="shared" si="211"/>
        <v>0.22830182794749856</v>
      </c>
      <c r="J1632" s="3"/>
    </row>
    <row r="1633" spans="2:10" x14ac:dyDescent="0.25">
      <c r="B1633" s="3">
        <f t="shared" si="207"/>
        <v>8065</v>
      </c>
      <c r="C1633" s="14">
        <f t="shared" si="208"/>
        <v>134.41666666666666</v>
      </c>
      <c r="D1633" s="11">
        <f t="shared" si="209"/>
        <v>1066.0216426526372</v>
      </c>
      <c r="E1633" s="24">
        <f t="shared" si="210"/>
        <v>690.30961411300962</v>
      </c>
      <c r="F1633" s="38">
        <f t="shared" si="205"/>
        <v>0.64326832503617459</v>
      </c>
      <c r="G1633" s="14">
        <f t="shared" si="206"/>
        <v>0</v>
      </c>
      <c r="H1633" s="24">
        <f t="shared" si="204"/>
        <v>938.63356666499226</v>
      </c>
      <c r="I1633" s="12">
        <f t="shared" si="211"/>
        <v>0.22796286812360278</v>
      </c>
      <c r="J1633" s="3"/>
    </row>
    <row r="1634" spans="2:10" x14ac:dyDescent="0.25">
      <c r="B1634" s="3">
        <f t="shared" si="207"/>
        <v>8070</v>
      </c>
      <c r="C1634" s="14">
        <f t="shared" si="208"/>
        <v>134.5</v>
      </c>
      <c r="D1634" s="11">
        <f t="shared" si="209"/>
        <v>1066.1144176378036</v>
      </c>
      <c r="E1634" s="24">
        <f t="shared" si="210"/>
        <v>690.53757698113327</v>
      </c>
      <c r="F1634" s="38">
        <f t="shared" si="205"/>
        <v>0.64237216790143881</v>
      </c>
      <c r="G1634" s="14">
        <f t="shared" si="206"/>
        <v>0</v>
      </c>
      <c r="H1634" s="24">
        <f t="shared" si="204"/>
        <v>939.94303057034381</v>
      </c>
      <c r="I1634" s="12">
        <f t="shared" si="211"/>
        <v>0.227622755260736</v>
      </c>
      <c r="J1634" s="3"/>
    </row>
    <row r="1635" spans="2:10" x14ac:dyDescent="0.25">
      <c r="B1635" s="3">
        <f t="shared" si="207"/>
        <v>8075</v>
      </c>
      <c r="C1635" s="14">
        <f t="shared" si="208"/>
        <v>134.58333333333334</v>
      </c>
      <c r="D1635" s="11">
        <f t="shared" si="209"/>
        <v>1066.2071352127034</v>
      </c>
      <c r="E1635" s="24">
        <f t="shared" si="210"/>
        <v>690.76519973639404</v>
      </c>
      <c r="F1635" s="38">
        <f t="shared" si="205"/>
        <v>0.64147124109929843</v>
      </c>
      <c r="G1635" s="14">
        <f t="shared" si="206"/>
        <v>0</v>
      </c>
      <c r="H1635" s="24">
        <f t="shared" si="204"/>
        <v>941.26315190154276</v>
      </c>
      <c r="I1635" s="12">
        <f t="shared" si="211"/>
        <v>0.22728148013894456</v>
      </c>
      <c r="J1635" s="3"/>
    </row>
    <row r="1636" spans="2:10" x14ac:dyDescent="0.25">
      <c r="B1636" s="3">
        <f t="shared" si="207"/>
        <v>8080</v>
      </c>
      <c r="C1636" s="14">
        <f t="shared" si="208"/>
        <v>134.66666666666666</v>
      </c>
      <c r="D1636" s="11">
        <f t="shared" si="209"/>
        <v>1066.2997954483446</v>
      </c>
      <c r="E1636" s="24">
        <f t="shared" si="210"/>
        <v>690.99248121653295</v>
      </c>
      <c r="F1636" s="38">
        <f t="shared" si="205"/>
        <v>0.6405655141381551</v>
      </c>
      <c r="G1636" s="14">
        <f t="shared" si="206"/>
        <v>0</v>
      </c>
      <c r="H1636" s="24">
        <f t="shared" si="204"/>
        <v>942.59404998361492</v>
      </c>
      <c r="I1636" s="12">
        <f t="shared" si="211"/>
        <v>0.22693903346724717</v>
      </c>
      <c r="J1636" s="3"/>
    </row>
    <row r="1637" spans="2:10" x14ac:dyDescent="0.25">
      <c r="B1637" s="3">
        <f t="shared" si="207"/>
        <v>8085</v>
      </c>
      <c r="C1637" s="14">
        <f t="shared" si="208"/>
        <v>134.75</v>
      </c>
      <c r="D1637" s="11">
        <f t="shared" si="209"/>
        <v>1066.392398415604</v>
      </c>
      <c r="E1637" s="24">
        <f t="shared" si="210"/>
        <v>691.21942025000021</v>
      </c>
      <c r="F1637" s="38">
        <f t="shared" si="205"/>
        <v>0.63965495635699599</v>
      </c>
      <c r="G1637" s="14">
        <f t="shared" si="206"/>
        <v>0</v>
      </c>
      <c r="H1637" s="24">
        <f t="shared" si="204"/>
        <v>943.93584580362244</v>
      </c>
      <c r="I1637" s="12">
        <f t="shared" si="211"/>
        <v>0.22659540588326388</v>
      </c>
      <c r="J1637" s="3"/>
    </row>
    <row r="1638" spans="2:10" x14ac:dyDescent="0.25">
      <c r="B1638" s="3">
        <f t="shared" si="207"/>
        <v>8090</v>
      </c>
      <c r="C1638" s="14">
        <f t="shared" si="208"/>
        <v>134.83333333333334</v>
      </c>
      <c r="D1638" s="11">
        <f t="shared" si="209"/>
        <v>1066.4849441852275</v>
      </c>
      <c r="E1638" s="24">
        <f t="shared" si="210"/>
        <v>691.44601565588346</v>
      </c>
      <c r="F1638" s="38">
        <f t="shared" si="205"/>
        <v>0.63873953692584828</v>
      </c>
      <c r="G1638" s="14">
        <f t="shared" si="206"/>
        <v>0</v>
      </c>
      <c r="H1638" s="24">
        <f t="shared" si="204"/>
        <v>945.28866203786447</v>
      </c>
      <c r="I1638" s="12">
        <f t="shared" si="211"/>
        <v>0.22625058795292896</v>
      </c>
      <c r="J1638" s="3"/>
    </row>
    <row r="1639" spans="2:10" x14ac:dyDescent="0.25">
      <c r="B1639" s="3">
        <f t="shared" si="207"/>
        <v>8095</v>
      </c>
      <c r="C1639" s="14">
        <f t="shared" si="208"/>
        <v>134.91666666666666</v>
      </c>
      <c r="D1639" s="11">
        <f t="shared" si="209"/>
        <v>1066.5774328278287</v>
      </c>
      <c r="E1639" s="24">
        <f t="shared" si="210"/>
        <v>691.67226624383636</v>
      </c>
      <c r="F1639" s="38">
        <f t="shared" si="205"/>
        <v>0.63781922484628106</v>
      </c>
      <c r="G1639" s="14">
        <f t="shared" si="206"/>
        <v>0</v>
      </c>
      <c r="H1639" s="24">
        <f t="shared" si="204"/>
        <v>946.65262307958585</v>
      </c>
      <c r="I1639" s="12">
        <f t="shared" si="211"/>
        <v>0.22590457017034452</v>
      </c>
      <c r="J1639" s="3"/>
    </row>
    <row r="1640" spans="2:10" x14ac:dyDescent="0.25">
      <c r="B1640" s="3">
        <f t="shared" si="207"/>
        <v>8100</v>
      </c>
      <c r="C1640" s="14">
        <f t="shared" si="208"/>
        <v>135</v>
      </c>
      <c r="D1640" s="11">
        <f t="shared" si="209"/>
        <v>1066.6698644138919</v>
      </c>
      <c r="E1640" s="24">
        <f t="shared" si="210"/>
        <v>691.89817081400668</v>
      </c>
      <c r="F1640" s="38">
        <f t="shared" si="205"/>
        <v>0.63689398895196259</v>
      </c>
      <c r="G1640" s="14">
        <f t="shared" si="206"/>
        <v>0</v>
      </c>
      <c r="H1640" s="24">
        <f t="shared" si="204"/>
        <v>948.02785506719704</v>
      </c>
      <c r="I1640" s="12">
        <f t="shared" si="211"/>
        <v>0.22555734295719568</v>
      </c>
      <c r="J1640" s="3"/>
    </row>
    <row r="1641" spans="2:10" x14ac:dyDescent="0.25">
      <c r="B1641" s="3">
        <f t="shared" si="207"/>
        <v>8105</v>
      </c>
      <c r="C1641" s="14">
        <f t="shared" si="208"/>
        <v>135.08333333333334</v>
      </c>
      <c r="D1641" s="11">
        <f t="shared" si="209"/>
        <v>1066.7622390137701</v>
      </c>
      <c r="E1641" s="24">
        <f t="shared" si="210"/>
        <v>692.12372815696392</v>
      </c>
      <c r="F1641" s="38">
        <f t="shared" si="205"/>
        <v>0.63596379790926916</v>
      </c>
      <c r="G1641" s="14">
        <f t="shared" si="206"/>
        <v>0</v>
      </c>
      <c r="H1641" s="24">
        <f t="shared" si="204"/>
        <v>949.41448591301946</v>
      </c>
      <c r="I1641" s="12">
        <f t="shared" si="211"/>
        <v>0.22520889666278612</v>
      </c>
      <c r="J1641" s="3"/>
    </row>
    <row r="1642" spans="2:10" x14ac:dyDescent="0.25">
      <c r="B1642" s="3">
        <f t="shared" si="207"/>
        <v>8110</v>
      </c>
      <c r="C1642" s="14">
        <f t="shared" si="208"/>
        <v>135.16666666666666</v>
      </c>
      <c r="D1642" s="11">
        <f t="shared" si="209"/>
        <v>1066.8545566976868</v>
      </c>
      <c r="E1642" s="24">
        <f t="shared" si="210"/>
        <v>692.34893705362674</v>
      </c>
      <c r="F1642" s="38">
        <f t="shared" si="205"/>
        <v>0.63502862021795259</v>
      </c>
      <c r="G1642" s="14">
        <f t="shared" si="206"/>
        <v>0</v>
      </c>
      <c r="H1642" s="24">
        <f t="shared" si="204"/>
        <v>950.8126453325649</v>
      </c>
      <c r="I1642" s="12">
        <f t="shared" si="211"/>
        <v>0.2248592215635464</v>
      </c>
      <c r="J1642" s="3"/>
    </row>
    <row r="1643" spans="2:10" x14ac:dyDescent="0.25">
      <c r="B1643" s="3">
        <f t="shared" si="207"/>
        <v>8115</v>
      </c>
      <c r="C1643" s="14">
        <f t="shared" si="208"/>
        <v>135.25</v>
      </c>
      <c r="D1643" s="11">
        <f t="shared" si="209"/>
        <v>1066.9468175357354</v>
      </c>
      <c r="E1643" s="24">
        <f t="shared" si="210"/>
        <v>692.57379627519026</v>
      </c>
      <c r="F1643" s="38">
        <f t="shared" si="205"/>
        <v>0.6340884242118624</v>
      </c>
      <c r="G1643" s="14">
        <f t="shared" si="206"/>
        <v>0</v>
      </c>
      <c r="H1643" s="24">
        <f t="shared" si="204"/>
        <v>952.22246487436269</v>
      </c>
      <c r="I1643" s="12">
        <f t="shared" si="211"/>
        <v>0.22450830786290893</v>
      </c>
      <c r="J1643" s="3"/>
    </row>
    <row r="1644" spans="2:10" x14ac:dyDescent="0.25">
      <c r="B1644" s="3">
        <f t="shared" si="207"/>
        <v>8120</v>
      </c>
      <c r="C1644" s="14">
        <f t="shared" si="208"/>
        <v>135.33333333333334</v>
      </c>
      <c r="D1644" s="11">
        <f t="shared" si="209"/>
        <v>1067.0390215978803</v>
      </c>
      <c r="E1644" s="24">
        <f t="shared" si="210"/>
        <v>692.79830458305321</v>
      </c>
      <c r="F1644" s="38">
        <f t="shared" si="205"/>
        <v>0.63314317805972764</v>
      </c>
      <c r="G1644" s="14">
        <f t="shared" si="206"/>
        <v>0</v>
      </c>
      <c r="H1644" s="24">
        <f t="shared" si="204"/>
        <v>953.64407795034504</v>
      </c>
      <c r="I1644" s="12">
        <f t="shared" si="211"/>
        <v>0.22415614569095516</v>
      </c>
      <c r="J1644" s="3"/>
    </row>
    <row r="1645" spans="2:10" x14ac:dyDescent="0.25">
      <c r="B1645" s="3">
        <f t="shared" si="207"/>
        <v>8125</v>
      </c>
      <c r="C1645" s="14">
        <f t="shared" si="208"/>
        <v>135.41666666666666</v>
      </c>
      <c r="D1645" s="11">
        <f t="shared" si="209"/>
        <v>1067.1311689539557</v>
      </c>
      <c r="E1645" s="24">
        <f t="shared" si="210"/>
        <v>693.02246072874414</v>
      </c>
      <c r="F1645" s="38">
        <f t="shared" si="205"/>
        <v>0.63219284976600187</v>
      </c>
      <c r="G1645" s="14">
        <f t="shared" si="206"/>
        <v>0</v>
      </c>
      <c r="H1645" s="24">
        <f t="shared" si="204"/>
        <v>955.07761986679611</v>
      </c>
      <c r="I1645" s="12">
        <f t="shared" si="211"/>
        <v>0.2238027251043409</v>
      </c>
      <c r="J1645" s="3"/>
    </row>
    <row r="1646" spans="2:10" x14ac:dyDescent="0.25">
      <c r="B1646" s="3">
        <f t="shared" si="207"/>
        <v>8130</v>
      </c>
      <c r="C1646" s="14">
        <f t="shared" si="208"/>
        <v>135.5</v>
      </c>
      <c r="D1646" s="11">
        <f t="shared" si="209"/>
        <v>1067.2232596736692</v>
      </c>
      <c r="E1646" s="24">
        <f t="shared" si="210"/>
        <v>693.24626345384843</v>
      </c>
      <c r="F1646" s="38">
        <f t="shared" si="205"/>
        <v>0.6312374071717668</v>
      </c>
      <c r="G1646" s="14">
        <f t="shared" si="206"/>
        <v>0</v>
      </c>
      <c r="H1646" s="24">
        <f t="shared" si="204"/>
        <v>956.52322785588854</v>
      </c>
      <c r="I1646" s="12">
        <f t="shared" si="211"/>
        <v>0.22344803608574379</v>
      </c>
      <c r="J1646" s="3"/>
    </row>
    <row r="1647" spans="2:10" x14ac:dyDescent="0.25">
      <c r="B1647" s="3">
        <f t="shared" si="207"/>
        <v>8135</v>
      </c>
      <c r="C1647" s="14">
        <f t="shared" si="208"/>
        <v>135.58333333333334</v>
      </c>
      <c r="D1647" s="11">
        <f t="shared" si="209"/>
        <v>1067.3152938265976</v>
      </c>
      <c r="E1647" s="24">
        <f t="shared" si="210"/>
        <v>693.46971148993418</v>
      </c>
      <c r="F1647" s="38">
        <f t="shared" si="205"/>
        <v>0.63027681795570356</v>
      </c>
      <c r="G1647" s="14">
        <f t="shared" si="206"/>
        <v>0</v>
      </c>
      <c r="H1647" s="24">
        <f t="shared" si="204"/>
        <v>957.98104110780628</v>
      </c>
      <c r="I1647" s="12">
        <f t="shared" si="211"/>
        <v>0.22309206854415015</v>
      </c>
      <c r="J1647" s="3"/>
    </row>
    <row r="1648" spans="2:10" x14ac:dyDescent="0.25">
      <c r="B1648" s="3">
        <f t="shared" si="207"/>
        <v>8140</v>
      </c>
      <c r="C1648" s="14">
        <f t="shared" si="208"/>
        <v>135.66666666666666</v>
      </c>
      <c r="D1648" s="11">
        <f t="shared" si="209"/>
        <v>1067.4072714821912</v>
      </c>
      <c r="E1648" s="24">
        <f t="shared" si="210"/>
        <v>693.69280355847832</v>
      </c>
      <c r="F1648" s="38">
        <f t="shared" si="205"/>
        <v>0.62931104963512929</v>
      </c>
      <c r="G1648" s="14">
        <f t="shared" si="206"/>
        <v>0</v>
      </c>
      <c r="H1648" s="24">
        <f t="shared" si="204"/>
        <v>959.4512008034751</v>
      </c>
      <c r="I1648" s="12">
        <f t="shared" si="211"/>
        <v>0.22273481231410508</v>
      </c>
      <c r="J1648" s="3"/>
    </row>
    <row r="1649" spans="2:10" x14ac:dyDescent="0.25">
      <c r="B1649" s="3">
        <f t="shared" si="207"/>
        <v>8145</v>
      </c>
      <c r="C1649" s="14">
        <f t="shared" si="208"/>
        <v>135.75</v>
      </c>
      <c r="D1649" s="11">
        <f t="shared" si="209"/>
        <v>1067.4991927097715</v>
      </c>
      <c r="E1649" s="24">
        <f t="shared" si="210"/>
        <v>693.91553837079243</v>
      </c>
      <c r="F1649" s="38">
        <f t="shared" si="205"/>
        <v>0.6283400695671012</v>
      </c>
      <c r="G1649" s="14">
        <f t="shared" si="206"/>
        <v>0</v>
      </c>
      <c r="H1649" s="24">
        <f t="shared" si="204"/>
        <v>960.93385014791011</v>
      </c>
      <c r="I1649" s="12">
        <f t="shared" si="211"/>
        <v>0.22237625715596407</v>
      </c>
      <c r="J1649" s="3"/>
    </row>
    <row r="1650" spans="2:10" x14ac:dyDescent="0.25">
      <c r="B1650" s="3">
        <f t="shared" si="207"/>
        <v>8150</v>
      </c>
      <c r="C1650" s="14">
        <f t="shared" si="208"/>
        <v>135.83333333333334</v>
      </c>
      <c r="D1650" s="11">
        <f t="shared" si="209"/>
        <v>1067.5910575785331</v>
      </c>
      <c r="E1650" s="24">
        <f t="shared" si="210"/>
        <v>694.13791462794836</v>
      </c>
      <c r="F1650" s="38">
        <f t="shared" si="205"/>
        <v>0.62736384494959108</v>
      </c>
      <c r="G1650" s="14">
        <f t="shared" si="206"/>
        <v>0</v>
      </c>
      <c r="H1650" s="24">
        <f t="shared" si="204"/>
        <v>962.42913440419113</v>
      </c>
      <c r="I1650" s="12">
        <f t="shared" si="211"/>
        <v>0.2220163927554199</v>
      </c>
      <c r="J1650" s="3"/>
    </row>
    <row r="1651" spans="2:10" x14ac:dyDescent="0.25">
      <c r="B1651" s="3">
        <f t="shared" si="207"/>
        <v>8155</v>
      </c>
      <c r="C1651" s="14">
        <f t="shared" si="208"/>
        <v>135.91666666666666</v>
      </c>
      <c r="D1651" s="11">
        <f t="shared" si="209"/>
        <v>1067.6828661575432</v>
      </c>
      <c r="E1651" s="24">
        <f t="shared" si="210"/>
        <v>694.35993102070381</v>
      </c>
      <c r="F1651" s="38">
        <f t="shared" si="205"/>
        <v>0.62638234282273253</v>
      </c>
      <c r="G1651" s="14">
        <f t="shared" si="206"/>
        <v>0</v>
      </c>
      <c r="H1651" s="24">
        <f t="shared" si="204"/>
        <v>963.93720092808371</v>
      </c>
      <c r="I1651" s="12">
        <f t="shared" si="211"/>
        <v>0.22165520872350036</v>
      </c>
      <c r="J1651" s="3"/>
    </row>
    <row r="1652" spans="2:10" x14ac:dyDescent="0.25">
      <c r="B1652" s="3">
        <f t="shared" si="207"/>
        <v>8160</v>
      </c>
      <c r="C1652" s="14">
        <f t="shared" si="208"/>
        <v>136</v>
      </c>
      <c r="D1652" s="11">
        <f t="shared" si="209"/>
        <v>1067.7746185157423</v>
      </c>
      <c r="E1652" s="24">
        <f t="shared" si="210"/>
        <v>694.58158622942733</v>
      </c>
      <c r="F1652" s="38">
        <f t="shared" si="205"/>
        <v>0.62539553007014181</v>
      </c>
      <c r="G1652" s="14">
        <f t="shared" si="206"/>
        <v>0</v>
      </c>
      <c r="H1652" s="24">
        <f t="shared" si="204"/>
        <v>965.45819920331257</v>
      </c>
      <c r="I1652" s="12">
        <f t="shared" si="211"/>
        <v>0.22129269459635892</v>
      </c>
      <c r="J1652" s="3"/>
    </row>
    <row r="1653" spans="2:10" x14ac:dyDescent="0.25">
      <c r="B1653" s="3">
        <f t="shared" si="207"/>
        <v>8165</v>
      </c>
      <c r="C1653" s="14">
        <f t="shared" si="208"/>
        <v>136.08333333333334</v>
      </c>
      <c r="D1653" s="11">
        <f t="shared" si="209"/>
        <v>1067.8663147219436</v>
      </c>
      <c r="E1653" s="24">
        <f t="shared" si="210"/>
        <v>694.80287892402373</v>
      </c>
      <c r="F1653" s="38">
        <f t="shared" si="205"/>
        <v>0.62440337342031393</v>
      </c>
      <c r="G1653" s="14">
        <f t="shared" si="206"/>
        <v>0</v>
      </c>
      <c r="H1653" s="24">
        <f t="shared" si="204"/>
        <v>966.99228087750862</v>
      </c>
      <c r="I1653" s="12">
        <f t="shared" si="211"/>
        <v>0.22092883983518216</v>
      </c>
      <c r="J1653" s="3"/>
    </row>
    <row r="1654" spans="2:10" x14ac:dyDescent="0.25">
      <c r="B1654" s="3">
        <f t="shared" si="207"/>
        <v>8170</v>
      </c>
      <c r="C1654" s="14">
        <f t="shared" si="208"/>
        <v>136.16666666666666</v>
      </c>
      <c r="D1654" s="11">
        <f t="shared" si="209"/>
        <v>1067.9579548448351</v>
      </c>
      <c r="E1654" s="24">
        <f t="shared" si="210"/>
        <v>695.02380776385894</v>
      </c>
      <c r="F1654" s="38">
        <f t="shared" si="205"/>
        <v>0.62340583944809946</v>
      </c>
      <c r="G1654" s="14">
        <f t="shared" si="206"/>
        <v>0</v>
      </c>
      <c r="H1654" s="24">
        <f t="shared" si="204"/>
        <v>968.53959979883689</v>
      </c>
      <c r="I1654" s="12">
        <f t="shared" si="211"/>
        <v>0.22056363382593833</v>
      </c>
      <c r="J1654" s="3"/>
    </row>
    <row r="1655" spans="2:10" x14ac:dyDescent="0.25">
      <c r="B1655" s="3">
        <f t="shared" si="207"/>
        <v>8175</v>
      </c>
      <c r="C1655" s="14">
        <f t="shared" si="208"/>
        <v>136.25</v>
      </c>
      <c r="D1655" s="11">
        <f t="shared" si="209"/>
        <v>1068.0495389529779</v>
      </c>
      <c r="E1655" s="24">
        <f t="shared" si="210"/>
        <v>695.24437139768486</v>
      </c>
      <c r="F1655" s="38">
        <f t="shared" si="205"/>
        <v>0.62240289457625908</v>
      </c>
      <c r="G1655" s="14">
        <f t="shared" si="206"/>
        <v>0</v>
      </c>
      <c r="H1655" s="24">
        <f t="shared" ref="H1655:H1718" si="212">IF(E1655&lt;600,425+0.773*E1655-1.69/1000*E1655^2+2.22/1000^2*E1655^3,IF(E1655&lt;735,666+13002/(738-E1655),IF(E1655&lt;900,545+17820/(E1655-731),650)))</f>
        <v>970.10031205332257</v>
      </c>
      <c r="I1655" s="12">
        <f t="shared" si="211"/>
        <v>0.22019706587949125</v>
      </c>
      <c r="J1655" s="3"/>
    </row>
    <row r="1656" spans="2:10" x14ac:dyDescent="0.25">
      <c r="B1656" s="3">
        <f t="shared" si="207"/>
        <v>8180</v>
      </c>
      <c r="C1656" s="14">
        <f t="shared" si="208"/>
        <v>136.33333333333334</v>
      </c>
      <c r="D1656" s="11">
        <f t="shared" si="209"/>
        <v>1068.141067114808</v>
      </c>
      <c r="E1656" s="24">
        <f t="shared" si="210"/>
        <v>695.46456846356432</v>
      </c>
      <c r="F1656" s="38">
        <f t="shared" si="205"/>
        <v>0.62139450507710237</v>
      </c>
      <c r="G1656" s="14">
        <f t="shared" si="206"/>
        <v>0</v>
      </c>
      <c r="H1656" s="24">
        <f t="shared" si="212"/>
        <v>971.67457600289163</v>
      </c>
      <c r="I1656" s="12">
        <f t="shared" si="211"/>
        <v>0.21982912523129272</v>
      </c>
      <c r="J1656" s="3"/>
    </row>
    <row r="1657" spans="2:10" x14ac:dyDescent="0.25">
      <c r="B1657" s="3">
        <f t="shared" si="207"/>
        <v>8185</v>
      </c>
      <c r="C1657" s="14">
        <f t="shared" si="208"/>
        <v>136.41666666666666</v>
      </c>
      <c r="D1657" s="11">
        <f t="shared" si="209"/>
        <v>1068.2325393986359</v>
      </c>
      <c r="E1657" s="24">
        <f t="shared" si="210"/>
        <v>695.6843975887956</v>
      </c>
      <c r="F1657" s="38">
        <f t="shared" si="205"/>
        <v>0.62038063707421143</v>
      </c>
      <c r="G1657" s="14">
        <f t="shared" si="206"/>
        <v>0</v>
      </c>
      <c r="H1657" s="24">
        <f t="shared" si="212"/>
        <v>973.26255232413541</v>
      </c>
      <c r="I1657" s="12">
        <f t="shared" si="211"/>
        <v>0.21945980104147139</v>
      </c>
      <c r="J1657" s="3"/>
    </row>
    <row r="1658" spans="2:10" x14ac:dyDescent="0.25">
      <c r="B1658" s="3">
        <f t="shared" si="207"/>
        <v>8190</v>
      </c>
      <c r="C1658" s="14">
        <f t="shared" si="208"/>
        <v>136.5</v>
      </c>
      <c r="D1658" s="11">
        <f t="shared" si="209"/>
        <v>1068.3239558726475</v>
      </c>
      <c r="E1658" s="24">
        <f t="shared" si="210"/>
        <v>695.90385738983707</v>
      </c>
      <c r="F1658" s="38">
        <f t="shared" si="205"/>
        <v>0.61936125654425112</v>
      </c>
      <c r="G1658" s="14">
        <f t="shared" si="206"/>
        <v>0</v>
      </c>
      <c r="H1658" s="24">
        <f t="shared" si="212"/>
        <v>974.86440404781968</v>
      </c>
      <c r="I1658" s="12">
        <f t="shared" si="211"/>
        <v>0.21908908239464867</v>
      </c>
      <c r="J1658" s="3"/>
    </row>
    <row r="1659" spans="2:10" x14ac:dyDescent="0.25">
      <c r="B1659" s="3">
        <f t="shared" si="207"/>
        <v>8195</v>
      </c>
      <c r="C1659" s="14">
        <f t="shared" si="208"/>
        <v>136.58333333333334</v>
      </c>
      <c r="D1659" s="11">
        <f t="shared" si="209"/>
        <v>1068.4153166049027</v>
      </c>
      <c r="E1659" s="24">
        <f t="shared" si="210"/>
        <v>696.12294647223177</v>
      </c>
      <c r="F1659" s="38">
        <f t="shared" si="205"/>
        <v>0.61833632931886973</v>
      </c>
      <c r="G1659" s="14">
        <f t="shared" si="206"/>
        <v>0</v>
      </c>
      <c r="H1659" s="24">
        <f t="shared" si="212"/>
        <v>976.48029659915096</v>
      </c>
      <c r="I1659" s="12">
        <f t="shared" si="211"/>
        <v>0.21871695830009083</v>
      </c>
      <c r="J1659" s="3"/>
    </row>
    <row r="1660" spans="2:10" x14ac:dyDescent="0.25">
      <c r="B1660" s="3">
        <f t="shared" si="207"/>
        <v>8200</v>
      </c>
      <c r="C1660" s="14">
        <f t="shared" si="208"/>
        <v>136.66666666666666</v>
      </c>
      <c r="D1660" s="11">
        <f t="shared" si="209"/>
        <v>1068.5066216633386</v>
      </c>
      <c r="E1660" s="24">
        <f t="shared" si="210"/>
        <v>696.34166343053187</v>
      </c>
      <c r="F1660" s="38">
        <f t="shared" si="205"/>
        <v>0.61730582108669085</v>
      </c>
      <c r="G1660" s="14">
        <f t="shared" si="206"/>
        <v>0</v>
      </c>
      <c r="H1660" s="24">
        <f t="shared" si="212"/>
        <v>978.11039783881608</v>
      </c>
      <c r="I1660" s="12">
        <f t="shared" si="211"/>
        <v>0.21834341769140386</v>
      </c>
      <c r="J1660" s="3"/>
    </row>
    <row r="1661" spans="2:10" x14ac:dyDescent="0.25">
      <c r="B1661" s="3">
        <f t="shared" si="207"/>
        <v>8205</v>
      </c>
      <c r="C1661" s="14">
        <f t="shared" si="208"/>
        <v>136.75</v>
      </c>
      <c r="D1661" s="11">
        <f t="shared" si="209"/>
        <v>1068.5978711157672</v>
      </c>
      <c r="E1661" s="24">
        <f t="shared" si="210"/>
        <v>696.56000684822322</v>
      </c>
      <c r="F1661" s="38">
        <f t="shared" si="205"/>
        <v>0.61626969739540005</v>
      </c>
      <c r="G1661" s="14">
        <f t="shared" si="206"/>
        <v>0</v>
      </c>
      <c r="H1661" s="24">
        <f t="shared" si="212"/>
        <v>979.75487810481286</v>
      </c>
      <c r="I1661" s="12">
        <f t="shared" si="211"/>
        <v>0.21796844942684013</v>
      </c>
      <c r="J1661" s="3"/>
    </row>
    <row r="1662" spans="2:10" x14ac:dyDescent="0.25">
      <c r="B1662" s="3">
        <f t="shared" si="207"/>
        <v>8210</v>
      </c>
      <c r="C1662" s="14">
        <f t="shared" si="208"/>
        <v>136.83333333333334</v>
      </c>
      <c r="D1662" s="11">
        <f t="shared" si="209"/>
        <v>1068.6890650298767</v>
      </c>
      <c r="E1662" s="24">
        <f t="shared" si="210"/>
        <v>696.77797529765007</v>
      </c>
      <c r="F1662" s="38">
        <f t="shared" si="205"/>
        <v>0.6152279236539282</v>
      </c>
      <c r="G1662" s="14">
        <f t="shared" si="206"/>
        <v>0</v>
      </c>
      <c r="H1662" s="24">
        <f t="shared" si="212"/>
        <v>981.41391025508756</v>
      </c>
      <c r="I1662" s="12">
        <f t="shared" si="211"/>
        <v>0.21759204228916201</v>
      </c>
      <c r="J1662" s="3"/>
    </row>
    <row r="1663" spans="2:10" x14ac:dyDescent="0.25">
      <c r="B1663" s="3">
        <f t="shared" si="207"/>
        <v>8215</v>
      </c>
      <c r="C1663" s="14">
        <f t="shared" si="208"/>
        <v>136.91666666666666</v>
      </c>
      <c r="D1663" s="11">
        <f t="shared" si="209"/>
        <v>1068.7802034732322</v>
      </c>
      <c r="E1663" s="24">
        <f t="shared" si="210"/>
        <v>696.99556733993927</v>
      </c>
      <c r="F1663" s="38">
        <f t="shared" si="205"/>
        <v>0.61418046513473468</v>
      </c>
      <c r="G1663" s="14">
        <f t="shared" si="206"/>
        <v>0</v>
      </c>
      <c r="H1663" s="24">
        <f t="shared" si="212"/>
        <v>983.08766971099317</v>
      </c>
      <c r="I1663" s="12">
        <f t="shared" si="211"/>
        <v>0.21721418498564493</v>
      </c>
      <c r="J1663" s="3"/>
    </row>
    <row r="1664" spans="2:10" x14ac:dyDescent="0.25">
      <c r="B1664" s="3">
        <f t="shared" si="207"/>
        <v>8220</v>
      </c>
      <c r="C1664" s="14">
        <f t="shared" si="208"/>
        <v>137</v>
      </c>
      <c r="D1664" s="11">
        <f t="shared" si="209"/>
        <v>1068.8712865132752</v>
      </c>
      <c r="E1664" s="24">
        <f t="shared" si="210"/>
        <v>697.21278152492494</v>
      </c>
      <c r="F1664" s="38">
        <f t="shared" si="205"/>
        <v>0.61312728697619279</v>
      </c>
      <c r="G1664" s="14">
        <f t="shared" si="206"/>
        <v>0</v>
      </c>
      <c r="H1664" s="24">
        <f t="shared" si="212"/>
        <v>984.77633450159101</v>
      </c>
      <c r="I1664" s="12">
        <f t="shared" si="211"/>
        <v>0.21683486614828745</v>
      </c>
      <c r="J1664" s="3"/>
    </row>
    <row r="1665" spans="2:10" x14ac:dyDescent="0.25">
      <c r="B1665" s="3">
        <f t="shared" si="207"/>
        <v>8225</v>
      </c>
      <c r="C1665" s="14">
        <f t="shared" si="208"/>
        <v>137.08333333333334</v>
      </c>
      <c r="D1665" s="11">
        <f t="shared" si="209"/>
        <v>1068.9623142173245</v>
      </c>
      <c r="E1665" s="24">
        <f t="shared" si="210"/>
        <v>697.42961639107318</v>
      </c>
      <c r="F1665" s="38">
        <f t="shared" si="205"/>
        <v>0.61206835418507965</v>
      </c>
      <c r="G1665" s="14">
        <f t="shared" si="206"/>
        <v>0</v>
      </c>
      <c r="H1665" s="24">
        <f t="shared" si="212"/>
        <v>986.48008530880975</v>
      </c>
      <c r="I1665" s="12">
        <f t="shared" si="211"/>
        <v>0.21645407433378522</v>
      </c>
      <c r="J1665" s="3"/>
    </row>
    <row r="1666" spans="2:10" x14ac:dyDescent="0.25">
      <c r="B1666" s="3">
        <f t="shared" si="207"/>
        <v>8230</v>
      </c>
      <c r="C1666" s="14">
        <f t="shared" si="208"/>
        <v>137.16666666666666</v>
      </c>
      <c r="D1666" s="11">
        <f t="shared" si="209"/>
        <v>1069.0532866525762</v>
      </c>
      <c r="E1666" s="24">
        <f t="shared" si="210"/>
        <v>697.64607046540698</v>
      </c>
      <c r="F1666" s="38">
        <f t="shared" si="205"/>
        <v>0.6110036316391726</v>
      </c>
      <c r="G1666" s="14">
        <f t="shared" si="206"/>
        <v>0</v>
      </c>
      <c r="H1666" s="24">
        <f t="shared" si="212"/>
        <v>988.19910551348312</v>
      </c>
      <c r="I1666" s="12">
        <f t="shared" si="211"/>
        <v>0.21607179802370094</v>
      </c>
      <c r="J1666" s="3"/>
    </row>
    <row r="1667" spans="2:10" x14ac:dyDescent="0.25">
      <c r="B1667" s="3">
        <f t="shared" si="207"/>
        <v>8235</v>
      </c>
      <c r="C1667" s="14">
        <f t="shared" si="208"/>
        <v>137.25</v>
      </c>
      <c r="D1667" s="11">
        <f t="shared" si="209"/>
        <v>1069.1442038861042</v>
      </c>
      <c r="E1667" s="24">
        <f t="shared" si="210"/>
        <v>697.86214226343066</v>
      </c>
      <c r="F1667" s="38">
        <f t="shared" si="205"/>
        <v>0.60993308408995817</v>
      </c>
      <c r="G1667" s="14">
        <f t="shared" si="206"/>
        <v>0</v>
      </c>
      <c r="H1667" s="24">
        <f t="shared" si="212"/>
        <v>989.93358124227848</v>
      </c>
      <c r="I1667" s="12">
        <f t="shared" si="211"/>
        <v>0.21568802562454517</v>
      </c>
      <c r="J1667" s="3"/>
    </row>
    <row r="1668" spans="2:10" x14ac:dyDescent="0.25">
      <c r="B1668" s="3">
        <f t="shared" si="207"/>
        <v>8240</v>
      </c>
      <c r="C1668" s="14">
        <f t="shared" si="208"/>
        <v>137.33333333333334</v>
      </c>
      <c r="D1668" s="11">
        <f t="shared" si="209"/>
        <v>1069.2350659848601</v>
      </c>
      <c r="E1668" s="24">
        <f t="shared" si="210"/>
        <v>698.07783028905521</v>
      </c>
      <c r="F1668" s="38">
        <f t="shared" si="205"/>
        <v>0.6088566761654518</v>
      </c>
      <c r="G1668" s="14">
        <f t="shared" si="206"/>
        <v>0</v>
      </c>
      <c r="H1668" s="24">
        <f t="shared" si="212"/>
        <v>991.68370141554351</v>
      </c>
      <c r="I1668" s="12">
        <f t="shared" si="211"/>
        <v>0.21530274546803752</v>
      </c>
      <c r="J1668" s="3"/>
    </row>
    <row r="1669" spans="2:10" x14ac:dyDescent="0.25">
      <c r="B1669" s="3">
        <f t="shared" si="207"/>
        <v>8245</v>
      </c>
      <c r="C1669" s="14">
        <f t="shared" si="208"/>
        <v>137.41666666666666</v>
      </c>
      <c r="D1669" s="11">
        <f t="shared" si="209"/>
        <v>1069.3258730156738</v>
      </c>
      <c r="E1669" s="24">
        <f t="shared" si="210"/>
        <v>698.29313303452329</v>
      </c>
      <c r="F1669" s="38">
        <f t="shared" si="205"/>
        <v>0.60777437237313403</v>
      </c>
      <c r="G1669" s="14">
        <f t="shared" si="206"/>
        <v>0</v>
      </c>
      <c r="H1669" s="24">
        <f t="shared" si="212"/>
        <v>993.44965779608447</v>
      </c>
      <c r="I1669" s="12">
        <f t="shared" si="211"/>
        <v>0.21491594581119466</v>
      </c>
      <c r="J1669" s="3"/>
    </row>
    <row r="1670" spans="2:10" x14ac:dyDescent="0.25">
      <c r="B1670" s="3">
        <f t="shared" si="207"/>
        <v>8250</v>
      </c>
      <c r="C1670" s="14">
        <f t="shared" si="208"/>
        <v>137.5</v>
      </c>
      <c r="D1670" s="11">
        <f t="shared" si="209"/>
        <v>1069.4166250452542</v>
      </c>
      <c r="E1670" s="24">
        <f t="shared" si="210"/>
        <v>698.50804898033448</v>
      </c>
      <c r="F1670" s="38">
        <f t="shared" si="205"/>
        <v>0.60668613710300801</v>
      </c>
      <c r="G1670" s="14">
        <f t="shared" si="206"/>
        <v>0</v>
      </c>
      <c r="H1670" s="24">
        <f t="shared" si="212"/>
        <v>995.23164503889643</v>
      </c>
      <c r="I1670" s="12">
        <f t="shared" si="211"/>
        <v>0.21452761483656083</v>
      </c>
      <c r="J1670" s="3"/>
    </row>
    <row r="1671" spans="2:10" x14ac:dyDescent="0.25">
      <c r="B1671" s="3">
        <f t="shared" si="207"/>
        <v>8255</v>
      </c>
      <c r="C1671" s="14">
        <f t="shared" si="208"/>
        <v>137.58333333333334</v>
      </c>
      <c r="D1671" s="11">
        <f t="shared" si="209"/>
        <v>1069.5073221401888</v>
      </c>
      <c r="E1671" s="24">
        <f t="shared" si="210"/>
        <v>698.72257659517106</v>
      </c>
      <c r="F1671" s="38">
        <f t="shared" si="205"/>
        <v>0.60559193463077365</v>
      </c>
      <c r="G1671" s="14">
        <f t="shared" si="206"/>
        <v>0</v>
      </c>
      <c r="H1671" s="24">
        <f t="shared" si="212"/>
        <v>997.02986074187027</v>
      </c>
      <c r="I1671" s="12">
        <f t="shared" si="211"/>
        <v>0.2141377406525343</v>
      </c>
      <c r="J1671" s="3"/>
    </row>
    <row r="1672" spans="2:10" x14ac:dyDescent="0.25">
      <c r="B1672" s="3">
        <f t="shared" si="207"/>
        <v>8260</v>
      </c>
      <c r="C1672" s="14">
        <f t="shared" si="208"/>
        <v>137.66666666666666</v>
      </c>
      <c r="D1672" s="11">
        <f t="shared" si="209"/>
        <v>1069.5979643669436</v>
      </c>
      <c r="E1672" s="24">
        <f t="shared" si="210"/>
        <v>698.93671433582358</v>
      </c>
      <c r="F1672" s="38">
        <f t="shared" si="205"/>
        <v>0.60449172912113214</v>
      </c>
      <c r="G1672" s="14">
        <f t="shared" si="206"/>
        <v>0</v>
      </c>
      <c r="H1672" s="24">
        <f t="shared" si="212"/>
        <v>998.84450549749022</v>
      </c>
      <c r="I1672" s="12">
        <f t="shared" si="211"/>
        <v>0.21374631129355395</v>
      </c>
      <c r="J1672" s="3"/>
    </row>
    <row r="1673" spans="2:10" x14ac:dyDescent="0.25">
      <c r="B1673" s="3">
        <f t="shared" si="207"/>
        <v>8265</v>
      </c>
      <c r="C1673" s="14">
        <f t="shared" si="208"/>
        <v>137.75</v>
      </c>
      <c r="D1673" s="11">
        <f t="shared" si="209"/>
        <v>1069.6885517918656</v>
      </c>
      <c r="E1673" s="24">
        <f t="shared" si="210"/>
        <v>699.15046064711714</v>
      </c>
      <c r="F1673" s="38">
        <f t="shared" si="205"/>
        <v>0.60338548463121433</v>
      </c>
      <c r="G1673" s="14">
        <f t="shared" si="206"/>
        <v>0</v>
      </c>
      <c r="H1673" s="24">
        <f t="shared" si="212"/>
        <v>1000.6757829455494</v>
      </c>
      <c r="I1673" s="12">
        <f t="shared" si="211"/>
        <v>0.21335331472035804</v>
      </c>
      <c r="J1673" s="3"/>
    </row>
    <row r="1674" spans="2:10" x14ac:dyDescent="0.25">
      <c r="B1674" s="3">
        <f t="shared" si="207"/>
        <v>8270</v>
      </c>
      <c r="C1674" s="14">
        <f t="shared" si="208"/>
        <v>137.83333333333334</v>
      </c>
      <c r="D1674" s="11">
        <f t="shared" si="209"/>
        <v>1069.77908448118</v>
      </c>
      <c r="E1674" s="24">
        <f t="shared" si="210"/>
        <v>699.36381396183754</v>
      </c>
      <c r="F1674" s="38">
        <f t="shared" si="205"/>
        <v>0.60227316511414286</v>
      </c>
      <c r="G1674" s="14">
        <f t="shared" si="206"/>
        <v>0</v>
      </c>
      <c r="H1674" s="24">
        <f t="shared" si="212"/>
        <v>1002.5238998268985</v>
      </c>
      <c r="I1674" s="12">
        <f t="shared" si="211"/>
        <v>0.21295873882051328</v>
      </c>
      <c r="J1674" s="3"/>
    </row>
    <row r="1675" spans="2:10" x14ac:dyDescent="0.25">
      <c r="B1675" s="3">
        <f t="shared" si="207"/>
        <v>8275</v>
      </c>
      <c r="C1675" s="14">
        <f t="shared" si="208"/>
        <v>137.91666666666666</v>
      </c>
      <c r="D1675" s="11">
        <f t="shared" si="209"/>
        <v>1069.8695625009925</v>
      </c>
      <c r="E1675" s="24">
        <f t="shared" si="210"/>
        <v>699.57677270065801</v>
      </c>
      <c r="F1675" s="38">
        <f t="shared" si="205"/>
        <v>0.60115473442272782</v>
      </c>
      <c r="G1675" s="14">
        <f t="shared" si="206"/>
        <v>0</v>
      </c>
      <c r="H1675" s="24">
        <f t="shared" si="212"/>
        <v>1004.3890660382572</v>
      </c>
      <c r="I1675" s="12">
        <f t="shared" si="211"/>
        <v>0.21256257140855167</v>
      </c>
      <c r="J1675" s="3"/>
    </row>
    <row r="1676" spans="2:10" x14ac:dyDescent="0.25">
      <c r="B1676" s="3">
        <f t="shared" si="207"/>
        <v>8280</v>
      </c>
      <c r="C1676" s="14">
        <f t="shared" si="208"/>
        <v>138</v>
      </c>
      <c r="D1676" s="11">
        <f t="shared" si="209"/>
        <v>1069.9599859172895</v>
      </c>
      <c r="E1676" s="24">
        <f t="shared" si="210"/>
        <v>699.78933527206652</v>
      </c>
      <c r="F1676" s="38">
        <f t="shared" si="205"/>
        <v>0.60003015631329815</v>
      </c>
      <c r="G1676" s="14">
        <f t="shared" si="206"/>
        <v>0</v>
      </c>
      <c r="H1676" s="24">
        <f t="shared" si="212"/>
        <v>1006.2714946881056</v>
      </c>
      <c r="I1676" s="12">
        <f t="shared" si="211"/>
        <v>0.21216480022646511</v>
      </c>
      <c r="J1676" s="3"/>
    </row>
    <row r="1677" spans="2:10" x14ac:dyDescent="0.25">
      <c r="B1677" s="3">
        <f t="shared" si="207"/>
        <v>8285</v>
      </c>
      <c r="C1677" s="14">
        <f t="shared" si="208"/>
        <v>138.08333333333334</v>
      </c>
      <c r="D1677" s="11">
        <f t="shared" si="209"/>
        <v>1070.0503547959379</v>
      </c>
      <c r="E1677" s="24">
        <f t="shared" si="210"/>
        <v>700.00150007229297</v>
      </c>
      <c r="F1677" s="38">
        <f t="shared" si="205"/>
        <v>0.59889939444967677</v>
      </c>
      <c r="G1677" s="14">
        <f t="shared" si="206"/>
        <v>0</v>
      </c>
      <c r="H1677" s="24">
        <f t="shared" si="212"/>
        <v>1008.1714021536794</v>
      </c>
      <c r="I1677" s="12">
        <f t="shared" si="211"/>
        <v>0.2117654129441488</v>
      </c>
      <c r="J1677" s="3"/>
    </row>
    <row r="1678" spans="2:10" x14ac:dyDescent="0.25">
      <c r="B1678" s="3">
        <f t="shared" si="207"/>
        <v>8290</v>
      </c>
      <c r="C1678" s="14">
        <f t="shared" si="208"/>
        <v>138.16666666666666</v>
      </c>
      <c r="D1678" s="11">
        <f t="shared" si="209"/>
        <v>1070.1406692026846</v>
      </c>
      <c r="E1678" s="24">
        <f t="shared" si="210"/>
        <v>700.21326548523712</v>
      </c>
      <c r="F1678" s="38">
        <f t="shared" si="205"/>
        <v>0.59776241240729888</v>
      </c>
      <c r="G1678" s="14">
        <f t="shared" si="206"/>
        <v>0</v>
      </c>
      <c r="H1678" s="24">
        <f t="shared" si="212"/>
        <v>1010.0890081390933</v>
      </c>
      <c r="I1678" s="12">
        <f t="shared" si="211"/>
        <v>0.21136439715990629</v>
      </c>
      <c r="J1678" s="3"/>
    </row>
    <row r="1679" spans="2:10" x14ac:dyDescent="0.25">
      <c r="B1679" s="3">
        <f t="shared" si="207"/>
        <v>8295</v>
      </c>
      <c r="C1679" s="14">
        <f t="shared" si="208"/>
        <v>138.25</v>
      </c>
      <c r="D1679" s="11">
        <f t="shared" si="209"/>
        <v>1070.2309292031593</v>
      </c>
      <c r="E1679" s="24">
        <f t="shared" si="210"/>
        <v>700.42462988239697</v>
      </c>
      <c r="F1679" s="38">
        <f t="shared" si="205"/>
        <v>0.5966191736774773</v>
      </c>
      <c r="G1679" s="14">
        <f t="shared" si="206"/>
        <v>0</v>
      </c>
      <c r="H1679" s="24">
        <f t="shared" si="212"/>
        <v>1012.0245357346173</v>
      </c>
      <c r="I1679" s="12">
        <f t="shared" si="211"/>
        <v>0.21096174040074028</v>
      </c>
      <c r="J1679" s="3"/>
    </row>
    <row r="1680" spans="2:10" x14ac:dyDescent="0.25">
      <c r="B1680" s="3">
        <f t="shared" si="207"/>
        <v>8300</v>
      </c>
      <c r="C1680" s="14">
        <f t="shared" si="208"/>
        <v>138.33333333333334</v>
      </c>
      <c r="D1680" s="11">
        <f t="shared" si="209"/>
        <v>1070.3211348628718</v>
      </c>
      <c r="E1680" s="24">
        <f t="shared" si="210"/>
        <v>700.63559162279773</v>
      </c>
      <c r="F1680" s="38">
        <f t="shared" si="205"/>
        <v>0.59546964167181959</v>
      </c>
      <c r="G1680" s="14">
        <f t="shared" si="206"/>
        <v>0</v>
      </c>
      <c r="H1680" s="24">
        <f t="shared" si="212"/>
        <v>1013.9782114771317</v>
      </c>
      <c r="I1680" s="12">
        <f t="shared" si="211"/>
        <v>0.21055743012320932</v>
      </c>
      <c r="J1680" s="3"/>
    </row>
    <row r="1681" spans="2:10" x14ac:dyDescent="0.25">
      <c r="B1681" s="3">
        <f t="shared" si="207"/>
        <v>8305</v>
      </c>
      <c r="C1681" s="14">
        <f t="shared" si="208"/>
        <v>138.41666666666666</v>
      </c>
      <c r="D1681" s="11">
        <f t="shared" si="209"/>
        <v>1070.4112862472139</v>
      </c>
      <c r="E1681" s="24">
        <f t="shared" si="210"/>
        <v>700.84614905292096</v>
      </c>
      <c r="F1681" s="38">
        <f t="shared" si="205"/>
        <v>0.59431377972679988</v>
      </c>
      <c r="G1681" s="14">
        <f t="shared" si="206"/>
        <v>0</v>
      </c>
      <c r="H1681" s="24">
        <f t="shared" si="212"/>
        <v>1015.9502654117794</v>
      </c>
      <c r="I1681" s="12">
        <f t="shared" si="211"/>
        <v>0.21015145371372404</v>
      </c>
      <c r="J1681" s="3"/>
    </row>
    <row r="1682" spans="2:10" x14ac:dyDescent="0.25">
      <c r="B1682" s="3">
        <f t="shared" si="207"/>
        <v>8310</v>
      </c>
      <c r="C1682" s="14">
        <f t="shared" si="208"/>
        <v>138.5</v>
      </c>
      <c r="D1682" s="11">
        <f t="shared" si="209"/>
        <v>1070.5013834214601</v>
      </c>
      <c r="E1682" s="24">
        <f t="shared" si="210"/>
        <v>701.05630050663467</v>
      </c>
      <c r="F1682" s="38">
        <f t="shared" si="205"/>
        <v>0.59315155110848949</v>
      </c>
      <c r="G1682" s="14">
        <f t="shared" si="206"/>
        <v>0</v>
      </c>
      <c r="H1682" s="24">
        <f t="shared" si="212"/>
        <v>1017.9409311548512</v>
      </c>
      <c r="I1682" s="12">
        <f t="shared" si="211"/>
        <v>0.20974379848927263</v>
      </c>
      <c r="J1682" s="3"/>
    </row>
    <row r="1683" spans="2:10" x14ac:dyDescent="0.25">
      <c r="B1683" s="3">
        <f t="shared" si="207"/>
        <v>8315</v>
      </c>
      <c r="C1683" s="14">
        <f t="shared" si="208"/>
        <v>138.58333333333334</v>
      </c>
      <c r="D1683" s="11">
        <f t="shared" si="209"/>
        <v>1070.5914264507667</v>
      </c>
      <c r="E1683" s="24">
        <f t="shared" si="210"/>
        <v>701.26604430512396</v>
      </c>
      <c r="F1683" s="38">
        <f t="shared" si="205"/>
        <v>0.59198291901744837</v>
      </c>
      <c r="G1683" s="14">
        <f t="shared" si="206"/>
        <v>0</v>
      </c>
      <c r="H1683" s="24">
        <f t="shared" si="212"/>
        <v>1019.9504459579241</v>
      </c>
      <c r="I1683" s="12">
        <f t="shared" si="211"/>
        <v>0.20933445169812956</v>
      </c>
      <c r="J1683" s="3"/>
    </row>
    <row r="1684" spans="2:10" x14ac:dyDescent="0.25">
      <c r="B1684" s="3">
        <f t="shared" si="207"/>
        <v>8320</v>
      </c>
      <c r="C1684" s="14">
        <f t="shared" si="208"/>
        <v>138.66666666666666</v>
      </c>
      <c r="D1684" s="11">
        <f t="shared" si="209"/>
        <v>1070.6814154001722</v>
      </c>
      <c r="E1684" s="24">
        <f t="shared" si="210"/>
        <v>701.47537875682212</v>
      </c>
      <c r="F1684" s="38">
        <f t="shared" ref="F1684:F1747" si="213">Cp*RhoP/(RhoA*H1684)*dp/1000*MassivP</f>
        <v>0.59080784659378371</v>
      </c>
      <c r="G1684" s="14">
        <f t="shared" ref="G1684:G1747" si="214">Phi*EpsilonF*Botzman/10^8*J1684*((D1684+273)^4-(E1684+273)^4)</f>
        <v>0</v>
      </c>
      <c r="H1684" s="24">
        <f t="shared" si="212"/>
        <v>1021.9790507732789</v>
      </c>
      <c r="I1684" s="12">
        <f t="shared" si="211"/>
        <v>0.20892340052046846</v>
      </c>
      <c r="J1684" s="3"/>
    </row>
    <row r="1685" spans="2:10" x14ac:dyDescent="0.25">
      <c r="B1685" s="3">
        <f t="shared" ref="B1685:B1748" si="215">B1684+DeltaT</f>
        <v>8325</v>
      </c>
      <c r="C1685" s="14">
        <f t="shared" ref="C1685:C1748" si="216">B1685/60</f>
        <v>138.75</v>
      </c>
      <c r="D1685" s="11">
        <f t="shared" ref="D1685:D1748" si="217">20+345*LOG(8*C1685+1,10)</f>
        <v>1070.7713503345992</v>
      </c>
      <c r="E1685" s="24">
        <f t="shared" ref="E1685:E1748" si="218">E1684+IF(Limit=Oui,MAX(0,I1684),I1684)</f>
        <v>701.68430215734259</v>
      </c>
      <c r="F1685" s="38">
        <f t="shared" si="213"/>
        <v>0.58962629692237767</v>
      </c>
      <c r="G1685" s="14">
        <f t="shared" si="214"/>
        <v>0</v>
      </c>
      <c r="H1685" s="24">
        <f t="shared" si="212"/>
        <v>1024.0269903206292</v>
      </c>
      <c r="I1685" s="12">
        <f t="shared" ref="I1685:I1748" si="219">LambdaP*MassivP/(dp/1000)/(H1685*RhoA)/(1+F1685/3)*(D1685-E1685)*DeltaT-(EXP(F1685/10)-1)*(D1685-D1684)</f>
        <v>0.20851063206905987</v>
      </c>
      <c r="J1685" s="3"/>
    </row>
    <row r="1686" spans="2:10" x14ac:dyDescent="0.25">
      <c r="B1686" s="3">
        <f t="shared" si="215"/>
        <v>8330</v>
      </c>
      <c r="C1686" s="14">
        <f t="shared" si="216"/>
        <v>138.83333333333334</v>
      </c>
      <c r="D1686" s="11">
        <f t="shared" si="217"/>
        <v>1070.8612313188523</v>
      </c>
      <c r="E1686" s="24">
        <f t="shared" si="218"/>
        <v>701.89281278941166</v>
      </c>
      <c r="F1686" s="38">
        <f t="shared" si="213"/>
        <v>0.58843823303828735</v>
      </c>
      <c r="G1686" s="14">
        <f t="shared" si="214"/>
        <v>0</v>
      </c>
      <c r="H1686" s="24">
        <f t="shared" si="212"/>
        <v>1026.0945131551871</v>
      </c>
      <c r="I1686" s="12">
        <f t="shared" si="219"/>
        <v>0.20809613339023281</v>
      </c>
      <c r="J1686" s="3"/>
    </row>
    <row r="1687" spans="2:10" x14ac:dyDescent="0.25">
      <c r="B1687" s="3">
        <f t="shared" si="215"/>
        <v>8335</v>
      </c>
      <c r="C1687" s="14">
        <f t="shared" si="216"/>
        <v>138.91666666666666</v>
      </c>
      <c r="D1687" s="11">
        <f t="shared" si="217"/>
        <v>1070.9510584176198</v>
      </c>
      <c r="E1687" s="24">
        <f t="shared" si="218"/>
        <v>702.10090892280186</v>
      </c>
      <c r="F1687" s="38">
        <f t="shared" si="213"/>
        <v>0.58724361793232471</v>
      </c>
      <c r="G1687" s="14">
        <f t="shared" si="214"/>
        <v>0</v>
      </c>
      <c r="H1687" s="24">
        <f t="shared" si="212"/>
        <v>1028.1818717370932</v>
      </c>
      <c r="I1687" s="12">
        <f t="shared" si="219"/>
        <v>0.20767989146452376</v>
      </c>
      <c r="J1687" s="3"/>
    </row>
    <row r="1688" spans="2:10" x14ac:dyDescent="0.25">
      <c r="B1688" s="3">
        <f t="shared" si="215"/>
        <v>8340</v>
      </c>
      <c r="C1688" s="14">
        <f t="shared" si="216"/>
        <v>139</v>
      </c>
      <c r="D1688" s="11">
        <f t="shared" si="217"/>
        <v>1071.0408316954743</v>
      </c>
      <c r="E1688" s="24">
        <f t="shared" si="218"/>
        <v>702.30858881426639</v>
      </c>
      <c r="F1688" s="38">
        <f t="shared" si="213"/>
        <v>0.58604241455681361</v>
      </c>
      <c r="G1688" s="14">
        <f t="shared" si="214"/>
        <v>0</v>
      </c>
      <c r="H1688" s="24">
        <f t="shared" si="212"/>
        <v>1030.2893225022465</v>
      </c>
      <c r="I1688" s="12">
        <f t="shared" si="219"/>
        <v>0.20726189320759345</v>
      </c>
      <c r="J1688" s="3"/>
    </row>
    <row r="1689" spans="2:10" x14ac:dyDescent="0.25">
      <c r="B1689" s="3">
        <f t="shared" si="215"/>
        <v>8345</v>
      </c>
      <c r="C1689" s="14">
        <f t="shared" si="216"/>
        <v>139.08333333333334</v>
      </c>
      <c r="D1689" s="11">
        <f t="shared" si="217"/>
        <v>1071.1305512168717</v>
      </c>
      <c r="E1689" s="24">
        <f t="shared" si="218"/>
        <v>702.51585070747399</v>
      </c>
      <c r="F1689" s="38">
        <f t="shared" si="213"/>
        <v>0.5848345858315368</v>
      </c>
      <c r="G1689" s="14">
        <f t="shared" si="214"/>
        <v>0</v>
      </c>
      <c r="H1689" s="24">
        <f t="shared" si="212"/>
        <v>1032.4171259345535</v>
      </c>
      <c r="I1689" s="12">
        <f t="shared" si="219"/>
        <v>0.20684212547123235</v>
      </c>
      <c r="J1689" s="3"/>
    </row>
    <row r="1690" spans="2:10" x14ac:dyDescent="0.25">
      <c r="B1690" s="3">
        <f t="shared" si="215"/>
        <v>8350</v>
      </c>
      <c r="C1690" s="14">
        <f t="shared" si="216"/>
        <v>139.16666666666666</v>
      </c>
      <c r="D1690" s="11">
        <f t="shared" si="217"/>
        <v>1071.2202170461526</v>
      </c>
      <c r="E1690" s="24">
        <f t="shared" si="218"/>
        <v>702.7226928329452</v>
      </c>
      <c r="F1690" s="38">
        <f t="shared" si="213"/>
        <v>0.58362009464986964</v>
      </c>
      <c r="G1690" s="14">
        <f t="shared" si="214"/>
        <v>0</v>
      </c>
      <c r="H1690" s="24">
        <f t="shared" si="212"/>
        <v>1034.5655466396388</v>
      </c>
      <c r="I1690" s="12">
        <f t="shared" si="219"/>
        <v>0.2064205750442511</v>
      </c>
      <c r="J1690" s="3"/>
    </row>
    <row r="1691" spans="2:10" x14ac:dyDescent="0.25">
      <c r="B1691" s="3">
        <f t="shared" si="215"/>
        <v>8355</v>
      </c>
      <c r="C1691" s="14">
        <f t="shared" si="216"/>
        <v>139.25</v>
      </c>
      <c r="D1691" s="11">
        <f t="shared" si="217"/>
        <v>1071.309829247542</v>
      </c>
      <c r="E1691" s="24">
        <f t="shared" si="218"/>
        <v>702.92911340798946</v>
      </c>
      <c r="F1691" s="38">
        <f t="shared" si="213"/>
        <v>0.58239890388510662</v>
      </c>
      <c r="G1691" s="14">
        <f t="shared" si="214"/>
        <v>0</v>
      </c>
      <c r="H1691" s="24">
        <f t="shared" si="212"/>
        <v>1036.7348534200437</v>
      </c>
      <c r="I1691" s="12">
        <f t="shared" si="219"/>
        <v>0.20599722865351766</v>
      </c>
      <c r="J1691" s="3"/>
    </row>
    <row r="1692" spans="2:10" x14ac:dyDescent="0.25">
      <c r="B1692" s="3">
        <f t="shared" si="215"/>
        <v>8360</v>
      </c>
      <c r="C1692" s="14">
        <f t="shared" si="216"/>
        <v>139.33333333333334</v>
      </c>
      <c r="D1692" s="11">
        <f t="shared" si="217"/>
        <v>1071.3993878851495</v>
      </c>
      <c r="E1692" s="24">
        <f t="shared" si="218"/>
        <v>703.13511063664293</v>
      </c>
      <c r="F1692" s="38">
        <f t="shared" si="213"/>
        <v>0.58117097639698845</v>
      </c>
      <c r="G1692" s="14">
        <f t="shared" si="214"/>
        <v>0</v>
      </c>
      <c r="H1692" s="24">
        <f t="shared" si="212"/>
        <v>1038.9253193519403</v>
      </c>
      <c r="I1692" s="12">
        <f t="shared" si="219"/>
        <v>0.20557207296507499</v>
      </c>
      <c r="J1692" s="3"/>
    </row>
    <row r="1693" spans="2:10" x14ac:dyDescent="0.25">
      <c r="B1693" s="3">
        <f t="shared" si="215"/>
        <v>8365</v>
      </c>
      <c r="C1693" s="14">
        <f t="shared" si="216"/>
        <v>139.41666666666666</v>
      </c>
      <c r="D1693" s="11">
        <f t="shared" si="217"/>
        <v>1071.4888930229704</v>
      </c>
      <c r="E1693" s="24">
        <f t="shared" si="218"/>
        <v>703.34068270960802</v>
      </c>
      <c r="F1693" s="38">
        <f t="shared" si="213"/>
        <v>0.57993627503842637</v>
      </c>
      <c r="G1693" s="14">
        <f t="shared" si="214"/>
        <v>0</v>
      </c>
      <c r="H1693" s="24">
        <f t="shared" si="212"/>
        <v>1041.1372218634071</v>
      </c>
      <c r="I1693" s="12">
        <f t="shared" si="219"/>
        <v>0.20514509458518906</v>
      </c>
      <c r="J1693" s="3"/>
    </row>
    <row r="1694" spans="2:10" x14ac:dyDescent="0.25">
      <c r="B1694" s="3">
        <f t="shared" si="215"/>
        <v>8370</v>
      </c>
      <c r="C1694" s="14">
        <f t="shared" si="216"/>
        <v>139.5</v>
      </c>
      <c r="D1694" s="11">
        <f t="shared" si="217"/>
        <v>1071.578344724885</v>
      </c>
      <c r="E1694" s="24">
        <f t="shared" si="218"/>
        <v>703.54582780419321</v>
      </c>
      <c r="F1694" s="38">
        <f t="shared" si="213"/>
        <v>0.57869476266243935</v>
      </c>
      <c r="G1694" s="14">
        <f t="shared" si="214"/>
        <v>0</v>
      </c>
      <c r="H1694" s="24">
        <f t="shared" si="212"/>
        <v>1043.3708428142818</v>
      </c>
      <c r="I1694" s="12">
        <f t="shared" si="219"/>
        <v>0.20471628006163037</v>
      </c>
      <c r="J1694" s="3"/>
    </row>
    <row r="1695" spans="2:10" x14ac:dyDescent="0.25">
      <c r="B1695" s="3">
        <f t="shared" si="215"/>
        <v>8375</v>
      </c>
      <c r="C1695" s="14">
        <f t="shared" si="216"/>
        <v>139.58333333333334</v>
      </c>
      <c r="D1695" s="11">
        <f t="shared" si="217"/>
        <v>1071.6677430546592</v>
      </c>
      <c r="E1695" s="24">
        <f t="shared" si="218"/>
        <v>703.75054408425478</v>
      </c>
      <c r="F1695" s="38">
        <f t="shared" si="213"/>
        <v>0.57744640212929521</v>
      </c>
      <c r="G1695" s="14">
        <f t="shared" si="214"/>
        <v>0</v>
      </c>
      <c r="H1695" s="24">
        <f t="shared" si="212"/>
        <v>1045.6264685776423</v>
      </c>
      <c r="I1695" s="12">
        <f t="shared" si="219"/>
        <v>0.20428561588487471</v>
      </c>
      <c r="J1695" s="3"/>
    </row>
    <row r="1696" spans="2:10" x14ac:dyDescent="0.25">
      <c r="B1696" s="3">
        <f t="shared" si="215"/>
        <v>8380</v>
      </c>
      <c r="C1696" s="14">
        <f t="shared" si="216"/>
        <v>139.66666666666666</v>
      </c>
      <c r="D1696" s="11">
        <f t="shared" si="217"/>
        <v>1071.7570880759451</v>
      </c>
      <c r="E1696" s="24">
        <f t="shared" si="218"/>
        <v>703.95482970013961</v>
      </c>
      <c r="F1696" s="38">
        <f t="shared" si="213"/>
        <v>0.5761911563138693</v>
      </c>
      <c r="G1696" s="14">
        <f t="shared" si="214"/>
        <v>0</v>
      </c>
      <c r="H1696" s="24">
        <f t="shared" si="212"/>
        <v>1047.9043901229456</v>
      </c>
      <c r="I1696" s="12">
        <f t="shared" si="219"/>
        <v>0.20385308848936454</v>
      </c>
      <c r="J1696" s="3"/>
    </row>
    <row r="1697" spans="2:10" x14ac:dyDescent="0.25">
      <c r="B1697" s="3">
        <f t="shared" si="215"/>
        <v>8385</v>
      </c>
      <c r="C1697" s="14">
        <f t="shared" si="216"/>
        <v>139.75</v>
      </c>
      <c r="D1697" s="11">
        <f t="shared" si="217"/>
        <v>1071.8463798522805</v>
      </c>
      <c r="E1697" s="24">
        <f t="shared" si="218"/>
        <v>704.15868278862899</v>
      </c>
      <c r="F1697" s="38">
        <f t="shared" si="213"/>
        <v>0.57492898811322457</v>
      </c>
      <c r="G1697" s="14">
        <f t="shared" si="214"/>
        <v>0</v>
      </c>
      <c r="H1697" s="24">
        <f t="shared" si="212"/>
        <v>1050.2049031008523</v>
      </c>
      <c r="I1697" s="12">
        <f t="shared" si="219"/>
        <v>0.20341868425496432</v>
      </c>
      <c r="J1697" s="3"/>
    </row>
    <row r="1698" spans="2:10" x14ac:dyDescent="0.25">
      <c r="B1698" s="3">
        <f t="shared" si="215"/>
        <v>8390</v>
      </c>
      <c r="C1698" s="14">
        <f t="shared" si="216"/>
        <v>139.83333333333334</v>
      </c>
      <c r="D1698" s="11">
        <f t="shared" si="217"/>
        <v>1071.9356184470905</v>
      </c>
      <c r="E1698" s="24">
        <f t="shared" si="218"/>
        <v>704.36210147288398</v>
      </c>
      <c r="F1698" s="38">
        <f t="shared" si="213"/>
        <v>0.57365986045441275</v>
      </c>
      <c r="G1698" s="14">
        <f t="shared" si="214"/>
        <v>0</v>
      </c>
      <c r="H1698" s="24">
        <f t="shared" si="212"/>
        <v>1052.528307929786</v>
      </c>
      <c r="I1698" s="12">
        <f t="shared" si="219"/>
        <v>0.20298238950823694</v>
      </c>
      <c r="J1698" s="3"/>
    </row>
    <row r="1699" spans="2:10" x14ac:dyDescent="0.25">
      <c r="B1699" s="3">
        <f t="shared" si="215"/>
        <v>8395</v>
      </c>
      <c r="C1699" s="14">
        <f t="shared" si="216"/>
        <v>139.91666666666666</v>
      </c>
      <c r="D1699" s="11">
        <f t="shared" si="217"/>
        <v>1072.024803923686</v>
      </c>
      <c r="E1699" s="24">
        <f t="shared" si="218"/>
        <v>704.56508386239227</v>
      </c>
      <c r="F1699" s="38">
        <f t="shared" si="213"/>
        <v>0.57238373630250428</v>
      </c>
      <c r="G1699" s="14">
        <f t="shared" si="214"/>
        <v>0</v>
      </c>
      <c r="H1699" s="24">
        <f t="shared" si="212"/>
        <v>1054.87490988426</v>
      </c>
      <c r="I1699" s="12">
        <f t="shared" si="219"/>
        <v>0.20254419052414374</v>
      </c>
      <c r="J1699" s="3"/>
    </row>
    <row r="1700" spans="2:10" x14ac:dyDescent="0.25">
      <c r="B1700" s="3">
        <f t="shared" si="215"/>
        <v>8400</v>
      </c>
      <c r="C1700" s="14">
        <f t="shared" si="216"/>
        <v>140</v>
      </c>
      <c r="D1700" s="11">
        <f t="shared" si="217"/>
        <v>1072.1139363452658</v>
      </c>
      <c r="E1700" s="24">
        <f t="shared" si="218"/>
        <v>704.76762805291639</v>
      </c>
      <c r="F1700" s="38">
        <f t="shared" si="213"/>
        <v>0.57110057866885322</v>
      </c>
      <c r="G1700" s="14">
        <f t="shared" si="214"/>
        <v>0</v>
      </c>
      <c r="H1700" s="24">
        <f t="shared" si="212"/>
        <v>1057.2450191850066</v>
      </c>
      <c r="I1700" s="12">
        <f t="shared" si="219"/>
        <v>0.2021040735273564</v>
      </c>
      <c r="J1700" s="3"/>
    </row>
    <row r="1701" spans="2:10" x14ac:dyDescent="0.25">
      <c r="B1701" s="3">
        <f t="shared" si="215"/>
        <v>8405</v>
      </c>
      <c r="C1701" s="14">
        <f t="shared" si="216"/>
        <v>140.08333333333334</v>
      </c>
      <c r="D1701" s="11">
        <f t="shared" si="217"/>
        <v>1072.2030157749148</v>
      </c>
      <c r="E1701" s="24">
        <f t="shared" si="218"/>
        <v>704.96973212644377</v>
      </c>
      <c r="F1701" s="38">
        <f t="shared" si="213"/>
        <v>0.56981035061959706</v>
      </c>
      <c r="G1701" s="14">
        <f t="shared" si="214"/>
        <v>0</v>
      </c>
      <c r="H1701" s="24">
        <f t="shared" si="212"/>
        <v>1059.6389510909567</v>
      </c>
      <c r="I1701" s="12">
        <f t="shared" si="219"/>
        <v>0.20166202469410255</v>
      </c>
      <c r="J1701" s="3"/>
    </row>
    <row r="1702" spans="2:10" x14ac:dyDescent="0.25">
      <c r="B1702" s="3">
        <f t="shared" si="215"/>
        <v>8410</v>
      </c>
      <c r="C1702" s="14">
        <f t="shared" si="216"/>
        <v>140.16666666666666</v>
      </c>
      <c r="D1702" s="11">
        <f t="shared" si="217"/>
        <v>1072.2920422756069</v>
      </c>
      <c r="E1702" s="24">
        <f t="shared" si="218"/>
        <v>705.17139415113786</v>
      </c>
      <c r="F1702" s="38">
        <f t="shared" si="213"/>
        <v>0.5685130152844009</v>
      </c>
      <c r="G1702" s="14">
        <f t="shared" si="214"/>
        <v>0</v>
      </c>
      <c r="H1702" s="24">
        <f t="shared" si="212"/>
        <v>1062.0570259930992</v>
      </c>
      <c r="I1702" s="12">
        <f t="shared" si="219"/>
        <v>0.20121803015361384</v>
      </c>
      <c r="J1702" s="3"/>
    </row>
    <row r="1703" spans="2:10" x14ac:dyDescent="0.25">
      <c r="B1703" s="3">
        <f t="shared" si="215"/>
        <v>8415</v>
      </c>
      <c r="C1703" s="14">
        <f t="shared" si="216"/>
        <v>140.25</v>
      </c>
      <c r="D1703" s="11">
        <f t="shared" si="217"/>
        <v>1072.3810159102029</v>
      </c>
      <c r="E1703" s="24">
        <f t="shared" si="218"/>
        <v>705.37261218129152</v>
      </c>
      <c r="F1703" s="38">
        <f t="shared" si="213"/>
        <v>0.56720853586544762</v>
      </c>
      <c r="G1703" s="14">
        <f t="shared" si="214"/>
        <v>0</v>
      </c>
      <c r="H1703" s="24">
        <f t="shared" si="212"/>
        <v>1064.4995695102712</v>
      </c>
      <c r="I1703" s="12">
        <f t="shared" si="219"/>
        <v>0.20077207599015015</v>
      </c>
      <c r="J1703" s="3"/>
    </row>
    <row r="1704" spans="2:10" x14ac:dyDescent="0.25">
      <c r="B1704" s="3">
        <f t="shared" si="215"/>
        <v>8420</v>
      </c>
      <c r="C1704" s="14">
        <f t="shared" si="216"/>
        <v>140.33333333333334</v>
      </c>
      <c r="D1704" s="11">
        <f t="shared" si="217"/>
        <v>1072.4699367414516</v>
      </c>
      <c r="E1704" s="24">
        <f t="shared" si="218"/>
        <v>705.57338425728165</v>
      </c>
      <c r="F1704" s="38">
        <f t="shared" si="213"/>
        <v>0.56589687564668101</v>
      </c>
      <c r="G1704" s="14">
        <f t="shared" si="214"/>
        <v>0</v>
      </c>
      <c r="H1704" s="24">
        <f t="shared" si="212"/>
        <v>1066.9669125869141</v>
      </c>
      <c r="I1704" s="12">
        <f t="shared" si="219"/>
        <v>0.20032414824461781</v>
      </c>
      <c r="J1704" s="3"/>
    </row>
    <row r="1705" spans="2:10" x14ac:dyDescent="0.25">
      <c r="B1705" s="3">
        <f t="shared" si="215"/>
        <v>8425</v>
      </c>
      <c r="C1705" s="14">
        <f t="shared" si="216"/>
        <v>140.41666666666666</v>
      </c>
      <c r="D1705" s="11">
        <f t="shared" si="217"/>
        <v>1072.558804831991</v>
      </c>
      <c r="E1705" s="24">
        <f t="shared" si="218"/>
        <v>705.77370840552624</v>
      </c>
      <c r="F1705" s="38">
        <f t="shared" si="213"/>
        <v>0.5645779980033041</v>
      </c>
      <c r="G1705" s="14">
        <f t="shared" si="214"/>
        <v>0</v>
      </c>
      <c r="H1705" s="24">
        <f t="shared" si="212"/>
        <v>1069.4593915928449</v>
      </c>
      <c r="I1705" s="12">
        <f t="shared" si="219"/>
        <v>0.19987423291654058</v>
      </c>
      <c r="J1705" s="3"/>
    </row>
    <row r="1706" spans="2:10" x14ac:dyDescent="0.25">
      <c r="B1706" s="3">
        <f t="shared" si="215"/>
        <v>8430</v>
      </c>
      <c r="C1706" s="14">
        <f t="shared" si="216"/>
        <v>140.5</v>
      </c>
      <c r="D1706" s="11">
        <f t="shared" si="217"/>
        <v>1072.6476202443464</v>
      </c>
      <c r="E1706" s="24">
        <f t="shared" si="218"/>
        <v>705.97358263844274</v>
      </c>
      <c r="F1706" s="38">
        <f t="shared" si="213"/>
        <v>0.56325186641153957</v>
      </c>
      <c r="G1706" s="14">
        <f t="shared" si="214"/>
        <v>0</v>
      </c>
      <c r="H1706" s="24">
        <f t="shared" si="212"/>
        <v>1071.9773484250811</v>
      </c>
      <c r="I1706" s="12">
        <f t="shared" si="219"/>
        <v>0.19942231596613305</v>
      </c>
      <c r="J1706" s="3"/>
    </row>
    <row r="1707" spans="2:10" x14ac:dyDescent="0.25">
      <c r="B1707" s="3">
        <f t="shared" si="215"/>
        <v>8435</v>
      </c>
      <c r="C1707" s="14">
        <f t="shared" si="216"/>
        <v>140.58333333333334</v>
      </c>
      <c r="D1707" s="11">
        <f t="shared" si="217"/>
        <v>1072.7363830409333</v>
      </c>
      <c r="E1707" s="24">
        <f t="shared" si="218"/>
        <v>706.17300495440884</v>
      </c>
      <c r="F1707" s="38">
        <f t="shared" si="213"/>
        <v>0.5619184444586558</v>
      </c>
      <c r="G1707" s="14">
        <f t="shared" si="214"/>
        <v>0</v>
      </c>
      <c r="H1707" s="24">
        <f t="shared" si="212"/>
        <v>1074.5211306117667</v>
      </c>
      <c r="I1707" s="12">
        <f t="shared" si="219"/>
        <v>0.19896838331616251</v>
      </c>
      <c r="J1707" s="3"/>
    </row>
    <row r="1708" spans="2:10" x14ac:dyDescent="0.25">
      <c r="B1708" s="3">
        <f t="shared" si="215"/>
        <v>8440</v>
      </c>
      <c r="C1708" s="14">
        <f t="shared" si="216"/>
        <v>140.66666666666666</v>
      </c>
      <c r="D1708" s="11">
        <f t="shared" si="217"/>
        <v>1072.8250932840556</v>
      </c>
      <c r="E1708" s="24">
        <f t="shared" si="218"/>
        <v>706.37197333772497</v>
      </c>
      <c r="F1708" s="38">
        <f t="shared" si="213"/>
        <v>0.56057769585326689</v>
      </c>
      <c r="G1708" s="14">
        <f t="shared" si="214"/>
        <v>0</v>
      </c>
      <c r="H1708" s="24">
        <f t="shared" si="212"/>
        <v>1077.091091418245</v>
      </c>
      <c r="I1708" s="12">
        <f t="shared" si="219"/>
        <v>0.19851242085431148</v>
      </c>
      <c r="J1708" s="3"/>
    </row>
    <row r="1709" spans="2:10" x14ac:dyDescent="0.25">
      <c r="B1709" s="3">
        <f t="shared" si="215"/>
        <v>8445</v>
      </c>
      <c r="C1709" s="14">
        <f t="shared" si="216"/>
        <v>140.75</v>
      </c>
      <c r="D1709" s="11">
        <f t="shared" si="217"/>
        <v>1072.9137510359067</v>
      </c>
      <c r="E1709" s="24">
        <f t="shared" si="218"/>
        <v>706.57048575857925</v>
      </c>
      <c r="F1709" s="38">
        <f t="shared" si="213"/>
        <v>0.55922958443590343</v>
      </c>
      <c r="G1709" s="14">
        <f t="shared" si="214"/>
        <v>0</v>
      </c>
      <c r="H1709" s="24">
        <f t="shared" si="212"/>
        <v>1079.6875899553277</v>
      </c>
      <c r="I1709" s="12">
        <f t="shared" si="219"/>
        <v>0.19805441443522759</v>
      </c>
      <c r="J1709" s="3"/>
    </row>
    <row r="1710" spans="2:10" x14ac:dyDescent="0.25">
      <c r="B1710" s="3">
        <f t="shared" si="215"/>
        <v>8450</v>
      </c>
      <c r="C1710" s="14">
        <f t="shared" si="216"/>
        <v>140.83333333333334</v>
      </c>
      <c r="D1710" s="11">
        <f t="shared" si="217"/>
        <v>1073.0023563585696</v>
      </c>
      <c r="E1710" s="24">
        <f t="shared" si="218"/>
        <v>706.76854017301446</v>
      </c>
      <c r="F1710" s="38">
        <f t="shared" si="213"/>
        <v>0.55787407418987101</v>
      </c>
      <c r="G1710" s="14">
        <f t="shared" si="214"/>
        <v>0</v>
      </c>
      <c r="H1710" s="24">
        <f t="shared" si="212"/>
        <v>1082.3109912898026</v>
      </c>
      <c r="I1710" s="12">
        <f t="shared" si="219"/>
        <v>0.19759434988292165</v>
      </c>
      <c r="J1710" s="3"/>
    </row>
    <row r="1711" spans="2:10" x14ac:dyDescent="0.25">
      <c r="B1711" s="3">
        <f t="shared" si="215"/>
        <v>8455</v>
      </c>
      <c r="C1711" s="14">
        <f t="shared" si="216"/>
        <v>140.91666666666666</v>
      </c>
      <c r="D1711" s="11">
        <f t="shared" si="217"/>
        <v>1073.0909093140176</v>
      </c>
      <c r="E1711" s="24">
        <f t="shared" si="218"/>
        <v>706.96613452289739</v>
      </c>
      <c r="F1711" s="38">
        <f t="shared" si="213"/>
        <v>0.55651112925238744</v>
      </c>
      <c r="G1711" s="14">
        <f t="shared" si="214"/>
        <v>0</v>
      </c>
      <c r="H1711" s="24">
        <f t="shared" si="212"/>
        <v>1084.9616665572366</v>
      </c>
      <c r="I1711" s="12">
        <f t="shared" si="219"/>
        <v>0.19713221299310585</v>
      </c>
      <c r="J1711" s="3"/>
    </row>
    <row r="1712" spans="2:10" x14ac:dyDescent="0.25">
      <c r="B1712" s="3">
        <f t="shared" si="215"/>
        <v>8460</v>
      </c>
      <c r="C1712" s="14">
        <f t="shared" si="216"/>
        <v>141</v>
      </c>
      <c r="D1712" s="11">
        <f t="shared" si="217"/>
        <v>1073.1794099641138</v>
      </c>
      <c r="E1712" s="24">
        <f t="shared" si="218"/>
        <v>707.16326673589049</v>
      </c>
      <c r="F1712" s="38">
        <f t="shared" si="213"/>
        <v>0.55514071392601883</v>
      </c>
      <c r="G1712" s="14">
        <f t="shared" si="214"/>
        <v>0</v>
      </c>
      <c r="H1712" s="24">
        <f t="shared" si="212"/>
        <v>1087.6399930771158</v>
      </c>
      <c r="I1712" s="12">
        <f t="shared" si="219"/>
        <v>0.19666798953572623</v>
      </c>
      <c r="J1712" s="3"/>
    </row>
    <row r="1713" spans="2:10" x14ac:dyDescent="0.25">
      <c r="B1713" s="3">
        <f t="shared" si="215"/>
        <v>8465</v>
      </c>
      <c r="C1713" s="14">
        <f t="shared" si="216"/>
        <v>141.08333333333334</v>
      </c>
      <c r="D1713" s="11">
        <f t="shared" si="217"/>
        <v>1073.2678583706117</v>
      </c>
      <c r="E1713" s="24">
        <f t="shared" si="218"/>
        <v>707.35993472542623</v>
      </c>
      <c r="F1713" s="38">
        <f t="shared" si="213"/>
        <v>0.55376279269040307</v>
      </c>
      <c r="G1713" s="14">
        <f t="shared" si="214"/>
        <v>0</v>
      </c>
      <c r="H1713" s="24">
        <f t="shared" si="212"/>
        <v>1090.3463544703845</v>
      </c>
      <c r="I1713" s="12">
        <f t="shared" si="219"/>
        <v>0.19620166525749275</v>
      </c>
      <c r="J1713" s="3"/>
    </row>
    <row r="1714" spans="2:10" x14ac:dyDescent="0.25">
      <c r="B1714" s="3">
        <f t="shared" si="215"/>
        <v>8470</v>
      </c>
      <c r="C1714" s="14">
        <f t="shared" si="216"/>
        <v>141.16666666666666</v>
      </c>
      <c r="D1714" s="11">
        <f t="shared" si="217"/>
        <v>1073.3562545951561</v>
      </c>
      <c r="E1714" s="24">
        <f t="shared" si="218"/>
        <v>707.55613639068372</v>
      </c>
      <c r="F1714" s="38">
        <f t="shared" si="213"/>
        <v>0.55237733021428193</v>
      </c>
      <c r="G1714" s="14">
        <f t="shared" si="214"/>
        <v>0</v>
      </c>
      <c r="H1714" s="24">
        <f t="shared" si="212"/>
        <v>1093.0811407794245</v>
      </c>
      <c r="I1714" s="12">
        <f t="shared" si="219"/>
        <v>0.1957332258845296</v>
      </c>
      <c r="J1714" s="3"/>
    </row>
    <row r="1715" spans="2:10" x14ac:dyDescent="0.25">
      <c r="B1715" s="3">
        <f t="shared" si="215"/>
        <v>8475</v>
      </c>
      <c r="C1715" s="14">
        <f t="shared" si="216"/>
        <v>141.25</v>
      </c>
      <c r="D1715" s="11">
        <f t="shared" si="217"/>
        <v>1073.4445986992821</v>
      </c>
      <c r="E1715" s="24">
        <f t="shared" si="218"/>
        <v>707.75186961656823</v>
      </c>
      <c r="F1715" s="38">
        <f t="shared" si="213"/>
        <v>0.55098429136783522</v>
      </c>
      <c r="G1715" s="14">
        <f t="shared" si="214"/>
        <v>0</v>
      </c>
      <c r="H1715" s="24">
        <f t="shared" si="212"/>
        <v>1095.8447485905365</v>
      </c>
      <c r="I1715" s="12">
        <f t="shared" si="219"/>
        <v>0.19526265712519664</v>
      </c>
      <c r="J1715" s="3"/>
    </row>
    <row r="1716" spans="2:10" x14ac:dyDescent="0.25">
      <c r="B1716" s="3">
        <f t="shared" si="215"/>
        <v>8480</v>
      </c>
      <c r="C1716" s="14">
        <f t="shared" si="216"/>
        <v>141.33333333333334</v>
      </c>
      <c r="D1716" s="11">
        <f t="shared" si="217"/>
        <v>1073.5328907444159</v>
      </c>
      <c r="E1716" s="24">
        <f t="shared" si="218"/>
        <v>707.94713227369346</v>
      </c>
      <c r="F1716" s="38">
        <f t="shared" si="213"/>
        <v>0.54958364123532388</v>
      </c>
      <c r="G1716" s="14">
        <f t="shared" si="214"/>
        <v>0</v>
      </c>
      <c r="H1716" s="24">
        <f t="shared" si="212"/>
        <v>1098.6375811589787</v>
      </c>
      <c r="I1716" s="12">
        <f t="shared" si="219"/>
        <v>0.19478994467290378</v>
      </c>
      <c r="J1716" s="3"/>
    </row>
    <row r="1717" spans="2:10" x14ac:dyDescent="0.25">
      <c r="B1717" s="3">
        <f t="shared" si="215"/>
        <v>8485</v>
      </c>
      <c r="C1717" s="14">
        <f t="shared" si="216"/>
        <v>141.41666666666666</v>
      </c>
      <c r="D1717" s="11">
        <f t="shared" si="217"/>
        <v>1073.6211307918761</v>
      </c>
      <c r="E1717" s="24">
        <f t="shared" si="218"/>
        <v>708.1419222183664</v>
      </c>
      <c r="F1717" s="38">
        <f t="shared" si="213"/>
        <v>0.54817534512805532</v>
      </c>
      <c r="G1717" s="14">
        <f t="shared" si="214"/>
        <v>0</v>
      </c>
      <c r="H1717" s="24">
        <f t="shared" si="212"/>
        <v>1101.4600485366086</v>
      </c>
      <c r="I1717" s="12">
        <f t="shared" si="219"/>
        <v>0.19431507420898869</v>
      </c>
      <c r="J1717" s="3"/>
    </row>
    <row r="1718" spans="2:10" x14ac:dyDescent="0.25">
      <c r="B1718" s="3">
        <f t="shared" si="215"/>
        <v>8490</v>
      </c>
      <c r="C1718" s="14">
        <f t="shared" si="216"/>
        <v>141.5</v>
      </c>
      <c r="D1718" s="11">
        <f t="shared" si="217"/>
        <v>1073.7093189028719</v>
      </c>
      <c r="E1718" s="24">
        <f t="shared" si="218"/>
        <v>708.33623729257545</v>
      </c>
      <c r="F1718" s="38">
        <f t="shared" si="213"/>
        <v>0.5467593685976645</v>
      </c>
      <c r="G1718" s="14">
        <f t="shared" si="214"/>
        <v>0</v>
      </c>
      <c r="H1718" s="24">
        <f t="shared" si="212"/>
        <v>1104.3125677021994</v>
      </c>
      <c r="I1718" s="12">
        <f t="shared" si="219"/>
        <v>0.19383803140596231</v>
      </c>
      <c r="J1718" s="3"/>
    </row>
    <row r="1719" spans="2:10" x14ac:dyDescent="0.25">
      <c r="B1719" s="3">
        <f t="shared" si="215"/>
        <v>8495</v>
      </c>
      <c r="C1719" s="14">
        <f t="shared" si="216"/>
        <v>141.58333333333334</v>
      </c>
      <c r="D1719" s="11">
        <f t="shared" si="217"/>
        <v>1073.7974551385055</v>
      </c>
      <c r="E1719" s="24">
        <f t="shared" si="218"/>
        <v>708.53007532398146</v>
      </c>
      <c r="F1719" s="38">
        <f t="shared" si="213"/>
        <v>0.54533567744972067</v>
      </c>
      <c r="G1719" s="14">
        <f t="shared" si="214"/>
        <v>0</v>
      </c>
      <c r="H1719" s="24">
        <f t="shared" ref="H1719:H1782" si="220">IF(E1719&lt;600,425+0.773*E1719-1.69/1000*E1719^2+2.22/1000^2*E1719^3,IF(E1719&lt;735,666+13002/(738-E1719),IF(E1719&lt;900,545+17820/(E1719-731),650)))</f>
        <v>1107.1955626944821</v>
      </c>
      <c r="I1719" s="12">
        <f t="shared" si="219"/>
        <v>0.1933588019304372</v>
      </c>
      <c r="J1719" s="3"/>
    </row>
    <row r="1720" spans="2:10" x14ac:dyDescent="0.25">
      <c r="B1720" s="3">
        <f t="shared" si="215"/>
        <v>8500</v>
      </c>
      <c r="C1720" s="14">
        <f t="shared" si="216"/>
        <v>141.66666666666666</v>
      </c>
      <c r="D1720" s="11">
        <f t="shared" si="217"/>
        <v>1073.8855395597707</v>
      </c>
      <c r="E1720" s="24">
        <f t="shared" si="218"/>
        <v>708.72343412591192</v>
      </c>
      <c r="F1720" s="38">
        <f t="shared" si="213"/>
        <v>0.5439042377576695</v>
      </c>
      <c r="G1720" s="14">
        <f t="shared" si="214"/>
        <v>0</v>
      </c>
      <c r="H1720" s="24">
        <f t="shared" si="220"/>
        <v>1110.109464747972</v>
      </c>
      <c r="I1720" s="12">
        <f t="shared" si="219"/>
        <v>0.19287737144658296</v>
      </c>
      <c r="J1720" s="3"/>
    </row>
    <row r="1721" spans="2:10" x14ac:dyDescent="0.25">
      <c r="B1721" s="3">
        <f t="shared" si="215"/>
        <v>8505</v>
      </c>
      <c r="C1721" s="14">
        <f t="shared" si="216"/>
        <v>141.75</v>
      </c>
      <c r="D1721" s="11">
        <f t="shared" si="217"/>
        <v>1073.9735722275536</v>
      </c>
      <c r="E1721" s="24">
        <f t="shared" si="218"/>
        <v>708.91631149735849</v>
      </c>
      <c r="F1721" s="38">
        <f t="shared" si="213"/>
        <v>0.54246501587710516</v>
      </c>
      <c r="G1721" s="14">
        <f t="shared" si="214"/>
        <v>0</v>
      </c>
      <c r="H1721" s="24">
        <f t="shared" si="220"/>
        <v>1113.0547124316472</v>
      </c>
      <c r="I1721" s="12">
        <f t="shared" si="219"/>
        <v>0.19239372561940926</v>
      </c>
      <c r="J1721" s="3"/>
    </row>
    <row r="1722" spans="2:10" x14ac:dyDescent="0.25">
      <c r="B1722" s="3">
        <f t="shared" si="215"/>
        <v>8510</v>
      </c>
      <c r="C1722" s="14">
        <f t="shared" si="216"/>
        <v>141.83333333333334</v>
      </c>
      <c r="D1722" s="11">
        <f t="shared" si="217"/>
        <v>1074.0615532026341</v>
      </c>
      <c r="E1722" s="24">
        <f t="shared" si="218"/>
        <v>709.10870522297785</v>
      </c>
      <c r="F1722" s="38">
        <f t="shared" si="213"/>
        <v>0.54101797846038779</v>
      </c>
      <c r="G1722" s="14">
        <f t="shared" si="214"/>
        <v>0</v>
      </c>
      <c r="H1722" s="24">
        <f t="shared" si="220"/>
        <v>1116.0317517905346</v>
      </c>
      <c r="I1722" s="12">
        <f t="shared" si="219"/>
        <v>0.19190785011819891</v>
      </c>
      <c r="J1722" s="3"/>
    </row>
    <row r="1723" spans="2:10" x14ac:dyDescent="0.25">
      <c r="B1723" s="3">
        <f t="shared" si="215"/>
        <v>8515</v>
      </c>
      <c r="C1723" s="14">
        <f t="shared" si="216"/>
        <v>141.91666666666666</v>
      </c>
      <c r="D1723" s="11">
        <f t="shared" si="217"/>
        <v>1074.1494825456837</v>
      </c>
      <c r="E1723" s="24">
        <f t="shared" si="218"/>
        <v>709.30061307309609</v>
      </c>
      <c r="F1723" s="38">
        <f t="shared" si="213"/>
        <v>0.5395630924716025</v>
      </c>
      <c r="G1723" s="14">
        <f t="shared" si="214"/>
        <v>0</v>
      </c>
      <c r="H1723" s="24">
        <f t="shared" si="220"/>
        <v>1119.041036490275</v>
      </c>
      <c r="I1723" s="12">
        <f t="shared" si="219"/>
        <v>0.1914197306202676</v>
      </c>
      <c r="J1723" s="3"/>
    </row>
    <row r="1724" spans="2:10" x14ac:dyDescent="0.25">
      <c r="B1724" s="3">
        <f t="shared" si="215"/>
        <v>8520</v>
      </c>
      <c r="C1724" s="14">
        <f t="shared" si="216"/>
        <v>142</v>
      </c>
      <c r="D1724" s="11">
        <f t="shared" si="217"/>
        <v>1074.2373603172684</v>
      </c>
      <c r="E1724" s="24">
        <f t="shared" si="218"/>
        <v>709.49203280371637</v>
      </c>
      <c r="F1724" s="38">
        <f t="shared" si="213"/>
        <v>0.53810032520187379</v>
      </c>
      <c r="G1724" s="14">
        <f t="shared" si="214"/>
        <v>0</v>
      </c>
      <c r="H1724" s="24">
        <f t="shared" si="220"/>
        <v>1122.0830279647219</v>
      </c>
      <c r="I1724" s="12">
        <f t="shared" si="219"/>
        <v>0.19092935281446238</v>
      </c>
      <c r="J1724" s="3"/>
    </row>
    <row r="1725" spans="2:10" x14ac:dyDescent="0.25">
      <c r="B1725" s="3">
        <f t="shared" si="215"/>
        <v>8525</v>
      </c>
      <c r="C1725" s="14">
        <f t="shared" si="216"/>
        <v>142.08333333333334</v>
      </c>
      <c r="D1725" s="11">
        <f t="shared" si="217"/>
        <v>1074.3251865778468</v>
      </c>
      <c r="E1725" s="24">
        <f t="shared" si="218"/>
        <v>709.68296215653083</v>
      </c>
      <c r="F1725" s="38">
        <f t="shared" si="213"/>
        <v>0.53662964428502957</v>
      </c>
      <c r="G1725" s="14">
        <f t="shared" si="214"/>
        <v>0</v>
      </c>
      <c r="H1725" s="24">
        <f t="shared" si="220"/>
        <v>1125.1581955666554</v>
      </c>
      <c r="I1725" s="12">
        <f t="shared" si="219"/>
        <v>0.19043670240521665</v>
      </c>
      <c r="J1725" s="3"/>
    </row>
    <row r="1726" spans="2:10" x14ac:dyDescent="0.25">
      <c r="B1726" s="3">
        <f t="shared" si="215"/>
        <v>8530</v>
      </c>
      <c r="C1726" s="14">
        <f t="shared" si="216"/>
        <v>142.16666666666666</v>
      </c>
      <c r="D1726" s="11">
        <f t="shared" si="217"/>
        <v>1074.4129613877715</v>
      </c>
      <c r="E1726" s="24">
        <f t="shared" si="218"/>
        <v>709.87339885893607</v>
      </c>
      <c r="F1726" s="38">
        <f t="shared" si="213"/>
        <v>0.53515101771362661</v>
      </c>
      <c r="G1726" s="14">
        <f t="shared" si="214"/>
        <v>0</v>
      </c>
      <c r="H1726" s="24">
        <f t="shared" si="220"/>
        <v>1128.267016721672</v>
      </c>
      <c r="I1726" s="12">
        <f t="shared" si="219"/>
        <v>0.18994176511629962</v>
      </c>
      <c r="J1726" s="3"/>
    </row>
    <row r="1727" spans="2:10" x14ac:dyDescent="0.25">
      <c r="B1727" s="3">
        <f t="shared" si="215"/>
        <v>8535</v>
      </c>
      <c r="C1727" s="14">
        <f t="shared" si="216"/>
        <v>142.25</v>
      </c>
      <c r="D1727" s="11">
        <f t="shared" si="217"/>
        <v>1074.5006848072896</v>
      </c>
      <c r="E1727" s="24">
        <f t="shared" si="218"/>
        <v>710.06334062405233</v>
      </c>
      <c r="F1727" s="38">
        <f t="shared" si="213"/>
        <v>0.53366441385534247</v>
      </c>
      <c r="G1727" s="14">
        <f t="shared" si="214"/>
        <v>0</v>
      </c>
      <c r="H1727" s="24">
        <f t="shared" si="220"/>
        <v>1131.4099770853131</v>
      </c>
      <c r="I1727" s="12">
        <f t="shared" si="219"/>
        <v>0.18944452669497763</v>
      </c>
      <c r="J1727" s="3"/>
    </row>
    <row r="1728" spans="2:10" x14ac:dyDescent="0.25">
      <c r="B1728" s="3">
        <f t="shared" si="215"/>
        <v>8540</v>
      </c>
      <c r="C1728" s="14">
        <f t="shared" si="216"/>
        <v>142.33333333333334</v>
      </c>
      <c r="D1728" s="11">
        <f t="shared" si="217"/>
        <v>1074.5883568965414</v>
      </c>
      <c r="E1728" s="24">
        <f t="shared" si="218"/>
        <v>710.25278515074729</v>
      </c>
      <c r="F1728" s="38">
        <f t="shared" si="213"/>
        <v>0.53216980146973358</v>
      </c>
      <c r="G1728" s="14">
        <f t="shared" si="214"/>
        <v>0</v>
      </c>
      <c r="H1728" s="24">
        <f t="shared" si="220"/>
        <v>1134.5875707035211</v>
      </c>
      <c r="I1728" s="12">
        <f t="shared" si="219"/>
        <v>0.18894497291631057</v>
      </c>
      <c r="J1728" s="3"/>
    </row>
    <row r="1729" spans="2:10" x14ac:dyDescent="0.25">
      <c r="B1729" s="3">
        <f t="shared" si="215"/>
        <v>8545</v>
      </c>
      <c r="C1729" s="14">
        <f t="shared" si="216"/>
        <v>142.41666666666666</v>
      </c>
      <c r="D1729" s="11">
        <f t="shared" si="217"/>
        <v>1074.675977715563</v>
      </c>
      <c r="E1729" s="24">
        <f t="shared" si="218"/>
        <v>710.44173012366355</v>
      </c>
      <c r="F1729" s="38">
        <f t="shared" si="213"/>
        <v>0.5306671497253671</v>
      </c>
      <c r="G1729" s="14">
        <f t="shared" si="214"/>
        <v>0</v>
      </c>
      <c r="H1729" s="24">
        <f t="shared" si="220"/>
        <v>1137.8003001764805</v>
      </c>
      <c r="I1729" s="12">
        <f t="shared" si="219"/>
        <v>0.1884430895872177</v>
      </c>
      <c r="J1729" s="3"/>
    </row>
    <row r="1730" spans="2:10" x14ac:dyDescent="0.25">
      <c r="B1730" s="3">
        <f t="shared" si="215"/>
        <v>8550</v>
      </c>
      <c r="C1730" s="14">
        <f t="shared" si="216"/>
        <v>142.5</v>
      </c>
      <c r="D1730" s="11">
        <f t="shared" si="217"/>
        <v>1074.763547324284</v>
      </c>
      <c r="E1730" s="24">
        <f t="shared" si="218"/>
        <v>710.63017321325071</v>
      </c>
      <c r="F1730" s="38">
        <f t="shared" si="213"/>
        <v>0.52915642821733289</v>
      </c>
      <c r="G1730" s="14">
        <f t="shared" si="214"/>
        <v>0</v>
      </c>
      <c r="H1730" s="24">
        <f t="shared" si="220"/>
        <v>1141.0486768259248</v>
      </c>
      <c r="I1730" s="12">
        <f t="shared" si="219"/>
        <v>0.18793886255125605</v>
      </c>
      <c r="J1730" s="3"/>
    </row>
    <row r="1731" spans="2:10" x14ac:dyDescent="0.25">
      <c r="B1731" s="3">
        <f t="shared" si="215"/>
        <v>8555</v>
      </c>
      <c r="C1731" s="14">
        <f t="shared" si="216"/>
        <v>142.58333333333334</v>
      </c>
      <c r="D1731" s="11">
        <f t="shared" si="217"/>
        <v>1074.8510657825295</v>
      </c>
      <c r="E1731" s="24">
        <f t="shared" si="218"/>
        <v>710.81811207580199</v>
      </c>
      <c r="F1731" s="38">
        <f t="shared" si="213"/>
        <v>0.5276376069851324</v>
      </c>
      <c r="G1731" s="14">
        <f t="shared" si="214"/>
        <v>0</v>
      </c>
      <c r="H1731" s="24">
        <f t="shared" si="220"/>
        <v>1144.3332208659904</v>
      </c>
      <c r="I1731" s="12">
        <f t="shared" si="219"/>
        <v>0.18743227769293697</v>
      </c>
      <c r="J1731" s="3"/>
    </row>
    <row r="1732" spans="2:10" x14ac:dyDescent="0.25">
      <c r="B1732" s="3">
        <f t="shared" si="215"/>
        <v>8560</v>
      </c>
      <c r="C1732" s="14">
        <f t="shared" si="216"/>
        <v>142.66666666666666</v>
      </c>
      <c r="D1732" s="11">
        <f t="shared" si="217"/>
        <v>1074.9385331500205</v>
      </c>
      <c r="E1732" s="24">
        <f t="shared" si="218"/>
        <v>711.00554435349488</v>
      </c>
      <c r="F1732" s="38">
        <f t="shared" si="213"/>
        <v>0.52611065653096101</v>
      </c>
      <c r="G1732" s="14">
        <f t="shared" si="214"/>
        <v>0</v>
      </c>
      <c r="H1732" s="24">
        <f t="shared" si="220"/>
        <v>1147.6544615776806</v>
      </c>
      <c r="I1732" s="12">
        <f t="shared" si="219"/>
        <v>0.1869233209425756</v>
      </c>
      <c r="J1732" s="3"/>
    </row>
    <row r="1733" spans="2:10" x14ac:dyDescent="0.25">
      <c r="B1733" s="3">
        <f t="shared" si="215"/>
        <v>8565</v>
      </c>
      <c r="C1733" s="14">
        <f t="shared" si="216"/>
        <v>142.75</v>
      </c>
      <c r="D1733" s="11">
        <f t="shared" si="217"/>
        <v>1075.0259494863719</v>
      </c>
      <c r="E1733" s="24">
        <f t="shared" si="218"/>
        <v>711.19246767443747</v>
      </c>
      <c r="F1733" s="38">
        <f t="shared" si="213"/>
        <v>0.52457554783837168</v>
      </c>
      <c r="G1733" s="14">
        <f t="shared" si="214"/>
        <v>0</v>
      </c>
      <c r="H1733" s="24">
        <f t="shared" si="220"/>
        <v>1151.0129374870451</v>
      </c>
      <c r="I1733" s="12">
        <f t="shared" si="219"/>
        <v>0.18641197828122436</v>
      </c>
      <c r="J1733" s="3"/>
    </row>
    <row r="1734" spans="2:10" x14ac:dyDescent="0.25">
      <c r="B1734" s="3">
        <f t="shared" si="215"/>
        <v>8570</v>
      </c>
      <c r="C1734" s="14">
        <f t="shared" si="216"/>
        <v>142.83333333333334</v>
      </c>
      <c r="D1734" s="11">
        <f t="shared" si="217"/>
        <v>1075.1133148510962</v>
      </c>
      <c r="E1734" s="24">
        <f t="shared" si="218"/>
        <v>711.37887965271864</v>
      </c>
      <c r="F1734" s="38">
        <f t="shared" si="213"/>
        <v>0.52303225239134032</v>
      </c>
      <c r="G1734" s="14">
        <f t="shared" si="214"/>
        <v>0</v>
      </c>
      <c r="H1734" s="24">
        <f t="shared" si="220"/>
        <v>1154.4091965471246</v>
      </c>
      <c r="I1734" s="12">
        <f t="shared" si="219"/>
        <v>0.18589823574544517</v>
      </c>
      <c r="J1734" s="3"/>
    </row>
    <row r="1735" spans="2:10" x14ac:dyDescent="0.25">
      <c r="B1735" s="3">
        <f t="shared" si="215"/>
        <v>8575</v>
      </c>
      <c r="C1735" s="14">
        <f t="shared" si="216"/>
        <v>142.91666666666666</v>
      </c>
      <c r="D1735" s="11">
        <f t="shared" si="217"/>
        <v>1075.2006293036002</v>
      </c>
      <c r="E1735" s="24">
        <f t="shared" si="218"/>
        <v>711.56477788846405</v>
      </c>
      <c r="F1735" s="38">
        <f t="shared" si="213"/>
        <v>0.52148074219372387</v>
      </c>
      <c r="G1735" s="14">
        <f t="shared" si="214"/>
        <v>0</v>
      </c>
      <c r="H1735" s="24">
        <f t="shared" si="220"/>
        <v>1157.8437963237734</v>
      </c>
      <c r="I1735" s="12">
        <f t="shared" si="219"/>
        <v>0.18538207943275881</v>
      </c>
      <c r="J1735" s="3"/>
    </row>
    <row r="1736" spans="2:10" x14ac:dyDescent="0.25">
      <c r="B1736" s="3">
        <f t="shared" si="215"/>
        <v>8580</v>
      </c>
      <c r="C1736" s="14">
        <f t="shared" si="216"/>
        <v>143</v>
      </c>
      <c r="D1736" s="11">
        <f t="shared" si="217"/>
        <v>1075.2878929031879</v>
      </c>
      <c r="E1736" s="24">
        <f t="shared" si="218"/>
        <v>711.75015996789682</v>
      </c>
      <c r="F1736" s="38">
        <f t="shared" si="213"/>
        <v>0.51992098978912105</v>
      </c>
      <c r="G1736" s="14">
        <f t="shared" si="214"/>
        <v>0</v>
      </c>
      <c r="H1736" s="24">
        <f t="shared" si="220"/>
        <v>1161.3173041854252</v>
      </c>
      <c r="I1736" s="12">
        <f t="shared" si="219"/>
        <v>0.18486349550664463</v>
      </c>
      <c r="J1736" s="3"/>
    </row>
    <row r="1737" spans="2:10" x14ac:dyDescent="0.25">
      <c r="B1737" s="3">
        <f t="shared" si="215"/>
        <v>8585</v>
      </c>
      <c r="C1737" s="14">
        <f t="shared" si="216"/>
        <v>143.08333333333334</v>
      </c>
      <c r="D1737" s="11">
        <f t="shared" si="217"/>
        <v>1075.3751057090592</v>
      </c>
      <c r="E1737" s="24">
        <f t="shared" si="218"/>
        <v>711.93502346340347</v>
      </c>
      <c r="F1737" s="38">
        <f t="shared" si="213"/>
        <v>0.51835296828114164</v>
      </c>
      <c r="G1737" s="14">
        <f t="shared" si="214"/>
        <v>0</v>
      </c>
      <c r="H1737" s="24">
        <f t="shared" si="220"/>
        <v>1164.8302974968935</v>
      </c>
      <c r="I1737" s="12">
        <f t="shared" si="219"/>
        <v>0.18434247020219841</v>
      </c>
      <c r="J1737" s="3"/>
    </row>
    <row r="1738" spans="2:10" x14ac:dyDescent="0.25">
      <c r="B1738" s="3">
        <f t="shared" si="215"/>
        <v>8590</v>
      </c>
      <c r="C1738" s="14">
        <f t="shared" si="216"/>
        <v>143.16666666666666</v>
      </c>
      <c r="D1738" s="11">
        <f t="shared" si="217"/>
        <v>1075.4622677803111</v>
      </c>
      <c r="E1738" s="24">
        <f t="shared" si="218"/>
        <v>712.11936593360565</v>
      </c>
      <c r="F1738" s="38">
        <f t="shared" si="213"/>
        <v>0.51677665135407658</v>
      </c>
      <c r="G1738" s="14">
        <f t="shared" si="214"/>
        <v>0</v>
      </c>
      <c r="H1738" s="24">
        <f t="shared" si="220"/>
        <v>1168.3833638173078</v>
      </c>
      <c r="I1738" s="12">
        <f t="shared" si="219"/>
        <v>0.18381898983158843</v>
      </c>
      <c r="J1738" s="3"/>
    </row>
    <row r="1739" spans="2:10" x14ac:dyDescent="0.25">
      <c r="B1739" s="3">
        <f t="shared" si="215"/>
        <v>8595</v>
      </c>
      <c r="C1739" s="14">
        <f t="shared" si="216"/>
        <v>143.25</v>
      </c>
      <c r="D1739" s="11">
        <f t="shared" si="217"/>
        <v>1075.5493791759372</v>
      </c>
      <c r="E1739" s="24">
        <f t="shared" si="218"/>
        <v>712.30318492343724</v>
      </c>
      <c r="F1739" s="38">
        <f t="shared" si="213"/>
        <v>0.51519201329398512</v>
      </c>
      <c r="G1739" s="14">
        <f t="shared" si="214"/>
        <v>0</v>
      </c>
      <c r="H1739" s="24">
        <f t="shared" si="220"/>
        <v>1171.9771011022572</v>
      </c>
      <c r="I1739" s="12">
        <f t="shared" si="219"/>
        <v>0.18329304078987047</v>
      </c>
      <c r="J1739" s="3"/>
    </row>
    <row r="1740" spans="2:10" x14ac:dyDescent="0.25">
      <c r="B1740" s="3">
        <f t="shared" si="215"/>
        <v>8600</v>
      </c>
      <c r="C1740" s="14">
        <f t="shared" si="216"/>
        <v>143.33333333333334</v>
      </c>
      <c r="D1740" s="11">
        <f t="shared" si="217"/>
        <v>1075.6364399548288</v>
      </c>
      <c r="E1740" s="24">
        <f t="shared" si="218"/>
        <v>712.48647796422711</v>
      </c>
      <c r="F1740" s="38">
        <f t="shared" si="213"/>
        <v>0.51359902901019339</v>
      </c>
      <c r="G1740" s="14">
        <f t="shared" si="214"/>
        <v>0</v>
      </c>
      <c r="H1740" s="24">
        <f t="shared" si="220"/>
        <v>1175.6121179102477</v>
      </c>
      <c r="I1740" s="12">
        <f t="shared" si="219"/>
        <v>0.18276460956083851</v>
      </c>
      <c r="J1740" s="3"/>
    </row>
    <row r="1741" spans="2:10" x14ac:dyDescent="0.25">
      <c r="B1741" s="3">
        <f t="shared" si="215"/>
        <v>8605</v>
      </c>
      <c r="C1741" s="14">
        <f t="shared" si="216"/>
        <v>143.41666666666666</v>
      </c>
      <c r="D1741" s="11">
        <f t="shared" si="217"/>
        <v>1075.7234501757737</v>
      </c>
      <c r="E1741" s="24">
        <f t="shared" si="218"/>
        <v>712.66924257378798</v>
      </c>
      <c r="F1741" s="38">
        <f t="shared" si="213"/>
        <v>0.51199767405720997</v>
      </c>
      <c r="G1741" s="14">
        <f t="shared" si="214"/>
        <v>0</v>
      </c>
      <c r="H1741" s="24">
        <f t="shared" si="220"/>
        <v>1179.2890336135649</v>
      </c>
      <c r="I1741" s="12">
        <f t="shared" si="219"/>
        <v>0.18223368272315182</v>
      </c>
      <c r="J1741" s="3"/>
    </row>
    <row r="1742" spans="2:10" x14ac:dyDescent="0.25">
      <c r="B1742" s="3">
        <f t="shared" si="215"/>
        <v>8610</v>
      </c>
      <c r="C1742" s="14">
        <f t="shared" si="216"/>
        <v>143.5</v>
      </c>
      <c r="D1742" s="11">
        <f t="shared" si="217"/>
        <v>1075.8104098974584</v>
      </c>
      <c r="E1742" s="24">
        <f t="shared" si="218"/>
        <v>712.85147625651109</v>
      </c>
      <c r="F1742" s="38">
        <f t="shared" si="213"/>
        <v>0.51038792465706218</v>
      </c>
      <c r="G1742" s="14">
        <f t="shared" si="214"/>
        <v>0</v>
      </c>
      <c r="H1742" s="24">
        <f t="shared" si="220"/>
        <v>1183.008478613632</v>
      </c>
      <c r="I1742" s="12">
        <f t="shared" si="219"/>
        <v>0.18170024695642115</v>
      </c>
      <c r="J1742" s="3"/>
    </row>
    <row r="1743" spans="2:10" x14ac:dyDescent="0.25">
      <c r="B1743" s="3">
        <f t="shared" si="215"/>
        <v>8615</v>
      </c>
      <c r="C1743" s="14">
        <f t="shared" si="216"/>
        <v>143.58333333333334</v>
      </c>
      <c r="D1743" s="11">
        <f t="shared" si="217"/>
        <v>1075.8973191784662</v>
      </c>
      <c r="E1743" s="24">
        <f t="shared" si="218"/>
        <v>713.03317650346753</v>
      </c>
      <c r="F1743" s="38">
        <f t="shared" si="213"/>
        <v>0.50876975772204858</v>
      </c>
      <c r="G1743" s="14">
        <f t="shared" si="214"/>
        <v>0</v>
      </c>
      <c r="H1743" s="24">
        <f t="shared" si="220"/>
        <v>1186.7710945609797</v>
      </c>
      <c r="I1743" s="12">
        <f t="shared" si="219"/>
        <v>0.18116428904777743</v>
      </c>
      <c r="J1743" s="3"/>
    </row>
    <row r="1744" spans="2:10" x14ac:dyDescent="0.25">
      <c r="B1744" s="3">
        <f t="shared" si="215"/>
        <v>8620</v>
      </c>
      <c r="C1744" s="14">
        <f t="shared" si="216"/>
        <v>143.66666666666666</v>
      </c>
      <c r="D1744" s="11">
        <f t="shared" si="217"/>
        <v>1075.9841780772792</v>
      </c>
      <c r="E1744" s="24">
        <f t="shared" si="218"/>
        <v>713.21434079251526</v>
      </c>
      <c r="F1744" s="38">
        <f t="shared" si="213"/>
        <v>0.50714315087792228</v>
      </c>
      <c r="G1744" s="14">
        <f t="shared" si="214"/>
        <v>0</v>
      </c>
      <c r="H1744" s="24">
        <f t="shared" si="220"/>
        <v>1190.5775345799022</v>
      </c>
      <c r="I1744" s="12">
        <f t="shared" si="219"/>
        <v>0.18062579589821554</v>
      </c>
      <c r="J1744" s="3"/>
    </row>
    <row r="1745" spans="2:10" x14ac:dyDescent="0.25">
      <c r="B1745" s="3">
        <f t="shared" si="215"/>
        <v>8625</v>
      </c>
      <c r="C1745" s="14">
        <f t="shared" si="216"/>
        <v>143.75</v>
      </c>
      <c r="D1745" s="11">
        <f t="shared" si="217"/>
        <v>1076.0709866522782</v>
      </c>
      <c r="E1745" s="24">
        <f t="shared" si="218"/>
        <v>713.39496658841347</v>
      </c>
      <c r="F1745" s="38">
        <f t="shared" si="213"/>
        <v>0.50550808248749046</v>
      </c>
      <c r="G1745" s="14">
        <f t="shared" si="214"/>
        <v>0</v>
      </c>
      <c r="H1745" s="24">
        <f t="shared" si="220"/>
        <v>1194.428463497934</v>
      </c>
      <c r="I1745" s="12">
        <f t="shared" si="219"/>
        <v>0.18008475452942466</v>
      </c>
      <c r="J1745" s="3"/>
    </row>
    <row r="1746" spans="2:10" x14ac:dyDescent="0.25">
      <c r="B1746" s="3">
        <f t="shared" si="215"/>
        <v>8630</v>
      </c>
      <c r="C1746" s="14">
        <f t="shared" si="216"/>
        <v>143.83333333333334</v>
      </c>
      <c r="D1746" s="11">
        <f t="shared" si="217"/>
        <v>1076.1577449617414</v>
      </c>
      <c r="E1746" s="24">
        <f t="shared" si="218"/>
        <v>713.57505134294286</v>
      </c>
      <c r="F1746" s="38">
        <f t="shared" si="213"/>
        <v>0.50386453167464851</v>
      </c>
      <c r="G1746" s="14">
        <f t="shared" si="214"/>
        <v>0</v>
      </c>
      <c r="H1746" s="24">
        <f t="shared" si="220"/>
        <v>1198.3245580802197</v>
      </c>
      <c r="I1746" s="12">
        <f t="shared" si="219"/>
        <v>0.17954115209070537</v>
      </c>
      <c r="J1746" s="3"/>
    </row>
    <row r="1747" spans="2:10" x14ac:dyDescent="0.25">
      <c r="B1747" s="3">
        <f t="shared" si="215"/>
        <v>8635</v>
      </c>
      <c r="C1747" s="14">
        <f t="shared" si="216"/>
        <v>143.91666666666666</v>
      </c>
      <c r="D1747" s="11">
        <f t="shared" si="217"/>
        <v>1076.2444530638468</v>
      </c>
      <c r="E1747" s="24">
        <f t="shared" si="218"/>
        <v>713.75459249503353</v>
      </c>
      <c r="F1747" s="38">
        <f t="shared" si="213"/>
        <v>0.50221247834883409</v>
      </c>
      <c r="G1747" s="14">
        <f t="shared" si="214"/>
        <v>0</v>
      </c>
      <c r="H1747" s="24">
        <f t="shared" si="220"/>
        <v>1202.2665072689188</v>
      </c>
      <c r="I1747" s="12">
        <f t="shared" si="219"/>
        <v>0.17899497586588284</v>
      </c>
      <c r="J1747" s="3"/>
    </row>
    <row r="1748" spans="2:10" x14ac:dyDescent="0.25">
      <c r="B1748" s="3">
        <f t="shared" si="215"/>
        <v>8640</v>
      </c>
      <c r="C1748" s="14">
        <f t="shared" si="216"/>
        <v>144</v>
      </c>
      <c r="D1748" s="11">
        <f t="shared" si="217"/>
        <v>1076.331111016671</v>
      </c>
      <c r="E1748" s="24">
        <f t="shared" si="218"/>
        <v>713.9335874708994</v>
      </c>
      <c r="F1748" s="38">
        <f t="shared" ref="F1748:F1811" si="221">Cp*RhoP/(RhoA*H1748)*dp/1000*MassivP</f>
        <v>0.50055190322991305</v>
      </c>
      <c r="G1748" s="14">
        <f t="shared" ref="G1748:G1811" si="222">Phi*EpsilonF*Botzman/10^8*J1748*((D1748+273)^4-(E1748+273)^4)</f>
        <v>0</v>
      </c>
      <c r="H1748" s="24">
        <f t="shared" si="220"/>
        <v>1206.255012427725</v>
      </c>
      <c r="I1748" s="12">
        <f t="shared" si="219"/>
        <v>0.17844621328066462</v>
      </c>
      <c r="J1748" s="3"/>
    </row>
    <row r="1749" spans="2:10" x14ac:dyDescent="0.25">
      <c r="B1749" s="3">
        <f t="shared" ref="B1749:B1812" si="223">B1748+DeltaT</f>
        <v>8645</v>
      </c>
      <c r="C1749" s="14">
        <f t="shared" ref="C1749:C1812" si="224">B1749/60</f>
        <v>144.08333333333334</v>
      </c>
      <c r="D1749" s="11">
        <f t="shared" ref="D1749:D1812" si="225">20+345*LOG(8*C1749+1,10)</f>
        <v>1076.4177188781903</v>
      </c>
      <c r="E1749" s="24">
        <f t="shared" ref="E1749:E1812" si="226">E1748+IF(Limit=Oui,MAX(0,I1748),I1748)</f>
        <v>714.11203368418001</v>
      </c>
      <c r="F1749" s="38">
        <f t="shared" si="221"/>
        <v>0.49888278787349466</v>
      </c>
      <c r="G1749" s="14">
        <f t="shared" si="222"/>
        <v>0</v>
      </c>
      <c r="H1749" s="24">
        <f t="shared" si="220"/>
        <v>1210.2907875916303</v>
      </c>
      <c r="I1749" s="12">
        <f t="shared" ref="I1749:I1812" si="227">LambdaP*MassivP/(dp/1000)/(H1749*RhoA)/(1+F1749/3)*(D1749-E1749)*DeltaT-(EXP(F1749/10)-1)*(D1749-D1748)</f>
        <v>0.17789485190997606</v>
      </c>
      <c r="J1749" s="3"/>
    </row>
    <row r="1750" spans="2:10" x14ac:dyDescent="0.25">
      <c r="B1750" s="3">
        <f t="shared" si="223"/>
        <v>8650</v>
      </c>
      <c r="C1750" s="14">
        <f t="shared" si="224"/>
        <v>144.16666666666666</v>
      </c>
      <c r="D1750" s="11">
        <f t="shared" si="225"/>
        <v>1076.5042767062803</v>
      </c>
      <c r="E1750" s="24">
        <f t="shared" si="226"/>
        <v>714.28992853608997</v>
      </c>
      <c r="F1750" s="38">
        <f t="shared" si="221"/>
        <v>0.49720511469667011</v>
      </c>
      <c r="G1750" s="14">
        <f t="shared" si="222"/>
        <v>0</v>
      </c>
      <c r="H1750" s="24">
        <f t="shared" si="220"/>
        <v>1214.37455972205</v>
      </c>
      <c r="I1750" s="12">
        <f t="shared" si="227"/>
        <v>0.17734087948557814</v>
      </c>
      <c r="J1750" s="3"/>
    </row>
    <row r="1751" spans="2:10" x14ac:dyDescent="0.25">
      <c r="B1751" s="3">
        <f t="shared" si="223"/>
        <v>8655</v>
      </c>
      <c r="C1751" s="14">
        <f t="shared" si="224"/>
        <v>144.25</v>
      </c>
      <c r="D1751" s="11">
        <f t="shared" si="225"/>
        <v>1076.5907845587162</v>
      </c>
      <c r="E1751" s="24">
        <f t="shared" si="226"/>
        <v>714.46726941557552</v>
      </c>
      <c r="F1751" s="38">
        <f t="shared" si="221"/>
        <v>0.49551886700418568</v>
      </c>
      <c r="G1751" s="14">
        <f t="shared" si="222"/>
        <v>0</v>
      </c>
      <c r="H1751" s="24">
        <f t="shared" si="220"/>
        <v>1218.5070689674058</v>
      </c>
      <c r="I1751" s="12">
        <f t="shared" si="227"/>
        <v>0.1767842839038328</v>
      </c>
      <c r="J1751" s="3"/>
    </row>
    <row r="1752" spans="2:10" x14ac:dyDescent="0.25">
      <c r="B1752" s="3">
        <f t="shared" si="223"/>
        <v>8660</v>
      </c>
      <c r="C1752" s="14">
        <f t="shared" si="224"/>
        <v>144.33333333333334</v>
      </c>
      <c r="D1752" s="11">
        <f t="shared" si="225"/>
        <v>1076.6772424931733</v>
      </c>
      <c r="E1752" s="24">
        <f t="shared" si="226"/>
        <v>714.6440536994794</v>
      </c>
      <c r="F1752" s="38">
        <f t="shared" si="221"/>
        <v>0.49382402901503647</v>
      </c>
      <c r="G1752" s="14">
        <f t="shared" si="222"/>
        <v>0</v>
      </c>
      <c r="H1752" s="24">
        <f t="shared" si="220"/>
        <v>1222.6890689293195</v>
      </c>
      <c r="I1752" s="12">
        <f t="shared" si="227"/>
        <v>0.17622505323362597</v>
      </c>
      <c r="J1752" s="3"/>
    </row>
    <row r="1753" spans="2:10" x14ac:dyDescent="0.25">
      <c r="B1753" s="3">
        <f t="shared" si="223"/>
        <v>8665</v>
      </c>
      <c r="C1753" s="14">
        <f t="shared" si="224"/>
        <v>144.41666666666666</v>
      </c>
      <c r="D1753" s="11">
        <f t="shared" si="225"/>
        <v>1076.7636505672269</v>
      </c>
      <c r="E1753" s="24">
        <f t="shared" si="226"/>
        <v>714.82027875271308</v>
      </c>
      <c r="F1753" s="38">
        <f t="shared" si="221"/>
        <v>0.49212058588949287</v>
      </c>
      <c r="G1753" s="14">
        <f t="shared" si="222"/>
        <v>0</v>
      </c>
      <c r="H1753" s="24">
        <f t="shared" si="220"/>
        <v>1226.9213269345</v>
      </c>
      <c r="I1753" s="12">
        <f t="shared" si="227"/>
        <v>0.17566317572450074</v>
      </c>
      <c r="J1753" s="3"/>
    </row>
    <row r="1754" spans="2:10" x14ac:dyDescent="0.25">
      <c r="B1754" s="3">
        <f t="shared" si="223"/>
        <v>8670</v>
      </c>
      <c r="C1754" s="14">
        <f t="shared" si="224"/>
        <v>144.5</v>
      </c>
      <c r="D1754" s="11">
        <f t="shared" si="225"/>
        <v>1076.8500088383535</v>
      </c>
      <c r="E1754" s="24">
        <f t="shared" si="226"/>
        <v>714.99594192843756</v>
      </c>
      <c r="F1754" s="38">
        <f t="shared" si="221"/>
        <v>0.49040852375654798</v>
      </c>
      <c r="G1754" s="14">
        <f t="shared" si="222"/>
        <v>0</v>
      </c>
      <c r="H1754" s="24">
        <f t="shared" si="220"/>
        <v>1231.2046243124832</v>
      </c>
      <c r="I1754" s="12">
        <f t="shared" si="227"/>
        <v>0.17509863981498663</v>
      </c>
      <c r="J1754" s="3"/>
    </row>
    <row r="1755" spans="2:10" x14ac:dyDescent="0.25">
      <c r="B1755" s="3">
        <f t="shared" si="223"/>
        <v>8675</v>
      </c>
      <c r="C1755" s="14">
        <f t="shared" si="224"/>
        <v>144.58333333333334</v>
      </c>
      <c r="D1755" s="11">
        <f t="shared" si="225"/>
        <v>1076.9363173639292</v>
      </c>
      <c r="E1755" s="24">
        <f t="shared" si="226"/>
        <v>715.17104056825258</v>
      </c>
      <c r="F1755" s="38">
        <f t="shared" si="221"/>
        <v>0.48868782974178437</v>
      </c>
      <c r="G1755" s="14">
        <f t="shared" si="222"/>
        <v>0</v>
      </c>
      <c r="H1755" s="24">
        <f t="shared" si="220"/>
        <v>1235.5397566793422</v>
      </c>
      <c r="I1755" s="12">
        <f t="shared" si="227"/>
        <v>0.17453143414113864</v>
      </c>
      <c r="J1755" s="3"/>
    </row>
    <row r="1756" spans="2:10" x14ac:dyDescent="0.25">
      <c r="B1756" s="3">
        <f t="shared" si="223"/>
        <v>8680</v>
      </c>
      <c r="C1756" s="14">
        <f t="shared" si="224"/>
        <v>144.66666666666666</v>
      </c>
      <c r="D1756" s="11">
        <f t="shared" si="225"/>
        <v>1077.0225762012321</v>
      </c>
      <c r="E1756" s="24">
        <f t="shared" si="226"/>
        <v>715.34557200239374</v>
      </c>
      <c r="F1756" s="38">
        <f t="shared" si="221"/>
        <v>0.48695849199567015</v>
      </c>
      <c r="G1756" s="14">
        <f t="shared" si="222"/>
        <v>0</v>
      </c>
      <c r="H1756" s="24">
        <f t="shared" si="220"/>
        <v>1239.9275342274734</v>
      </c>
      <c r="I1756" s="12">
        <f t="shared" si="227"/>
        <v>0.17396154754514409</v>
      </c>
      <c r="J1756" s="3"/>
    </row>
    <row r="1757" spans="2:10" x14ac:dyDescent="0.25">
      <c r="B1757" s="3">
        <f t="shared" si="223"/>
        <v>8685</v>
      </c>
      <c r="C1757" s="14">
        <f t="shared" si="224"/>
        <v>144.75</v>
      </c>
      <c r="D1757" s="11">
        <f t="shared" si="225"/>
        <v>1077.1087854074406</v>
      </c>
      <c r="E1757" s="24">
        <f t="shared" si="226"/>
        <v>715.51953354993884</v>
      </c>
      <c r="F1757" s="38">
        <f t="shared" si="221"/>
        <v>0.48522049972226355</v>
      </c>
      <c r="G1757" s="14">
        <f t="shared" si="222"/>
        <v>0</v>
      </c>
      <c r="H1757" s="24">
        <f t="shared" si="220"/>
        <v>1244.3687820216305</v>
      </c>
      <c r="I1757" s="12">
        <f t="shared" si="227"/>
        <v>0.17338896908433343</v>
      </c>
      <c r="J1757" s="3"/>
    </row>
    <row r="1758" spans="2:10" x14ac:dyDescent="0.25">
      <c r="B1758" s="3">
        <f t="shared" si="223"/>
        <v>8690</v>
      </c>
      <c r="C1758" s="14">
        <f t="shared" si="224"/>
        <v>144.83333333333334</v>
      </c>
      <c r="D1758" s="11">
        <f t="shared" si="225"/>
        <v>1077.1949450396346</v>
      </c>
      <c r="E1758" s="24">
        <f t="shared" si="226"/>
        <v>715.69292251902323</v>
      </c>
      <c r="F1758" s="38">
        <f t="shared" si="221"/>
        <v>0.48347384320833331</v>
      </c>
      <c r="G1758" s="14">
        <f t="shared" si="222"/>
        <v>0</v>
      </c>
      <c r="H1758" s="24">
        <f t="shared" si="220"/>
        <v>1248.864340301322</v>
      </c>
      <c r="I1758" s="12">
        <f t="shared" si="227"/>
        <v>0.17281368804013486</v>
      </c>
      <c r="J1758" s="3"/>
    </row>
    <row r="1759" spans="2:10" x14ac:dyDescent="0.25">
      <c r="B1759" s="3">
        <f t="shared" si="223"/>
        <v>8695</v>
      </c>
      <c r="C1759" s="14">
        <f t="shared" si="224"/>
        <v>144.91666666666666</v>
      </c>
      <c r="D1759" s="11">
        <f t="shared" si="225"/>
        <v>1077.2810551547959</v>
      </c>
      <c r="E1759" s="24">
        <f t="shared" si="226"/>
        <v>715.86573620706338</v>
      </c>
      <c r="F1759" s="38">
        <f t="shared" si="221"/>
        <v>0.48171851385289466</v>
      </c>
      <c r="G1759" s="14">
        <f t="shared" si="222"/>
        <v>0</v>
      </c>
      <c r="H1759" s="24">
        <f t="shared" si="220"/>
        <v>1253.415064789692</v>
      </c>
      <c r="I1759" s="12">
        <f t="shared" si="227"/>
        <v>0.17223569392742927</v>
      </c>
      <c r="J1759" s="3"/>
    </row>
    <row r="1760" spans="2:10" x14ac:dyDescent="0.25">
      <c r="B1760" s="3">
        <f t="shared" si="223"/>
        <v>8700</v>
      </c>
      <c r="C1760" s="14">
        <f t="shared" si="224"/>
        <v>145</v>
      </c>
      <c r="D1760" s="11">
        <f t="shared" si="225"/>
        <v>1077.367115809808</v>
      </c>
      <c r="E1760" s="24">
        <f t="shared" si="226"/>
        <v>716.03797190099078</v>
      </c>
      <c r="F1760" s="38">
        <f t="shared" si="221"/>
        <v>0.47995450419714086</v>
      </c>
      <c r="G1760" s="14">
        <f t="shared" si="222"/>
        <v>0</v>
      </c>
      <c r="H1760" s="24">
        <f t="shared" si="220"/>
        <v>1258.0218270090713</v>
      </c>
      <c r="I1760" s="12">
        <f t="shared" si="227"/>
        <v>0.17165497650399439</v>
      </c>
      <c r="J1760" s="3"/>
    </row>
    <row r="1761" spans="2:10" x14ac:dyDescent="0.25">
      <c r="B1761" s="3">
        <f t="shared" si="223"/>
        <v>8705</v>
      </c>
      <c r="C1761" s="14">
        <f t="shared" si="224"/>
        <v>145.08333333333334</v>
      </c>
      <c r="D1761" s="11">
        <f t="shared" si="225"/>
        <v>1077.4531270614561</v>
      </c>
      <c r="E1761" s="24">
        <f t="shared" si="226"/>
        <v>716.20962687749477</v>
      </c>
      <c r="F1761" s="38">
        <f t="shared" si="221"/>
        <v>0.47818180795478105</v>
      </c>
      <c r="G1761" s="14">
        <f t="shared" si="222"/>
        <v>0</v>
      </c>
      <c r="H1761" s="24">
        <f t="shared" si="220"/>
        <v>1262.6855146033022</v>
      </c>
      <c r="I1761" s="12">
        <f t="shared" si="227"/>
        <v>0.17107152578017021</v>
      </c>
      <c r="J1761" s="3"/>
    </row>
    <row r="1762" spans="2:10" x14ac:dyDescent="0.25">
      <c r="B1762" s="3">
        <f t="shared" si="223"/>
        <v>8710</v>
      </c>
      <c r="C1762" s="14">
        <f t="shared" si="224"/>
        <v>145.16666666666666</v>
      </c>
      <c r="D1762" s="11">
        <f t="shared" si="225"/>
        <v>1077.5390889664282</v>
      </c>
      <c r="E1762" s="24">
        <f t="shared" si="226"/>
        <v>716.38069840327489</v>
      </c>
      <c r="F1762" s="38">
        <f t="shared" si="221"/>
        <v>0.47640042004277217</v>
      </c>
      <c r="G1762" s="14">
        <f t="shared" si="222"/>
        <v>0</v>
      </c>
      <c r="H1762" s="24">
        <f t="shared" si="220"/>
        <v>1267.4070316669963</v>
      </c>
      <c r="I1762" s="12">
        <f t="shared" si="227"/>
        <v>0.17048533202872124</v>
      </c>
      <c r="J1762" s="3"/>
    </row>
    <row r="1763" spans="2:10" x14ac:dyDescent="0.25">
      <c r="B1763" s="3">
        <f t="shared" si="223"/>
        <v>8715</v>
      </c>
      <c r="C1763" s="14">
        <f t="shared" si="224"/>
        <v>145.25</v>
      </c>
      <c r="D1763" s="11">
        <f t="shared" si="225"/>
        <v>1077.6250015813146</v>
      </c>
      <c r="E1763" s="24">
        <f t="shared" si="226"/>
        <v>716.55118373530365</v>
      </c>
      <c r="F1763" s="38">
        <f t="shared" si="221"/>
        <v>0.47461033661243479</v>
      </c>
      <c r="G1763" s="14">
        <f t="shared" si="222"/>
        <v>0</v>
      </c>
      <c r="H1763" s="24">
        <f t="shared" si="220"/>
        <v>1272.1872990818904</v>
      </c>
      <c r="I1763" s="12">
        <f t="shared" si="227"/>
        <v>0.16989638579487323</v>
      </c>
      <c r="J1763" s="3"/>
    </row>
    <row r="1764" spans="2:10" x14ac:dyDescent="0.25">
      <c r="B1764" s="3">
        <f t="shared" si="223"/>
        <v>8720</v>
      </c>
      <c r="C1764" s="14">
        <f t="shared" si="224"/>
        <v>145.33333333333334</v>
      </c>
      <c r="D1764" s="11">
        <f t="shared" si="225"/>
        <v>1077.710864962608</v>
      </c>
      <c r="E1764" s="24">
        <f t="shared" si="226"/>
        <v>716.72108012109857</v>
      </c>
      <c r="F1764" s="38">
        <f t="shared" si="221"/>
        <v>0.4728115550809559</v>
      </c>
      <c r="G1764" s="14">
        <f t="shared" si="222"/>
        <v>0</v>
      </c>
      <c r="H1764" s="24">
        <f t="shared" si="220"/>
        <v>1277.0272548604216</v>
      </c>
      <c r="I1764" s="12">
        <f t="shared" si="227"/>
        <v>0.1693046779066491</v>
      </c>
      <c r="J1764" s="3"/>
    </row>
    <row r="1765" spans="2:10" x14ac:dyDescent="0.25">
      <c r="B1765" s="3">
        <f t="shared" si="223"/>
        <v>8725</v>
      </c>
      <c r="C1765" s="14">
        <f t="shared" si="224"/>
        <v>145.41666666666666</v>
      </c>
      <c r="D1765" s="11">
        <f t="shared" si="225"/>
        <v>1077.7966791667045</v>
      </c>
      <c r="E1765" s="24">
        <f t="shared" si="226"/>
        <v>716.89038479900523</v>
      </c>
      <c r="F1765" s="38">
        <f t="shared" si="221"/>
        <v>0.47100407416325957</v>
      </c>
      <c r="G1765" s="14">
        <f t="shared" si="222"/>
        <v>0</v>
      </c>
      <c r="H1765" s="24">
        <f t="shared" si="220"/>
        <v>1281.9278544967174</v>
      </c>
      <c r="I1765" s="12">
        <f t="shared" si="227"/>
        <v>0.16871019948520338</v>
      </c>
      <c r="J1765" s="3"/>
    </row>
    <row r="1766" spans="2:10" x14ac:dyDescent="0.25">
      <c r="B1766" s="3">
        <f t="shared" si="223"/>
        <v>8730</v>
      </c>
      <c r="C1766" s="14">
        <f t="shared" si="224"/>
        <v>145.5</v>
      </c>
      <c r="D1766" s="11">
        <f t="shared" si="225"/>
        <v>1077.8824442499028</v>
      </c>
      <c r="E1766" s="24">
        <f t="shared" si="226"/>
        <v>717.05909499849042</v>
      </c>
      <c r="F1766" s="38">
        <f t="shared" si="221"/>
        <v>0.46918789390424503</v>
      </c>
      <c r="G1766" s="14">
        <f t="shared" si="222"/>
        <v>0</v>
      </c>
      <c r="H1766" s="24">
        <f t="shared" si="220"/>
        <v>1286.8900713251273</v>
      </c>
      <c r="I1766" s="12">
        <f t="shared" si="227"/>
        <v>0.16811294195560969</v>
      </c>
      <c r="J1766" s="3"/>
    </row>
    <row r="1767" spans="2:10" x14ac:dyDescent="0.25">
      <c r="B1767" s="3">
        <f t="shared" si="223"/>
        <v>8735</v>
      </c>
      <c r="C1767" s="14">
        <f t="shared" si="224"/>
        <v>145.58333333333334</v>
      </c>
      <c r="D1767" s="11">
        <f t="shared" si="225"/>
        <v>1077.9681602684059</v>
      </c>
      <c r="E1767" s="24">
        <f t="shared" si="226"/>
        <v>717.22720794044608</v>
      </c>
      <c r="F1767" s="38">
        <f t="shared" si="221"/>
        <v>0.46736301571137839</v>
      </c>
      <c r="G1767" s="14">
        <f t="shared" si="222"/>
        <v>0</v>
      </c>
      <c r="H1767" s="24">
        <f t="shared" si="220"/>
        <v>1291.9148968864808</v>
      </c>
      <c r="I1767" s="12">
        <f t="shared" si="227"/>
        <v>0.16751289705757216</v>
      </c>
      <c r="J1767" s="3"/>
    </row>
    <row r="1768" spans="2:10" x14ac:dyDescent="0.25">
      <c r="B1768" s="3">
        <f t="shared" si="223"/>
        <v>8740</v>
      </c>
      <c r="C1768" s="14">
        <f t="shared" si="224"/>
        <v>145.66666666666666</v>
      </c>
      <c r="D1768" s="11">
        <f t="shared" si="225"/>
        <v>1078.0538272783192</v>
      </c>
      <c r="E1768" s="24">
        <f t="shared" si="226"/>
        <v>717.39472083750366</v>
      </c>
      <c r="F1768" s="38">
        <f t="shared" si="221"/>
        <v>0.46552944238763716</v>
      </c>
      <c r="G1768" s="14">
        <f t="shared" si="222"/>
        <v>0</v>
      </c>
      <c r="H1768" s="24">
        <f t="shared" si="220"/>
        <v>1297.0033413022102</v>
      </c>
      <c r="I1768" s="12">
        <f t="shared" si="227"/>
        <v>0.16691005685664331</v>
      </c>
      <c r="J1768" s="3"/>
    </row>
    <row r="1769" spans="2:10" x14ac:dyDescent="0.25">
      <c r="B1769" s="3">
        <f t="shared" si="223"/>
        <v>8745</v>
      </c>
      <c r="C1769" s="14">
        <f t="shared" si="224"/>
        <v>145.75</v>
      </c>
      <c r="D1769" s="11">
        <f t="shared" si="225"/>
        <v>1078.1394453356527</v>
      </c>
      <c r="E1769" s="24">
        <f t="shared" si="226"/>
        <v>717.56163089436029</v>
      </c>
      <c r="F1769" s="38">
        <f t="shared" si="221"/>
        <v>0.46368717816478017</v>
      </c>
      <c r="G1769" s="14">
        <f t="shared" si="222"/>
        <v>0</v>
      </c>
      <c r="H1769" s="24">
        <f t="shared" si="220"/>
        <v>1302.1564336565516</v>
      </c>
      <c r="I1769" s="12">
        <f t="shared" si="227"/>
        <v>0.16630441375532115</v>
      </c>
      <c r="J1769" s="3"/>
    </row>
    <row r="1770" spans="2:10" x14ac:dyDescent="0.25">
      <c r="B1770" s="3">
        <f t="shared" si="223"/>
        <v>8750</v>
      </c>
      <c r="C1770" s="14">
        <f t="shared" si="224"/>
        <v>145.83333333333334</v>
      </c>
      <c r="D1770" s="11">
        <f t="shared" si="225"/>
        <v>1078.2250144963202</v>
      </c>
      <c r="E1770" s="24">
        <f t="shared" si="226"/>
        <v>717.72793530811566</v>
      </c>
      <c r="F1770" s="38">
        <f t="shared" si="221"/>
        <v>0.46183622873694902</v>
      </c>
      <c r="G1770" s="14">
        <f t="shared" si="222"/>
        <v>0</v>
      </c>
      <c r="H1770" s="24">
        <f t="shared" si="220"/>
        <v>1307.3752223869524</v>
      </c>
      <c r="I1770" s="12">
        <f t="shared" si="227"/>
        <v>0.16569596050458626</v>
      </c>
      <c r="J1770" s="3"/>
    </row>
    <row r="1771" spans="2:10" x14ac:dyDescent="0.25">
      <c r="B1771" s="3">
        <f t="shared" si="223"/>
        <v>8755</v>
      </c>
      <c r="C1771" s="14">
        <f t="shared" si="224"/>
        <v>145.91666666666666</v>
      </c>
      <c r="D1771" s="11">
        <f t="shared" si="225"/>
        <v>1078.31053481614</v>
      </c>
      <c r="E1771" s="24">
        <f t="shared" si="226"/>
        <v>717.8936312686202</v>
      </c>
      <c r="F1771" s="38">
        <f t="shared" si="221"/>
        <v>0.45997660129458262</v>
      </c>
      <c r="G1771" s="14">
        <f t="shared" si="222"/>
        <v>0</v>
      </c>
      <c r="H1771" s="24">
        <f t="shared" si="220"/>
        <v>1312.6607756828766</v>
      </c>
      <c r="I1771" s="12">
        <f t="shared" si="227"/>
        <v>0.16508469021552663</v>
      </c>
      <c r="J1771" s="3"/>
    </row>
    <row r="1772" spans="2:10" x14ac:dyDescent="0.25">
      <c r="B1772" s="3">
        <f t="shared" si="223"/>
        <v>8760</v>
      </c>
      <c r="C1772" s="14">
        <f t="shared" si="224"/>
        <v>146</v>
      </c>
      <c r="D1772" s="11">
        <f t="shared" si="225"/>
        <v>1078.3960063508348</v>
      </c>
      <c r="E1772" s="24">
        <f t="shared" si="226"/>
        <v>718.05871595883571</v>
      </c>
      <c r="F1772" s="38">
        <f t="shared" si="221"/>
        <v>0.45810830455862145</v>
      </c>
      <c r="G1772" s="14">
        <f t="shared" si="222"/>
        <v>0</v>
      </c>
      <c r="H1772" s="24">
        <f t="shared" si="220"/>
        <v>1318.014181893217</v>
      </c>
      <c r="I1772" s="12">
        <f t="shared" si="227"/>
        <v>0.16447059637117736</v>
      </c>
      <c r="J1772" s="3"/>
    </row>
    <row r="1773" spans="2:10" x14ac:dyDescent="0.25">
      <c r="B1773" s="3">
        <f t="shared" si="223"/>
        <v>8765</v>
      </c>
      <c r="C1773" s="14">
        <f t="shared" si="224"/>
        <v>146.08333333333334</v>
      </c>
      <c r="D1773" s="11">
        <f t="shared" si="225"/>
        <v>1078.4814291560317</v>
      </c>
      <c r="E1773" s="24">
        <f t="shared" si="226"/>
        <v>718.22318655520689</v>
      </c>
      <c r="F1773" s="38">
        <f t="shared" si="221"/>
        <v>0.45623134881500871</v>
      </c>
      <c r="G1773" s="14">
        <f t="shared" si="222"/>
        <v>0</v>
      </c>
      <c r="H1773" s="24">
        <f t="shared" si="220"/>
        <v>1323.436549942438</v>
      </c>
      <c r="I1773" s="12">
        <f t="shared" si="227"/>
        <v>0.16385367283856953</v>
      </c>
      <c r="J1773" s="3"/>
    </row>
    <row r="1774" spans="2:10" x14ac:dyDescent="0.25">
      <c r="B1774" s="3">
        <f t="shared" si="223"/>
        <v>8770</v>
      </c>
      <c r="C1774" s="14">
        <f t="shared" si="224"/>
        <v>146.16666666666666</v>
      </c>
      <c r="D1774" s="11">
        <f t="shared" si="225"/>
        <v>1078.5668032872625</v>
      </c>
      <c r="E1774" s="24">
        <f t="shared" si="226"/>
        <v>718.38704022804541</v>
      </c>
      <c r="F1774" s="38">
        <f t="shared" si="221"/>
        <v>0.4543457459494562</v>
      </c>
      <c r="G1774" s="14">
        <f t="shared" si="222"/>
        <v>0</v>
      </c>
      <c r="H1774" s="24">
        <f t="shared" si="220"/>
        <v>1328.9290097556877</v>
      </c>
      <c r="I1774" s="12">
        <f t="shared" si="227"/>
        <v>0.1632339138809582</v>
      </c>
      <c r="J1774" s="3"/>
    </row>
    <row r="1775" spans="2:10" x14ac:dyDescent="0.25">
      <c r="B1775" s="3">
        <f t="shared" si="223"/>
        <v>8775</v>
      </c>
      <c r="C1775" s="14">
        <f t="shared" si="224"/>
        <v>146.25</v>
      </c>
      <c r="D1775" s="11">
        <f t="shared" si="225"/>
        <v>1078.6521287999651</v>
      </c>
      <c r="E1775" s="24">
        <f t="shared" si="226"/>
        <v>718.55027414192637</v>
      </c>
      <c r="F1775" s="38">
        <f t="shared" si="221"/>
        <v>0.45245150948246166</v>
      </c>
      <c r="G1775" s="14">
        <f t="shared" si="222"/>
        <v>0</v>
      </c>
      <c r="H1775" s="24">
        <f t="shared" si="220"/>
        <v>1334.4927126930602</v>
      </c>
      <c r="I1775" s="12">
        <f t="shared" si="227"/>
        <v>0.16261131417015809</v>
      </c>
      <c r="J1775" s="3"/>
    </row>
    <row r="1776" spans="2:10" x14ac:dyDescent="0.25">
      <c r="B1776" s="3">
        <f t="shared" si="223"/>
        <v>8780</v>
      </c>
      <c r="C1776" s="14">
        <f t="shared" si="224"/>
        <v>146.33333333333334</v>
      </c>
      <c r="D1776" s="11">
        <f t="shared" si="225"/>
        <v>1078.7374057494821</v>
      </c>
      <c r="E1776" s="24">
        <f t="shared" si="226"/>
        <v>718.7128854560965</v>
      </c>
      <c r="F1776" s="38">
        <f t="shared" si="221"/>
        <v>0.45054865460457522</v>
      </c>
      <c r="G1776" s="14">
        <f t="shared" si="222"/>
        <v>0</v>
      </c>
      <c r="H1776" s="24">
        <f t="shared" si="220"/>
        <v>1340.1288319931623</v>
      </c>
      <c r="I1776" s="12">
        <f t="shared" si="227"/>
        <v>0.16198586879932314</v>
      </c>
      <c r="J1776" s="3"/>
    </row>
    <row r="1777" spans="2:10" x14ac:dyDescent="0.25">
      <c r="B1777" s="3">
        <f t="shared" si="223"/>
        <v>8785</v>
      </c>
      <c r="C1777" s="14">
        <f t="shared" si="224"/>
        <v>146.41666666666666</v>
      </c>
      <c r="D1777" s="11">
        <f t="shared" si="225"/>
        <v>1078.8226341910615</v>
      </c>
      <c r="E1777" s="24">
        <f t="shared" si="226"/>
        <v>718.87487132489582</v>
      </c>
      <c r="F1777" s="38">
        <f t="shared" si="221"/>
        <v>0.44863719821187453</v>
      </c>
      <c r="G1777" s="14">
        <f t="shared" si="222"/>
        <v>0</v>
      </c>
      <c r="H1777" s="24">
        <f t="shared" si="220"/>
        <v>1345.8385632262512</v>
      </c>
      <c r="I1777" s="12">
        <f t="shared" si="227"/>
        <v>0.16135757329561293</v>
      </c>
      <c r="J1777" s="3"/>
    </row>
    <row r="1778" spans="2:10" x14ac:dyDescent="0.25">
      <c r="B1778" s="3">
        <f t="shared" si="223"/>
        <v>8790</v>
      </c>
      <c r="C1778" s="14">
        <f t="shared" si="224"/>
        <v>146.5</v>
      </c>
      <c r="D1778" s="11">
        <f t="shared" si="225"/>
        <v>1078.9078141798577</v>
      </c>
      <c r="E1778" s="24">
        <f t="shared" si="226"/>
        <v>719.03622889819144</v>
      </c>
      <c r="F1778" s="38">
        <f t="shared" si="221"/>
        <v>0.44671715894165143</v>
      </c>
      <c r="G1778" s="14">
        <f t="shared" si="222"/>
        <v>0</v>
      </c>
      <c r="H1778" s="24">
        <f t="shared" si="220"/>
        <v>1351.6231247570799</v>
      </c>
      <c r="I1778" s="12">
        <f t="shared" si="227"/>
        <v>0.16072642363316447</v>
      </c>
      <c r="J1778" s="3"/>
    </row>
    <row r="1779" spans="2:10" x14ac:dyDescent="0.25">
      <c r="B1779" s="3">
        <f t="shared" si="223"/>
        <v>8795</v>
      </c>
      <c r="C1779" s="14">
        <f t="shared" si="224"/>
        <v>146.58333333333334</v>
      </c>
      <c r="D1779" s="11">
        <f t="shared" si="225"/>
        <v>1078.99294577093</v>
      </c>
      <c r="E1779" s="24">
        <f t="shared" si="226"/>
        <v>719.19695532182459</v>
      </c>
      <c r="F1779" s="38">
        <f t="shared" si="221"/>
        <v>0.44478855720827792</v>
      </c>
      <c r="G1779" s="14">
        <f t="shared" si="222"/>
        <v>0</v>
      </c>
      <c r="H1779" s="24">
        <f t="shared" si="220"/>
        <v>1357.483758217697</v>
      </c>
      <c r="I1779" s="12">
        <f t="shared" si="227"/>
        <v>0.16009241624638554</v>
      </c>
      <c r="J1779" s="3"/>
    </row>
    <row r="1780" spans="2:10" x14ac:dyDescent="0.25">
      <c r="B1780" s="3">
        <f t="shared" si="223"/>
        <v>8800</v>
      </c>
      <c r="C1780" s="14">
        <f t="shared" si="224"/>
        <v>146.66666666666666</v>
      </c>
      <c r="D1780" s="11">
        <f t="shared" si="225"/>
        <v>1079.0780290192449</v>
      </c>
      <c r="E1780" s="24">
        <f t="shared" si="226"/>
        <v>719.35704773807095</v>
      </c>
      <c r="F1780" s="38">
        <f t="shared" si="221"/>
        <v>0.44285141523923344</v>
      </c>
      <c r="G1780" s="14">
        <f t="shared" si="222"/>
        <v>0</v>
      </c>
      <c r="H1780" s="24">
        <f t="shared" si="220"/>
        <v>1363.4217289903972</v>
      </c>
      <c r="I1780" s="12">
        <f t="shared" si="227"/>
        <v>0.15945554804308507</v>
      </c>
      <c r="J1780" s="3"/>
    </row>
    <row r="1781" spans="2:10" x14ac:dyDescent="0.25">
      <c r="B1781" s="3">
        <f t="shared" si="223"/>
        <v>8805</v>
      </c>
      <c r="C1781" s="14">
        <f t="shared" si="224"/>
        <v>146.75</v>
      </c>
      <c r="D1781" s="11">
        <f t="shared" si="225"/>
        <v>1079.1630639796754</v>
      </c>
      <c r="E1781" s="24">
        <f t="shared" si="226"/>
        <v>719.51650328611402</v>
      </c>
      <c r="F1781" s="38">
        <f t="shared" si="221"/>
        <v>0.44090575711127755</v>
      </c>
      <c r="G1781" s="14">
        <f t="shared" si="222"/>
        <v>0</v>
      </c>
      <c r="H1781" s="24">
        <f t="shared" si="220"/>
        <v>1369.438326701033</v>
      </c>
      <c r="I1781" s="12">
        <f t="shared" si="227"/>
        <v>0.15881581641817025</v>
      </c>
      <c r="J1781" s="3"/>
    </row>
    <row r="1782" spans="2:10" x14ac:dyDescent="0.25">
      <c r="B1782" s="3">
        <f t="shared" si="223"/>
        <v>8810</v>
      </c>
      <c r="C1782" s="14">
        <f t="shared" si="224"/>
        <v>146.83333333333334</v>
      </c>
      <c r="D1782" s="11">
        <f t="shared" si="225"/>
        <v>1079.2480507070004</v>
      </c>
      <c r="E1782" s="24">
        <f t="shared" si="226"/>
        <v>719.67531910253217</v>
      </c>
      <c r="F1782" s="38">
        <f t="shared" si="221"/>
        <v>0.43895160878673767</v>
      </c>
      <c r="G1782" s="14">
        <f t="shared" si="222"/>
        <v>0</v>
      </c>
      <c r="H1782" s="24">
        <f t="shared" si="220"/>
        <v>1375.5348657229094</v>
      </c>
      <c r="I1782" s="12">
        <f t="shared" si="227"/>
        <v>0.1581732192672535</v>
      </c>
      <c r="J1782" s="3"/>
    </row>
    <row r="1783" spans="2:10" x14ac:dyDescent="0.25">
      <c r="B1783" s="3">
        <f t="shared" si="223"/>
        <v>8815</v>
      </c>
      <c r="C1783" s="14">
        <f t="shared" si="224"/>
        <v>146.91666666666666</v>
      </c>
      <c r="D1783" s="11">
        <f t="shared" si="225"/>
        <v>1079.3329892559057</v>
      </c>
      <c r="E1783" s="24">
        <f t="shared" si="226"/>
        <v>719.83349232179944</v>
      </c>
      <c r="F1783" s="38">
        <f t="shared" si="221"/>
        <v>0.43698899814989151</v>
      </c>
      <c r="G1783" s="14">
        <f t="shared" si="222"/>
        <v>0</v>
      </c>
      <c r="H1783" s="24">
        <f t="shared" ref="H1783:H1846" si="228">IF(E1783&lt;600,425+0.773*E1783-1.69/1000*E1783^2+2.22/1000^2*E1783^3,IF(E1783&lt;735,666+13002/(738-E1783),IF(E1783&lt;900,545+17820/(E1783-731),650)))</f>
        <v>1381.7126856914902</v>
      </c>
      <c r="I1783" s="12">
        <f t="shared" si="227"/>
        <v>0.15752775500049648</v>
      </c>
      <c r="J1783" s="3"/>
    </row>
    <row r="1784" spans="2:10" x14ac:dyDescent="0.25">
      <c r="B1784" s="3">
        <f t="shared" si="223"/>
        <v>8820</v>
      </c>
      <c r="C1784" s="14">
        <f t="shared" si="224"/>
        <v>147</v>
      </c>
      <c r="D1784" s="11">
        <f t="shared" si="225"/>
        <v>1079.4178796809847</v>
      </c>
      <c r="E1784" s="24">
        <f t="shared" si="226"/>
        <v>719.99102007679994</v>
      </c>
      <c r="F1784" s="38">
        <f t="shared" si="221"/>
        <v>0.43501795504342355</v>
      </c>
      <c r="G1784" s="14">
        <f t="shared" si="222"/>
        <v>0</v>
      </c>
      <c r="H1784" s="24">
        <f t="shared" si="228"/>
        <v>1387.9731520301257</v>
      </c>
      <c r="I1784" s="12">
        <f t="shared" si="227"/>
        <v>0.15687942255656565</v>
      </c>
      <c r="J1784" s="3"/>
    </row>
    <row r="1785" spans="2:10" x14ac:dyDescent="0.25">
      <c r="B1785" s="3">
        <f t="shared" si="223"/>
        <v>8825</v>
      </c>
      <c r="C1785" s="14">
        <f t="shared" si="224"/>
        <v>147.08333333333334</v>
      </c>
      <c r="D1785" s="11">
        <f t="shared" si="225"/>
        <v>1079.5027220367381</v>
      </c>
      <c r="E1785" s="24">
        <f t="shared" si="226"/>
        <v>720.14789949935653</v>
      </c>
      <c r="F1785" s="38">
        <f t="shared" si="221"/>
        <v>0.43303851130492133</v>
      </c>
      <c r="G1785" s="14">
        <f t="shared" si="222"/>
        <v>0</v>
      </c>
      <c r="H1785" s="24">
        <f t="shared" si="228"/>
        <v>1394.317656487053</v>
      </c>
      <c r="I1785" s="12">
        <f t="shared" si="227"/>
        <v>0.15622822141689222</v>
      </c>
      <c r="J1785" s="3"/>
    </row>
    <row r="1786" spans="2:10" x14ac:dyDescent="0.25">
      <c r="B1786" s="3">
        <f t="shared" si="223"/>
        <v>8830</v>
      </c>
      <c r="C1786" s="14">
        <f t="shared" si="224"/>
        <v>147.16666666666666</v>
      </c>
      <c r="D1786" s="11">
        <f t="shared" si="225"/>
        <v>1079.5875163775731</v>
      </c>
      <c r="E1786" s="24">
        <f t="shared" si="226"/>
        <v>720.30412772077341</v>
      </c>
      <c r="F1786" s="38">
        <f t="shared" si="221"/>
        <v>0.43105070080339247</v>
      </c>
      <c r="G1786" s="14">
        <f t="shared" si="222"/>
        <v>0</v>
      </c>
      <c r="H1786" s="24">
        <f t="shared" si="228"/>
        <v>1400.7476176838827</v>
      </c>
      <c r="I1786" s="12">
        <f t="shared" si="227"/>
        <v>0.15557415161994947</v>
      </c>
      <c r="J1786" s="3"/>
    </row>
    <row r="1787" spans="2:10" x14ac:dyDescent="0.25">
      <c r="B1787" s="3">
        <f t="shared" si="223"/>
        <v>8835</v>
      </c>
      <c r="C1787" s="14">
        <f t="shared" si="224"/>
        <v>147.25</v>
      </c>
      <c r="D1787" s="11">
        <f t="shared" si="225"/>
        <v>1079.6722627578056</v>
      </c>
      <c r="E1787" s="24">
        <f t="shared" si="226"/>
        <v>720.45970187239334</v>
      </c>
      <c r="F1787" s="38">
        <f t="shared" si="221"/>
        <v>0.42905455947576737</v>
      </c>
      <c r="G1787" s="14">
        <f t="shared" si="222"/>
        <v>0</v>
      </c>
      <c r="H1787" s="24">
        <f t="shared" si="228"/>
        <v>1407.2644816758366</v>
      </c>
      <c r="I1787" s="12">
        <f t="shared" si="227"/>
        <v>0.15491721377562384</v>
      </c>
      <c r="J1787" s="3"/>
    </row>
    <row r="1788" spans="2:10" x14ac:dyDescent="0.25">
      <c r="B1788" s="3">
        <f t="shared" si="223"/>
        <v>8840</v>
      </c>
      <c r="C1788" s="14">
        <f t="shared" si="224"/>
        <v>147.33333333333334</v>
      </c>
      <c r="D1788" s="11">
        <f t="shared" si="225"/>
        <v>1079.756961231659</v>
      </c>
      <c r="E1788" s="24">
        <f t="shared" si="226"/>
        <v>720.614619086169</v>
      </c>
      <c r="F1788" s="38">
        <f t="shared" si="221"/>
        <v>0.42705012536336517</v>
      </c>
      <c r="G1788" s="14">
        <f t="shared" si="222"/>
        <v>0</v>
      </c>
      <c r="H1788" s="24">
        <f t="shared" si="228"/>
        <v>1413.8697225239521</v>
      </c>
      <c r="I1788" s="12">
        <f t="shared" si="227"/>
        <v>0.1542574090798931</v>
      </c>
      <c r="J1788" s="3"/>
    </row>
    <row r="1789" spans="2:10" x14ac:dyDescent="0.25">
      <c r="B1789" s="3">
        <f t="shared" si="223"/>
        <v>8845</v>
      </c>
      <c r="C1789" s="14">
        <f t="shared" si="224"/>
        <v>147.41666666666666</v>
      </c>
      <c r="D1789" s="11">
        <f t="shared" si="225"/>
        <v>1079.8416118532646</v>
      </c>
      <c r="E1789" s="24">
        <f t="shared" si="226"/>
        <v>720.76887649524895</v>
      </c>
      <c r="F1789" s="38">
        <f t="shared" si="221"/>
        <v>0.4250374386482903</v>
      </c>
      <c r="G1789" s="14">
        <f t="shared" si="222"/>
        <v>0</v>
      </c>
      <c r="H1789" s="24">
        <f t="shared" si="228"/>
        <v>1420.5648428795153</v>
      </c>
      <c r="I1789" s="12">
        <f t="shared" si="227"/>
        <v>0.15359473932954312</v>
      </c>
      <c r="J1789" s="3"/>
    </row>
    <row r="1790" spans="2:10" x14ac:dyDescent="0.25">
      <c r="B1790" s="3">
        <f t="shared" si="223"/>
        <v>8850</v>
      </c>
      <c r="C1790" s="14">
        <f t="shared" si="224"/>
        <v>147.5</v>
      </c>
      <c r="D1790" s="11">
        <f t="shared" si="225"/>
        <v>1079.9262146766625</v>
      </c>
      <c r="E1790" s="24">
        <f t="shared" si="226"/>
        <v>720.92247123457844</v>
      </c>
      <c r="F1790" s="38">
        <f t="shared" si="221"/>
        <v>0.42301654168972291</v>
      </c>
      <c r="G1790" s="14">
        <f t="shared" si="222"/>
        <v>0</v>
      </c>
      <c r="H1790" s="24">
        <f t="shared" si="228"/>
        <v>1427.3513745809839</v>
      </c>
      <c r="I1790" s="12">
        <f t="shared" si="227"/>
        <v>0.15292920693690798</v>
      </c>
      <c r="J1790" s="3"/>
    </row>
    <row r="1791" spans="2:10" x14ac:dyDescent="0.25">
      <c r="B1791" s="3">
        <f t="shared" si="223"/>
        <v>8855</v>
      </c>
      <c r="C1791" s="14">
        <f t="shared" si="224"/>
        <v>147.58333333333334</v>
      </c>
      <c r="D1791" s="11">
        <f t="shared" si="225"/>
        <v>1080.0107697558008</v>
      </c>
      <c r="E1791" s="24">
        <f t="shared" si="226"/>
        <v>721.0754004415154</v>
      </c>
      <c r="F1791" s="38">
        <f t="shared" si="221"/>
        <v>0.42098747906007261</v>
      </c>
      <c r="G1791" s="14">
        <f t="shared" si="222"/>
        <v>0</v>
      </c>
      <c r="H1791" s="24">
        <f t="shared" si="228"/>
        <v>1434.2308792636613</v>
      </c>
      <c r="I1791" s="12">
        <f t="shared" si="227"/>
        <v>0.15226081494497901</v>
      </c>
      <c r="J1791" s="3"/>
    </row>
    <row r="1792" spans="2:10" x14ac:dyDescent="0.25">
      <c r="B1792" s="3">
        <f t="shared" si="223"/>
        <v>8860</v>
      </c>
      <c r="C1792" s="14">
        <f t="shared" si="224"/>
        <v>147.66666666666666</v>
      </c>
      <c r="D1792" s="11">
        <f t="shared" si="225"/>
        <v>1080.0952771445368</v>
      </c>
      <c r="E1792" s="24">
        <f t="shared" si="226"/>
        <v>721.22766125646035</v>
      </c>
      <c r="F1792" s="38">
        <f t="shared" si="221"/>
        <v>0.41895029758097452</v>
      </c>
      <c r="G1792" s="14">
        <f t="shared" si="222"/>
        <v>0</v>
      </c>
      <c r="H1792" s="24">
        <f t="shared" si="228"/>
        <v>1441.2049489823294</v>
      </c>
      <c r="I1792" s="12">
        <f t="shared" si="227"/>
        <v>0.15158956704228951</v>
      </c>
      <c r="J1792" s="3"/>
    </row>
    <row r="1793" spans="2:10" x14ac:dyDescent="0.25">
      <c r="B1793" s="3">
        <f t="shared" si="223"/>
        <v>8865</v>
      </c>
      <c r="C1793" s="14">
        <f t="shared" si="224"/>
        <v>147.75</v>
      </c>
      <c r="D1793" s="11">
        <f t="shared" si="225"/>
        <v>1080.1797368966361</v>
      </c>
      <c r="E1793" s="24">
        <f t="shared" si="226"/>
        <v>721.37925082350262</v>
      </c>
      <c r="F1793" s="38">
        <f t="shared" si="221"/>
        <v>0.41690504635906622</v>
      </c>
      <c r="G1793" s="14">
        <f t="shared" si="222"/>
        <v>0</v>
      </c>
      <c r="H1793" s="24">
        <f t="shared" si="228"/>
        <v>1448.2752068472048</v>
      </c>
      <c r="I1793" s="12">
        <f t="shared" si="227"/>
        <v>0.15091546757824353</v>
      </c>
      <c r="J1793" s="3"/>
    </row>
    <row r="1794" spans="2:10" x14ac:dyDescent="0.25">
      <c r="B1794" s="3">
        <f t="shared" si="223"/>
        <v>8870</v>
      </c>
      <c r="C1794" s="14">
        <f t="shared" si="224"/>
        <v>147.83333333333334</v>
      </c>
      <c r="D1794" s="11">
        <f t="shared" si="225"/>
        <v>1080.2641490657736</v>
      </c>
      <c r="E1794" s="24">
        <f t="shared" si="226"/>
        <v>721.53016629108083</v>
      </c>
      <c r="F1794" s="38">
        <f t="shared" si="221"/>
        <v>0.4148517768215339</v>
      </c>
      <c r="G1794" s="14">
        <f t="shared" si="222"/>
        <v>0</v>
      </c>
      <c r="H1794" s="24">
        <f t="shared" si="228"/>
        <v>1455.4433076733994</v>
      </c>
      <c r="I1794" s="12">
        <f t="shared" si="227"/>
        <v>0.15023852157821371</v>
      </c>
      <c r="J1794" s="3"/>
    </row>
    <row r="1795" spans="2:10" x14ac:dyDescent="0.25">
      <c r="B1795" s="3">
        <f t="shared" si="223"/>
        <v>8875</v>
      </c>
      <c r="C1795" s="14">
        <f t="shared" si="224"/>
        <v>147.91666666666666</v>
      </c>
      <c r="D1795" s="11">
        <f t="shared" si="225"/>
        <v>1080.3485137055345</v>
      </c>
      <c r="E1795" s="24">
        <f t="shared" si="226"/>
        <v>721.68040481265905</v>
      </c>
      <c r="F1795" s="38">
        <f t="shared" si="221"/>
        <v>0.41279054275137639</v>
      </c>
      <c r="G1795" s="14">
        <f t="shared" si="222"/>
        <v>0</v>
      </c>
      <c r="H1795" s="24">
        <f t="shared" si="228"/>
        <v>1462.7109386442135</v>
      </c>
      <c r="I1795" s="12">
        <f t="shared" si="227"/>
        <v>0.14955873475890133</v>
      </c>
      <c r="J1795" s="3"/>
    </row>
    <row r="1796" spans="2:10" x14ac:dyDescent="0.25">
      <c r="B1796" s="3">
        <f t="shared" si="223"/>
        <v>8880</v>
      </c>
      <c r="C1796" s="14">
        <f t="shared" si="224"/>
        <v>148</v>
      </c>
      <c r="D1796" s="11">
        <f t="shared" si="225"/>
        <v>1080.4328308694121</v>
      </c>
      <c r="E1796" s="24">
        <f t="shared" si="226"/>
        <v>721.82996354741795</v>
      </c>
      <c r="F1796" s="38">
        <f t="shared" si="221"/>
        <v>0.41072140032235438</v>
      </c>
      <c r="G1796" s="14">
        <f t="shared" si="222"/>
        <v>0</v>
      </c>
      <c r="H1796" s="24">
        <f t="shared" si="228"/>
        <v>1470.079819988521</v>
      </c>
      <c r="I1796" s="12">
        <f t="shared" si="227"/>
        <v>0.14887611354383812</v>
      </c>
      <c r="J1796" s="3"/>
    </row>
    <row r="1797" spans="2:10" x14ac:dyDescent="0.25">
      <c r="B1797" s="3">
        <f t="shared" si="223"/>
        <v>8885</v>
      </c>
      <c r="C1797" s="14">
        <f t="shared" si="224"/>
        <v>148.08333333333334</v>
      </c>
      <c r="D1797" s="11">
        <f t="shared" si="225"/>
        <v>1080.5171006108105</v>
      </c>
      <c r="E1797" s="24">
        <f t="shared" si="226"/>
        <v>721.97883966096174</v>
      </c>
      <c r="F1797" s="38">
        <f t="shared" si="221"/>
        <v>0.408644408133578</v>
      </c>
      <c r="G1797" s="14">
        <f t="shared" si="222"/>
        <v>0</v>
      </c>
      <c r="H1797" s="24">
        <f t="shared" si="228"/>
        <v>1477.5517056725557</v>
      </c>
      <c r="I1797" s="12">
        <f t="shared" si="227"/>
        <v>0.1481906650786291</v>
      </c>
      <c r="J1797" s="3"/>
    </row>
    <row r="1798" spans="2:10" x14ac:dyDescent="0.25">
      <c r="B1798" s="3">
        <f t="shared" si="223"/>
        <v>8890</v>
      </c>
      <c r="C1798" s="14">
        <f t="shared" si="224"/>
        <v>148.16666666666666</v>
      </c>
      <c r="D1798" s="11">
        <f t="shared" si="225"/>
        <v>1080.601322983043</v>
      </c>
      <c r="E1798" s="24">
        <f t="shared" si="226"/>
        <v>722.12703032604031</v>
      </c>
      <c r="F1798" s="38">
        <f t="shared" si="221"/>
        <v>0.40655962724369743</v>
      </c>
      <c r="G1798" s="14">
        <f t="shared" si="222"/>
        <v>0</v>
      </c>
      <c r="H1798" s="24">
        <f t="shared" si="228"/>
        <v>1485.1283841063691</v>
      </c>
      <c r="I1798" s="12">
        <f t="shared" si="227"/>
        <v>0.14750239724663117</v>
      </c>
      <c r="J1798" s="3"/>
    </row>
    <row r="1799" spans="2:10" x14ac:dyDescent="0.25">
      <c r="B1799" s="3">
        <f t="shared" si="223"/>
        <v>8895</v>
      </c>
      <c r="C1799" s="14">
        <f t="shared" si="224"/>
        <v>148.25</v>
      </c>
      <c r="D1799" s="11">
        <f t="shared" si="225"/>
        <v>1080.6854980393339</v>
      </c>
      <c r="E1799" s="24">
        <f t="shared" si="226"/>
        <v>722.27453272328694</v>
      </c>
      <c r="F1799" s="38">
        <f t="shared" si="221"/>
        <v>0.4044671212046525</v>
      </c>
      <c r="G1799" s="14">
        <f t="shared" si="222"/>
        <v>0</v>
      </c>
      <c r="H1799" s="24">
        <f t="shared" si="228"/>
        <v>1492.8116788652706</v>
      </c>
      <c r="I1799" s="12">
        <f t="shared" si="227"/>
        <v>0.14681131868431288</v>
      </c>
      <c r="J1799" s="3"/>
    </row>
    <row r="1800" spans="2:10" x14ac:dyDescent="0.25">
      <c r="B1800" s="3">
        <f t="shared" si="223"/>
        <v>8900</v>
      </c>
      <c r="C1800" s="14">
        <f t="shared" si="224"/>
        <v>148.33333333333334</v>
      </c>
      <c r="D1800" s="11">
        <f t="shared" si="225"/>
        <v>1080.7696258328167</v>
      </c>
      <c r="E1800" s="24">
        <f t="shared" si="226"/>
        <v>722.42134404197122</v>
      </c>
      <c r="F1800" s="38">
        <f t="shared" si="221"/>
        <v>0.40236695609493961</v>
      </c>
      <c r="G1800" s="14">
        <f t="shared" si="222"/>
        <v>0</v>
      </c>
      <c r="H1800" s="24">
        <f t="shared" si="228"/>
        <v>1500.6034494265314</v>
      </c>
      <c r="I1800" s="12">
        <f t="shared" si="227"/>
        <v>0.14611743879695671</v>
      </c>
      <c r="J1800" s="3"/>
    </row>
    <row r="1801" spans="2:10" x14ac:dyDescent="0.25">
      <c r="B1801" s="3">
        <f t="shared" si="223"/>
        <v>8905</v>
      </c>
      <c r="C1801" s="14">
        <f t="shared" si="224"/>
        <v>148.41666666666666</v>
      </c>
      <c r="D1801" s="11">
        <f t="shared" si="225"/>
        <v>1080.8537064165364</v>
      </c>
      <c r="E1801" s="24">
        <f t="shared" si="226"/>
        <v>722.5674614807682</v>
      </c>
      <c r="F1801" s="38">
        <f t="shared" si="221"/>
        <v>0.40025920055234088</v>
      </c>
      <c r="G1801" s="14">
        <f t="shared" si="222"/>
        <v>0</v>
      </c>
      <c r="H1801" s="24">
        <f t="shared" si="228"/>
        <v>1508.5055919217116</v>
      </c>
      <c r="I1801" s="12">
        <f t="shared" si="227"/>
        <v>0.14542076777404558</v>
      </c>
      <c r="J1801" s="3"/>
    </row>
    <row r="1802" spans="2:10" x14ac:dyDescent="0.25">
      <c r="B1802" s="3">
        <f t="shared" si="223"/>
        <v>8910</v>
      </c>
      <c r="C1802" s="14">
        <f t="shared" si="224"/>
        <v>148.5</v>
      </c>
      <c r="D1802" s="11">
        <f t="shared" si="225"/>
        <v>1080.9377398434485</v>
      </c>
      <c r="E1802" s="24">
        <f t="shared" si="226"/>
        <v>722.7128822485422</v>
      </c>
      <c r="F1802" s="38">
        <f t="shared" si="221"/>
        <v>0.3981439258060871</v>
      </c>
      <c r="G1802" s="14">
        <f t="shared" si="222"/>
        <v>0</v>
      </c>
      <c r="H1802" s="24">
        <f t="shared" si="228"/>
        <v>1516.5200399048481</v>
      </c>
      <c r="I1802" s="12">
        <f t="shared" si="227"/>
        <v>0.14472131660491852</v>
      </c>
      <c r="J1802" s="3"/>
    </row>
    <row r="1803" spans="2:10" x14ac:dyDescent="0.25">
      <c r="B1803" s="3">
        <f t="shared" si="223"/>
        <v>8915</v>
      </c>
      <c r="C1803" s="14">
        <f t="shared" si="224"/>
        <v>148.58333333333334</v>
      </c>
      <c r="D1803" s="11">
        <f t="shared" si="225"/>
        <v>1081.0217261664193</v>
      </c>
      <c r="E1803" s="24">
        <f t="shared" si="226"/>
        <v>722.85760356514709</v>
      </c>
      <c r="F1803" s="38">
        <f t="shared" si="221"/>
        <v>0.3960212057083855</v>
      </c>
      <c r="G1803" s="14">
        <f t="shared" si="222"/>
        <v>0</v>
      </c>
      <c r="H1803" s="24">
        <f t="shared" si="228"/>
        <v>1524.6487651369098</v>
      </c>
      <c r="I1803" s="12">
        <f t="shared" si="227"/>
        <v>0.1440190970942597</v>
      </c>
      <c r="J1803" s="3"/>
    </row>
    <row r="1804" spans="2:10" x14ac:dyDescent="0.25">
      <c r="B1804" s="3">
        <f t="shared" si="223"/>
        <v>8920</v>
      </c>
      <c r="C1804" s="14">
        <f t="shared" si="224"/>
        <v>148.66666666666666</v>
      </c>
      <c r="D1804" s="11">
        <f t="shared" si="225"/>
        <v>1081.1056654382262</v>
      </c>
      <c r="E1804" s="24">
        <f t="shared" si="226"/>
        <v>723.0016226622414</v>
      </c>
      <c r="F1804" s="38">
        <f t="shared" si="221"/>
        <v>0.3938911167652846</v>
      </c>
      <c r="G1804" s="14">
        <f t="shared" si="222"/>
        <v>0</v>
      </c>
      <c r="H1804" s="24">
        <f t="shared" si="228"/>
        <v>1532.8937783867664</v>
      </c>
      <c r="I1804" s="12">
        <f t="shared" si="227"/>
        <v>0.14331412187755591</v>
      </c>
      <c r="J1804" s="3"/>
    </row>
    <row r="1805" spans="2:10" x14ac:dyDescent="0.25">
      <c r="B1805" s="3">
        <f t="shared" si="223"/>
        <v>8925</v>
      </c>
      <c r="C1805" s="14">
        <f t="shared" si="224"/>
        <v>148.75</v>
      </c>
      <c r="D1805" s="11">
        <f t="shared" si="225"/>
        <v>1081.1895577115581</v>
      </c>
      <c r="E1805" s="24">
        <f t="shared" si="226"/>
        <v>723.14493678411895</v>
      </c>
      <c r="F1805" s="38">
        <f t="shared" si="221"/>
        <v>0.39175373816681774</v>
      </c>
      <c r="G1805" s="14">
        <f t="shared" si="222"/>
        <v>0</v>
      </c>
      <c r="H1805" s="24">
        <f t="shared" si="228"/>
        <v>1541.2571302490319</v>
      </c>
      <c r="I1805" s="12">
        <f t="shared" si="227"/>
        <v>0.14260640443655775</v>
      </c>
      <c r="J1805" s="3"/>
    </row>
    <row r="1806" spans="2:10" x14ac:dyDescent="0.25">
      <c r="B1806" s="3">
        <f t="shared" si="223"/>
        <v>8930</v>
      </c>
      <c r="C1806" s="14">
        <f t="shared" si="224"/>
        <v>148.83333333333334</v>
      </c>
      <c r="D1806" s="11">
        <f t="shared" si="225"/>
        <v>1081.2734030390156</v>
      </c>
      <c r="E1806" s="24">
        <f t="shared" si="226"/>
        <v>723.28754318855556</v>
      </c>
      <c r="F1806" s="38">
        <f t="shared" si="221"/>
        <v>0.3896091518163633</v>
      </c>
      <c r="G1806" s="14">
        <f t="shared" si="222"/>
        <v>0</v>
      </c>
      <c r="H1806" s="24">
        <f t="shared" si="228"/>
        <v>1549.740911979166</v>
      </c>
      <c r="I1806" s="12">
        <f t="shared" si="227"/>
        <v>0.14189595911462352</v>
      </c>
      <c r="J1806" s="3"/>
    </row>
    <row r="1807" spans="2:10" x14ac:dyDescent="0.25">
      <c r="B1807" s="3">
        <f t="shared" si="223"/>
        <v>8935</v>
      </c>
      <c r="C1807" s="14">
        <f t="shared" si="224"/>
        <v>148.91666666666666</v>
      </c>
      <c r="D1807" s="11">
        <f t="shared" si="225"/>
        <v>1081.3572014731108</v>
      </c>
      <c r="E1807" s="24">
        <f t="shared" si="226"/>
        <v>723.42943914767022</v>
      </c>
      <c r="F1807" s="38">
        <f t="shared" si="221"/>
        <v>0.38745744235919577</v>
      </c>
      <c r="G1807" s="14">
        <f t="shared" si="222"/>
        <v>0</v>
      </c>
      <c r="H1807" s="24">
        <f t="shared" si="228"/>
        <v>1558.3472563460746</v>
      </c>
      <c r="I1807" s="12">
        <f t="shared" si="227"/>
        <v>0.14118280113203827</v>
      </c>
      <c r="J1807" s="3"/>
    </row>
    <row r="1808" spans="2:10" x14ac:dyDescent="0.25">
      <c r="B1808" s="3">
        <f t="shared" si="223"/>
        <v>8940</v>
      </c>
      <c r="C1808" s="14">
        <f t="shared" si="224"/>
        <v>149</v>
      </c>
      <c r="D1808" s="11">
        <f t="shared" si="225"/>
        <v>1081.4409530662679</v>
      </c>
      <c r="E1808" s="24">
        <f t="shared" si="226"/>
        <v>723.57062194880223</v>
      </c>
      <c r="F1808" s="38">
        <f t="shared" si="221"/>
        <v>0.38529869721014992</v>
      </c>
      <c r="G1808" s="14">
        <f t="shared" si="222"/>
        <v>0</v>
      </c>
      <c r="H1808" s="24">
        <f t="shared" si="228"/>
        <v>1567.0783385026573</v>
      </c>
      <c r="I1808" s="12">
        <f t="shared" si="227"/>
        <v>0.14046694660112852</v>
      </c>
      <c r="J1808" s="3"/>
    </row>
    <row r="1809" spans="2:10" x14ac:dyDescent="0.25">
      <c r="B1809" s="3">
        <f t="shared" si="223"/>
        <v>8945</v>
      </c>
      <c r="C1809" s="14">
        <f t="shared" si="224"/>
        <v>149.08333333333334</v>
      </c>
      <c r="D1809" s="11">
        <f t="shared" si="225"/>
        <v>1081.5246578708229</v>
      </c>
      <c r="E1809" s="24">
        <f t="shared" si="226"/>
        <v>723.71108889540335</v>
      </c>
      <c r="F1809" s="38">
        <f t="shared" si="221"/>
        <v>0.38313300658035554</v>
      </c>
      <c r="G1809" s="14">
        <f t="shared" si="222"/>
        <v>0</v>
      </c>
      <c r="H1809" s="24">
        <f t="shared" si="228"/>
        <v>1575.9363768746061</v>
      </c>
      <c r="I1809" s="12">
        <f t="shared" si="227"/>
        <v>0.13974841254140236</v>
      </c>
      <c r="J1809" s="3"/>
    </row>
    <row r="1810" spans="2:10" x14ac:dyDescent="0.25">
      <c r="B1810" s="3">
        <f t="shared" si="223"/>
        <v>8950</v>
      </c>
      <c r="C1810" s="14">
        <f t="shared" si="224"/>
        <v>149.16666666666666</v>
      </c>
      <c r="D1810" s="11">
        <f t="shared" si="225"/>
        <v>1081.6083159390246</v>
      </c>
      <c r="E1810" s="24">
        <f t="shared" si="226"/>
        <v>723.85083730794474</v>
      </c>
      <c r="F1810" s="38">
        <f t="shared" si="221"/>
        <v>0.38096046350299406</v>
      </c>
      <c r="G1810" s="14">
        <f t="shared" si="222"/>
        <v>0</v>
      </c>
      <c r="H1810" s="24">
        <f t="shared" si="228"/>
        <v>1584.9236340678035</v>
      </c>
      <c r="I1810" s="12">
        <f t="shared" si="227"/>
        <v>0.1390272168943919</v>
      </c>
      <c r="J1810" s="3"/>
    </row>
    <row r="1811" spans="2:10" x14ac:dyDescent="0.25">
      <c r="B1811" s="3">
        <f t="shared" si="223"/>
        <v>8955</v>
      </c>
      <c r="C1811" s="14">
        <f t="shared" si="224"/>
        <v>149.25</v>
      </c>
      <c r="D1811" s="11">
        <f t="shared" si="225"/>
        <v>1081.6919273230337</v>
      </c>
      <c r="E1811" s="24">
        <f t="shared" si="226"/>
        <v>723.98986452483916</v>
      </c>
      <c r="F1811" s="38">
        <f t="shared" si="221"/>
        <v>0.3787811638580072</v>
      </c>
      <c r="G1811" s="14">
        <f t="shared" si="222"/>
        <v>0</v>
      </c>
      <c r="H1811" s="24">
        <f t="shared" si="228"/>
        <v>1594.0424177947314</v>
      </c>
      <c r="I1811" s="12">
        <f t="shared" si="227"/>
        <v>0.13830337853848054</v>
      </c>
      <c r="J1811" s="3"/>
    </row>
    <row r="1812" spans="2:10" x14ac:dyDescent="0.25">
      <c r="B1812" s="3">
        <f t="shared" si="223"/>
        <v>8960</v>
      </c>
      <c r="C1812" s="14">
        <f t="shared" si="224"/>
        <v>149.33333333333334</v>
      </c>
      <c r="D1812" s="11">
        <f t="shared" si="225"/>
        <v>1081.7754920749248</v>
      </c>
      <c r="E1812" s="24">
        <f t="shared" si="226"/>
        <v>724.12816790337763</v>
      </c>
      <c r="F1812" s="38">
        <f t="shared" ref="F1812:F1875" si="229">Cp*RhoP/(RhoA*H1812)*dp/1000*MassivP</f>
        <v>0.37659520639571509</v>
      </c>
      <c r="G1812" s="14">
        <f t="shared" ref="G1812:G1875" si="230">Phi*EpsilonF*Botzman/10^8*J1812*((D1812+273)^4-(E1812+273)^4)</f>
        <v>0</v>
      </c>
      <c r="H1812" s="24">
        <f t="shared" si="228"/>
        <v>1603.2950818202187</v>
      </c>
      <c r="I1812" s="12">
        <f t="shared" si="227"/>
        <v>0.1375769173034225</v>
      </c>
      <c r="J1812" s="3"/>
    </row>
    <row r="1813" spans="2:10" x14ac:dyDescent="0.25">
      <c r="B1813" s="3">
        <f t="shared" ref="B1813:B1876" si="231">B1812+DeltaT</f>
        <v>8965</v>
      </c>
      <c r="C1813" s="14">
        <f t="shared" ref="C1813:C1876" si="232">B1813/60</f>
        <v>149.41666666666666</v>
      </c>
      <c r="D1813" s="11">
        <f t="shared" ref="D1813:D1876" si="233">20+345*LOG(8*C1813+1,10)</f>
        <v>1081.8590102466842</v>
      </c>
      <c r="E1813" s="24">
        <f t="shared" ref="E1813:E1876" si="234">E1812+IF(Limit=Oui,MAX(0,I1812),I1812)</f>
        <v>724.26574482068111</v>
      </c>
      <c r="F1813" s="38">
        <f t="shared" si="229"/>
        <v>0.37440269275927318</v>
      </c>
      <c r="G1813" s="14">
        <f t="shared" si="230"/>
        <v>0</v>
      </c>
      <c r="H1813" s="24">
        <f t="shared" si="228"/>
        <v>1612.6840269269551</v>
      </c>
      <c r="I1813" s="12">
        <f t="shared" ref="I1813:I1876" si="235">LambdaP*MassivP/(dp/1000)/(H1813*RhoA)/(1+F1813/3)*(D1813-E1813)*DeltaT-(EXP(F1813/10)-1)*(D1813-D1812)</f>
        <v>0.13684785398485586</v>
      </c>
      <c r="J1813" s="3"/>
    </row>
    <row r="1814" spans="2:10" x14ac:dyDescent="0.25">
      <c r="B1814" s="3">
        <f t="shared" si="231"/>
        <v>8970</v>
      </c>
      <c r="C1814" s="14">
        <f t="shared" si="232"/>
        <v>149.5</v>
      </c>
      <c r="D1814" s="11">
        <f t="shared" si="233"/>
        <v>1081.9424818902114</v>
      </c>
      <c r="E1814" s="24">
        <f t="shared" si="234"/>
        <v>724.40259267466593</v>
      </c>
      <c r="F1814" s="38">
        <f t="shared" si="229"/>
        <v>0.37220372750592817</v>
      </c>
      <c r="G1814" s="14">
        <f t="shared" si="230"/>
        <v>0</v>
      </c>
      <c r="H1814" s="24">
        <f t="shared" si="228"/>
        <v>1622.2117019010868</v>
      </c>
      <c r="I1814" s="12">
        <f t="shared" si="235"/>
        <v>0.13611621035834942</v>
      </c>
      <c r="J1814" s="3"/>
    </row>
    <row r="1815" spans="2:10" x14ac:dyDescent="0.25">
      <c r="B1815" s="3">
        <f t="shared" si="231"/>
        <v>8975</v>
      </c>
      <c r="C1815" s="14">
        <f t="shared" si="232"/>
        <v>149.58333333333334</v>
      </c>
      <c r="D1815" s="11">
        <f t="shared" si="233"/>
        <v>1082.0259070573204</v>
      </c>
      <c r="E1815" s="24">
        <f t="shared" si="234"/>
        <v>724.53870888502422</v>
      </c>
      <c r="F1815" s="38">
        <f t="shared" si="229"/>
        <v>0.36999841812699086</v>
      </c>
      <c r="G1815" s="14">
        <f t="shared" si="230"/>
        <v>0</v>
      </c>
      <c r="H1815" s="24">
        <f t="shared" si="228"/>
        <v>1631.8806045383853</v>
      </c>
      <c r="I1815" s="12">
        <f t="shared" si="235"/>
        <v>0.13538200919336449</v>
      </c>
      <c r="J1815" s="3"/>
    </row>
    <row r="1816" spans="2:10" x14ac:dyDescent="0.25">
      <c r="B1816" s="3">
        <f t="shared" si="231"/>
        <v>8980</v>
      </c>
      <c r="C1816" s="14">
        <f t="shared" si="232"/>
        <v>149.66666666666666</v>
      </c>
      <c r="D1816" s="11">
        <f t="shared" si="233"/>
        <v>1082.1092857997373</v>
      </c>
      <c r="E1816" s="24">
        <f t="shared" si="234"/>
        <v>724.67409089421756</v>
      </c>
      <c r="F1816" s="38">
        <f t="shared" si="229"/>
        <v>0.36778687506649099</v>
      </c>
      <c r="G1816" s="14">
        <f t="shared" si="230"/>
        <v>0</v>
      </c>
      <c r="H1816" s="24">
        <f t="shared" si="228"/>
        <v>1641.6932826712818</v>
      </c>
      <c r="I1816" s="12">
        <f t="shared" si="235"/>
        <v>0.13464527426704423</v>
      </c>
      <c r="J1816" s="3"/>
    </row>
    <row r="1817" spans="2:10" x14ac:dyDescent="0.25">
      <c r="B1817" s="3">
        <f t="shared" si="231"/>
        <v>8985</v>
      </c>
      <c r="C1817" s="14">
        <f t="shared" si="232"/>
        <v>149.75</v>
      </c>
      <c r="D1817" s="11">
        <f t="shared" si="233"/>
        <v>1082.1926181691026</v>
      </c>
      <c r="E1817" s="24">
        <f t="shared" si="234"/>
        <v>724.80873616848464</v>
      </c>
      <c r="F1817" s="38">
        <f t="shared" si="229"/>
        <v>0.36556921173843715</v>
      </c>
      <c r="G1817" s="14">
        <f t="shared" si="230"/>
        <v>0</v>
      </c>
      <c r="H1817" s="24">
        <f t="shared" si="228"/>
        <v>1651.652335217253</v>
      </c>
      <c r="I1817" s="12">
        <f t="shared" si="235"/>
        <v>0.13390603037745288</v>
      </c>
      <c r="J1817" s="3"/>
    </row>
    <row r="1818" spans="2:10" x14ac:dyDescent="0.25">
      <c r="B1818" s="3">
        <f t="shared" si="231"/>
        <v>8990</v>
      </c>
      <c r="C1818" s="14">
        <f t="shared" si="232"/>
        <v>149.83333333333334</v>
      </c>
      <c r="D1818" s="11">
        <f t="shared" si="233"/>
        <v>1082.2759042169707</v>
      </c>
      <c r="E1818" s="24">
        <f t="shared" si="234"/>
        <v>724.94264219886213</v>
      </c>
      <c r="F1818" s="38">
        <f t="shared" si="229"/>
        <v>0.36334554454263412</v>
      </c>
      <c r="G1818" s="14">
        <f t="shared" si="230"/>
        <v>0</v>
      </c>
      <c r="H1818" s="24">
        <f t="shared" si="228"/>
        <v>1661.7604132489159</v>
      </c>
      <c r="I1818" s="12">
        <f t="shared" si="235"/>
        <v>0.13316430335675192</v>
      </c>
      <c r="J1818" s="3"/>
    </row>
    <row r="1819" spans="2:10" x14ac:dyDescent="0.25">
      <c r="B1819" s="3">
        <f t="shared" si="231"/>
        <v>8995</v>
      </c>
      <c r="C1819" s="14">
        <f t="shared" si="232"/>
        <v>149.91666666666666</v>
      </c>
      <c r="D1819" s="11">
        <f t="shared" si="233"/>
        <v>1082.3591439948098</v>
      </c>
      <c r="E1819" s="24">
        <f t="shared" si="234"/>
        <v>725.07580650221894</v>
      </c>
      <c r="F1819" s="38">
        <f t="shared" si="229"/>
        <v>0.36111599287898255</v>
      </c>
      <c r="G1819" s="14">
        <f t="shared" si="230"/>
        <v>0</v>
      </c>
      <c r="H1819" s="24">
        <f t="shared" si="228"/>
        <v>1672.0202210863135</v>
      </c>
      <c r="I1819" s="12">
        <f t="shared" si="235"/>
        <v>0.13242012008396639</v>
      </c>
      <c r="J1819" s="3"/>
    </row>
    <row r="1820" spans="2:10" x14ac:dyDescent="0.25">
      <c r="B1820" s="3">
        <f t="shared" si="231"/>
        <v>9000</v>
      </c>
      <c r="C1820" s="14">
        <f t="shared" si="232"/>
        <v>150</v>
      </c>
      <c r="D1820" s="11">
        <f t="shared" si="233"/>
        <v>1082.4423375540025</v>
      </c>
      <c r="E1820" s="24">
        <f t="shared" si="234"/>
        <v>725.20822662230296</v>
      </c>
      <c r="F1820" s="38">
        <f t="shared" si="229"/>
        <v>0.35888067916021599</v>
      </c>
      <c r="G1820" s="14">
        <f t="shared" si="230"/>
        <v>0</v>
      </c>
      <c r="H1820" s="24">
        <f t="shared" si="228"/>
        <v>1682.4345174117529</v>
      </c>
      <c r="I1820" s="12">
        <f t="shared" si="235"/>
        <v>0.13167350849733445</v>
      </c>
      <c r="J1820" s="3"/>
    </row>
    <row r="1821" spans="2:10" x14ac:dyDescent="0.25">
      <c r="B1821" s="3">
        <f t="shared" si="231"/>
        <v>9005</v>
      </c>
      <c r="C1821" s="14">
        <f t="shared" si="232"/>
        <v>150.08333333333334</v>
      </c>
      <c r="D1821" s="11">
        <f t="shared" si="233"/>
        <v>1082.5254849458458</v>
      </c>
      <c r="E1821" s="24">
        <f t="shared" si="234"/>
        <v>725.33990013080029</v>
      </c>
      <c r="F1821" s="38">
        <f t="shared" si="229"/>
        <v>0.35663972882300576</v>
      </c>
      <c r="G1821" s="14">
        <f t="shared" si="230"/>
        <v>0</v>
      </c>
      <c r="H1821" s="24">
        <f t="shared" si="228"/>
        <v>1693.0061164076662</v>
      </c>
      <c r="I1821" s="12">
        <f t="shared" si="235"/>
        <v>0.13092449760640504</v>
      </c>
      <c r="J1821" s="3"/>
    </row>
    <row r="1822" spans="2:10" x14ac:dyDescent="0.25">
      <c r="B1822" s="3">
        <f t="shared" si="231"/>
        <v>9010</v>
      </c>
      <c r="C1822" s="14">
        <f t="shared" si="232"/>
        <v>150.16666666666666</v>
      </c>
      <c r="D1822" s="11">
        <f t="shared" si="233"/>
        <v>1082.6085862215518</v>
      </c>
      <c r="E1822" s="24">
        <f t="shared" si="234"/>
        <v>725.47082462840672</v>
      </c>
      <c r="F1822" s="38">
        <f t="shared" si="229"/>
        <v>0.35439327033737039</v>
      </c>
      <c r="G1822" s="14">
        <f t="shared" si="230"/>
        <v>0</v>
      </c>
      <c r="H1822" s="24">
        <f t="shared" si="228"/>
        <v>1703.7378889179513</v>
      </c>
      <c r="I1822" s="12">
        <f t="shared" si="235"/>
        <v>0.13017311750359931</v>
      </c>
      <c r="J1822" s="3"/>
    </row>
    <row r="1823" spans="2:10" x14ac:dyDescent="0.25">
      <c r="B1823" s="3">
        <f t="shared" si="231"/>
        <v>9015</v>
      </c>
      <c r="C1823" s="14">
        <f t="shared" si="232"/>
        <v>150.25</v>
      </c>
      <c r="D1823" s="11">
        <f t="shared" si="233"/>
        <v>1082.6916414322463</v>
      </c>
      <c r="E1823" s="24">
        <f t="shared" si="234"/>
        <v>725.60099774591026</v>
      </c>
      <c r="F1823" s="38">
        <f t="shared" si="229"/>
        <v>0.3521414352143436</v>
      </c>
      <c r="G1823" s="14">
        <f t="shared" si="230"/>
        <v>0</v>
      </c>
      <c r="H1823" s="24">
        <f t="shared" si="228"/>
        <v>1714.632763633168</v>
      </c>
      <c r="I1823" s="12">
        <f t="shared" si="235"/>
        <v>0.12941939937550523</v>
      </c>
      <c r="J1823" s="3"/>
    </row>
    <row r="1824" spans="2:10" x14ac:dyDescent="0.25">
      <c r="B1824" s="3">
        <f t="shared" si="231"/>
        <v>9020</v>
      </c>
      <c r="C1824" s="14">
        <f t="shared" si="232"/>
        <v>150.33333333333334</v>
      </c>
      <c r="D1824" s="11">
        <f t="shared" si="233"/>
        <v>1082.7746506289716</v>
      </c>
      <c r="E1824" s="24">
        <f t="shared" si="234"/>
        <v>725.73041714528574</v>
      </c>
      <c r="F1824" s="38">
        <f t="shared" si="229"/>
        <v>0.34988435801181472</v>
      </c>
      <c r="G1824" s="14">
        <f t="shared" si="230"/>
        <v>0</v>
      </c>
      <c r="H1824" s="24">
        <f t="shared" si="228"/>
        <v>1725.6937283001703</v>
      </c>
      <c r="I1824" s="12">
        <f t="shared" si="235"/>
        <v>0.12866337551348636</v>
      </c>
      <c r="J1824" s="3"/>
    </row>
    <row r="1825" spans="2:10" x14ac:dyDescent="0.25">
      <c r="B1825" s="3">
        <f t="shared" si="231"/>
        <v>9025</v>
      </c>
      <c r="C1825" s="14">
        <f t="shared" si="232"/>
        <v>150.41666666666666</v>
      </c>
      <c r="D1825" s="11">
        <f t="shared" si="233"/>
        <v>1082.857613862684</v>
      </c>
      <c r="E1825" s="24">
        <f t="shared" si="234"/>
        <v>725.85908052079924</v>
      </c>
      <c r="F1825" s="38">
        <f t="shared" si="229"/>
        <v>0.34762217633851084</v>
      </c>
      <c r="G1825" s="14">
        <f t="shared" si="230"/>
        <v>0</v>
      </c>
      <c r="H1825" s="24">
        <f t="shared" si="228"/>
        <v>1736.9238309564939</v>
      </c>
      <c r="I1825" s="12">
        <f t="shared" si="235"/>
        <v>0.12790507932411835</v>
      </c>
      <c r="J1825" s="3"/>
    </row>
    <row r="1826" spans="2:10" x14ac:dyDescent="0.25">
      <c r="B1826" s="3">
        <f t="shared" si="231"/>
        <v>9030</v>
      </c>
      <c r="C1826" s="14">
        <f t="shared" si="232"/>
        <v>150.5</v>
      </c>
      <c r="D1826" s="11">
        <f t="shared" si="233"/>
        <v>1082.9405311842559</v>
      </c>
      <c r="E1826" s="24">
        <f t="shared" si="234"/>
        <v>725.98698560012338</v>
      </c>
      <c r="F1826" s="38">
        <f t="shared" si="229"/>
        <v>0.34535503085603703</v>
      </c>
      <c r="G1826" s="14">
        <f t="shared" si="230"/>
        <v>0</v>
      </c>
      <c r="H1826" s="24">
        <f t="shared" si="228"/>
        <v>1748.3261811900877</v>
      </c>
      <c r="I1826" s="12">
        <f t="shared" si="235"/>
        <v>0.12714454533883426</v>
      </c>
      <c r="J1826" s="3"/>
    </row>
    <row r="1827" spans="2:10" x14ac:dyDescent="0.25">
      <c r="B1827" s="3">
        <f t="shared" si="231"/>
        <v>9035</v>
      </c>
      <c r="C1827" s="14">
        <f t="shared" si="232"/>
        <v>150.58333333333334</v>
      </c>
      <c r="D1827" s="11">
        <f t="shared" si="233"/>
        <v>1083.0234026444753</v>
      </c>
      <c r="E1827" s="24">
        <f t="shared" si="234"/>
        <v>726.11413014546224</v>
      </c>
      <c r="F1827" s="38">
        <f t="shared" si="229"/>
        <v>0.3430830652789254</v>
      </c>
      <c r="G1827" s="14">
        <f t="shared" si="230"/>
        <v>0</v>
      </c>
      <c r="H1827" s="24">
        <f t="shared" si="228"/>
        <v>1759.9039514248195</v>
      </c>
      <c r="I1827" s="12">
        <f t="shared" si="235"/>
        <v>0.12638180922319422</v>
      </c>
      <c r="J1827" s="3"/>
    </row>
    <row r="1828" spans="2:10" x14ac:dyDescent="0.25">
      <c r="B1828" s="3">
        <f t="shared" si="231"/>
        <v>9040</v>
      </c>
      <c r="C1828" s="14">
        <f t="shared" si="232"/>
        <v>150.66666666666666</v>
      </c>
      <c r="D1828" s="11">
        <f t="shared" si="233"/>
        <v>1083.106228294045</v>
      </c>
      <c r="E1828" s="24">
        <f t="shared" si="234"/>
        <v>726.24051195468542</v>
      </c>
      <c r="F1828" s="38">
        <f t="shared" si="229"/>
        <v>0.34080642637263525</v>
      </c>
      <c r="G1828" s="14">
        <f t="shared" si="230"/>
        <v>0</v>
      </c>
      <c r="H1828" s="24">
        <f t="shared" si="228"/>
        <v>1771.6603782322377</v>
      </c>
      <c r="I1828" s="12">
        <f t="shared" si="235"/>
        <v>0.12561690778563561</v>
      </c>
      <c r="J1828" s="3"/>
    </row>
    <row r="1829" spans="2:10" x14ac:dyDescent="0.25">
      <c r="B1829" s="3">
        <f t="shared" si="231"/>
        <v>9045</v>
      </c>
      <c r="C1829" s="14">
        <f t="shared" si="232"/>
        <v>150.75</v>
      </c>
      <c r="D1829" s="11">
        <f t="shared" si="233"/>
        <v>1083.1890081835854</v>
      </c>
      <c r="E1829" s="24">
        <f t="shared" si="234"/>
        <v>726.3661288624711</v>
      </c>
      <c r="F1829" s="38">
        <f t="shared" si="229"/>
        <v>0.33852526394943544</v>
      </c>
      <c r="G1829" s="14">
        <f t="shared" si="230"/>
        <v>0</v>
      </c>
      <c r="H1829" s="24">
        <f t="shared" si="228"/>
        <v>1783.5987636701379</v>
      </c>
      <c r="I1829" s="12">
        <f t="shared" si="235"/>
        <v>0.12484987898540133</v>
      </c>
      <c r="J1829" s="3"/>
    </row>
    <row r="1830" spans="2:10" x14ac:dyDescent="0.25">
      <c r="B1830" s="3">
        <f t="shared" si="231"/>
        <v>9050</v>
      </c>
      <c r="C1830" s="14">
        <f t="shared" si="232"/>
        <v>150.83333333333334</v>
      </c>
      <c r="D1830" s="11">
        <f t="shared" si="233"/>
        <v>1083.2717423636316</v>
      </c>
      <c r="E1830" s="24">
        <f t="shared" si="234"/>
        <v>726.4909787414565</v>
      </c>
      <c r="F1830" s="38">
        <f t="shared" si="229"/>
        <v>0.33623973086213516</v>
      </c>
      <c r="G1830" s="14">
        <f t="shared" si="230"/>
        <v>0</v>
      </c>
      <c r="H1830" s="24">
        <f t="shared" si="228"/>
        <v>1795.7224766483264</v>
      </c>
      <c r="I1830" s="12">
        <f t="shared" si="235"/>
        <v>0.12408076194024556</v>
      </c>
      <c r="J1830" s="3"/>
    </row>
    <row r="1831" spans="2:10" x14ac:dyDescent="0.25">
      <c r="B1831" s="3">
        <f t="shared" si="231"/>
        <v>9055</v>
      </c>
      <c r="C1831" s="14">
        <f t="shared" si="232"/>
        <v>150.91666666666666</v>
      </c>
      <c r="D1831" s="11">
        <f t="shared" si="233"/>
        <v>1083.3544308846356</v>
      </c>
      <c r="E1831" s="24">
        <f t="shared" si="234"/>
        <v>726.61505950339676</v>
      </c>
      <c r="F1831" s="38">
        <f t="shared" si="229"/>
        <v>0.33394998299557166</v>
      </c>
      <c r="G1831" s="14">
        <f t="shared" si="230"/>
        <v>0</v>
      </c>
      <c r="H1831" s="24">
        <f t="shared" si="228"/>
        <v>1808.0349543222667</v>
      </c>
      <c r="I1831" s="12">
        <f t="shared" si="235"/>
        <v>0.12330959693307195</v>
      </c>
      <c r="J1831" s="3"/>
    </row>
    <row r="1832" spans="2:10" x14ac:dyDescent="0.25">
      <c r="B1832" s="3">
        <f t="shared" si="231"/>
        <v>9060</v>
      </c>
      <c r="C1832" s="14">
        <f t="shared" si="232"/>
        <v>151</v>
      </c>
      <c r="D1832" s="11">
        <f t="shared" si="233"/>
        <v>1083.4370737969662</v>
      </c>
      <c r="E1832" s="24">
        <f t="shared" si="234"/>
        <v>726.73836910032981</v>
      </c>
      <c r="F1832" s="38">
        <f t="shared" si="229"/>
        <v>0.33165617925583607</v>
      </c>
      <c r="G1832" s="14">
        <f t="shared" si="230"/>
        <v>0</v>
      </c>
      <c r="H1832" s="24">
        <f t="shared" si="228"/>
        <v>1820.5397035149476</v>
      </c>
      <c r="I1832" s="12">
        <f t="shared" si="235"/>
        <v>0.1225364254182319</v>
      </c>
      <c r="J1832" s="3"/>
    </row>
    <row r="1833" spans="2:10" x14ac:dyDescent="0.25">
      <c r="B1833" s="3">
        <f t="shared" si="231"/>
        <v>9065</v>
      </c>
      <c r="C1833" s="14">
        <f t="shared" si="232"/>
        <v>151.08333333333334</v>
      </c>
      <c r="D1833" s="11">
        <f t="shared" si="233"/>
        <v>1083.5196711509084</v>
      </c>
      <c r="E1833" s="24">
        <f t="shared" si="234"/>
        <v>726.86090552574808</v>
      </c>
      <c r="F1833" s="38">
        <f t="shared" si="229"/>
        <v>0.32935848155715353</v>
      </c>
      <c r="G1833" s="14">
        <f t="shared" si="230"/>
        <v>0</v>
      </c>
      <c r="H1833" s="24">
        <f t="shared" si="228"/>
        <v>1833.2403021676669</v>
      </c>
      <c r="I1833" s="12">
        <f t="shared" si="235"/>
        <v>0.12176129002699131</v>
      </c>
      <c r="J1833" s="3"/>
    </row>
    <row r="1834" spans="2:10" x14ac:dyDescent="0.25">
      <c r="B1834" s="3">
        <f t="shared" si="231"/>
        <v>9070</v>
      </c>
      <c r="C1834" s="14">
        <f t="shared" si="232"/>
        <v>151.16666666666666</v>
      </c>
      <c r="D1834" s="11">
        <f t="shared" si="233"/>
        <v>1083.6022229966643</v>
      </c>
      <c r="E1834" s="24">
        <f t="shared" si="234"/>
        <v>726.98266681577502</v>
      </c>
      <c r="F1834" s="38">
        <f t="shared" si="229"/>
        <v>0.32705705480639302</v>
      </c>
      <c r="G1834" s="14">
        <f t="shared" si="230"/>
        <v>0</v>
      </c>
      <c r="H1834" s="24">
        <f t="shared" si="228"/>
        <v>1846.140400820113</v>
      </c>
      <c r="I1834" s="12">
        <f t="shared" si="235"/>
        <v>0.12098423457226722</v>
      </c>
      <c r="J1834" s="3"/>
    </row>
    <row r="1835" spans="2:10" x14ac:dyDescent="0.25">
      <c r="B1835" s="3">
        <f t="shared" si="231"/>
        <v>9075</v>
      </c>
      <c r="C1835" s="14">
        <f t="shared" si="232"/>
        <v>151.25</v>
      </c>
      <c r="D1835" s="11">
        <f t="shared" si="233"/>
        <v>1083.684729384353</v>
      </c>
      <c r="E1835" s="24">
        <f t="shared" si="234"/>
        <v>727.10365105034725</v>
      </c>
      <c r="F1835" s="38">
        <f t="shared" si="229"/>
        <v>0.32475206688512226</v>
      </c>
      <c r="G1835" s="14">
        <f t="shared" si="230"/>
        <v>0</v>
      </c>
      <c r="H1835" s="24">
        <f t="shared" si="228"/>
        <v>1859.2437241204868</v>
      </c>
      <c r="I1835" s="12">
        <f t="shared" si="235"/>
        <v>0.1202053040526639</v>
      </c>
      <c r="J1835" s="3"/>
    </row>
    <row r="1836" spans="2:10" x14ac:dyDescent="0.25">
      <c r="B1836" s="3">
        <f t="shared" si="231"/>
        <v>9080</v>
      </c>
      <c r="C1836" s="14">
        <f t="shared" si="232"/>
        <v>151.33333333333334</v>
      </c>
      <c r="D1836" s="11">
        <f t="shared" si="233"/>
        <v>1083.767190364011</v>
      </c>
      <c r="E1836" s="24">
        <f t="shared" si="234"/>
        <v>727.22385635439991</v>
      </c>
      <c r="F1836" s="38">
        <f t="shared" si="229"/>
        <v>0.32244368862919492</v>
      </c>
      <c r="G1836" s="14">
        <f t="shared" si="230"/>
        <v>0</v>
      </c>
      <c r="H1836" s="24">
        <f t="shared" si="228"/>
        <v>1872.5540723660206</v>
      </c>
      <c r="I1836" s="12">
        <f t="shared" si="235"/>
        <v>0.11942454465570161</v>
      </c>
      <c r="J1836" s="3"/>
    </row>
    <row r="1837" spans="2:10" x14ac:dyDescent="0.25">
      <c r="B1837" s="3">
        <f t="shared" si="231"/>
        <v>9085</v>
      </c>
      <c r="C1837" s="14">
        <f t="shared" si="232"/>
        <v>151.41666666666666</v>
      </c>
      <c r="D1837" s="11">
        <f t="shared" si="233"/>
        <v>1083.8496059855918</v>
      </c>
      <c r="E1837" s="24">
        <f t="shared" si="234"/>
        <v>727.34328089905557</v>
      </c>
      <c r="F1837" s="38">
        <f t="shared" si="229"/>
        <v>0.32013209380579932</v>
      </c>
      <c r="G1837" s="14">
        <f t="shared" si="230"/>
        <v>0</v>
      </c>
      <c r="H1837" s="24">
        <f t="shared" si="228"/>
        <v>1886.0753230745968</v>
      </c>
      <c r="I1837" s="12">
        <f t="shared" si="235"/>
        <v>0.11864200376028548</v>
      </c>
      <c r="J1837" s="3"/>
    </row>
    <row r="1838" spans="2:10" x14ac:dyDescent="0.25">
      <c r="B1838" s="3">
        <f t="shared" si="231"/>
        <v>9090</v>
      </c>
      <c r="C1838" s="14">
        <f t="shared" si="232"/>
        <v>151.5</v>
      </c>
      <c r="D1838" s="11">
        <f t="shared" si="233"/>
        <v>1083.9319762989676</v>
      </c>
      <c r="E1838" s="24">
        <f t="shared" si="234"/>
        <v>727.4619229028159</v>
      </c>
      <c r="F1838" s="38">
        <f t="shared" si="229"/>
        <v>0.31781745908792314</v>
      </c>
      <c r="G1838" s="14">
        <f t="shared" si="230"/>
        <v>0</v>
      </c>
      <c r="H1838" s="24">
        <f t="shared" si="228"/>
        <v>1899.8114325880467</v>
      </c>
      <c r="I1838" s="12">
        <f t="shared" si="235"/>
        <v>0.11785772993824802</v>
      </c>
      <c r="J1838" s="3"/>
    </row>
    <row r="1839" spans="2:10" x14ac:dyDescent="0.25">
      <c r="B1839" s="3">
        <f t="shared" si="231"/>
        <v>9095</v>
      </c>
      <c r="C1839" s="14">
        <f t="shared" si="232"/>
        <v>151.58333333333334</v>
      </c>
      <c r="D1839" s="11">
        <f t="shared" si="233"/>
        <v>1084.0143013539268</v>
      </c>
      <c r="E1839" s="24">
        <f t="shared" si="234"/>
        <v>727.57978063275414</v>
      </c>
      <c r="F1839" s="38">
        <f t="shared" si="229"/>
        <v>0.31549996402621405</v>
      </c>
      <c r="G1839" s="14">
        <f t="shared" si="230"/>
        <v>0</v>
      </c>
      <c r="H1839" s="24">
        <f t="shared" si="228"/>
        <v>1913.7664377075891</v>
      </c>
      <c r="I1839" s="12">
        <f t="shared" si="235"/>
        <v>0.11707177295523274</v>
      </c>
      <c r="J1839" s="3"/>
    </row>
    <row r="1840" spans="2:10" x14ac:dyDescent="0.25">
      <c r="B1840" s="3">
        <f t="shared" si="231"/>
        <v>9100</v>
      </c>
      <c r="C1840" s="14">
        <f t="shared" si="232"/>
        <v>151.66666666666666</v>
      </c>
      <c r="D1840" s="11">
        <f t="shared" si="233"/>
        <v>1084.0965812001773</v>
      </c>
      <c r="E1840" s="24">
        <f t="shared" si="234"/>
        <v>727.69685240570936</v>
      </c>
      <c r="F1840" s="38">
        <f t="shared" si="229"/>
        <v>0.31317979101815946</v>
      </c>
      <c r="G1840" s="14">
        <f t="shared" si="230"/>
        <v>0</v>
      </c>
      <c r="H1840" s="24">
        <f t="shared" si="228"/>
        <v>1927.9444573622241</v>
      </c>
      <c r="I1840" s="12">
        <f t="shared" si="235"/>
        <v>0.11628418377039655</v>
      </c>
      <c r="J1840" s="3"/>
    </row>
    <row r="1841" spans="2:10" x14ac:dyDescent="0.25">
      <c r="B1841" s="3">
        <f t="shared" si="231"/>
        <v>9105</v>
      </c>
      <c r="C1841" s="14">
        <f t="shared" si="232"/>
        <v>151.75</v>
      </c>
      <c r="D1841" s="11">
        <f t="shared" si="233"/>
        <v>1084.1788158873442</v>
      </c>
      <c r="E1841" s="24">
        <f t="shared" si="234"/>
        <v>727.81313658947977</v>
      </c>
      <c r="F1841" s="38">
        <f t="shared" si="229"/>
        <v>0.31085712527458437</v>
      </c>
      <c r="G1841" s="14">
        <f t="shared" si="230"/>
        <v>0</v>
      </c>
      <c r="H1841" s="24">
        <f t="shared" si="228"/>
        <v>1942.349694310469</v>
      </c>
      <c r="I1841" s="12">
        <f t="shared" si="235"/>
        <v>0.1154950145355336</v>
      </c>
      <c r="J1841" s="3"/>
    </row>
    <row r="1842" spans="2:10" x14ac:dyDescent="0.25">
      <c r="B1842" s="3">
        <f t="shared" si="231"/>
        <v>9110</v>
      </c>
      <c r="C1842" s="14">
        <f t="shared" si="232"/>
        <v>151.83333333333334</v>
      </c>
      <c r="D1842" s="11">
        <f t="shared" si="233"/>
        <v>1084.2610054649708</v>
      </c>
      <c r="E1842" s="24">
        <f t="shared" si="234"/>
        <v>727.92863160401532</v>
      </c>
      <c r="F1842" s="38">
        <f t="shared" si="229"/>
        <v>0.30853215478340651</v>
      </c>
      <c r="G1842" s="14">
        <f t="shared" si="230"/>
        <v>0</v>
      </c>
      <c r="H1842" s="24">
        <f t="shared" si="228"/>
        <v>1956.9864368762171</v>
      </c>
      <c r="I1842" s="12">
        <f t="shared" si="235"/>
        <v>0.11470431859302974</v>
      </c>
      <c r="J1842" s="3"/>
    </row>
    <row r="1843" spans="2:10" x14ac:dyDescent="0.25">
      <c r="B1843" s="3">
        <f t="shared" si="231"/>
        <v>9115</v>
      </c>
      <c r="C1843" s="14">
        <f t="shared" si="232"/>
        <v>151.91666666666666</v>
      </c>
      <c r="D1843" s="11">
        <f t="shared" si="233"/>
        <v>1084.3431499825199</v>
      </c>
      <c r="E1843" s="24">
        <f t="shared" si="234"/>
        <v>728.04333592260832</v>
      </c>
      <c r="F1843" s="38">
        <f t="shared" si="229"/>
        <v>0.30620507027062871</v>
      </c>
      <c r="G1843" s="14">
        <f t="shared" si="230"/>
        <v>0</v>
      </c>
      <c r="H1843" s="24">
        <f t="shared" si="228"/>
        <v>1971.8590607192705</v>
      </c>
      <c r="I1843" s="12">
        <f t="shared" si="235"/>
        <v>0.11391215047293005</v>
      </c>
      <c r="J1843" s="3"/>
    </row>
    <row r="1844" spans="2:10" x14ac:dyDescent="0.25">
      <c r="B1844" s="3">
        <f t="shared" si="231"/>
        <v>9120</v>
      </c>
      <c r="C1844" s="14">
        <f t="shared" si="232"/>
        <v>152</v>
      </c>
      <c r="D1844" s="11">
        <f t="shared" si="233"/>
        <v>1084.4252494893722</v>
      </c>
      <c r="E1844" s="24">
        <f t="shared" si="234"/>
        <v>728.15724807308129</v>
      </c>
      <c r="F1844" s="38">
        <f t="shared" si="229"/>
        <v>0.30387606515852966</v>
      </c>
      <c r="G1844" s="14">
        <f t="shared" si="230"/>
        <v>0</v>
      </c>
      <c r="H1844" s="24">
        <f t="shared" si="228"/>
        <v>1986.9720306412619</v>
      </c>
      <c r="I1844" s="12">
        <f t="shared" si="235"/>
        <v>0.11311856588910763</v>
      </c>
      <c r="J1844" s="3"/>
    </row>
    <row r="1845" spans="2:10" x14ac:dyDescent="0.25">
      <c r="B1845" s="3">
        <f t="shared" si="231"/>
        <v>9125</v>
      </c>
      <c r="C1845" s="14">
        <f t="shared" si="232"/>
        <v>152.08333333333334</v>
      </c>
      <c r="D1845" s="11">
        <f t="shared" si="233"/>
        <v>1084.5073040348275</v>
      </c>
      <c r="E1845" s="24">
        <f t="shared" si="234"/>
        <v>728.27036663897036</v>
      </c>
      <c r="F1845" s="38">
        <f t="shared" si="229"/>
        <v>0.30154533552104551</v>
      </c>
      <c r="G1845" s="14">
        <f t="shared" si="230"/>
        <v>0</v>
      </c>
      <c r="H1845" s="24">
        <f t="shared" si="228"/>
        <v>2002.3299024274909</v>
      </c>
      <c r="I1845" s="12">
        <f t="shared" si="235"/>
        <v>0.11232362173429947</v>
      </c>
      <c r="J1845" s="3"/>
    </row>
    <row r="1846" spans="2:10" x14ac:dyDescent="0.25">
      <c r="B1846" s="3">
        <f t="shared" si="231"/>
        <v>9130</v>
      </c>
      <c r="C1846" s="14">
        <f t="shared" si="232"/>
        <v>152.16666666666666</v>
      </c>
      <c r="D1846" s="11">
        <f t="shared" si="233"/>
        <v>1084.5893136681048</v>
      </c>
      <c r="E1846" s="24">
        <f t="shared" si="234"/>
        <v>728.38269026070463</v>
      </c>
      <c r="F1846" s="38">
        <f t="shared" si="229"/>
        <v>0.29921308003628788</v>
      </c>
      <c r="G1846" s="14">
        <f t="shared" si="230"/>
        <v>0</v>
      </c>
      <c r="H1846" s="24">
        <f t="shared" si="228"/>
        <v>2017.9373247255548</v>
      </c>
      <c r="I1846" s="12">
        <f t="shared" si="235"/>
        <v>0.1115273760742021</v>
      </c>
      <c r="J1846" s="3"/>
    </row>
    <row r="1847" spans="2:10" x14ac:dyDescent="0.25">
      <c r="B1847" s="3">
        <f t="shared" si="231"/>
        <v>9135</v>
      </c>
      <c r="C1847" s="14">
        <f t="shared" si="232"/>
        <v>152.25</v>
      </c>
      <c r="D1847" s="11">
        <f t="shared" si="233"/>
        <v>1084.6712784383415</v>
      </c>
      <c r="E1847" s="24">
        <f t="shared" si="234"/>
        <v>728.49421763677879</v>
      </c>
      <c r="F1847" s="38">
        <f t="shared" si="229"/>
        <v>0.2968794999362156</v>
      </c>
      <c r="G1847" s="14">
        <f t="shared" si="230"/>
        <v>0</v>
      </c>
      <c r="H1847" s="24">
        <f t="shared" ref="H1847:H1910" si="236">IF(E1847&lt;600,425+0.773*E1847-1.69/1000*E1847^2+2.22/1000^2*E1847^3,IF(E1847&lt;735,666+13002/(738-E1847),IF(E1847&lt;900,545+17820/(E1847-731),650)))</f>
        <v>2033.7990409612139</v>
      </c>
      <c r="I1847" s="12">
        <f t="shared" si="235"/>
        <v>0.11072988814051168</v>
      </c>
      <c r="J1847" s="3"/>
    </row>
    <row r="1848" spans="2:10" x14ac:dyDescent="0.25">
      <c r="B1848" s="3">
        <f t="shared" si="231"/>
        <v>9140</v>
      </c>
      <c r="C1848" s="14">
        <f t="shared" si="232"/>
        <v>152.33333333333334</v>
      </c>
      <c r="D1848" s="11">
        <f t="shared" si="233"/>
        <v>1084.753198394596</v>
      </c>
      <c r="E1848" s="24">
        <f t="shared" si="234"/>
        <v>728.60494752491934</v>
      </c>
      <c r="F1848" s="38">
        <f t="shared" si="229"/>
        <v>0.29454479895341229</v>
      </c>
      <c r="G1848" s="14">
        <f t="shared" si="230"/>
        <v>0</v>
      </c>
      <c r="H1848" s="24">
        <f t="shared" si="236"/>
        <v>2049.9198912923976</v>
      </c>
      <c r="I1848" s="12">
        <f t="shared" si="235"/>
        <v>0.10993121832279623</v>
      </c>
      <c r="J1848" s="3"/>
    </row>
    <row r="1849" spans="2:10" x14ac:dyDescent="0.25">
      <c r="B1849" s="3">
        <f t="shared" si="231"/>
        <v>9145</v>
      </c>
      <c r="C1849" s="14">
        <f t="shared" si="232"/>
        <v>152.41666666666666</v>
      </c>
      <c r="D1849" s="11">
        <f t="shared" si="233"/>
        <v>1084.8350735858446</v>
      </c>
      <c r="E1849" s="24">
        <f t="shared" si="234"/>
        <v>728.71487874324214</v>
      </c>
      <c r="F1849" s="38">
        <f t="shared" si="229"/>
        <v>0.29220918326498868</v>
      </c>
      <c r="G1849" s="14">
        <f t="shared" si="230"/>
        <v>0</v>
      </c>
      <c r="H1849" s="24">
        <f t="shared" si="236"/>
        <v>2066.3048146018486</v>
      </c>
      <c r="I1849" s="12">
        <f t="shared" si="235"/>
        <v>0.10913142815952484</v>
      </c>
      <c r="J1849" s="3"/>
    </row>
    <row r="1850" spans="2:10" x14ac:dyDescent="0.25">
      <c r="B1850" s="3">
        <f t="shared" si="231"/>
        <v>9150</v>
      </c>
      <c r="C1850" s="14">
        <f t="shared" si="232"/>
        <v>152.5</v>
      </c>
      <c r="D1850" s="11">
        <f t="shared" si="233"/>
        <v>1084.9169040609843</v>
      </c>
      <c r="E1850" s="24">
        <f t="shared" si="234"/>
        <v>728.82401017140171</v>
      </c>
      <c r="F1850" s="38">
        <f t="shared" si="229"/>
        <v>0.28987286143356339</v>
      </c>
      <c r="G1850" s="14">
        <f t="shared" si="230"/>
        <v>0</v>
      </c>
      <c r="H1850" s="24">
        <f t="shared" si="236"/>
        <v>2082.9588505293891</v>
      </c>
      <c r="I1850" s="12">
        <f t="shared" si="235"/>
        <v>0.10833058032765684</v>
      </c>
      <c r="J1850" s="3"/>
    </row>
    <row r="1851" spans="2:10" x14ac:dyDescent="0.25">
      <c r="B1851" s="3">
        <f t="shared" si="231"/>
        <v>9155</v>
      </c>
      <c r="C1851" s="14">
        <f t="shared" si="232"/>
        <v>152.58333333333334</v>
      </c>
      <c r="D1851" s="11">
        <f t="shared" si="233"/>
        <v>1084.9986898688321</v>
      </c>
      <c r="E1851" s="24">
        <f t="shared" si="234"/>
        <v>728.93234075172938</v>
      </c>
      <c r="F1851" s="38">
        <f t="shared" si="229"/>
        <v>0.28753604434536123</v>
      </c>
      <c r="G1851" s="14">
        <f t="shared" si="230"/>
        <v>0</v>
      </c>
      <c r="H1851" s="24">
        <f t="shared" si="236"/>
        <v>2099.8871415442463</v>
      </c>
      <c r="I1851" s="12">
        <f t="shared" si="235"/>
        <v>0.10752873863138142</v>
      </c>
      <c r="J1851" s="3"/>
    </row>
    <row r="1852" spans="2:10" x14ac:dyDescent="0.25">
      <c r="B1852" s="3">
        <f t="shared" si="231"/>
        <v>9160</v>
      </c>
      <c r="C1852" s="14">
        <f t="shared" si="232"/>
        <v>152.66666666666666</v>
      </c>
      <c r="D1852" s="11">
        <f t="shared" si="233"/>
        <v>1085.0804310581243</v>
      </c>
      <c r="E1852" s="24">
        <f t="shared" si="234"/>
        <v>729.03986949036073</v>
      </c>
      <c r="F1852" s="38">
        <f t="shared" si="229"/>
        <v>0.28519894514539457</v>
      </c>
      <c r="G1852" s="14">
        <f t="shared" si="230"/>
        <v>0</v>
      </c>
      <c r="H1852" s="24">
        <f t="shared" si="236"/>
        <v>2117.0949350584242</v>
      </c>
      <c r="I1852" s="12">
        <f t="shared" si="235"/>
        <v>0.10672596798963602</v>
      </c>
      <c r="J1852" s="3"/>
    </row>
    <row r="1853" spans="2:10" x14ac:dyDescent="0.25">
      <c r="B1853" s="3">
        <f t="shared" si="231"/>
        <v>9165</v>
      </c>
      <c r="C1853" s="14">
        <f t="shared" si="232"/>
        <v>152.75</v>
      </c>
      <c r="D1853" s="11">
        <f t="shared" si="233"/>
        <v>1085.1621276775184</v>
      </c>
      <c r="E1853" s="24">
        <f t="shared" si="234"/>
        <v>729.14659545835036</v>
      </c>
      <c r="F1853" s="38">
        <f t="shared" si="229"/>
        <v>0.28286177916974864</v>
      </c>
      <c r="G1853" s="14">
        <f t="shared" si="230"/>
        <v>0</v>
      </c>
      <c r="H1853" s="24">
        <f t="shared" si="236"/>
        <v>2134.5875855817794</v>
      </c>
      <c r="I1853" s="12">
        <f t="shared" si="235"/>
        <v>0.10592233442235426</v>
      </c>
      <c r="J1853" s="3"/>
    </row>
    <row r="1854" spans="2:10" x14ac:dyDescent="0.25">
      <c r="B1854" s="3">
        <f t="shared" si="231"/>
        <v>9170</v>
      </c>
      <c r="C1854" s="14">
        <f t="shared" si="232"/>
        <v>152.83333333333334</v>
      </c>
      <c r="D1854" s="11">
        <f t="shared" si="233"/>
        <v>1085.2437797755917</v>
      </c>
      <c r="E1854" s="24">
        <f t="shared" si="234"/>
        <v>729.25251779277266</v>
      </c>
      <c r="F1854" s="38">
        <f t="shared" si="229"/>
        <v>0.2805247638749872</v>
      </c>
      <c r="G1854" s="14">
        <f t="shared" si="230"/>
        <v>0</v>
      </c>
      <c r="H1854" s="24">
        <f t="shared" si="236"/>
        <v>2152.3705569195099</v>
      </c>
      <c r="I1854" s="12">
        <f t="shared" si="235"/>
        <v>0.10511790503575517</v>
      </c>
      <c r="J1854" s="3"/>
    </row>
    <row r="1855" spans="2:10" x14ac:dyDescent="0.25">
      <c r="B1855" s="3">
        <f t="shared" si="231"/>
        <v>9175</v>
      </c>
      <c r="C1855" s="14">
        <f t="shared" si="232"/>
        <v>152.91666666666666</v>
      </c>
      <c r="D1855" s="11">
        <f t="shared" si="233"/>
        <v>1085.3253874008426</v>
      </c>
      <c r="E1855" s="24">
        <f t="shared" si="234"/>
        <v>729.3576356978084</v>
      </c>
      <c r="F1855" s="38">
        <f t="shared" si="229"/>
        <v>0.27818811876466726</v>
      </c>
      <c r="G1855" s="14">
        <f t="shared" si="230"/>
        <v>0</v>
      </c>
      <c r="H1855" s="24">
        <f t="shared" si="236"/>
        <v>2170.4494244130456</v>
      </c>
      <c r="I1855" s="12">
        <f t="shared" si="235"/>
        <v>0.10431274800628206</v>
      </c>
      <c r="J1855" s="3"/>
    </row>
    <row r="1856" spans="2:10" x14ac:dyDescent="0.25">
      <c r="B1856" s="3">
        <f t="shared" si="231"/>
        <v>9180</v>
      </c>
      <c r="C1856" s="14">
        <f t="shared" si="232"/>
        <v>153</v>
      </c>
      <c r="D1856" s="11">
        <f t="shared" si="233"/>
        <v>1085.4069506016901</v>
      </c>
      <c r="E1856" s="24">
        <f t="shared" si="234"/>
        <v>729.46194844581464</v>
      </c>
      <c r="F1856" s="38">
        <f t="shared" si="229"/>
        <v>0.27585206531301359</v>
      </c>
      <c r="G1856" s="14">
        <f t="shared" si="230"/>
        <v>0</v>
      </c>
      <c r="H1856" s="24">
        <f t="shared" si="236"/>
        <v>2188.8298772249054</v>
      </c>
      <c r="I1856" s="12">
        <f t="shared" si="235"/>
        <v>0.10350693256342487</v>
      </c>
      <c r="J1856" s="3"/>
    </row>
    <row r="1857" spans="2:10" x14ac:dyDescent="0.25">
      <c r="B1857" s="3">
        <f t="shared" si="231"/>
        <v>9185</v>
      </c>
      <c r="C1857" s="14">
        <f t="shared" si="232"/>
        <v>153.08333333333334</v>
      </c>
      <c r="D1857" s="11">
        <f t="shared" si="233"/>
        <v>1085.488469426474</v>
      </c>
      <c r="E1857" s="24">
        <f t="shared" si="234"/>
        <v>729.56545537837803</v>
      </c>
      <c r="F1857" s="38">
        <f t="shared" si="229"/>
        <v>0.27351682688574586</v>
      </c>
      <c r="G1857" s="14">
        <f t="shared" si="230"/>
        <v>0</v>
      </c>
      <c r="H1857" s="24">
        <f t="shared" si="236"/>
        <v>2207.5177206685648</v>
      </c>
      <c r="I1857" s="12">
        <f t="shared" si="235"/>
        <v>0.1027005289713637</v>
      </c>
      <c r="J1857" s="3"/>
    </row>
    <row r="1858" spans="2:10" x14ac:dyDescent="0.25">
      <c r="B1858" s="3">
        <f t="shared" si="231"/>
        <v>9190</v>
      </c>
      <c r="C1858" s="14">
        <f t="shared" si="232"/>
        <v>153.16666666666666</v>
      </c>
      <c r="D1858" s="11">
        <f t="shared" si="233"/>
        <v>1085.5699439234552</v>
      </c>
      <c r="E1858" s="24">
        <f t="shared" si="234"/>
        <v>729.66815590734939</v>
      </c>
      <c r="F1858" s="38">
        <f t="shared" si="229"/>
        <v>0.27118262865810966</v>
      </c>
      <c r="G1858" s="14">
        <f t="shared" si="230"/>
        <v>0</v>
      </c>
      <c r="H1858" s="24">
        <f t="shared" si="236"/>
        <v>2226.5188785840169</v>
      </c>
      <c r="I1858" s="12">
        <f t="shared" si="235"/>
        <v>0.10189360850933434</v>
      </c>
      <c r="J1858" s="3"/>
    </row>
    <row r="1859" spans="2:10" x14ac:dyDescent="0.25">
      <c r="B1859" s="3">
        <f t="shared" si="231"/>
        <v>9195</v>
      </c>
      <c r="C1859" s="14">
        <f t="shared" si="232"/>
        <v>153.25</v>
      </c>
      <c r="D1859" s="11">
        <f t="shared" si="233"/>
        <v>1085.6513741408164</v>
      </c>
      <c r="E1859" s="24">
        <f t="shared" si="234"/>
        <v>729.77004951585877</v>
      </c>
      <c r="F1859" s="38">
        <f t="shared" si="229"/>
        <v>0.26884969753013321</v>
      </c>
      <c r="G1859" s="14">
        <f t="shared" si="230"/>
        <v>0</v>
      </c>
      <c r="H1859" s="24">
        <f t="shared" si="236"/>
        <v>2245.8393957599519</v>
      </c>
      <c r="I1859" s="12">
        <f t="shared" si="235"/>
        <v>0.10108624345083987</v>
      </c>
      <c r="J1859" s="3"/>
    </row>
    <row r="1860" spans="2:10" x14ac:dyDescent="0.25">
      <c r="B1860" s="3">
        <f t="shared" si="231"/>
        <v>9200</v>
      </c>
      <c r="C1860" s="14">
        <f t="shared" si="232"/>
        <v>153.33333333333334</v>
      </c>
      <c r="D1860" s="11">
        <f t="shared" si="233"/>
        <v>1085.7327601266613</v>
      </c>
      <c r="E1860" s="24">
        <f t="shared" si="234"/>
        <v>729.8711357593096</v>
      </c>
      <c r="F1860" s="38">
        <f t="shared" si="229"/>
        <v>0.26651826203915541</v>
      </c>
      <c r="G1860" s="14">
        <f t="shared" si="230"/>
        <v>0</v>
      </c>
      <c r="H1860" s="24">
        <f t="shared" si="236"/>
        <v>2265.4854404033827</v>
      </c>
      <c r="I1860" s="12">
        <f t="shared" si="235"/>
        <v>0.1002785070416739</v>
      </c>
      <c r="J1860" s="3"/>
    </row>
    <row r="1861" spans="2:10" x14ac:dyDescent="0.25">
      <c r="B1861" s="3">
        <f t="shared" si="231"/>
        <v>9205</v>
      </c>
      <c r="C1861" s="14">
        <f t="shared" si="232"/>
        <v>153.41666666666666</v>
      </c>
      <c r="D1861" s="11">
        <f t="shared" si="233"/>
        <v>1085.8141019290156</v>
      </c>
      <c r="E1861" s="24">
        <f t="shared" si="234"/>
        <v>729.9714142663513</v>
      </c>
      <c r="F1861" s="38">
        <f t="shared" si="229"/>
        <v>0.26418855226965027</v>
      </c>
      <c r="G1861" s="14">
        <f t="shared" si="230"/>
        <v>0</v>
      </c>
      <c r="H1861" s="24">
        <f t="shared" si="236"/>
        <v>2285.4633066577553</v>
      </c>
      <c r="I1861" s="12">
        <f t="shared" si="235"/>
        <v>9.9470473476629809E-2</v>
      </c>
      <c r="J1861" s="3"/>
    </row>
    <row r="1862" spans="2:10" x14ac:dyDescent="0.25">
      <c r="B1862" s="3">
        <f t="shared" si="231"/>
        <v>9210</v>
      </c>
      <c r="C1862" s="14">
        <f t="shared" si="232"/>
        <v>153.5</v>
      </c>
      <c r="D1862" s="11">
        <f t="shared" si="233"/>
        <v>1085.8953995958263</v>
      </c>
      <c r="E1862" s="24">
        <f t="shared" si="234"/>
        <v>730.07088473982799</v>
      </c>
      <c r="F1862" s="38">
        <f t="shared" si="229"/>
        <v>0.26186079976043003</v>
      </c>
      <c r="G1862" s="14">
        <f t="shared" si="230"/>
        <v>0</v>
      </c>
      <c r="H1862" s="24">
        <f t="shared" si="236"/>
        <v>2305.7794171701748</v>
      </c>
      <c r="I1862" s="12">
        <f t="shared" si="235"/>
        <v>9.8662217875101516E-2</v>
      </c>
      <c r="J1862" s="3"/>
    </row>
    <row r="1863" spans="2:10" x14ac:dyDescent="0.25">
      <c r="B1863" s="3">
        <f t="shared" si="231"/>
        <v>9215</v>
      </c>
      <c r="C1863" s="14">
        <f t="shared" si="232"/>
        <v>153.58333333333334</v>
      </c>
      <c r="D1863" s="11">
        <f t="shared" si="233"/>
        <v>1085.9766531749635</v>
      </c>
      <c r="E1863" s="24">
        <f t="shared" si="234"/>
        <v>730.16954695770312</v>
      </c>
      <c r="F1863" s="38">
        <f t="shared" si="229"/>
        <v>0.25953523740924883</v>
      </c>
      <c r="G1863" s="14">
        <f t="shared" si="230"/>
        <v>0</v>
      </c>
      <c r="H1863" s="24">
        <f t="shared" si="236"/>
        <v>2326.4403257089407</v>
      </c>
      <c r="I1863" s="12">
        <f t="shared" si="235"/>
        <v>9.7853816255380338E-2</v>
      </c>
      <c r="J1863" s="3"/>
    </row>
    <row r="1864" spans="2:10" x14ac:dyDescent="0.25">
      <c r="B1864" s="3">
        <f t="shared" si="231"/>
        <v>9220</v>
      </c>
      <c r="C1864" s="14">
        <f t="shared" si="232"/>
        <v>153.66666666666666</v>
      </c>
      <c r="D1864" s="11">
        <f t="shared" si="233"/>
        <v>1086.0578627142181</v>
      </c>
      <c r="E1864" s="24">
        <f t="shared" si="234"/>
        <v>730.26740077395846</v>
      </c>
      <c r="F1864" s="38">
        <f t="shared" si="229"/>
        <v>0.25721209937488221</v>
      </c>
      <c r="G1864" s="14">
        <f t="shared" si="230"/>
        <v>0</v>
      </c>
      <c r="H1864" s="24">
        <f t="shared" si="236"/>
        <v>2347.4527198322107</v>
      </c>
      <c r="I1864" s="12">
        <f t="shared" si="235"/>
        <v>9.7045345507859052E-2</v>
      </c>
      <c r="J1864" s="3"/>
    </row>
    <row r="1865" spans="2:10" x14ac:dyDescent="0.25">
      <c r="B1865" s="3">
        <f t="shared" si="231"/>
        <v>9225</v>
      </c>
      <c r="C1865" s="14">
        <f t="shared" si="232"/>
        <v>153.75</v>
      </c>
      <c r="D1865" s="11">
        <f t="shared" si="233"/>
        <v>1086.139028261304</v>
      </c>
      <c r="E1865" s="24">
        <f t="shared" si="234"/>
        <v>730.36444611946627</v>
      </c>
      <c r="F1865" s="38">
        <f t="shared" si="229"/>
        <v>0.25489162097673973</v>
      </c>
      <c r="G1865" s="14">
        <f t="shared" si="230"/>
        <v>0</v>
      </c>
      <c r="H1865" s="24">
        <f t="shared" si="236"/>
        <v>2368.8234236088115</v>
      </c>
      <c r="I1865" s="12">
        <f t="shared" si="235"/>
        <v>9.6236883366870765E-2</v>
      </c>
      <c r="J1865" s="3"/>
    </row>
    <row r="1866" spans="2:10" x14ac:dyDescent="0.25">
      <c r="B1866" s="3">
        <f t="shared" si="231"/>
        <v>9230</v>
      </c>
      <c r="C1866" s="14">
        <f t="shared" si="232"/>
        <v>153.83333333333334</v>
      </c>
      <c r="D1866" s="11">
        <f t="shared" si="233"/>
        <v>1086.2201498638578</v>
      </c>
      <c r="E1866" s="24">
        <f t="shared" si="234"/>
        <v>730.46068300283309</v>
      </c>
      <c r="F1866" s="38">
        <f t="shared" si="229"/>
        <v>0.25257403859209276</v>
      </c>
      <c r="G1866" s="14">
        <f t="shared" si="230"/>
        <v>0</v>
      </c>
      <c r="H1866" s="24">
        <f t="shared" si="236"/>
        <v>2390.5594003920833</v>
      </c>
      <c r="I1866" s="12">
        <f t="shared" si="235"/>
        <v>9.5428508381480939E-2</v>
      </c>
      <c r="J1866" s="3"/>
    </row>
    <row r="1867" spans="2:10" x14ac:dyDescent="0.25">
      <c r="B1867" s="3">
        <f t="shared" si="231"/>
        <v>9235</v>
      </c>
      <c r="C1867" s="14">
        <f t="shared" si="232"/>
        <v>153.91666666666666</v>
      </c>
      <c r="D1867" s="11">
        <f t="shared" si="233"/>
        <v>1086.3012275694382</v>
      </c>
      <c r="E1867" s="24">
        <f t="shared" si="234"/>
        <v>730.55611151121457</v>
      </c>
      <c r="F1867" s="38">
        <f t="shared" si="229"/>
        <v>0.2502595895509781</v>
      </c>
      <c r="G1867" s="14">
        <f t="shared" si="230"/>
        <v>0</v>
      </c>
      <c r="H1867" s="24">
        <f t="shared" si="236"/>
        <v>2412.667755647888</v>
      </c>
      <c r="I1867" s="12">
        <f t="shared" si="235"/>
        <v>9.4620299885051357E-2</v>
      </c>
      <c r="J1867" s="3"/>
    </row>
    <row r="1868" spans="2:10" x14ac:dyDescent="0.25">
      <c r="B1868" s="3">
        <f t="shared" si="231"/>
        <v>9240</v>
      </c>
      <c r="C1868" s="14">
        <f t="shared" si="232"/>
        <v>154</v>
      </c>
      <c r="D1868" s="11">
        <f t="shared" si="233"/>
        <v>1086.3822614255273</v>
      </c>
      <c r="E1868" s="24">
        <f t="shared" si="234"/>
        <v>730.6507318110996</v>
      </c>
      <c r="F1868" s="38">
        <f t="shared" si="229"/>
        <v>0.24794851202886672</v>
      </c>
      <c r="G1868" s="14">
        <f t="shared" si="230"/>
        <v>0</v>
      </c>
      <c r="H1868" s="24">
        <f t="shared" si="236"/>
        <v>2435.1557398377336</v>
      </c>
      <c r="I1868" s="12">
        <f t="shared" si="235"/>
        <v>9.3812337963566403E-2</v>
      </c>
      <c r="J1868" s="3"/>
    </row>
    <row r="1869" spans="2:10" x14ac:dyDescent="0.25">
      <c r="B1869" s="3">
        <f t="shared" si="231"/>
        <v>9245</v>
      </c>
      <c r="C1869" s="14">
        <f t="shared" si="232"/>
        <v>154.08333333333334</v>
      </c>
      <c r="D1869" s="11">
        <f t="shared" si="233"/>
        <v>1086.4632514795298</v>
      </c>
      <c r="E1869" s="24">
        <f t="shared" si="234"/>
        <v>730.74454414906313</v>
      </c>
      <c r="F1869" s="38">
        <f t="shared" si="229"/>
        <v>0.24564104493717676</v>
      </c>
      <c r="G1869" s="14">
        <f t="shared" si="230"/>
        <v>0</v>
      </c>
      <c r="H1869" s="24">
        <f t="shared" si="236"/>
        <v>2458.030751358111</v>
      </c>
      <c r="I1869" s="12">
        <f t="shared" si="235"/>
        <v>9.3004703422930893E-2</v>
      </c>
      <c r="J1869" s="3"/>
    </row>
    <row r="1870" spans="2:10" x14ac:dyDescent="0.25">
      <c r="B1870" s="3">
        <f t="shared" si="231"/>
        <v>9250</v>
      </c>
      <c r="C1870" s="14">
        <f t="shared" si="232"/>
        <v>154.16666666666666</v>
      </c>
      <c r="D1870" s="11">
        <f t="shared" si="233"/>
        <v>1086.5441977787739</v>
      </c>
      <c r="E1870" s="24">
        <f t="shared" si="234"/>
        <v>730.83754885248607</v>
      </c>
      <c r="F1870" s="38">
        <f t="shared" si="229"/>
        <v>0.2433374278117251</v>
      </c>
      <c r="G1870" s="14">
        <f t="shared" si="230"/>
        <v>0</v>
      </c>
      <c r="H1870" s="24">
        <f t="shared" si="236"/>
        <v>2481.3003395371088</v>
      </c>
      <c r="I1870" s="12">
        <f t="shared" si="235"/>
        <v>9.2197477755009777E-2</v>
      </c>
      <c r="J1870" s="3"/>
    </row>
    <row r="1871" spans="2:10" x14ac:dyDescent="0.25">
      <c r="B1871" s="3">
        <f t="shared" si="231"/>
        <v>9255</v>
      </c>
      <c r="C1871" s="14">
        <f t="shared" si="232"/>
        <v>154.25</v>
      </c>
      <c r="D1871" s="11">
        <f t="shared" si="233"/>
        <v>1086.6251003705111</v>
      </c>
      <c r="E1871" s="24">
        <f t="shared" si="234"/>
        <v>730.92974633024107</v>
      </c>
      <c r="F1871" s="38">
        <f t="shared" si="229"/>
        <v>0.2410379006992196</v>
      </c>
      <c r="G1871" s="14">
        <f t="shared" si="230"/>
        <v>0</v>
      </c>
      <c r="H1871" s="24">
        <f t="shared" si="236"/>
        <v>2504.9722076893072</v>
      </c>
      <c r="I1871" s="12">
        <f t="shared" si="235"/>
        <v>9.1390743102622338E-2</v>
      </c>
      <c r="J1871" s="3"/>
    </row>
    <row r="1872" spans="2:10" x14ac:dyDescent="0.25">
      <c r="B1872" s="3">
        <f t="shared" si="231"/>
        <v>9260</v>
      </c>
      <c r="C1872" s="14">
        <f t="shared" si="232"/>
        <v>154.33333333333334</v>
      </c>
      <c r="D1872" s="11">
        <f t="shared" si="233"/>
        <v>1086.7059593019158</v>
      </c>
      <c r="E1872" s="24">
        <f t="shared" si="234"/>
        <v>731.02113707334365</v>
      </c>
      <c r="F1872" s="38">
        <f t="shared" si="229"/>
        <v>0.23874270404187833</v>
      </c>
      <c r="G1872" s="14">
        <f t="shared" si="230"/>
        <v>0</v>
      </c>
      <c r="H1872" s="24">
        <f t="shared" si="236"/>
        <v>2529.0542162302372</v>
      </c>
      <c r="I1872" s="12">
        <f t="shared" si="235"/>
        <v>9.0584582223448284E-2</v>
      </c>
      <c r="J1872" s="3"/>
    </row>
    <row r="1873" spans="2:10" x14ac:dyDescent="0.25">
      <c r="B1873" s="3">
        <f t="shared" si="231"/>
        <v>9265</v>
      </c>
      <c r="C1873" s="14">
        <f t="shared" si="232"/>
        <v>154.41666666666666</v>
      </c>
      <c r="D1873" s="11">
        <f t="shared" si="233"/>
        <v>1086.7867746200868</v>
      </c>
      <c r="E1873" s="24">
        <f t="shared" si="234"/>
        <v>731.11172165556707</v>
      </c>
      <c r="F1873" s="38">
        <f t="shared" si="229"/>
        <v>0.2364520785602893</v>
      </c>
      <c r="G1873" s="14">
        <f t="shared" si="230"/>
        <v>0</v>
      </c>
      <c r="H1873" s="24">
        <f t="shared" si="236"/>
        <v>2553.5543858514575</v>
      </c>
      <c r="I1873" s="12">
        <f t="shared" si="235"/>
        <v>8.9779078452770084E-2</v>
      </c>
      <c r="J1873" s="3"/>
    </row>
    <row r="1874" spans="2:10" x14ac:dyDescent="0.25">
      <c r="B1874" s="3">
        <f t="shared" si="231"/>
        <v>9270</v>
      </c>
      <c r="C1874" s="14">
        <f t="shared" si="232"/>
        <v>154.5</v>
      </c>
      <c r="D1874" s="11">
        <f t="shared" si="233"/>
        <v>1086.8675463720465</v>
      </c>
      <c r="E1874" s="24">
        <f t="shared" si="234"/>
        <v>731.20150073401987</v>
      </c>
      <c r="F1874" s="38">
        <f t="shared" si="229"/>
        <v>0.23416626513462613</v>
      </c>
      <c r="G1874" s="14">
        <f t="shared" si="230"/>
        <v>0</v>
      </c>
      <c r="H1874" s="24">
        <f t="shared" si="236"/>
        <v>2578.4809007573713</v>
      </c>
      <c r="I1874" s="12">
        <f t="shared" si="235"/>
        <v>8.8974315665311124E-2</v>
      </c>
      <c r="J1874" s="3"/>
    </row>
    <row r="1875" spans="2:10" x14ac:dyDescent="0.25">
      <c r="B1875" s="3">
        <f t="shared" si="231"/>
        <v>9275</v>
      </c>
      <c r="C1875" s="14">
        <f t="shared" si="232"/>
        <v>154.58333333333334</v>
      </c>
      <c r="D1875" s="11">
        <f t="shared" si="233"/>
        <v>1086.9482746047413</v>
      </c>
      <c r="E1875" s="24">
        <f t="shared" si="234"/>
        <v>731.29047504968514</v>
      </c>
      <c r="F1875" s="38">
        <f t="shared" si="229"/>
        <v>0.23188550468433175</v>
      </c>
      <c r="G1875" s="14">
        <f t="shared" si="230"/>
        <v>0</v>
      </c>
      <c r="H1875" s="24">
        <f t="shared" si="236"/>
        <v>2603.8421119649993</v>
      </c>
      <c r="I1875" s="12">
        <f t="shared" si="235"/>
        <v>8.8170378235939151E-2</v>
      </c>
      <c r="J1875" s="3"/>
    </row>
    <row r="1876" spans="2:10" x14ac:dyDescent="0.25">
      <c r="B1876" s="3">
        <f t="shared" si="231"/>
        <v>9280</v>
      </c>
      <c r="C1876" s="14">
        <f t="shared" si="232"/>
        <v>154.66666666666666</v>
      </c>
      <c r="D1876" s="11">
        <f t="shared" si="233"/>
        <v>1087.0289593650411</v>
      </c>
      <c r="E1876" s="24">
        <f t="shared" si="234"/>
        <v>731.37864542792113</v>
      </c>
      <c r="F1876" s="38">
        <f t="shared" ref="F1876:F1939" si="237">Cp*RhoP/(RhoA*H1876)*dp/1000*MassivP</f>
        <v>0.22961003804636929</v>
      </c>
      <c r="G1876" s="14">
        <f t="shared" ref="G1876:G1939" si="238">Phi*EpsilonF*Botzman/10^8*J1876*((D1876+273)^4-(E1876+273)^4)</f>
        <v>0</v>
      </c>
      <c r="H1876" s="24">
        <f t="shared" si="236"/>
        <v>2629.6465406681627</v>
      </c>
      <c r="I1876" s="12">
        <f t="shared" si="235"/>
        <v>8.7367350999472043E-2</v>
      </c>
      <c r="J1876" s="3"/>
    </row>
    <row r="1877" spans="2:10" x14ac:dyDescent="0.25">
      <c r="B1877" s="3">
        <f t="shared" ref="B1877:B1940" si="239">B1876+DeltaT</f>
        <v>9285</v>
      </c>
      <c r="C1877" s="14">
        <f t="shared" ref="C1877:C1940" si="240">B1877/60</f>
        <v>154.75</v>
      </c>
      <c r="D1877" s="11">
        <f t="shared" ref="D1877:D1940" si="241">20+345*LOG(8*C1877+1,10)</f>
        <v>1087.1096006997418</v>
      </c>
      <c r="E1877" s="24">
        <f t="shared" ref="E1877:E1940" si="242">E1876+IF(Limit=Oui,MAX(0,I1876),I1876)</f>
        <v>731.46601277892057</v>
      </c>
      <c r="F1877" s="38">
        <f t="shared" si="237"/>
        <v>0.22734010585221015</v>
      </c>
      <c r="G1877" s="14">
        <f t="shared" si="238"/>
        <v>0</v>
      </c>
      <c r="H1877" s="24">
        <f t="shared" si="236"/>
        <v>2655.9028816667997</v>
      </c>
      <c r="I1877" s="12">
        <f t="shared" ref="I1877:I1940" si="243">LambdaP*MassivP/(dp/1000)/(H1877*RhoA)/(1+F1877/3)*(D1877-E1877)*DeltaT-(EXP(F1877/10)-1)*(D1877-D1876)</f>
        <v>8.6565319209422828E-2</v>
      </c>
      <c r="J1877" s="3"/>
    </row>
    <row r="1878" spans="2:10" x14ac:dyDescent="0.25">
      <c r="B1878" s="3">
        <f t="shared" si="239"/>
        <v>9290</v>
      </c>
      <c r="C1878" s="14">
        <f t="shared" si="240"/>
        <v>154.83333333333334</v>
      </c>
      <c r="D1878" s="11">
        <f t="shared" si="241"/>
        <v>1087.190198655562</v>
      </c>
      <c r="E1878" s="24">
        <f t="shared" si="242"/>
        <v>731.55257809812997</v>
      </c>
      <c r="F1878" s="38">
        <f t="shared" si="237"/>
        <v>0.22507594840363046</v>
      </c>
      <c r="G1878" s="14">
        <f t="shared" si="238"/>
        <v>0</v>
      </c>
      <c r="H1878" s="24">
        <f t="shared" si="236"/>
        <v>2682.6200068633416</v>
      </c>
      <c r="I1878" s="12">
        <f t="shared" si="243"/>
        <v>8.5764368496025756E-2</v>
      </c>
      <c r="J1878" s="3"/>
    </row>
    <row r="1879" spans="2:10" x14ac:dyDescent="0.25">
      <c r="B1879" s="3">
        <f t="shared" si="239"/>
        <v>9295</v>
      </c>
      <c r="C1879" s="14">
        <f t="shared" si="240"/>
        <v>154.91666666666666</v>
      </c>
      <c r="D1879" s="11">
        <f t="shared" si="241"/>
        <v>1087.2707532791455</v>
      </c>
      <c r="E1879" s="24">
        <f t="shared" si="242"/>
        <v>731.638342466626</v>
      </c>
      <c r="F1879" s="38">
        <f t="shared" si="237"/>
        <v>0.22281780554749447</v>
      </c>
      <c r="G1879" s="14">
        <f t="shared" si="238"/>
        <v>0</v>
      </c>
      <c r="H1879" s="24">
        <f t="shared" si="236"/>
        <v>2709.8069688269111</v>
      </c>
      <c r="I1879" s="12">
        <f t="shared" si="243"/>
        <v>8.4964584823147074E-2</v>
      </c>
      <c r="J1879" s="3"/>
    </row>
    <row r="1880" spans="2:10" x14ac:dyDescent="0.25">
      <c r="B1880" s="3">
        <f t="shared" si="239"/>
        <v>9300</v>
      </c>
      <c r="C1880" s="14">
        <f t="shared" si="240"/>
        <v>155</v>
      </c>
      <c r="D1880" s="11">
        <f t="shared" si="241"/>
        <v>1087.3512646170616</v>
      </c>
      <c r="E1880" s="24">
        <f t="shared" si="242"/>
        <v>731.72330705144918</v>
      </c>
      <c r="F1880" s="38">
        <f t="shared" si="237"/>
        <v>0.22056591654963767</v>
      </c>
      <c r="G1880" s="14">
        <f t="shared" si="238"/>
        <v>0</v>
      </c>
      <c r="H1880" s="24">
        <f t="shared" si="236"/>
        <v>2737.4730044269481</v>
      </c>
      <c r="I1880" s="12">
        <f t="shared" si="243"/>
        <v>8.4166054444532928E-2</v>
      </c>
      <c r="J1880" s="3"/>
    </row>
    <row r="1881" spans="2:10" x14ac:dyDescent="0.25">
      <c r="B1881" s="3">
        <f t="shared" si="239"/>
        <v>9305</v>
      </c>
      <c r="C1881" s="14">
        <f t="shared" si="240"/>
        <v>155.08333333333334</v>
      </c>
      <c r="D1881" s="11">
        <f t="shared" si="241"/>
        <v>1087.4317327158039</v>
      </c>
      <c r="E1881" s="24">
        <f t="shared" si="242"/>
        <v>731.80747310589368</v>
      </c>
      <c r="F1881" s="38">
        <f t="shared" si="237"/>
        <v>0.21832051996799409</v>
      </c>
      <c r="G1881" s="14">
        <f t="shared" si="238"/>
        <v>0</v>
      </c>
      <c r="H1881" s="24">
        <f t="shared" si="236"/>
        <v>2765.6275385375438</v>
      </c>
      <c r="I1881" s="12">
        <f t="shared" si="243"/>
        <v>8.3368863859222639E-2</v>
      </c>
      <c r="J1881" s="3"/>
    </row>
    <row r="1882" spans="2:10" x14ac:dyDescent="0.25">
      <c r="B1882" s="3">
        <f t="shared" si="239"/>
        <v>9310</v>
      </c>
      <c r="C1882" s="14">
        <f t="shared" si="240"/>
        <v>155.16666666666666</v>
      </c>
      <c r="D1882" s="11">
        <f t="shared" si="241"/>
        <v>1087.5121576217909</v>
      </c>
      <c r="E1882" s="24">
        <f t="shared" si="242"/>
        <v>731.89084196975296</v>
      </c>
      <c r="F1882" s="38">
        <f t="shared" si="237"/>
        <v>0.21608185352509707</v>
      </c>
      <c r="G1882" s="14">
        <f t="shared" si="238"/>
        <v>0</v>
      </c>
      <c r="H1882" s="24">
        <f t="shared" si="236"/>
        <v>2794.2801878140676</v>
      </c>
      <c r="I1882" s="12">
        <f t="shared" si="243"/>
        <v>8.2573099766194091E-2</v>
      </c>
      <c r="J1882" s="3"/>
    </row>
    <row r="1883" spans="2:10" x14ac:dyDescent="0.25">
      <c r="B1883" s="3">
        <f t="shared" si="239"/>
        <v>9315</v>
      </c>
      <c r="C1883" s="14">
        <f t="shared" si="240"/>
        <v>155.25</v>
      </c>
      <c r="D1883" s="11">
        <f t="shared" si="241"/>
        <v>1087.5925393813673</v>
      </c>
      <c r="E1883" s="24">
        <f t="shared" si="242"/>
        <v>731.97341506951921</v>
      </c>
      <c r="F1883" s="38">
        <f t="shared" si="237"/>
        <v>0.21385015398013593</v>
      </c>
      <c r="G1883" s="14">
        <f t="shared" si="238"/>
        <v>0</v>
      </c>
      <c r="H1883" s="24">
        <f t="shared" si="236"/>
        <v>2823.4407645430319</v>
      </c>
      <c r="I1883" s="12">
        <f t="shared" si="243"/>
        <v>8.177884901827881E-2</v>
      </c>
      <c r="J1883" s="3"/>
    </row>
    <row r="1884" spans="2:10" x14ac:dyDescent="0.25">
      <c r="B1884" s="3">
        <f t="shared" si="239"/>
        <v>9320</v>
      </c>
      <c r="C1884" s="14">
        <f t="shared" si="240"/>
        <v>155.33333333333334</v>
      </c>
      <c r="D1884" s="11">
        <f t="shared" si="241"/>
        <v>1087.6728780408025</v>
      </c>
      <c r="E1884" s="24">
        <f t="shared" si="242"/>
        <v>732.0551939185375</v>
      </c>
      <c r="F1884" s="38">
        <f t="shared" si="237"/>
        <v>0.21162565700066996</v>
      </c>
      <c r="G1884" s="14">
        <f t="shared" si="238"/>
        <v>0</v>
      </c>
      <c r="H1884" s="24">
        <f t="shared" si="236"/>
        <v>2853.1192805672363</v>
      </c>
      <c r="I1884" s="12">
        <f t="shared" si="243"/>
        <v>8.0986198575531437E-2</v>
      </c>
      <c r="J1884" s="3"/>
    </row>
    <row r="1885" spans="2:10" x14ac:dyDescent="0.25">
      <c r="B1885" s="3">
        <f t="shared" si="239"/>
        <v>9325</v>
      </c>
      <c r="C1885" s="14">
        <f t="shared" si="240"/>
        <v>155.41666666666666</v>
      </c>
      <c r="D1885" s="11">
        <f t="shared" si="241"/>
        <v>1087.7531736462915</v>
      </c>
      <c r="E1885" s="24">
        <f t="shared" si="242"/>
        <v>732.13618011711299</v>
      </c>
      <c r="F1885" s="38">
        <f t="shared" si="237"/>
        <v>0.20940859703417938</v>
      </c>
      <c r="G1885" s="14">
        <f t="shared" si="238"/>
        <v>0</v>
      </c>
      <c r="H1885" s="24">
        <f t="shared" si="236"/>
        <v>2883.3259512873283</v>
      </c>
      <c r="I1885" s="12">
        <f t="shared" si="243"/>
        <v>8.0195235457894865E-2</v>
      </c>
      <c r="J1885" s="3"/>
    </row>
    <row r="1886" spans="2:10" x14ac:dyDescent="0.25">
      <c r="B1886" s="3">
        <f t="shared" si="239"/>
        <v>9330</v>
      </c>
      <c r="C1886" s="14">
        <f t="shared" si="240"/>
        <v>155.5</v>
      </c>
      <c r="D1886" s="11">
        <f t="shared" si="241"/>
        <v>1087.8334262439553</v>
      </c>
      <c r="E1886" s="24">
        <f t="shared" si="242"/>
        <v>732.21637535257094</v>
      </c>
      <c r="F1886" s="38">
        <f t="shared" si="237"/>
        <v>0.20719920717959611</v>
      </c>
      <c r="G1886" s="14">
        <f t="shared" si="238"/>
        <v>0</v>
      </c>
      <c r="H1886" s="24">
        <f t="shared" si="236"/>
        <v>2914.0711997414364</v>
      </c>
      <c r="I1886" s="12">
        <f t="shared" si="243"/>
        <v>7.9406046697336863E-2</v>
      </c>
      <c r="J1886" s="3"/>
    </row>
    <row r="1887" spans="2:10" x14ac:dyDescent="0.25">
      <c r="B1887" s="3">
        <f t="shared" si="239"/>
        <v>9335</v>
      </c>
      <c r="C1887" s="14">
        <f t="shared" si="240"/>
        <v>155.58333333333334</v>
      </c>
      <c r="D1887" s="11">
        <f t="shared" si="241"/>
        <v>1087.9136358798414</v>
      </c>
      <c r="E1887" s="24">
        <f t="shared" si="242"/>
        <v>732.29578139926832</v>
      </c>
      <c r="F1887" s="38">
        <f t="shared" si="237"/>
        <v>0.20499771905898712</v>
      </c>
      <c r="G1887" s="14">
        <f t="shared" si="238"/>
        <v>0</v>
      </c>
      <c r="H1887" s="24">
        <f t="shared" si="236"/>
        <v>2945.3656607641642</v>
      </c>
      <c r="I1887" s="12">
        <f t="shared" si="243"/>
        <v>7.8618719289517303E-2</v>
      </c>
      <c r="J1887" s="3"/>
    </row>
    <row r="1888" spans="2:10" x14ac:dyDescent="0.25">
      <c r="B1888" s="3">
        <f t="shared" si="239"/>
        <v>9340</v>
      </c>
      <c r="C1888" s="14">
        <f t="shared" si="240"/>
        <v>155.66666666666666</v>
      </c>
      <c r="D1888" s="11">
        <f t="shared" si="241"/>
        <v>1087.9938025999222</v>
      </c>
      <c r="E1888" s="24">
        <f t="shared" si="242"/>
        <v>732.37440011855779</v>
      </c>
      <c r="F1888" s="38">
        <f t="shared" si="237"/>
        <v>0.20280436268951282</v>
      </c>
      <c r="G1888" s="14">
        <f t="shared" si="238"/>
        <v>0</v>
      </c>
      <c r="H1888" s="24">
        <f t="shared" si="236"/>
        <v>2977.220185227025</v>
      </c>
      <c r="I1888" s="12">
        <f t="shared" si="243"/>
        <v>7.783334014506417E-2</v>
      </c>
      <c r="J1888" s="3"/>
    </row>
    <row r="1889" spans="2:10" x14ac:dyDescent="0.25">
      <c r="B1889" s="3">
        <f t="shared" si="239"/>
        <v>9345</v>
      </c>
      <c r="C1889" s="14">
        <f t="shared" si="240"/>
        <v>155.75</v>
      </c>
      <c r="D1889" s="11">
        <f t="shared" si="241"/>
        <v>1088.0739264500971</v>
      </c>
      <c r="E1889" s="24">
        <f t="shared" si="242"/>
        <v>732.45223345870284</v>
      </c>
      <c r="F1889" s="38">
        <f t="shared" si="237"/>
        <v>0.20061936635583608</v>
      </c>
      <c r="G1889" s="14">
        <f t="shared" si="238"/>
        <v>0</v>
      </c>
      <c r="H1889" s="24">
        <f t="shared" si="236"/>
        <v>3009.6458443617034</v>
      </c>
      <c r="I1889" s="12">
        <f t="shared" si="243"/>
        <v>7.7049996040303895E-2</v>
      </c>
      <c r="J1889" s="3"/>
    </row>
    <row r="1890" spans="2:10" x14ac:dyDescent="0.25">
      <c r="B1890" s="3">
        <f t="shared" si="239"/>
        <v>9350</v>
      </c>
      <c r="C1890" s="14">
        <f t="shared" si="240"/>
        <v>155.83333333333334</v>
      </c>
      <c r="D1890" s="11">
        <f t="shared" si="241"/>
        <v>1088.154007476192</v>
      </c>
      <c r="E1890" s="24">
        <f t="shared" si="242"/>
        <v>732.52928345474311</v>
      </c>
      <c r="F1890" s="38">
        <f t="shared" si="237"/>
        <v>0.19844295648316138</v>
      </c>
      <c r="G1890" s="14">
        <f t="shared" si="238"/>
        <v>0</v>
      </c>
      <c r="H1890" s="24">
        <f t="shared" si="236"/>
        <v>3042.6539341674952</v>
      </c>
      <c r="I1890" s="12">
        <f t="shared" si="243"/>
        <v>7.6268773567855164E-2</v>
      </c>
      <c r="J1890" s="3"/>
    </row>
    <row r="1891" spans="2:10" x14ac:dyDescent="0.25">
      <c r="B1891" s="3">
        <f t="shared" si="239"/>
        <v>9355</v>
      </c>
      <c r="C1891" s="14">
        <f t="shared" si="240"/>
        <v>155.91666666666666</v>
      </c>
      <c r="D1891" s="11">
        <f t="shared" si="241"/>
        <v>1088.2340457239586</v>
      </c>
      <c r="E1891" s="24">
        <f t="shared" si="242"/>
        <v>732.60555222831101</v>
      </c>
      <c r="F1891" s="38">
        <f t="shared" si="237"/>
        <v>0.19627535751102052</v>
      </c>
      <c r="G1891" s="14">
        <f t="shared" si="238"/>
        <v>0</v>
      </c>
      <c r="H1891" s="24">
        <f t="shared" si="236"/>
        <v>3076.2559799052624</v>
      </c>
      <c r="I1891" s="12">
        <f t="shared" si="243"/>
        <v>7.5489759086861383E-2</v>
      </c>
      <c r="J1891" s="3"/>
    </row>
    <row r="1892" spans="2:10" x14ac:dyDescent="0.25">
      <c r="B1892" s="3">
        <f t="shared" si="239"/>
        <v>9360</v>
      </c>
      <c r="C1892" s="14">
        <f t="shared" si="240"/>
        <v>156</v>
      </c>
      <c r="D1892" s="11">
        <f t="shared" si="241"/>
        <v>1088.3140412390767</v>
      </c>
      <c r="E1892" s="24">
        <f t="shared" si="242"/>
        <v>732.68104198739786</v>
      </c>
      <c r="F1892" s="38">
        <f t="shared" si="237"/>
        <v>0.19411679176800609</v>
      </c>
      <c r="G1892" s="14">
        <f t="shared" si="238"/>
        <v>0</v>
      </c>
      <c r="H1892" s="24">
        <f t="shared" si="236"/>
        <v>3110.4637406790071</v>
      </c>
      <c r="I1892" s="12">
        <f t="shared" si="243"/>
        <v>7.4713038673007867E-2</v>
      </c>
      <c r="J1892" s="3"/>
    </row>
    <row r="1893" spans="2:10" x14ac:dyDescent="0.25">
      <c r="B1893" s="3">
        <f t="shared" si="239"/>
        <v>9365</v>
      </c>
      <c r="C1893" s="14">
        <f t="shared" si="240"/>
        <v>156.08333333333334</v>
      </c>
      <c r="D1893" s="11">
        <f t="shared" si="241"/>
        <v>1088.3939940671512</v>
      </c>
      <c r="E1893" s="24">
        <f t="shared" si="242"/>
        <v>732.75575502607091</v>
      </c>
      <c r="F1893" s="38">
        <f t="shared" si="237"/>
        <v>0.19196747934756947</v>
      </c>
      <c r="G1893" s="14">
        <f t="shared" si="238"/>
        <v>0</v>
      </c>
      <c r="H1893" s="24">
        <f t="shared" si="236"/>
        <v>3145.289214107529</v>
      </c>
      <c r="I1893" s="12">
        <f t="shared" si="243"/>
        <v>7.3938698068503256E-2</v>
      </c>
      <c r="J1893" s="3"/>
    </row>
    <row r="1894" spans="2:10" x14ac:dyDescent="0.25">
      <c r="B1894" s="3">
        <f t="shared" si="239"/>
        <v>9370</v>
      </c>
      <c r="C1894" s="14">
        <f t="shared" si="240"/>
        <v>156.16666666666666</v>
      </c>
      <c r="D1894" s="11">
        <f t="shared" si="241"/>
        <v>1088.4739042537155</v>
      </c>
      <c r="E1894" s="24">
        <f t="shared" si="242"/>
        <v>732.82969372413947</v>
      </c>
      <c r="F1894" s="38">
        <f t="shared" si="237"/>
        <v>0.1898276379850887</v>
      </c>
      <c r="G1894" s="14">
        <f t="shared" si="238"/>
        <v>0</v>
      </c>
      <c r="H1894" s="24">
        <f t="shared" si="236"/>
        <v>3180.7446410872435</v>
      </c>
      <c r="I1894" s="12">
        <f t="shared" si="243"/>
        <v>7.3166822631815412E-2</v>
      </c>
      <c r="J1894" s="3"/>
    </row>
    <row r="1895" spans="2:10" x14ac:dyDescent="0.25">
      <c r="B1895" s="3">
        <f t="shared" si="239"/>
        <v>9375</v>
      </c>
      <c r="C1895" s="14">
        <f t="shared" si="240"/>
        <v>156.25</v>
      </c>
      <c r="D1895" s="11">
        <f t="shared" si="241"/>
        <v>1088.5537718442299</v>
      </c>
      <c r="E1895" s="24">
        <f t="shared" si="242"/>
        <v>732.90286054677131</v>
      </c>
      <c r="F1895" s="38">
        <f t="shared" si="237"/>
        <v>0.18769748293632693</v>
      </c>
      <c r="G1895" s="14">
        <f t="shared" si="238"/>
        <v>0</v>
      </c>
      <c r="H1895" s="24">
        <f t="shared" si="236"/>
        <v>3216.8425106486179</v>
      </c>
      <c r="I1895" s="12">
        <f t="shared" si="243"/>
        <v>7.2397497287581616E-2</v>
      </c>
      <c r="J1895" s="3"/>
    </row>
    <row r="1896" spans="2:10" x14ac:dyDescent="0.25">
      <c r="B1896" s="3">
        <f t="shared" si="239"/>
        <v>9380</v>
      </c>
      <c r="C1896" s="14">
        <f t="shared" si="240"/>
        <v>156.33333333333334</v>
      </c>
      <c r="D1896" s="11">
        <f t="shared" si="241"/>
        <v>1088.633596884081</v>
      </c>
      <c r="E1896" s="24">
        <f t="shared" si="242"/>
        <v>732.97525804405893</v>
      </c>
      <c r="F1896" s="38">
        <f t="shared" si="237"/>
        <v>0.1855772268574514</v>
      </c>
      <c r="G1896" s="14">
        <f t="shared" si="238"/>
        <v>0</v>
      </c>
      <c r="H1896" s="24">
        <f t="shared" si="236"/>
        <v>3253.5955649079492</v>
      </c>
      <c r="I1896" s="12">
        <f t="shared" si="243"/>
        <v>7.1630806476455006E-2</v>
      </c>
      <c r="J1896" s="3"/>
    </row>
    <row r="1897" spans="2:10" x14ac:dyDescent="0.25">
      <c r="B1897" s="3">
        <f t="shared" si="239"/>
        <v>9385</v>
      </c>
      <c r="C1897" s="14">
        <f t="shared" si="240"/>
        <v>156.41666666666666</v>
      </c>
      <c r="D1897" s="11">
        <f t="shared" si="241"/>
        <v>1088.7133794185841</v>
      </c>
      <c r="E1897" s="24">
        <f t="shared" si="242"/>
        <v>733.04688885053542</v>
      </c>
      <c r="F1897" s="38">
        <f t="shared" si="237"/>
        <v>0.18346707968677831</v>
      </c>
      <c r="G1897" s="14">
        <f t="shared" si="238"/>
        <v>0</v>
      </c>
      <c r="H1897" s="24">
        <f t="shared" si="236"/>
        <v>3291.0168041162369</v>
      </c>
      <c r="I1897" s="12">
        <f t="shared" si="243"/>
        <v>7.0866834105062657E-2</v>
      </c>
      <c r="J1897" s="3"/>
    </row>
    <row r="1898" spans="2:10" x14ac:dyDescent="0.25">
      <c r="B1898" s="3">
        <f t="shared" si="239"/>
        <v>9390</v>
      </c>
      <c r="C1898" s="14">
        <f t="shared" si="240"/>
        <v>156.5</v>
      </c>
      <c r="D1898" s="11">
        <f t="shared" si="241"/>
        <v>1088.7931194929818</v>
      </c>
      <c r="E1898" s="24">
        <f t="shared" si="242"/>
        <v>733.11775568464054</v>
      </c>
      <c r="F1898" s="38">
        <f t="shared" si="237"/>
        <v>0.18136724852838004</v>
      </c>
      <c r="G1898" s="14">
        <f t="shared" si="238"/>
        <v>0</v>
      </c>
      <c r="H1898" s="24">
        <f t="shared" si="236"/>
        <v>3329.1194918074725</v>
      </c>
      <c r="I1898" s="12">
        <f t="shared" si="243"/>
        <v>7.0105663496229667E-2</v>
      </c>
      <c r="J1898" s="3"/>
    </row>
    <row r="1899" spans="2:10" x14ac:dyDescent="0.25">
      <c r="B1899" s="3">
        <f t="shared" si="239"/>
        <v>9395</v>
      </c>
      <c r="C1899" s="14">
        <f t="shared" si="240"/>
        <v>156.58333333333334</v>
      </c>
      <c r="D1899" s="11">
        <f t="shared" si="241"/>
        <v>1088.872817152444</v>
      </c>
      <c r="E1899" s="24">
        <f t="shared" si="242"/>
        <v>733.18786134813672</v>
      </c>
      <c r="F1899" s="38">
        <f t="shared" si="237"/>
        <v>0.17927793753772184</v>
      </c>
      <c r="G1899" s="14">
        <f t="shared" si="238"/>
        <v>0</v>
      </c>
      <c r="H1899" s="24">
        <f t="shared" si="236"/>
        <v>3367.9171600480745</v>
      </c>
      <c r="I1899" s="12">
        <f t="shared" si="243"/>
        <v>6.9347377339407823E-2</v>
      </c>
      <c r="J1899" s="3"/>
    </row>
    <row r="1900" spans="2:10" x14ac:dyDescent="0.25">
      <c r="B1900" s="3">
        <f t="shared" si="239"/>
        <v>9400</v>
      </c>
      <c r="C1900" s="14">
        <f t="shared" si="240"/>
        <v>156.66666666666666</v>
      </c>
      <c r="D1900" s="11">
        <f t="shared" si="241"/>
        <v>1088.9524724420696</v>
      </c>
      <c r="E1900" s="24">
        <f t="shared" si="242"/>
        <v>733.25720872547618</v>
      </c>
      <c r="F1900" s="38">
        <f t="shared" si="237"/>
        <v>0.17719934780944929</v>
      </c>
      <c r="G1900" s="14">
        <f t="shared" si="238"/>
        <v>0</v>
      </c>
      <c r="H1900" s="24">
        <f t="shared" si="236"/>
        <v>3407.4236147900897</v>
      </c>
      <c r="I1900" s="12">
        <f t="shared" si="243"/>
        <v>6.8592057641364876E-2</v>
      </c>
      <c r="J1900" s="3"/>
    </row>
    <row r="1901" spans="2:10" x14ac:dyDescent="0.25">
      <c r="B1901" s="3">
        <f t="shared" si="239"/>
        <v>9405</v>
      </c>
      <c r="C1901" s="14">
        <f t="shared" si="240"/>
        <v>156.75</v>
      </c>
      <c r="D1901" s="11">
        <f t="shared" si="241"/>
        <v>1089.0320854068846</v>
      </c>
      <c r="E1901" s="24">
        <f t="shared" si="242"/>
        <v>733.32580078311753</v>
      </c>
      <c r="F1901" s="38">
        <f t="shared" si="237"/>
        <v>0.17513167726752868</v>
      </c>
      <c r="G1901" s="14">
        <f t="shared" si="238"/>
        <v>0</v>
      </c>
      <c r="H1901" s="24">
        <f t="shared" si="236"/>
        <v>3447.6529413292496</v>
      </c>
      <c r="I1901" s="12">
        <f t="shared" si="243"/>
        <v>6.7839785677392045E-2</v>
      </c>
      <c r="J1901" s="3"/>
    </row>
    <row r="1902" spans="2:10" x14ac:dyDescent="0.25">
      <c r="B1902" s="3">
        <f t="shared" si="239"/>
        <v>9410</v>
      </c>
      <c r="C1902" s="14">
        <f t="shared" si="240"/>
        <v>156.83333333333334</v>
      </c>
      <c r="D1902" s="11">
        <f t="shared" si="241"/>
        <v>1089.1116560918438</v>
      </c>
      <c r="E1902" s="24">
        <f t="shared" si="242"/>
        <v>733.39364056879492</v>
      </c>
      <c r="F1902" s="38">
        <f t="shared" si="237"/>
        <v>0.17307512055780533</v>
      </c>
      <c r="G1902" s="14">
        <f t="shared" si="238"/>
        <v>0</v>
      </c>
      <c r="H1902" s="24">
        <f t="shared" si="236"/>
        <v>3488.6195098714916</v>
      </c>
      <c r="I1902" s="12">
        <f t="shared" si="243"/>
        <v>6.7090641942796805E-2</v>
      </c>
      <c r="J1902" s="3"/>
    </row>
    <row r="1903" spans="2:10" x14ac:dyDescent="0.25">
      <c r="B1903" s="3">
        <f t="shared" si="239"/>
        <v>9415</v>
      </c>
      <c r="C1903" s="14">
        <f t="shared" si="240"/>
        <v>156.91666666666666</v>
      </c>
      <c r="D1903" s="11">
        <f t="shared" si="241"/>
        <v>1089.1911845418301</v>
      </c>
      <c r="E1903" s="24">
        <f t="shared" si="242"/>
        <v>733.46073121073766</v>
      </c>
      <c r="F1903" s="38">
        <f t="shared" si="237"/>
        <v>0.17102986894319153</v>
      </c>
      <c r="G1903" s="14">
        <f t="shared" si="238"/>
        <v>0</v>
      </c>
      <c r="H1903" s="24">
        <f t="shared" si="236"/>
        <v>3530.3379812088447</v>
      </c>
      <c r="I1903" s="12">
        <f t="shared" si="243"/>
        <v>6.634470610505043E-2</v>
      </c>
      <c r="J1903" s="3"/>
    </row>
    <row r="1904" spans="2:10" x14ac:dyDescent="0.25">
      <c r="B1904" s="3">
        <f t="shared" si="239"/>
        <v>9420</v>
      </c>
      <c r="C1904" s="14">
        <f t="shared" si="240"/>
        <v>157</v>
      </c>
      <c r="D1904" s="11">
        <f t="shared" si="241"/>
        <v>1089.2706708016553</v>
      </c>
      <c r="E1904" s="24">
        <f t="shared" si="242"/>
        <v>733.5270759168427</v>
      </c>
      <c r="F1904" s="38">
        <f t="shared" si="237"/>
        <v>0.16899611020156538</v>
      </c>
      <c r="G1904" s="14">
        <f t="shared" si="238"/>
        <v>0</v>
      </c>
      <c r="H1904" s="24">
        <f t="shared" si="236"/>
        <v>3572.8233125079782</v>
      </c>
      <c r="I1904" s="12">
        <f t="shared" si="243"/>
        <v>6.5602056956411775E-2</v>
      </c>
      <c r="J1904" s="3"/>
    </row>
    <row r="1905" spans="2:10" x14ac:dyDescent="0.25">
      <c r="B1905" s="3">
        <f t="shared" si="239"/>
        <v>9425</v>
      </c>
      <c r="C1905" s="14">
        <f t="shared" si="240"/>
        <v>157.08333333333334</v>
      </c>
      <c r="D1905" s="11">
        <f t="shared" si="241"/>
        <v>1089.35011491606</v>
      </c>
      <c r="E1905" s="24">
        <f t="shared" si="242"/>
        <v>733.59267797379914</v>
      </c>
      <c r="F1905" s="38">
        <f t="shared" si="237"/>
        <v>0.16697402852655338</v>
      </c>
      <c r="G1905" s="14">
        <f t="shared" si="238"/>
        <v>0</v>
      </c>
      <c r="H1905" s="24">
        <f t="shared" si="236"/>
        <v>3616.0907632129188</v>
      </c>
      <c r="I1905" s="12">
        <f t="shared" si="243"/>
        <v>6.4862772367252949E-2</v>
      </c>
      <c r="J1905" s="3"/>
    </row>
    <row r="1906" spans="2:10" x14ac:dyDescent="0.25">
      <c r="B1906" s="3">
        <f t="shared" si="239"/>
        <v>9430</v>
      </c>
      <c r="C1906" s="14">
        <f t="shared" si="240"/>
        <v>157.16666666666666</v>
      </c>
      <c r="D1906" s="11">
        <f t="shared" si="241"/>
        <v>1089.4295169297127</v>
      </c>
      <c r="E1906" s="24">
        <f t="shared" si="242"/>
        <v>733.65754074616643</v>
      </c>
      <c r="F1906" s="38">
        <f t="shared" si="237"/>
        <v>0.16496380443129133</v>
      </c>
      <c r="G1906" s="14">
        <f t="shared" si="238"/>
        <v>0</v>
      </c>
      <c r="H1906" s="24">
        <f t="shared" si="236"/>
        <v>3660.1559010649789</v>
      </c>
      <c r="I1906" s="12">
        <f t="shared" si="243"/>
        <v>6.4126929240079691E-2</v>
      </c>
      <c r="J1906" s="3"/>
    </row>
    <row r="1907" spans="2:10" x14ac:dyDescent="0.25">
      <c r="B1907" s="3">
        <f t="shared" si="239"/>
        <v>9435</v>
      </c>
      <c r="C1907" s="14">
        <f t="shared" si="240"/>
        <v>157.25</v>
      </c>
      <c r="D1907" s="11">
        <f t="shared" si="241"/>
        <v>1089.5088768872124</v>
      </c>
      <c r="E1907" s="24">
        <f t="shared" si="242"/>
        <v>733.72166767540648</v>
      </c>
      <c r="F1907" s="38">
        <f t="shared" si="237"/>
        <v>0.16296561465530268</v>
      </c>
      <c r="G1907" s="14">
        <f t="shared" si="238"/>
        <v>0</v>
      </c>
      <c r="H1907" s="24">
        <f t="shared" si="236"/>
        <v>3705.0346082419637</v>
      </c>
      <c r="I1907" s="12">
        <f t="shared" si="243"/>
        <v>6.3394603464265148E-2</v>
      </c>
      <c r="J1907" s="3"/>
    </row>
    <row r="1908" spans="2:10" x14ac:dyDescent="0.25">
      <c r="B1908" s="3">
        <f t="shared" si="239"/>
        <v>9440</v>
      </c>
      <c r="C1908" s="14">
        <f t="shared" si="240"/>
        <v>157.33333333333334</v>
      </c>
      <c r="D1908" s="11">
        <f t="shared" si="241"/>
        <v>1089.5881948330864</v>
      </c>
      <c r="E1908" s="24">
        <f t="shared" si="242"/>
        <v>733.78506227887078</v>
      </c>
      <c r="F1908" s="38">
        <f t="shared" si="237"/>
        <v>0.16097963207459612</v>
      </c>
      <c r="G1908" s="14">
        <f t="shared" si="238"/>
        <v>0</v>
      </c>
      <c r="H1908" s="24">
        <f t="shared" si="236"/>
        <v>3750.7430876194899</v>
      </c>
      <c r="I1908" s="12">
        <f t="shared" si="243"/>
        <v>6.2665869871717961E-2</v>
      </c>
      <c r="J1908" s="3"/>
    </row>
    <row r="1909" spans="2:10" x14ac:dyDescent="0.25">
      <c r="B1909" s="3">
        <f t="shared" si="239"/>
        <v>9445</v>
      </c>
      <c r="C1909" s="14">
        <f t="shared" si="240"/>
        <v>157.41666666666666</v>
      </c>
      <c r="D1909" s="11">
        <f t="shared" si="241"/>
        <v>1089.6674708117912</v>
      </c>
      <c r="E1909" s="24">
        <f t="shared" si="242"/>
        <v>733.84772814874248</v>
      </c>
      <c r="F1909" s="38">
        <f t="shared" si="237"/>
        <v>0.15900602561512711</v>
      </c>
      <c r="G1909" s="14">
        <f t="shared" si="238"/>
        <v>0</v>
      </c>
      <c r="H1909" s="24">
        <f t="shared" si="236"/>
        <v>3797.2978691562112</v>
      </c>
      <c r="I1909" s="12">
        <f t="shared" si="243"/>
        <v>6.1940802193337655E-2</v>
      </c>
      <c r="J1909" s="3"/>
    </row>
    <row r="1910" spans="2:10" x14ac:dyDescent="0.25">
      <c r="B1910" s="3">
        <f t="shared" si="239"/>
        <v>9450</v>
      </c>
      <c r="C1910" s="14">
        <f t="shared" si="240"/>
        <v>157.5</v>
      </c>
      <c r="D1910" s="11">
        <f t="shared" si="241"/>
        <v>1089.7467048677131</v>
      </c>
      <c r="E1910" s="24">
        <f t="shared" si="242"/>
        <v>733.90966895093584</v>
      </c>
      <c r="F1910" s="38">
        <f t="shared" si="237"/>
        <v>0.15704496016967431</v>
      </c>
      <c r="G1910" s="14">
        <f t="shared" si="238"/>
        <v>0</v>
      </c>
      <c r="H1910" s="24">
        <f t="shared" si="236"/>
        <v>3844.7158164067832</v>
      </c>
      <c r="I1910" s="12">
        <f t="shared" si="243"/>
        <v>6.1219473016459046E-2</v>
      </c>
      <c r="J1910" s="3"/>
    </row>
    <row r="1911" spans="2:10" x14ac:dyDescent="0.25">
      <c r="B1911" s="3">
        <f t="shared" si="239"/>
        <v>9455</v>
      </c>
      <c r="C1911" s="14">
        <f t="shared" si="240"/>
        <v>157.58333333333334</v>
      </c>
      <c r="D1911" s="11">
        <f t="shared" si="241"/>
        <v>1089.8258970451679</v>
      </c>
      <c r="E1911" s="24">
        <f t="shared" si="242"/>
        <v>733.97088842395226</v>
      </c>
      <c r="F1911" s="38">
        <f t="shared" si="237"/>
        <v>0.15509659651829283</v>
      </c>
      <c r="G1911" s="14">
        <f t="shared" si="238"/>
        <v>0</v>
      </c>
      <c r="H1911" s="24">
        <f t="shared" ref="H1911:H1974" si="244">IF(E1911&lt;600,425+0.773*E1911-1.69/1000*E1911^2+2.22/1000^2*E1911^3,IF(E1911&lt;735,666+13002/(738-E1911),IF(E1911&lt;900,545+17820/(E1911-731),650)))</f>
        <v>3893.0141331638179</v>
      </c>
      <c r="I1911" s="12">
        <f t="shared" si="243"/>
        <v>6.0501953743314664E-2</v>
      </c>
      <c r="J1911" s="3"/>
    </row>
    <row r="1912" spans="2:10" x14ac:dyDescent="0.25">
      <c r="B1912" s="3">
        <f t="shared" si="239"/>
        <v>9460</v>
      </c>
      <c r="C1912" s="14">
        <f t="shared" si="240"/>
        <v>157.66666666666666</v>
      </c>
      <c r="D1912" s="11">
        <f t="shared" si="241"/>
        <v>1089.9050473884015</v>
      </c>
      <c r="E1912" s="24">
        <f t="shared" si="242"/>
        <v>734.03139037769563</v>
      </c>
      <c r="F1912" s="38">
        <f t="shared" si="237"/>
        <v>0.15316109125237662</v>
      </c>
      <c r="G1912" s="14">
        <f t="shared" si="238"/>
        <v>0</v>
      </c>
      <c r="H1912" s="24">
        <f t="shared" si="244"/>
        <v>3942.2103702329878</v>
      </c>
      <c r="I1912" s="12">
        <f t="shared" si="243"/>
        <v>5.9788314550523115E-2</v>
      </c>
      <c r="J1912" s="3"/>
    </row>
    <row r="1913" spans="2:10" x14ac:dyDescent="0.25">
      <c r="B1913" s="3">
        <f t="shared" si="239"/>
        <v>9465</v>
      </c>
      <c r="C1913" s="14">
        <f t="shared" si="240"/>
        <v>157.75</v>
      </c>
      <c r="D1913" s="11">
        <f t="shared" si="241"/>
        <v>1089.9841559415891</v>
      </c>
      <c r="E1913" s="24">
        <f t="shared" si="242"/>
        <v>734.0911786922461</v>
      </c>
      <c r="F1913" s="38">
        <f t="shared" si="237"/>
        <v>0.15123859670248349</v>
      </c>
      <c r="G1913" s="14">
        <f t="shared" si="238"/>
        <v>0</v>
      </c>
      <c r="H1913" s="24">
        <f t="shared" si="244"/>
        <v>3992.3224323424661</v>
      </c>
      <c r="I1913" s="12">
        <f t="shared" si="243"/>
        <v>5.9078624349727757E-2</v>
      </c>
      <c r="J1913" s="3"/>
    </row>
    <row r="1914" spans="2:10" x14ac:dyDescent="0.25">
      <c r="B1914" s="3">
        <f t="shared" si="239"/>
        <v>9470</v>
      </c>
      <c r="C1914" s="14">
        <f t="shared" si="240"/>
        <v>157.83333333333334</v>
      </c>
      <c r="D1914" s="11">
        <f t="shared" si="241"/>
        <v>1090.0632227488363</v>
      </c>
      <c r="E1914" s="24">
        <f t="shared" si="242"/>
        <v>734.1502573165958</v>
      </c>
      <c r="F1914" s="38">
        <f t="shared" si="237"/>
        <v>0.14932926086992646</v>
      </c>
      <c r="G1914" s="14">
        <f t="shared" si="238"/>
        <v>0</v>
      </c>
      <c r="H1914" s="24">
        <f t="shared" si="244"/>
        <v>4043.3685851914538</v>
      </c>
      <c r="I1914" s="12">
        <f t="shared" si="243"/>
        <v>5.8372950749348243E-2</v>
      </c>
      <c r="J1914" s="3"/>
    </row>
    <row r="1915" spans="2:10" x14ac:dyDescent="0.25">
      <c r="B1915" s="3">
        <f t="shared" si="239"/>
        <v>9475</v>
      </c>
      <c r="C1915" s="14">
        <f t="shared" si="240"/>
        <v>157.91666666666666</v>
      </c>
      <c r="D1915" s="11">
        <f t="shared" si="241"/>
        <v>1090.142247854179</v>
      </c>
      <c r="E1915" s="24">
        <f t="shared" si="242"/>
        <v>734.20863026734514</v>
      </c>
      <c r="F1915" s="38">
        <f t="shared" si="237"/>
        <v>0.14743322736228373</v>
      </c>
      <c r="G1915" s="14">
        <f t="shared" si="238"/>
        <v>0</v>
      </c>
      <c r="H1915" s="24">
        <f t="shared" si="244"/>
        <v>4095.3674626387647</v>
      </c>
      <c r="I1915" s="12">
        <f t="shared" si="243"/>
        <v>5.7671360017600641E-2</v>
      </c>
      <c r="J1915" s="3"/>
    </row>
    <row r="1916" spans="2:10" x14ac:dyDescent="0.25">
      <c r="B1916" s="3">
        <f t="shared" si="239"/>
        <v>9480</v>
      </c>
      <c r="C1916" s="14">
        <f t="shared" si="240"/>
        <v>158</v>
      </c>
      <c r="D1916" s="11">
        <f t="shared" si="241"/>
        <v>1090.2212313015837</v>
      </c>
      <c r="E1916" s="24">
        <f t="shared" si="242"/>
        <v>734.26630162736274</v>
      </c>
      <c r="F1916" s="38">
        <f t="shared" si="237"/>
        <v>0.14555063533284221</v>
      </c>
      <c r="G1916" s="14">
        <f t="shared" si="238"/>
        <v>0</v>
      </c>
      <c r="H1916" s="24">
        <f t="shared" si="244"/>
        <v>4148.3380740357334</v>
      </c>
      <c r="I1916" s="12">
        <f t="shared" si="243"/>
        <v>5.6973917046729487E-2</v>
      </c>
      <c r="J1916" s="3"/>
    </row>
    <row r="1917" spans="2:10" x14ac:dyDescent="0.25">
      <c r="B1917" s="3">
        <f t="shared" si="239"/>
        <v>9485</v>
      </c>
      <c r="C1917" s="14">
        <f t="shared" si="240"/>
        <v>158.08333333333334</v>
      </c>
      <c r="D1917" s="11">
        <f t="shared" si="241"/>
        <v>1090.3001731349464</v>
      </c>
      <c r="E1917" s="24">
        <f t="shared" si="242"/>
        <v>734.32327554440951</v>
      </c>
      <c r="F1917" s="38">
        <f t="shared" si="237"/>
        <v>0.14368161942405039</v>
      </c>
      <c r="G1917" s="14">
        <f t="shared" si="238"/>
        <v>0</v>
      </c>
      <c r="H1917" s="24">
        <f t="shared" si="244"/>
        <v>4202.2998117061397</v>
      </c>
      <c r="I1917" s="12">
        <f t="shared" si="243"/>
        <v>5.6280685318598096E-2</v>
      </c>
      <c r="J1917" s="3"/>
    </row>
    <row r="1918" spans="2:10" x14ac:dyDescent="0.25">
      <c r="B1918" s="3">
        <f t="shared" si="239"/>
        <v>9490</v>
      </c>
      <c r="C1918" s="14">
        <f t="shared" si="240"/>
        <v>158.16666666666666</v>
      </c>
      <c r="D1918" s="11">
        <f t="shared" si="241"/>
        <v>1090.3790733980948</v>
      </c>
      <c r="E1918" s="24">
        <f t="shared" si="242"/>
        <v>734.37955622972811</v>
      </c>
      <c r="F1918" s="38">
        <f t="shared" si="237"/>
        <v>0.14182630971504703</v>
      </c>
      <c r="G1918" s="14">
        <f t="shared" si="238"/>
        <v>0</v>
      </c>
      <c r="H1918" s="24">
        <f t="shared" si="244"/>
        <v>4257.2724585758633</v>
      </c>
      <c r="I1918" s="12">
        <f t="shared" si="243"/>
        <v>5.5591726871547037E-2</v>
      </c>
      <c r="J1918" s="3"/>
    </row>
    <row r="1919" spans="2:10" x14ac:dyDescent="0.25">
      <c r="B1919" s="3">
        <f t="shared" si="239"/>
        <v>9495</v>
      </c>
      <c r="C1919" s="14">
        <f t="shared" si="240"/>
        <v>158.25</v>
      </c>
      <c r="D1919" s="11">
        <f t="shared" si="241"/>
        <v>1090.4579321347871</v>
      </c>
      <c r="E1919" s="24">
        <f t="shared" si="242"/>
        <v>734.43514795659962</v>
      </c>
      <c r="F1919" s="38">
        <f t="shared" si="237"/>
        <v>0.13998483167328621</v>
      </c>
      <c r="G1919" s="14">
        <f t="shared" si="238"/>
        <v>0</v>
      </c>
      <c r="H1919" s="24">
        <f t="shared" si="244"/>
        <v>4313.276195956194</v>
      </c>
      <c r="I1919" s="12">
        <f t="shared" si="243"/>
        <v>5.4907102268726637E-2</v>
      </c>
      <c r="J1919" s="3"/>
    </row>
    <row r="1920" spans="2:10" x14ac:dyDescent="0.25">
      <c r="B1920" s="3">
        <f t="shared" si="239"/>
        <v>9500</v>
      </c>
      <c r="C1920" s="14">
        <f t="shared" si="240"/>
        <v>158.33333333333334</v>
      </c>
      <c r="D1920" s="11">
        <f t="shared" si="241"/>
        <v>1090.5367493887125</v>
      </c>
      <c r="E1920" s="24">
        <f t="shared" si="242"/>
        <v>734.49005505886839</v>
      </c>
      <c r="F1920" s="38">
        <f t="shared" si="237"/>
        <v>0.13815730611032045</v>
      </c>
      <c r="G1920" s="14">
        <f t="shared" si="238"/>
        <v>0</v>
      </c>
      <c r="H1920" s="24">
        <f t="shared" si="244"/>
        <v>4370.3316114833851</v>
      </c>
      <c r="I1920" s="12">
        <f t="shared" si="243"/>
        <v>5.4226870567800026E-2</v>
      </c>
      <c r="J1920" s="3"/>
    </row>
    <row r="1921" spans="2:10" x14ac:dyDescent="0.25">
      <c r="B1921" s="3">
        <f t="shared" si="239"/>
        <v>9505</v>
      </c>
      <c r="C1921" s="14">
        <f t="shared" si="240"/>
        <v>158.41666666666666</v>
      </c>
      <c r="D1921" s="11">
        <f t="shared" si="241"/>
        <v>1090.6155252034905</v>
      </c>
      <c r="E1921" s="24">
        <f t="shared" si="242"/>
        <v>734.54428192943624</v>
      </c>
      <c r="F1921" s="38">
        <f t="shared" si="237"/>
        <v>0.13634384914177744</v>
      </c>
      <c r="G1921" s="14">
        <f t="shared" si="238"/>
        <v>0</v>
      </c>
      <c r="H1921" s="24">
        <f t="shared" si="244"/>
        <v>4428.4597072176284</v>
      </c>
      <c r="I1921" s="12">
        <f t="shared" si="243"/>
        <v>5.3551089292119131E-2</v>
      </c>
      <c r="J1921" s="3"/>
    </row>
    <row r="1922" spans="2:10" x14ac:dyDescent="0.25">
      <c r="B1922" s="3">
        <f t="shared" si="239"/>
        <v>9510</v>
      </c>
      <c r="C1922" s="14">
        <f t="shared" si="240"/>
        <v>158.5</v>
      </c>
      <c r="D1922" s="11">
        <f t="shared" si="241"/>
        <v>1090.6942596226731</v>
      </c>
      <c r="E1922" s="24">
        <f t="shared" si="242"/>
        <v>734.59783301872835</v>
      </c>
      <c r="F1922" s="38">
        <f t="shared" si="237"/>
        <v>0.1345445721515269</v>
      </c>
      <c r="G1922" s="14">
        <f t="shared" si="238"/>
        <v>0</v>
      </c>
      <c r="H1922" s="24">
        <f t="shared" si="244"/>
        <v>4487.6819079056977</v>
      </c>
      <c r="I1922" s="12">
        <f t="shared" si="243"/>
        <v>5.287981440337601E-2</v>
      </c>
      <c r="J1922" s="3"/>
    </row>
    <row r="1923" spans="2:10" x14ac:dyDescent="0.25">
      <c r="B1923" s="3">
        <f t="shared" si="239"/>
        <v>9515</v>
      </c>
      <c r="C1923" s="14">
        <f t="shared" si="240"/>
        <v>158.58333333333334</v>
      </c>
      <c r="D1923" s="11">
        <f t="shared" si="241"/>
        <v>1090.7729526897429</v>
      </c>
      <c r="E1923" s="24">
        <f t="shared" si="242"/>
        <v>734.65071283313171</v>
      </c>
      <c r="F1923" s="38">
        <f t="shared" si="237"/>
        <v>0.13275958176008035</v>
      </c>
      <c r="G1923" s="14">
        <f t="shared" si="238"/>
        <v>0</v>
      </c>
      <c r="H1923" s="24">
        <f t="shared" si="244"/>
        <v>4548.0200694099767</v>
      </c>
      <c r="I1923" s="12">
        <f t="shared" si="243"/>
        <v>5.2213100275822745E-2</v>
      </c>
      <c r="J1923" s="3"/>
    </row>
    <row r="1924" spans="2:10" x14ac:dyDescent="0.25">
      <c r="B1924" s="3">
        <f t="shared" si="239"/>
        <v>9520</v>
      </c>
      <c r="C1924" s="14">
        <f t="shared" si="240"/>
        <v>158.66666666666666</v>
      </c>
      <c r="D1924" s="11">
        <f t="shared" si="241"/>
        <v>1090.8516044481139</v>
      </c>
      <c r="E1924" s="24">
        <f t="shared" si="242"/>
        <v>734.70292593340753</v>
      </c>
      <c r="F1924" s="38">
        <f t="shared" si="237"/>
        <v>0.13098897979722962</v>
      </c>
      <c r="G1924" s="14">
        <f t="shared" si="238"/>
        <v>0</v>
      </c>
      <c r="H1924" s="24">
        <f t="shared" si="244"/>
        <v>4609.4964873074787</v>
      </c>
      <c r="I1924" s="12">
        <f t="shared" si="243"/>
        <v>5.1550999671970105E-2</v>
      </c>
      <c r="J1924" s="3"/>
    </row>
    <row r="1925" spans="2:10" x14ac:dyDescent="0.25">
      <c r="B1925" s="3">
        <f t="shared" si="239"/>
        <v>9525</v>
      </c>
      <c r="C1925" s="14">
        <f t="shared" si="240"/>
        <v>158.75</v>
      </c>
      <c r="D1925" s="11">
        <f t="shared" si="241"/>
        <v>1090.9302149411328</v>
      </c>
      <c r="E1925" s="24">
        <f t="shared" si="242"/>
        <v>734.75447693307945</v>
      </c>
      <c r="F1925" s="38">
        <f t="shared" si="237"/>
        <v>0.12923286327892833</v>
      </c>
      <c r="G1925" s="14">
        <f t="shared" si="238"/>
        <v>0</v>
      </c>
      <c r="H1925" s="24">
        <f t="shared" si="244"/>
        <v>4672.1339056624456</v>
      </c>
      <c r="I1925" s="12">
        <f t="shared" si="243"/>
        <v>5.0893563719901072E-2</v>
      </c>
      <c r="J1925" s="3"/>
    </row>
    <row r="1926" spans="2:10" x14ac:dyDescent="0.25">
      <c r="B1926" s="3">
        <f t="shared" si="239"/>
        <v>9530</v>
      </c>
      <c r="C1926" s="14">
        <f t="shared" si="240"/>
        <v>158.83333333333334</v>
      </c>
      <c r="D1926" s="11">
        <f t="shared" si="241"/>
        <v>1091.0087842120765</v>
      </c>
      <c r="E1926" s="24">
        <f t="shared" si="242"/>
        <v>734.80537049679936</v>
      </c>
      <c r="F1926" s="38">
        <f t="shared" si="237"/>
        <v>0.12749132438839486</v>
      </c>
      <c r="G1926" s="14">
        <f t="shared" si="238"/>
        <v>0</v>
      </c>
      <c r="H1926" s="24">
        <f t="shared" si="244"/>
        <v>4735.9555259768058</v>
      </c>
      <c r="I1926" s="12">
        <f t="shared" si="243"/>
        <v>5.0240841892187763E-2</v>
      </c>
      <c r="J1926" s="3"/>
    </row>
    <row r="1927" spans="2:10" x14ac:dyDescent="0.25">
      <c r="B1927" s="3">
        <f t="shared" si="239"/>
        <v>9535</v>
      </c>
      <c r="C1927" s="14">
        <f t="shared" si="240"/>
        <v>158.91666666666666</v>
      </c>
      <c r="D1927" s="11">
        <f t="shared" si="241"/>
        <v>1091.0873123041554</v>
      </c>
      <c r="E1927" s="24">
        <f t="shared" si="242"/>
        <v>734.85561133869157</v>
      </c>
      <c r="F1927" s="38">
        <f t="shared" si="237"/>
        <v>0.12576445046146117</v>
      </c>
      <c r="G1927" s="14">
        <f t="shared" si="238"/>
        <v>0</v>
      </c>
      <c r="H1927" s="24">
        <f t="shared" si="244"/>
        <v>4800.9850163210031</v>
      </c>
      <c r="I1927" s="12">
        <f t="shared" si="243"/>
        <v>4.9592881986333166E-2</v>
      </c>
      <c r="J1927" s="3"/>
    </row>
    <row r="1928" spans="2:10" x14ac:dyDescent="0.25">
      <c r="B1928" s="3">
        <f t="shared" si="239"/>
        <v>9540</v>
      </c>
      <c r="C1928" s="14">
        <f t="shared" si="240"/>
        <v>159</v>
      </c>
      <c r="D1928" s="11">
        <f t="shared" si="241"/>
        <v>1091.165799260511</v>
      </c>
      <c r="E1928" s="24">
        <f t="shared" si="242"/>
        <v>734.90520422067789</v>
      </c>
      <c r="F1928" s="38">
        <f t="shared" si="237"/>
        <v>0.12405232397611521</v>
      </c>
      <c r="G1928" s="14">
        <f t="shared" si="238"/>
        <v>0</v>
      </c>
      <c r="H1928" s="24">
        <f t="shared" si="244"/>
        <v>4867.2465206502166</v>
      </c>
      <c r="I1928" s="12">
        <f t="shared" si="243"/>
        <v>4.8949730106955594E-2</v>
      </c>
      <c r="J1928" s="3"/>
    </row>
    <row r="1929" spans="2:10" x14ac:dyDescent="0.25">
      <c r="B1929" s="3">
        <f t="shared" si="239"/>
        <v>9545</v>
      </c>
      <c r="C1929" s="14">
        <f t="shared" si="240"/>
        <v>159.08333333333334</v>
      </c>
      <c r="D1929" s="11">
        <f t="shared" si="241"/>
        <v>1091.2442451242173</v>
      </c>
      <c r="E1929" s="24">
        <f t="shared" si="242"/>
        <v>734.95415395078487</v>
      </c>
      <c r="F1929" s="38">
        <f t="shared" si="237"/>
        <v>0.12235502254622123</v>
      </c>
      <c r="G1929" s="14">
        <f t="shared" si="238"/>
        <v>0</v>
      </c>
      <c r="H1929" s="24">
        <f t="shared" si="244"/>
        <v>4934.7646683096245</v>
      </c>
      <c r="I1929" s="12">
        <f t="shared" si="243"/>
        <v>4.8311430649502433E-2</v>
      </c>
      <c r="J1929" s="3"/>
    </row>
    <row r="1930" spans="2:10" x14ac:dyDescent="0.25">
      <c r="B1930" s="3">
        <f t="shared" si="239"/>
        <v>9550</v>
      </c>
      <c r="C1930" s="14">
        <f t="shared" si="240"/>
        <v>159.16666666666666</v>
      </c>
      <c r="D1930" s="11">
        <f t="shared" si="241"/>
        <v>1091.3226499382811</v>
      </c>
      <c r="E1930" s="24">
        <f t="shared" si="242"/>
        <v>735.00246538143438</v>
      </c>
      <c r="F1930" s="38">
        <f t="shared" si="237"/>
        <v>0.12082496026326926</v>
      </c>
      <c r="G1930" s="14">
        <f t="shared" si="238"/>
        <v>0</v>
      </c>
      <c r="H1930" s="24">
        <f t="shared" si="244"/>
        <v>4997.2558727575524</v>
      </c>
      <c r="I1930" s="12">
        <f t="shared" si="243"/>
        <v>4.7735832585055246E-2</v>
      </c>
      <c r="J1930" s="3"/>
    </row>
    <row r="1931" spans="2:10" x14ac:dyDescent="0.25">
      <c r="B1931" s="3">
        <f t="shared" si="239"/>
        <v>9555</v>
      </c>
      <c r="C1931" s="14">
        <f t="shared" si="240"/>
        <v>159.25</v>
      </c>
      <c r="D1931" s="11">
        <f t="shared" si="241"/>
        <v>1091.401013745641</v>
      </c>
      <c r="E1931" s="24">
        <f t="shared" si="242"/>
        <v>735.05020121401947</v>
      </c>
      <c r="F1931" s="38">
        <f t="shared" si="237"/>
        <v>0.12210716560241355</v>
      </c>
      <c r="G1931" s="14">
        <f t="shared" si="238"/>
        <v>0</v>
      </c>
      <c r="H1931" s="24">
        <f t="shared" si="244"/>
        <v>4944.7814079748459</v>
      </c>
      <c r="I1931" s="12">
        <f t="shared" si="243"/>
        <v>4.8226871196882258E-2</v>
      </c>
      <c r="J1931" s="3"/>
    </row>
    <row r="1932" spans="2:10" x14ac:dyDescent="0.25">
      <c r="B1932" s="3">
        <f t="shared" si="239"/>
        <v>9560</v>
      </c>
      <c r="C1932" s="14">
        <f t="shared" si="240"/>
        <v>159.33333333333334</v>
      </c>
      <c r="D1932" s="11">
        <f t="shared" si="241"/>
        <v>1091.4793365891685</v>
      </c>
      <c r="E1932" s="24">
        <f t="shared" si="242"/>
        <v>735.09842808521637</v>
      </c>
      <c r="F1932" s="38">
        <f t="shared" si="237"/>
        <v>0.12339918207838123</v>
      </c>
      <c r="G1932" s="14">
        <f t="shared" si="238"/>
        <v>0</v>
      </c>
      <c r="H1932" s="24">
        <f t="shared" si="244"/>
        <v>4893.0084631176896</v>
      </c>
      <c r="I1932" s="12">
        <f t="shared" si="243"/>
        <v>4.8721239224418941E-2</v>
      </c>
      <c r="J1932" s="3"/>
    </row>
    <row r="1933" spans="2:10" x14ac:dyDescent="0.25">
      <c r="B1933" s="3">
        <f t="shared" si="239"/>
        <v>9565</v>
      </c>
      <c r="C1933" s="14">
        <f t="shared" si="240"/>
        <v>159.41666666666666</v>
      </c>
      <c r="D1933" s="11">
        <f t="shared" si="241"/>
        <v>1091.5576185116686</v>
      </c>
      <c r="E1933" s="24">
        <f t="shared" si="242"/>
        <v>735.14714932444076</v>
      </c>
      <c r="F1933" s="38">
        <f t="shared" si="237"/>
        <v>0.12470100835126774</v>
      </c>
      <c r="G1933" s="14">
        <f t="shared" si="238"/>
        <v>0</v>
      </c>
      <c r="H1933" s="24">
        <f t="shared" si="244"/>
        <v>4841.9275051129271</v>
      </c>
      <c r="I1933" s="12">
        <f t="shared" si="243"/>
        <v>4.9218925482638509E-2</v>
      </c>
      <c r="J1933" s="3"/>
    </row>
    <row r="1934" spans="2:10" x14ac:dyDescent="0.25">
      <c r="B1934" s="3">
        <f t="shared" si="239"/>
        <v>9570</v>
      </c>
      <c r="C1934" s="14">
        <f t="shared" si="240"/>
        <v>159.5</v>
      </c>
      <c r="D1934" s="11">
        <f t="shared" si="241"/>
        <v>1091.6358595558781</v>
      </c>
      <c r="E1934" s="24">
        <f t="shared" si="242"/>
        <v>735.19636824992335</v>
      </c>
      <c r="F1934" s="38">
        <f t="shared" si="237"/>
        <v>0.12601264153368733</v>
      </c>
      <c r="G1934" s="14">
        <f t="shared" si="238"/>
        <v>0</v>
      </c>
      <c r="H1934" s="24">
        <f t="shared" si="244"/>
        <v>4791.5291267813509</v>
      </c>
      <c r="I1934" s="12">
        <f t="shared" si="243"/>
        <v>4.9719918103098816E-2</v>
      </c>
      <c r="J1934" s="3"/>
    </row>
    <row r="1935" spans="2:10" x14ac:dyDescent="0.25">
      <c r="B1935" s="3">
        <f t="shared" si="239"/>
        <v>9575</v>
      </c>
      <c r="C1935" s="14">
        <f t="shared" si="240"/>
        <v>159.58333333333334</v>
      </c>
      <c r="D1935" s="11">
        <f t="shared" si="241"/>
        <v>1091.7140597644679</v>
      </c>
      <c r="E1935" s="24">
        <f t="shared" si="242"/>
        <v>735.2460881680264</v>
      </c>
      <c r="F1935" s="38">
        <f t="shared" si="237"/>
        <v>0.12733407717638554</v>
      </c>
      <c r="G1935" s="14">
        <f t="shared" si="238"/>
        <v>0</v>
      </c>
      <c r="H1935" s="24">
        <f t="shared" si="244"/>
        <v>4741.8040452355463</v>
      </c>
      <c r="I1935" s="12">
        <f t="shared" si="243"/>
        <v>5.0224204531127518E-2</v>
      </c>
      <c r="J1935" s="3"/>
    </row>
    <row r="1936" spans="2:10" x14ac:dyDescent="0.25">
      <c r="B1936" s="3">
        <f t="shared" si="239"/>
        <v>9580</v>
      </c>
      <c r="C1936" s="14">
        <f t="shared" si="240"/>
        <v>159.66666666666666</v>
      </c>
      <c r="D1936" s="11">
        <f t="shared" si="241"/>
        <v>1091.7922191800412</v>
      </c>
      <c r="E1936" s="24">
        <f t="shared" si="242"/>
        <v>735.29631237255751</v>
      </c>
      <c r="F1936" s="38">
        <f t="shared" si="237"/>
        <v>0.12866530925440772</v>
      </c>
      <c r="G1936" s="14">
        <f t="shared" si="238"/>
        <v>0</v>
      </c>
      <c r="H1936" s="24">
        <f t="shared" si="244"/>
        <v>4692.743100297921</v>
      </c>
      <c r="I1936" s="12">
        <f t="shared" si="243"/>
        <v>5.0731771523395718E-2</v>
      </c>
      <c r="J1936" s="3"/>
    </row>
    <row r="1937" spans="2:10" x14ac:dyDescent="0.25">
      <c r="B1937" s="3">
        <f t="shared" si="239"/>
        <v>9585</v>
      </c>
      <c r="C1937" s="14">
        <f t="shared" si="240"/>
        <v>159.75</v>
      </c>
      <c r="D1937" s="11">
        <f t="shared" si="241"/>
        <v>1091.8703378451355</v>
      </c>
      <c r="E1937" s="24">
        <f t="shared" si="242"/>
        <v>735.34704414408088</v>
      </c>
      <c r="F1937" s="38">
        <f t="shared" si="237"/>
        <v>0.13000633015383714</v>
      </c>
      <c r="G1937" s="14">
        <f t="shared" si="238"/>
        <v>0</v>
      </c>
      <c r="H1937" s="24">
        <f t="shared" si="244"/>
        <v>4644.3372529387489</v>
      </c>
      <c r="I1937" s="12">
        <f t="shared" si="243"/>
        <v>5.1242605145725019E-2</v>
      </c>
      <c r="J1937" s="3"/>
    </row>
    <row r="1938" spans="2:10" x14ac:dyDescent="0.25">
      <c r="B1938" s="3">
        <f t="shared" si="239"/>
        <v>9590</v>
      </c>
      <c r="C1938" s="14">
        <f t="shared" si="240"/>
        <v>159.83333333333334</v>
      </c>
      <c r="D1938" s="11">
        <f t="shared" si="241"/>
        <v>1091.948415802221</v>
      </c>
      <c r="E1938" s="24">
        <f t="shared" si="242"/>
        <v>735.3982867492266</v>
      </c>
      <c r="F1938" s="38">
        <f t="shared" si="237"/>
        <v>0.13135713065912308</v>
      </c>
      <c r="G1938" s="14">
        <f t="shared" si="238"/>
        <v>0</v>
      </c>
      <c r="H1938" s="24">
        <f t="shared" si="244"/>
        <v>4596.5775837338242</v>
      </c>
      <c r="I1938" s="12">
        <f t="shared" si="243"/>
        <v>5.1756690771298901E-2</v>
      </c>
      <c r="J1938" s="3"/>
    </row>
    <row r="1939" spans="2:10" x14ac:dyDescent="0.25">
      <c r="B1939" s="3">
        <f t="shared" si="239"/>
        <v>9595</v>
      </c>
      <c r="C1939" s="14">
        <f t="shared" si="240"/>
        <v>159.91666666666666</v>
      </c>
      <c r="D1939" s="11">
        <f t="shared" si="241"/>
        <v>1092.026453093702</v>
      </c>
      <c r="E1939" s="24">
        <f t="shared" si="242"/>
        <v>735.4500434399979</v>
      </c>
      <c r="F1939" s="38">
        <f t="shared" si="237"/>
        <v>0.13271769994100829</v>
      </c>
      <c r="G1939" s="14">
        <f t="shared" si="238"/>
        <v>0</v>
      </c>
      <c r="H1939" s="24">
        <f t="shared" si="244"/>
        <v>4549.4552913416992</v>
      </c>
      <c r="I1939" s="12">
        <f t="shared" si="243"/>
        <v>5.2274013079115736E-2</v>
      </c>
      <c r="J1939" s="3"/>
    </row>
    <row r="1940" spans="2:10" x14ac:dyDescent="0.25">
      <c r="B1940" s="3">
        <f t="shared" si="239"/>
        <v>9600</v>
      </c>
      <c r="C1940" s="14">
        <f t="shared" si="240"/>
        <v>160</v>
      </c>
      <c r="D1940" s="11">
        <f t="shared" si="241"/>
        <v>1092.1044497619166</v>
      </c>
      <c r="E1940" s="24">
        <f t="shared" si="242"/>
        <v>735.50231745307701</v>
      </c>
      <c r="F1940" s="38">
        <f t="shared" ref="F1940:F2003" si="245">Cp*RhoP/(RhoA*H1940)*dp/1000*MassivP</f>
        <v>0.13408802554507573</v>
      </c>
      <c r="G1940" s="14">
        <f t="shared" ref="G1940:G2003" si="246">Phi*EpsilonF*Botzman/10^8*J1940*((D1940+273)^4-(E1940+273)^4)</f>
        <v>0</v>
      </c>
      <c r="H1940" s="24">
        <f t="shared" si="244"/>
        <v>4502.9616910001096</v>
      </c>
      <c r="I1940" s="12">
        <f t="shared" si="243"/>
        <v>5.2794556052829421E-2</v>
      </c>
      <c r="J1940" s="3"/>
    </row>
    <row r="1941" spans="2:10" x14ac:dyDescent="0.25">
      <c r="B1941" s="3">
        <f t="shared" ref="B1941:B2004" si="247">B1940+DeltaT</f>
        <v>9605</v>
      </c>
      <c r="C1941" s="14">
        <f t="shared" ref="C1941:C2004" si="248">B1941/60</f>
        <v>160.08333333333334</v>
      </c>
      <c r="D1941" s="11">
        <f t="shared" ref="D1941:D2004" si="249">20+345*LOG(8*C1941+1,10)</f>
        <v>1092.1824058491366</v>
      </c>
      <c r="E1941" s="24">
        <f t="shared" ref="E1941:E2004" si="250">E1940+IF(Limit=Oui,MAX(0,I1940),I1940)</f>
        <v>735.55511200912986</v>
      </c>
      <c r="F1941" s="38">
        <f t="shared" si="245"/>
        <v>0.13546809338092833</v>
      </c>
      <c r="G1941" s="14">
        <f t="shared" si="246"/>
        <v>0</v>
      </c>
      <c r="H1941" s="24">
        <f t="shared" si="244"/>
        <v>4457.0882130413465</v>
      </c>
      <c r="I1941" s="12">
        <f t="shared" ref="I1941:I2004" si="251">LambdaP*MassivP/(dp/1000)/(H1941*RhoA)/(1+F1941/3)*(D1941-E1941)*DeltaT-(EXP(F1941/10)-1)*(D1941-D1940)</f>
        <v>5.3318302979904059E-2</v>
      </c>
      <c r="J1941" s="3"/>
    </row>
    <row r="1942" spans="2:10" x14ac:dyDescent="0.25">
      <c r="B1942" s="3">
        <f t="shared" si="247"/>
        <v>9610</v>
      </c>
      <c r="C1942" s="14">
        <f t="shared" si="248"/>
        <v>160.16666666666666</v>
      </c>
      <c r="D1942" s="11">
        <f t="shared" si="249"/>
        <v>1092.2603213975676</v>
      </c>
      <c r="E1942" s="24">
        <f t="shared" si="250"/>
        <v>735.60843031210982</v>
      </c>
      <c r="F1942" s="38">
        <f t="shared" si="245"/>
        <v>0.13685788771201524</v>
      </c>
      <c r="G1942" s="14">
        <f t="shared" si="246"/>
        <v>0</v>
      </c>
      <c r="H1942" s="24">
        <f t="shared" si="244"/>
        <v>4411.8264014264114</v>
      </c>
      <c r="I1942" s="12">
        <f t="shared" si="251"/>
        <v>5.384523645109604E-2</v>
      </c>
      <c r="J1942" s="3"/>
    </row>
    <row r="1943" spans="2:10" x14ac:dyDescent="0.25">
      <c r="B1943" s="3">
        <f t="shared" si="247"/>
        <v>9615</v>
      </c>
      <c r="C1943" s="14">
        <f t="shared" si="248"/>
        <v>160.25</v>
      </c>
      <c r="D1943" s="11">
        <f t="shared" si="249"/>
        <v>1092.3381964493503</v>
      </c>
      <c r="E1943" s="24">
        <f t="shared" si="250"/>
        <v>735.66227554856096</v>
      </c>
      <c r="F1943" s="38">
        <f t="shared" si="245"/>
        <v>0.13825739114611726</v>
      </c>
      <c r="G1943" s="14">
        <f t="shared" si="246"/>
        <v>0</v>
      </c>
      <c r="H1943" s="24">
        <f t="shared" si="244"/>
        <v>4367.1679122977339</v>
      </c>
      <c r="I1943" s="12">
        <f t="shared" si="251"/>
        <v>5.4375338360283076E-2</v>
      </c>
      <c r="J1943" s="3"/>
    </row>
    <row r="1944" spans="2:10" x14ac:dyDescent="0.25">
      <c r="B1944" s="3">
        <f t="shared" si="247"/>
        <v>9620</v>
      </c>
      <c r="C1944" s="14">
        <f t="shared" si="248"/>
        <v>160.33333333333334</v>
      </c>
      <c r="D1944" s="11">
        <f t="shared" si="249"/>
        <v>1092.4160310465586</v>
      </c>
      <c r="E1944" s="24">
        <f t="shared" si="250"/>
        <v>735.71665088692123</v>
      </c>
      <c r="F1944" s="38">
        <f t="shared" si="245"/>
        <v>0.13966658462651232</v>
      </c>
      <c r="G1944" s="14">
        <f t="shared" si="246"/>
        <v>0</v>
      </c>
      <c r="H1944" s="24">
        <f t="shared" si="244"/>
        <v>4323.1045125499877</v>
      </c>
      <c r="I1944" s="12">
        <f t="shared" si="251"/>
        <v>5.4908589904671706E-2</v>
      </c>
      <c r="J1944" s="3"/>
    </row>
    <row r="1945" spans="2:10" x14ac:dyDescent="0.25">
      <c r="B1945" s="3">
        <f t="shared" si="247"/>
        <v>9625</v>
      </c>
      <c r="C1945" s="14">
        <f t="shared" si="248"/>
        <v>160.41666666666666</v>
      </c>
      <c r="D1945" s="11">
        <f t="shared" si="249"/>
        <v>1092.4938252312018</v>
      </c>
      <c r="E1945" s="24">
        <f t="shared" si="250"/>
        <v>735.77155947682593</v>
      </c>
      <c r="F1945" s="38">
        <f t="shared" si="245"/>
        <v>0.14108544742383025</v>
      </c>
      <c r="G1945" s="14">
        <f t="shared" si="246"/>
        <v>0</v>
      </c>
      <c r="H1945" s="24">
        <f t="shared" si="244"/>
        <v>4279.6280784189194</v>
      </c>
      <c r="I1945" s="12">
        <f t="shared" si="251"/>
        <v>5.5444971585278398E-2</v>
      </c>
      <c r="J1945" s="3"/>
    </row>
    <row r="1946" spans="2:10" x14ac:dyDescent="0.25">
      <c r="B1946" s="3">
        <f t="shared" si="247"/>
        <v>9630</v>
      </c>
      <c r="C1946" s="14">
        <f t="shared" si="248"/>
        <v>160.5</v>
      </c>
      <c r="D1946" s="11">
        <f t="shared" si="249"/>
        <v>1092.5715790452232</v>
      </c>
      <c r="E1946" s="24">
        <f t="shared" si="250"/>
        <v>735.82700444841123</v>
      </c>
      <c r="F1946" s="38">
        <f t="shared" si="245"/>
        <v>0.14251395712859855</v>
      </c>
      <c r="G1946" s="14">
        <f t="shared" si="246"/>
        <v>0</v>
      </c>
      <c r="H1946" s="24">
        <f t="shared" si="244"/>
        <v>4236.7305940882879</v>
      </c>
      <c r="I1946" s="12">
        <f t="shared" si="251"/>
        <v>5.5984463207853184E-2</v>
      </c>
      <c r="J1946" s="3"/>
    </row>
    <row r="1947" spans="2:10" x14ac:dyDescent="0.25">
      <c r="B1947" s="3">
        <f t="shared" si="247"/>
        <v>9635</v>
      </c>
      <c r="C1947" s="14">
        <f t="shared" si="248"/>
        <v>160.58333333333334</v>
      </c>
      <c r="D1947" s="11">
        <f t="shared" si="249"/>
        <v>1092.6492925305008</v>
      </c>
      <c r="E1947" s="24">
        <f t="shared" si="250"/>
        <v>735.88298891161912</v>
      </c>
      <c r="F1947" s="38">
        <f t="shared" si="245"/>
        <v>0.14395208964451392</v>
      </c>
      <c r="G1947" s="14">
        <f t="shared" si="246"/>
        <v>0</v>
      </c>
      <c r="H1947" s="24">
        <f t="shared" si="244"/>
        <v>4194.4041503139861</v>
      </c>
      <c r="I1947" s="12">
        <f t="shared" si="251"/>
        <v>5.6527043884089363E-2</v>
      </c>
      <c r="J1947" s="3"/>
    </row>
    <row r="1948" spans="2:10" x14ac:dyDescent="0.25">
      <c r="B1948" s="3">
        <f t="shared" si="247"/>
        <v>9640</v>
      </c>
      <c r="C1948" s="14">
        <f t="shared" si="248"/>
        <v>160.66666666666666</v>
      </c>
      <c r="D1948" s="11">
        <f t="shared" si="249"/>
        <v>1092.7269657288482</v>
      </c>
      <c r="E1948" s="24">
        <f t="shared" si="250"/>
        <v>735.93951595550323</v>
      </c>
      <c r="F1948" s="38">
        <f t="shared" si="245"/>
        <v>0.14539981918243089</v>
      </c>
      <c r="G1948" s="14">
        <f t="shared" si="246"/>
        <v>0</v>
      </c>
      <c r="H1948" s="24">
        <f t="shared" si="244"/>
        <v>4152.640943065755</v>
      </c>
      <c r="I1948" s="12">
        <f t="shared" si="251"/>
        <v>5.7072692033202546E-2</v>
      </c>
      <c r="J1948" s="3"/>
    </row>
    <row r="1949" spans="2:10" x14ac:dyDescent="0.25">
      <c r="B1949" s="3">
        <f t="shared" si="247"/>
        <v>9645</v>
      </c>
      <c r="C1949" s="14">
        <f t="shared" si="248"/>
        <v>160.75</v>
      </c>
      <c r="D1949" s="11">
        <f t="shared" si="249"/>
        <v>1092.8045986820134</v>
      </c>
      <c r="E1949" s="24">
        <f t="shared" si="250"/>
        <v>735.99658864753644</v>
      </c>
      <c r="F1949" s="38">
        <f t="shared" si="245"/>
        <v>0.14685711825509315</v>
      </c>
      <c r="G1949" s="14">
        <f t="shared" si="246"/>
        <v>0</v>
      </c>
      <c r="H1949" s="24">
        <f t="shared" si="244"/>
        <v>4111.4332721858373</v>
      </c>
      <c r="I1949" s="12">
        <f t="shared" si="251"/>
        <v>5.762138538391328E-2</v>
      </c>
      <c r="J1949" s="3"/>
    </row>
    <row r="1950" spans="2:10" x14ac:dyDescent="0.25">
      <c r="B1950" s="3">
        <f t="shared" si="247"/>
        <v>9650</v>
      </c>
      <c r="C1950" s="14">
        <f t="shared" si="248"/>
        <v>160.83333333333334</v>
      </c>
      <c r="D1950" s="11">
        <f t="shared" si="249"/>
        <v>1092.8821914316795</v>
      </c>
      <c r="E1950" s="24">
        <f t="shared" si="250"/>
        <v>736.05421003292031</v>
      </c>
      <c r="F1950" s="38">
        <f t="shared" si="245"/>
        <v>0.14832395767260548</v>
      </c>
      <c r="G1950" s="14">
        <f t="shared" si="246"/>
        <v>0</v>
      </c>
      <c r="H1950" s="24">
        <f t="shared" si="244"/>
        <v>4070.773540064707</v>
      </c>
      <c r="I1950" s="12">
        <f t="shared" si="251"/>
        <v>5.8173100976732714E-2</v>
      </c>
      <c r="J1950" s="3"/>
    </row>
    <row r="1951" spans="2:10" x14ac:dyDescent="0.25">
      <c r="B1951" s="3">
        <f t="shared" si="247"/>
        <v>9655</v>
      </c>
      <c r="C1951" s="14">
        <f t="shared" si="248"/>
        <v>160.91666666666666</v>
      </c>
      <c r="D1951" s="11">
        <f t="shared" si="249"/>
        <v>1092.959744019465</v>
      </c>
      <c r="E1951" s="24">
        <f t="shared" si="250"/>
        <v>736.11238313389708</v>
      </c>
      <c r="F1951" s="38">
        <f t="shared" si="245"/>
        <v>0.14980030653867438</v>
      </c>
      <c r="G1951" s="14">
        <f t="shared" si="246"/>
        <v>0</v>
      </c>
      <c r="H1951" s="24">
        <f t="shared" si="244"/>
        <v>4030.6542503331739</v>
      </c>
      <c r="I1951" s="12">
        <f t="shared" si="251"/>
        <v>5.8727815166636922E-2</v>
      </c>
      <c r="J1951" s="3"/>
    </row>
    <row r="1952" spans="2:10" x14ac:dyDescent="0.25">
      <c r="B1952" s="3">
        <f t="shared" si="247"/>
        <v>9660</v>
      </c>
      <c r="C1952" s="14">
        <f t="shared" si="248"/>
        <v>161</v>
      </c>
      <c r="D1952" s="11">
        <f t="shared" si="249"/>
        <v>1093.037256486924</v>
      </c>
      <c r="E1952" s="24">
        <f t="shared" si="250"/>
        <v>736.17111094906375</v>
      </c>
      <c r="F1952" s="38">
        <f t="shared" si="245"/>
        <v>0.15128613224759588</v>
      </c>
      <c r="G1952" s="14">
        <f t="shared" si="246"/>
        <v>0</v>
      </c>
      <c r="H1952" s="24">
        <f t="shared" si="244"/>
        <v>3991.0680065714691</v>
      </c>
      <c r="I1952" s="12">
        <f t="shared" si="251"/>
        <v>5.9285503626100938E-2</v>
      </c>
      <c r="J1952" s="3"/>
    </row>
    <row r="1953" spans="2:10" x14ac:dyDescent="0.25">
      <c r="B1953" s="3">
        <f t="shared" si="247"/>
        <v>9665</v>
      </c>
      <c r="C1953" s="14">
        <f t="shared" si="248"/>
        <v>161.08333333333334</v>
      </c>
      <c r="D1953" s="11">
        <f t="shared" si="249"/>
        <v>1093.114728875546</v>
      </c>
      <c r="E1953" s="24">
        <f t="shared" si="250"/>
        <v>736.23039645268989</v>
      </c>
      <c r="F1953" s="38">
        <f t="shared" si="245"/>
        <v>0.15278140048204142</v>
      </c>
      <c r="G1953" s="14">
        <f t="shared" si="246"/>
        <v>0</v>
      </c>
      <c r="H1953" s="24">
        <f t="shared" si="244"/>
        <v>3952.0075110339926</v>
      </c>
      <c r="I1953" s="12">
        <f t="shared" si="251"/>
        <v>5.9846141348508096E-2</v>
      </c>
      <c r="J1953" s="3"/>
    </row>
    <row r="1954" spans="2:10" x14ac:dyDescent="0.25">
      <c r="B1954" s="3">
        <f t="shared" si="247"/>
        <v>9670</v>
      </c>
      <c r="C1954" s="14">
        <f t="shared" si="248"/>
        <v>161.16666666666666</v>
      </c>
      <c r="D1954" s="11">
        <f t="shared" si="249"/>
        <v>1093.1921612267558</v>
      </c>
      <c r="E1954" s="24">
        <f t="shared" si="250"/>
        <v>736.29024259403843</v>
      </c>
      <c r="F1954" s="38">
        <f t="shared" si="245"/>
        <v>0.15428607521161261</v>
      </c>
      <c r="G1954" s="14">
        <f t="shared" si="246"/>
        <v>0</v>
      </c>
      <c r="H1954" s="24">
        <f t="shared" si="244"/>
        <v>3913.4655633904836</v>
      </c>
      <c r="I1954" s="12">
        <f t="shared" si="251"/>
        <v>6.0409702651911985E-2</v>
      </c>
      <c r="J1954" s="3"/>
    </row>
    <row r="1955" spans="2:10" x14ac:dyDescent="0.25">
      <c r="B1955" s="3">
        <f t="shared" si="247"/>
        <v>9675</v>
      </c>
      <c r="C1955" s="14">
        <f t="shared" si="248"/>
        <v>161.25</v>
      </c>
      <c r="D1955" s="11">
        <f t="shared" si="249"/>
        <v>1093.2695535819148</v>
      </c>
      <c r="E1955" s="24">
        <f t="shared" si="250"/>
        <v>736.35065229669033</v>
      </c>
      <c r="F1955" s="38">
        <f t="shared" si="245"/>
        <v>0.15580011869219379</v>
      </c>
      <c r="G1955" s="14">
        <f t="shared" si="246"/>
        <v>0</v>
      </c>
      <c r="H1955" s="24">
        <f t="shared" si="244"/>
        <v>3875.4350594828688</v>
      </c>
      <c r="I1955" s="12">
        <f t="shared" si="251"/>
        <v>6.09761611831399E-2</v>
      </c>
      <c r="J1955" s="3"/>
    </row>
    <row r="1956" spans="2:10" x14ac:dyDescent="0.25">
      <c r="B1956" s="3">
        <f t="shared" si="247"/>
        <v>9680</v>
      </c>
      <c r="C1956" s="14">
        <f t="shared" si="248"/>
        <v>161.33333333333334</v>
      </c>
      <c r="D1956" s="11">
        <f t="shared" si="249"/>
        <v>1093.3469059823199</v>
      </c>
      <c r="E1956" s="24">
        <f t="shared" si="250"/>
        <v>736.41162845787346</v>
      </c>
      <c r="F1956" s="38">
        <f t="shared" si="245"/>
        <v>0.15732349146610475</v>
      </c>
      <c r="G1956" s="14">
        <f t="shared" si="246"/>
        <v>0</v>
      </c>
      <c r="H1956" s="24">
        <f t="shared" si="244"/>
        <v>3837.908990097686</v>
      </c>
      <c r="I1956" s="12">
        <f t="shared" si="251"/>
        <v>6.1545489922320451E-2</v>
      </c>
      <c r="J1956" s="3"/>
    </row>
    <row r="1957" spans="2:10" x14ac:dyDescent="0.25">
      <c r="B1957" s="3">
        <f t="shared" si="247"/>
        <v>9685</v>
      </c>
      <c r="C1957" s="14">
        <f t="shared" si="248"/>
        <v>161.41666666666666</v>
      </c>
      <c r="D1957" s="11">
        <f t="shared" si="249"/>
        <v>1093.4242184692039</v>
      </c>
      <c r="E1957" s="24">
        <f t="shared" si="250"/>
        <v>736.47317394779577</v>
      </c>
      <c r="F1957" s="38">
        <f t="shared" si="245"/>
        <v>0.15885615236305153</v>
      </c>
      <c r="G1957" s="14">
        <f t="shared" si="246"/>
        <v>0</v>
      </c>
      <c r="H1957" s="24">
        <f t="shared" si="244"/>
        <v>3800.8804397541035</v>
      </c>
      <c r="I1957" s="12">
        <f t="shared" si="251"/>
        <v>6.2117661187719823E-2</v>
      </c>
      <c r="J1957" s="3"/>
    </row>
    <row r="1958" spans="2:10" x14ac:dyDescent="0.25">
      <c r="B1958" s="3">
        <f t="shared" si="247"/>
        <v>9690</v>
      </c>
      <c r="C1958" s="14">
        <f t="shared" si="248"/>
        <v>161.5</v>
      </c>
      <c r="D1958" s="11">
        <f t="shared" si="249"/>
        <v>1093.5014910837358</v>
      </c>
      <c r="E1958" s="24">
        <f t="shared" si="250"/>
        <v>736.53529160898347</v>
      </c>
      <c r="F1958" s="38">
        <f t="shared" si="245"/>
        <v>0.16039805850189373</v>
      </c>
      <c r="G1958" s="14">
        <f t="shared" si="246"/>
        <v>0</v>
      </c>
      <c r="H1958" s="24">
        <f t="shared" si="244"/>
        <v>3764.3425855069913</v>
      </c>
      <c r="I1958" s="12">
        <f t="shared" si="251"/>
        <v>6.2692646640959721E-2</v>
      </c>
      <c r="J1958" s="3"/>
    </row>
    <row r="1959" spans="2:10" x14ac:dyDescent="0.25">
      <c r="B1959" s="3">
        <f t="shared" si="247"/>
        <v>9695</v>
      </c>
      <c r="C1959" s="14">
        <f t="shared" si="248"/>
        <v>161.58333333333334</v>
      </c>
      <c r="D1959" s="11">
        <f t="shared" si="249"/>
        <v>1093.5787238670214</v>
      </c>
      <c r="E1959" s="24">
        <f t="shared" si="250"/>
        <v>736.5979842556244</v>
      </c>
      <c r="F1959" s="38">
        <f t="shared" si="245"/>
        <v>0.16194916529322501</v>
      </c>
      <c r="G1959" s="14">
        <f t="shared" si="246"/>
        <v>0</v>
      </c>
      <c r="H1959" s="24">
        <f t="shared" si="244"/>
        <v>3728.288695765073</v>
      </c>
      <c r="I1959" s="12">
        <f t="shared" si="251"/>
        <v>6.3270417292587991E-2</v>
      </c>
      <c r="J1959" s="3"/>
    </row>
    <row r="1960" spans="2:10" x14ac:dyDescent="0.25">
      <c r="B1960" s="3">
        <f t="shared" si="247"/>
        <v>9700</v>
      </c>
      <c r="C1960" s="14">
        <f t="shared" si="248"/>
        <v>161.66666666666666</v>
      </c>
      <c r="D1960" s="11">
        <f t="shared" si="249"/>
        <v>1093.6559168601027</v>
      </c>
      <c r="E1960" s="24">
        <f t="shared" si="250"/>
        <v>736.66125467291704</v>
      </c>
      <c r="F1960" s="38">
        <f t="shared" si="245"/>
        <v>0.16350942644277552</v>
      </c>
      <c r="G1960" s="14">
        <f t="shared" si="246"/>
        <v>0</v>
      </c>
      <c r="H1960" s="24">
        <f t="shared" si="244"/>
        <v>3692.7121291238432</v>
      </c>
      <c r="I1960" s="12">
        <f t="shared" si="251"/>
        <v>6.3850943508034955E-2</v>
      </c>
      <c r="J1960" s="3"/>
    </row>
    <row r="1961" spans="2:10" x14ac:dyDescent="0.25">
      <c r="B1961" s="3">
        <f t="shared" si="247"/>
        <v>9705</v>
      </c>
      <c r="C1961" s="14">
        <f t="shared" si="248"/>
        <v>161.75</v>
      </c>
      <c r="D1961" s="11">
        <f t="shared" si="249"/>
        <v>1093.7330701039582</v>
      </c>
      <c r="E1961" s="24">
        <f t="shared" si="250"/>
        <v>736.72510561642503</v>
      </c>
      <c r="F1961" s="38">
        <f t="shared" si="245"/>
        <v>0.16507879395562508</v>
      </c>
      <c r="G1961" s="14">
        <f t="shared" si="246"/>
        <v>0</v>
      </c>
      <c r="H1961" s="24">
        <f t="shared" si="244"/>
        <v>3657.6063332133754</v>
      </c>
      <c r="I1961" s="12">
        <f t="shared" si="251"/>
        <v>6.4434195013896911E-2</v>
      </c>
      <c r="J1961" s="3"/>
    </row>
    <row r="1962" spans="2:10" x14ac:dyDescent="0.25">
      <c r="B1962" s="3">
        <f t="shared" si="247"/>
        <v>9710</v>
      </c>
      <c r="C1962" s="14">
        <f t="shared" si="248"/>
        <v>161.83333333333334</v>
      </c>
      <c r="D1962" s="11">
        <f t="shared" si="249"/>
        <v>1093.8101836395033</v>
      </c>
      <c r="E1962" s="24">
        <f t="shared" si="250"/>
        <v>736.78953981143889</v>
      </c>
      <c r="F1962" s="38">
        <f t="shared" si="245"/>
        <v>0.16665721814126602</v>
      </c>
      <c r="G1962" s="14">
        <f t="shared" si="246"/>
        <v>0</v>
      </c>
      <c r="H1962" s="24">
        <f t="shared" si="244"/>
        <v>3622.9648435600207</v>
      </c>
      <c r="I1962" s="12">
        <f t="shared" si="251"/>
        <v>6.5020140904578666E-2</v>
      </c>
      <c r="J1962" s="3"/>
    </row>
    <row r="1963" spans="2:10" x14ac:dyDescent="0.25">
      <c r="B1963" s="3">
        <f t="shared" si="247"/>
        <v>9715</v>
      </c>
      <c r="C1963" s="14">
        <f t="shared" si="248"/>
        <v>161.91666666666666</v>
      </c>
      <c r="D1963" s="11">
        <f t="shared" si="249"/>
        <v>1093.88725750759</v>
      </c>
      <c r="E1963" s="24">
        <f t="shared" si="250"/>
        <v>736.85455995234349</v>
      </c>
      <c r="F1963" s="38">
        <f t="shared" si="245"/>
        <v>0.16824464761947006</v>
      </c>
      <c r="G1963" s="14">
        <f t="shared" si="246"/>
        <v>0</v>
      </c>
      <c r="H1963" s="24">
        <f t="shared" si="244"/>
        <v>3588.7812824628982</v>
      </c>
      <c r="I1963" s="12">
        <f t="shared" si="251"/>
        <v>6.5608749649308851E-2</v>
      </c>
      <c r="J1963" s="3"/>
    </row>
    <row r="1964" spans="2:10" x14ac:dyDescent="0.25">
      <c r="B1964" s="3">
        <f t="shared" si="247"/>
        <v>9720</v>
      </c>
      <c r="C1964" s="14">
        <f t="shared" si="248"/>
        <v>162</v>
      </c>
      <c r="D1964" s="11">
        <f t="shared" si="249"/>
        <v>1093.9642917490075</v>
      </c>
      <c r="E1964" s="24">
        <f t="shared" si="250"/>
        <v>736.92016870199279</v>
      </c>
      <c r="F1964" s="38">
        <f t="shared" si="245"/>
        <v>0.16984102932698988</v>
      </c>
      <c r="G1964" s="14">
        <f t="shared" si="246"/>
        <v>0</v>
      </c>
      <c r="H1964" s="24">
        <f t="shared" si="244"/>
        <v>3555.049357884277</v>
      </c>
      <c r="I1964" s="12">
        <f t="shared" si="251"/>
        <v>6.6199989099468323E-2</v>
      </c>
      <c r="J1964" s="3"/>
    </row>
    <row r="1965" spans="2:10" x14ac:dyDescent="0.25">
      <c r="B1965" s="3">
        <f t="shared" si="247"/>
        <v>9725</v>
      </c>
      <c r="C1965" s="14">
        <f t="shared" si="248"/>
        <v>162.08333333333334</v>
      </c>
      <c r="D1965" s="11">
        <f t="shared" si="249"/>
        <v>1094.0412864044822</v>
      </c>
      <c r="E1965" s="24">
        <f t="shared" si="250"/>
        <v>736.98636869109225</v>
      </c>
      <c r="F1965" s="38">
        <f t="shared" si="245"/>
        <v>0.17144630852509954</v>
      </c>
      <c r="G1965" s="14">
        <f t="shared" si="246"/>
        <v>0</v>
      </c>
      <c r="H1965" s="24">
        <f t="shared" si="244"/>
        <v>3521.762862353642</v>
      </c>
      <c r="I1965" s="12">
        <f t="shared" si="251"/>
        <v>6.6793826496300696E-2</v>
      </c>
      <c r="J1965" s="3"/>
    </row>
    <row r="1966" spans="2:10" x14ac:dyDescent="0.25">
      <c r="B1966" s="3">
        <f t="shared" si="247"/>
        <v>9730</v>
      </c>
      <c r="C1966" s="14">
        <f t="shared" si="248"/>
        <v>162.16666666666666</v>
      </c>
      <c r="D1966" s="11">
        <f t="shared" si="249"/>
        <v>1094.1182415146775</v>
      </c>
      <c r="E1966" s="24">
        <f t="shared" si="250"/>
        <v>737.05316251758859</v>
      </c>
      <c r="F1966" s="38">
        <f t="shared" si="245"/>
        <v>0.17306042880795233</v>
      </c>
      <c r="G1966" s="14">
        <f t="shared" si="246"/>
        <v>0</v>
      </c>
      <c r="H1966" s="24">
        <f t="shared" si="244"/>
        <v>3488.9156718856757</v>
      </c>
      <c r="I1966" s="12">
        <f t="shared" si="251"/>
        <v>6.7390228478936873E-2</v>
      </c>
      <c r="J1966" s="3"/>
    </row>
    <row r="1967" spans="2:10" x14ac:dyDescent="0.25">
      <c r="B1967" s="3">
        <f t="shared" si="247"/>
        <v>9735</v>
      </c>
      <c r="C1967" s="14">
        <f t="shared" si="248"/>
        <v>162.25</v>
      </c>
      <c r="D1967" s="11">
        <f t="shared" si="249"/>
        <v>1094.1951571201946</v>
      </c>
      <c r="E1967" s="24">
        <f t="shared" si="250"/>
        <v>737.12055274606757</v>
      </c>
      <c r="F1967" s="38">
        <f t="shared" si="245"/>
        <v>0.17468333211176784</v>
      </c>
      <c r="G1967" s="14">
        <f t="shared" si="246"/>
        <v>0</v>
      </c>
      <c r="H1967" s="24">
        <f t="shared" si="244"/>
        <v>3456.5017449117263</v>
      </c>
      <c r="I1967" s="12">
        <f t="shared" si="251"/>
        <v>6.7989161092759751E-2</v>
      </c>
      <c r="J1967" s="3"/>
    </row>
    <row r="1968" spans="2:10" x14ac:dyDescent="0.25">
      <c r="B1968" s="3">
        <f t="shared" si="247"/>
        <v>9740</v>
      </c>
      <c r="C1968" s="14">
        <f t="shared" si="248"/>
        <v>162.33333333333334</v>
      </c>
      <c r="D1968" s="11">
        <f t="shared" si="249"/>
        <v>1094.2720332615716</v>
      </c>
      <c r="E1968" s="24">
        <f t="shared" si="250"/>
        <v>737.18854190716036</v>
      </c>
      <c r="F1968" s="38">
        <f t="shared" si="245"/>
        <v>0.17631495872484726</v>
      </c>
      <c r="G1968" s="14">
        <f t="shared" si="246"/>
        <v>0</v>
      </c>
      <c r="H1968" s="24">
        <f t="shared" si="244"/>
        <v>3424.5151212245401</v>
      </c>
      <c r="I1968" s="12">
        <f t="shared" si="251"/>
        <v>6.8590589798129709E-2</v>
      </c>
      <c r="J1968" s="3"/>
    </row>
    <row r="1969" spans="2:10" x14ac:dyDescent="0.25">
      <c r="B1969" s="3">
        <f t="shared" si="247"/>
        <v>9745</v>
      </c>
      <c r="C1969" s="14">
        <f t="shared" si="248"/>
        <v>162.41666666666666</v>
      </c>
      <c r="D1969" s="11">
        <f t="shared" si="249"/>
        <v>1094.3488699792845</v>
      </c>
      <c r="E1969" s="24">
        <f t="shared" si="250"/>
        <v>737.25713249695843</v>
      </c>
      <c r="F1969" s="38">
        <f t="shared" si="245"/>
        <v>0.17795524729841028</v>
      </c>
      <c r="G1969" s="14">
        <f t="shared" si="246"/>
        <v>0</v>
      </c>
      <c r="H1969" s="24">
        <f t="shared" si="244"/>
        <v>3392.9499209361843</v>
      </c>
      <c r="I1969" s="12">
        <f t="shared" si="251"/>
        <v>6.9194479479372573E-2</v>
      </c>
      <c r="J1969" s="3"/>
    </row>
    <row r="1970" spans="2:10" x14ac:dyDescent="0.25">
      <c r="B1970" s="3">
        <f t="shared" si="247"/>
        <v>9750</v>
      </c>
      <c r="C1970" s="14">
        <f t="shared" si="248"/>
        <v>162.5</v>
      </c>
      <c r="D1970" s="11">
        <f t="shared" si="249"/>
        <v>1094.4256673137472</v>
      </c>
      <c r="E1970" s="24">
        <f t="shared" si="250"/>
        <v>737.32632697643783</v>
      </c>
      <c r="F1970" s="38">
        <f t="shared" si="245"/>
        <v>0.17960413485825472</v>
      </c>
      <c r="G1970" s="14">
        <f t="shared" si="246"/>
        <v>0</v>
      </c>
      <c r="H1970" s="24">
        <f t="shared" si="244"/>
        <v>3361.8003434488824</v>
      </c>
      <c r="I1970" s="12">
        <f t="shared" si="251"/>
        <v>6.9800794454161749E-2</v>
      </c>
      <c r="J1970" s="3"/>
    </row>
    <row r="1971" spans="2:10" x14ac:dyDescent="0.25">
      <c r="B1971" s="3">
        <f t="shared" si="247"/>
        <v>9755</v>
      </c>
      <c r="C1971" s="14">
        <f t="shared" si="248"/>
        <v>162.58333333333334</v>
      </c>
      <c r="D1971" s="11">
        <f t="shared" si="249"/>
        <v>1094.5024253053116</v>
      </c>
      <c r="E1971" s="24">
        <f t="shared" si="250"/>
        <v>737.39612777089201</v>
      </c>
      <c r="F1971" s="38">
        <f t="shared" si="245"/>
        <v>0.18126155681721745</v>
      </c>
      <c r="G1971" s="14">
        <f t="shared" si="246"/>
        <v>0</v>
      </c>
      <c r="H1971" s="24">
        <f t="shared" si="244"/>
        <v>3331.0606664389402</v>
      </c>
      <c r="I1971" s="12">
        <f t="shared" si="251"/>
        <v>7.0409498483166716E-2</v>
      </c>
      <c r="J1971" s="3"/>
    </row>
    <row r="1972" spans="2:10" x14ac:dyDescent="0.25">
      <c r="B1972" s="3">
        <f t="shared" si="247"/>
        <v>9760</v>
      </c>
      <c r="C1972" s="14">
        <f t="shared" si="248"/>
        <v>162.66666666666666</v>
      </c>
      <c r="D1972" s="11">
        <f t="shared" si="249"/>
        <v>1094.579143994267</v>
      </c>
      <c r="E1972" s="24">
        <f t="shared" si="250"/>
        <v>737.46653726937518</v>
      </c>
      <c r="F1972" s="38">
        <f t="shared" si="245"/>
        <v>0.18292744698846014</v>
      </c>
      <c r="G1972" s="14">
        <f t="shared" si="246"/>
        <v>0</v>
      </c>
      <c r="H1972" s="24">
        <f t="shared" si="244"/>
        <v>3300.7252448530048</v>
      </c>
      <c r="I1972" s="12">
        <f t="shared" si="251"/>
        <v>7.1020554780037104E-2</v>
      </c>
      <c r="J1972" s="3"/>
    </row>
    <row r="1973" spans="2:10" x14ac:dyDescent="0.25">
      <c r="B1973" s="3">
        <f t="shared" si="247"/>
        <v>9765</v>
      </c>
      <c r="C1973" s="14">
        <f t="shared" si="248"/>
        <v>162.75</v>
      </c>
      <c r="D1973" s="11">
        <f t="shared" si="249"/>
        <v>1094.6558234208417</v>
      </c>
      <c r="E1973" s="24">
        <f t="shared" si="250"/>
        <v>737.53755782415521</v>
      </c>
      <c r="F1973" s="38">
        <f t="shared" si="245"/>
        <v>0.18460173759955201</v>
      </c>
      <c r="G1973" s="14">
        <f t="shared" si="246"/>
        <v>0</v>
      </c>
      <c r="H1973" s="24">
        <f t="shared" si="244"/>
        <v>3270.7885099169589</v>
      </c>
      <c r="I1973" s="12">
        <f t="shared" si="251"/>
        <v>7.1633926021657926E-2</v>
      </c>
      <c r="J1973" s="3"/>
    </row>
    <row r="1974" spans="2:10" x14ac:dyDescent="0.25">
      <c r="B1974" s="3">
        <f t="shared" si="247"/>
        <v>9770</v>
      </c>
      <c r="C1974" s="14">
        <f t="shared" si="248"/>
        <v>162.83333333333334</v>
      </c>
      <c r="D1974" s="11">
        <f t="shared" si="249"/>
        <v>1094.7324636252015</v>
      </c>
      <c r="E1974" s="24">
        <f t="shared" si="250"/>
        <v>737.60919175017682</v>
      </c>
      <c r="F1974" s="38">
        <f t="shared" si="245"/>
        <v>0.18628435930734791</v>
      </c>
      <c r="G1974" s="14">
        <f t="shared" si="246"/>
        <v>0</v>
      </c>
      <c r="H1974" s="24">
        <f t="shared" si="244"/>
        <v>3241.2449681571507</v>
      </c>
      <c r="I1974" s="12">
        <f t="shared" si="251"/>
        <v>7.2249574358750471E-2</v>
      </c>
      <c r="J1974" s="3"/>
    </row>
    <row r="1975" spans="2:10" x14ac:dyDescent="0.25">
      <c r="B1975" s="3">
        <f t="shared" si="247"/>
        <v>9775</v>
      </c>
      <c r="C1975" s="14">
        <f t="shared" si="248"/>
        <v>162.91666666666666</v>
      </c>
      <c r="D1975" s="11">
        <f t="shared" si="249"/>
        <v>1094.8090646474511</v>
      </c>
      <c r="E1975" s="24">
        <f t="shared" si="250"/>
        <v>737.68144132453563</v>
      </c>
      <c r="F1975" s="38">
        <f t="shared" si="245"/>
        <v>0.18797524121366452</v>
      </c>
      <c r="G1975" s="14">
        <f t="shared" si="246"/>
        <v>0</v>
      </c>
      <c r="H1975" s="24">
        <f t="shared" ref="H1975:H2038" si="252">IF(E1975&lt;600,425+0.773*E1975-1.69/1000*E1975^2+2.22/1000^2*E1975^3,IF(E1975&lt;735,666+13002/(738-E1975),IF(E1975&lt;900,545+17820/(E1975-731),650)))</f>
        <v>3212.0892004336392</v>
      </c>
      <c r="I1975" s="12">
        <f t="shared" si="251"/>
        <v>7.2867461426711105E-2</v>
      </c>
      <c r="J1975" s="3"/>
    </row>
    <row r="1976" spans="2:10" x14ac:dyDescent="0.25">
      <c r="B1976" s="3">
        <f t="shared" si="247"/>
        <v>9780</v>
      </c>
      <c r="C1976" s="14">
        <f t="shared" si="248"/>
        <v>163</v>
      </c>
      <c r="D1976" s="11">
        <f t="shared" si="249"/>
        <v>1094.8856265276333</v>
      </c>
      <c r="E1976" s="24">
        <f t="shared" si="250"/>
        <v>737.75430878596239</v>
      </c>
      <c r="F1976" s="38">
        <f t="shared" si="245"/>
        <v>0.18967431088171952</v>
      </c>
      <c r="G1976" s="14">
        <f t="shared" si="246"/>
        <v>0</v>
      </c>
      <c r="H1976" s="24">
        <f t="shared" si="252"/>
        <v>3183.3158609857514</v>
      </c>
      <c r="I1976" s="12">
        <f t="shared" si="251"/>
        <v>7.3487548356772001E-2</v>
      </c>
      <c r="J1976" s="3"/>
    </row>
    <row r="1977" spans="2:10" x14ac:dyDescent="0.25">
      <c r="B1977" s="3">
        <f t="shared" si="247"/>
        <v>9785</v>
      </c>
      <c r="C1977" s="14">
        <f t="shared" si="248"/>
        <v>163.08333333333334</v>
      </c>
      <c r="D1977" s="11">
        <f t="shared" si="249"/>
        <v>1094.96214930573</v>
      </c>
      <c r="E1977" s="24">
        <f t="shared" si="250"/>
        <v>737.82779633431915</v>
      </c>
      <c r="F1977" s="38">
        <f t="shared" si="245"/>
        <v>0.19138149435336266</v>
      </c>
      <c r="G1977" s="14">
        <f t="shared" si="246"/>
        <v>0</v>
      </c>
      <c r="H1977" s="24">
        <f t="shared" si="252"/>
        <v>3154.9196764891458</v>
      </c>
      <c r="I1977" s="12">
        <f t="shared" si="251"/>
        <v>7.4109795787395613E-2</v>
      </c>
      <c r="J1977" s="3"/>
    </row>
    <row r="1978" spans="2:10" x14ac:dyDescent="0.25">
      <c r="B1978" s="3">
        <f t="shared" si="247"/>
        <v>9790</v>
      </c>
      <c r="C1978" s="14">
        <f t="shared" si="248"/>
        <v>163.16666666666666</v>
      </c>
      <c r="D1978" s="11">
        <f t="shared" si="249"/>
        <v>1095.0386330216618</v>
      </c>
      <c r="E1978" s="24">
        <f t="shared" si="250"/>
        <v>737.90190613010657</v>
      </c>
      <c r="F1978" s="38">
        <f t="shared" si="245"/>
        <v>0.19309671616706453</v>
      </c>
      <c r="G1978" s="14">
        <f t="shared" si="246"/>
        <v>0</v>
      </c>
      <c r="H1978" s="24">
        <f t="shared" si="252"/>
        <v>3126.8954451246432</v>
      </c>
      <c r="I1978" s="12">
        <f t="shared" si="251"/>
        <v>7.4734163875981668E-2</v>
      </c>
      <c r="J1978" s="3"/>
    </row>
    <row r="1979" spans="2:10" x14ac:dyDescent="0.25">
      <c r="B1979" s="3">
        <f t="shared" si="247"/>
        <v>9795</v>
      </c>
      <c r="C1979" s="14">
        <f t="shared" si="248"/>
        <v>163.25</v>
      </c>
      <c r="D1979" s="11">
        <f t="shared" si="249"/>
        <v>1095.1150777152877</v>
      </c>
      <c r="E1979" s="24">
        <f t="shared" si="250"/>
        <v>737.97664029398254</v>
      </c>
      <c r="F1979" s="38">
        <f t="shared" si="245"/>
        <v>0.19481989937664557</v>
      </c>
      <c r="G1979" s="14">
        <f t="shared" si="246"/>
        <v>0</v>
      </c>
      <c r="H1979" s="24">
        <f t="shared" si="252"/>
        <v>3099.2380356588001</v>
      </c>
      <c r="I1979" s="12">
        <f t="shared" si="251"/>
        <v>7.5360612310810662E-2</v>
      </c>
      <c r="J1979" s="3"/>
    </row>
    <row r="1980" spans="2:10" x14ac:dyDescent="0.25">
      <c r="B1980" s="3">
        <f t="shared" si="247"/>
        <v>9800</v>
      </c>
      <c r="C1980" s="14">
        <f t="shared" si="248"/>
        <v>163.33333333333334</v>
      </c>
      <c r="D1980" s="11">
        <f t="shared" si="249"/>
        <v>1095.1914834264062</v>
      </c>
      <c r="E1980" s="24">
        <f t="shared" si="250"/>
        <v>738.0520009062933</v>
      </c>
      <c r="F1980" s="38">
        <f t="shared" si="245"/>
        <v>0.1965509655707611</v>
      </c>
      <c r="G1980" s="14">
        <f t="shared" si="246"/>
        <v>0</v>
      </c>
      <c r="H1980" s="24">
        <f t="shared" si="252"/>
        <v>3071.9423865355989</v>
      </c>
      <c r="I1980" s="12">
        <f t="shared" si="251"/>
        <v>7.5989100323211795E-2</v>
      </c>
      <c r="J1980" s="3"/>
    </row>
    <row r="1981" spans="2:10" x14ac:dyDescent="0.25">
      <c r="B1981" s="3">
        <f t="shared" si="247"/>
        <v>9805</v>
      </c>
      <c r="C1981" s="14">
        <f t="shared" si="248"/>
        <v>163.41666666666666</v>
      </c>
      <c r="D1981" s="11">
        <f t="shared" si="249"/>
        <v>1095.2678501947548</v>
      </c>
      <c r="E1981" s="24">
        <f t="shared" si="250"/>
        <v>738.12799000661653</v>
      </c>
      <c r="F1981" s="38">
        <f t="shared" si="245"/>
        <v>0.19828983489310953</v>
      </c>
      <c r="G1981" s="14">
        <f t="shared" si="246"/>
        <v>0</v>
      </c>
      <c r="H1981" s="24">
        <f t="shared" si="252"/>
        <v>3045.003504979476</v>
      </c>
      <c r="I1981" s="12">
        <f t="shared" si="251"/>
        <v>7.6619586700013648E-2</v>
      </c>
      <c r="J1981" s="3"/>
    </row>
    <row r="1982" spans="2:10" x14ac:dyDescent="0.25">
      <c r="B1982" s="3">
        <f t="shared" si="247"/>
        <v>9810</v>
      </c>
      <c r="C1982" s="14">
        <f t="shared" si="248"/>
        <v>163.5</v>
      </c>
      <c r="D1982" s="11">
        <f t="shared" si="249"/>
        <v>1095.3441780600106</v>
      </c>
      <c r="E1982" s="24">
        <f t="shared" si="250"/>
        <v>738.20460959331649</v>
      </c>
      <c r="F1982" s="38">
        <f t="shared" si="245"/>
        <v>0.20003642606334815</v>
      </c>
      <c r="G1982" s="14">
        <f t="shared" si="246"/>
        <v>0</v>
      </c>
      <c r="H1982" s="24">
        <f t="shared" si="252"/>
        <v>3018.4164661095729</v>
      </c>
      <c r="I1982" s="12">
        <f t="shared" si="251"/>
        <v>7.7252029796206476E-2</v>
      </c>
      <c r="J1982" s="3"/>
    </row>
    <row r="1983" spans="2:10" x14ac:dyDescent="0.25">
      <c r="B1983" s="3">
        <f t="shared" si="247"/>
        <v>9815</v>
      </c>
      <c r="C1983" s="14">
        <f t="shared" si="248"/>
        <v>163.58333333333334</v>
      </c>
      <c r="D1983" s="11">
        <f t="shared" si="249"/>
        <v>1095.4204670617894</v>
      </c>
      <c r="E1983" s="24">
        <f t="shared" si="250"/>
        <v>738.28186162311272</v>
      </c>
      <c r="F1983" s="38">
        <f t="shared" si="245"/>
        <v>0.2017906563987315</v>
      </c>
      <c r="G1983" s="14">
        <f t="shared" si="246"/>
        <v>0</v>
      </c>
      <c r="H1983" s="24">
        <f t="shared" si="252"/>
        <v>2992.1764120646158</v>
      </c>
      <c r="I1983" s="12">
        <f t="shared" si="251"/>
        <v>7.7886387547838859E-2</v>
      </c>
      <c r="J1983" s="3"/>
    </row>
    <row r="1984" spans="2:10" x14ac:dyDescent="0.25">
      <c r="B1984" s="3">
        <f t="shared" si="247"/>
        <v>9820</v>
      </c>
      <c r="C1984" s="14">
        <f t="shared" si="248"/>
        <v>163.66666666666666</v>
      </c>
      <c r="D1984" s="11">
        <f t="shared" si="249"/>
        <v>1095.4967172396471</v>
      </c>
      <c r="E1984" s="24">
        <f t="shared" si="250"/>
        <v>738.35974801066061</v>
      </c>
      <c r="F1984" s="38">
        <f t="shared" si="245"/>
        <v>0.2035524418364171</v>
      </c>
      <c r="G1984" s="14">
        <f t="shared" si="246"/>
        <v>0</v>
      </c>
      <c r="H1984" s="24">
        <f t="shared" si="252"/>
        <v>2966.2785511389375</v>
      </c>
      <c r="I1984" s="12">
        <f t="shared" si="251"/>
        <v>7.8522617485097479E-2</v>
      </c>
      <c r="J1984" s="3"/>
    </row>
    <row r="1985" spans="2:10" x14ac:dyDescent="0.25">
      <c r="B1985" s="3">
        <f t="shared" si="247"/>
        <v>9825</v>
      </c>
      <c r="C1985" s="14">
        <f t="shared" si="248"/>
        <v>163.75</v>
      </c>
      <c r="D1985" s="11">
        <f t="shared" si="249"/>
        <v>1095.5729286330791</v>
      </c>
      <c r="E1985" s="24">
        <f t="shared" si="250"/>
        <v>738.43827062814569</v>
      </c>
      <c r="F1985" s="38">
        <f t="shared" si="245"/>
        <v>0.20532169695645752</v>
      </c>
      <c r="G1985" s="14">
        <f t="shared" si="246"/>
        <v>0</v>
      </c>
      <c r="H1985" s="24">
        <f t="shared" si="252"/>
        <v>2940.7181569289596</v>
      </c>
      <c r="I1985" s="12">
        <f t="shared" si="251"/>
        <v>7.916067674562674E-2</v>
      </c>
      <c r="J1985" s="3"/>
    </row>
    <row r="1986" spans="2:10" x14ac:dyDescent="0.25">
      <c r="B1986" s="3">
        <f t="shared" si="247"/>
        <v>9830</v>
      </c>
      <c r="C1986" s="14">
        <f t="shared" si="248"/>
        <v>163.83333333333334</v>
      </c>
      <c r="D1986" s="11">
        <f t="shared" si="249"/>
        <v>1095.64910128152</v>
      </c>
      <c r="E1986" s="24">
        <f t="shared" si="250"/>
        <v>738.51743130489126</v>
      </c>
      <c r="F1986" s="38">
        <f t="shared" si="245"/>
        <v>0.20709833500545441</v>
      </c>
      <c r="G1986" s="14">
        <f t="shared" si="246"/>
        <v>0</v>
      </c>
      <c r="H1986" s="24">
        <f t="shared" si="252"/>
        <v>2915.4905674901629</v>
      </c>
      <c r="I1986" s="12">
        <f t="shared" si="251"/>
        <v>7.9800522088044445E-2</v>
      </c>
      <c r="J1986" s="3"/>
    </row>
    <row r="1987" spans="2:10" x14ac:dyDescent="0.25">
      <c r="B1987" s="3">
        <f t="shared" si="247"/>
        <v>9835</v>
      </c>
      <c r="C1987" s="14">
        <f t="shared" si="248"/>
        <v>163.91666666666666</v>
      </c>
      <c r="D1987" s="11">
        <f t="shared" si="249"/>
        <v>1095.7252352243456</v>
      </c>
      <c r="E1987" s="24">
        <f t="shared" si="250"/>
        <v>738.59723182697928</v>
      </c>
      <c r="F1987" s="38">
        <f t="shared" si="245"/>
        <v>0.2088822679208478</v>
      </c>
      <c r="G1987" s="14">
        <f t="shared" si="246"/>
        <v>0</v>
      </c>
      <c r="H1987" s="24">
        <f t="shared" si="252"/>
        <v>2890.5911845045498</v>
      </c>
      <c r="I1987" s="12">
        <f t="shared" si="251"/>
        <v>8.0442109905563094E-2</v>
      </c>
      <c r="J1987" s="3"/>
    </row>
    <row r="1988" spans="2:10" x14ac:dyDescent="0.25">
      <c r="B1988" s="3">
        <f t="shared" si="247"/>
        <v>9840</v>
      </c>
      <c r="C1988" s="14">
        <f t="shared" si="248"/>
        <v>164</v>
      </c>
      <c r="D1988" s="11">
        <f t="shared" si="249"/>
        <v>1095.8013305008703</v>
      </c>
      <c r="E1988" s="24">
        <f t="shared" si="250"/>
        <v>738.67767393688484</v>
      </c>
      <c r="F1988" s="38">
        <f t="shared" si="245"/>
        <v>0.21067340635583151</v>
      </c>
      <c r="G1988" s="14">
        <f t="shared" si="246"/>
        <v>0</v>
      </c>
      <c r="H1988" s="24">
        <f t="shared" si="252"/>
        <v>2866.0154724583585</v>
      </c>
      <c r="I1988" s="12">
        <f t="shared" si="251"/>
        <v>8.1085396239955407E-2</v>
      </c>
      <c r="J1988" s="3"/>
    </row>
    <row r="1989" spans="2:10" x14ac:dyDescent="0.25">
      <c r="B1989" s="3">
        <f t="shared" si="247"/>
        <v>9845</v>
      </c>
      <c r="C1989" s="14">
        <f t="shared" si="248"/>
        <v>164.08333333333334</v>
      </c>
      <c r="D1989" s="11">
        <f t="shared" si="249"/>
        <v>1095.8773871503495</v>
      </c>
      <c r="E1989" s="24">
        <f t="shared" si="250"/>
        <v>738.75875933312477</v>
      </c>
      <c r="F1989" s="38">
        <f t="shared" si="245"/>
        <v>0.2124716597048833</v>
      </c>
      <c r="G1989" s="14">
        <f t="shared" si="246"/>
        <v>0</v>
      </c>
      <c r="H1989" s="24">
        <f t="shared" si="252"/>
        <v>2841.7589578298148</v>
      </c>
      <c r="I1989" s="12">
        <f t="shared" si="251"/>
        <v>8.173033679545777E-2</v>
      </c>
      <c r="J1989" s="3"/>
    </row>
    <row r="1990" spans="2:10" x14ac:dyDescent="0.25">
      <c r="B1990" s="3">
        <f t="shared" si="247"/>
        <v>9850</v>
      </c>
      <c r="C1990" s="14">
        <f t="shared" si="248"/>
        <v>164.16666666666666</v>
      </c>
      <c r="D1990" s="11">
        <f t="shared" si="249"/>
        <v>1095.9534052119784</v>
      </c>
      <c r="E1990" s="24">
        <f t="shared" si="250"/>
        <v>738.8404896699202</v>
      </c>
      <c r="F1990" s="38">
        <f t="shared" si="245"/>
        <v>0.21427693612988546</v>
      </c>
      <c r="G1990" s="14">
        <f t="shared" si="246"/>
        <v>0</v>
      </c>
      <c r="H1990" s="24">
        <f t="shared" si="252"/>
        <v>2817.8172282868863</v>
      </c>
      <c r="I1990" s="12">
        <f t="shared" si="251"/>
        <v>8.2376886953026196E-2</v>
      </c>
      <c r="J1990" s="3"/>
    </row>
    <row r="1991" spans="2:10" x14ac:dyDescent="0.25">
      <c r="B1991" s="3">
        <f t="shared" si="247"/>
        <v>9855</v>
      </c>
      <c r="C1991" s="14">
        <f t="shared" si="248"/>
        <v>164.25</v>
      </c>
      <c r="D1991" s="11">
        <f t="shared" si="249"/>
        <v>1096.0293847248929</v>
      </c>
      <c r="E1991" s="24">
        <f t="shared" si="250"/>
        <v>738.92286655687326</v>
      </c>
      <c r="F1991" s="38">
        <f t="shared" si="245"/>
        <v>0.21608914258681797</v>
      </c>
      <c r="G1991" s="14">
        <f t="shared" si="246"/>
        <v>0</v>
      </c>
      <c r="H1991" s="24">
        <f t="shared" si="252"/>
        <v>2794.18593189491</v>
      </c>
      <c r="I1991" s="12">
        <f t="shared" si="251"/>
        <v>8.3025001784620384E-2</v>
      </c>
      <c r="J1991" s="3"/>
    </row>
    <row r="1992" spans="2:10" x14ac:dyDescent="0.25">
      <c r="B1992" s="3">
        <f t="shared" si="247"/>
        <v>9860</v>
      </c>
      <c r="C1992" s="14">
        <f t="shared" si="248"/>
        <v>164.33333333333334</v>
      </c>
      <c r="D1992" s="11">
        <f t="shared" si="249"/>
        <v>1096.1053257281692</v>
      </c>
      <c r="E1992" s="24">
        <f t="shared" si="250"/>
        <v>739.00589155865794</v>
      </c>
      <c r="F1992" s="38">
        <f t="shared" si="245"/>
        <v>0.21790818485300306</v>
      </c>
      <c r="G1992" s="14">
        <f t="shared" si="246"/>
        <v>0</v>
      </c>
      <c r="H1992" s="24">
        <f t="shared" si="252"/>
        <v>2770.8607763339787</v>
      </c>
      <c r="I1992" s="12">
        <f t="shared" si="251"/>
        <v>8.367463606766172E-2</v>
      </c>
      <c r="J1992" s="3"/>
    </row>
    <row r="1993" spans="2:10" x14ac:dyDescent="0.25">
      <c r="B1993" s="3">
        <f t="shared" si="247"/>
        <v>9865</v>
      </c>
      <c r="C1993" s="14">
        <f t="shared" si="248"/>
        <v>164.41666666666666</v>
      </c>
      <c r="D1993" s="11">
        <f t="shared" si="249"/>
        <v>1096.1812282608241</v>
      </c>
      <c r="E1993" s="24">
        <f t="shared" si="250"/>
        <v>739.08956619472565</v>
      </c>
      <c r="F1993" s="38">
        <f t="shared" si="245"/>
        <v>0.21973396755489089</v>
      </c>
      <c r="G1993" s="14">
        <f t="shared" si="246"/>
        <v>0</v>
      </c>
      <c r="H1993" s="24">
        <f t="shared" si="252"/>
        <v>2747.8375281258641</v>
      </c>
      <c r="I1993" s="12">
        <f t="shared" si="251"/>
        <v>8.4325744299599895E-2</v>
      </c>
      <c r="J1993" s="3"/>
    </row>
    <row r="1994" spans="2:10" x14ac:dyDescent="0.25">
      <c r="B1994" s="3">
        <f t="shared" si="247"/>
        <v>9870</v>
      </c>
      <c r="C1994" s="14">
        <f t="shared" si="248"/>
        <v>164.5</v>
      </c>
      <c r="D1994" s="11">
        <f t="shared" si="249"/>
        <v>1096.2570923618152</v>
      </c>
      <c r="E1994" s="24">
        <f t="shared" si="250"/>
        <v>739.17389193902522</v>
      </c>
      <c r="F1994" s="38">
        <f t="shared" si="245"/>
        <v>0.22156639419635807</v>
      </c>
      <c r="G1994" s="14">
        <f t="shared" si="246"/>
        <v>0</v>
      </c>
      <c r="H1994" s="24">
        <f t="shared" si="252"/>
        <v>2725.1120118704575</v>
      </c>
      <c r="I1994" s="12">
        <f t="shared" si="251"/>
        <v>8.4978280712598608E-2</v>
      </c>
      <c r="J1994" s="3"/>
    </row>
    <row r="1995" spans="2:10" x14ac:dyDescent="0.25">
      <c r="B1995" s="3">
        <f t="shared" si="247"/>
        <v>9875</v>
      </c>
      <c r="C1995" s="14">
        <f t="shared" si="248"/>
        <v>164.58333333333334</v>
      </c>
      <c r="D1995" s="11">
        <f t="shared" si="249"/>
        <v>1096.3329180700414</v>
      </c>
      <c r="E1995" s="24">
        <f t="shared" si="250"/>
        <v>739.25887021973779</v>
      </c>
      <c r="F1995" s="38">
        <f t="shared" si="245"/>
        <v>0.22340536718750614</v>
      </c>
      <c r="G1995" s="14">
        <f t="shared" si="246"/>
        <v>0</v>
      </c>
      <c r="H1995" s="24">
        <f t="shared" si="252"/>
        <v>2702.6801094915099</v>
      </c>
      <c r="I1995" s="12">
        <f t="shared" si="251"/>
        <v>8.5632199288302652E-2</v>
      </c>
      <c r="J1995" s="3"/>
    </row>
    <row r="1996" spans="2:10" x14ac:dyDescent="0.25">
      <c r="B1996" s="3">
        <f t="shared" si="247"/>
        <v>9880</v>
      </c>
      <c r="C1996" s="14">
        <f t="shared" si="248"/>
        <v>164.66666666666666</v>
      </c>
      <c r="D1996" s="11">
        <f t="shared" si="249"/>
        <v>1096.4087054243412</v>
      </c>
      <c r="E1996" s="24">
        <f t="shared" si="250"/>
        <v>739.34450241902607</v>
      </c>
      <c r="F1996" s="38">
        <f t="shared" si="245"/>
        <v>0.22525078787392844</v>
      </c>
      <c r="G1996" s="14">
        <f t="shared" si="246"/>
        <v>0</v>
      </c>
      <c r="H1996" s="24">
        <f t="shared" si="252"/>
        <v>2680.537759491699</v>
      </c>
      <c r="I1996" s="12">
        <f t="shared" si="251"/>
        <v>8.6287453772756401E-2</v>
      </c>
      <c r="J1996" s="3"/>
    </row>
    <row r="1997" spans="2:10" x14ac:dyDescent="0.25">
      <c r="B1997" s="3">
        <f t="shared" si="247"/>
        <v>9885</v>
      </c>
      <c r="C1997" s="14">
        <f t="shared" si="248"/>
        <v>164.75</v>
      </c>
      <c r="D1997" s="11">
        <f t="shared" si="249"/>
        <v>1096.4844544634959</v>
      </c>
      <c r="E1997" s="24">
        <f t="shared" si="250"/>
        <v>739.43078987279887</v>
      </c>
      <c r="F1997" s="38">
        <f t="shared" si="245"/>
        <v>0.2271025565664358</v>
      </c>
      <c r="G1997" s="14">
        <f t="shared" si="246"/>
        <v>0</v>
      </c>
      <c r="H1997" s="24">
        <f t="shared" si="252"/>
        <v>2658.6809562167496</v>
      </c>
      <c r="I1997" s="12">
        <f t="shared" si="251"/>
        <v>8.6943997691249109E-2</v>
      </c>
      <c r="J1997" s="3"/>
    </row>
    <row r="1998" spans="2:10" x14ac:dyDescent="0.25">
      <c r="B1998" s="3">
        <f t="shared" si="247"/>
        <v>9890</v>
      </c>
      <c r="C1998" s="14">
        <f t="shared" si="248"/>
        <v>164.83333333333334</v>
      </c>
      <c r="D1998" s="11">
        <f t="shared" si="249"/>
        <v>1096.5601652262269</v>
      </c>
      <c r="E1998" s="24">
        <f t="shared" si="250"/>
        <v>739.51773387049013</v>
      </c>
      <c r="F1998" s="38">
        <f t="shared" si="245"/>
        <v>0.22896057257121041</v>
      </c>
      <c r="G1998" s="14">
        <f t="shared" si="246"/>
        <v>0</v>
      </c>
      <c r="H1998" s="24">
        <f t="shared" si="252"/>
        <v>2637.1057491286224</v>
      </c>
      <c r="I1998" s="12">
        <f t="shared" si="251"/>
        <v>8.7601784363454782E-2</v>
      </c>
      <c r="J1998" s="3"/>
    </row>
    <row r="1999" spans="2:10" x14ac:dyDescent="0.25">
      <c r="B1999" s="3">
        <f t="shared" si="247"/>
        <v>9895</v>
      </c>
      <c r="C1999" s="14">
        <f t="shared" si="248"/>
        <v>164.91666666666666</v>
      </c>
      <c r="D1999" s="11">
        <f t="shared" si="249"/>
        <v>1096.6358377511974</v>
      </c>
      <c r="E1999" s="24">
        <f t="shared" si="250"/>
        <v>739.60533565485355</v>
      </c>
      <c r="F1999" s="38">
        <f t="shared" si="245"/>
        <v>0.23082473422037919</v>
      </c>
      <c r="G1999" s="14">
        <f t="shared" si="246"/>
        <v>0</v>
      </c>
      <c r="H1999" s="24">
        <f t="shared" si="252"/>
        <v>2615.8082420874812</v>
      </c>
      <c r="I1999" s="12">
        <f t="shared" si="251"/>
        <v>8.8260766918394268E-2</v>
      </c>
      <c r="J1999" s="3"/>
    </row>
    <row r="2000" spans="2:10" x14ac:dyDescent="0.25">
      <c r="B2000" s="3">
        <f t="shared" si="247"/>
        <v>9900</v>
      </c>
      <c r="C2000" s="14">
        <f t="shared" si="248"/>
        <v>165</v>
      </c>
      <c r="D2000" s="11">
        <f t="shared" si="249"/>
        <v>1096.7114720770116</v>
      </c>
      <c r="E2000" s="24">
        <f t="shared" si="250"/>
        <v>739.69359642177199</v>
      </c>
      <c r="F2000" s="38">
        <f t="shared" si="245"/>
        <v>0.23269493890297407</v>
      </c>
      <c r="G2000" s="14">
        <f t="shared" si="246"/>
        <v>0</v>
      </c>
      <c r="H2000" s="24">
        <f t="shared" si="252"/>
        <v>2594.7845926424789</v>
      </c>
      <c r="I2000" s="12">
        <f t="shared" si="251"/>
        <v>8.8920898309621438E-2</v>
      </c>
      <c r="J2000" s="3"/>
    </row>
    <row r="2001" spans="2:10" x14ac:dyDescent="0.25">
      <c r="B2001" s="3">
        <f t="shared" si="247"/>
        <v>9905</v>
      </c>
      <c r="C2001" s="14">
        <f t="shared" si="248"/>
        <v>165.08333333333334</v>
      </c>
      <c r="D2001" s="11">
        <f t="shared" si="249"/>
        <v>1096.7870682422163</v>
      </c>
      <c r="E2001" s="24">
        <f t="shared" si="250"/>
        <v>739.78251732008164</v>
      </c>
      <c r="F2001" s="38">
        <f t="shared" si="245"/>
        <v>0.23457108309624958</v>
      </c>
      <c r="G2001" s="14">
        <f t="shared" si="246"/>
        <v>0</v>
      </c>
      <c r="H2001" s="24">
        <f t="shared" si="252"/>
        <v>2574.0310113313108</v>
      </c>
      <c r="I2001" s="12">
        <f t="shared" si="251"/>
        <v>8.9582131330303405E-2</v>
      </c>
      <c r="J2001" s="3"/>
    </row>
    <row r="2002" spans="2:10" x14ac:dyDescent="0.25">
      <c r="B2002" s="3">
        <f t="shared" si="247"/>
        <v>9910</v>
      </c>
      <c r="C2002" s="14">
        <f t="shared" si="248"/>
        <v>165.16666666666666</v>
      </c>
      <c r="D2002" s="11">
        <f t="shared" si="249"/>
        <v>1096.8626262852981</v>
      </c>
      <c r="E2002" s="24">
        <f t="shared" si="250"/>
        <v>739.87209945141194</v>
      </c>
      <c r="F2002" s="38">
        <f t="shared" si="245"/>
        <v>0.23645306239735825</v>
      </c>
      <c r="G2002" s="14">
        <f t="shared" si="246"/>
        <v>0</v>
      </c>
      <c r="H2002" s="24">
        <f t="shared" si="252"/>
        <v>2553.5437609881678</v>
      </c>
      <c r="I2002" s="12">
        <f t="shared" si="251"/>
        <v>9.0244418628481329E-2</v>
      </c>
      <c r="J2002" s="3"/>
    </row>
    <row r="2003" spans="2:10" x14ac:dyDescent="0.25">
      <c r="B2003" s="3">
        <f t="shared" si="247"/>
        <v>9915</v>
      </c>
      <c r="C2003" s="14">
        <f t="shared" si="248"/>
        <v>165.25</v>
      </c>
      <c r="D2003" s="11">
        <f t="shared" si="249"/>
        <v>1096.9381462446877</v>
      </c>
      <c r="E2003" s="24">
        <f t="shared" si="250"/>
        <v>739.9623438700404</v>
      </c>
      <c r="F2003" s="38">
        <f t="shared" si="245"/>
        <v>0.238340771555344</v>
      </c>
      <c r="G2003" s="14">
        <f t="shared" si="246"/>
        <v>0</v>
      </c>
      <c r="H2003" s="24">
        <f t="shared" si="252"/>
        <v>2533.3191560601963</v>
      </c>
      <c r="I2003" s="12">
        <f t="shared" si="251"/>
        <v>9.0907712722116493E-2</v>
      </c>
      <c r="J2003" s="3"/>
    </row>
    <row r="2004" spans="2:10" x14ac:dyDescent="0.25">
      <c r="B2004" s="3">
        <f t="shared" si="247"/>
        <v>9920</v>
      </c>
      <c r="C2004" s="14">
        <f t="shared" si="248"/>
        <v>165.33333333333334</v>
      </c>
      <c r="D2004" s="11">
        <f t="shared" si="249"/>
        <v>1097.0136281587561</v>
      </c>
      <c r="E2004" s="24">
        <f t="shared" si="250"/>
        <v>740.05325158276253</v>
      </c>
      <c r="F2004" s="38">
        <f t="shared" ref="F2004:F2067" si="253">Cp*RhoP/(RhoA*H2004)*dp/1000*MassivP</f>
        <v>0.24023410450343163</v>
      </c>
      <c r="G2004" s="14">
        <f t="shared" ref="G2004:G2067" si="254">Phi*EpsilonF*Botzman/10^8*J2004*((D2004+273)^4-(E2004+273)^4)</f>
        <v>0</v>
      </c>
      <c r="H2004" s="24">
        <f t="shared" si="252"/>
        <v>2513.3535619323161</v>
      </c>
      <c r="I2004" s="12">
        <f t="shared" si="251"/>
        <v>9.1571966014420594E-2</v>
      </c>
      <c r="J2004" s="3"/>
    </row>
    <row r="2005" spans="2:10" x14ac:dyDescent="0.25">
      <c r="B2005" s="3">
        <f t="shared" ref="B2005:B2068" si="255">B2004+DeltaT</f>
        <v>9925</v>
      </c>
      <c r="C2005" s="14">
        <f t="shared" ref="C2005:C2068" si="256">B2005/60</f>
        <v>165.41666666666666</v>
      </c>
      <c r="D2005" s="11">
        <f t="shared" ref="D2005:D2068" si="257">20+345*LOG(8*C2005+1,10)</f>
        <v>1097.0890720658165</v>
      </c>
      <c r="E2005" s="24">
        <f t="shared" ref="E2005:E2068" si="258">E2004+IF(Limit=Oui,MAX(0,I2004),I2004)</f>
        <v>740.14482354877691</v>
      </c>
      <c r="F2005" s="38">
        <f t="shared" si="253"/>
        <v>0.24213295439159221</v>
      </c>
      <c r="G2005" s="14">
        <f t="shared" si="254"/>
        <v>0</v>
      </c>
      <c r="H2005" s="24">
        <f t="shared" si="252"/>
        <v>2493.6433942602816</v>
      </c>
      <c r="I2005" s="12">
        <f t="shared" ref="I2005:I2068" si="259">LambdaP*MassivP/(dp/1000)/(H2005*RhoA)/(1+F2005/3)*(D2005-E2005)*DeltaT-(EXP(F2005/10)-1)*(D2005-D2004)</f>
        <v>9.2237130808922083E-2</v>
      </c>
      <c r="J2005" s="3"/>
    </row>
    <row r="2006" spans="2:10" x14ac:dyDescent="0.25">
      <c r="B2006" s="3">
        <f t="shared" si="255"/>
        <v>9930</v>
      </c>
      <c r="C2006" s="14">
        <f t="shared" si="256"/>
        <v>165.5</v>
      </c>
      <c r="D2006" s="11">
        <f t="shared" si="257"/>
        <v>1097.1644780041249</v>
      </c>
      <c r="E2006" s="24">
        <f t="shared" si="258"/>
        <v>740.23706067958585</v>
      </c>
      <c r="F2006" s="38">
        <f t="shared" si="253"/>
        <v>0.24403721361937</v>
      </c>
      <c r="G2006" s="14">
        <f t="shared" si="254"/>
        <v>0</v>
      </c>
      <c r="H2006" s="24">
        <f t="shared" si="252"/>
        <v>2474.1851183117883</v>
      </c>
      <c r="I2006" s="12">
        <f t="shared" si="259"/>
        <v>9.2903159324626935E-2</v>
      </c>
      <c r="J2006" s="3"/>
    </row>
    <row r="2007" spans="2:10" x14ac:dyDescent="0.25">
      <c r="B2007" s="3">
        <f t="shared" si="255"/>
        <v>9935</v>
      </c>
      <c r="C2007" s="14">
        <f t="shared" si="256"/>
        <v>165.58333333333334</v>
      </c>
      <c r="D2007" s="11">
        <f t="shared" si="257"/>
        <v>1097.2398460118795</v>
      </c>
      <c r="E2007" s="24">
        <f t="shared" si="258"/>
        <v>740.32996383891043</v>
      </c>
      <c r="F2007" s="38">
        <f t="shared" si="253"/>
        <v>0.24594677386892344</v>
      </c>
      <c r="G2007" s="14">
        <f t="shared" si="254"/>
        <v>0</v>
      </c>
      <c r="H2007" s="24">
        <f t="shared" si="252"/>
        <v>2454.975248315759</v>
      </c>
      <c r="I2007" s="12">
        <f t="shared" si="259"/>
        <v>9.3570003711176589E-2</v>
      </c>
      <c r="J2007" s="3"/>
    </row>
    <row r="2008" spans="2:10" x14ac:dyDescent="0.25">
      <c r="B2008" s="3">
        <f t="shared" si="255"/>
        <v>9940</v>
      </c>
      <c r="C2008" s="14">
        <f t="shared" si="256"/>
        <v>165.66666666666666</v>
      </c>
      <c r="D2008" s="11">
        <f t="shared" si="257"/>
        <v>1097.3151761272202</v>
      </c>
      <c r="E2008" s="24">
        <f t="shared" si="258"/>
        <v>740.42353384262162</v>
      </c>
      <c r="F2008" s="38">
        <f t="shared" si="253"/>
        <v>0.24786152613829232</v>
      </c>
      <c r="G2008" s="14">
        <f t="shared" si="254"/>
        <v>0</v>
      </c>
      <c r="H2008" s="24">
        <f t="shared" si="252"/>
        <v>2436.0103468193715</v>
      </c>
      <c r="I2008" s="12">
        <f t="shared" si="259"/>
        <v>9.4237616063909277E-2</v>
      </c>
      <c r="J2008" s="3"/>
    </row>
    <row r="2009" spans="2:10" x14ac:dyDescent="0.25">
      <c r="B2009" s="3">
        <f t="shared" si="255"/>
        <v>9945</v>
      </c>
      <c r="C2009" s="14">
        <f t="shared" si="256"/>
        <v>165.75</v>
      </c>
      <c r="D2009" s="11">
        <f t="shared" si="257"/>
        <v>1097.3904683882301</v>
      </c>
      <c r="E2009" s="24">
        <f t="shared" si="258"/>
        <v>740.5177714586855</v>
      </c>
      <c r="F2009" s="38">
        <f t="shared" si="253"/>
        <v>0.2497813607748269</v>
      </c>
      <c r="G2009" s="14">
        <f t="shared" si="254"/>
        <v>0</v>
      </c>
      <c r="H2009" s="24">
        <f t="shared" si="252"/>
        <v>2417.2870240531201</v>
      </c>
      <c r="I2009" s="12">
        <f t="shared" si="259"/>
        <v>9.4905948438832641E-2</v>
      </c>
      <c r="J2009" s="3"/>
    </row>
    <row r="2010" spans="2:10" x14ac:dyDescent="0.25">
      <c r="B2010" s="3">
        <f t="shared" si="255"/>
        <v>9950</v>
      </c>
      <c r="C2010" s="14">
        <f t="shared" si="256"/>
        <v>165.83333333333334</v>
      </c>
      <c r="D2010" s="11">
        <f t="shared" si="257"/>
        <v>1097.4657228329345</v>
      </c>
      <c r="E2010" s="24">
        <f t="shared" si="258"/>
        <v>740.61267740712435</v>
      </c>
      <c r="F2010" s="38">
        <f t="shared" si="253"/>
        <v>0.25170616750879576</v>
      </c>
      <c r="G2010" s="14">
        <f t="shared" si="254"/>
        <v>0</v>
      </c>
      <c r="H2010" s="24">
        <f t="shared" si="252"/>
        <v>2398.8019373034263</v>
      </c>
      <c r="I2010" s="12">
        <f t="shared" si="259"/>
        <v>9.557495286766432E-2</v>
      </c>
      <c r="J2010" s="3"/>
    </row>
    <row r="2011" spans="2:10" x14ac:dyDescent="0.25">
      <c r="B2011" s="3">
        <f t="shared" si="255"/>
        <v>9955</v>
      </c>
      <c r="C2011" s="14">
        <f t="shared" si="256"/>
        <v>165.91666666666666</v>
      </c>
      <c r="D2011" s="11">
        <f t="shared" si="257"/>
        <v>1097.5409394993017</v>
      </c>
      <c r="E2011" s="24">
        <f t="shared" si="258"/>
        <v>740.708252359992</v>
      </c>
      <c r="F2011" s="38">
        <f t="shared" si="253"/>
        <v>0.25363583548711344</v>
      </c>
      <c r="G2011" s="14">
        <f t="shared" si="254"/>
        <v>0</v>
      </c>
      <c r="H2011" s="24">
        <f t="shared" si="252"/>
        <v>2380.5517902930451</v>
      </c>
      <c r="I2011" s="12">
        <f t="shared" si="259"/>
        <v>9.6244581372634502E-2</v>
      </c>
      <c r="J2011" s="3"/>
    </row>
    <row r="2012" spans="2:10" x14ac:dyDescent="0.25">
      <c r="B2012" s="3">
        <f t="shared" si="255"/>
        <v>9960</v>
      </c>
      <c r="C2012" s="14">
        <f t="shared" si="256"/>
        <v>166</v>
      </c>
      <c r="D2012" s="11">
        <f t="shared" si="257"/>
        <v>1097.6161184252423</v>
      </c>
      <c r="E2012" s="24">
        <f t="shared" si="258"/>
        <v>740.80449694136462</v>
      </c>
      <c r="F2012" s="38">
        <f t="shared" si="253"/>
        <v>0.25557025330719296</v>
      </c>
      <c r="G2012" s="14">
        <f t="shared" si="254"/>
        <v>0</v>
      </c>
      <c r="H2012" s="24">
        <f t="shared" si="252"/>
        <v>2362.533332568898</v>
      </c>
      <c r="I2012" s="12">
        <f t="shared" si="259"/>
        <v>9.6914785981358262E-2</v>
      </c>
      <c r="J2012" s="3"/>
    </row>
    <row r="2013" spans="2:10" x14ac:dyDescent="0.25">
      <c r="B2013" s="3">
        <f t="shared" si="255"/>
        <v>9965</v>
      </c>
      <c r="C2013" s="14">
        <f t="shared" si="256"/>
        <v>166.08333333333334</v>
      </c>
      <c r="D2013" s="11">
        <f t="shared" si="257"/>
        <v>1097.6912596486111</v>
      </c>
      <c r="E2013" s="24">
        <f t="shared" si="258"/>
        <v>740.90141172734593</v>
      </c>
      <c r="F2013" s="38">
        <f t="shared" si="253"/>
        <v>0.25750930905088115</v>
      </c>
      <c r="G2013" s="14">
        <f t="shared" si="254"/>
        <v>0</v>
      </c>
      <c r="H2013" s="24">
        <f t="shared" si="252"/>
        <v>2344.7433588974332</v>
      </c>
      <c r="I2013" s="12">
        <f t="shared" si="259"/>
        <v>9.7585518741473726E-2</v>
      </c>
      <c r="J2013" s="3"/>
    </row>
    <row r="2014" spans="2:10" x14ac:dyDescent="0.25">
      <c r="B2014" s="3">
        <f t="shared" si="255"/>
        <v>9970</v>
      </c>
      <c r="C2014" s="14">
        <f t="shared" si="256"/>
        <v>166.16666666666666</v>
      </c>
      <c r="D2014" s="11">
        <f t="shared" si="257"/>
        <v>1097.7663632072044</v>
      </c>
      <c r="E2014" s="24">
        <f t="shared" si="258"/>
        <v>740.99899724608736</v>
      </c>
      <c r="F2014" s="38">
        <f t="shared" si="253"/>
        <v>0.25945289031846169</v>
      </c>
      <c r="G2014" s="14">
        <f t="shared" si="254"/>
        <v>0</v>
      </c>
      <c r="H2014" s="24">
        <f t="shared" si="252"/>
        <v>2327.1787086673148</v>
      </c>
      <c r="I2014" s="12">
        <f t="shared" si="259"/>
        <v>9.8256731735335931E-2</v>
      </c>
      <c r="J2014" s="3"/>
    </row>
    <row r="2015" spans="2:10" x14ac:dyDescent="0.25">
      <c r="B2015" s="3">
        <f t="shared" si="255"/>
        <v>9975</v>
      </c>
      <c r="C2015" s="14">
        <f t="shared" si="256"/>
        <v>166.25</v>
      </c>
      <c r="D2015" s="11">
        <f t="shared" si="257"/>
        <v>1097.841429138763</v>
      </c>
      <c r="E2015" s="24">
        <f t="shared" si="258"/>
        <v>741.09725397782267</v>
      </c>
      <c r="F2015" s="38">
        <f t="shared" si="253"/>
        <v>0.26140088426270286</v>
      </c>
      <c r="G2015" s="14">
        <f t="shared" si="254"/>
        <v>0</v>
      </c>
      <c r="H2015" s="24">
        <f t="shared" si="252"/>
        <v>2309.8362652993919</v>
      </c>
      <c r="I2015" s="12">
        <f t="shared" si="259"/>
        <v>9.8928377094410741E-2</v>
      </c>
      <c r="J2015" s="3"/>
    </row>
    <row r="2016" spans="2:10" x14ac:dyDescent="0.25">
      <c r="B2016" s="3">
        <f t="shared" si="255"/>
        <v>9980</v>
      </c>
      <c r="C2016" s="14">
        <f t="shared" si="256"/>
        <v>166.33333333333334</v>
      </c>
      <c r="D2016" s="11">
        <f t="shared" si="257"/>
        <v>1097.9164574809699</v>
      </c>
      <c r="E2016" s="24">
        <f t="shared" si="258"/>
        <v>741.19618235491714</v>
      </c>
      <c r="F2016" s="38">
        <f t="shared" si="253"/>
        <v>0.26335317762292171</v>
      </c>
      <c r="G2016" s="14">
        <f t="shared" si="254"/>
        <v>0</v>
      </c>
      <c r="H2016" s="24">
        <f t="shared" si="252"/>
        <v>2292.7129556638665</v>
      </c>
      <c r="I2016" s="12">
        <f t="shared" si="259"/>
        <v>9.9600407013741288E-2</v>
      </c>
      <c r="J2016" s="3"/>
    </row>
    <row r="2017" spans="2:10" x14ac:dyDescent="0.25">
      <c r="B2017" s="3">
        <f t="shared" si="255"/>
        <v>9985</v>
      </c>
      <c r="C2017" s="14">
        <f t="shared" si="256"/>
        <v>166.41666666666666</v>
      </c>
      <c r="D2017" s="11">
        <f t="shared" si="257"/>
        <v>1097.9914482714526</v>
      </c>
      <c r="E2017" s="24">
        <f t="shared" si="258"/>
        <v>741.29578276193092</v>
      </c>
      <c r="F2017" s="38">
        <f t="shared" si="253"/>
        <v>0.26530965675904655</v>
      </c>
      <c r="G2017" s="14">
        <f t="shared" si="254"/>
        <v>0</v>
      </c>
      <c r="H2017" s="24">
        <f t="shared" si="252"/>
        <v>2275.8057495045623</v>
      </c>
      <c r="I2017" s="12">
        <f t="shared" si="259"/>
        <v>0.10027277376609975</v>
      </c>
      <c r="J2017" s="3"/>
    </row>
    <row r="2018" spans="2:10" x14ac:dyDescent="0.25">
      <c r="B2018" s="3">
        <f t="shared" si="255"/>
        <v>9990</v>
      </c>
      <c r="C2018" s="14">
        <f t="shared" si="256"/>
        <v>166.5</v>
      </c>
      <c r="D2018" s="11">
        <f t="shared" si="257"/>
        <v>1098.0664015477814</v>
      </c>
      <c r="E2018" s="24">
        <f t="shared" si="258"/>
        <v>741.39605553569697</v>
      </c>
      <c r="F2018" s="38">
        <f t="shared" si="253"/>
        <v>0.26727020768565674</v>
      </c>
      <c r="G2018" s="14">
        <f t="shared" si="254"/>
        <v>0</v>
      </c>
      <c r="H2018" s="24">
        <f t="shared" si="252"/>
        <v>2259.1116588701743</v>
      </c>
      <c r="I2018" s="12">
        <f t="shared" si="259"/>
        <v>0.10094542971616859</v>
      </c>
      <c r="J2018" s="3"/>
    </row>
    <row r="2019" spans="2:10" x14ac:dyDescent="0.25">
      <c r="B2019" s="3">
        <f t="shared" si="255"/>
        <v>9995</v>
      </c>
      <c r="C2019" s="14">
        <f t="shared" si="256"/>
        <v>166.58333333333334</v>
      </c>
      <c r="D2019" s="11">
        <f t="shared" si="257"/>
        <v>1098.1413173474702</v>
      </c>
      <c r="E2019" s="24">
        <f t="shared" si="258"/>
        <v>741.49700096541312</v>
      </c>
      <c r="F2019" s="38">
        <f t="shared" si="253"/>
        <v>0.26923471610597743</v>
      </c>
      <c r="G2019" s="14">
        <f t="shared" si="254"/>
        <v>0</v>
      </c>
      <c r="H2019" s="24">
        <f t="shared" si="252"/>
        <v>2242.6277375524346</v>
      </c>
      <c r="I2019" s="12">
        <f t="shared" si="259"/>
        <v>0.10161832733446653</v>
      </c>
      <c r="J2019" s="3"/>
    </row>
    <row r="2020" spans="2:10" x14ac:dyDescent="0.25">
      <c r="B2020" s="3">
        <f t="shared" si="255"/>
        <v>10000</v>
      </c>
      <c r="C2020" s="14">
        <f t="shared" si="256"/>
        <v>166.66666666666666</v>
      </c>
      <c r="D2020" s="11">
        <f t="shared" si="257"/>
        <v>1098.2161957079775</v>
      </c>
      <c r="E2020" s="24">
        <f t="shared" si="258"/>
        <v>741.59861929274757</v>
      </c>
      <c r="F2020" s="38">
        <f t="shared" si="253"/>
        <v>0.27120306744579381</v>
      </c>
      <c r="G2020" s="14">
        <f t="shared" si="254"/>
        <v>0</v>
      </c>
      <c r="H2020" s="24">
        <f t="shared" si="252"/>
        <v>2226.3510805312044</v>
      </c>
      <c r="I2020" s="12">
        <f t="shared" si="259"/>
        <v>0.1022914192111017</v>
      </c>
      <c r="J2020" s="3"/>
    </row>
    <row r="2021" spans="2:10" x14ac:dyDescent="0.25">
      <c r="B2021" s="3">
        <f t="shared" si="255"/>
        <v>10005</v>
      </c>
      <c r="C2021" s="14">
        <f t="shared" si="256"/>
        <v>166.75</v>
      </c>
      <c r="D2021" s="11">
        <f t="shared" si="257"/>
        <v>1098.2910366667049</v>
      </c>
      <c r="E2021" s="24">
        <f t="shared" si="258"/>
        <v>741.70091071195873</v>
      </c>
      <c r="F2021" s="38">
        <f t="shared" si="253"/>
        <v>0.27317514688728428</v>
      </c>
      <c r="G2021" s="14">
        <f t="shared" si="254"/>
        <v>0</v>
      </c>
      <c r="H2021" s="24">
        <f t="shared" si="252"/>
        <v>2210.2788234262516</v>
      </c>
      <c r="I2021" s="12">
        <f t="shared" si="259"/>
        <v>0.10296465806948689</v>
      </c>
      <c r="J2021" s="3"/>
    </row>
    <row r="2022" spans="2:10" x14ac:dyDescent="0.25">
      <c r="B2022" s="3">
        <f t="shared" si="255"/>
        <v>10010</v>
      </c>
      <c r="C2022" s="14">
        <f t="shared" si="256"/>
        <v>166.83333333333334</v>
      </c>
      <c r="D2022" s="11">
        <f t="shared" si="257"/>
        <v>1098.3658402609979</v>
      </c>
      <c r="E2022" s="24">
        <f t="shared" si="258"/>
        <v>741.80387537002821</v>
      </c>
      <c r="F2022" s="38">
        <f t="shared" si="253"/>
        <v>0.27515083940273144</v>
      </c>
      <c r="G2022" s="14">
        <f t="shared" si="254"/>
        <v>0</v>
      </c>
      <c r="H2022" s="24">
        <f t="shared" si="252"/>
        <v>2194.408141955776</v>
      </c>
      <c r="I2022" s="12">
        <f t="shared" si="259"/>
        <v>0.103637996779763</v>
      </c>
      <c r="J2022" s="3"/>
    </row>
    <row r="2023" spans="2:10" x14ac:dyDescent="0.25">
      <c r="B2023" s="3">
        <f t="shared" si="255"/>
        <v>10015</v>
      </c>
      <c r="C2023" s="14">
        <f t="shared" si="256"/>
        <v>166.91666666666666</v>
      </c>
      <c r="D2023" s="11">
        <f t="shared" si="257"/>
        <v>1098.4406065281464</v>
      </c>
      <c r="E2023" s="24">
        <f t="shared" si="258"/>
        <v>741.90751336680796</v>
      </c>
      <c r="F2023" s="38">
        <f t="shared" si="253"/>
        <v>0.27713002978811108</v>
      </c>
      <c r="G2023" s="14">
        <f t="shared" si="254"/>
        <v>0</v>
      </c>
      <c r="H2023" s="24">
        <f t="shared" si="252"/>
        <v>2178.7362514014458</v>
      </c>
      <c r="I2023" s="12">
        <f t="shared" si="259"/>
        <v>0.10431138837203936</v>
      </c>
      <c r="J2023" s="3"/>
    </row>
    <row r="2024" spans="2:10" x14ac:dyDescent="0.25">
      <c r="B2024" s="3">
        <f t="shared" si="255"/>
        <v>10020</v>
      </c>
      <c r="C2024" s="14">
        <f t="shared" si="256"/>
        <v>167</v>
      </c>
      <c r="D2024" s="11">
        <f t="shared" si="257"/>
        <v>1098.5153355053844</v>
      </c>
      <c r="E2024" s="24">
        <f t="shared" si="258"/>
        <v>742.01182475517999</v>
      </c>
      <c r="F2024" s="38">
        <f t="shared" si="253"/>
        <v>0.27911260269651278</v>
      </c>
      <c r="G2024" s="14">
        <f t="shared" si="254"/>
        <v>0</v>
      </c>
      <c r="H2024" s="24">
        <f t="shared" si="252"/>
        <v>2163.2604060800577</v>
      </c>
      <c r="I2024" s="12">
        <f t="shared" si="259"/>
        <v>0.10498478604956847</v>
      </c>
      <c r="J2024" s="3"/>
    </row>
    <row r="2025" spans="2:10" x14ac:dyDescent="0.25">
      <c r="B2025" s="3">
        <f t="shared" si="255"/>
        <v>10025</v>
      </c>
      <c r="C2025" s="14">
        <f t="shared" si="256"/>
        <v>167.08333333333334</v>
      </c>
      <c r="D2025" s="11">
        <f t="shared" si="257"/>
        <v>1098.5900272298907</v>
      </c>
      <c r="E2025" s="24">
        <f t="shared" si="258"/>
        <v>742.1168095412296</v>
      </c>
      <c r="F2025" s="38">
        <f t="shared" si="253"/>
        <v>0.28109844267139339</v>
      </c>
      <c r="G2025" s="14">
        <f t="shared" si="254"/>
        <v>0</v>
      </c>
      <c r="H2025" s="24">
        <f t="shared" si="252"/>
        <v>2147.9778988215876</v>
      </c>
      <c r="I2025" s="12">
        <f t="shared" si="259"/>
        <v>0.10565814320157112</v>
      </c>
      <c r="J2025" s="3"/>
    </row>
    <row r="2026" spans="2:10" x14ac:dyDescent="0.25">
      <c r="B2026" s="3">
        <f t="shared" si="255"/>
        <v>10030</v>
      </c>
      <c r="C2026" s="14">
        <f t="shared" si="256"/>
        <v>167.16666666666666</v>
      </c>
      <c r="D2026" s="11">
        <f t="shared" si="257"/>
        <v>1098.6646817387877</v>
      </c>
      <c r="E2026" s="24">
        <f t="shared" si="258"/>
        <v>742.22246768443119</v>
      </c>
      <c r="F2026" s="38">
        <f t="shared" si="253"/>
        <v>0.28308743417962684</v>
      </c>
      <c r="G2026" s="14">
        <f t="shared" si="254"/>
        <v>0</v>
      </c>
      <c r="H2026" s="24">
        <f t="shared" si="252"/>
        <v>2132.886060453664</v>
      </c>
      <c r="I2026" s="12">
        <f t="shared" si="259"/>
        <v>0.10633141341600497</v>
      </c>
      <c r="J2026" s="3"/>
    </row>
    <row r="2027" spans="2:10" x14ac:dyDescent="0.25">
      <c r="B2027" s="3">
        <f t="shared" si="255"/>
        <v>10035</v>
      </c>
      <c r="C2027" s="14">
        <f t="shared" si="256"/>
        <v>167.25</v>
      </c>
      <c r="D2027" s="11">
        <f t="shared" si="257"/>
        <v>1098.739299069143</v>
      </c>
      <c r="E2027" s="24">
        <f t="shared" si="258"/>
        <v>742.3287990978472</v>
      </c>
      <c r="F2027" s="38">
        <f t="shared" si="253"/>
        <v>0.28507946164434683</v>
      </c>
      <c r="G2027" s="14">
        <f t="shared" si="254"/>
        <v>0</v>
      </c>
      <c r="H2027" s="24">
        <f t="shared" si="252"/>
        <v>2117.9822592922778</v>
      </c>
      <c r="I2027" s="12">
        <f t="shared" si="259"/>
        <v>0.10700455049199939</v>
      </c>
      <c r="J2027" s="3"/>
    </row>
    <row r="2028" spans="2:10" x14ac:dyDescent="0.25">
      <c r="B2028" s="3">
        <f t="shared" si="255"/>
        <v>10040</v>
      </c>
      <c r="C2028" s="14">
        <f t="shared" si="256"/>
        <v>167.33333333333334</v>
      </c>
      <c r="D2028" s="11">
        <f t="shared" si="257"/>
        <v>1098.8138792579684</v>
      </c>
      <c r="E2028" s="24">
        <f t="shared" si="258"/>
        <v>742.43580364833917</v>
      </c>
      <c r="F2028" s="38">
        <f t="shared" si="253"/>
        <v>0.28707440947754947</v>
      </c>
      <c r="G2028" s="14">
        <f t="shared" si="254"/>
        <v>0</v>
      </c>
      <c r="H2028" s="24">
        <f t="shared" si="252"/>
        <v>2103.2639006387631</v>
      </c>
      <c r="I2028" s="12">
        <f t="shared" si="259"/>
        <v>0.10767750845216552</v>
      </c>
      <c r="J2028" s="3"/>
    </row>
    <row r="2029" spans="2:10" x14ac:dyDescent="0.25">
      <c r="B2029" s="3">
        <f t="shared" si="255"/>
        <v>10045</v>
      </c>
      <c r="C2029" s="14">
        <f t="shared" si="256"/>
        <v>167.41666666666666</v>
      </c>
      <c r="D2029" s="11">
        <f t="shared" si="257"/>
        <v>1098.8884223422208</v>
      </c>
      <c r="E2029" s="24">
        <f t="shared" si="258"/>
        <v>742.54348115679136</v>
      </c>
      <c r="F2029" s="38">
        <f t="shared" si="253"/>
        <v>0.2890721621124418</v>
      </c>
      <c r="G2029" s="14">
        <f t="shared" si="254"/>
        <v>0</v>
      </c>
      <c r="H2029" s="24">
        <f t="shared" si="252"/>
        <v>2088.7284262829144</v>
      </c>
      <c r="I2029" s="12">
        <f t="shared" si="259"/>
        <v>0.10835024155463417</v>
      </c>
      <c r="J2029" s="3"/>
    </row>
    <row r="2030" spans="2:10" x14ac:dyDescent="0.25">
      <c r="B2030" s="3">
        <f t="shared" si="255"/>
        <v>10050</v>
      </c>
      <c r="C2030" s="14">
        <f t="shared" si="256"/>
        <v>167.5</v>
      </c>
      <c r="D2030" s="11">
        <f t="shared" si="257"/>
        <v>1098.9629283588015</v>
      </c>
      <c r="E2030" s="24">
        <f t="shared" si="258"/>
        <v>742.65183139834596</v>
      </c>
      <c r="F2030" s="38">
        <f t="shared" si="253"/>
        <v>0.2910726040355161</v>
      </c>
      <c r="G2030" s="14">
        <f t="shared" si="254"/>
        <v>0</v>
      </c>
      <c r="H2030" s="24">
        <f t="shared" si="252"/>
        <v>2074.3733140122195</v>
      </c>
      <c r="I2030" s="12">
        <f t="shared" si="259"/>
        <v>0.10902270430491372</v>
      </c>
      <c r="J2030" s="3"/>
    </row>
    <row r="2031" spans="2:10" x14ac:dyDescent="0.25">
      <c r="B2031" s="3">
        <f t="shared" si="255"/>
        <v>10055</v>
      </c>
      <c r="C2031" s="14">
        <f t="shared" si="256"/>
        <v>167.58333333333334</v>
      </c>
      <c r="D2031" s="11">
        <f t="shared" si="257"/>
        <v>1099.0373973445573</v>
      </c>
      <c r="E2031" s="24">
        <f t="shared" si="258"/>
        <v>742.76085410265091</v>
      </c>
      <c r="F2031" s="38">
        <f t="shared" si="253"/>
        <v>0.29307561981834152</v>
      </c>
      <c r="G2031" s="14">
        <f t="shared" si="254"/>
        <v>0</v>
      </c>
      <c r="H2031" s="24">
        <f t="shared" si="252"/>
        <v>2060.1960771270305</v>
      </c>
      <c r="I2031" s="12">
        <f t="shared" si="259"/>
        <v>0.10969485146745327</v>
      </c>
      <c r="J2031" s="3"/>
    </row>
    <row r="2032" spans="2:10" x14ac:dyDescent="0.25">
      <c r="B2032" s="3">
        <f t="shared" si="255"/>
        <v>10060</v>
      </c>
      <c r="C2032" s="14">
        <f t="shared" si="256"/>
        <v>167.66666666666666</v>
      </c>
      <c r="D2032" s="11">
        <f t="shared" si="257"/>
        <v>1099.1118293362804</v>
      </c>
      <c r="E2032" s="24">
        <f t="shared" si="258"/>
        <v>742.87054895411836</v>
      </c>
      <c r="F2032" s="38">
        <f t="shared" si="253"/>
        <v>0.29508109414903433</v>
      </c>
      <c r="G2032" s="14">
        <f t="shared" si="254"/>
        <v>0</v>
      </c>
      <c r="H2032" s="24">
        <f t="shared" si="252"/>
        <v>2046.1942639617807</v>
      </c>
      <c r="I2032" s="12">
        <f t="shared" si="259"/>
        <v>0.11036663807703871</v>
      </c>
      <c r="J2032" s="3"/>
    </row>
    <row r="2033" spans="2:10" x14ac:dyDescent="0.25">
      <c r="B2033" s="3">
        <f t="shared" si="255"/>
        <v>10065</v>
      </c>
      <c r="C2033" s="14">
        <f t="shared" si="256"/>
        <v>167.75</v>
      </c>
      <c r="D2033" s="11">
        <f t="shared" si="257"/>
        <v>1099.1862243707067</v>
      </c>
      <c r="E2033" s="24">
        <f t="shared" si="258"/>
        <v>742.9809155921954</v>
      </c>
      <c r="F2033" s="38">
        <f t="shared" si="253"/>
        <v>0.29708891186341707</v>
      </c>
      <c r="G2033" s="14">
        <f t="shared" si="254"/>
        <v>0</v>
      </c>
      <c r="H2033" s="24">
        <f t="shared" si="252"/>
        <v>2032.3654574119769</v>
      </c>
      <c r="I2033" s="12">
        <f t="shared" si="259"/>
        <v>0.11103801944994601</v>
      </c>
      <c r="J2033" s="3"/>
    </row>
    <row r="2034" spans="2:10" x14ac:dyDescent="0.25">
      <c r="B2034" s="3">
        <f t="shared" si="255"/>
        <v>10070</v>
      </c>
      <c r="C2034" s="14">
        <f t="shared" si="256"/>
        <v>167.83333333333334</v>
      </c>
      <c r="D2034" s="11">
        <f t="shared" si="257"/>
        <v>1099.2605824845191</v>
      </c>
      <c r="E2034" s="24">
        <f t="shared" si="258"/>
        <v>743.09195361164529</v>
      </c>
      <c r="F2034" s="38">
        <f t="shared" si="253"/>
        <v>0.29909895797582625</v>
      </c>
      <c r="G2034" s="14">
        <f t="shared" si="254"/>
        <v>0</v>
      </c>
      <c r="H2034" s="24">
        <f t="shared" si="252"/>
        <v>2018.7072744670675</v>
      </c>
      <c r="I2034" s="12">
        <f t="shared" si="259"/>
        <v>0.11170895119470386</v>
      </c>
      <c r="J2034" s="3"/>
    </row>
    <row r="2035" spans="2:10" x14ac:dyDescent="0.25">
      <c r="B2035" s="3">
        <f t="shared" si="255"/>
        <v>10075</v>
      </c>
      <c r="C2035" s="14">
        <f t="shared" si="256"/>
        <v>167.91666666666666</v>
      </c>
      <c r="D2035" s="11">
        <f t="shared" si="257"/>
        <v>1099.3349037143448</v>
      </c>
      <c r="E2035" s="24">
        <f t="shared" si="258"/>
        <v>743.20366256284001</v>
      </c>
      <c r="F2035" s="38">
        <f t="shared" si="253"/>
        <v>0.30111111770956867</v>
      </c>
      <c r="G2035" s="14">
        <f t="shared" si="254"/>
        <v>0</v>
      </c>
      <c r="H2035" s="24">
        <f t="shared" si="252"/>
        <v>2005.2173657490059</v>
      </c>
      <c r="I2035" s="12">
        <f t="shared" si="259"/>
        <v>0.11237938922287991</v>
      </c>
      <c r="J2035" s="3"/>
    </row>
    <row r="2036" spans="2:10" x14ac:dyDescent="0.25">
      <c r="B2036" s="3">
        <f t="shared" si="255"/>
        <v>10080</v>
      </c>
      <c r="C2036" s="14">
        <f t="shared" si="256"/>
        <v>168</v>
      </c>
      <c r="D2036" s="11">
        <f t="shared" si="257"/>
        <v>1099.4091880967571</v>
      </c>
      <c r="E2036" s="24">
        <f t="shared" si="258"/>
        <v>743.31604195206285</v>
      </c>
      <c r="F2036" s="38">
        <f t="shared" si="253"/>
        <v>0.30312527652699595</v>
      </c>
      <c r="G2036" s="14">
        <f t="shared" si="254"/>
        <v>0</v>
      </c>
      <c r="H2036" s="24">
        <f t="shared" si="252"/>
        <v>1991.893415056554</v>
      </c>
      <c r="I2036" s="12">
        <f t="shared" si="259"/>
        <v>0.11304928975932471</v>
      </c>
      <c r="J2036" s="3"/>
    </row>
    <row r="2037" spans="2:10" x14ac:dyDescent="0.25">
      <c r="B2037" s="3">
        <f t="shared" si="255"/>
        <v>10085</v>
      </c>
      <c r="C2037" s="14">
        <f t="shared" si="256"/>
        <v>168.08333333333334</v>
      </c>
      <c r="D2037" s="11">
        <f t="shared" si="257"/>
        <v>1099.4834356682748</v>
      </c>
      <c r="E2037" s="24">
        <f t="shared" si="258"/>
        <v>743.42909124182222</v>
      </c>
      <c r="F2037" s="38">
        <f t="shared" si="253"/>
        <v>0.30514132015920381</v>
      </c>
      <c r="G2037" s="14">
        <f t="shared" si="254"/>
        <v>0</v>
      </c>
      <c r="H2037" s="24">
        <f t="shared" si="252"/>
        <v>1978.7331389151041</v>
      </c>
      <c r="I2037" s="12">
        <f t="shared" si="259"/>
        <v>0.11371860935236762</v>
      </c>
      <c r="J2037" s="3"/>
    </row>
    <row r="2038" spans="2:10" x14ac:dyDescent="0.25">
      <c r="B2038" s="3">
        <f t="shared" si="255"/>
        <v>10090</v>
      </c>
      <c r="C2038" s="14">
        <f t="shared" si="256"/>
        <v>168.16666666666666</v>
      </c>
      <c r="D2038" s="11">
        <f t="shared" si="257"/>
        <v>1099.5576464653623</v>
      </c>
      <c r="E2038" s="24">
        <f t="shared" si="258"/>
        <v>743.54280985117464</v>
      </c>
      <c r="F2038" s="38">
        <f t="shared" si="253"/>
        <v>0.30715913463531386</v>
      </c>
      <c r="G2038" s="14">
        <f t="shared" si="254"/>
        <v>0</v>
      </c>
      <c r="H2038" s="24">
        <f t="shared" si="252"/>
        <v>1965.7342861321581</v>
      </c>
      <c r="I2038" s="12">
        <f t="shared" si="259"/>
        <v>0.11438730488363745</v>
      </c>
      <c r="J2038" s="3"/>
    </row>
    <row r="2039" spans="2:10" x14ac:dyDescent="0.25">
      <c r="B2039" s="3">
        <f t="shared" si="255"/>
        <v>10095</v>
      </c>
      <c r="C2039" s="14">
        <f t="shared" si="256"/>
        <v>168.25</v>
      </c>
      <c r="D2039" s="11">
        <f t="shared" si="257"/>
        <v>1099.6318205244299</v>
      </c>
      <c r="E2039" s="24">
        <f t="shared" si="258"/>
        <v>743.65719715605826</v>
      </c>
      <c r="F2039" s="38">
        <f t="shared" si="253"/>
        <v>0.30917860631134986</v>
      </c>
      <c r="G2039" s="14">
        <f t="shared" si="254"/>
        <v>0</v>
      </c>
      <c r="H2039" s="24">
        <f t="shared" ref="H2039:H2102" si="260">IF(E2039&lt;600,425+0.773*E2039-1.69/1000*E2039^2+2.22/1000^2*E2039^3,IF(E2039&lt;735,666+13002/(738-E2039),IF(E2039&lt;900,545+17820/(E2039-731),650)))</f>
        <v>1952.8946373582091</v>
      </c>
      <c r="I2039" s="12">
        <f t="shared" si="259"/>
        <v>0.11505533357767825</v>
      </c>
      <c r="J2039" s="3"/>
    </row>
    <row r="2040" spans="2:10" x14ac:dyDescent="0.25">
      <c r="B2040" s="3">
        <f t="shared" si="255"/>
        <v>10100</v>
      </c>
      <c r="C2040" s="14">
        <f t="shared" si="256"/>
        <v>168.33333333333334</v>
      </c>
      <c r="D2040" s="11">
        <f t="shared" si="257"/>
        <v>1099.7059578818339</v>
      </c>
      <c r="E2040" s="24">
        <f t="shared" si="258"/>
        <v>743.77225248963589</v>
      </c>
      <c r="F2040" s="38">
        <f t="shared" si="253"/>
        <v>0.31119962189868311</v>
      </c>
      <c r="G2040" s="14">
        <f t="shared" si="254"/>
        <v>0</v>
      </c>
      <c r="H2040" s="24">
        <f t="shared" si="260"/>
        <v>1940.2120046530658</v>
      </c>
      <c r="I2040" s="12">
        <f t="shared" si="259"/>
        <v>0.11572265301126324</v>
      </c>
      <c r="J2040" s="3"/>
    </row>
    <row r="2041" spans="2:10" x14ac:dyDescent="0.25">
      <c r="B2041" s="3">
        <f t="shared" si="255"/>
        <v>10105</v>
      </c>
      <c r="C2041" s="14">
        <f t="shared" si="256"/>
        <v>168.41666666666666</v>
      </c>
      <c r="D2041" s="11">
        <f t="shared" si="257"/>
        <v>1099.7800585738769</v>
      </c>
      <c r="E2041" s="24">
        <f t="shared" si="258"/>
        <v>743.88797514264718</v>
      </c>
      <c r="F2041" s="38">
        <f t="shared" si="253"/>
        <v>0.31322206849203227</v>
      </c>
      <c r="G2041" s="14">
        <f t="shared" si="254"/>
        <v>0</v>
      </c>
      <c r="H2041" s="24">
        <f t="shared" si="260"/>
        <v>1927.6842310575553</v>
      </c>
      <c r="I2041" s="12">
        <f t="shared" si="259"/>
        <v>0.11638922112243878</v>
      </c>
      <c r="J2041" s="3"/>
    </row>
    <row r="2042" spans="2:10" x14ac:dyDescent="0.25">
      <c r="B2042" s="3">
        <f t="shared" si="255"/>
        <v>10110</v>
      </c>
      <c r="C2042" s="14">
        <f t="shared" si="256"/>
        <v>168.5</v>
      </c>
      <c r="D2042" s="11">
        <f t="shared" si="257"/>
        <v>1099.8541226368068</v>
      </c>
      <c r="E2042" s="24">
        <f t="shared" si="258"/>
        <v>744.00436436376958</v>
      </c>
      <c r="F2042" s="38">
        <f t="shared" si="253"/>
        <v>0.31524583359700342</v>
      </c>
      <c r="G2042" s="14">
        <f t="shared" si="254"/>
        <v>0</v>
      </c>
      <c r="H2042" s="24">
        <f t="shared" si="260"/>
        <v>1915.3091901705611</v>
      </c>
      <c r="I2042" s="12">
        <f t="shared" si="259"/>
        <v>0.11705499621937401</v>
      </c>
      <c r="J2042" s="3"/>
    </row>
    <row r="2043" spans="2:10" x14ac:dyDescent="0.25">
      <c r="B2043" s="3">
        <f t="shared" si="255"/>
        <v>10115</v>
      </c>
      <c r="C2043" s="14">
        <f t="shared" si="256"/>
        <v>168.58333333333334</v>
      </c>
      <c r="D2043" s="11">
        <f t="shared" si="257"/>
        <v>1099.928150106819</v>
      </c>
      <c r="E2043" s="24">
        <f t="shared" si="258"/>
        <v>744.12141935998898</v>
      </c>
      <c r="F2043" s="38">
        <f t="shared" si="253"/>
        <v>0.31727080515717959</v>
      </c>
      <c r="G2043" s="14">
        <f t="shared" si="254"/>
        <v>0</v>
      </c>
      <c r="H2043" s="24">
        <f t="shared" si="260"/>
        <v>1903.0847857312115</v>
      </c>
      <c r="I2043" s="12">
        <f t="shared" si="259"/>
        <v>0.11771993698876311</v>
      </c>
      <c r="J2043" s="3"/>
    </row>
    <row r="2044" spans="2:10" x14ac:dyDescent="0.25">
      <c r="B2044" s="3">
        <f t="shared" si="255"/>
        <v>10120</v>
      </c>
      <c r="C2044" s="14">
        <f t="shared" si="256"/>
        <v>168.66666666666666</v>
      </c>
      <c r="D2044" s="11">
        <f t="shared" si="257"/>
        <v>1100.0021410200543</v>
      </c>
      <c r="E2044" s="24">
        <f t="shared" si="258"/>
        <v>744.23913929697778</v>
      </c>
      <c r="F2044" s="38">
        <f t="shared" si="253"/>
        <v>0.3192968715807149</v>
      </c>
      <c r="G2044" s="14">
        <f t="shared" si="254"/>
        <v>0</v>
      </c>
      <c r="H2044" s="24">
        <f t="shared" si="260"/>
        <v>1891.0089512063621</v>
      </c>
      <c r="I2044" s="12">
        <f t="shared" si="259"/>
        <v>0.11838400250419931</v>
      </c>
      <c r="J2044" s="3"/>
    </row>
    <row r="2045" spans="2:10" x14ac:dyDescent="0.25">
      <c r="B2045" s="3">
        <f t="shared" si="255"/>
        <v>10125</v>
      </c>
      <c r="C2045" s="14">
        <f t="shared" si="256"/>
        <v>168.75</v>
      </c>
      <c r="D2045" s="11">
        <f t="shared" si="257"/>
        <v>1100.0760954126006</v>
      </c>
      <c r="E2045" s="24">
        <f t="shared" si="258"/>
        <v>744.35752329948195</v>
      </c>
      <c r="F2045" s="38">
        <f t="shared" si="253"/>
        <v>0.32132392176645214</v>
      </c>
      <c r="G2045" s="14">
        <f t="shared" si="254"/>
        <v>0</v>
      </c>
      <c r="H2045" s="24">
        <f t="shared" si="260"/>
        <v>1879.0796493831392</v>
      </c>
      <c r="I2045" s="12">
        <f t="shared" si="259"/>
        <v>0.11904715223402319</v>
      </c>
      <c r="J2045" s="3"/>
    </row>
    <row r="2046" spans="2:10" x14ac:dyDescent="0.25">
      <c r="B2046" s="3">
        <f t="shared" si="255"/>
        <v>10130</v>
      </c>
      <c r="C2046" s="14">
        <f t="shared" si="256"/>
        <v>168.83333333333334</v>
      </c>
      <c r="D2046" s="11">
        <f t="shared" si="257"/>
        <v>1100.1500133204918</v>
      </c>
      <c r="E2046" s="24">
        <f t="shared" si="258"/>
        <v>744.47657045171593</v>
      </c>
      <c r="F2046" s="38">
        <f t="shared" si="253"/>
        <v>0.32335184512954313</v>
      </c>
      <c r="G2046" s="14">
        <f t="shared" si="254"/>
        <v>0</v>
      </c>
      <c r="H2046" s="24">
        <f t="shared" si="260"/>
        <v>1867.2948719665569</v>
      </c>
      <c r="I2046" s="12">
        <f t="shared" si="259"/>
        <v>0.11970934604909021</v>
      </c>
      <c r="J2046" s="3"/>
    </row>
    <row r="2047" spans="2:10" x14ac:dyDescent="0.25">
      <c r="B2047" s="3">
        <f t="shared" si="255"/>
        <v>10135</v>
      </c>
      <c r="C2047" s="14">
        <f t="shared" si="256"/>
        <v>168.91666666666666</v>
      </c>
      <c r="D2047" s="11">
        <f t="shared" si="257"/>
        <v>1100.2238947797089</v>
      </c>
      <c r="E2047" s="24">
        <f t="shared" si="258"/>
        <v>744.59627979776496</v>
      </c>
      <c r="F2047" s="38">
        <f t="shared" si="253"/>
        <v>0.3253805316265565</v>
      </c>
      <c r="G2047" s="14">
        <f t="shared" si="254"/>
        <v>0</v>
      </c>
      <c r="H2047" s="24">
        <f t="shared" si="260"/>
        <v>1855.6526391821794</v>
      </c>
      <c r="I2047" s="12">
        <f t="shared" si="259"/>
        <v>0.12037054423011913</v>
      </c>
      <c r="J2047" s="3"/>
    </row>
    <row r="2048" spans="2:10" x14ac:dyDescent="0.25">
      <c r="B2048" s="3">
        <f t="shared" si="255"/>
        <v>10140</v>
      </c>
      <c r="C2048" s="14">
        <f t="shared" si="256"/>
        <v>169</v>
      </c>
      <c r="D2048" s="11">
        <f t="shared" si="257"/>
        <v>1100.2977398261798</v>
      </c>
      <c r="E2048" s="24">
        <f t="shared" si="258"/>
        <v>744.71665034199509</v>
      </c>
      <c r="F2048" s="38">
        <f t="shared" si="253"/>
        <v>0.32740987178007419</v>
      </c>
      <c r="G2048" s="14">
        <f t="shared" si="254"/>
        <v>0</v>
      </c>
      <c r="H2048" s="24">
        <f t="shared" si="260"/>
        <v>1844.1509993837224</v>
      </c>
      <c r="I2048" s="12">
        <f t="shared" si="259"/>
        <v>0.1210307074748518</v>
      </c>
      <c r="J2048" s="3"/>
    </row>
    <row r="2049" spans="2:10" x14ac:dyDescent="0.25">
      <c r="B2049" s="3">
        <f t="shared" si="255"/>
        <v>10145</v>
      </c>
      <c r="C2049" s="14">
        <f t="shared" si="256"/>
        <v>169.08333333333334</v>
      </c>
      <c r="D2049" s="11">
        <f t="shared" si="257"/>
        <v>1100.3715484957793</v>
      </c>
      <c r="E2049" s="24">
        <f t="shared" si="258"/>
        <v>744.83768104946989</v>
      </c>
      <c r="F2049" s="38">
        <f t="shared" si="253"/>
        <v>0.32943975670275871</v>
      </c>
      <c r="G2049" s="14">
        <f t="shared" si="254"/>
        <v>0</v>
      </c>
      <c r="H2049" s="24">
        <f t="shared" si="260"/>
        <v>1832.7880286655882</v>
      </c>
      <c r="I2049" s="12">
        <f t="shared" si="259"/>
        <v>0.12168979690491794</v>
      </c>
      <c r="J2049" s="3"/>
    </row>
    <row r="2050" spans="2:10" x14ac:dyDescent="0.25">
      <c r="B2050" s="3">
        <f t="shared" si="255"/>
        <v>10150</v>
      </c>
      <c r="C2050" s="14">
        <f t="shared" si="256"/>
        <v>169.16666666666666</v>
      </c>
      <c r="D2050" s="11">
        <f t="shared" si="257"/>
        <v>1100.4453208243285</v>
      </c>
      <c r="E2050" s="24">
        <f t="shared" si="258"/>
        <v>744.95937084637478</v>
      </c>
      <c r="F2050" s="38">
        <f t="shared" si="253"/>
        <v>0.3314700781209009</v>
      </c>
      <c r="G2050" s="14">
        <f t="shared" si="254"/>
        <v>0</v>
      </c>
      <c r="H2050" s="24">
        <f t="shared" si="260"/>
        <v>1821.5618304801908</v>
      </c>
      <c r="I2050" s="12">
        <f t="shared" si="259"/>
        <v>0.12234777407238698</v>
      </c>
      <c r="J2050" s="3"/>
    </row>
    <row r="2051" spans="2:10" x14ac:dyDescent="0.25">
      <c r="B2051" s="3">
        <f t="shared" si="255"/>
        <v>10155</v>
      </c>
      <c r="C2051" s="14">
        <f t="shared" si="256"/>
        <v>169.25</v>
      </c>
      <c r="D2051" s="11">
        <f t="shared" si="257"/>
        <v>1100.5190568475964</v>
      </c>
      <c r="E2051" s="24">
        <f t="shared" si="258"/>
        <v>745.08171862044719</v>
      </c>
      <c r="F2051" s="38">
        <f t="shared" si="253"/>
        <v>0.3335007283974179</v>
      </c>
      <c r="G2051" s="14">
        <f t="shared" si="254"/>
        <v>0</v>
      </c>
      <c r="H2051" s="24">
        <f t="shared" si="260"/>
        <v>1810.4705352601409</v>
      </c>
      <c r="I2051" s="12">
        <f t="shared" si="259"/>
        <v>0.123004600966045</v>
      </c>
      <c r="J2051" s="3"/>
    </row>
    <row r="2052" spans="2:10" x14ac:dyDescent="0.25">
      <c r="B2052" s="3">
        <f t="shared" si="255"/>
        <v>10160</v>
      </c>
      <c r="C2052" s="14">
        <f t="shared" si="256"/>
        <v>169.33333333333334</v>
      </c>
      <c r="D2052" s="11">
        <f t="shared" si="257"/>
        <v>1100.592756601299</v>
      </c>
      <c r="E2052" s="24">
        <f t="shared" si="258"/>
        <v>745.20472322141325</v>
      </c>
      <c r="F2052" s="38">
        <f t="shared" si="253"/>
        <v>0.33553160055431031</v>
      </c>
      <c r="G2052" s="14">
        <f t="shared" si="254"/>
        <v>0</v>
      </c>
      <c r="H2052" s="24">
        <f t="shared" si="260"/>
        <v>1799.5123000451581</v>
      </c>
      <c r="I2052" s="12">
        <f t="shared" si="259"/>
        <v>0.12366024001743954</v>
      </c>
      <c r="J2052" s="3"/>
    </row>
    <row r="2053" spans="2:10" x14ac:dyDescent="0.25">
      <c r="B2053" s="3">
        <f t="shared" si="255"/>
        <v>10165</v>
      </c>
      <c r="C2053" s="14">
        <f t="shared" si="256"/>
        <v>169.41666666666666</v>
      </c>
      <c r="D2053" s="11">
        <f t="shared" si="257"/>
        <v>1100.6664201210999</v>
      </c>
      <c r="E2053" s="24">
        <f t="shared" si="258"/>
        <v>745.32838346143069</v>
      </c>
      <c r="F2053" s="38">
        <f t="shared" si="253"/>
        <v>0.3375625882945727</v>
      </c>
      <c r="G2053" s="14">
        <f t="shared" si="254"/>
        <v>0</v>
      </c>
      <c r="H2053" s="24">
        <f t="shared" si="260"/>
        <v>1788.6853081136533</v>
      </c>
      <c r="I2053" s="12">
        <f t="shared" si="259"/>
        <v>0.12431465410660364</v>
      </c>
      <c r="J2053" s="3"/>
    </row>
    <row r="2054" spans="2:10" x14ac:dyDescent="0.25">
      <c r="B2054" s="3">
        <f t="shared" si="255"/>
        <v>10170</v>
      </c>
      <c r="C2054" s="14">
        <f t="shared" si="256"/>
        <v>169.5</v>
      </c>
      <c r="D2054" s="11">
        <f t="shared" si="257"/>
        <v>1100.7400474426092</v>
      </c>
      <c r="E2054" s="24">
        <f t="shared" si="258"/>
        <v>745.45269811553726</v>
      </c>
      <c r="F2054" s="38">
        <f t="shared" si="253"/>
        <v>0.33959358602354511</v>
      </c>
      <c r="G2054" s="14">
        <f t="shared" si="254"/>
        <v>0</v>
      </c>
      <c r="H2054" s="24">
        <f t="shared" si="260"/>
        <v>1777.9877686189784</v>
      </c>
      <c r="I2054" s="12">
        <f t="shared" si="259"/>
        <v>0.12496780656755449</v>
      </c>
      <c r="J2054" s="3"/>
    </row>
    <row r="2055" spans="2:10" x14ac:dyDescent="0.25">
      <c r="B2055" s="3">
        <f t="shared" si="255"/>
        <v>10175</v>
      </c>
      <c r="C2055" s="14">
        <f t="shared" si="256"/>
        <v>169.58333333333334</v>
      </c>
      <c r="D2055" s="11">
        <f t="shared" si="257"/>
        <v>1100.8136386013857</v>
      </c>
      <c r="E2055" s="24">
        <f t="shared" si="258"/>
        <v>745.57766592210487</v>
      </c>
      <c r="F2055" s="38">
        <f t="shared" si="253"/>
        <v>0.3416244888697082</v>
      </c>
      <c r="G2055" s="14">
        <f t="shared" si="254"/>
        <v>0</v>
      </c>
      <c r="H2055" s="24">
        <f t="shared" si="260"/>
        <v>1767.4179162302389</v>
      </c>
      <c r="I2055" s="12">
        <f t="shared" si="259"/>
        <v>0.12561966119337969</v>
      </c>
      <c r="J2055" s="3"/>
    </row>
    <row r="2056" spans="2:10" x14ac:dyDescent="0.25">
      <c r="B2056" s="3">
        <f t="shared" si="255"/>
        <v>10180</v>
      </c>
      <c r="C2056" s="14">
        <f t="shared" si="256"/>
        <v>169.66666666666666</v>
      </c>
      <c r="D2056" s="11">
        <f t="shared" si="257"/>
        <v>1100.8871936329347</v>
      </c>
      <c r="E2056" s="24">
        <f t="shared" si="258"/>
        <v>745.70328558329822</v>
      </c>
      <c r="F2056" s="38">
        <f t="shared" si="253"/>
        <v>0.34365519270490336</v>
      </c>
      <c r="G2056" s="14">
        <f t="shared" si="254"/>
        <v>0</v>
      </c>
      <c r="H2056" s="24">
        <f t="shared" si="260"/>
        <v>1756.9740107777079</v>
      </c>
      <c r="I2056" s="12">
        <f t="shared" si="259"/>
        <v>0.12627018224128608</v>
      </c>
      <c r="J2056" s="3"/>
    </row>
    <row r="2057" spans="2:10" x14ac:dyDescent="0.25">
      <c r="B2057" s="3">
        <f t="shared" si="255"/>
        <v>10185</v>
      </c>
      <c r="C2057" s="14">
        <f t="shared" si="256"/>
        <v>169.75</v>
      </c>
      <c r="D2057" s="11">
        <f t="shared" si="257"/>
        <v>1100.9607125727105</v>
      </c>
      <c r="E2057" s="24">
        <f t="shared" si="258"/>
        <v>745.82955576553957</v>
      </c>
      <c r="F2057" s="38">
        <f t="shared" si="253"/>
        <v>0.3456855941640043</v>
      </c>
      <c r="G2057" s="14">
        <f t="shared" si="254"/>
        <v>0</v>
      </c>
      <c r="H2057" s="24">
        <f t="shared" si="260"/>
        <v>1746.6543369026285</v>
      </c>
      <c r="I2057" s="12">
        <f t="shared" si="259"/>
        <v>0.12691933443708531</v>
      </c>
      <c r="J2057" s="3"/>
    </row>
    <row r="2058" spans="2:10" x14ac:dyDescent="0.25">
      <c r="B2058" s="3">
        <f t="shared" si="255"/>
        <v>10190</v>
      </c>
      <c r="C2058" s="14">
        <f t="shared" si="256"/>
        <v>169.83333333333334</v>
      </c>
      <c r="D2058" s="11">
        <f t="shared" si="257"/>
        <v>1101.034195456114</v>
      </c>
      <c r="E2058" s="24">
        <f t="shared" si="258"/>
        <v>745.95647509997661</v>
      </c>
      <c r="F2058" s="38">
        <f t="shared" si="253"/>
        <v>0.3477155906639946</v>
      </c>
      <c r="G2058" s="14">
        <f t="shared" si="254"/>
        <v>0</v>
      </c>
      <c r="H2058" s="24">
        <f t="shared" si="260"/>
        <v>1736.4572037115793</v>
      </c>
      <c r="I2058" s="12">
        <f t="shared" si="259"/>
        <v>0.12756708297973232</v>
      </c>
      <c r="J2058" s="3"/>
    </row>
    <row r="2059" spans="2:10" x14ac:dyDescent="0.25">
      <c r="B2059" s="3">
        <f t="shared" si="255"/>
        <v>10195</v>
      </c>
      <c r="C2059" s="14">
        <f t="shared" si="256"/>
        <v>169.91666666666666</v>
      </c>
      <c r="D2059" s="11">
        <f t="shared" si="257"/>
        <v>1101.1076423184948</v>
      </c>
      <c r="E2059" s="24">
        <f t="shared" si="258"/>
        <v>746.0840421829563</v>
      </c>
      <c r="F2059" s="38">
        <f t="shared" si="253"/>
        <v>0.34974508042249403</v>
      </c>
      <c r="G2059" s="14">
        <f t="shared" si="254"/>
        <v>0</v>
      </c>
      <c r="H2059" s="24">
        <f t="shared" si="260"/>
        <v>1726.3809444351136</v>
      </c>
      <c r="I2059" s="12">
        <f t="shared" si="259"/>
        <v>0.12821339354527694</v>
      </c>
      <c r="J2059" s="3"/>
    </row>
    <row r="2060" spans="2:10" x14ac:dyDescent="0.25">
      <c r="B2060" s="3">
        <f t="shared" si="255"/>
        <v>10200</v>
      </c>
      <c r="C2060" s="14">
        <f t="shared" si="256"/>
        <v>170</v>
      </c>
      <c r="D2060" s="11">
        <f t="shared" si="257"/>
        <v>1101.1810531951503</v>
      </c>
      <c r="E2060" s="24">
        <f t="shared" si="258"/>
        <v>746.21225557650155</v>
      </c>
      <c r="F2060" s="38">
        <f t="shared" si="253"/>
        <v>0.35177396247569459</v>
      </c>
      <c r="G2060" s="14">
        <f t="shared" si="254"/>
        <v>0</v>
      </c>
      <c r="H2060" s="24">
        <f t="shared" si="260"/>
        <v>1716.4239160908294</v>
      </c>
      <c r="I2060" s="12">
        <f t="shared" si="259"/>
        <v>0.12885823229075846</v>
      </c>
      <c r="J2060" s="3"/>
    </row>
    <row r="2061" spans="2:10" x14ac:dyDescent="0.25">
      <c r="B2061" s="3">
        <f t="shared" si="255"/>
        <v>10205</v>
      </c>
      <c r="C2061" s="14">
        <f t="shared" si="256"/>
        <v>170.08333333333334</v>
      </c>
      <c r="D2061" s="11">
        <f t="shared" si="257"/>
        <v>1101.2544281213263</v>
      </c>
      <c r="E2061" s="24">
        <f t="shared" si="258"/>
        <v>746.34111380879233</v>
      </c>
      <c r="F2061" s="38">
        <f t="shared" si="253"/>
        <v>0.35380213669572325</v>
      </c>
      <c r="G2061" s="14">
        <f t="shared" si="254"/>
        <v>0</v>
      </c>
      <c r="H2061" s="24">
        <f t="shared" si="260"/>
        <v>1706.5844991507049</v>
      </c>
      <c r="I2061" s="12">
        <f t="shared" si="259"/>
        <v>0.12950156585779046</v>
      </c>
      <c r="J2061" s="3"/>
    </row>
    <row r="2062" spans="2:10" x14ac:dyDescent="0.25">
      <c r="B2062" s="3">
        <f t="shared" si="255"/>
        <v>10210</v>
      </c>
      <c r="C2062" s="14">
        <f t="shared" si="256"/>
        <v>170.16666666666666</v>
      </c>
      <c r="D2062" s="11">
        <f t="shared" si="257"/>
        <v>1101.3277671322162</v>
      </c>
      <c r="E2062" s="24">
        <f t="shared" si="258"/>
        <v>746.47061537465015</v>
      </c>
      <c r="F2062" s="38">
        <f t="shared" si="253"/>
        <v>0.35582950380742895</v>
      </c>
      <c r="G2062" s="14">
        <f t="shared" si="254"/>
        <v>0</v>
      </c>
      <c r="H2062" s="24">
        <f t="shared" si="260"/>
        <v>1696.8610972126878</v>
      </c>
      <c r="I2062" s="12">
        <f t="shared" si="259"/>
        <v>0.13014336137585947</v>
      </c>
      <c r="J2062" s="3"/>
    </row>
    <row r="2063" spans="2:10" x14ac:dyDescent="0.25">
      <c r="B2063" s="3">
        <f t="shared" si="255"/>
        <v>10215</v>
      </c>
      <c r="C2063" s="14">
        <f t="shared" si="256"/>
        <v>170.25</v>
      </c>
      <c r="D2063" s="11">
        <f t="shared" si="257"/>
        <v>1101.4010702629623</v>
      </c>
      <c r="E2063" s="24">
        <f t="shared" si="258"/>
        <v>746.60075873602602</v>
      </c>
      <c r="F2063" s="38">
        <f t="shared" si="253"/>
        <v>0.35785596540459047</v>
      </c>
      <c r="G2063" s="14">
        <f t="shared" si="254"/>
        <v>0</v>
      </c>
      <c r="H2063" s="24">
        <f t="shared" si="260"/>
        <v>1687.2521366764809</v>
      </c>
      <c r="I2063" s="12">
        <f t="shared" si="259"/>
        <v>0.13078358646531554</v>
      </c>
      <c r="J2063" s="3"/>
    </row>
    <row r="2064" spans="2:10" x14ac:dyDescent="0.25">
      <c r="B2064" s="3">
        <f t="shared" si="255"/>
        <v>10220</v>
      </c>
      <c r="C2064" s="14">
        <f t="shared" si="256"/>
        <v>170.33333333333334</v>
      </c>
      <c r="D2064" s="11">
        <f t="shared" si="257"/>
        <v>1101.4743375486553</v>
      </c>
      <c r="E2064" s="24">
        <f t="shared" si="258"/>
        <v>746.73154232249135</v>
      </c>
      <c r="F2064" s="38">
        <f t="shared" si="253"/>
        <v>0.35988142396554623</v>
      </c>
      <c r="G2064" s="14">
        <f t="shared" si="254"/>
        <v>0</v>
      </c>
      <c r="H2064" s="24">
        <f t="shared" si="260"/>
        <v>1677.7560664234927</v>
      </c>
      <c r="I2064" s="12">
        <f t="shared" si="259"/>
        <v>0.13142220924024567</v>
      </c>
      <c r="J2064" s="3"/>
    </row>
    <row r="2065" spans="2:10" x14ac:dyDescent="0.25">
      <c r="B2065" s="3">
        <f t="shared" si="255"/>
        <v>10225</v>
      </c>
      <c r="C2065" s="14">
        <f t="shared" si="256"/>
        <v>170.41666666666666</v>
      </c>
      <c r="D2065" s="11">
        <f t="shared" si="257"/>
        <v>1101.5475690243343</v>
      </c>
      <c r="E2065" s="24">
        <f t="shared" si="258"/>
        <v>746.86296453173156</v>
      </c>
      <c r="F2065" s="38">
        <f t="shared" si="253"/>
        <v>0.36190578286824399</v>
      </c>
      <c r="G2065" s="14">
        <f t="shared" si="254"/>
        <v>0</v>
      </c>
      <c r="H2065" s="24">
        <f t="shared" si="260"/>
        <v>1668.3713575009053</v>
      </c>
      <c r="I2065" s="12">
        <f t="shared" si="259"/>
        <v>0.13205919831096194</v>
      </c>
      <c r="J2065" s="3"/>
    </row>
    <row r="2066" spans="2:10" x14ac:dyDescent="0.25">
      <c r="B2066" s="3">
        <f t="shared" si="255"/>
        <v>10230</v>
      </c>
      <c r="C2066" s="14">
        <f t="shared" si="256"/>
        <v>170.5</v>
      </c>
      <c r="D2066" s="11">
        <f t="shared" si="257"/>
        <v>1101.6207647249873</v>
      </c>
      <c r="E2066" s="24">
        <f t="shared" si="258"/>
        <v>746.99502373004248</v>
      </c>
      <c r="F2066" s="38">
        <f t="shared" si="253"/>
        <v>0.36392894640471757</v>
      </c>
      <c r="G2066" s="14">
        <f t="shared" si="254"/>
        <v>0</v>
      </c>
      <c r="H2066" s="24">
        <f t="shared" si="260"/>
        <v>1659.0965028097946</v>
      </c>
      <c r="I2066" s="12">
        <f t="shared" si="259"/>
        <v>0.13269452278629867</v>
      </c>
      <c r="J2066" s="3"/>
    </row>
    <row r="2067" spans="2:10" x14ac:dyDescent="0.25">
      <c r="B2067" s="3">
        <f t="shared" si="255"/>
        <v>10235</v>
      </c>
      <c r="C2067" s="14">
        <f t="shared" si="256"/>
        <v>170.58333333333334</v>
      </c>
      <c r="D2067" s="11">
        <f t="shared" si="257"/>
        <v>1101.6939246855507</v>
      </c>
      <c r="E2067" s="24">
        <f t="shared" si="258"/>
        <v>747.1277182528288</v>
      </c>
      <c r="F2067" s="38">
        <f t="shared" si="253"/>
        <v>0.36595081979498528</v>
      </c>
      <c r="G2067" s="14">
        <f t="shared" si="254"/>
        <v>0</v>
      </c>
      <c r="H2067" s="24">
        <f t="shared" si="260"/>
        <v>1649.9300167972847</v>
      </c>
      <c r="I2067" s="12">
        <f t="shared" si="259"/>
        <v>0.13332815227568717</v>
      </c>
      <c r="J2067" s="3"/>
    </row>
    <row r="2068" spans="2:10" x14ac:dyDescent="0.25">
      <c r="B2068" s="3">
        <f t="shared" si="255"/>
        <v>10240</v>
      </c>
      <c r="C2068" s="14">
        <f t="shared" si="256"/>
        <v>170.66666666666666</v>
      </c>
      <c r="D2068" s="11">
        <f t="shared" si="257"/>
        <v>1101.7670489409095</v>
      </c>
      <c r="E2068" s="24">
        <f t="shared" si="258"/>
        <v>747.26104640510448</v>
      </c>
      <c r="F2068" s="38">
        <f t="shared" ref="F2068:F2131" si="261">Cp*RhoP/(RhoA*H2068)*dp/1000*MassivP</f>
        <v>0.36797130920037147</v>
      </c>
      <c r="G2068" s="14">
        <f t="shared" ref="G2068:G2131" si="262">Phi*EpsilonF*Botzman/10^8*J2068*((D2068+273)^4-(E2068+273)^4)</f>
        <v>0</v>
      </c>
      <c r="H2068" s="24">
        <f t="shared" si="260"/>
        <v>1640.8704351526942</v>
      </c>
      <c r="I2068" s="12">
        <f t="shared" si="259"/>
        <v>0.13396005689089413</v>
      </c>
      <c r="J2068" s="3"/>
    </row>
    <row r="2069" spans="2:10" x14ac:dyDescent="0.25">
      <c r="B2069" s="3">
        <f t="shared" ref="B2069:B2132" si="263">B2068+DeltaT</f>
        <v>10245</v>
      </c>
      <c r="C2069" s="14">
        <f t="shared" ref="C2069:C2132" si="264">B2069/60</f>
        <v>170.75</v>
      </c>
      <c r="D2069" s="11">
        <f t="shared" ref="D2069:D2132" si="265">20+345*LOG(8*C2069+1,10)</f>
        <v>1101.8401375258986</v>
      </c>
      <c r="E2069" s="24">
        <f t="shared" ref="E2069:E2132" si="266">E2068+IF(Limit=Oui,MAX(0,I2068),I2068)</f>
        <v>747.39500646199542</v>
      </c>
      <c r="F2069" s="38">
        <f t="shared" si="261"/>
        <v>0.36999032173626578</v>
      </c>
      <c r="G2069" s="14">
        <f t="shared" si="262"/>
        <v>0</v>
      </c>
      <c r="H2069" s="24">
        <f t="shared" si="260"/>
        <v>1631.9163145075786</v>
      </c>
      <c r="I2069" s="12">
        <f t="shared" ref="I2069:I2132" si="267">LambdaP*MassivP/(dp/1000)/(H2069*RhoA)/(1+F2069/3)*(D2069-E2069)*DeltaT-(EXP(F2069/10)-1)*(D2069-D2068)</f>
        <v>0.13459020724759804</v>
      </c>
      <c r="J2069" s="3"/>
    </row>
    <row r="2070" spans="2:10" x14ac:dyDescent="0.25">
      <c r="B2070" s="3">
        <f t="shared" si="263"/>
        <v>10250</v>
      </c>
      <c r="C2070" s="14">
        <f t="shared" si="264"/>
        <v>170.83333333333334</v>
      </c>
      <c r="D2070" s="11">
        <f t="shared" si="265"/>
        <v>1101.9131904753012</v>
      </c>
      <c r="E2070" s="24">
        <f t="shared" si="266"/>
        <v>747.52959666924301</v>
      </c>
      <c r="F2070" s="38">
        <f t="shared" si="261"/>
        <v>0.37200776548430148</v>
      </c>
      <c r="G2070" s="14">
        <f t="shared" si="262"/>
        <v>0</v>
      </c>
      <c r="H2070" s="24">
        <f t="shared" si="260"/>
        <v>1623.0662321397156</v>
      </c>
      <c r="I2070" s="12">
        <f t="shared" si="267"/>
        <v>0.13521857446676958</v>
      </c>
      <c r="J2070" s="3"/>
    </row>
    <row r="2071" spans="2:10" x14ac:dyDescent="0.25">
      <c r="B2071" s="3">
        <f t="shared" si="263"/>
        <v>10255</v>
      </c>
      <c r="C2071" s="14">
        <f t="shared" si="264"/>
        <v>170.91666666666666</v>
      </c>
      <c r="D2071" s="11">
        <f t="shared" si="265"/>
        <v>1101.98620782385</v>
      </c>
      <c r="E2071" s="24">
        <f t="shared" si="266"/>
        <v>747.66481524370977</v>
      </c>
      <c r="F2071" s="38">
        <f t="shared" si="261"/>
        <v>0.37402354950398092</v>
      </c>
      <c r="G2071" s="14">
        <f t="shared" si="262"/>
        <v>0</v>
      </c>
      <c r="H2071" s="24">
        <f t="shared" si="260"/>
        <v>1614.3187856808831</v>
      </c>
      <c r="I2071" s="12">
        <f t="shared" si="267"/>
        <v>0.13584513017567831</v>
      </c>
      <c r="J2071" s="3"/>
    </row>
    <row r="2072" spans="2:10" x14ac:dyDescent="0.25">
      <c r="B2072" s="3">
        <f t="shared" si="263"/>
        <v>10260</v>
      </c>
      <c r="C2072" s="14">
        <f t="shared" si="264"/>
        <v>171</v>
      </c>
      <c r="D2072" s="11">
        <f t="shared" si="265"/>
        <v>1102.0591896062265</v>
      </c>
      <c r="E2072" s="24">
        <f t="shared" si="266"/>
        <v>747.80066037388542</v>
      </c>
      <c r="F2072" s="38">
        <f t="shared" si="261"/>
        <v>0.37603758384372726</v>
      </c>
      <c r="G2072" s="14">
        <f t="shared" si="262"/>
        <v>0</v>
      </c>
      <c r="H2072" s="24">
        <f t="shared" si="260"/>
        <v>1605.672592828495</v>
      </c>
      <c r="I2072" s="12">
        <f t="shared" si="267"/>
        <v>0.13646984650882168</v>
      </c>
      <c r="J2072" s="3"/>
    </row>
    <row r="2073" spans="2:10" x14ac:dyDescent="0.25">
      <c r="B2073" s="3">
        <f t="shared" si="263"/>
        <v>10265</v>
      </c>
      <c r="C2073" s="14">
        <f t="shared" si="264"/>
        <v>171.08333333333334</v>
      </c>
      <c r="D2073" s="11">
        <f t="shared" si="265"/>
        <v>1102.1321358570619</v>
      </c>
      <c r="E2073" s="24">
        <f t="shared" si="266"/>
        <v>747.93713022039424</v>
      </c>
      <c r="F2073" s="38">
        <f t="shared" si="261"/>
        <v>0.37804977955138536</v>
      </c>
      <c r="G2073" s="14">
        <f t="shared" si="262"/>
        <v>0</v>
      </c>
      <c r="H2073" s="24">
        <f t="shared" si="260"/>
        <v>1597.1262910609664</v>
      </c>
      <c r="I2073" s="12">
        <f t="shared" si="267"/>
        <v>0.13709269610850336</v>
      </c>
      <c r="J2073" s="3"/>
    </row>
    <row r="2074" spans="2:10" x14ac:dyDescent="0.25">
      <c r="B2074" s="3">
        <f t="shared" si="263"/>
        <v>10270</v>
      </c>
      <c r="C2074" s="14">
        <f t="shared" si="264"/>
        <v>171.16666666666666</v>
      </c>
      <c r="D2074" s="11">
        <f t="shared" si="265"/>
        <v>1102.205046610937</v>
      </c>
      <c r="E2074" s="24">
        <f t="shared" si="266"/>
        <v>748.07422291650278</v>
      </c>
      <c r="F2074" s="38">
        <f t="shared" si="261"/>
        <v>0.38006004868416327</v>
      </c>
      <c r="G2074" s="14">
        <f t="shared" si="262"/>
        <v>0</v>
      </c>
      <c r="H2074" s="24">
        <f t="shared" si="260"/>
        <v>1588.678537356825</v>
      </c>
      <c r="I2074" s="12">
        <f t="shared" si="267"/>
        <v>0.13771365212530132</v>
      </c>
      <c r="J2074" s="3"/>
    </row>
    <row r="2075" spans="2:10" x14ac:dyDescent="0.25">
      <c r="B2075" s="3">
        <f t="shared" si="263"/>
        <v>10275</v>
      </c>
      <c r="C2075" s="14">
        <f t="shared" si="264"/>
        <v>171.25</v>
      </c>
      <c r="D2075" s="11">
        <f t="shared" si="265"/>
        <v>1102.2779219023816</v>
      </c>
      <c r="E2075" s="24">
        <f t="shared" si="266"/>
        <v>748.21193656862806</v>
      </c>
      <c r="F2075" s="38">
        <f t="shared" si="261"/>
        <v>0.38206830431802496</v>
      </c>
      <c r="G2075" s="14">
        <f t="shared" si="262"/>
        <v>0</v>
      </c>
      <c r="H2075" s="24">
        <f t="shared" si="260"/>
        <v>1580.3280079174965</v>
      </c>
      <c r="I2075" s="12">
        <f t="shared" si="267"/>
        <v>0.13833268821824379</v>
      </c>
      <c r="J2075" s="3"/>
    </row>
    <row r="2076" spans="2:10" x14ac:dyDescent="0.25">
      <c r="B2076" s="3">
        <f t="shared" si="263"/>
        <v>10280</v>
      </c>
      <c r="C2076" s="14">
        <f t="shared" si="264"/>
        <v>171.33333333333334</v>
      </c>
      <c r="D2076" s="11">
        <f t="shared" si="265"/>
        <v>1102.3507617658761</v>
      </c>
      <c r="E2076" s="24">
        <f t="shared" si="266"/>
        <v>748.35026925684633</v>
      </c>
      <c r="F2076" s="38">
        <f t="shared" si="261"/>
        <v>0.38407446055654326</v>
      </c>
      <c r="G2076" s="14">
        <f t="shared" si="262"/>
        <v>0</v>
      </c>
      <c r="H2076" s="24">
        <f t="shared" si="260"/>
        <v>1572.0733978937137</v>
      </c>
      <c r="I2076" s="12">
        <f t="shared" si="267"/>
        <v>0.13894977855479029</v>
      </c>
      <c r="J2076" s="3"/>
    </row>
    <row r="2077" spans="2:10" x14ac:dyDescent="0.25">
      <c r="B2077" s="3">
        <f t="shared" si="263"/>
        <v>10285</v>
      </c>
      <c r="C2077" s="14">
        <f t="shared" si="264"/>
        <v>171.41666666666666</v>
      </c>
      <c r="D2077" s="11">
        <f t="shared" si="265"/>
        <v>1102.423566235849</v>
      </c>
      <c r="E2077" s="24">
        <f t="shared" si="266"/>
        <v>748.48921903540111</v>
      </c>
      <c r="F2077" s="38">
        <f t="shared" si="261"/>
        <v>0.38607843253920326</v>
      </c>
      <c r="G2077" s="14">
        <f t="shared" si="262"/>
        <v>0</v>
      </c>
      <c r="H2077" s="24">
        <f t="shared" si="260"/>
        <v>1563.9134211155647</v>
      </c>
      <c r="I2077" s="12">
        <f t="shared" si="267"/>
        <v>0.13956489781068362</v>
      </c>
      <c r="J2077" s="3"/>
    </row>
    <row r="2078" spans="2:10" x14ac:dyDescent="0.25">
      <c r="B2078" s="3">
        <f t="shared" si="263"/>
        <v>10290</v>
      </c>
      <c r="C2078" s="14">
        <f t="shared" si="264"/>
        <v>171.5</v>
      </c>
      <c r="D2078" s="11">
        <f t="shared" si="265"/>
        <v>1102.4963353466803</v>
      </c>
      <c r="E2078" s="24">
        <f t="shared" si="266"/>
        <v>748.62878393321182</v>
      </c>
      <c r="F2078" s="38">
        <f t="shared" si="261"/>
        <v>0.38808013644918188</v>
      </c>
      <c r="G2078" s="14">
        <f t="shared" si="262"/>
        <v>0</v>
      </c>
      <c r="H2078" s="24">
        <f t="shared" si="260"/>
        <v>1555.846809826056</v>
      </c>
      <c r="I2078" s="12">
        <f t="shared" si="267"/>
        <v>0.14017802116937084</v>
      </c>
      <c r="J2078" s="3"/>
    </row>
    <row r="2079" spans="2:10" x14ac:dyDescent="0.25">
      <c r="B2079" s="3">
        <f t="shared" si="263"/>
        <v>10295</v>
      </c>
      <c r="C2079" s="14">
        <f t="shared" si="264"/>
        <v>171.58333333333334</v>
      </c>
      <c r="D2079" s="11">
        <f t="shared" si="265"/>
        <v>1102.5690691326993</v>
      </c>
      <c r="E2079" s="24">
        <f t="shared" si="266"/>
        <v>748.76896195438121</v>
      </c>
      <c r="F2079" s="38">
        <f t="shared" si="261"/>
        <v>0.39007948952058835</v>
      </c>
      <c r="G2079" s="14">
        <f t="shared" si="262"/>
        <v>0</v>
      </c>
      <c r="H2079" s="24">
        <f t="shared" si="260"/>
        <v>1547.8723144182436</v>
      </c>
      <c r="I2079" s="12">
        <f t="shared" si="267"/>
        <v>0.14078912432157759</v>
      </c>
      <c r="J2079" s="3"/>
    </row>
    <row r="2080" spans="2:10" x14ac:dyDescent="0.25">
      <c r="B2080" s="3">
        <f t="shared" si="263"/>
        <v>10300</v>
      </c>
      <c r="C2080" s="14">
        <f t="shared" si="264"/>
        <v>171.66666666666666</v>
      </c>
      <c r="D2080" s="11">
        <f t="shared" si="265"/>
        <v>1102.6417676281849</v>
      </c>
      <c r="E2080" s="24">
        <f t="shared" si="266"/>
        <v>748.90975107870281</v>
      </c>
      <c r="F2080" s="38">
        <f t="shared" si="261"/>
        <v>0.39207641004519161</v>
      </c>
      <c r="G2080" s="14">
        <f t="shared" si="262"/>
        <v>0</v>
      </c>
      <c r="H2080" s="24">
        <f t="shared" si="260"/>
        <v>1539.9887031758058</v>
      </c>
      <c r="I2080" s="12">
        <f t="shared" si="267"/>
        <v>0.14139818346437144</v>
      </c>
      <c r="J2080" s="3"/>
    </row>
    <row r="2081" spans="2:10" x14ac:dyDescent="0.25">
      <c r="B2081" s="3">
        <f t="shared" si="263"/>
        <v>10305</v>
      </c>
      <c r="C2081" s="14">
        <f t="shared" si="264"/>
        <v>171.75</v>
      </c>
      <c r="D2081" s="11">
        <f t="shared" si="265"/>
        <v>1102.7144308673669</v>
      </c>
      <c r="E2081" s="24">
        <f t="shared" si="266"/>
        <v>749.0511492621672</v>
      </c>
      <c r="F2081" s="38">
        <f t="shared" si="261"/>
        <v>0.39407081737862515</v>
      </c>
      <c r="G2081" s="14">
        <f t="shared" si="262"/>
        <v>0</v>
      </c>
      <c r="H2081" s="24">
        <f t="shared" si="260"/>
        <v>1532.1947620170833</v>
      </c>
      <c r="I2081" s="12">
        <f t="shared" si="267"/>
        <v>0.14200517530016693</v>
      </c>
      <c r="J2081" s="3"/>
    </row>
    <row r="2082" spans="2:10" x14ac:dyDescent="0.25">
      <c r="B2082" s="3">
        <f t="shared" si="263"/>
        <v>10310</v>
      </c>
      <c r="C2082" s="14">
        <f t="shared" si="264"/>
        <v>171.83333333333334</v>
      </c>
      <c r="D2082" s="11">
        <f t="shared" si="265"/>
        <v>1102.7870588844248</v>
      </c>
      <c r="E2082" s="24">
        <f t="shared" si="266"/>
        <v>749.19315443746734</v>
      </c>
      <c r="F2082" s="38">
        <f t="shared" si="261"/>
        <v>0.39606263194608465</v>
      </c>
      <c r="G2082" s="14">
        <f t="shared" si="262"/>
        <v>0</v>
      </c>
      <c r="H2082" s="24">
        <f t="shared" si="260"/>
        <v>1524.4892942425167</v>
      </c>
      <c r="I2082" s="12">
        <f t="shared" si="267"/>
        <v>0.14261007703560091</v>
      </c>
      <c r="J2082" s="3"/>
    </row>
    <row r="2083" spans="2:10" x14ac:dyDescent="0.25">
      <c r="B2083" s="3">
        <f t="shared" si="263"/>
        <v>10315</v>
      </c>
      <c r="C2083" s="14">
        <f t="shared" si="264"/>
        <v>171.91666666666666</v>
      </c>
      <c r="D2083" s="11">
        <f t="shared" si="265"/>
        <v>1102.8596517134886</v>
      </c>
      <c r="E2083" s="24">
        <f t="shared" si="266"/>
        <v>749.3357645145029</v>
      </c>
      <c r="F2083" s="38">
        <f t="shared" si="261"/>
        <v>0.39805177524752344</v>
      </c>
      <c r="G2083" s="14">
        <f t="shared" si="262"/>
        <v>0</v>
      </c>
      <c r="H2083" s="24">
        <f t="shared" si="260"/>
        <v>1516.8711202854429</v>
      </c>
      <c r="I2083" s="12">
        <f t="shared" si="267"/>
        <v>0.14321286638010169</v>
      </c>
      <c r="J2083" s="3"/>
    </row>
    <row r="2084" spans="2:10" x14ac:dyDescent="0.25">
      <c r="B2084" s="3">
        <f t="shared" si="263"/>
        <v>10320</v>
      </c>
      <c r="C2084" s="14">
        <f t="shared" si="264"/>
        <v>172</v>
      </c>
      <c r="D2084" s="11">
        <f t="shared" si="265"/>
        <v>1102.9322093886385</v>
      </c>
      <c r="E2084" s="24">
        <f t="shared" si="266"/>
        <v>749.47897738088295</v>
      </c>
      <c r="F2084" s="38">
        <f t="shared" si="261"/>
        <v>0.40003816986235113</v>
      </c>
      <c r="G2084" s="14">
        <f t="shared" si="262"/>
        <v>0</v>
      </c>
      <c r="H2084" s="24">
        <f t="shared" si="260"/>
        <v>1509.3390774662303</v>
      </c>
      <c r="I2084" s="12">
        <f t="shared" si="267"/>
        <v>0.14381352154437191</v>
      </c>
      <c r="J2084" s="3"/>
    </row>
    <row r="2085" spans="2:10" x14ac:dyDescent="0.25">
      <c r="B2085" s="3">
        <f t="shared" si="263"/>
        <v>10325</v>
      </c>
      <c r="C2085" s="14">
        <f t="shared" si="264"/>
        <v>172.08333333333334</v>
      </c>
      <c r="D2085" s="11">
        <f t="shared" si="265"/>
        <v>1103.0047319439057</v>
      </c>
      <c r="E2085" s="24">
        <f t="shared" si="266"/>
        <v>749.62279090242737</v>
      </c>
      <c r="F2085" s="38">
        <f t="shared" si="261"/>
        <v>0.40202173945364428</v>
      </c>
      <c r="G2085" s="14">
        <f t="shared" si="262"/>
        <v>0</v>
      </c>
      <c r="H2085" s="24">
        <f t="shared" si="260"/>
        <v>1501.8920197496966</v>
      </c>
      <c r="I2085" s="12">
        <f t="shared" si="267"/>
        <v>0.14441202123866542</v>
      </c>
      <c r="J2085" s="3"/>
    </row>
    <row r="2086" spans="2:10" x14ac:dyDescent="0.25">
      <c r="B2086" s="3">
        <f t="shared" si="263"/>
        <v>10330</v>
      </c>
      <c r="C2086" s="14">
        <f t="shared" si="264"/>
        <v>172.16666666666666</v>
      </c>
      <c r="D2086" s="11">
        <f t="shared" si="265"/>
        <v>1103.0772194132715</v>
      </c>
      <c r="E2086" s="24">
        <f t="shared" si="266"/>
        <v>749.76720292366599</v>
      </c>
      <c r="F2086" s="38">
        <f t="shared" si="261"/>
        <v>0.40400240877187099</v>
      </c>
      <c r="G2086" s="14">
        <f t="shared" si="262"/>
        <v>0</v>
      </c>
      <c r="H2086" s="24">
        <f t="shared" si="260"/>
        <v>1494.5288175058022</v>
      </c>
      <c r="I2086" s="12">
        <f t="shared" si="267"/>
        <v>0.14500834467092338</v>
      </c>
      <c r="J2086" s="3"/>
    </row>
    <row r="2087" spans="2:10" x14ac:dyDescent="0.25">
      <c r="B2087" s="3">
        <f t="shared" si="263"/>
        <v>10335</v>
      </c>
      <c r="C2087" s="14">
        <f t="shared" si="264"/>
        <v>172.25</v>
      </c>
      <c r="D2087" s="11">
        <f t="shared" si="265"/>
        <v>1103.149671830668</v>
      </c>
      <c r="E2087" s="24">
        <f t="shared" si="266"/>
        <v>749.91221126833693</v>
      </c>
      <c r="F2087" s="38">
        <f t="shared" si="261"/>
        <v>0.40598010365815546</v>
      </c>
      <c r="G2087" s="14">
        <f t="shared" si="262"/>
        <v>0</v>
      </c>
      <c r="H2087" s="24">
        <f t="shared" si="260"/>
        <v>1487.248357273508</v>
      </c>
      <c r="I2087" s="12">
        <f t="shared" si="267"/>
        <v>0.14560247154471581</v>
      </c>
      <c r="J2087" s="3"/>
    </row>
    <row r="2088" spans="2:10" x14ac:dyDescent="0.25">
      <c r="B2088" s="3">
        <f t="shared" si="263"/>
        <v>10340</v>
      </c>
      <c r="C2088" s="14">
        <f t="shared" si="264"/>
        <v>172.33333333333334</v>
      </c>
      <c r="D2088" s="11">
        <f t="shared" si="265"/>
        <v>1103.2220892299783</v>
      </c>
      <c r="E2088" s="24">
        <f t="shared" si="266"/>
        <v>750.05781373988168</v>
      </c>
      <c r="F2088" s="38">
        <f t="shared" si="261"/>
        <v>0.40795475104706042</v>
      </c>
      <c r="G2088" s="14">
        <f t="shared" si="262"/>
        <v>0</v>
      </c>
      <c r="H2088" s="24">
        <f t="shared" si="260"/>
        <v>1480.0495415278749</v>
      </c>
      <c r="I2088" s="12">
        <f t="shared" si="267"/>
        <v>0.14619438205704027</v>
      </c>
      <c r="J2088" s="3"/>
    </row>
    <row r="2089" spans="2:10" x14ac:dyDescent="0.25">
      <c r="B2089" s="3">
        <f t="shared" si="263"/>
        <v>10345</v>
      </c>
      <c r="C2089" s="14">
        <f t="shared" si="264"/>
        <v>172.41666666666666</v>
      </c>
      <c r="D2089" s="11">
        <f t="shared" si="265"/>
        <v>1103.2944716450368</v>
      </c>
      <c r="E2089" s="24">
        <f t="shared" si="266"/>
        <v>750.20400812193873</v>
      </c>
      <c r="F2089" s="38">
        <f t="shared" si="261"/>
        <v>0.40992627896892342</v>
      </c>
      <c r="G2089" s="14">
        <f t="shared" si="262"/>
        <v>0</v>
      </c>
      <c r="H2089" s="24">
        <f t="shared" si="260"/>
        <v>1472.9312884502672</v>
      </c>
      <c r="I2089" s="12">
        <f t="shared" si="267"/>
        <v>0.14678405689596208</v>
      </c>
      <c r="J2089" s="3"/>
    </row>
    <row r="2090" spans="2:10" x14ac:dyDescent="0.25">
      <c r="B2090" s="3">
        <f t="shared" si="263"/>
        <v>10350</v>
      </c>
      <c r="C2090" s="14">
        <f t="shared" si="264"/>
        <v>172.5</v>
      </c>
      <c r="D2090" s="11">
        <f t="shared" si="265"/>
        <v>1103.3668191096276</v>
      </c>
      <c r="E2090" s="24">
        <f t="shared" si="266"/>
        <v>750.35079217883469</v>
      </c>
      <c r="F2090" s="38">
        <f t="shared" si="261"/>
        <v>0.41189461655174037</v>
      </c>
      <c r="G2090" s="14">
        <f t="shared" si="262"/>
        <v>0</v>
      </c>
      <c r="H2090" s="24">
        <f t="shared" si="260"/>
        <v>1465.8925317016722</v>
      </c>
      <c r="I2090" s="12">
        <f t="shared" si="267"/>
        <v>0.1473714772381913</v>
      </c>
      <c r="J2090" s="3"/>
    </row>
    <row r="2091" spans="2:10" x14ac:dyDescent="0.25">
      <c r="B2091" s="3">
        <f t="shared" si="263"/>
        <v>10355</v>
      </c>
      <c r="C2091" s="14">
        <f t="shared" si="264"/>
        <v>172.58333333333334</v>
      </c>
      <c r="D2091" s="11">
        <f t="shared" si="265"/>
        <v>1103.4391316574872</v>
      </c>
      <c r="E2091" s="24">
        <f t="shared" si="266"/>
        <v>750.49816365607285</v>
      </c>
      <c r="F2091" s="38">
        <f t="shared" si="261"/>
        <v>0.41385969402260631</v>
      </c>
      <c r="G2091" s="14">
        <f t="shared" si="262"/>
        <v>0</v>
      </c>
      <c r="H2091" s="24">
        <f t="shared" si="260"/>
        <v>1458.9322201990972</v>
      </c>
      <c r="I2091" s="12">
        <f t="shared" si="267"/>
        <v>0.14795662474629931</v>
      </c>
      <c r="J2091" s="3"/>
    </row>
    <row r="2092" spans="2:10" x14ac:dyDescent="0.25">
      <c r="B2092" s="3">
        <f t="shared" si="263"/>
        <v>10360</v>
      </c>
      <c r="C2092" s="14">
        <f t="shared" si="264"/>
        <v>172.66666666666666</v>
      </c>
      <c r="D2092" s="11">
        <f t="shared" si="265"/>
        <v>1103.5114093223026</v>
      </c>
      <c r="E2092" s="24">
        <f t="shared" si="266"/>
        <v>750.6461202808191</v>
      </c>
      <c r="F2092" s="38">
        <f t="shared" si="261"/>
        <v>0.41582144270872717</v>
      </c>
      <c r="G2092" s="14">
        <f t="shared" si="262"/>
        <v>0</v>
      </c>
      <c r="H2092" s="24">
        <f t="shared" si="260"/>
        <v>1452.0493178949951</v>
      </c>
      <c r="I2092" s="12">
        <f t="shared" si="267"/>
        <v>0.1485394815660824</v>
      </c>
      <c r="J2092" s="3"/>
    </row>
    <row r="2093" spans="2:10" x14ac:dyDescent="0.25">
      <c r="B2093" s="3">
        <f t="shared" si="263"/>
        <v>10365</v>
      </c>
      <c r="C2093" s="14">
        <f t="shared" si="264"/>
        <v>172.75</v>
      </c>
      <c r="D2093" s="11">
        <f t="shared" si="265"/>
        <v>1103.5836521377121</v>
      </c>
      <c r="E2093" s="24">
        <f t="shared" si="266"/>
        <v>750.79465976238521</v>
      </c>
      <c r="F2093" s="38">
        <f t="shared" si="261"/>
        <v>0.41777979503800361</v>
      </c>
      <c r="G2093" s="14">
        <f t="shared" si="262"/>
        <v>0</v>
      </c>
      <c r="H2093" s="24">
        <f t="shared" si="260"/>
        <v>1445.2428035596977</v>
      </c>
      <c r="I2093" s="12">
        <f t="shared" si="267"/>
        <v>0.14912003032356336</v>
      </c>
      <c r="J2093" s="3"/>
    </row>
    <row r="2094" spans="2:10" x14ac:dyDescent="0.25">
      <c r="B2094" s="3">
        <f t="shared" si="263"/>
        <v>10370</v>
      </c>
      <c r="C2094" s="14">
        <f t="shared" si="264"/>
        <v>172.83333333333334</v>
      </c>
      <c r="D2094" s="11">
        <f t="shared" si="265"/>
        <v>1103.6558601373056</v>
      </c>
      <c r="E2094" s="24">
        <f t="shared" si="266"/>
        <v>750.94377979270882</v>
      </c>
      <c r="F2094" s="38">
        <f t="shared" si="261"/>
        <v>0.41973468453919954</v>
      </c>
      <c r="G2094" s="14">
        <f t="shared" si="262"/>
        <v>0</v>
      </c>
      <c r="H2094" s="24">
        <f t="shared" si="260"/>
        <v>1438.5116705668174</v>
      </c>
      <c r="I2094" s="12">
        <f t="shared" si="267"/>
        <v>0.1496982541219691</v>
      </c>
      <c r="J2094" s="3"/>
    </row>
    <row r="2095" spans="2:10" x14ac:dyDescent="0.25">
      <c r="B2095" s="3">
        <f t="shared" si="263"/>
        <v>10375</v>
      </c>
      <c r="C2095" s="14">
        <f t="shared" si="264"/>
        <v>172.91666666666666</v>
      </c>
      <c r="D2095" s="11">
        <f t="shared" si="265"/>
        <v>1103.7280333546244</v>
      </c>
      <c r="E2095" s="24">
        <f t="shared" si="266"/>
        <v>751.0934780468308</v>
      </c>
      <c r="F2095" s="38">
        <f t="shared" si="261"/>
        <v>0.42168604584170605</v>
      </c>
      <c r="G2095" s="14">
        <f t="shared" si="262"/>
        <v>0</v>
      </c>
      <c r="H2095" s="24">
        <f t="shared" si="260"/>
        <v>1431.8549266815769</v>
      </c>
      <c r="I2095" s="12">
        <f t="shared" si="267"/>
        <v>0.15027413653858482</v>
      </c>
      <c r="J2095" s="3"/>
    </row>
    <row r="2096" spans="2:10" x14ac:dyDescent="0.25">
      <c r="B2096" s="3">
        <f t="shared" si="263"/>
        <v>10380</v>
      </c>
      <c r="C2096" s="14">
        <f t="shared" si="264"/>
        <v>173</v>
      </c>
      <c r="D2096" s="11">
        <f t="shared" si="265"/>
        <v>1103.800171823161</v>
      </c>
      <c r="E2096" s="24">
        <f t="shared" si="266"/>
        <v>751.24375218336934</v>
      </c>
      <c r="F2096" s="38">
        <f t="shared" si="261"/>
        <v>0.42363381467490757</v>
      </c>
      <c r="G2096" s="14">
        <f t="shared" si="262"/>
        <v>0</v>
      </c>
      <c r="H2096" s="24">
        <f t="shared" si="260"/>
        <v>1425.271593852028</v>
      </c>
      <c r="I2096" s="12">
        <f t="shared" si="267"/>
        <v>0.15084766162146071</v>
      </c>
      <c r="J2096" s="3"/>
    </row>
    <row r="2097" spans="2:10" x14ac:dyDescent="0.25">
      <c r="B2097" s="3">
        <f t="shared" si="263"/>
        <v>10385</v>
      </c>
      <c r="C2097" s="14">
        <f t="shared" si="264"/>
        <v>173.08333333333334</v>
      </c>
      <c r="D2097" s="11">
        <f t="shared" si="265"/>
        <v>1103.8722755763604</v>
      </c>
      <c r="E2097" s="24">
        <f t="shared" si="266"/>
        <v>751.39459984499081</v>
      </c>
      <c r="F2097" s="38">
        <f t="shared" si="261"/>
        <v>0.42557792786715776</v>
      </c>
      <c r="G2097" s="14">
        <f t="shared" si="262"/>
        <v>0</v>
      </c>
      <c r="H2097" s="24">
        <f t="shared" si="260"/>
        <v>1418.7607080031451</v>
      </c>
      <c r="I2097" s="12">
        <f t="shared" si="267"/>
        <v>0.1514188138859735</v>
      </c>
      <c r="J2097" s="3"/>
    </row>
    <row r="2098" spans="2:10" x14ac:dyDescent="0.25">
      <c r="B2098" s="3">
        <f t="shared" si="263"/>
        <v>10390</v>
      </c>
      <c r="C2098" s="14">
        <f t="shared" si="264"/>
        <v>173.16666666666666</v>
      </c>
      <c r="D2098" s="11">
        <f t="shared" si="265"/>
        <v>1103.9443446476184</v>
      </c>
      <c r="E2098" s="24">
        <f t="shared" si="266"/>
        <v>751.54601865887673</v>
      </c>
      <c r="F2098" s="38">
        <f t="shared" si="261"/>
        <v>0.4275183233443714</v>
      </c>
      <c r="G2098" s="14">
        <f t="shared" si="262"/>
        <v>0</v>
      </c>
      <c r="H2098" s="24">
        <f t="shared" si="260"/>
        <v>1412.3213188337595</v>
      </c>
      <c r="I2098" s="12">
        <f t="shared" si="267"/>
        <v>0.15198757831140366</v>
      </c>
      <c r="J2098" s="3"/>
    </row>
    <row r="2099" spans="2:10" x14ac:dyDescent="0.25">
      <c r="B2099" s="3">
        <f t="shared" si="263"/>
        <v>10395</v>
      </c>
      <c r="C2099" s="14">
        <f t="shared" si="264"/>
        <v>173.25</v>
      </c>
      <c r="D2099" s="11">
        <f t="shared" si="265"/>
        <v>1104.0163790702832</v>
      </c>
      <c r="E2099" s="24">
        <f t="shared" si="266"/>
        <v>751.69800623718811</v>
      </c>
      <c r="F2099" s="38">
        <f t="shared" si="261"/>
        <v>0.42945494012825342</v>
      </c>
      <c r="G2099" s="14">
        <f t="shared" si="262"/>
        <v>0</v>
      </c>
      <c r="H2099" s="24">
        <f t="shared" si="260"/>
        <v>1405.9524896162609</v>
      </c>
      <c r="I2099" s="12">
        <f t="shared" si="267"/>
        <v>0.15255394033723357</v>
      </c>
      <c r="J2099" s="3"/>
    </row>
    <row r="2100" spans="2:10" x14ac:dyDescent="0.25">
      <c r="B2100" s="3">
        <f t="shared" si="263"/>
        <v>10400</v>
      </c>
      <c r="C2100" s="14">
        <f t="shared" si="264"/>
        <v>173.33333333333334</v>
      </c>
      <c r="D2100" s="11">
        <f t="shared" si="265"/>
        <v>1104.0883788776546</v>
      </c>
      <c r="E2100" s="24">
        <f t="shared" si="266"/>
        <v>751.85056017752538</v>
      </c>
      <c r="F2100" s="38">
        <f t="shared" si="261"/>
        <v>0.43138771833415873</v>
      </c>
      <c r="G2100" s="14">
        <f t="shared" si="262"/>
        <v>0</v>
      </c>
      <c r="H2100" s="24">
        <f t="shared" si="260"/>
        <v>1399.6532969990901</v>
      </c>
      <c r="I2100" s="12">
        <f t="shared" si="267"/>
        <v>0.15311788585946903</v>
      </c>
      <c r="J2100" s="3"/>
    </row>
    <row r="2101" spans="2:10" x14ac:dyDescent="0.25">
      <c r="B2101" s="3">
        <f t="shared" si="263"/>
        <v>10405</v>
      </c>
      <c r="C2101" s="14">
        <f t="shared" si="264"/>
        <v>173.41666666666666</v>
      </c>
      <c r="D2101" s="11">
        <f t="shared" si="265"/>
        <v>1104.1603441029845</v>
      </c>
      <c r="E2101" s="24">
        <f t="shared" si="266"/>
        <v>752.00367806338488</v>
      </c>
      <c r="F2101" s="38">
        <f t="shared" si="261"/>
        <v>0.43331659916859966</v>
      </c>
      <c r="G2101" s="14">
        <f t="shared" si="262"/>
        <v>0</v>
      </c>
      <c r="H2101" s="24">
        <f t="shared" si="260"/>
        <v>1393.4228308119568</v>
      </c>
      <c r="I2101" s="12">
        <f t="shared" si="267"/>
        <v>0.15367940122683543</v>
      </c>
      <c r="J2101" s="3"/>
    </row>
    <row r="2102" spans="2:10" x14ac:dyDescent="0.25">
      <c r="B2102" s="3">
        <f t="shared" si="263"/>
        <v>10410</v>
      </c>
      <c r="C2102" s="14">
        <f t="shared" si="264"/>
        <v>173.5</v>
      </c>
      <c r="D2102" s="11">
        <f t="shared" si="265"/>
        <v>1104.2322747794774</v>
      </c>
      <c r="E2102" s="24">
        <f t="shared" si="266"/>
        <v>752.15735746461166</v>
      </c>
      <c r="F2102" s="38">
        <f t="shared" si="261"/>
        <v>0.43524152492641216</v>
      </c>
      <c r="G2102" s="14">
        <f t="shared" si="262"/>
        <v>0</v>
      </c>
      <c r="H2102" s="24">
        <f t="shared" si="260"/>
        <v>1387.2601938737475</v>
      </c>
      <c r="I2102" s="12">
        <f t="shared" si="267"/>
        <v>0.15423847323682199</v>
      </c>
      <c r="J2102" s="3"/>
    </row>
    <row r="2103" spans="2:10" x14ac:dyDescent="0.25">
      <c r="B2103" s="3">
        <f t="shared" si="263"/>
        <v>10415</v>
      </c>
      <c r="C2103" s="14">
        <f t="shared" si="264"/>
        <v>173.58333333333334</v>
      </c>
      <c r="D2103" s="11">
        <f t="shared" si="265"/>
        <v>1104.3041709402889</v>
      </c>
      <c r="E2103" s="24">
        <f t="shared" si="266"/>
        <v>752.31159593784844</v>
      </c>
      <c r="F2103" s="38">
        <f t="shared" si="261"/>
        <v>0.43716243898758822</v>
      </c>
      <c r="G2103" s="14">
        <f t="shared" si="262"/>
        <v>0</v>
      </c>
      <c r="H2103" s="24">
        <f t="shared" ref="H2103:H2166" si="268">IF(E2103&lt;600,425+0.773*E2103-1.69/1000*E2103^2+2.22/1000^2*E2103^3,IF(E2103&lt;735,666+13002/(738-E2103),IF(E2103&lt;900,545+17820/(E2103-731),650)))</f>
        <v>1381.1645018030995</v>
      </c>
      <c r="I2103" s="12">
        <f t="shared" si="267"/>
        <v>0.1547950891317979</v>
      </c>
      <c r="J2103" s="3"/>
    </row>
    <row r="2104" spans="2:10" x14ac:dyDescent="0.25">
      <c r="B2104" s="3">
        <f t="shared" si="263"/>
        <v>10420</v>
      </c>
      <c r="C2104" s="14">
        <f t="shared" si="264"/>
        <v>173.66666666666666</v>
      </c>
      <c r="D2104" s="11">
        <f t="shared" si="265"/>
        <v>1104.3760326185281</v>
      </c>
      <c r="E2104" s="24">
        <f t="shared" si="266"/>
        <v>752.4663910269802</v>
      </c>
      <c r="F2104" s="38">
        <f t="shared" si="261"/>
        <v>0.4390792858137767</v>
      </c>
      <c r="G2104" s="14">
        <f t="shared" si="262"/>
        <v>0</v>
      </c>
      <c r="H2104" s="24">
        <f t="shared" si="268"/>
        <v>1375.1348828316222</v>
      </c>
      <c r="I2104" s="12">
        <f t="shared" si="267"/>
        <v>0.15534923659476252</v>
      </c>
      <c r="J2104" s="3"/>
    </row>
    <row r="2105" spans="2:10" x14ac:dyDescent="0.25">
      <c r="B2105" s="3">
        <f t="shared" si="263"/>
        <v>10425</v>
      </c>
      <c r="C2105" s="14">
        <f t="shared" si="264"/>
        <v>173.75</v>
      </c>
      <c r="D2105" s="11">
        <f t="shared" si="265"/>
        <v>1104.447859847256</v>
      </c>
      <c r="E2105" s="24">
        <f t="shared" si="266"/>
        <v>752.62174026357502</v>
      </c>
      <c r="F2105" s="38">
        <f t="shared" si="261"/>
        <v>0.44099201094447177</v>
      </c>
      <c r="G2105" s="14">
        <f t="shared" si="262"/>
        <v>0</v>
      </c>
      <c r="H2105" s="24">
        <f t="shared" si="268"/>
        <v>1369.170477619713</v>
      </c>
      <c r="I2105" s="12">
        <f t="shared" si="267"/>
        <v>0.15590090374534821</v>
      </c>
      <c r="J2105" s="3"/>
    </row>
    <row r="2106" spans="2:10" x14ac:dyDescent="0.25">
      <c r="B2106" s="3">
        <f t="shared" si="263"/>
        <v>10430</v>
      </c>
      <c r="C2106" s="14">
        <f t="shared" si="264"/>
        <v>173.83333333333334</v>
      </c>
      <c r="D2106" s="11">
        <f t="shared" si="265"/>
        <v>1104.5196526594855</v>
      </c>
      <c r="E2106" s="24">
        <f t="shared" si="266"/>
        <v>752.77764116732033</v>
      </c>
      <c r="F2106" s="38">
        <f t="shared" si="261"/>
        <v>0.44290056099288955</v>
      </c>
      <c r="G2106" s="14">
        <f t="shared" si="262"/>
        <v>0</v>
      </c>
      <c r="H2106" s="24">
        <f t="shared" si="268"/>
        <v>1363.2704390749541</v>
      </c>
      <c r="I2106" s="12">
        <f t="shared" si="267"/>
        <v>0.15645007913553535</v>
      </c>
      <c r="J2106" s="3"/>
    </row>
    <row r="2107" spans="2:10" x14ac:dyDescent="0.25">
      <c r="B2107" s="3">
        <f t="shared" si="263"/>
        <v>10435</v>
      </c>
      <c r="C2107" s="14">
        <f t="shared" si="264"/>
        <v>173.91666666666666</v>
      </c>
      <c r="D2107" s="11">
        <f t="shared" si="265"/>
        <v>1104.5914110881831</v>
      </c>
      <c r="E2107" s="24">
        <f t="shared" si="266"/>
        <v>752.93409124645586</v>
      </c>
      <c r="F2107" s="38">
        <f t="shared" si="261"/>
        <v>0.4448048836415554</v>
      </c>
      <c r="G2107" s="14">
        <f t="shared" si="262"/>
        <v>0</v>
      </c>
      <c r="H2107" s="24">
        <f t="shared" si="268"/>
        <v>1357.4339321730222</v>
      </c>
      <c r="I2107" s="12">
        <f t="shared" si="267"/>
        <v>0.1569967517452463</v>
      </c>
      <c r="J2107" s="3"/>
    </row>
    <row r="2108" spans="2:10" x14ac:dyDescent="0.25">
      <c r="B2108" s="3">
        <f t="shared" si="263"/>
        <v>10440</v>
      </c>
      <c r="C2108" s="14">
        <f t="shared" si="264"/>
        <v>174</v>
      </c>
      <c r="D2108" s="11">
        <f t="shared" si="265"/>
        <v>1104.6631351662672</v>
      </c>
      <c r="E2108" s="24">
        <f t="shared" si="266"/>
        <v>753.09108799820115</v>
      </c>
      <c r="F2108" s="38">
        <f t="shared" si="261"/>
        <v>0.44670492763758868</v>
      </c>
      <c r="G2108" s="14">
        <f t="shared" si="262"/>
        <v>0</v>
      </c>
      <c r="H2108" s="24">
        <f t="shared" si="268"/>
        <v>1351.6601337811458</v>
      </c>
      <c r="I2108" s="12">
        <f t="shared" si="267"/>
        <v>0.15754091097816486</v>
      </c>
      <c r="J2108" s="3"/>
    </row>
    <row r="2109" spans="2:10" x14ac:dyDescent="0.25">
      <c r="B2109" s="3">
        <f t="shared" si="263"/>
        <v>10445</v>
      </c>
      <c r="C2109" s="14">
        <f t="shared" si="264"/>
        <v>174.08333333333334</v>
      </c>
      <c r="D2109" s="11">
        <f t="shared" si="265"/>
        <v>1104.7348249266095</v>
      </c>
      <c r="E2109" s="24">
        <f t="shared" si="266"/>
        <v>753.24862890917927</v>
      </c>
      <c r="F2109" s="38">
        <f t="shared" si="261"/>
        <v>0.448600642787715</v>
      </c>
      <c r="G2109" s="14">
        <f t="shared" si="262"/>
        <v>0</v>
      </c>
      <c r="H2109" s="24">
        <f t="shared" si="268"/>
        <v>1345.9482324840196</v>
      </c>
      <c r="I2109" s="12">
        <f t="shared" si="267"/>
        <v>0.15808254665711477</v>
      </c>
      <c r="J2109" s="3"/>
    </row>
    <row r="2110" spans="2:10" x14ac:dyDescent="0.25">
      <c r="B2110" s="3">
        <f t="shared" si="263"/>
        <v>10450</v>
      </c>
      <c r="C2110" s="14">
        <f t="shared" si="264"/>
        <v>174.16666666666666</v>
      </c>
      <c r="D2110" s="11">
        <f t="shared" si="265"/>
        <v>1104.8064804020339</v>
      </c>
      <c r="E2110" s="24">
        <f t="shared" si="266"/>
        <v>753.40671145583644</v>
      </c>
      <c r="F2110" s="38">
        <f t="shared" si="261"/>
        <v>0.45049197995300905</v>
      </c>
      <c r="G2110" s="14">
        <f t="shared" si="262"/>
        <v>0</v>
      </c>
      <c r="H2110" s="24">
        <f t="shared" si="268"/>
        <v>1340.2974284121597</v>
      </c>
      <c r="I2110" s="12">
        <f t="shared" si="267"/>
        <v>0.158621649019688</v>
      </c>
      <c r="J2110" s="3"/>
    </row>
    <row r="2111" spans="2:10" x14ac:dyDescent="0.25">
      <c r="B2111" s="3">
        <f t="shared" si="263"/>
        <v>10455</v>
      </c>
      <c r="C2111" s="14">
        <f t="shared" si="264"/>
        <v>174.25</v>
      </c>
      <c r="D2111" s="11">
        <f t="shared" si="265"/>
        <v>1104.8781016253176</v>
      </c>
      <c r="E2111" s="24">
        <f t="shared" si="266"/>
        <v>753.56533310485611</v>
      </c>
      <c r="F2111" s="38">
        <f t="shared" si="261"/>
        <v>0.45237889104336271</v>
      </c>
      <c r="G2111" s="14">
        <f t="shared" si="262"/>
        <v>0</v>
      </c>
      <c r="H2111" s="24">
        <f t="shared" si="268"/>
        <v>1334.7069330727095</v>
      </c>
      <c r="I2111" s="12">
        <f t="shared" si="267"/>
        <v>0.15915820871362787</v>
      </c>
      <c r="J2111" s="3"/>
    </row>
    <row r="2112" spans="2:10" x14ac:dyDescent="0.25">
      <c r="B2112" s="3">
        <f t="shared" si="263"/>
        <v>10460</v>
      </c>
      <c r="C2112" s="14">
        <f t="shared" si="264"/>
        <v>174.33333333333334</v>
      </c>
      <c r="D2112" s="11">
        <f t="shared" si="265"/>
        <v>1104.9496886291909</v>
      </c>
      <c r="E2112" s="24">
        <f t="shared" si="266"/>
        <v>753.72449131356973</v>
      </c>
      <c r="F2112" s="38">
        <f t="shared" si="261"/>
        <v>0.45426132901171518</v>
      </c>
      <c r="G2112" s="14">
        <f t="shared" si="262"/>
        <v>0</v>
      </c>
      <c r="H2112" s="24">
        <f t="shared" si="268"/>
        <v>1329.1759691825948</v>
      </c>
      <c r="I2112" s="12">
        <f t="shared" si="267"/>
        <v>0.15969221679223639</v>
      </c>
      <c r="J2112" s="3"/>
    </row>
    <row r="2113" spans="2:10" x14ac:dyDescent="0.25">
      <c r="B2113" s="3">
        <f t="shared" si="263"/>
        <v>10465</v>
      </c>
      <c r="C2113" s="14">
        <f t="shared" si="264"/>
        <v>174.41666666666666</v>
      </c>
      <c r="D2113" s="11">
        <f t="shared" si="265"/>
        <v>1105.0212414463369</v>
      </c>
      <c r="E2113" s="24">
        <f t="shared" si="266"/>
        <v>753.88418353036195</v>
      </c>
      <c r="F2113" s="38">
        <f t="shared" si="261"/>
        <v>0.45613924784802412</v>
      </c>
      <c r="G2113" s="14">
        <f t="shared" si="262"/>
        <v>0</v>
      </c>
      <c r="H2113" s="24">
        <f t="shared" si="268"/>
        <v>1323.7037705040702</v>
      </c>
      <c r="I2113" s="12">
        <f t="shared" si="267"/>
        <v>0.16022366470973012</v>
      </c>
      <c r="J2113" s="3"/>
    </row>
    <row r="2114" spans="2:10" x14ac:dyDescent="0.25">
      <c r="B2114" s="3">
        <f t="shared" si="263"/>
        <v>10470</v>
      </c>
      <c r="C2114" s="14">
        <f t="shared" si="264"/>
        <v>174.5</v>
      </c>
      <c r="D2114" s="11">
        <f t="shared" si="265"/>
        <v>1105.0927601093927</v>
      </c>
      <c r="E2114" s="24">
        <f t="shared" si="266"/>
        <v>754.0444071950717</v>
      </c>
      <c r="F2114" s="38">
        <f t="shared" si="261"/>
        <v>0.45801260257300824</v>
      </c>
      <c r="G2114" s="14">
        <f t="shared" si="262"/>
        <v>0</v>
      </c>
      <c r="H2114" s="24">
        <f t="shared" si="268"/>
        <v>1318.2895816825785</v>
      </c>
      <c r="I2114" s="12">
        <f t="shared" si="267"/>
        <v>0.16075254431653174</v>
      </c>
      <c r="J2114" s="3"/>
    </row>
    <row r="2115" spans="2:10" x14ac:dyDescent="0.25">
      <c r="B2115" s="3">
        <f t="shared" si="263"/>
        <v>10475</v>
      </c>
      <c r="C2115" s="14">
        <f t="shared" si="264"/>
        <v>174.58333333333334</v>
      </c>
      <c r="D2115" s="11">
        <f t="shared" si="265"/>
        <v>1105.1642446509472</v>
      </c>
      <c r="E2115" s="24">
        <f t="shared" si="266"/>
        <v>754.20515973938825</v>
      </c>
      <c r="F2115" s="38">
        <f t="shared" si="261"/>
        <v>0.45988134923165813</v>
      </c>
      <c r="G2115" s="14">
        <f t="shared" si="262"/>
        <v>0</v>
      </c>
      <c r="H2115" s="24">
        <f t="shared" si="268"/>
        <v>1312.9326580869201</v>
      </c>
      <c r="I2115" s="12">
        <f t="shared" si="267"/>
        <v>0.16127884785458257</v>
      </c>
      <c r="J2115" s="3"/>
    </row>
    <row r="2116" spans="2:10" x14ac:dyDescent="0.25">
      <c r="B2116" s="3">
        <f t="shared" si="263"/>
        <v>10480</v>
      </c>
      <c r="C2116" s="14">
        <f t="shared" si="264"/>
        <v>174.66666666666666</v>
      </c>
      <c r="D2116" s="11">
        <f t="shared" si="265"/>
        <v>1105.2356951035445</v>
      </c>
      <c r="E2116" s="24">
        <f t="shared" si="266"/>
        <v>754.36643858724278</v>
      </c>
      <c r="F2116" s="38">
        <f t="shared" si="261"/>
        <v>0.46174544488653008</v>
      </c>
      <c r="G2116" s="14">
        <f t="shared" si="262"/>
        <v>0</v>
      </c>
      <c r="H2116" s="24">
        <f t="shared" si="268"/>
        <v>1307.6322656516884</v>
      </c>
      <c r="I2116" s="12">
        <f t="shared" si="267"/>
        <v>0.1618025679524277</v>
      </c>
      <c r="J2116" s="3"/>
    </row>
    <row r="2117" spans="2:10" x14ac:dyDescent="0.25">
      <c r="B2117" s="3">
        <f t="shared" si="263"/>
        <v>10485</v>
      </c>
      <c r="C2117" s="14">
        <f t="shared" si="264"/>
        <v>174.75</v>
      </c>
      <c r="D2117" s="11">
        <f t="shared" si="265"/>
        <v>1105.3071114996806</v>
      </c>
      <c r="E2117" s="24">
        <f t="shared" si="266"/>
        <v>754.52824115519525</v>
      </c>
      <c r="F2117" s="38">
        <f t="shared" si="261"/>
        <v>0.46360484761082948</v>
      </c>
      <c r="G2117" s="14">
        <f t="shared" si="262"/>
        <v>0</v>
      </c>
      <c r="H2117" s="24">
        <f t="shared" si="268"/>
        <v>1302.3876807219474</v>
      </c>
      <c r="I2117" s="12">
        <f t="shared" si="267"/>
        <v>0.16232369762059493</v>
      </c>
      <c r="J2117" s="3"/>
    </row>
    <row r="2118" spans="2:10" x14ac:dyDescent="0.25">
      <c r="B2118" s="3">
        <f t="shared" si="263"/>
        <v>10490</v>
      </c>
      <c r="C2118" s="14">
        <f t="shared" si="264"/>
        <v>174.83333333333334</v>
      </c>
      <c r="D2118" s="11">
        <f t="shared" si="265"/>
        <v>1105.3784938718056</v>
      </c>
      <c r="E2118" s="24">
        <f t="shared" si="266"/>
        <v>754.6905648528159</v>
      </c>
      <c r="F2118" s="38">
        <f t="shared" si="261"/>
        <v>0.46545951648128714</v>
      </c>
      <c r="G2118" s="14">
        <f t="shared" si="262"/>
        <v>0</v>
      </c>
      <c r="H2118" s="24">
        <f t="shared" si="268"/>
        <v>1297.1981899001403</v>
      </c>
      <c r="I2118" s="12">
        <f t="shared" si="267"/>
        <v>0.16284223024659045</v>
      </c>
      <c r="J2118" s="3"/>
    </row>
    <row r="2119" spans="2:10" x14ac:dyDescent="0.25">
      <c r="B2119" s="3">
        <f t="shared" si="263"/>
        <v>10495</v>
      </c>
      <c r="C2119" s="14">
        <f t="shared" si="264"/>
        <v>174.91666666666666</v>
      </c>
      <c r="D2119" s="11">
        <f t="shared" si="265"/>
        <v>1105.4498422523234</v>
      </c>
      <c r="E2119" s="24">
        <f t="shared" si="266"/>
        <v>754.85340708306251</v>
      </c>
      <c r="F2119" s="38">
        <f t="shared" si="261"/>
        <v>0.46730941157084555</v>
      </c>
      <c r="G2119" s="14">
        <f t="shared" si="262"/>
        <v>0</v>
      </c>
      <c r="H2119" s="24">
        <f t="shared" si="268"/>
        <v>1292.0630898951695</v>
      </c>
      <c r="I2119" s="12">
        <f t="shared" si="267"/>
        <v>0.16335815959010264</v>
      </c>
      <c r="J2119" s="3"/>
    </row>
    <row r="2120" spans="2:10" x14ac:dyDescent="0.25">
      <c r="B2120" s="3">
        <f t="shared" si="263"/>
        <v>10500</v>
      </c>
      <c r="C2120" s="14">
        <f t="shared" si="264"/>
        <v>175</v>
      </c>
      <c r="D2120" s="11">
        <f t="shared" si="265"/>
        <v>1105.521156673592</v>
      </c>
      <c r="E2120" s="24">
        <f t="shared" si="266"/>
        <v>755.01676524265258</v>
      </c>
      <c r="F2120" s="38">
        <f t="shared" si="261"/>
        <v>0.46915449394115916</v>
      </c>
      <c r="G2120" s="14">
        <f t="shared" si="262"/>
        <v>0</v>
      </c>
      <c r="H2120" s="24">
        <f t="shared" si="268"/>
        <v>1286.981687373642</v>
      </c>
      <c r="I2120" s="12">
        <f t="shared" si="267"/>
        <v>0.16387147977805161</v>
      </c>
      <c r="J2120" s="3"/>
    </row>
    <row r="2121" spans="2:10" x14ac:dyDescent="0.25">
      <c r="B2121" s="3">
        <f t="shared" si="263"/>
        <v>10505</v>
      </c>
      <c r="C2121" s="14">
        <f t="shared" si="264"/>
        <v>175.08333333333334</v>
      </c>
      <c r="D2121" s="11">
        <f t="shared" si="265"/>
        <v>1105.5924371679225</v>
      </c>
      <c r="E2121" s="24">
        <f t="shared" si="266"/>
        <v>755.18063672243068</v>
      </c>
      <c r="F2121" s="38">
        <f t="shared" si="261"/>
        <v>0.47099472563491579</v>
      </c>
      <c r="G2121" s="14">
        <f t="shared" si="262"/>
        <v>0</v>
      </c>
      <c r="H2121" s="24">
        <f t="shared" si="268"/>
        <v>1281.953298813246</v>
      </c>
      <c r="I2121" s="12">
        <f t="shared" si="267"/>
        <v>0.16438218529980109</v>
      </c>
      <c r="J2121" s="3"/>
    </row>
    <row r="2122" spans="2:10" x14ac:dyDescent="0.25">
      <c r="B2122" s="3">
        <f t="shared" si="263"/>
        <v>10510</v>
      </c>
      <c r="C2122" s="14">
        <f t="shared" si="264"/>
        <v>175.16666666666666</v>
      </c>
      <c r="D2122" s="11">
        <f t="shared" si="265"/>
        <v>1105.6636837675801</v>
      </c>
      <c r="E2122" s="24">
        <f t="shared" si="266"/>
        <v>755.34501890773049</v>
      </c>
      <c r="F2122" s="38">
        <f t="shared" si="261"/>
        <v>0.47283006966798502</v>
      </c>
      <c r="G2122" s="14">
        <f t="shared" si="262"/>
        <v>0</v>
      </c>
      <c r="H2122" s="24">
        <f t="shared" si="268"/>
        <v>1276.9772503582431</v>
      </c>
      <c r="I2122" s="12">
        <f t="shared" si="267"/>
        <v>0.16489027100205778</v>
      </c>
      <c r="J2122" s="3"/>
    </row>
    <row r="2123" spans="2:10" x14ac:dyDescent="0.25">
      <c r="B2123" s="3">
        <f t="shared" si="263"/>
        <v>10515</v>
      </c>
      <c r="C2123" s="14">
        <f t="shared" si="264"/>
        <v>175.25</v>
      </c>
      <c r="D2123" s="11">
        <f t="shared" si="265"/>
        <v>1105.734896504784</v>
      </c>
      <c r="E2123" s="24">
        <f t="shared" si="266"/>
        <v>755.50990917873253</v>
      </c>
      <c r="F2123" s="38">
        <f t="shared" si="261"/>
        <v>0.4746604900214092</v>
      </c>
      <c r="G2123" s="14">
        <f t="shared" si="262"/>
        <v>0</v>
      </c>
      <c r="H2123" s="24">
        <f t="shared" si="268"/>
        <v>1272.0528776770245</v>
      </c>
      <c r="I2123" s="12">
        <f t="shared" si="267"/>
        <v>0.16539573208400604</v>
      </c>
      <c r="J2123" s="3"/>
    </row>
    <row r="2124" spans="2:10" x14ac:dyDescent="0.25">
      <c r="B2124" s="3">
        <f t="shared" si="263"/>
        <v>10520</v>
      </c>
      <c r="C2124" s="14">
        <f t="shared" si="264"/>
        <v>175.33333333333334</v>
      </c>
      <c r="D2124" s="11">
        <f t="shared" si="265"/>
        <v>1105.806075411708</v>
      </c>
      <c r="E2124" s="24">
        <f t="shared" si="266"/>
        <v>755.67530491081652</v>
      </c>
      <c r="F2124" s="38">
        <f t="shared" si="261"/>
        <v>0.47648595163323754</v>
      </c>
      <c r="G2124" s="14">
        <f t="shared" si="262"/>
        <v>0</v>
      </c>
      <c r="H2124" s="24">
        <f t="shared" si="268"/>
        <v>1267.1795258217267</v>
      </c>
      <c r="I2124" s="12">
        <f t="shared" si="267"/>
        <v>0.16589856409231993</v>
      </c>
      <c r="J2124" s="3"/>
    </row>
    <row r="2125" spans="2:10" x14ac:dyDescent="0.25">
      <c r="B2125" s="3">
        <f t="shared" si="263"/>
        <v>10525</v>
      </c>
      <c r="C2125" s="14">
        <f t="shared" si="264"/>
        <v>175.41666666666666</v>
      </c>
      <c r="D2125" s="11">
        <f t="shared" si="265"/>
        <v>1105.8772205204789</v>
      </c>
      <c r="E2125" s="24">
        <f t="shared" si="266"/>
        <v>755.84120347490887</v>
      </c>
      <c r="F2125" s="38">
        <f t="shared" si="261"/>
        <v>0.47830642039021337</v>
      </c>
      <c r="G2125" s="14">
        <f t="shared" si="262"/>
        <v>0</v>
      </c>
      <c r="H2125" s="24">
        <f t="shared" si="268"/>
        <v>1262.3565490898736</v>
      </c>
      <c r="I2125" s="12">
        <f t="shared" si="267"/>
        <v>0.16639876291624212</v>
      </c>
      <c r="J2125" s="3"/>
    </row>
    <row r="2126" spans="2:10" x14ac:dyDescent="0.25">
      <c r="B2126" s="3">
        <f t="shared" si="263"/>
        <v>10530</v>
      </c>
      <c r="C2126" s="14">
        <f t="shared" si="264"/>
        <v>175.5</v>
      </c>
      <c r="D2126" s="11">
        <f t="shared" si="265"/>
        <v>1105.9483318631787</v>
      </c>
      <c r="E2126" s="24">
        <f t="shared" si="266"/>
        <v>756.00760223782515</v>
      </c>
      <c r="F2126" s="38">
        <f t="shared" si="261"/>
        <v>0.48012186311932242</v>
      </c>
      <c r="G2126" s="14">
        <f t="shared" si="262"/>
        <v>0</v>
      </c>
      <c r="H2126" s="24">
        <f t="shared" si="268"/>
        <v>1257.5833108880156</v>
      </c>
      <c r="I2126" s="12">
        <f t="shared" si="267"/>
        <v>0.16689632478247873</v>
      </c>
      <c r="J2126" s="3"/>
    </row>
    <row r="2127" spans="2:10" x14ac:dyDescent="0.25">
      <c r="B2127" s="3">
        <f t="shared" si="263"/>
        <v>10535</v>
      </c>
      <c r="C2127" s="14">
        <f t="shared" si="264"/>
        <v>175.58333333333334</v>
      </c>
      <c r="D2127" s="11">
        <f t="shared" si="265"/>
        <v>1106.0194094718443</v>
      </c>
      <c r="E2127" s="24">
        <f t="shared" si="266"/>
        <v>756.1744985626076</v>
      </c>
      <c r="F2127" s="38">
        <f t="shared" si="261"/>
        <v>0.48193224757920727</v>
      </c>
      <c r="G2127" s="14">
        <f t="shared" si="262"/>
        <v>0</v>
      </c>
      <c r="H2127" s="24">
        <f t="shared" si="268"/>
        <v>1252.8591835973471</v>
      </c>
      <c r="I2127" s="12">
        <f t="shared" si="267"/>
        <v>0.16739124625029855</v>
      </c>
      <c r="J2127" s="3"/>
    </row>
    <row r="2128" spans="2:10" x14ac:dyDescent="0.25">
      <c r="B2128" s="3">
        <f t="shared" si="263"/>
        <v>10540</v>
      </c>
      <c r="C2128" s="14">
        <f t="shared" si="264"/>
        <v>175.66666666666666</v>
      </c>
      <c r="D2128" s="11">
        <f t="shared" si="265"/>
        <v>1106.0904533784653</v>
      </c>
      <c r="E2128" s="24">
        <f t="shared" si="266"/>
        <v>756.3418898088579</v>
      </c>
      <c r="F2128" s="38">
        <f t="shared" si="261"/>
        <v>0.48373754245146328</v>
      </c>
      <c r="G2128" s="14">
        <f t="shared" si="262"/>
        <v>0</v>
      </c>
      <c r="H2128" s="24">
        <f t="shared" si="268"/>
        <v>1248.1835484412559</v>
      </c>
      <c r="I2128" s="12">
        <f t="shared" si="267"/>
        <v>0.16788352420661037</v>
      </c>
      <c r="J2128" s="3"/>
    </row>
    <row r="2129" spans="2:10" x14ac:dyDescent="0.25">
      <c r="B2129" s="3">
        <f t="shared" si="263"/>
        <v>10545</v>
      </c>
      <c r="C2129" s="14">
        <f t="shared" si="264"/>
        <v>175.75</v>
      </c>
      <c r="D2129" s="11">
        <f t="shared" si="265"/>
        <v>1106.1614636149873</v>
      </c>
      <c r="E2129" s="24">
        <f t="shared" si="266"/>
        <v>756.50977333306446</v>
      </c>
      <c r="F2129" s="38">
        <f t="shared" si="261"/>
        <v>0.48553771733180817</v>
      </c>
      <c r="G2129" s="14">
        <f t="shared" si="262"/>
        <v>0</v>
      </c>
      <c r="H2129" s="24">
        <f t="shared" si="268"/>
        <v>1243.5557953548191</v>
      </c>
      <c r="I2129" s="12">
        <f t="shared" si="267"/>
        <v>0.168373155860781</v>
      </c>
      <c r="J2129" s="3"/>
    </row>
    <row r="2130" spans="2:10" x14ac:dyDescent="0.25">
      <c r="B2130" s="3">
        <f t="shared" si="263"/>
        <v>10550</v>
      </c>
      <c r="C2130" s="14">
        <f t="shared" si="264"/>
        <v>175.83333333333334</v>
      </c>
      <c r="D2130" s="11">
        <f t="shared" si="265"/>
        <v>1106.2324402133095</v>
      </c>
      <c r="E2130" s="24">
        <f t="shared" si="266"/>
        <v>756.67814648892522</v>
      </c>
      <c r="F2130" s="38">
        <f t="shared" si="261"/>
        <v>0.48733274272114901</v>
      </c>
      <c r="G2130" s="14">
        <f t="shared" si="262"/>
        <v>0</v>
      </c>
      <c r="H2130" s="24">
        <f t="shared" si="268"/>
        <v>1238.9753228561735</v>
      </c>
      <c r="I2130" s="12">
        <f t="shared" si="267"/>
        <v>0.16886013873982725</v>
      </c>
      <c r="J2130" s="3"/>
    </row>
    <row r="2131" spans="2:10" x14ac:dyDescent="0.25">
      <c r="B2131" s="3">
        <f t="shared" si="263"/>
        <v>10555</v>
      </c>
      <c r="C2131" s="14">
        <f t="shared" si="264"/>
        <v>175.91666666666666</v>
      </c>
      <c r="D2131" s="11">
        <f t="shared" si="265"/>
        <v>1106.3033832052868</v>
      </c>
      <c r="E2131" s="24">
        <f t="shared" si="266"/>
        <v>756.847006627665</v>
      </c>
      <c r="F2131" s="38">
        <f t="shared" si="261"/>
        <v>0.48912259001653863</v>
      </c>
      <c r="G2131" s="14">
        <f t="shared" si="262"/>
        <v>0</v>
      </c>
      <c r="H2131" s="24">
        <f t="shared" si="268"/>
        <v>1234.4415379197762</v>
      </c>
      <c r="I2131" s="12">
        <f t="shared" si="267"/>
        <v>0.16934447068329647</v>
      </c>
      <c r="J2131" s="3"/>
    </row>
    <row r="2132" spans="2:10" x14ac:dyDescent="0.25">
      <c r="B2132" s="3">
        <f t="shared" si="263"/>
        <v>10560</v>
      </c>
      <c r="C2132" s="14">
        <f t="shared" si="264"/>
        <v>176</v>
      </c>
      <c r="D2132" s="11">
        <f t="shared" si="265"/>
        <v>1106.3742926227278</v>
      </c>
      <c r="E2132" s="24">
        <f t="shared" si="266"/>
        <v>757.01635109834831</v>
      </c>
      <c r="F2132" s="38">
        <f t="shared" ref="F2132:F2195" si="269">Cp*RhoP/(RhoA*H2132)*dp/1000*MassivP</f>
        <v>0.49090723150204207</v>
      </c>
      <c r="G2132" s="14">
        <f t="shared" ref="G2132:G2195" si="270">Phi*EpsilonF*Botzman/10^8*J2132*((D2132+273)^4-(E2132+273)^4)</f>
        <v>0</v>
      </c>
      <c r="H2132" s="24">
        <f t="shared" si="268"/>
        <v>1229.9538558514969</v>
      </c>
      <c r="I2132" s="12">
        <f t="shared" si="267"/>
        <v>0.16982614983843777</v>
      </c>
      <c r="J2132" s="3"/>
    </row>
    <row r="2133" spans="2:10" x14ac:dyDescent="0.25">
      <c r="B2133" s="3">
        <f t="shared" ref="B2133:B2196" si="271">B2132+DeltaT</f>
        <v>10565</v>
      </c>
      <c r="C2133" s="14">
        <f t="shared" ref="C2133:C2196" si="272">B2133/60</f>
        <v>176.08333333333334</v>
      </c>
      <c r="D2133" s="11">
        <f t="shared" ref="D2133:D2196" si="273">20+345*LOG(8*C2133+1,10)</f>
        <v>1106.4451684973969</v>
      </c>
      <c r="E2133" s="24">
        <f t="shared" ref="E2133:E2196" si="274">E2132+IF(Limit=Oui,MAX(0,I2132),I2132)</f>
        <v>757.18617724818671</v>
      </c>
      <c r="F2133" s="38">
        <f t="shared" si="269"/>
        <v>0.49268664033950504</v>
      </c>
      <c r="G2133" s="14">
        <f t="shared" si="270"/>
        <v>0</v>
      </c>
      <c r="H2133" s="24">
        <f t="shared" si="268"/>
        <v>1225.5117001655508</v>
      </c>
      <c r="I2133" s="12">
        <f t="shared" ref="I2133:I2196" si="275">LambdaP*MassivP/(dp/1000)/(H2133*RhoA)/(1+F2133/3)*(D2133-E2133)*DeltaT-(EXP(F2133/10)-1)*(D2133-D2132)</f>
        <v>0.17030517465506412</v>
      </c>
      <c r="J2133" s="3"/>
    </row>
    <row r="2134" spans="2:10" x14ac:dyDescent="0.25">
      <c r="B2134" s="3">
        <f t="shared" si="271"/>
        <v>10570</v>
      </c>
      <c r="C2134" s="14">
        <f t="shared" si="272"/>
        <v>176.16666666666666</v>
      </c>
      <c r="D2134" s="11">
        <f t="shared" si="273"/>
        <v>1106.516010861013</v>
      </c>
      <c r="E2134" s="24">
        <f t="shared" si="274"/>
        <v>757.35648242284174</v>
      </c>
      <c r="F2134" s="38">
        <f t="shared" si="269"/>
        <v>0.49446079055924647</v>
      </c>
      <c r="G2134" s="14">
        <f t="shared" si="270"/>
        <v>0</v>
      </c>
      <c r="H2134" s="24">
        <f t="shared" si="268"/>
        <v>1221.1145024632108</v>
      </c>
      <c r="I2134" s="12">
        <f t="shared" si="275"/>
        <v>0.17078154388074537</v>
      </c>
      <c r="J2134" s="3"/>
    </row>
    <row r="2135" spans="2:10" x14ac:dyDescent="0.25">
      <c r="B2135" s="3">
        <f t="shared" si="271"/>
        <v>10575</v>
      </c>
      <c r="C2135" s="14">
        <f t="shared" si="272"/>
        <v>176.25</v>
      </c>
      <c r="D2135" s="11">
        <f t="shared" si="273"/>
        <v>1106.5868197452501</v>
      </c>
      <c r="E2135" s="24">
        <f t="shared" si="274"/>
        <v>757.52726396672244</v>
      </c>
      <c r="F2135" s="38">
        <f t="shared" si="269"/>
        <v>0.49622965705066735</v>
      </c>
      <c r="G2135" s="14">
        <f t="shared" si="270"/>
        <v>0</v>
      </c>
      <c r="H2135" s="24">
        <f t="shared" si="268"/>
        <v>1216.7617023133103</v>
      </c>
      <c r="I2135" s="12">
        <f t="shared" si="275"/>
        <v>0.17125525655577384</v>
      </c>
      <c r="J2135" s="3"/>
    </row>
    <row r="2136" spans="2:10" x14ac:dyDescent="0.25">
      <c r="B2136" s="3">
        <f t="shared" si="271"/>
        <v>10580</v>
      </c>
      <c r="C2136" s="14">
        <f t="shared" si="272"/>
        <v>176.33333333333334</v>
      </c>
      <c r="D2136" s="11">
        <f t="shared" si="273"/>
        <v>1106.6575951817367</v>
      </c>
      <c r="E2136" s="24">
        <f t="shared" si="274"/>
        <v>757.69851922327825</v>
      </c>
      <c r="F2136" s="38">
        <f t="shared" si="269"/>
        <v>0.49799321555279241</v>
      </c>
      <c r="G2136" s="14">
        <f t="shared" si="270"/>
        <v>0</v>
      </c>
      <c r="H2136" s="24">
        <f t="shared" si="268"/>
        <v>1212.4527471344877</v>
      </c>
      <c r="I2136" s="12">
        <f t="shared" si="275"/>
        <v>0.17172631200830685</v>
      </c>
      <c r="J2136" s="3"/>
    </row>
    <row r="2137" spans="2:10" x14ac:dyDescent="0.25">
      <c r="B2137" s="3">
        <f t="shared" si="271"/>
        <v>10585</v>
      </c>
      <c r="C2137" s="14">
        <f t="shared" si="272"/>
        <v>176.41666666666666</v>
      </c>
      <c r="D2137" s="11">
        <f t="shared" si="273"/>
        <v>1106.7283372020579</v>
      </c>
      <c r="E2137" s="24">
        <f t="shared" si="274"/>
        <v>757.87024553528659</v>
      </c>
      <c r="F2137" s="38">
        <f t="shared" si="269"/>
        <v>0.49975144264474153</v>
      </c>
      <c r="G2137" s="14">
        <f t="shared" si="270"/>
        <v>0</v>
      </c>
      <c r="H2137" s="24">
        <f t="shared" si="268"/>
        <v>1208.1870920791696</v>
      </c>
      <c r="I2137" s="12">
        <f t="shared" si="275"/>
        <v>0.17219470984932966</v>
      </c>
      <c r="J2137" s="3"/>
    </row>
    <row r="2138" spans="2:10" x14ac:dyDescent="0.25">
      <c r="B2138" s="3">
        <f t="shared" si="271"/>
        <v>10590</v>
      </c>
      <c r="C2138" s="14">
        <f t="shared" si="272"/>
        <v>176.5</v>
      </c>
      <c r="D2138" s="11">
        <f t="shared" si="273"/>
        <v>1106.7990458377526</v>
      </c>
      <c r="E2138" s="24">
        <f t="shared" si="274"/>
        <v>758.04244024513594</v>
      </c>
      <c r="F2138" s="38">
        <f t="shared" si="269"/>
        <v>0.50150431573614807</v>
      </c>
      <c r="G2138" s="14">
        <f t="shared" si="270"/>
        <v>0</v>
      </c>
      <c r="H2138" s="24">
        <f t="shared" si="268"/>
        <v>1203.9641999192454</v>
      </c>
      <c r="I2138" s="12">
        <f t="shared" si="275"/>
        <v>0.17266044996797295</v>
      </c>
      <c r="J2138" s="3"/>
    </row>
    <row r="2139" spans="2:10" x14ac:dyDescent="0.25">
      <c r="B2139" s="3">
        <f t="shared" si="271"/>
        <v>10595</v>
      </c>
      <c r="C2139" s="14">
        <f t="shared" si="272"/>
        <v>176.58333333333334</v>
      </c>
      <c r="D2139" s="11">
        <f t="shared" si="273"/>
        <v>1106.8697211203162</v>
      </c>
      <c r="E2139" s="24">
        <f t="shared" si="274"/>
        <v>758.21510069510396</v>
      </c>
      <c r="F2139" s="38">
        <f t="shared" si="269"/>
        <v>0.50325181305752054</v>
      </c>
      <c r="G2139" s="14">
        <f t="shared" si="270"/>
        <v>0</v>
      </c>
      <c r="H2139" s="24">
        <f t="shared" si="268"/>
        <v>1199.7835409334293</v>
      </c>
      <c r="I2139" s="12">
        <f t="shared" si="275"/>
        <v>0.17312353252641197</v>
      </c>
      <c r="J2139" s="3"/>
    </row>
    <row r="2140" spans="2:10" x14ac:dyDescent="0.25">
      <c r="B2140" s="3">
        <f t="shared" si="271"/>
        <v>10600</v>
      </c>
      <c r="C2140" s="14">
        <f t="shared" si="272"/>
        <v>176.66666666666666</v>
      </c>
      <c r="D2140" s="11">
        <f t="shared" si="273"/>
        <v>1106.9403630811987</v>
      </c>
      <c r="E2140" s="24">
        <f t="shared" si="274"/>
        <v>758.38822422763042</v>
      </c>
      <c r="F2140" s="38">
        <f t="shared" si="269"/>
        <v>0.50499391365055413</v>
      </c>
      <c r="G2140" s="14">
        <f t="shared" si="270"/>
        <v>0</v>
      </c>
      <c r="H2140" s="24">
        <f t="shared" si="268"/>
        <v>1195.6445927962873</v>
      </c>
      <c r="I2140" s="12">
        <f t="shared" si="275"/>
        <v>0.17358395795521595</v>
      </c>
      <c r="J2140" s="3"/>
    </row>
    <row r="2141" spans="2:10" x14ac:dyDescent="0.25">
      <c r="B2141" s="3">
        <f t="shared" si="271"/>
        <v>10605</v>
      </c>
      <c r="C2141" s="14">
        <f t="shared" si="272"/>
        <v>176.75</v>
      </c>
      <c r="D2141" s="11">
        <f t="shared" si="273"/>
        <v>1107.0109717518067</v>
      </c>
      <c r="E2141" s="24">
        <f t="shared" si="274"/>
        <v>758.56180818558562</v>
      </c>
      <c r="F2141" s="38">
        <f t="shared" si="269"/>
        <v>0.50673059735840409</v>
      </c>
      <c r="G2141" s="14">
        <f t="shared" si="270"/>
        <v>0</v>
      </c>
      <c r="H2141" s="24">
        <f t="shared" si="268"/>
        <v>1191.5468404688909</v>
      </c>
      <c r="I2141" s="12">
        <f t="shared" si="275"/>
        <v>0.17404172694836226</v>
      </c>
      <c r="J2141" s="3"/>
    </row>
    <row r="2142" spans="2:10" x14ac:dyDescent="0.25">
      <c r="B2142" s="3">
        <f t="shared" si="271"/>
        <v>10610</v>
      </c>
      <c r="C2142" s="14">
        <f t="shared" si="272"/>
        <v>176.83333333333334</v>
      </c>
      <c r="D2142" s="11">
        <f t="shared" si="273"/>
        <v>1107.0815471635008</v>
      </c>
      <c r="E2142" s="24">
        <f t="shared" si="274"/>
        <v>758.73584991253404</v>
      </c>
      <c r="F2142" s="38">
        <f t="shared" si="269"/>
        <v>0.50846184481592172</v>
      </c>
      <c r="G2142" s="14">
        <f t="shared" si="270"/>
        <v>0</v>
      </c>
      <c r="H2142" s="24">
        <f t="shared" si="268"/>
        <v>1187.4897760910876</v>
      </c>
      <c r="I2142" s="12">
        <f t="shared" si="275"/>
        <v>0.17449684045862654</v>
      </c>
      <c r="J2142" s="3"/>
    </row>
    <row r="2143" spans="2:10" x14ac:dyDescent="0.25">
      <c r="B2143" s="3">
        <f t="shared" si="271"/>
        <v>10615</v>
      </c>
      <c r="C2143" s="14">
        <f t="shared" si="272"/>
        <v>176.91666666666666</v>
      </c>
      <c r="D2143" s="11">
        <f t="shared" si="273"/>
        <v>1107.1520893475988</v>
      </c>
      <c r="E2143" s="24">
        <f t="shared" si="274"/>
        <v>758.91034675299261</v>
      </c>
      <c r="F2143" s="38">
        <f t="shared" si="269"/>
        <v>0.51018763743985329</v>
      </c>
      <c r="G2143" s="14">
        <f t="shared" si="270"/>
        <v>0</v>
      </c>
      <c r="H2143" s="24">
        <f t="shared" si="268"/>
        <v>1183.4728988753714</v>
      </c>
      <c r="I2143" s="12">
        <f t="shared" si="275"/>
        <v>0.1749492996925652</v>
      </c>
      <c r="J2143" s="3"/>
    </row>
    <row r="2144" spans="2:10" x14ac:dyDescent="0.25">
      <c r="B2144" s="3">
        <f t="shared" si="271"/>
        <v>10620</v>
      </c>
      <c r="C2144" s="14">
        <f t="shared" si="272"/>
        <v>177</v>
      </c>
      <c r="D2144" s="11">
        <f t="shared" si="273"/>
        <v>1107.2225983353737</v>
      </c>
      <c r="E2144" s="24">
        <f t="shared" si="274"/>
        <v>759.08529605268518</v>
      </c>
      <c r="F2144" s="38">
        <f t="shared" si="269"/>
        <v>0.51190795741902151</v>
      </c>
      <c r="G2144" s="14">
        <f t="shared" si="270"/>
        <v>0</v>
      </c>
      <c r="H2144" s="24">
        <f t="shared" si="268"/>
        <v>1179.4957150023088</v>
      </c>
      <c r="I2144" s="12">
        <f t="shared" si="275"/>
        <v>0.17539910610601026</v>
      </c>
      <c r="J2144" s="3"/>
    </row>
    <row r="2145" spans="2:10" x14ac:dyDescent="0.25">
      <c r="B2145" s="3">
        <f t="shared" si="271"/>
        <v>10625</v>
      </c>
      <c r="C2145" s="14">
        <f t="shared" si="272"/>
        <v>177.08333333333334</v>
      </c>
      <c r="D2145" s="11">
        <f t="shared" si="273"/>
        <v>1107.2930741580544</v>
      </c>
      <c r="E2145" s="24">
        <f t="shared" si="274"/>
        <v>759.26069515879124</v>
      </c>
      <c r="F2145" s="38">
        <f t="shared" si="269"/>
        <v>0.513622787704476</v>
      </c>
      <c r="G2145" s="14">
        <f t="shared" si="270"/>
        <v>0</v>
      </c>
      <c r="H2145" s="24">
        <f t="shared" si="268"/>
        <v>1175.5577375175294</v>
      </c>
      <c r="I2145" s="12">
        <f t="shared" si="275"/>
        <v>0.17584626139922713</v>
      </c>
      <c r="J2145" s="3"/>
    </row>
    <row r="2146" spans="2:10" x14ac:dyDescent="0.25">
      <c r="B2146" s="3">
        <f t="shared" si="271"/>
        <v>10630</v>
      </c>
      <c r="C2146" s="14">
        <f t="shared" si="272"/>
        <v>177.16666666666666</v>
      </c>
      <c r="D2146" s="11">
        <f t="shared" si="273"/>
        <v>1107.3635168468259</v>
      </c>
      <c r="E2146" s="24">
        <f t="shared" si="274"/>
        <v>759.43654142019045</v>
      </c>
      <c r="F2146" s="38">
        <f t="shared" si="269"/>
        <v>0.51533211199963214</v>
      </c>
      <c r="G2146" s="14">
        <f t="shared" si="270"/>
        <v>0</v>
      </c>
      <c r="H2146" s="24">
        <f t="shared" si="268"/>
        <v>1171.6584862302375</v>
      </c>
      <c r="I2146" s="12">
        <f t="shared" si="275"/>
        <v>0.17629076751225811</v>
      </c>
      <c r="J2146" s="3"/>
    </row>
    <row r="2147" spans="2:10" x14ac:dyDescent="0.25">
      <c r="B2147" s="3">
        <f t="shared" si="271"/>
        <v>10635</v>
      </c>
      <c r="C2147" s="14">
        <f t="shared" si="272"/>
        <v>177.25</v>
      </c>
      <c r="D2147" s="11">
        <f t="shared" si="273"/>
        <v>1107.4339264328285</v>
      </c>
      <c r="E2147" s="24">
        <f t="shared" si="274"/>
        <v>759.61283218770268</v>
      </c>
      <c r="F2147" s="38">
        <f t="shared" si="269"/>
        <v>0.51703591475039845</v>
      </c>
      <c r="G2147" s="14">
        <f t="shared" si="270"/>
        <v>0</v>
      </c>
      <c r="H2147" s="24">
        <f t="shared" si="268"/>
        <v>1167.7974876132234</v>
      </c>
      <c r="I2147" s="12">
        <f t="shared" si="275"/>
        <v>0.17673262662032257</v>
      </c>
      <c r="J2147" s="3"/>
    </row>
    <row r="2148" spans="2:10" x14ac:dyDescent="0.25">
      <c r="B2148" s="3">
        <f t="shared" si="271"/>
        <v>10640</v>
      </c>
      <c r="C2148" s="14">
        <f t="shared" si="272"/>
        <v>177.33333333333334</v>
      </c>
      <c r="D2148" s="11">
        <f t="shared" si="273"/>
        <v>1107.5043029471597</v>
      </c>
      <c r="E2148" s="24">
        <f t="shared" si="274"/>
        <v>759.78956481432306</v>
      </c>
      <c r="F2148" s="38">
        <f t="shared" si="269"/>
        <v>0.5187341811352959</v>
      </c>
      <c r="G2148" s="14">
        <f t="shared" si="270"/>
        <v>0</v>
      </c>
      <c r="H2148" s="24">
        <f t="shared" si="268"/>
        <v>1163.9742747043679</v>
      </c>
      <c r="I2148" s="12">
        <f t="shared" si="275"/>
        <v>0.17717184112908388</v>
      </c>
      <c r="J2148" s="3"/>
    </row>
    <row r="2149" spans="2:10" x14ac:dyDescent="0.25">
      <c r="B2149" s="3">
        <f t="shared" si="271"/>
        <v>10645</v>
      </c>
      <c r="C2149" s="14">
        <f t="shared" si="272"/>
        <v>177.41666666666666</v>
      </c>
      <c r="D2149" s="11">
        <f t="shared" si="273"/>
        <v>1107.5746464208728</v>
      </c>
      <c r="E2149" s="24">
        <f t="shared" si="274"/>
        <v>759.96673665545211</v>
      </c>
      <c r="F2149" s="38">
        <f t="shared" si="269"/>
        <v>0.52042689705556755</v>
      </c>
      <c r="G2149" s="14">
        <f t="shared" si="270"/>
        <v>0</v>
      </c>
      <c r="H2149" s="24">
        <f t="shared" si="268"/>
        <v>1160.1883870096194</v>
      </c>
      <c r="I2149" s="12">
        <f t="shared" si="275"/>
        <v>0.17760841367021232</v>
      </c>
      <c r="J2149" s="3"/>
    </row>
    <row r="2150" spans="2:10" x14ac:dyDescent="0.25">
      <c r="B2150" s="3">
        <f t="shared" si="271"/>
        <v>10650</v>
      </c>
      <c r="C2150" s="14">
        <f t="shared" si="272"/>
        <v>177.5</v>
      </c>
      <c r="D2150" s="11">
        <f t="shared" si="273"/>
        <v>1107.6449568849769</v>
      </c>
      <c r="E2150" s="24">
        <f t="shared" si="274"/>
        <v>760.14434506912232</v>
      </c>
      <c r="F2150" s="38">
        <f t="shared" si="269"/>
        <v>0.52211404912530246</v>
      </c>
      <c r="G2150" s="14">
        <f t="shared" si="270"/>
        <v>0</v>
      </c>
      <c r="H2150" s="24">
        <f t="shared" si="268"/>
        <v>1156.4393704073943</v>
      </c>
      <c r="I2150" s="12">
        <f t="shared" si="275"/>
        <v>0.17804234709679581</v>
      </c>
      <c r="J2150" s="3"/>
    </row>
    <row r="2151" spans="2:10" x14ac:dyDescent="0.25">
      <c r="B2151" s="3">
        <f t="shared" si="271"/>
        <v>10655</v>
      </c>
      <c r="C2151" s="14">
        <f t="shared" si="272"/>
        <v>177.58333333333334</v>
      </c>
      <c r="D2151" s="11">
        <f t="shared" si="273"/>
        <v>1107.7152343704383</v>
      </c>
      <c r="E2151" s="24">
        <f t="shared" si="274"/>
        <v>760.32238741621916</v>
      </c>
      <c r="F2151" s="38">
        <f t="shared" si="269"/>
        <v>0.52379562466155349</v>
      </c>
      <c r="G2151" s="14">
        <f t="shared" si="270"/>
        <v>0</v>
      </c>
      <c r="H2151" s="24">
        <f t="shared" si="268"/>
        <v>1152.7267770544217</v>
      </c>
      <c r="I2151" s="12">
        <f t="shared" si="275"/>
        <v>0.1784736444787238</v>
      </c>
      <c r="J2151" s="3"/>
    </row>
    <row r="2152" spans="2:10" x14ac:dyDescent="0.25">
      <c r="B2152" s="3">
        <f t="shared" si="271"/>
        <v>10660</v>
      </c>
      <c r="C2152" s="14">
        <f t="shared" si="272"/>
        <v>177.66666666666666</v>
      </c>
      <c r="D2152" s="11">
        <f t="shared" si="273"/>
        <v>1107.7854789081791</v>
      </c>
      <c r="E2152" s="24">
        <f t="shared" si="274"/>
        <v>760.50086106069784</v>
      </c>
      <c r="F2152" s="38">
        <f t="shared" si="269"/>
        <v>0.52547161167446799</v>
      </c>
      <c r="G2152" s="14">
        <f t="shared" si="270"/>
        <v>0</v>
      </c>
      <c r="H2152" s="24">
        <f t="shared" si="268"/>
        <v>1149.0501652929879</v>
      </c>
      <c r="I2152" s="12">
        <f t="shared" si="275"/>
        <v>0.17890230909842444</v>
      </c>
      <c r="J2152" s="3"/>
    </row>
    <row r="2153" spans="2:10" x14ac:dyDescent="0.25">
      <c r="B2153" s="3">
        <f t="shared" si="271"/>
        <v>10665</v>
      </c>
      <c r="C2153" s="14">
        <f t="shared" si="272"/>
        <v>177.75</v>
      </c>
      <c r="D2153" s="11">
        <f t="shared" si="273"/>
        <v>1107.8556905290779</v>
      </c>
      <c r="E2153" s="24">
        <f t="shared" si="274"/>
        <v>760.67976336979632</v>
      </c>
      <c r="F2153" s="38">
        <f t="shared" si="269"/>
        <v>0.5271419988574374</v>
      </c>
      <c r="G2153" s="14">
        <f t="shared" si="270"/>
        <v>0</v>
      </c>
      <c r="H2153" s="24">
        <f t="shared" si="268"/>
        <v>1145.4090995595525</v>
      </c>
      <c r="I2153" s="12">
        <f t="shared" si="275"/>
        <v>0.17932834444625426</v>
      </c>
      <c r="J2153" s="3"/>
    </row>
    <row r="2154" spans="2:10" x14ac:dyDescent="0.25">
      <c r="B2154" s="3">
        <f t="shared" si="271"/>
        <v>10670</v>
      </c>
      <c r="C2154" s="14">
        <f t="shared" si="272"/>
        <v>177.83333333333334</v>
      </c>
      <c r="D2154" s="11">
        <f t="shared" si="273"/>
        <v>1107.9258692639705</v>
      </c>
      <c r="E2154" s="24">
        <f t="shared" si="274"/>
        <v>760.8590917142426</v>
      </c>
      <c r="F2154" s="38">
        <f t="shared" si="269"/>
        <v>0.52880677557725397</v>
      </c>
      <c r="G2154" s="14">
        <f t="shared" si="270"/>
        <v>0</v>
      </c>
      <c r="H2154" s="24">
        <f t="shared" si="268"/>
        <v>1141.8031502947551</v>
      </c>
      <c r="I2154" s="12">
        <f t="shared" si="275"/>
        <v>0.17975175421616682</v>
      </c>
      <c r="J2154" s="3"/>
    </row>
    <row r="2155" spans="2:10" x14ac:dyDescent="0.25">
      <c r="B2155" s="3">
        <f t="shared" si="271"/>
        <v>10675</v>
      </c>
      <c r="C2155" s="14">
        <f t="shared" si="272"/>
        <v>177.91666666666666</v>
      </c>
      <c r="D2155" s="11">
        <f t="shared" si="273"/>
        <v>1107.9960151436492</v>
      </c>
      <c r="E2155" s="24">
        <f t="shared" si="274"/>
        <v>761.03884346845871</v>
      </c>
      <c r="F2155" s="38">
        <f t="shared" si="269"/>
        <v>0.53046593186429636</v>
      </c>
      <c r="G2155" s="14">
        <f t="shared" si="270"/>
        <v>0</v>
      </c>
      <c r="H2155" s="24">
        <f t="shared" si="268"/>
        <v>1138.2318938547451</v>
      </c>
      <c r="I2155" s="12">
        <f t="shared" si="275"/>
        <v>0.18017254230140176</v>
      </c>
      <c r="J2155" s="3"/>
    </row>
    <row r="2156" spans="2:10" x14ac:dyDescent="0.25">
      <c r="B2156" s="3">
        <f t="shared" si="271"/>
        <v>10680</v>
      </c>
      <c r="C2156" s="14">
        <f t="shared" si="272"/>
        <v>178</v>
      </c>
      <c r="D2156" s="11">
        <f t="shared" si="273"/>
        <v>1108.0661281988625</v>
      </c>
      <c r="E2156" s="24">
        <f t="shared" si="274"/>
        <v>761.21901601076013</v>
      </c>
      <c r="F2156" s="38">
        <f t="shared" si="269"/>
        <v>0.53211945840273878</v>
      </c>
      <c r="G2156" s="14">
        <f t="shared" si="270"/>
        <v>0</v>
      </c>
      <c r="H2156" s="24">
        <f t="shared" si="268"/>
        <v>1134.6949124238463</v>
      </c>
      <c r="I2156" s="12">
        <f t="shared" si="275"/>
        <v>0.18059071279016356</v>
      </c>
      <c r="J2156" s="3"/>
    </row>
    <row r="2157" spans="2:10" x14ac:dyDescent="0.25">
      <c r="B2157" s="3">
        <f t="shared" si="271"/>
        <v>10685</v>
      </c>
      <c r="C2157" s="14">
        <f t="shared" si="272"/>
        <v>178.08333333333334</v>
      </c>
      <c r="D2157" s="11">
        <f t="shared" si="273"/>
        <v>1108.1362084603161</v>
      </c>
      <c r="E2157" s="24">
        <f t="shared" si="274"/>
        <v>761.39960672355028</v>
      </c>
      <c r="F2157" s="38">
        <f t="shared" si="269"/>
        <v>0.53376734652078284</v>
      </c>
      <c r="G2157" s="14">
        <f t="shared" si="270"/>
        <v>0</v>
      </c>
      <c r="H2157" s="24">
        <f t="shared" si="268"/>
        <v>1131.1917939285386</v>
      </c>
      <c r="I2157" s="12">
        <f t="shared" si="275"/>
        <v>0.18100626996131827</v>
      </c>
      <c r="J2157" s="3"/>
    </row>
    <row r="2158" spans="2:10" x14ac:dyDescent="0.25">
      <c r="B2158" s="3">
        <f t="shared" si="271"/>
        <v>10690</v>
      </c>
      <c r="C2158" s="14">
        <f t="shared" si="272"/>
        <v>178.16666666666666</v>
      </c>
      <c r="D2158" s="11">
        <f t="shared" si="273"/>
        <v>1108.2062559586732</v>
      </c>
      <c r="E2158" s="24">
        <f t="shared" si="274"/>
        <v>761.58061299351164</v>
      </c>
      <c r="F2158" s="38">
        <f t="shared" si="269"/>
        <v>0.53540958818092699</v>
      </c>
      <c r="G2158" s="14">
        <f t="shared" si="270"/>
        <v>0</v>
      </c>
      <c r="H2158" s="24">
        <f t="shared" si="268"/>
        <v>1127.722131952715</v>
      </c>
      <c r="I2158" s="12">
        <f t="shared" si="275"/>
        <v>0.18141921828013263</v>
      </c>
      <c r="J2158" s="3"/>
    </row>
    <row r="2159" spans="2:10" x14ac:dyDescent="0.25">
      <c r="B2159" s="3">
        <f t="shared" si="271"/>
        <v>10695</v>
      </c>
      <c r="C2159" s="14">
        <f t="shared" si="272"/>
        <v>178.25</v>
      </c>
      <c r="D2159" s="11">
        <f t="shared" si="273"/>
        <v>1108.2762707245531</v>
      </c>
      <c r="E2159" s="24">
        <f t="shared" si="274"/>
        <v>761.76203221179173</v>
      </c>
      <c r="F2159" s="38">
        <f t="shared" si="269"/>
        <v>0.53704617597026405</v>
      </c>
      <c r="G2159" s="14">
        <f t="shared" si="270"/>
        <v>0</v>
      </c>
      <c r="H2159" s="24">
        <f t="shared" si="268"/>
        <v>1124.2855256542257</v>
      </c>
      <c r="I2159" s="12">
        <f t="shared" si="275"/>
        <v>0.18182956239426662</v>
      </c>
      <c r="J2159" s="3"/>
    </row>
    <row r="2160" spans="2:10" x14ac:dyDescent="0.25">
      <c r="B2160" s="3">
        <f t="shared" si="271"/>
        <v>10700</v>
      </c>
      <c r="C2160" s="14">
        <f t="shared" si="272"/>
        <v>178.33333333333334</v>
      </c>
      <c r="D2160" s="11">
        <f t="shared" si="273"/>
        <v>1108.3462527885329</v>
      </c>
      <c r="E2160" s="24">
        <f t="shared" si="274"/>
        <v>761.94386177418596</v>
      </c>
      <c r="F2160" s="38">
        <f t="shared" si="269"/>
        <v>0.53867710309082384</v>
      </c>
      <c r="G2160" s="14">
        <f t="shared" si="270"/>
        <v>0</v>
      </c>
      <c r="H2160" s="24">
        <f t="shared" si="268"/>
        <v>1120.881579682657</v>
      </c>
      <c r="I2160" s="12">
        <f t="shared" si="275"/>
        <v>0.18223730712942629</v>
      </c>
      <c r="J2160" s="3"/>
    </row>
    <row r="2161" spans="2:10" x14ac:dyDescent="0.25">
      <c r="B2161" s="3">
        <f t="shared" si="271"/>
        <v>10705</v>
      </c>
      <c r="C2161" s="14">
        <f t="shared" si="272"/>
        <v>178.41666666666666</v>
      </c>
      <c r="D2161" s="11">
        <f t="shared" si="273"/>
        <v>1108.4162021811462</v>
      </c>
      <c r="E2161" s="24">
        <f t="shared" si="274"/>
        <v>762.12609908131537</v>
      </c>
      <c r="F2161" s="38">
        <f t="shared" si="269"/>
        <v>0.54030236334994886</v>
      </c>
      <c r="G2161" s="14">
        <f t="shared" si="270"/>
        <v>0</v>
      </c>
      <c r="H2161" s="24">
        <f t="shared" si="268"/>
        <v>1117.5099040983628</v>
      </c>
      <c r="I2161" s="12">
        <f t="shared" si="275"/>
        <v>0.18264245748542005</v>
      </c>
      <c r="J2161" s="3"/>
    </row>
    <row r="2162" spans="2:10" x14ac:dyDescent="0.25">
      <c r="B2162" s="3">
        <f t="shared" si="271"/>
        <v>10710</v>
      </c>
      <c r="C2162" s="14">
        <f t="shared" si="272"/>
        <v>178.5</v>
      </c>
      <c r="D2162" s="11">
        <f t="shared" si="273"/>
        <v>1108.4861189328847</v>
      </c>
      <c r="E2162" s="24">
        <f t="shared" si="274"/>
        <v>762.30874153880075</v>
      </c>
      <c r="F2162" s="38">
        <f t="shared" si="269"/>
        <v>0.54192195115071673</v>
      </c>
      <c r="G2162" s="14">
        <f t="shared" si="270"/>
        <v>0</v>
      </c>
      <c r="H2162" s="24">
        <f t="shared" si="268"/>
        <v>1114.1701142927056</v>
      </c>
      <c r="I2162" s="12">
        <f t="shared" si="275"/>
        <v>0.18304501863201114</v>
      </c>
      <c r="J2162" s="3"/>
    </row>
    <row r="2163" spans="2:10" x14ac:dyDescent="0.25">
      <c r="B2163" s="3">
        <f t="shared" si="271"/>
        <v>10715</v>
      </c>
      <c r="C2163" s="14">
        <f t="shared" si="272"/>
        <v>178.58333333333334</v>
      </c>
      <c r="D2163" s="11">
        <f t="shared" si="273"/>
        <v>1108.5560030741967</v>
      </c>
      <c r="E2163" s="24">
        <f t="shared" si="274"/>
        <v>762.49178655743276</v>
      </c>
      <c r="F2163" s="38">
        <f t="shared" si="269"/>
        <v>0.54353586148240929</v>
      </c>
      <c r="G2163" s="14">
        <f t="shared" si="270"/>
        <v>0</v>
      </c>
      <c r="H2163" s="24">
        <f t="shared" si="268"/>
        <v>1110.8618309094973</v>
      </c>
      <c r="I2163" s="12">
        <f t="shared" si="275"/>
        <v>0.18344499590500302</v>
      </c>
      <c r="J2163" s="3"/>
    </row>
    <row r="2164" spans="2:10" x14ac:dyDescent="0.25">
      <c r="B2164" s="3">
        <f t="shared" si="271"/>
        <v>10720</v>
      </c>
      <c r="C2164" s="14">
        <f t="shared" si="272"/>
        <v>178.66666666666666</v>
      </c>
      <c r="D2164" s="11">
        <f t="shared" si="273"/>
        <v>1108.6258546354882</v>
      </c>
      <c r="E2164" s="24">
        <f t="shared" si="274"/>
        <v>762.67523155333777</v>
      </c>
      <c r="F2164" s="38">
        <f t="shared" si="269"/>
        <v>0.54514408991102714</v>
      </c>
      <c r="G2164" s="14">
        <f t="shared" si="270"/>
        <v>0</v>
      </c>
      <c r="H2164" s="24">
        <f t="shared" si="268"/>
        <v>1107.5846797676281</v>
      </c>
      <c r="I2164" s="12">
        <f t="shared" si="275"/>
        <v>0.18384239480223194</v>
      </c>
      <c r="J2164" s="3"/>
    </row>
    <row r="2165" spans="2:10" x14ac:dyDescent="0.25">
      <c r="B2165" s="3">
        <f t="shared" si="271"/>
        <v>10725</v>
      </c>
      <c r="C2165" s="14">
        <f t="shared" si="272"/>
        <v>178.75</v>
      </c>
      <c r="D2165" s="11">
        <f t="shared" si="273"/>
        <v>1108.6956736471227</v>
      </c>
      <c r="E2165" s="24">
        <f t="shared" si="274"/>
        <v>762.85907394814001</v>
      </c>
      <c r="F2165" s="38">
        <f t="shared" si="269"/>
        <v>0.54674663256985945</v>
      </c>
      <c r="G2165" s="14">
        <f t="shared" si="270"/>
        <v>0</v>
      </c>
      <c r="H2165" s="24">
        <f t="shared" si="268"/>
        <v>1104.3382917848548</v>
      </c>
      <c r="I2165" s="12">
        <f t="shared" si="275"/>
        <v>0.18423722097963119</v>
      </c>
      <c r="J2165" s="3"/>
    </row>
    <row r="2166" spans="2:10" x14ac:dyDescent="0.25">
      <c r="B2166" s="3">
        <f t="shared" si="271"/>
        <v>10730</v>
      </c>
      <c r="C2166" s="14">
        <f t="shared" si="272"/>
        <v>178.83333333333334</v>
      </c>
      <c r="D2166" s="11">
        <f t="shared" si="273"/>
        <v>1108.7654601394215</v>
      </c>
      <c r="E2166" s="24">
        <f t="shared" si="274"/>
        <v>763.04331116911965</v>
      </c>
      <c r="F2166" s="38">
        <f t="shared" si="269"/>
        <v>0.54834348615010353</v>
      </c>
      <c r="G2166" s="14">
        <f t="shared" si="270"/>
        <v>0</v>
      </c>
      <c r="H2166" s="24">
        <f t="shared" si="268"/>
        <v>1101.1223029027428</v>
      </c>
      <c r="I2166" s="12">
        <f t="shared" si="275"/>
        <v>0.18462948024742945</v>
      </c>
      <c r="J2166" s="3"/>
    </row>
    <row r="2167" spans="2:10" x14ac:dyDescent="0.25">
      <c r="B2167" s="3">
        <f t="shared" si="271"/>
        <v>10735</v>
      </c>
      <c r="C2167" s="14">
        <f t="shared" si="272"/>
        <v>178.91666666666666</v>
      </c>
      <c r="D2167" s="11">
        <f t="shared" si="273"/>
        <v>1108.8352141426628</v>
      </c>
      <c r="E2167" s="24">
        <f t="shared" si="274"/>
        <v>763.22794064936704</v>
      </c>
      <c r="F2167" s="38">
        <f t="shared" si="269"/>
        <v>0.54993464789154234</v>
      </c>
      <c r="G2167" s="14">
        <f t="shared" si="270"/>
        <v>0</v>
      </c>
      <c r="H2167" s="24">
        <f t="shared" ref="H2167:H2230" si="276">IF(E2167&lt;600,425+0.773*E2167-1.69/1000*E2167^2+2.22/1000^2*E2167^3,IF(E2167&lt;735,666+13002/(738-E2167),IF(E2167&lt;900,545+17820/(E2167-731),650)))</f>
        <v>1097.9363540127404</v>
      </c>
      <c r="I2167" s="12">
        <f t="shared" si="275"/>
        <v>0.1850191785663331</v>
      </c>
      <c r="J2167" s="3"/>
    </row>
    <row r="2168" spans="2:10" x14ac:dyDescent="0.25">
      <c r="B2168" s="3">
        <f t="shared" si="271"/>
        <v>10740</v>
      </c>
      <c r="C2168" s="14">
        <f t="shared" si="272"/>
        <v>179</v>
      </c>
      <c r="D2168" s="11">
        <f t="shared" si="273"/>
        <v>1108.9049356870839</v>
      </c>
      <c r="E2168" s="24">
        <f t="shared" si="274"/>
        <v>763.41295982793338</v>
      </c>
      <c r="F2168" s="38">
        <f t="shared" si="269"/>
        <v>0.55152011557328173</v>
      </c>
      <c r="G2168" s="14">
        <f t="shared" si="270"/>
        <v>0</v>
      </c>
      <c r="H2168" s="24">
        <f t="shared" si="276"/>
        <v>1094.7800908833628</v>
      </c>
      <c r="I2168" s="12">
        <f t="shared" si="275"/>
        <v>0.1854063220436154</v>
      </c>
      <c r="J2168" s="3"/>
    </row>
    <row r="2169" spans="2:10" x14ac:dyDescent="0.25">
      <c r="B2169" s="3">
        <f t="shared" si="271"/>
        <v>10745</v>
      </c>
      <c r="C2169" s="14">
        <f t="shared" si="272"/>
        <v>179.08333333333334</v>
      </c>
      <c r="D2169" s="11">
        <f t="shared" si="273"/>
        <v>1108.974624802878</v>
      </c>
      <c r="E2169" s="24">
        <f t="shared" si="274"/>
        <v>763.59836614997698</v>
      </c>
      <c r="F2169" s="38">
        <f t="shared" si="269"/>
        <v>0.55309988750454175</v>
      </c>
      <c r="G2169" s="14">
        <f t="shared" si="270"/>
        <v>0</v>
      </c>
      <c r="H2169" s="24">
        <f t="shared" si="276"/>
        <v>1091.6531640884887</v>
      </c>
      <c r="I2169" s="12">
        <f t="shared" si="275"/>
        <v>0.1857909169296853</v>
      </c>
      <c r="J2169" s="3"/>
    </row>
    <row r="2170" spans="2:10" x14ac:dyDescent="0.25">
      <c r="B2170" s="3">
        <f t="shared" si="271"/>
        <v>10750</v>
      </c>
      <c r="C2170" s="14">
        <f t="shared" si="272"/>
        <v>179.16666666666666</v>
      </c>
      <c r="D2170" s="11">
        <f t="shared" si="273"/>
        <v>1109.044281520198</v>
      </c>
      <c r="E2170" s="24">
        <f t="shared" si="274"/>
        <v>763.78415706690669</v>
      </c>
      <c r="F2170" s="38">
        <f t="shared" si="269"/>
        <v>0.55467396251551815</v>
      </c>
      <c r="G2170" s="14">
        <f t="shared" si="270"/>
        <v>0</v>
      </c>
      <c r="H2170" s="24">
        <f t="shared" si="276"/>
        <v>1088.5552289367247</v>
      </c>
      <c r="I2170" s="12">
        <f t="shared" si="275"/>
        <v>0.18617296961401489</v>
      </c>
      <c r="J2170" s="3"/>
    </row>
    <row r="2171" spans="2:10" x14ac:dyDescent="0.25">
      <c r="B2171" s="3">
        <f t="shared" si="271"/>
        <v>10755</v>
      </c>
      <c r="C2171" s="14">
        <f t="shared" si="272"/>
        <v>179.25</v>
      </c>
      <c r="D2171" s="11">
        <f t="shared" si="273"/>
        <v>1109.1139058691538</v>
      </c>
      <c r="E2171" s="24">
        <f t="shared" si="274"/>
        <v>763.97033003652075</v>
      </c>
      <c r="F2171" s="38">
        <f t="shared" si="269"/>
        <v>0.55624233994830108</v>
      </c>
      <c r="G2171" s="14">
        <f t="shared" si="270"/>
        <v>0</v>
      </c>
      <c r="H2171" s="24">
        <f t="shared" si="276"/>
        <v>1085.4859454018522</v>
      </c>
      <c r="I2171" s="12">
        <f t="shared" si="275"/>
        <v>0.18655248662188181</v>
      </c>
      <c r="J2171" s="3"/>
    </row>
    <row r="2172" spans="2:10" x14ac:dyDescent="0.25">
      <c r="B2172" s="3">
        <f t="shared" si="271"/>
        <v>10760</v>
      </c>
      <c r="C2172" s="14">
        <f t="shared" si="272"/>
        <v>179.33333333333334</v>
      </c>
      <c r="D2172" s="11">
        <f t="shared" si="273"/>
        <v>1109.1834978798133</v>
      </c>
      <c r="E2172" s="24">
        <f t="shared" si="274"/>
        <v>764.1568825231426</v>
      </c>
      <c r="F2172" s="38">
        <f t="shared" si="269"/>
        <v>0.55780501964786322</v>
      </c>
      <c r="G2172" s="14">
        <f t="shared" si="270"/>
        <v>0</v>
      </c>
      <c r="H2172" s="24">
        <f t="shared" si="276"/>
        <v>1082.4449780543187</v>
      </c>
      <c r="I2172" s="12">
        <f t="shared" si="275"/>
        <v>0.18692947461058121</v>
      </c>
      <c r="J2172" s="3"/>
    </row>
    <row r="2173" spans="2:10" x14ac:dyDescent="0.25">
      <c r="B2173" s="3">
        <f t="shared" si="271"/>
        <v>10765</v>
      </c>
      <c r="C2173" s="14">
        <f t="shared" si="272"/>
        <v>179.41666666666666</v>
      </c>
      <c r="D2173" s="11">
        <f t="shared" si="273"/>
        <v>1109.2530575822032</v>
      </c>
      <c r="E2173" s="24">
        <f t="shared" si="274"/>
        <v>764.34381199775316</v>
      </c>
      <c r="F2173" s="38">
        <f t="shared" si="269"/>
        <v>0.55936200195311692</v>
      </c>
      <c r="G2173" s="14">
        <f t="shared" si="270"/>
        <v>0</v>
      </c>
      <c r="H2173" s="24">
        <f t="shared" si="276"/>
        <v>1079.4319959937629</v>
      </c>
      <c r="I2173" s="12">
        <f t="shared" si="275"/>
        <v>0.18730394036590597</v>
      </c>
      <c r="J2173" s="3"/>
    </row>
    <row r="2174" spans="2:10" x14ac:dyDescent="0.25">
      <c r="B2174" s="3">
        <f t="shared" si="271"/>
        <v>10770</v>
      </c>
      <c r="C2174" s="14">
        <f t="shared" si="272"/>
        <v>179.5</v>
      </c>
      <c r="D2174" s="11">
        <f t="shared" si="273"/>
        <v>1109.3225850063077</v>
      </c>
      <c r="E2174" s="24">
        <f t="shared" si="274"/>
        <v>764.53111593811911</v>
      </c>
      <c r="F2174" s="38">
        <f t="shared" si="269"/>
        <v>0.56091328768803728</v>
      </c>
      <c r="G2174" s="14">
        <f t="shared" si="270"/>
        <v>0</v>
      </c>
      <c r="H2174" s="24">
        <f t="shared" si="276"/>
        <v>1076.4466727825697</v>
      </c>
      <c r="I2174" s="12">
        <f t="shared" si="275"/>
        <v>0.18767589079873692</v>
      </c>
      <c r="J2174" s="3"/>
    </row>
    <row r="2175" spans="2:10" x14ac:dyDescent="0.25">
      <c r="B2175" s="3">
        <f t="shared" si="271"/>
        <v>10775</v>
      </c>
      <c r="C2175" s="14">
        <f t="shared" si="272"/>
        <v>179.58333333333334</v>
      </c>
      <c r="D2175" s="11">
        <f t="shared" si="273"/>
        <v>1109.3920801820695</v>
      </c>
      <c r="E2175" s="24">
        <f t="shared" si="274"/>
        <v>764.7187918289178</v>
      </c>
      <c r="F2175" s="38">
        <f t="shared" si="269"/>
        <v>0.56245887815285556</v>
      </c>
      <c r="G2175" s="14">
        <f t="shared" si="270"/>
        <v>0</v>
      </c>
      <c r="H2175" s="24">
        <f t="shared" si="276"/>
        <v>1073.4886863804318</v>
      </c>
      <c r="I2175" s="12">
        <f t="shared" si="275"/>
        <v>0.18804533294155215</v>
      </c>
      <c r="J2175" s="3"/>
    </row>
    <row r="2176" spans="2:10" x14ac:dyDescent="0.25">
      <c r="B2176" s="3">
        <f t="shared" si="271"/>
        <v>10780</v>
      </c>
      <c r="C2176" s="14">
        <f t="shared" si="272"/>
        <v>179.66666666666666</v>
      </c>
      <c r="D2176" s="11">
        <f t="shared" si="273"/>
        <v>1109.4615431393902</v>
      </c>
      <c r="E2176" s="24">
        <f t="shared" si="274"/>
        <v>764.90683716185936</v>
      </c>
      <c r="F2176" s="38">
        <f t="shared" si="269"/>
        <v>0.56399877511533147</v>
      </c>
      <c r="G2176" s="14">
        <f t="shared" si="270"/>
        <v>0</v>
      </c>
      <c r="H2176" s="24">
        <f t="shared" si="276"/>
        <v>1070.5577190798883</v>
      </c>
      <c r="I2176" s="12">
        <f t="shared" si="275"/>
        <v>0.18841227394501128</v>
      </c>
      <c r="J2176" s="3"/>
    </row>
    <row r="2177" spans="2:10" x14ac:dyDescent="0.25">
      <c r="B2177" s="3">
        <f t="shared" si="271"/>
        <v>10785</v>
      </c>
      <c r="C2177" s="14">
        <f t="shared" si="272"/>
        <v>179.75</v>
      </c>
      <c r="D2177" s="11">
        <f t="shared" si="273"/>
        <v>1109.5309739081285</v>
      </c>
      <c r="E2177" s="24">
        <f t="shared" si="274"/>
        <v>765.09524943580436</v>
      </c>
      <c r="F2177" s="38">
        <f t="shared" si="269"/>
        <v>0.56553298080209013</v>
      </c>
      <c r="G2177" s="14">
        <f t="shared" si="270"/>
        <v>0</v>
      </c>
      <c r="H2177" s="24">
        <f t="shared" si="276"/>
        <v>1067.6534574428638</v>
      </c>
      <c r="I2177" s="12">
        <f t="shared" si="275"/>
        <v>0.18877672107472909</v>
      </c>
      <c r="J2177" s="3"/>
    </row>
    <row r="2178" spans="2:10" x14ac:dyDescent="0.25">
      <c r="B2178" s="3">
        <f t="shared" si="271"/>
        <v>10790</v>
      </c>
      <c r="C2178" s="14">
        <f t="shared" si="272"/>
        <v>179.83333333333334</v>
      </c>
      <c r="D2178" s="11">
        <f t="shared" si="273"/>
        <v>1109.6003725181033</v>
      </c>
      <c r="E2178" s="24">
        <f t="shared" si="274"/>
        <v>765.28402615687912</v>
      </c>
      <c r="F2178" s="38">
        <f t="shared" si="269"/>
        <v>0.56706149789004145</v>
      </c>
      <c r="G2178" s="14">
        <f t="shared" si="270"/>
        <v>0</v>
      </c>
      <c r="H2178" s="24">
        <f t="shared" si="276"/>
        <v>1064.775592238148</v>
      </c>
      <c r="I2178" s="12">
        <f t="shared" si="275"/>
        <v>0.18913868170777084</v>
      </c>
      <c r="J2178" s="3"/>
    </row>
    <row r="2179" spans="2:10" x14ac:dyDescent="0.25">
      <c r="B2179" s="3">
        <f t="shared" si="271"/>
        <v>10795</v>
      </c>
      <c r="C2179" s="14">
        <f t="shared" si="272"/>
        <v>179.91666666666666</v>
      </c>
      <c r="D2179" s="11">
        <f t="shared" si="273"/>
        <v>1109.6697389990909</v>
      </c>
      <c r="E2179" s="24">
        <f t="shared" si="274"/>
        <v>765.47316483858685</v>
      </c>
      <c r="F2179" s="38">
        <f t="shared" si="269"/>
        <v>0.5685843294978703</v>
      </c>
      <c r="G2179" s="14">
        <f t="shared" si="270"/>
        <v>0</v>
      </c>
      <c r="H2179" s="24">
        <f t="shared" si="276"/>
        <v>1061.9238183798411</v>
      </c>
      <c r="I2179" s="12">
        <f t="shared" si="275"/>
        <v>0.18949816332965408</v>
      </c>
      <c r="J2179" s="3"/>
    </row>
    <row r="2180" spans="2:10" x14ac:dyDescent="0.25">
      <c r="B2180" s="3">
        <f t="shared" si="271"/>
        <v>10800</v>
      </c>
      <c r="C2180" s="14">
        <f t="shared" si="272"/>
        <v>180</v>
      </c>
      <c r="D2180" s="11">
        <f t="shared" si="273"/>
        <v>1109.7390733808261</v>
      </c>
      <c r="E2180" s="24">
        <f t="shared" si="274"/>
        <v>765.66266300191648</v>
      </c>
      <c r="F2180" s="38">
        <f t="shared" si="269"/>
        <v>0.57010147917760934</v>
      </c>
      <c r="G2180" s="14">
        <f t="shared" si="270"/>
        <v>0</v>
      </c>
      <c r="H2180" s="24">
        <f t="shared" si="276"/>
        <v>1059.0978348667193</v>
      </c>
      <c r="I2180" s="12">
        <f t="shared" si="275"/>
        <v>0.18985517353099071</v>
      </c>
      <c r="J2180" s="3"/>
    </row>
    <row r="2181" spans="2:10" x14ac:dyDescent="0.25">
      <c r="B2181" s="3">
        <f t="shared" si="271"/>
        <v>10805</v>
      </c>
      <c r="C2181" s="14">
        <f t="shared" si="272"/>
        <v>180.08333333333334</v>
      </c>
      <c r="D2181" s="11">
        <f t="shared" si="273"/>
        <v>1109.8083756930039</v>
      </c>
      <c r="E2181" s="24">
        <f t="shared" si="274"/>
        <v>765.85251817544747</v>
      </c>
      <c r="F2181" s="38">
        <f t="shared" si="269"/>
        <v>0.5716129509062865</v>
      </c>
      <c r="G2181" s="14">
        <f t="shared" si="270"/>
        <v>0</v>
      </c>
      <c r="H2181" s="24">
        <f t="shared" si="276"/>
        <v>1056.2973447225297</v>
      </c>
      <c r="I2181" s="12">
        <f t="shared" si="275"/>
        <v>0.19020972000426825</v>
      </c>
      <c r="J2181" s="3"/>
    </row>
    <row r="2182" spans="2:10" x14ac:dyDescent="0.25">
      <c r="B2182" s="3">
        <f t="shared" si="271"/>
        <v>10810</v>
      </c>
      <c r="C2182" s="14">
        <f t="shared" si="272"/>
        <v>180.16666666666666</v>
      </c>
      <c r="D2182" s="11">
        <f t="shared" si="273"/>
        <v>1109.8776459652761</v>
      </c>
      <c r="E2182" s="24">
        <f t="shared" si="274"/>
        <v>766.04272789545178</v>
      </c>
      <c r="F2182" s="38">
        <f t="shared" si="269"/>
        <v>0.57311874907765126</v>
      </c>
      <c r="G2182" s="14">
        <f t="shared" si="270"/>
        <v>0</v>
      </c>
      <c r="H2182" s="24">
        <f t="shared" si="276"/>
        <v>1053.522054937192</v>
      </c>
      <c r="I2182" s="12">
        <f t="shared" si="275"/>
        <v>0.19056181054104882</v>
      </c>
      <c r="J2182" s="3"/>
    </row>
    <row r="2183" spans="2:10" x14ac:dyDescent="0.25">
      <c r="B2183" s="3">
        <f t="shared" si="271"/>
        <v>10815</v>
      </c>
      <c r="C2183" s="14">
        <f t="shared" si="272"/>
        <v>180.25</v>
      </c>
      <c r="D2183" s="11">
        <f t="shared" si="273"/>
        <v>1109.9468842272554</v>
      </c>
      <c r="E2183" s="24">
        <f t="shared" si="274"/>
        <v>766.23328970599277</v>
      </c>
      <c r="F2183" s="38">
        <f t="shared" si="269"/>
        <v>0.57461887849398519</v>
      </c>
      <c r="G2183" s="14">
        <f t="shared" si="270"/>
        <v>0</v>
      </c>
      <c r="H2183" s="24">
        <f t="shared" si="276"/>
        <v>1050.7716764088884</v>
      </c>
      <c r="I2183" s="12">
        <f t="shared" si="275"/>
        <v>0.19091145302847273</v>
      </c>
      <c r="J2183" s="3"/>
    </row>
    <row r="2184" spans="2:10" x14ac:dyDescent="0.25">
      <c r="B2184" s="3">
        <f t="shared" si="271"/>
        <v>10820</v>
      </c>
      <c r="C2184" s="14">
        <f t="shared" si="272"/>
        <v>180.33333333333334</v>
      </c>
      <c r="D2184" s="11">
        <f t="shared" si="273"/>
        <v>1110.016090508512</v>
      </c>
      <c r="E2184" s="24">
        <f t="shared" si="274"/>
        <v>766.42420115902121</v>
      </c>
      <c r="F2184" s="38">
        <f t="shared" si="269"/>
        <v>0.57611334435799111</v>
      </c>
      <c r="G2184" s="14">
        <f t="shared" si="270"/>
        <v>0</v>
      </c>
      <c r="H2184" s="24">
        <f t="shared" si="276"/>
        <v>1048.0459238870349</v>
      </c>
      <c r="I2184" s="12">
        <f t="shared" si="275"/>
        <v>0.19125865544668733</v>
      </c>
      <c r="J2184" s="3"/>
    </row>
    <row r="2185" spans="2:10" x14ac:dyDescent="0.25">
      <c r="B2185" s="3">
        <f t="shared" si="271"/>
        <v>10825</v>
      </c>
      <c r="C2185" s="14">
        <f t="shared" si="272"/>
        <v>180.41666666666666</v>
      </c>
      <c r="D2185" s="11">
        <f t="shared" si="273"/>
        <v>1110.0852648385755</v>
      </c>
      <c r="E2185" s="24">
        <f t="shared" si="274"/>
        <v>766.61545981446784</v>
      </c>
      <c r="F2185" s="38">
        <f t="shared" si="269"/>
        <v>0.5776021522647643</v>
      </c>
      <c r="G2185" s="14">
        <f t="shared" si="270"/>
        <v>0</v>
      </c>
      <c r="H2185" s="24">
        <f t="shared" si="276"/>
        <v>1045.3445159161217</v>
      </c>
      <c r="I2185" s="12">
        <f t="shared" si="275"/>
        <v>0.19160342586556167</v>
      </c>
      <c r="J2185" s="3"/>
    </row>
    <row r="2186" spans="2:10" x14ac:dyDescent="0.25">
      <c r="B2186" s="3">
        <f t="shared" si="271"/>
        <v>10830</v>
      </c>
      <c r="C2186" s="14">
        <f t="shared" si="272"/>
        <v>180.5</v>
      </c>
      <c r="D2186" s="11">
        <f t="shared" si="273"/>
        <v>1110.1544072469355</v>
      </c>
      <c r="E2186" s="24">
        <f t="shared" si="274"/>
        <v>766.80706324033338</v>
      </c>
      <c r="F2186" s="38">
        <f t="shared" si="269"/>
        <v>0.5790853081938484</v>
      </c>
      <c r="G2186" s="14">
        <f t="shared" si="270"/>
        <v>0</v>
      </c>
      <c r="H2186" s="24">
        <f t="shared" si="276"/>
        <v>1042.6671747804048</v>
      </c>
      <c r="I2186" s="12">
        <f t="shared" si="275"/>
        <v>0.19194577244187583</v>
      </c>
      <c r="J2186" s="3"/>
    </row>
    <row r="2187" spans="2:10" x14ac:dyDescent="0.25">
      <c r="B2187" s="3">
        <f t="shared" si="271"/>
        <v>10835</v>
      </c>
      <c r="C2187" s="14">
        <f t="shared" si="272"/>
        <v>180.58333333333334</v>
      </c>
      <c r="D2187" s="11">
        <f t="shared" si="273"/>
        <v>1110.2235177630394</v>
      </c>
      <c r="E2187" s="24">
        <f t="shared" si="274"/>
        <v>766.99900901277522</v>
      </c>
      <c r="F2187" s="38">
        <f t="shared" si="269"/>
        <v>0.58056281850137115</v>
      </c>
      <c r="G2187" s="14">
        <f t="shared" si="270"/>
        <v>0</v>
      </c>
      <c r="H2187" s="24">
        <f t="shared" si="276"/>
        <v>1040.0136264494417</v>
      </c>
      <c r="I2187" s="12">
        <f t="shared" si="275"/>
        <v>0.19228570341657086</v>
      </c>
      <c r="J2187" s="3"/>
    </row>
    <row r="2188" spans="2:10" x14ac:dyDescent="0.25">
      <c r="B2188" s="3">
        <f t="shared" si="271"/>
        <v>10840</v>
      </c>
      <c r="C2188" s="14">
        <f t="shared" si="272"/>
        <v>180.66666666666666</v>
      </c>
      <c r="D2188" s="11">
        <f t="shared" si="273"/>
        <v>1110.2925964162944</v>
      </c>
      <c r="E2188" s="24">
        <f t="shared" si="274"/>
        <v>767.19129471619181</v>
      </c>
      <c r="F2188" s="38">
        <f t="shared" si="269"/>
        <v>0.58203468991226825</v>
      </c>
      <c r="G2188" s="14">
        <f t="shared" si="270"/>
        <v>0</v>
      </c>
      <c r="H2188" s="24">
        <f t="shared" si="276"/>
        <v>1037.3836005244493</v>
      </c>
      <c r="I2188" s="12">
        <f t="shared" si="275"/>
        <v>0.1926232271116943</v>
      </c>
      <c r="J2188" s="3"/>
    </row>
    <row r="2189" spans="2:10" x14ac:dyDescent="0.25">
      <c r="B2189" s="3">
        <f t="shared" si="271"/>
        <v>10845</v>
      </c>
      <c r="C2189" s="14">
        <f t="shared" si="272"/>
        <v>180.75</v>
      </c>
      <c r="D2189" s="11">
        <f t="shared" si="273"/>
        <v>1110.3616432360677</v>
      </c>
      <c r="E2189" s="24">
        <f t="shared" si="274"/>
        <v>767.38391794330346</v>
      </c>
      <c r="F2189" s="38">
        <f t="shared" si="269"/>
        <v>0.58350092951258747</v>
      </c>
      <c r="G2189" s="14">
        <f t="shared" si="270"/>
        <v>0</v>
      </c>
      <c r="H2189" s="24">
        <f t="shared" si="276"/>
        <v>1034.7768301854862</v>
      </c>
      <c r="I2189" s="12">
        <f t="shared" si="275"/>
        <v>0.19295835192775568</v>
      </c>
      <c r="J2189" s="3"/>
    </row>
    <row r="2190" spans="2:10" x14ac:dyDescent="0.25">
      <c r="B2190" s="3">
        <f t="shared" si="271"/>
        <v>10850</v>
      </c>
      <c r="C2190" s="14">
        <f t="shared" si="272"/>
        <v>180.83333333333334</v>
      </c>
      <c r="D2190" s="11">
        <f t="shared" si="273"/>
        <v>1110.4306582516856</v>
      </c>
      <c r="E2190" s="24">
        <f t="shared" si="274"/>
        <v>767.57687629523116</v>
      </c>
      <c r="F2190" s="38">
        <f t="shared" si="269"/>
        <v>0.58496154474188378</v>
      </c>
      <c r="G2190" s="14">
        <f t="shared" si="270"/>
        <v>0</v>
      </c>
      <c r="H2190" s="24">
        <f t="shared" si="276"/>
        <v>1032.193052139429</v>
      </c>
      <c r="I2190" s="12">
        <f t="shared" si="275"/>
        <v>0.19329108634102021</v>
      </c>
      <c r="J2190" s="3"/>
    </row>
    <row r="2191" spans="2:10" x14ac:dyDescent="0.25">
      <c r="B2191" s="3">
        <f t="shared" si="271"/>
        <v>10855</v>
      </c>
      <c r="C2191" s="14">
        <f t="shared" si="272"/>
        <v>180.91666666666666</v>
      </c>
      <c r="D2191" s="11">
        <f t="shared" si="273"/>
        <v>1110.4996414924328</v>
      </c>
      <c r="E2191" s="24">
        <f t="shared" si="274"/>
        <v>767.77016738157215</v>
      </c>
      <c r="F2191" s="38">
        <f t="shared" si="269"/>
        <v>0.58641654338569338</v>
      </c>
      <c r="G2191" s="14">
        <f t="shared" si="270"/>
        <v>0</v>
      </c>
      <c r="H2191" s="24">
        <f t="shared" si="276"/>
        <v>1029.6320065687469</v>
      </c>
      <c r="I2191" s="12">
        <f t="shared" si="275"/>
        <v>0.1936214389008071</v>
      </c>
      <c r="J2191" s="3"/>
    </row>
    <row r="2192" spans="2:10" x14ac:dyDescent="0.25">
      <c r="B2192" s="3">
        <f t="shared" si="271"/>
        <v>10860</v>
      </c>
      <c r="C2192" s="14">
        <f t="shared" si="272"/>
        <v>181</v>
      </c>
      <c r="D2192" s="11">
        <f t="shared" si="273"/>
        <v>1110.5685929875551</v>
      </c>
      <c r="E2192" s="24">
        <f t="shared" si="274"/>
        <v>767.96378882047293</v>
      </c>
      <c r="F2192" s="38">
        <f t="shared" si="269"/>
        <v>0.58786593356809824</v>
      </c>
      <c r="G2192" s="14">
        <f t="shared" si="270"/>
        <v>0</v>
      </c>
      <c r="H2192" s="24">
        <f t="shared" si="276"/>
        <v>1027.0934370810533</v>
      </c>
      <c r="I2192" s="12">
        <f t="shared" si="275"/>
        <v>0.19394941822668219</v>
      </c>
      <c r="J2192" s="3"/>
    </row>
    <row r="2193" spans="2:10" x14ac:dyDescent="0.25">
      <c r="B2193" s="3">
        <f t="shared" si="271"/>
        <v>10865</v>
      </c>
      <c r="C2193" s="14">
        <f t="shared" si="272"/>
        <v>181.08333333333334</v>
      </c>
      <c r="D2193" s="11">
        <f t="shared" si="273"/>
        <v>1110.6375127662573</v>
      </c>
      <c r="E2193" s="24">
        <f t="shared" si="274"/>
        <v>768.15773823869961</v>
      </c>
      <c r="F2193" s="38">
        <f t="shared" si="269"/>
        <v>0.58930972374437429</v>
      </c>
      <c r="G2193" s="14">
        <f t="shared" si="270"/>
        <v>0</v>
      </c>
      <c r="H2193" s="24">
        <f t="shared" si="276"/>
        <v>1024.5770906594244</v>
      </c>
      <c r="I2193" s="12">
        <f t="shared" si="275"/>
        <v>0.19427503300610541</v>
      </c>
      <c r="J2193" s="3"/>
    </row>
    <row r="2194" spans="2:10" x14ac:dyDescent="0.25">
      <c r="B2194" s="3">
        <f t="shared" si="271"/>
        <v>10870</v>
      </c>
      <c r="C2194" s="14">
        <f t="shared" si="272"/>
        <v>181.16666666666666</v>
      </c>
      <c r="D2194" s="11">
        <f t="shared" si="273"/>
        <v>1110.7064008577038</v>
      </c>
      <c r="E2194" s="24">
        <f t="shared" si="274"/>
        <v>768.35201327170569</v>
      </c>
      <c r="F2194" s="38">
        <f t="shared" si="269"/>
        <v>0.59074792269372656</v>
      </c>
      <c r="G2194" s="14">
        <f t="shared" si="270"/>
        <v>0</v>
      </c>
      <c r="H2194" s="24">
        <f t="shared" si="276"/>
        <v>1022.0827176134767</v>
      </c>
      <c r="I2194" s="12">
        <f t="shared" si="275"/>
        <v>0.19459829199172571</v>
      </c>
      <c r="J2194" s="3"/>
    </row>
    <row r="2195" spans="2:10" x14ac:dyDescent="0.25">
      <c r="B2195" s="3">
        <f t="shared" si="271"/>
        <v>10875</v>
      </c>
      <c r="C2195" s="14">
        <f t="shared" si="272"/>
        <v>181.25</v>
      </c>
      <c r="D2195" s="11">
        <f t="shared" si="273"/>
        <v>1110.7752572910188</v>
      </c>
      <c r="E2195" s="24">
        <f t="shared" si="274"/>
        <v>768.54661156369741</v>
      </c>
      <c r="F2195" s="38">
        <f t="shared" si="269"/>
        <v>0.59218053951211258</v>
      </c>
      <c r="G2195" s="14">
        <f t="shared" si="270"/>
        <v>0</v>
      </c>
      <c r="H2195" s="24">
        <f t="shared" si="276"/>
        <v>1019.6100715311838</v>
      </c>
      <c r="I2195" s="12">
        <f t="shared" si="275"/>
        <v>0.19491920399892609</v>
      </c>
      <c r="J2195" s="3"/>
    </row>
    <row r="2196" spans="2:10" x14ac:dyDescent="0.25">
      <c r="B2196" s="3">
        <f t="shared" si="271"/>
        <v>10880</v>
      </c>
      <c r="C2196" s="14">
        <f t="shared" si="272"/>
        <v>181.33333333333334</v>
      </c>
      <c r="D2196" s="11">
        <f t="shared" si="273"/>
        <v>1110.8440820952867</v>
      </c>
      <c r="E2196" s="24">
        <f t="shared" si="274"/>
        <v>768.7415307676963</v>
      </c>
      <c r="F2196" s="38">
        <f t="shared" ref="F2196:F2259" si="277">Cp*RhoP/(RhoA*H2196)*dp/1000*MassivP</f>
        <v>0.59360758360514998</v>
      </c>
      <c r="G2196" s="14">
        <f t="shared" ref="G2196:G2259" si="278">Phi*EpsilonF*Botzman/10^8*J2196*((D2196+273)^4-(E2196+273)^4)</f>
        <v>0</v>
      </c>
      <c r="H2196" s="24">
        <f t="shared" si="276"/>
        <v>1017.1589092314316</v>
      </c>
      <c r="I2196" s="12">
        <f t="shared" si="275"/>
        <v>0.19523777790328817</v>
      </c>
      <c r="J2196" s="3"/>
    </row>
    <row r="2197" spans="2:10" x14ac:dyDescent="0.25">
      <c r="B2197" s="3">
        <f t="shared" ref="B2197:B2260" si="279">B2196+DeltaT</f>
        <v>10885</v>
      </c>
      <c r="C2197" s="14">
        <f t="shared" ref="C2197:C2260" si="280">B2197/60</f>
        <v>181.41666666666666</v>
      </c>
      <c r="D2197" s="11">
        <f t="shared" ref="D2197:D2260" si="281">20+345*LOG(8*C2197+1,10)</f>
        <v>1110.9128752995516</v>
      </c>
      <c r="E2197" s="24">
        <f t="shared" ref="E2197:E2260" si="282">E2196+IF(Limit=Oui,MAX(0,I2196),I2196)</f>
        <v>768.93676854559965</v>
      </c>
      <c r="F2197" s="38">
        <f t="shared" si="277"/>
        <v>0.5950290646811135</v>
      </c>
      <c r="G2197" s="14">
        <f t="shared" si="278"/>
        <v>0</v>
      </c>
      <c r="H2197" s="24">
        <f t="shared" si="276"/>
        <v>1014.7289907172911</v>
      </c>
      <c r="I2197" s="12">
        <f t="shared" ref="I2197:I2260" si="283">LambdaP*MassivP/(dp/1000)/(H2197*RhoA)/(1+F2197/3)*(D2197-E2197)*DeltaT-(EXP(F2197/10)-1)*(D2197-D2196)</f>
        <v>0.19555402263827965</v>
      </c>
      <c r="J2197" s="3"/>
    </row>
    <row r="2198" spans="2:10" x14ac:dyDescent="0.25">
      <c r="B2198" s="3">
        <f t="shared" si="279"/>
        <v>10890</v>
      </c>
      <c r="C2198" s="14">
        <f t="shared" si="280"/>
        <v>181.5</v>
      </c>
      <c r="D2198" s="11">
        <f t="shared" si="281"/>
        <v>1110.9816369328173</v>
      </c>
      <c r="E2198" s="24">
        <f t="shared" si="282"/>
        <v>769.1323225682379</v>
      </c>
      <c r="F2198" s="38">
        <f t="shared" si="277"/>
        <v>0.59644499274401552</v>
      </c>
      <c r="G2198" s="14">
        <f t="shared" si="278"/>
        <v>0</v>
      </c>
      <c r="H2198" s="24">
        <f t="shared" si="276"/>
        <v>1012.3200791300101</v>
      </c>
      <c r="I2198" s="12">
        <f t="shared" si="283"/>
        <v>0.19586794719280454</v>
      </c>
      <c r="J2198" s="3"/>
    </row>
    <row r="2199" spans="2:10" x14ac:dyDescent="0.25">
      <c r="B2199" s="3">
        <f t="shared" si="279"/>
        <v>10895</v>
      </c>
      <c r="C2199" s="14">
        <f t="shared" si="280"/>
        <v>181.58333333333334</v>
      </c>
      <c r="D2199" s="11">
        <f t="shared" si="281"/>
        <v>1111.0503670240485</v>
      </c>
      <c r="E2199" s="24">
        <f t="shared" si="282"/>
        <v>769.32819051543072</v>
      </c>
      <c r="F2199" s="38">
        <f t="shared" si="277"/>
        <v>0.59785537808677958</v>
      </c>
      <c r="G2199" s="14">
        <f t="shared" si="278"/>
        <v>0</v>
      </c>
      <c r="H2199" s="24">
        <f t="shared" si="276"/>
        <v>1009.9319407036908</v>
      </c>
      <c r="I2199" s="12">
        <f t="shared" si="283"/>
        <v>0.19617956060881106</v>
      </c>
      <c r="J2199" s="3"/>
    </row>
    <row r="2200" spans="2:10" x14ac:dyDescent="0.25">
      <c r="B2200" s="3">
        <f t="shared" si="279"/>
        <v>10900</v>
      </c>
      <c r="C2200" s="14">
        <f t="shared" si="280"/>
        <v>181.66666666666666</v>
      </c>
      <c r="D2200" s="11">
        <f t="shared" si="281"/>
        <v>1111.1190656021693</v>
      </c>
      <c r="E2200" s="24">
        <f t="shared" si="282"/>
        <v>769.52437007603953</v>
      </c>
      <c r="F2200" s="38">
        <f t="shared" si="277"/>
        <v>0.59926023128449291</v>
      </c>
      <c r="G2200" s="14">
        <f t="shared" si="278"/>
        <v>0</v>
      </c>
      <c r="H2200" s="24">
        <f t="shared" si="276"/>
        <v>1007.5643447206749</v>
      </c>
      <c r="I2200" s="12">
        <f t="shared" si="283"/>
        <v>0.19648887197914838</v>
      </c>
      <c r="J2200" s="3"/>
    </row>
    <row r="2201" spans="2:10" x14ac:dyDescent="0.25">
      <c r="B2201" s="3">
        <f t="shared" si="279"/>
        <v>10905</v>
      </c>
      <c r="C2201" s="14">
        <f t="shared" si="280"/>
        <v>181.75</v>
      </c>
      <c r="D2201" s="11">
        <f t="shared" si="281"/>
        <v>1111.1877326960646</v>
      </c>
      <c r="E2201" s="24">
        <f t="shared" si="282"/>
        <v>769.72085894801864</v>
      </c>
      <c r="F2201" s="38">
        <f t="shared" si="277"/>
        <v>0.60065956318775315</v>
      </c>
      <c r="G2201" s="14">
        <f t="shared" si="278"/>
        <v>0</v>
      </c>
      <c r="H2201" s="24">
        <f t="shared" si="276"/>
        <v>1005.2170634675927</v>
      </c>
      <c r="I2201" s="12">
        <f t="shared" si="283"/>
        <v>0.19679589044516074</v>
      </c>
      <c r="J2201" s="3"/>
    </row>
    <row r="2202" spans="2:10" x14ac:dyDescent="0.25">
      <c r="B2202" s="3">
        <f t="shared" si="279"/>
        <v>10910</v>
      </c>
      <c r="C2202" s="14">
        <f t="shared" si="280"/>
        <v>181.83333333333334</v>
      </c>
      <c r="D2202" s="11">
        <f t="shared" si="281"/>
        <v>1111.2563683345788</v>
      </c>
      <c r="E2202" s="24">
        <f t="shared" si="282"/>
        <v>769.91765483846382</v>
      </c>
      <c r="F2202" s="38">
        <f t="shared" si="277"/>
        <v>0.60205338491609861</v>
      </c>
      <c r="G2202" s="14">
        <f t="shared" si="278"/>
        <v>0</v>
      </c>
      <c r="H2202" s="24">
        <f t="shared" si="276"/>
        <v>1002.8898721920882</v>
      </c>
      <c r="I2202" s="12">
        <f t="shared" si="283"/>
        <v>0.19710062519461485</v>
      </c>
      <c r="J2202" s="3"/>
    </row>
    <row r="2203" spans="2:10" x14ac:dyDescent="0.25">
      <c r="B2203" s="3">
        <f t="shared" si="279"/>
        <v>10915</v>
      </c>
      <c r="C2203" s="14">
        <f t="shared" si="280"/>
        <v>181.91666666666666</v>
      </c>
      <c r="D2203" s="11">
        <f t="shared" si="281"/>
        <v>1111.3249725465175</v>
      </c>
      <c r="E2203" s="24">
        <f t="shared" si="282"/>
        <v>770.11475546365841</v>
      </c>
      <c r="F2203" s="38">
        <f t="shared" si="277"/>
        <v>0.60344170785152385</v>
      </c>
      <c r="G2203" s="14">
        <f t="shared" si="278"/>
        <v>0</v>
      </c>
      <c r="H2203" s="24">
        <f t="shared" si="276"/>
        <v>1000.582549060203</v>
      </c>
      <c r="I2203" s="12">
        <f t="shared" si="283"/>
        <v>0.19740308545936117</v>
      </c>
      <c r="J2203" s="3"/>
    </row>
    <row r="2204" spans="2:10" x14ac:dyDescent="0.25">
      <c r="B2204" s="3">
        <f t="shared" si="279"/>
        <v>10920</v>
      </c>
      <c r="C2204" s="14">
        <f t="shared" si="280"/>
        <v>182</v>
      </c>
      <c r="D2204" s="11">
        <f t="shared" si="281"/>
        <v>1111.3935453606464</v>
      </c>
      <c r="E2204" s="24">
        <f t="shared" si="282"/>
        <v>770.31215854911773</v>
      </c>
      <c r="F2204" s="38">
        <f t="shared" si="277"/>
        <v>0.60482454363208604</v>
      </c>
      <c r="G2204" s="14">
        <f t="shared" si="278"/>
        <v>0</v>
      </c>
      <c r="H2204" s="24">
        <f t="shared" si="276"/>
        <v>998.2948751144047</v>
      </c>
      <c r="I2204" s="12">
        <f t="shared" si="283"/>
        <v>0.19770328051335775</v>
      </c>
      <c r="J2204" s="3"/>
    </row>
    <row r="2205" spans="2:10" x14ac:dyDescent="0.25">
      <c r="B2205" s="3">
        <f t="shared" si="279"/>
        <v>10925</v>
      </c>
      <c r="C2205" s="14">
        <f t="shared" si="280"/>
        <v>182.08333333333334</v>
      </c>
      <c r="D2205" s="11">
        <f t="shared" si="281"/>
        <v>1111.462086805692</v>
      </c>
      <c r="E2205" s="24">
        <f t="shared" si="282"/>
        <v>770.50986182963106</v>
      </c>
      <c r="F2205" s="38">
        <f t="shared" si="277"/>
        <v>0.60620190414559316</v>
      </c>
      <c r="G2205" s="14">
        <f t="shared" si="278"/>
        <v>0</v>
      </c>
      <c r="H2205" s="24">
        <f t="shared" si="276"/>
        <v>996.02663423225647</v>
      </c>
      <c r="I2205" s="12">
        <f t="shared" si="283"/>
        <v>0.19800121967048226</v>
      </c>
      <c r="J2205" s="3"/>
    </row>
    <row r="2206" spans="2:10" x14ac:dyDescent="0.25">
      <c r="B2206" s="3">
        <f t="shared" si="279"/>
        <v>10930</v>
      </c>
      <c r="C2206" s="14">
        <f t="shared" si="280"/>
        <v>182.16666666666666</v>
      </c>
      <c r="D2206" s="11">
        <f t="shared" si="281"/>
        <v>1111.5305969103408</v>
      </c>
      <c r="E2206" s="24">
        <f t="shared" si="282"/>
        <v>770.70786304930152</v>
      </c>
      <c r="F2206" s="38">
        <f t="shared" si="277"/>
        <v>0.60757380152338158</v>
      </c>
      <c r="G2206" s="14">
        <f t="shared" si="278"/>
        <v>0</v>
      </c>
      <c r="H2206" s="24">
        <f t="shared" si="276"/>
        <v>993.77761308571507</v>
      </c>
      <c r="I2206" s="12">
        <f t="shared" si="283"/>
        <v>0.19829691228259411</v>
      </c>
      <c r="J2206" s="3"/>
    </row>
    <row r="2207" spans="2:10" x14ac:dyDescent="0.25">
      <c r="B2207" s="3">
        <f t="shared" si="279"/>
        <v>10935</v>
      </c>
      <c r="C2207" s="14">
        <f t="shared" si="280"/>
        <v>182.25</v>
      </c>
      <c r="D2207" s="11">
        <f t="shared" si="281"/>
        <v>1111.5990757032407</v>
      </c>
      <c r="E2207" s="24">
        <f t="shared" si="282"/>
        <v>770.90615996158408</v>
      </c>
      <c r="F2207" s="38">
        <f t="shared" si="277"/>
        <v>0.60894024813417791</v>
      </c>
      <c r="G2207" s="14">
        <f t="shared" si="278"/>
        <v>0</v>
      </c>
      <c r="H2207" s="24">
        <f t="shared" si="276"/>
        <v>991.54760110104644</v>
      </c>
      <c r="I2207" s="12">
        <f t="shared" si="283"/>
        <v>0.19859036773734051</v>
      </c>
      <c r="J2207" s="3"/>
    </row>
    <row r="2208" spans="2:10" x14ac:dyDescent="0.25">
      <c r="B2208" s="3">
        <f t="shared" si="279"/>
        <v>10940</v>
      </c>
      <c r="C2208" s="14">
        <f t="shared" si="280"/>
        <v>182.33333333333334</v>
      </c>
      <c r="D2208" s="11">
        <f t="shared" si="281"/>
        <v>1111.6675232129996</v>
      </c>
      <c r="E2208" s="24">
        <f t="shared" si="282"/>
        <v>771.1047503293214</v>
      </c>
      <c r="F2208" s="38">
        <f t="shared" si="277"/>
        <v>0.61030125657804712</v>
      </c>
      <c r="G2208" s="14">
        <f t="shared" si="278"/>
        <v>0</v>
      </c>
      <c r="H2208" s="24">
        <f t="shared" si="276"/>
        <v>989.33639041935226</v>
      </c>
      <c r="I2208" s="12">
        <f t="shared" si="283"/>
        <v>0.1988815954563965</v>
      </c>
      <c r="J2208" s="3"/>
    </row>
    <row r="2209" spans="2:10" x14ac:dyDescent="0.25">
      <c r="B2209" s="3">
        <f t="shared" si="279"/>
        <v>10945</v>
      </c>
      <c r="C2209" s="14">
        <f t="shared" si="280"/>
        <v>182.41666666666666</v>
      </c>
      <c r="D2209" s="11">
        <f t="shared" si="281"/>
        <v>1111.7359394681869</v>
      </c>
      <c r="E2209" s="24">
        <f t="shared" si="282"/>
        <v>771.30363192477785</v>
      </c>
      <c r="F2209" s="38">
        <f t="shared" si="277"/>
        <v>0.61165683968042572</v>
      </c>
      <c r="G2209" s="14">
        <f t="shared" si="278"/>
        <v>0</v>
      </c>
      <c r="H2209" s="24">
        <f t="shared" si="276"/>
        <v>987.14377585769466</v>
      </c>
      <c r="I2209" s="12">
        <f t="shared" si="283"/>
        <v>0.19917060489334751</v>
      </c>
      <c r="J2209" s="3"/>
    </row>
    <row r="2210" spans="2:10" x14ac:dyDescent="0.25">
      <c r="B2210" s="3">
        <f t="shared" si="279"/>
        <v>10950</v>
      </c>
      <c r="C2210" s="14">
        <f t="shared" si="280"/>
        <v>182.5</v>
      </c>
      <c r="D2210" s="11">
        <f t="shared" si="281"/>
        <v>1111.8043244973323</v>
      </c>
      <c r="E2210" s="24">
        <f t="shared" si="282"/>
        <v>771.50280252967116</v>
      </c>
      <c r="F2210" s="38">
        <f t="shared" si="277"/>
        <v>0.61300701048623829</v>
      </c>
      <c r="G2210" s="14">
        <f t="shared" si="278"/>
        <v>0</v>
      </c>
      <c r="H2210" s="24">
        <f t="shared" si="276"/>
        <v>984.96955487081652</v>
      </c>
      <c r="I2210" s="12">
        <f t="shared" si="283"/>
        <v>0.19945740553192159</v>
      </c>
      <c r="J2210" s="3"/>
    </row>
    <row r="2211" spans="2:10" x14ac:dyDescent="0.25">
      <c r="B2211" s="3">
        <f t="shared" si="279"/>
        <v>10955</v>
      </c>
      <c r="C2211" s="14">
        <f t="shared" si="280"/>
        <v>182.58333333333334</v>
      </c>
      <c r="D2211" s="11">
        <f t="shared" si="281"/>
        <v>1111.8726783289267</v>
      </c>
      <c r="E2211" s="24">
        <f t="shared" si="282"/>
        <v>771.70225993520307</v>
      </c>
      <c r="F2211" s="38">
        <f t="shared" si="277"/>
        <v>0.61435178225410259</v>
      </c>
      <c r="G2211" s="14">
        <f t="shared" si="278"/>
        <v>0</v>
      </c>
      <c r="H2211" s="24">
        <f t="shared" si="276"/>
        <v>982.81352751343468</v>
      </c>
      <c r="I2211" s="12">
        <f t="shared" si="283"/>
        <v>0.19974200688409013</v>
      </c>
      <c r="J2211" s="3"/>
    </row>
    <row r="2212" spans="2:10" x14ac:dyDescent="0.25">
      <c r="B2212" s="3">
        <f t="shared" si="279"/>
        <v>10960</v>
      </c>
      <c r="C2212" s="14">
        <f t="shared" si="280"/>
        <v>182.66666666666666</v>
      </c>
      <c r="D2212" s="11">
        <f t="shared" si="281"/>
        <v>1111.9410009914225</v>
      </c>
      <c r="E2212" s="24">
        <f t="shared" si="282"/>
        <v>771.90200194208717</v>
      </c>
      <c r="F2212" s="38">
        <f t="shared" si="277"/>
        <v>0.61569116845061445</v>
      </c>
      <c r="G2212" s="14">
        <f t="shared" si="278"/>
        <v>0</v>
      </c>
      <c r="H2212" s="24">
        <f t="shared" si="276"/>
        <v>980.67549640311495</v>
      </c>
      <c r="I2212" s="12">
        <f t="shared" si="283"/>
        <v>0.20002441848816052</v>
      </c>
      <c r="J2212" s="3"/>
    </row>
    <row r="2213" spans="2:10" x14ac:dyDescent="0.25">
      <c r="B2213" s="3">
        <f t="shared" si="279"/>
        <v>10965</v>
      </c>
      <c r="C2213" s="14">
        <f t="shared" si="280"/>
        <v>182.75</v>
      </c>
      <c r="D2213" s="11">
        <f t="shared" si="281"/>
        <v>1112.0092925132321</v>
      </c>
      <c r="E2213" s="24">
        <f t="shared" si="282"/>
        <v>772.10202636057534</v>
      </c>
      <c r="F2213" s="38">
        <f t="shared" si="277"/>
        <v>0.6170251827447174</v>
      </c>
      <c r="G2213" s="14">
        <f t="shared" si="278"/>
        <v>0</v>
      </c>
      <c r="H2213" s="24">
        <f t="shared" si="276"/>
        <v>978.55526668370703</v>
      </c>
      <c r="I2213" s="12">
        <f t="shared" si="283"/>
        <v>0.20030464990722202</v>
      </c>
      <c r="J2213" s="3"/>
    </row>
    <row r="2214" spans="2:10" x14ac:dyDescent="0.25">
      <c r="B2214" s="3">
        <f t="shared" si="279"/>
        <v>10970</v>
      </c>
      <c r="C2214" s="14">
        <f t="shared" si="280"/>
        <v>182.83333333333334</v>
      </c>
      <c r="D2214" s="11">
        <f t="shared" si="281"/>
        <v>1112.0775529227301</v>
      </c>
      <c r="E2214" s="24">
        <f t="shared" si="282"/>
        <v>772.30233101048259</v>
      </c>
      <c r="F2214" s="38">
        <f t="shared" si="277"/>
        <v>0.6183538390021589</v>
      </c>
      <c r="G2214" s="14">
        <f t="shared" si="278"/>
        <v>0</v>
      </c>
      <c r="H2214" s="24">
        <f t="shared" si="276"/>
        <v>976.45264598933318</v>
      </c>
      <c r="I2214" s="12">
        <f t="shared" si="283"/>
        <v>0.20058271072711187</v>
      </c>
      <c r="J2214" s="3"/>
    </row>
    <row r="2215" spans="2:10" x14ac:dyDescent="0.25">
      <c r="B2215" s="3">
        <f t="shared" si="279"/>
        <v>10975</v>
      </c>
      <c r="C2215" s="14">
        <f t="shared" si="280"/>
        <v>182.91666666666666</v>
      </c>
      <c r="D2215" s="11">
        <f t="shared" si="281"/>
        <v>1112.1457822482519</v>
      </c>
      <c r="E2215" s="24">
        <f t="shared" si="282"/>
        <v>772.50291372120967</v>
      </c>
      <c r="F2215" s="38">
        <f t="shared" si="277"/>
        <v>0.61967715128002288</v>
      </c>
      <c r="G2215" s="14">
        <f t="shared" si="278"/>
        <v>0</v>
      </c>
      <c r="H2215" s="24">
        <f t="shared" si="276"/>
        <v>974.36744440892744</v>
      </c>
      <c r="I2215" s="12">
        <f t="shared" si="283"/>
        <v>0.20085861055490434</v>
      </c>
      <c r="J2215" s="3"/>
    </row>
    <row r="2216" spans="2:10" x14ac:dyDescent="0.25">
      <c r="B2216" s="3">
        <f t="shared" si="279"/>
        <v>10980</v>
      </c>
      <c r="C2216" s="14">
        <f t="shared" si="280"/>
        <v>183</v>
      </c>
      <c r="D2216" s="11">
        <f t="shared" si="281"/>
        <v>1112.2139805180941</v>
      </c>
      <c r="E2216" s="24">
        <f t="shared" si="282"/>
        <v>772.70377233176453</v>
      </c>
      <c r="F2216" s="38">
        <f t="shared" si="277"/>
        <v>0.62099513382135152</v>
      </c>
      <c r="G2216" s="14">
        <f t="shared" si="278"/>
        <v>0</v>
      </c>
      <c r="H2216" s="24">
        <f t="shared" si="276"/>
        <v>972.29947445130847</v>
      </c>
      <c r="I2216" s="12">
        <f t="shared" si="283"/>
        <v>0.20113235901717777</v>
      </c>
      <c r="J2216" s="3"/>
    </row>
    <row r="2217" spans="2:10" x14ac:dyDescent="0.25">
      <c r="B2217" s="3">
        <f t="shared" si="279"/>
        <v>10985</v>
      </c>
      <c r="C2217" s="14">
        <f t="shared" si="280"/>
        <v>183.08333333333334</v>
      </c>
      <c r="D2217" s="11">
        <f t="shared" si="281"/>
        <v>1112.282147760515</v>
      </c>
      <c r="E2217" s="24">
        <f t="shared" si="282"/>
        <v>772.90490469078168</v>
      </c>
      <c r="F2217" s="38">
        <f t="shared" si="277"/>
        <v>0.6223078010498444</v>
      </c>
      <c r="G2217" s="14">
        <f t="shared" si="278"/>
        <v>0</v>
      </c>
      <c r="H2217" s="24">
        <f t="shared" si="276"/>
        <v>970.24855101078606</v>
      </c>
      <c r="I2217" s="12">
        <f t="shared" si="283"/>
        <v>0.20140396575834379</v>
      </c>
      <c r="J2217" s="3"/>
    </row>
    <row r="2218" spans="2:10" x14ac:dyDescent="0.25">
      <c r="B2218" s="3">
        <f t="shared" si="279"/>
        <v>10990</v>
      </c>
      <c r="C2218" s="14">
        <f t="shared" si="280"/>
        <v>183.16666666666666</v>
      </c>
      <c r="D2218" s="11">
        <f t="shared" si="281"/>
        <v>1112.350284003734</v>
      </c>
      <c r="E2218" s="24">
        <f t="shared" si="282"/>
        <v>773.10630865654002</v>
      </c>
      <c r="F2218" s="38">
        <f t="shared" si="277"/>
        <v>0.62361516756463919</v>
      </c>
      <c r="G2218" s="14">
        <f t="shared" si="278"/>
        <v>0</v>
      </c>
      <c r="H2218" s="24">
        <f t="shared" si="276"/>
        <v>968.21449133328781</v>
      </c>
      <c r="I2218" s="12">
        <f t="shared" si="283"/>
        <v>0.20167344043909904</v>
      </c>
      <c r="J2218" s="3"/>
    </row>
    <row r="2219" spans="2:10" x14ac:dyDescent="0.25">
      <c r="B2219" s="3">
        <f t="shared" si="279"/>
        <v>10995</v>
      </c>
      <c r="C2219" s="14">
        <f t="shared" si="280"/>
        <v>183.25</v>
      </c>
      <c r="D2219" s="11">
        <f t="shared" si="281"/>
        <v>1112.4183892759324</v>
      </c>
      <c r="E2219" s="24">
        <f t="shared" si="282"/>
        <v>773.30798209697912</v>
      </c>
      <c r="F2219" s="38">
        <f t="shared" si="277"/>
        <v>0.6249172481351738</v>
      </c>
      <c r="G2219" s="14">
        <f t="shared" si="278"/>
        <v>0</v>
      </c>
      <c r="H2219" s="24">
        <f t="shared" si="276"/>
        <v>966.19711498299955</v>
      </c>
      <c r="I2219" s="12">
        <f t="shared" si="283"/>
        <v>0.20194079273476548</v>
      </c>
      <c r="J2219" s="3"/>
    </row>
    <row r="2220" spans="2:10" x14ac:dyDescent="0.25">
      <c r="B2220" s="3">
        <f t="shared" si="279"/>
        <v>11000</v>
      </c>
      <c r="C2220" s="14">
        <f t="shared" si="280"/>
        <v>183.33333333333334</v>
      </c>
      <c r="D2220" s="11">
        <f t="shared" si="281"/>
        <v>1112.4864636052528</v>
      </c>
      <c r="E2220" s="24">
        <f t="shared" si="282"/>
        <v>773.50992288971383</v>
      </c>
      <c r="F2220" s="38">
        <f t="shared" si="277"/>
        <v>0.62621405769612914</v>
      </c>
      <c r="G2220" s="14">
        <f t="shared" si="278"/>
        <v>0</v>
      </c>
      <c r="H2220" s="24">
        <f t="shared" si="276"/>
        <v>964.19624380951109</v>
      </c>
      <c r="I2220" s="12">
        <f t="shared" si="283"/>
        <v>0.20220603233386747</v>
      </c>
      <c r="J2220" s="3"/>
    </row>
    <row r="2221" spans="2:10" x14ac:dyDescent="0.25">
      <c r="B2221" s="3">
        <f t="shared" si="279"/>
        <v>11005</v>
      </c>
      <c r="C2221" s="14">
        <f t="shared" si="280"/>
        <v>183.41666666666666</v>
      </c>
      <c r="D2221" s="11">
        <f t="shared" si="281"/>
        <v>1112.5545070197993</v>
      </c>
      <c r="E2221" s="24">
        <f t="shared" si="282"/>
        <v>773.71212892204767</v>
      </c>
      <c r="F2221" s="38">
        <f t="shared" si="277"/>
        <v>0.62750561134245075</v>
      </c>
      <c r="G2221" s="14">
        <f t="shared" si="278"/>
        <v>0</v>
      </c>
      <c r="H2221" s="24">
        <f t="shared" si="276"/>
        <v>962.21170191545889</v>
      </c>
      <c r="I2221" s="12">
        <f t="shared" si="283"/>
        <v>0.20246916893652384</v>
      </c>
      <c r="J2221" s="3"/>
    </row>
    <row r="2222" spans="2:10" x14ac:dyDescent="0.25">
      <c r="B2222" s="3">
        <f t="shared" si="279"/>
        <v>11010</v>
      </c>
      <c r="C2222" s="14">
        <f t="shared" si="280"/>
        <v>183.5</v>
      </c>
      <c r="D2222" s="11">
        <f t="shared" si="281"/>
        <v>1112.6225195476384</v>
      </c>
      <c r="E2222" s="24">
        <f t="shared" si="282"/>
        <v>773.91459809098421</v>
      </c>
      <c r="F2222" s="38">
        <f t="shared" si="277"/>
        <v>0.62879192432444986</v>
      </c>
      <c r="G2222" s="14">
        <f t="shared" si="278"/>
        <v>0</v>
      </c>
      <c r="H2222" s="24">
        <f t="shared" si="276"/>
        <v>960.24331562466023</v>
      </c>
      <c r="I2222" s="12">
        <f t="shared" si="283"/>
        <v>0.20273021225300461</v>
      </c>
      <c r="J2222" s="3"/>
    </row>
    <row r="2223" spans="2:10" x14ac:dyDescent="0.25">
      <c r="B2223" s="3">
        <f t="shared" si="279"/>
        <v>11015</v>
      </c>
      <c r="C2223" s="14">
        <f t="shared" si="280"/>
        <v>183.58333333333334</v>
      </c>
      <c r="D2223" s="11">
        <f t="shared" si="281"/>
        <v>1112.6905012167979</v>
      </c>
      <c r="E2223" s="24">
        <f t="shared" si="282"/>
        <v>774.11732830323717</v>
      </c>
      <c r="F2223" s="38">
        <f t="shared" si="277"/>
        <v>0.63007301204297861</v>
      </c>
      <c r="G2223" s="14">
        <f t="shared" si="278"/>
        <v>0</v>
      </c>
      <c r="H2223" s="24">
        <f t="shared" si="276"/>
        <v>958.29091345073221</v>
      </c>
      <c r="I2223" s="12">
        <f t="shared" si="283"/>
        <v>0.2029891720023326</v>
      </c>
      <c r="J2223" s="3"/>
    </row>
    <row r="2224" spans="2:10" x14ac:dyDescent="0.25">
      <c r="B2224" s="3">
        <f t="shared" si="279"/>
        <v>11020</v>
      </c>
      <c r="C2224" s="14">
        <f t="shared" si="280"/>
        <v>183.66666666666666</v>
      </c>
      <c r="D2224" s="11">
        <f t="shared" si="281"/>
        <v>1112.7584520552668</v>
      </c>
      <c r="E2224" s="24">
        <f t="shared" si="282"/>
        <v>774.32031747523945</v>
      </c>
      <c r="F2224" s="38">
        <f t="shared" si="277"/>
        <v>0.63134889004469108</v>
      </c>
      <c r="G2224" s="14">
        <f t="shared" si="278"/>
        <v>0</v>
      </c>
      <c r="H2224" s="24">
        <f t="shared" si="276"/>
        <v>956.35432606617815</v>
      </c>
      <c r="I2224" s="12">
        <f t="shared" si="283"/>
        <v>0.20324605791087563</v>
      </c>
      <c r="J2224" s="3"/>
    </row>
    <row r="2225" spans="2:10" x14ac:dyDescent="0.25">
      <c r="B2225" s="3">
        <f t="shared" si="279"/>
        <v>11025</v>
      </c>
      <c r="C2225" s="14">
        <f t="shared" si="280"/>
        <v>183.75</v>
      </c>
      <c r="D2225" s="11">
        <f t="shared" si="281"/>
        <v>1112.8263720909979</v>
      </c>
      <c r="E2225" s="24">
        <f t="shared" si="282"/>
        <v>774.52356353315031</v>
      </c>
      <c r="F2225" s="38">
        <f t="shared" si="277"/>
        <v>0.63261957401737456</v>
      </c>
      <c r="G2225" s="14">
        <f t="shared" si="278"/>
        <v>0</v>
      </c>
      <c r="H2225" s="24">
        <f t="shared" si="276"/>
        <v>954.43338627194794</v>
      </c>
      <c r="I2225" s="12">
        <f t="shared" si="283"/>
        <v>0.20350087971077679</v>
      </c>
      <c r="J2225" s="3"/>
    </row>
    <row r="2226" spans="2:10" x14ac:dyDescent="0.25">
      <c r="B2226" s="3">
        <f t="shared" si="279"/>
        <v>11030</v>
      </c>
      <c r="C2226" s="14">
        <f t="shared" si="280"/>
        <v>183.83333333333334</v>
      </c>
      <c r="D2226" s="11">
        <f t="shared" si="281"/>
        <v>1112.8942613519041</v>
      </c>
      <c r="E2226" s="24">
        <f t="shared" si="282"/>
        <v>774.72706441286107</v>
      </c>
      <c r="F2226" s="38">
        <f t="shared" si="277"/>
        <v>0.6338850797853578</v>
      </c>
      <c r="G2226" s="14">
        <f t="shared" si="278"/>
        <v>0</v>
      </c>
      <c r="H2226" s="24">
        <f t="shared" si="276"/>
        <v>952.52792896746018</v>
      </c>
      <c r="I2226" s="12">
        <f t="shared" si="283"/>
        <v>0.20375364713897556</v>
      </c>
      <c r="J2226" s="3"/>
    </row>
    <row r="2227" spans="2:10" x14ac:dyDescent="0.25">
      <c r="B2227" s="3">
        <f t="shared" si="279"/>
        <v>11035</v>
      </c>
      <c r="C2227" s="14">
        <f t="shared" si="280"/>
        <v>183.91666666666666</v>
      </c>
      <c r="D2227" s="11">
        <f t="shared" si="281"/>
        <v>1112.9621198658613</v>
      </c>
      <c r="E2227" s="24">
        <f t="shared" si="282"/>
        <v>774.93081806000009</v>
      </c>
      <c r="F2227" s="38">
        <f t="shared" si="277"/>
        <v>0.63514542330499857</v>
      </c>
      <c r="G2227" s="14">
        <f t="shared" si="278"/>
        <v>0</v>
      </c>
      <c r="H2227" s="24">
        <f t="shared" si="276"/>
        <v>950.63779112106886</v>
      </c>
      <c r="I2227" s="12">
        <f t="shared" si="283"/>
        <v>0.20400436993553794</v>
      </c>
      <c r="J2227" s="3"/>
    </row>
    <row r="2228" spans="2:10" x14ac:dyDescent="0.25">
      <c r="B2228" s="3">
        <f t="shared" si="279"/>
        <v>11040</v>
      </c>
      <c r="C2228" s="14">
        <f t="shared" si="280"/>
        <v>184</v>
      </c>
      <c r="D2228" s="11">
        <f t="shared" si="281"/>
        <v>1113.0299476607076</v>
      </c>
      <c r="E2228" s="24">
        <f t="shared" si="282"/>
        <v>775.13482242993564</v>
      </c>
      <c r="F2228" s="38">
        <f t="shared" si="277"/>
        <v>0.6364006206602415</v>
      </c>
      <c r="G2228" s="14">
        <f t="shared" si="278"/>
        <v>0</v>
      </c>
      <c r="H2228" s="24">
        <f t="shared" si="276"/>
        <v>948.76281174098722</v>
      </c>
      <c r="I2228" s="12">
        <f t="shared" si="283"/>
        <v>0.20425305784253117</v>
      </c>
      <c r="J2228" s="3"/>
    </row>
    <row r="2229" spans="2:10" x14ac:dyDescent="0.25">
      <c r="B2229" s="3">
        <f t="shared" si="279"/>
        <v>11045</v>
      </c>
      <c r="C2229" s="14">
        <f t="shared" si="280"/>
        <v>184.08333333333334</v>
      </c>
      <c r="D2229" s="11">
        <f t="shared" si="281"/>
        <v>1113.0977447642429</v>
      </c>
      <c r="E2229" s="24">
        <f t="shared" si="282"/>
        <v>775.33907548777813</v>
      </c>
      <c r="F2229" s="38">
        <f t="shared" si="277"/>
        <v>0.63765068805825464</v>
      </c>
      <c r="G2229" s="14">
        <f t="shared" si="278"/>
        <v>0</v>
      </c>
      <c r="H2229" s="24">
        <f t="shared" si="276"/>
        <v>946.90283184664065</v>
      </c>
      <c r="I2229" s="12">
        <f t="shared" si="283"/>
        <v>0.20449972060282734</v>
      </c>
      <c r="J2229" s="3"/>
    </row>
    <row r="2230" spans="2:10" x14ac:dyDescent="0.25">
      <c r="B2230" s="3">
        <f t="shared" si="279"/>
        <v>11050</v>
      </c>
      <c r="C2230" s="14">
        <f t="shared" si="280"/>
        <v>184.16666666666666</v>
      </c>
      <c r="D2230" s="11">
        <f t="shared" si="281"/>
        <v>1113.1655112042297</v>
      </c>
      <c r="E2230" s="24">
        <f t="shared" si="282"/>
        <v>775.54357520838096</v>
      </c>
      <c r="F2230" s="38">
        <f t="shared" si="277"/>
        <v>0.63889564182513692</v>
      </c>
      <c r="G2230" s="14">
        <f t="shared" si="278"/>
        <v>0</v>
      </c>
      <c r="H2230" s="24">
        <f t="shared" si="276"/>
        <v>945.05769444045734</v>
      </c>
      <c r="I2230" s="12">
        <f t="shared" si="283"/>
        <v>0.20474436795868159</v>
      </c>
      <c r="J2230" s="3"/>
    </row>
    <row r="2231" spans="2:10" x14ac:dyDescent="0.25">
      <c r="B2231" s="3">
        <f t="shared" si="279"/>
        <v>11055</v>
      </c>
      <c r="C2231" s="14">
        <f t="shared" si="280"/>
        <v>184.25</v>
      </c>
      <c r="D2231" s="11">
        <f t="shared" si="281"/>
        <v>1113.2332470083925</v>
      </c>
      <c r="E2231" s="24">
        <f t="shared" si="282"/>
        <v>775.74831957633967</v>
      </c>
      <c r="F2231" s="38">
        <f t="shared" si="277"/>
        <v>0.64013549840169859</v>
      </c>
      <c r="G2231" s="14">
        <f t="shared" si="278"/>
        <v>0</v>
      </c>
      <c r="H2231" s="24">
        <f t="shared" ref="H2231:H2294" si="284">IF(E2231&lt;600,425+0.773*E2231-1.69/1000*E2231^2+2.22/1000^2*E2231^3,IF(E2231&lt;735,666+13002/(738-E2231),IF(E2231&lt;900,545+17820/(E2231-731),650)))</f>
        <v>943.22724448008523</v>
      </c>
      <c r="I2231" s="12">
        <f t="shared" si="283"/>
        <v>0.20498700965075634</v>
      </c>
      <c r="J2231" s="3"/>
    </row>
    <row r="2232" spans="2:10" x14ac:dyDescent="0.25">
      <c r="B2232" s="3">
        <f t="shared" si="279"/>
        <v>11060</v>
      </c>
      <c r="C2232" s="14">
        <f t="shared" si="280"/>
        <v>184.33333333333334</v>
      </c>
      <c r="D2232" s="11">
        <f t="shared" si="281"/>
        <v>1113.3009522044188</v>
      </c>
      <c r="E2232" s="24">
        <f t="shared" si="282"/>
        <v>775.95330658599039</v>
      </c>
      <c r="F2232" s="38">
        <f t="shared" si="277"/>
        <v>0.64137027433931382</v>
      </c>
      <c r="G2232" s="14">
        <f t="shared" si="278"/>
        <v>0</v>
      </c>
      <c r="H2232" s="24">
        <f t="shared" si="284"/>
        <v>941.41132885102536</v>
      </c>
      <c r="I2232" s="12">
        <f t="shared" si="283"/>
        <v>0.2052276554167414</v>
      </c>
      <c r="J2232" s="3"/>
    </row>
    <row r="2233" spans="2:10" x14ac:dyDescent="0.25">
      <c r="B2233" s="3">
        <f t="shared" si="279"/>
        <v>11065</v>
      </c>
      <c r="C2233" s="14">
        <f t="shared" si="280"/>
        <v>184.41666666666666</v>
      </c>
      <c r="D2233" s="11">
        <f t="shared" si="281"/>
        <v>1113.3686268199581</v>
      </c>
      <c r="E2233" s="24">
        <f t="shared" si="282"/>
        <v>776.1585342414071</v>
      </c>
      <c r="F2233" s="38">
        <f t="shared" si="277"/>
        <v>0.6425999862958468</v>
      </c>
      <c r="G2233" s="14">
        <f t="shared" si="278"/>
        <v>0</v>
      </c>
      <c r="H2233" s="24">
        <f t="shared" si="284"/>
        <v>939.60979633967736</v>
      </c>
      <c r="I2233" s="12">
        <f t="shared" si="283"/>
        <v>0.20546631499038989</v>
      </c>
      <c r="J2233" s="3"/>
    </row>
    <row r="2234" spans="2:10" x14ac:dyDescent="0.25">
      <c r="B2234" s="3">
        <f t="shared" si="279"/>
        <v>11070</v>
      </c>
      <c r="C2234" s="14">
        <f t="shared" si="280"/>
        <v>184.5</v>
      </c>
      <c r="D2234" s="11">
        <f t="shared" si="281"/>
        <v>1113.4362708826227</v>
      </c>
      <c r="E2234" s="24">
        <f t="shared" si="282"/>
        <v>776.36400055639751</v>
      </c>
      <c r="F2234" s="38">
        <f t="shared" si="277"/>
        <v>0.64382465103164621</v>
      </c>
      <c r="G2234" s="14">
        <f t="shared" si="278"/>
        <v>0</v>
      </c>
      <c r="H2234" s="24">
        <f t="shared" si="284"/>
        <v>937.82249760679258</v>
      </c>
      <c r="I2234" s="12">
        <f t="shared" si="283"/>
        <v>0.20570299810028281</v>
      </c>
      <c r="J2234" s="3"/>
    </row>
    <row r="2235" spans="2:10" x14ac:dyDescent="0.25">
      <c r="B2235" s="3">
        <f t="shared" si="279"/>
        <v>11075</v>
      </c>
      <c r="C2235" s="14">
        <f t="shared" si="280"/>
        <v>184.58333333333334</v>
      </c>
      <c r="D2235" s="11">
        <f t="shared" si="281"/>
        <v>1113.5038844199869</v>
      </c>
      <c r="E2235" s="24">
        <f t="shared" si="282"/>
        <v>776.56970355449778</v>
      </c>
      <c r="F2235" s="38">
        <f t="shared" si="277"/>
        <v>0.64504428540560899</v>
      </c>
      <c r="G2235" s="14">
        <f t="shared" si="278"/>
        <v>0</v>
      </c>
      <c r="H2235" s="24">
        <f t="shared" si="284"/>
        <v>936.04928516132838</v>
      </c>
      <c r="I2235" s="12">
        <f t="shared" si="283"/>
        <v>0.20593771446882991</v>
      </c>
      <c r="J2235" s="3"/>
    </row>
    <row r="2236" spans="2:10" x14ac:dyDescent="0.25">
      <c r="B2236" s="3">
        <f t="shared" si="279"/>
        <v>11080</v>
      </c>
      <c r="C2236" s="14">
        <f t="shared" si="280"/>
        <v>184.66666666666666</v>
      </c>
      <c r="D2236" s="11">
        <f t="shared" si="281"/>
        <v>1113.5714674595883</v>
      </c>
      <c r="E2236" s="24">
        <f t="shared" si="282"/>
        <v>776.77564126896664</v>
      </c>
      <c r="F2236" s="38">
        <f t="shared" si="277"/>
        <v>0.64625890637131744</v>
      </c>
      <c r="G2236" s="14">
        <f t="shared" si="278"/>
        <v>0</v>
      </c>
      <c r="H2236" s="24">
        <f t="shared" si="284"/>
        <v>934.29001333468977</v>
      </c>
      <c r="I2236" s="12">
        <f t="shared" si="283"/>
        <v>0.20617047381107192</v>
      </c>
      <c r="J2236" s="3"/>
    </row>
    <row r="2237" spans="2:10" x14ac:dyDescent="0.25">
      <c r="B2237" s="3">
        <f t="shared" si="279"/>
        <v>11085</v>
      </c>
      <c r="C2237" s="14">
        <f t="shared" si="280"/>
        <v>184.75</v>
      </c>
      <c r="D2237" s="11">
        <f t="shared" si="281"/>
        <v>1113.6390200289279</v>
      </c>
      <c r="E2237" s="24">
        <f t="shared" si="282"/>
        <v>776.98181174277772</v>
      </c>
      <c r="F2237" s="38">
        <f t="shared" si="277"/>
        <v>0.64746853097323931</v>
      </c>
      <c r="G2237" s="14">
        <f t="shared" si="278"/>
        <v>0</v>
      </c>
      <c r="H2237" s="24">
        <f t="shared" si="284"/>
        <v>932.54453825536689</v>
      </c>
      <c r="I2237" s="12">
        <f t="shared" si="283"/>
        <v>0.20640128583374939</v>
      </c>
      <c r="J2237" s="3"/>
    </row>
    <row r="2238" spans="2:10" x14ac:dyDescent="0.25">
      <c r="B2238" s="3">
        <f t="shared" si="279"/>
        <v>11090</v>
      </c>
      <c r="C2238" s="14">
        <f t="shared" si="280"/>
        <v>184.83333333333334</v>
      </c>
      <c r="D2238" s="11">
        <f t="shared" si="281"/>
        <v>1113.7065421554678</v>
      </c>
      <c r="E2238" s="24">
        <f t="shared" si="282"/>
        <v>777.18821302861147</v>
      </c>
      <c r="F2238" s="38">
        <f t="shared" si="277"/>
        <v>0.64867317634300026</v>
      </c>
      <c r="G2238" s="14">
        <f t="shared" si="278"/>
        <v>0</v>
      </c>
      <c r="H2238" s="24">
        <f t="shared" si="284"/>
        <v>930.81271782394629</v>
      </c>
      <c r="I2238" s="12">
        <f t="shared" si="283"/>
        <v>0.20663016023439765</v>
      </c>
      <c r="J2238" s="3"/>
    </row>
    <row r="2239" spans="2:10" x14ac:dyDescent="0.25">
      <c r="B2239" s="3">
        <f t="shared" si="279"/>
        <v>11095</v>
      </c>
      <c r="C2239" s="14">
        <f t="shared" si="280"/>
        <v>184.91666666666666</v>
      </c>
      <c r="D2239" s="11">
        <f t="shared" si="281"/>
        <v>1113.7740338666345</v>
      </c>
      <c r="E2239" s="24">
        <f t="shared" si="282"/>
        <v>777.39484318884593</v>
      </c>
      <c r="F2239" s="38">
        <f t="shared" si="277"/>
        <v>0.64987285969572195</v>
      </c>
      <c r="G2239" s="14">
        <f t="shared" si="278"/>
        <v>0</v>
      </c>
      <c r="H2239" s="24">
        <f t="shared" si="284"/>
        <v>929.09441168850026</v>
      </c>
      <c r="I2239" s="12">
        <f t="shared" si="283"/>
        <v>0.20685710670004404</v>
      </c>
      <c r="J2239" s="3"/>
    </row>
    <row r="2240" spans="2:10" x14ac:dyDescent="0.25">
      <c r="B2240" s="3">
        <f t="shared" si="279"/>
        <v>11100</v>
      </c>
      <c r="C2240" s="14">
        <f t="shared" si="280"/>
        <v>185</v>
      </c>
      <c r="D2240" s="11">
        <f t="shared" si="281"/>
        <v>1113.8414951898169</v>
      </c>
      <c r="E2240" s="24">
        <f t="shared" si="282"/>
        <v>777.60170029554592</v>
      </c>
      <c r="F2240" s="38">
        <f t="shared" si="277"/>
        <v>0.65106759832642314</v>
      </c>
      <c r="G2240" s="14">
        <f t="shared" si="278"/>
        <v>0</v>
      </c>
      <c r="H2240" s="24">
        <f t="shared" si="284"/>
        <v>927.38948122034913</v>
      </c>
      <c r="I2240" s="12">
        <f t="shared" si="283"/>
        <v>0.20708213490656441</v>
      </c>
      <c r="J2240" s="3"/>
    </row>
    <row r="2241" spans="2:10" x14ac:dyDescent="0.25">
      <c r="B2241" s="3">
        <f t="shared" si="279"/>
        <v>11105</v>
      </c>
      <c r="C2241" s="14">
        <f t="shared" si="280"/>
        <v>185.08333333333334</v>
      </c>
      <c r="D2241" s="11">
        <f t="shared" si="281"/>
        <v>1113.9089261523666</v>
      </c>
      <c r="E2241" s="24">
        <f t="shared" si="282"/>
        <v>777.80878243045254</v>
      </c>
      <c r="F2241" s="38">
        <f t="shared" si="277"/>
        <v>0.65225740960649237</v>
      </c>
      <c r="G2241" s="14">
        <f t="shared" si="278"/>
        <v>0</v>
      </c>
      <c r="H2241" s="24">
        <f t="shared" si="284"/>
        <v>925.69778949017882</v>
      </c>
      <c r="I2241" s="12">
        <f t="shared" si="283"/>
        <v>0.20730525451762682</v>
      </c>
      <c r="J2241" s="3"/>
    </row>
    <row r="2242" spans="2:10" x14ac:dyDescent="0.25">
      <c r="B2242" s="3">
        <f t="shared" si="279"/>
        <v>11110</v>
      </c>
      <c r="C2242" s="14">
        <f t="shared" si="280"/>
        <v>185.16666666666666</v>
      </c>
      <c r="D2242" s="11">
        <f t="shared" si="281"/>
        <v>1113.9763267815988</v>
      </c>
      <c r="E2242" s="24">
        <f t="shared" si="282"/>
        <v>778.01608768497022</v>
      </c>
      <c r="F2242" s="38">
        <f t="shared" si="277"/>
        <v>0.65344231098022021</v>
      </c>
      <c r="G2242" s="14">
        <f t="shared" si="278"/>
        <v>0</v>
      </c>
      <c r="H2242" s="24">
        <f t="shared" si="284"/>
        <v>924.0192012445259</v>
      </c>
      <c r="I2242" s="12">
        <f t="shared" si="283"/>
        <v>0.2075264751836865</v>
      </c>
      <c r="J2242" s="3"/>
    </row>
    <row r="2243" spans="2:10" x14ac:dyDescent="0.25">
      <c r="B2243" s="3">
        <f t="shared" si="279"/>
        <v>11115</v>
      </c>
      <c r="C2243" s="14">
        <f t="shared" si="280"/>
        <v>185.25</v>
      </c>
      <c r="D2243" s="11">
        <f t="shared" si="281"/>
        <v>1114.0436971047918</v>
      </c>
      <c r="E2243" s="24">
        <f t="shared" si="282"/>
        <v>778.22361416015394</v>
      </c>
      <c r="F2243" s="38">
        <f t="shared" si="277"/>
        <v>0.65462231996139697</v>
      </c>
      <c r="G2243" s="14">
        <f t="shared" si="278"/>
        <v>0</v>
      </c>
      <c r="H2243" s="24">
        <f t="shared" si="284"/>
        <v>922.35358288260909</v>
      </c>
      <c r="I2243" s="12">
        <f t="shared" si="283"/>
        <v>0.20774580654125005</v>
      </c>
      <c r="J2243" s="3"/>
    </row>
    <row r="2244" spans="2:10" x14ac:dyDescent="0.25">
      <c r="B2244" s="3">
        <f t="shared" si="279"/>
        <v>11120</v>
      </c>
      <c r="C2244" s="14">
        <f t="shared" si="280"/>
        <v>185.33333333333334</v>
      </c>
      <c r="D2244" s="11">
        <f t="shared" si="281"/>
        <v>1114.1110371491866</v>
      </c>
      <c r="E2244" s="24">
        <f t="shared" si="282"/>
        <v>778.43135996669514</v>
      </c>
      <c r="F2244" s="38">
        <f t="shared" si="277"/>
        <v>0.65579745412997448</v>
      </c>
      <c r="G2244" s="14">
        <f t="shared" si="278"/>
        <v>0</v>
      </c>
      <c r="H2244" s="24">
        <f t="shared" si="284"/>
        <v>920.70080243350947</v>
      </c>
      <c r="I2244" s="12">
        <f t="shared" si="283"/>
        <v>0.20796325821196454</v>
      </c>
      <c r="J2244" s="3"/>
    </row>
    <row r="2245" spans="2:10" x14ac:dyDescent="0.25">
      <c r="B2245" s="3">
        <f t="shared" si="279"/>
        <v>11125</v>
      </c>
      <c r="C2245" s="14">
        <f t="shared" si="280"/>
        <v>185.41666666666666</v>
      </c>
      <c r="D2245" s="11">
        <f t="shared" si="281"/>
        <v>1114.1783469419881</v>
      </c>
      <c r="E2245" s="24">
        <f t="shared" si="282"/>
        <v>778.63932322490712</v>
      </c>
      <c r="F2245" s="38">
        <f t="shared" si="277"/>
        <v>0.6569677311287917</v>
      </c>
      <c r="G2245" s="14">
        <f t="shared" si="278"/>
        <v>0</v>
      </c>
      <c r="H2245" s="24">
        <f t="shared" si="284"/>
        <v>919.06072953368971</v>
      </c>
      <c r="I2245" s="12">
        <f t="shared" si="283"/>
        <v>0.20817883980166699</v>
      </c>
      <c r="J2245" s="3"/>
    </row>
    <row r="2246" spans="2:10" x14ac:dyDescent="0.25">
      <c r="B2246" s="3">
        <f t="shared" si="279"/>
        <v>11130</v>
      </c>
      <c r="C2246" s="14">
        <f t="shared" si="280"/>
        <v>185.5</v>
      </c>
      <c r="D2246" s="11">
        <f t="shared" si="281"/>
        <v>1114.2456265103647</v>
      </c>
      <c r="E2246" s="24">
        <f t="shared" si="282"/>
        <v>778.84750206470881</v>
      </c>
      <c r="F2246" s="38">
        <f t="shared" si="277"/>
        <v>0.65813316866035632</v>
      </c>
      <c r="G2246" s="14">
        <f t="shared" si="278"/>
        <v>0</v>
      </c>
      <c r="H2246" s="24">
        <f t="shared" si="284"/>
        <v>917.4332354048554</v>
      </c>
      <c r="I2246" s="12">
        <f t="shared" si="283"/>
        <v>0.20839256089971775</v>
      </c>
      <c r="J2246" s="3"/>
    </row>
    <row r="2247" spans="2:10" x14ac:dyDescent="0.25">
      <c r="B2247" s="3">
        <f t="shared" si="279"/>
        <v>11135</v>
      </c>
      <c r="C2247" s="14">
        <f t="shared" si="280"/>
        <v>185.58333333333334</v>
      </c>
      <c r="D2247" s="11">
        <f t="shared" si="281"/>
        <v>1114.3128758814471</v>
      </c>
      <c r="E2247" s="24">
        <f t="shared" si="282"/>
        <v>779.05589462560852</v>
      </c>
      <c r="F2247" s="38">
        <f t="shared" si="277"/>
        <v>0.65929378448369358</v>
      </c>
      <c r="G2247" s="14">
        <f t="shared" si="278"/>
        <v>0</v>
      </c>
      <c r="H2247" s="24">
        <f t="shared" si="284"/>
        <v>915.81819283214213</v>
      </c>
      <c r="I2247" s="12">
        <f t="shared" si="283"/>
        <v>0.20860443107817114</v>
      </c>
      <c r="J2247" s="3"/>
    </row>
    <row r="2248" spans="2:10" x14ac:dyDescent="0.25">
      <c r="B2248" s="3">
        <f t="shared" si="279"/>
        <v>11140</v>
      </c>
      <c r="C2248" s="14">
        <f t="shared" si="280"/>
        <v>185.66666666666666</v>
      </c>
      <c r="D2248" s="11">
        <f t="shared" si="281"/>
        <v>1114.3800950823309</v>
      </c>
      <c r="E2248" s="24">
        <f t="shared" si="282"/>
        <v>779.26449905668665</v>
      </c>
      <c r="F2248" s="38">
        <f t="shared" si="277"/>
        <v>0.66044959641125256</v>
      </c>
      <c r="G2248" s="14">
        <f t="shared" si="278"/>
        <v>0</v>
      </c>
      <c r="H2248" s="24">
        <f t="shared" si="284"/>
        <v>914.2154761426284</v>
      </c>
      <c r="I2248" s="12">
        <f t="shared" si="283"/>
        <v>0.20881445989084521</v>
      </c>
      <c r="J2248" s="3"/>
    </row>
    <row r="2249" spans="2:10" x14ac:dyDescent="0.25">
      <c r="B2249" s="3">
        <f t="shared" si="279"/>
        <v>11145</v>
      </c>
      <c r="C2249" s="14">
        <f t="shared" si="280"/>
        <v>185.75</v>
      </c>
      <c r="D2249" s="11">
        <f t="shared" si="281"/>
        <v>1114.4472841400741</v>
      </c>
      <c r="E2249" s="24">
        <f t="shared" si="282"/>
        <v>779.47331351657749</v>
      </c>
      <c r="F2249" s="38">
        <f t="shared" si="277"/>
        <v>0.66160062230587158</v>
      </c>
      <c r="G2249" s="14">
        <f t="shared" si="278"/>
        <v>0</v>
      </c>
      <c r="H2249" s="24">
        <f t="shared" si="284"/>
        <v>912.62496118417198</v>
      </c>
      <c r="I2249" s="12">
        <f t="shared" si="283"/>
        <v>0.20902265687281282</v>
      </c>
      <c r="J2249" s="3"/>
    </row>
    <row r="2250" spans="2:10" x14ac:dyDescent="0.25">
      <c r="B2250" s="3">
        <f t="shared" si="279"/>
        <v>11150</v>
      </c>
      <c r="C2250" s="14">
        <f t="shared" si="280"/>
        <v>185.83333333333334</v>
      </c>
      <c r="D2250" s="11">
        <f t="shared" si="281"/>
        <v>1114.514443081699</v>
      </c>
      <c r="E2250" s="24">
        <f t="shared" si="282"/>
        <v>779.68233617345027</v>
      </c>
      <c r="F2250" s="38">
        <f t="shared" si="277"/>
        <v>0.66274688007780203</v>
      </c>
      <c r="G2250" s="14">
        <f t="shared" si="278"/>
        <v>0</v>
      </c>
      <c r="H2250" s="24">
        <f t="shared" si="284"/>
        <v>911.04652530456087</v>
      </c>
      <c r="I2250" s="12">
        <f t="shared" si="283"/>
        <v>0.20922903153945069</v>
      </c>
      <c r="J2250" s="3"/>
    </row>
    <row r="2251" spans="2:10" x14ac:dyDescent="0.25">
      <c r="B2251" s="3">
        <f t="shared" si="279"/>
        <v>11155</v>
      </c>
      <c r="C2251" s="14">
        <f t="shared" si="280"/>
        <v>185.91666666666666</v>
      </c>
      <c r="D2251" s="11">
        <f t="shared" si="281"/>
        <v>1114.5815719341913</v>
      </c>
      <c r="E2251" s="24">
        <f t="shared" si="282"/>
        <v>779.89156520498977</v>
      </c>
      <c r="F2251" s="38">
        <f t="shared" si="277"/>
        <v>0.66388838768179315</v>
      </c>
      <c r="G2251" s="14">
        <f t="shared" si="278"/>
        <v>0</v>
      </c>
      <c r="H2251" s="24">
        <f t="shared" si="284"/>
        <v>909.48004733097241</v>
      </c>
      <c r="I2251" s="12">
        <f t="shared" si="283"/>
        <v>0.20943359338586517</v>
      </c>
      <c r="J2251" s="3"/>
    </row>
    <row r="2252" spans="2:10" x14ac:dyDescent="0.25">
      <c r="B2252" s="3">
        <f t="shared" si="279"/>
        <v>11160</v>
      </c>
      <c r="C2252" s="14">
        <f t="shared" si="280"/>
        <v>186</v>
      </c>
      <c r="D2252" s="11">
        <f t="shared" si="281"/>
        <v>1114.6486707245008</v>
      </c>
      <c r="E2252" s="24">
        <f t="shared" si="282"/>
        <v>780.1009987983756</v>
      </c>
      <c r="F2252" s="38">
        <f t="shared" si="277"/>
        <v>0.66502516311422699</v>
      </c>
      <c r="G2252" s="14">
        <f t="shared" si="278"/>
        <v>0</v>
      </c>
      <c r="H2252" s="24">
        <f t="shared" si="284"/>
        <v>907.92540754974493</v>
      </c>
      <c r="I2252" s="12">
        <f t="shared" si="283"/>
        <v>0.20963635188608878</v>
      </c>
      <c r="J2252" s="3"/>
    </row>
    <row r="2253" spans="2:10" x14ac:dyDescent="0.25">
      <c r="B2253" s="3">
        <f t="shared" si="279"/>
        <v>11165</v>
      </c>
      <c r="C2253" s="14">
        <f t="shared" si="280"/>
        <v>186.08333333333334</v>
      </c>
      <c r="D2253" s="11">
        <f t="shared" si="281"/>
        <v>1114.7157394795404</v>
      </c>
      <c r="E2253" s="24">
        <f t="shared" si="282"/>
        <v>780.31063515026165</v>
      </c>
      <c r="F2253" s="38">
        <f t="shared" si="277"/>
        <v>0.66615722441031977</v>
      </c>
      <c r="G2253" s="14">
        <f t="shared" si="278"/>
        <v>0</v>
      </c>
      <c r="H2253" s="24">
        <f t="shared" si="284"/>
        <v>906.38248768644075</v>
      </c>
      <c r="I2253" s="12">
        <f t="shared" si="283"/>
        <v>0.20983731649256271</v>
      </c>
      <c r="J2253" s="3"/>
    </row>
    <row r="2254" spans="2:10" x14ac:dyDescent="0.25">
      <c r="B2254" s="3">
        <f t="shared" si="279"/>
        <v>11170</v>
      </c>
      <c r="C2254" s="14">
        <f t="shared" si="280"/>
        <v>186.16666666666666</v>
      </c>
      <c r="D2254" s="11">
        <f t="shared" si="281"/>
        <v>1114.7827782261872</v>
      </c>
      <c r="E2254" s="24">
        <f t="shared" si="282"/>
        <v>780.5204724667542</v>
      </c>
      <c r="F2254" s="38">
        <f t="shared" si="277"/>
        <v>0.66728458964136983</v>
      </c>
      <c r="G2254" s="14">
        <f t="shared" si="278"/>
        <v>0</v>
      </c>
      <c r="H2254" s="24">
        <f t="shared" si="284"/>
        <v>904.85117088621359</v>
      </c>
      <c r="I2254" s="12">
        <f t="shared" si="283"/>
        <v>0.21003649663529411</v>
      </c>
      <c r="J2254" s="3"/>
    </row>
    <row r="2255" spans="2:10" x14ac:dyDescent="0.25">
      <c r="B2255" s="3">
        <f t="shared" si="279"/>
        <v>11175</v>
      </c>
      <c r="C2255" s="14">
        <f t="shared" si="280"/>
        <v>186.25</v>
      </c>
      <c r="D2255" s="11">
        <f t="shared" si="281"/>
        <v>1114.8497869912831</v>
      </c>
      <c r="E2255" s="24">
        <f t="shared" si="282"/>
        <v>780.73050896338952</v>
      </c>
      <c r="F2255" s="38">
        <f t="shared" si="277"/>
        <v>0.66840727691206547</v>
      </c>
      <c r="G2255" s="14">
        <f t="shared" si="278"/>
        <v>0</v>
      </c>
      <c r="H2255" s="24">
        <f t="shared" si="284"/>
        <v>903.33134169446521</v>
      </c>
      <c r="I2255" s="12">
        <f t="shared" si="283"/>
        <v>0.21023390172129941</v>
      </c>
      <c r="J2255" s="3"/>
    </row>
    <row r="2256" spans="2:10" x14ac:dyDescent="0.25">
      <c r="B2256" s="3">
        <f t="shared" si="279"/>
        <v>11180</v>
      </c>
      <c r="C2256" s="14">
        <f t="shared" si="280"/>
        <v>186.33333333333334</v>
      </c>
      <c r="D2256" s="11">
        <f t="shared" si="281"/>
        <v>1114.9167658016324</v>
      </c>
      <c r="E2256" s="24">
        <f t="shared" si="282"/>
        <v>780.94074286511079</v>
      </c>
      <c r="F2256" s="38">
        <f t="shared" si="277"/>
        <v>0.66952530435784352</v>
      </c>
      <c r="G2256" s="14">
        <f t="shared" si="278"/>
        <v>0</v>
      </c>
      <c r="H2256" s="24">
        <f t="shared" si="284"/>
        <v>901.82288603778989</v>
      </c>
      <c r="I2256" s="12">
        <f t="shared" si="283"/>
        <v>0.21042954113411122</v>
      </c>
      <c r="J2256" s="3"/>
    </row>
    <row r="2257" spans="2:10" x14ac:dyDescent="0.25">
      <c r="B2257" s="3">
        <f t="shared" si="279"/>
        <v>11185</v>
      </c>
      <c r="C2257" s="14">
        <f t="shared" si="280"/>
        <v>186.41666666666666</v>
      </c>
      <c r="D2257" s="11">
        <f t="shared" si="281"/>
        <v>1114.983714684005</v>
      </c>
      <c r="E2257" s="24">
        <f t="shared" si="282"/>
        <v>781.15117240624488</v>
      </c>
      <c r="F2257" s="38">
        <f t="shared" si="277"/>
        <v>0.67063869014230615</v>
      </c>
      <c r="G2257" s="14">
        <f t="shared" si="278"/>
        <v>0</v>
      </c>
      <c r="H2257" s="24">
        <f t="shared" si="284"/>
        <v>900.3256912051977</v>
      </c>
      <c r="I2257" s="12">
        <f t="shared" si="283"/>
        <v>0.2106234242329304</v>
      </c>
      <c r="J2257" s="3"/>
    </row>
    <row r="2258" spans="2:10" x14ac:dyDescent="0.25">
      <c r="B2258" s="3">
        <f t="shared" si="279"/>
        <v>11190</v>
      </c>
      <c r="C2258" s="14">
        <f t="shared" si="280"/>
        <v>186.5</v>
      </c>
      <c r="D2258" s="11">
        <f t="shared" si="281"/>
        <v>1115.0506336651338</v>
      </c>
      <c r="E2258" s="24">
        <f t="shared" si="282"/>
        <v>781.36179583047783</v>
      </c>
      <c r="F2258" s="38">
        <f t="shared" si="277"/>
        <v>0.67174745245468548</v>
      </c>
      <c r="G2258" s="14">
        <f t="shared" si="278"/>
        <v>0</v>
      </c>
      <c r="H2258" s="24">
        <f t="shared" si="284"/>
        <v>898.83964582962176</v>
      </c>
      <c r="I2258" s="12">
        <f t="shared" si="283"/>
        <v>0.21081556035229559</v>
      </c>
      <c r="J2258" s="3"/>
    </row>
    <row r="2259" spans="2:10" x14ac:dyDescent="0.25">
      <c r="B2259" s="3">
        <f t="shared" si="279"/>
        <v>11195</v>
      </c>
      <c r="C2259" s="14">
        <f t="shared" si="280"/>
        <v>186.58333333333334</v>
      </c>
      <c r="D2259" s="11">
        <f t="shared" si="281"/>
        <v>1115.1175227717163</v>
      </c>
      <c r="E2259" s="24">
        <f t="shared" si="282"/>
        <v>781.57261139083016</v>
      </c>
      <c r="F2259" s="38">
        <f t="shared" si="277"/>
        <v>0.67285160950736234</v>
      </c>
      <c r="G2259" s="14">
        <f t="shared" si="278"/>
        <v>0</v>
      </c>
      <c r="H2259" s="24">
        <f t="shared" si="284"/>
        <v>897.36463986969693</v>
      </c>
      <c r="I2259" s="12">
        <f t="shared" si="283"/>
        <v>0.2110059588013323</v>
      </c>
      <c r="J2259" s="3"/>
    </row>
    <row r="2260" spans="2:10" x14ac:dyDescent="0.25">
      <c r="B2260" s="3">
        <f t="shared" si="279"/>
        <v>11200</v>
      </c>
      <c r="C2260" s="14">
        <f t="shared" si="280"/>
        <v>186.66666666666666</v>
      </c>
      <c r="D2260" s="11">
        <f t="shared" si="281"/>
        <v>1115.1843820304143</v>
      </c>
      <c r="E2260" s="24">
        <f t="shared" si="282"/>
        <v>781.78361734963153</v>
      </c>
      <c r="F2260" s="38">
        <f t="shared" ref="F2260:F2323" si="285">Cp*RhoP/(RhoA*H2260)*dp/1000*MassivP</f>
        <v>0.67395117953343642</v>
      </c>
      <c r="G2260" s="14">
        <f t="shared" ref="G2260:G2323" si="286">Phi*EpsilonF*Botzman/10^8*J2260*((D2260+273)^4-(E2260+273)^4)</f>
        <v>0</v>
      </c>
      <c r="H2260" s="24">
        <f t="shared" si="284"/>
        <v>895.90056459180721</v>
      </c>
      <c r="I2260" s="12">
        <f t="shared" si="283"/>
        <v>0.21119462886330115</v>
      </c>
      <c r="J2260" s="3"/>
    </row>
    <row r="2261" spans="2:10" x14ac:dyDescent="0.25">
      <c r="B2261" s="3">
        <f t="shared" ref="B2261:B2324" si="287">B2260+DeltaT</f>
        <v>11205</v>
      </c>
      <c r="C2261" s="14">
        <f t="shared" ref="C2261:C2324" si="288">B2261/60</f>
        <v>186.75</v>
      </c>
      <c r="D2261" s="11">
        <f t="shared" ref="D2261:D2324" si="289">20+345*LOG(8*C2261+1,10)</f>
        <v>1115.2512114678545</v>
      </c>
      <c r="E2261" s="24">
        <f t="shared" ref="E2261:E2324" si="290">E2260+IF(Limit=Oui,MAX(0,I2260),I2260)</f>
        <v>781.99481197849479</v>
      </c>
      <c r="F2261" s="38">
        <f t="shared" si="285"/>
        <v>0.67504618078434542</v>
      </c>
      <c r="G2261" s="14">
        <f t="shared" si="286"/>
        <v>0</v>
      </c>
      <c r="H2261" s="24">
        <f t="shared" si="284"/>
        <v>894.44731255240117</v>
      </c>
      <c r="I2261" s="12">
        <f t="shared" ref="I2261:I2324" si="291">LambdaP*MassivP/(dp/1000)/(H2261*RhoA)/(1+F2261/3)*(D2261-E2261)*DeltaT-(EXP(F2261/10)-1)*(D2261-D2260)</f>
        <v>0.21138157979502262</v>
      </c>
      <c r="J2261" s="3"/>
    </row>
    <row r="2262" spans="2:10" x14ac:dyDescent="0.25">
      <c r="B2262" s="3">
        <f t="shared" si="287"/>
        <v>11210</v>
      </c>
      <c r="C2262" s="14">
        <f t="shared" si="288"/>
        <v>186.83333333333334</v>
      </c>
      <c r="D2262" s="11">
        <f t="shared" si="289"/>
        <v>1115.3180111106269</v>
      </c>
      <c r="E2262" s="24">
        <f t="shared" si="290"/>
        <v>782.20619355828978</v>
      </c>
      <c r="F2262" s="38">
        <f t="shared" si="285"/>
        <v>0.67613663152753634</v>
      </c>
      <c r="G2262" s="14">
        <f t="shared" si="286"/>
        <v>0</v>
      </c>
      <c r="H2262" s="24">
        <f t="shared" si="284"/>
        <v>893.00477758056513</v>
      </c>
      <c r="I2262" s="12">
        <f t="shared" si="291"/>
        <v>0.21156682082649109</v>
      </c>
      <c r="J2262" s="3"/>
    </row>
    <row r="2263" spans="2:10" x14ac:dyDescent="0.25">
      <c r="B2263" s="3">
        <f t="shared" si="287"/>
        <v>11215</v>
      </c>
      <c r="C2263" s="14">
        <f t="shared" si="288"/>
        <v>186.91666666666666</v>
      </c>
      <c r="D2263" s="11">
        <f t="shared" si="289"/>
        <v>1115.3847809852866</v>
      </c>
      <c r="E2263" s="24">
        <f t="shared" si="290"/>
        <v>782.41776037911632</v>
      </c>
      <c r="F2263" s="38">
        <f t="shared" si="285"/>
        <v>0.67722255004418408</v>
      </c>
      <c r="G2263" s="14">
        <f t="shared" si="286"/>
        <v>0</v>
      </c>
      <c r="H2263" s="24">
        <f t="shared" si="284"/>
        <v>891.57285476085644</v>
      </c>
      <c r="I2263" s="12">
        <f t="shared" si="291"/>
        <v>0.21175036116015805</v>
      </c>
      <c r="J2263" s="3"/>
    </row>
    <row r="2264" spans="2:10" x14ac:dyDescent="0.25">
      <c r="B2264" s="3">
        <f t="shared" si="287"/>
        <v>11220</v>
      </c>
      <c r="C2264" s="14">
        <f t="shared" si="288"/>
        <v>187</v>
      </c>
      <c r="D2264" s="11">
        <f t="shared" si="289"/>
        <v>1115.451521118353</v>
      </c>
      <c r="E2264" s="24">
        <f t="shared" si="290"/>
        <v>782.62951074027649</v>
      </c>
      <c r="F2264" s="38">
        <f t="shared" si="285"/>
        <v>0.67830395462695636</v>
      </c>
      <c r="G2264" s="14">
        <f t="shared" si="286"/>
        <v>0</v>
      </c>
      <c r="H2264" s="24">
        <f t="shared" si="284"/>
        <v>890.15144041639178</v>
      </c>
      <c r="I2264" s="12">
        <f t="shared" si="291"/>
        <v>0.21193220997065848</v>
      </c>
      <c r="J2264" s="3"/>
    </row>
    <row r="2265" spans="2:10" x14ac:dyDescent="0.25">
      <c r="B2265" s="3">
        <f t="shared" si="287"/>
        <v>11225</v>
      </c>
      <c r="C2265" s="14">
        <f t="shared" si="288"/>
        <v>187.08333333333334</v>
      </c>
      <c r="D2265" s="11">
        <f t="shared" si="289"/>
        <v>1115.5182315363102</v>
      </c>
      <c r="E2265" s="24">
        <f t="shared" si="290"/>
        <v>782.84144295024714</v>
      </c>
      <c r="F2265" s="38">
        <f t="shared" si="285"/>
        <v>0.67938086357783212</v>
      </c>
      <c r="G2265" s="14">
        <f t="shared" si="286"/>
        <v>0</v>
      </c>
      <c r="H2265" s="24">
        <f t="shared" si="284"/>
        <v>888.74043209217893</v>
      </c>
      <c r="I2265" s="12">
        <f t="shared" si="291"/>
        <v>0.21211237640420447</v>
      </c>
      <c r="J2265" s="3"/>
    </row>
    <row r="2266" spans="2:10" x14ac:dyDescent="0.25">
      <c r="B2266" s="3">
        <f t="shared" si="287"/>
        <v>11230</v>
      </c>
      <c r="C2266" s="14">
        <f t="shared" si="288"/>
        <v>187.16666666666666</v>
      </c>
      <c r="D2266" s="11">
        <f t="shared" si="289"/>
        <v>1115.5849122656066</v>
      </c>
      <c r="E2266" s="24">
        <f t="shared" si="290"/>
        <v>783.05355532665135</v>
      </c>
      <c r="F2266" s="38">
        <f t="shared" si="285"/>
        <v>0.6804532952059601</v>
      </c>
      <c r="G2266" s="14">
        <f t="shared" si="286"/>
        <v>0</v>
      </c>
      <c r="H2266" s="24">
        <f t="shared" si="284"/>
        <v>887.33972853869955</v>
      </c>
      <c r="I2266" s="12">
        <f t="shared" si="291"/>
        <v>0.21229086957826376</v>
      </c>
      <c r="J2266" s="3"/>
    </row>
    <row r="2267" spans="2:10" x14ac:dyDescent="0.25">
      <c r="B2267" s="3">
        <f t="shared" si="287"/>
        <v>11235</v>
      </c>
      <c r="C2267" s="14">
        <f t="shared" si="288"/>
        <v>187.25</v>
      </c>
      <c r="D2267" s="11">
        <f t="shared" si="289"/>
        <v>1115.6515633326562</v>
      </c>
      <c r="E2267" s="24">
        <f t="shared" si="290"/>
        <v>783.26584619622963</v>
      </c>
      <c r="F2267" s="38">
        <f t="shared" si="285"/>
        <v>0.68152126782556899</v>
      </c>
      <c r="G2267" s="14">
        <f t="shared" si="286"/>
        <v>0</v>
      </c>
      <c r="H2267" s="24">
        <f t="shared" si="284"/>
        <v>885.94922969573008</v>
      </c>
      <c r="I2267" s="12">
        <f t="shared" si="291"/>
        <v>0.21246769858095216</v>
      </c>
      <c r="J2267" s="3"/>
    </row>
    <row r="2268" spans="2:10" x14ac:dyDescent="0.25">
      <c r="B2268" s="3">
        <f t="shared" si="287"/>
        <v>11240</v>
      </c>
      <c r="C2268" s="14">
        <f t="shared" si="288"/>
        <v>187.33333333333334</v>
      </c>
      <c r="D2268" s="11">
        <f t="shared" si="289"/>
        <v>1115.7181847638369</v>
      </c>
      <c r="E2268" s="24">
        <f t="shared" si="290"/>
        <v>783.47831389481064</v>
      </c>
      <c r="F2268" s="38">
        <f t="shared" si="285"/>
        <v>0.68258479975391906</v>
      </c>
      <c r="G2268" s="14">
        <f t="shared" si="286"/>
        <v>0</v>
      </c>
      <c r="H2268" s="24">
        <f t="shared" si="284"/>
        <v>884.56883667640363</v>
      </c>
      <c r="I2268" s="12">
        <f t="shared" si="291"/>
        <v>0.21264287247085301</v>
      </c>
      <c r="J2268" s="3"/>
    </row>
    <row r="2269" spans="2:10" x14ac:dyDescent="0.25">
      <c r="B2269" s="3">
        <f t="shared" si="287"/>
        <v>11245</v>
      </c>
      <c r="C2269" s="14">
        <f t="shared" si="288"/>
        <v>187.41666666666666</v>
      </c>
      <c r="D2269" s="11">
        <f t="shared" si="289"/>
        <v>1115.7847765854915</v>
      </c>
      <c r="E2269" s="24">
        <f t="shared" si="290"/>
        <v>783.69095676728148</v>
      </c>
      <c r="F2269" s="38">
        <f t="shared" si="285"/>
        <v>0.68364390930930119</v>
      </c>
      <c r="G2269" s="14">
        <f t="shared" si="286"/>
        <v>0</v>
      </c>
      <c r="H2269" s="24">
        <f t="shared" si="284"/>
        <v>883.1984517515034</v>
      </c>
      <c r="I2269" s="12">
        <f t="shared" si="291"/>
        <v>0.21281640027640708</v>
      </c>
      <c r="J2269" s="3"/>
    </row>
    <row r="2270" spans="2:10" x14ac:dyDescent="0.25">
      <c r="B2270" s="3">
        <f t="shared" si="287"/>
        <v>11250</v>
      </c>
      <c r="C2270" s="14">
        <f t="shared" si="288"/>
        <v>187.5</v>
      </c>
      <c r="D2270" s="11">
        <f t="shared" si="289"/>
        <v>1115.851338823928</v>
      </c>
      <c r="E2270" s="24">
        <f t="shared" si="290"/>
        <v>783.90377316755792</v>
      </c>
      <c r="F2270" s="38">
        <f t="shared" si="285"/>
        <v>0.68469861480908023</v>
      </c>
      <c r="G2270" s="14">
        <f t="shared" si="286"/>
        <v>0</v>
      </c>
      <c r="H2270" s="24">
        <f t="shared" si="284"/>
        <v>881.83797833398626</v>
      </c>
      <c r="I2270" s="12">
        <f t="shared" si="291"/>
        <v>0.21298829099558639</v>
      </c>
      <c r="J2270" s="3"/>
    </row>
    <row r="2271" spans="2:10" x14ac:dyDescent="0.25">
      <c r="B2271" s="3">
        <f t="shared" si="287"/>
        <v>11255</v>
      </c>
      <c r="C2271" s="14">
        <f t="shared" si="288"/>
        <v>187.58333333333334</v>
      </c>
      <c r="D2271" s="11">
        <f t="shared" si="289"/>
        <v>1115.9178715054197</v>
      </c>
      <c r="E2271" s="24">
        <f t="shared" si="290"/>
        <v>784.11676145855347</v>
      </c>
      <c r="F2271" s="38">
        <f t="shared" si="285"/>
        <v>0.68574893456777797</v>
      </c>
      <c r="G2271" s="14">
        <f t="shared" si="286"/>
        <v>0</v>
      </c>
      <c r="H2271" s="24">
        <f t="shared" si="284"/>
        <v>880.48732096373737</v>
      </c>
      <c r="I2271" s="12">
        <f t="shared" si="291"/>
        <v>0.21315855359553448</v>
      </c>
      <c r="J2271" s="3"/>
    </row>
    <row r="2272" spans="2:10" x14ac:dyDescent="0.25">
      <c r="B2272" s="3">
        <f t="shared" si="287"/>
        <v>11260</v>
      </c>
      <c r="C2272" s="14">
        <f t="shared" si="288"/>
        <v>187.66666666666666</v>
      </c>
      <c r="D2272" s="11">
        <f t="shared" si="289"/>
        <v>1115.9843746562037</v>
      </c>
      <c r="E2272" s="24">
        <f t="shared" si="290"/>
        <v>784.32992001214905</v>
      </c>
      <c r="F2272" s="38">
        <f t="shared" si="285"/>
        <v>0.68679488689520563</v>
      </c>
      <c r="G2272" s="14">
        <f t="shared" si="286"/>
        <v>0</v>
      </c>
      <c r="H2272" s="24">
        <f t="shared" si="284"/>
        <v>879.14638529254194</v>
      </c>
      <c r="I2272" s="12">
        <f t="shared" si="291"/>
        <v>0.21332719701230074</v>
      </c>
      <c r="J2272" s="3"/>
    </row>
    <row r="2273" spans="2:10" x14ac:dyDescent="0.25">
      <c r="B2273" s="3">
        <f t="shared" si="287"/>
        <v>11265</v>
      </c>
      <c r="C2273" s="14">
        <f t="shared" si="288"/>
        <v>187.75</v>
      </c>
      <c r="D2273" s="11">
        <f t="shared" si="289"/>
        <v>1116.0508483024832</v>
      </c>
      <c r="E2273" s="24">
        <f t="shared" si="290"/>
        <v>784.54324720916134</v>
      </c>
      <c r="F2273" s="38">
        <f t="shared" si="285"/>
        <v>0.68783649009463022</v>
      </c>
      <c r="G2273" s="14">
        <f t="shared" si="286"/>
        <v>0</v>
      </c>
      <c r="H2273" s="24">
        <f t="shared" si="284"/>
        <v>877.81507806928403</v>
      </c>
      <c r="I2273" s="12">
        <f t="shared" si="291"/>
        <v>0.21349423015023475</v>
      </c>
      <c r="J2273" s="3"/>
    </row>
    <row r="2274" spans="2:10" x14ac:dyDescent="0.25">
      <c r="B2274" s="3">
        <f t="shared" si="287"/>
        <v>11270</v>
      </c>
      <c r="C2274" s="14">
        <f t="shared" si="288"/>
        <v>187.83333333333334</v>
      </c>
      <c r="D2274" s="11">
        <f t="shared" si="289"/>
        <v>1116.1172924704265</v>
      </c>
      <c r="E2274" s="24">
        <f t="shared" si="290"/>
        <v>784.75674143931155</v>
      </c>
      <c r="F2274" s="38">
        <f t="shared" si="285"/>
        <v>0.68887376246099086</v>
      </c>
      <c r="G2274" s="14">
        <f t="shared" si="286"/>
        <v>0</v>
      </c>
      <c r="H2274" s="24">
        <f t="shared" si="284"/>
        <v>876.49330712535493</v>
      </c>
      <c r="I2274" s="12">
        <f t="shared" si="291"/>
        <v>0.21365966188189228</v>
      </c>
      <c r="J2274" s="3"/>
    </row>
    <row r="2275" spans="2:10" x14ac:dyDescent="0.25">
      <c r="B2275" s="3">
        <f t="shared" si="287"/>
        <v>11275</v>
      </c>
      <c r="C2275" s="14">
        <f t="shared" si="288"/>
        <v>187.91666666666666</v>
      </c>
      <c r="D2275" s="11">
        <f t="shared" si="289"/>
        <v>1116.1837071861667</v>
      </c>
      <c r="E2275" s="24">
        <f t="shared" si="290"/>
        <v>784.97040110119349</v>
      </c>
      <c r="F2275" s="38">
        <f t="shared" si="285"/>
        <v>0.68990672227914962</v>
      </c>
      <c r="G2275" s="14">
        <f t="shared" si="286"/>
        <v>0</v>
      </c>
      <c r="H2275" s="24">
        <f t="shared" si="284"/>
        <v>875.18098136027993</v>
      </c>
      <c r="I2275" s="12">
        <f t="shared" si="291"/>
        <v>0.21382350104763193</v>
      </c>
      <c r="J2275" s="3"/>
    </row>
    <row r="2276" spans="2:10" x14ac:dyDescent="0.25">
      <c r="B2276" s="3">
        <f t="shared" si="287"/>
        <v>11280</v>
      </c>
      <c r="C2276" s="14">
        <f t="shared" si="288"/>
        <v>188</v>
      </c>
      <c r="D2276" s="11">
        <f t="shared" si="289"/>
        <v>1116.2500924758024</v>
      </c>
      <c r="E2276" s="24">
        <f t="shared" si="290"/>
        <v>785.1842246022411</v>
      </c>
      <c r="F2276" s="38">
        <f t="shared" si="285"/>
        <v>0.69093538782218356</v>
      </c>
      <c r="G2276" s="14">
        <f t="shared" si="286"/>
        <v>0</v>
      </c>
      <c r="H2276" s="24">
        <f t="shared" si="284"/>
        <v>873.87801072755315</v>
      </c>
      <c r="I2276" s="12">
        <f t="shared" si="291"/>
        <v>0.21398575645527251</v>
      </c>
      <c r="J2276" s="3"/>
    </row>
    <row r="2277" spans="2:10" x14ac:dyDescent="0.25">
      <c r="B2277" s="3">
        <f t="shared" si="287"/>
        <v>11285</v>
      </c>
      <c r="C2277" s="14">
        <f t="shared" si="288"/>
        <v>188.08333333333334</v>
      </c>
      <c r="D2277" s="11">
        <f t="shared" si="289"/>
        <v>1116.3164483653973</v>
      </c>
      <c r="E2277" s="24">
        <f t="shared" si="290"/>
        <v>785.39821035869636</v>
      </c>
      <c r="F2277" s="38">
        <f t="shared" si="285"/>
        <v>0.69195977734972047</v>
      </c>
      <c r="G2277" s="14">
        <f t="shared" si="286"/>
        <v>0</v>
      </c>
      <c r="H2277" s="24">
        <f t="shared" si="284"/>
        <v>872.58430622067715</v>
      </c>
      <c r="I2277" s="12">
        <f t="shared" si="291"/>
        <v>0.21414643687986065</v>
      </c>
      <c r="J2277" s="3"/>
    </row>
    <row r="2278" spans="2:10" x14ac:dyDescent="0.25">
      <c r="B2278" s="3">
        <f t="shared" si="287"/>
        <v>11290</v>
      </c>
      <c r="C2278" s="14">
        <f t="shared" si="288"/>
        <v>188.16666666666666</v>
      </c>
      <c r="D2278" s="11">
        <f t="shared" si="289"/>
        <v>1116.3827748809811</v>
      </c>
      <c r="E2278" s="24">
        <f t="shared" si="290"/>
        <v>785.61235679557626</v>
      </c>
      <c r="F2278" s="38">
        <f t="shared" si="285"/>
        <v>0.69297990910630947</v>
      </c>
      <c r="G2278" s="14">
        <f t="shared" si="286"/>
        <v>0</v>
      </c>
      <c r="H2278" s="24">
        <f t="shared" si="284"/>
        <v>871.29977985940832</v>
      </c>
      <c r="I2278" s="12">
        <f t="shared" si="291"/>
        <v>0.21430555106327079</v>
      </c>
      <c r="J2278" s="3"/>
    </row>
    <row r="2279" spans="2:10" x14ac:dyDescent="0.25">
      <c r="B2279" s="3">
        <f t="shared" si="287"/>
        <v>11295</v>
      </c>
      <c r="C2279" s="14">
        <f t="shared" si="288"/>
        <v>188.25</v>
      </c>
      <c r="D2279" s="11">
        <f t="shared" si="289"/>
        <v>1116.4490720485478</v>
      </c>
      <c r="E2279" s="24">
        <f t="shared" si="290"/>
        <v>785.82666234663952</v>
      </c>
      <c r="F2279" s="38">
        <f t="shared" si="285"/>
        <v>0.69399580131982808</v>
      </c>
      <c r="G2279" s="14">
        <f t="shared" si="286"/>
        <v>0</v>
      </c>
      <c r="H2279" s="24">
        <f t="shared" si="284"/>
        <v>870.02434467620355</v>
      </c>
      <c r="I2279" s="12">
        <f t="shared" si="291"/>
        <v>0.21446310771414262</v>
      </c>
      <c r="J2279" s="3"/>
    </row>
    <row r="2280" spans="2:10" x14ac:dyDescent="0.25">
      <c r="B2280" s="3">
        <f t="shared" si="287"/>
        <v>11300</v>
      </c>
      <c r="C2280" s="14">
        <f t="shared" si="288"/>
        <v>188.33333333333334</v>
      </c>
      <c r="D2280" s="11">
        <f t="shared" si="289"/>
        <v>1116.5153398940583</v>
      </c>
      <c r="E2280" s="24">
        <f t="shared" si="290"/>
        <v>786.04112545435362</v>
      </c>
      <c r="F2280" s="38">
        <f t="shared" si="285"/>
        <v>0.69500747219993397</v>
      </c>
      <c r="G2280" s="14">
        <f t="shared" si="286"/>
        <v>0</v>
      </c>
      <c r="H2280" s="24">
        <f t="shared" si="284"/>
        <v>868.75791470285935</v>
      </c>
      <c r="I2280" s="12">
        <f t="shared" si="291"/>
        <v>0.2146191155073103</v>
      </c>
      <c r="J2280" s="3"/>
    </row>
    <row r="2281" spans="2:10" x14ac:dyDescent="0.25">
      <c r="B2281" s="3">
        <f t="shared" si="287"/>
        <v>11305</v>
      </c>
      <c r="C2281" s="14">
        <f t="shared" si="288"/>
        <v>188.41666666666666</v>
      </c>
      <c r="D2281" s="11">
        <f t="shared" si="289"/>
        <v>1116.581578443438</v>
      </c>
      <c r="E2281" s="24">
        <f t="shared" si="290"/>
        <v>786.25574456986089</v>
      </c>
      <c r="F2281" s="38">
        <f t="shared" si="285"/>
        <v>0.69601493993654751</v>
      </c>
      <c r="G2281" s="14">
        <f t="shared" si="286"/>
        <v>0</v>
      </c>
      <c r="H2281" s="24">
        <f t="shared" si="284"/>
        <v>867.50040495734947</v>
      </c>
      <c r="I2281" s="12">
        <f t="shared" si="291"/>
        <v>0.21477358308389261</v>
      </c>
      <c r="J2281" s="3"/>
    </row>
    <row r="2282" spans="2:10" x14ac:dyDescent="0.25">
      <c r="B2282" s="3">
        <f t="shared" si="287"/>
        <v>11310</v>
      </c>
      <c r="C2282" s="14">
        <f t="shared" si="288"/>
        <v>188.5</v>
      </c>
      <c r="D2282" s="11">
        <f t="shared" si="289"/>
        <v>1116.6477877225784</v>
      </c>
      <c r="E2282" s="24">
        <f t="shared" si="290"/>
        <v>786.47051815294481</v>
      </c>
      <c r="F2282" s="38">
        <f t="shared" si="285"/>
        <v>0.69701822269837255</v>
      </c>
      <c r="G2282" s="14">
        <f t="shared" si="286"/>
        <v>0</v>
      </c>
      <c r="H2282" s="24">
        <f t="shared" si="284"/>
        <v>866.25173143085158</v>
      </c>
      <c r="I2282" s="12">
        <f t="shared" si="291"/>
        <v>0.21492651905077581</v>
      </c>
      <c r="J2282" s="3"/>
    </row>
    <row r="2283" spans="2:10" x14ac:dyDescent="0.25">
      <c r="B2283" s="3">
        <f t="shared" si="287"/>
        <v>11315</v>
      </c>
      <c r="C2283" s="14">
        <f t="shared" si="288"/>
        <v>188.58333333333334</v>
      </c>
      <c r="D2283" s="11">
        <f t="shared" si="289"/>
        <v>1116.7139677573366</v>
      </c>
      <c r="E2283" s="24">
        <f t="shared" si="290"/>
        <v>786.68544467199558</v>
      </c>
      <c r="F2283" s="38">
        <f t="shared" si="285"/>
        <v>0.69801733863145377</v>
      </c>
      <c r="G2283" s="14">
        <f t="shared" si="286"/>
        <v>0</v>
      </c>
      <c r="H2283" s="24">
        <f t="shared" si="284"/>
        <v>865.01181107496382</v>
      </c>
      <c r="I2283" s="12">
        <f t="shared" si="291"/>
        <v>0.21507793198053193</v>
      </c>
      <c r="J2283" s="3"/>
    </row>
    <row r="2284" spans="2:10" x14ac:dyDescent="0.25">
      <c r="B2284" s="3">
        <f t="shared" si="287"/>
        <v>11320</v>
      </c>
      <c r="C2284" s="14">
        <f t="shared" si="288"/>
        <v>188.66666666666666</v>
      </c>
      <c r="D2284" s="11">
        <f t="shared" si="289"/>
        <v>1116.7801185735354</v>
      </c>
      <c r="E2284" s="24">
        <f t="shared" si="290"/>
        <v>786.90052260397613</v>
      </c>
      <c r="F2284" s="38">
        <f t="shared" si="285"/>
        <v>0.69901230585776852</v>
      </c>
      <c r="G2284" s="14">
        <f t="shared" si="286"/>
        <v>0</v>
      </c>
      <c r="H2284" s="24">
        <f t="shared" si="284"/>
        <v>863.78056178910367</v>
      </c>
      <c r="I2284" s="12">
        <f t="shared" si="291"/>
        <v>0.21522783041116683</v>
      </c>
      <c r="J2284" s="3"/>
    </row>
    <row r="2285" spans="2:10" x14ac:dyDescent="0.25">
      <c r="B2285" s="3">
        <f t="shared" si="287"/>
        <v>11325</v>
      </c>
      <c r="C2285" s="14">
        <f t="shared" si="288"/>
        <v>188.75</v>
      </c>
      <c r="D2285" s="11">
        <f t="shared" si="289"/>
        <v>1116.8462401969637</v>
      </c>
      <c r="E2285" s="24">
        <f t="shared" si="290"/>
        <v>787.11575043438734</v>
      </c>
      <c r="F2285" s="38">
        <f t="shared" si="285"/>
        <v>0.70000314247385409</v>
      </c>
      <c r="G2285" s="14">
        <f t="shared" si="286"/>
        <v>0</v>
      </c>
      <c r="H2285" s="24">
        <f t="shared" si="284"/>
        <v>862.55790240809165</v>
      </c>
      <c r="I2285" s="12">
        <f t="shared" si="291"/>
        <v>0.21537622284589597</v>
      </c>
      <c r="J2285" s="3"/>
    </row>
    <row r="2286" spans="2:10" x14ac:dyDescent="0.25">
      <c r="B2286" s="3">
        <f t="shared" si="287"/>
        <v>11330</v>
      </c>
      <c r="C2286" s="14">
        <f t="shared" si="288"/>
        <v>188.83333333333334</v>
      </c>
      <c r="D2286" s="11">
        <f t="shared" si="289"/>
        <v>1116.9123326533756</v>
      </c>
      <c r="E2286" s="24">
        <f t="shared" si="290"/>
        <v>787.3311266572332</v>
      </c>
      <c r="F2286" s="38">
        <f t="shared" si="285"/>
        <v>0.70098986654946716</v>
      </c>
      <c r="G2286" s="14">
        <f t="shared" si="286"/>
        <v>0</v>
      </c>
      <c r="H2286" s="24">
        <f t="shared" si="284"/>
        <v>861.34375268991403</v>
      </c>
      <c r="I2286" s="12">
        <f t="shared" si="291"/>
        <v>0.21552311775297869</v>
      </c>
      <c r="J2286" s="3"/>
    </row>
    <row r="2287" spans="2:10" x14ac:dyDescent="0.25">
      <c r="B2287" s="3">
        <f t="shared" si="287"/>
        <v>11335</v>
      </c>
      <c r="C2287" s="14">
        <f t="shared" si="288"/>
        <v>188.91666666666666</v>
      </c>
      <c r="D2287" s="11">
        <f t="shared" si="289"/>
        <v>1116.9783959684921</v>
      </c>
      <c r="E2287" s="24">
        <f t="shared" si="290"/>
        <v>787.54664977498612</v>
      </c>
      <c r="F2287" s="38">
        <f t="shared" si="285"/>
        <v>0.70197249612628032</v>
      </c>
      <c r="G2287" s="14">
        <f t="shared" si="286"/>
        <v>0</v>
      </c>
      <c r="H2287" s="24">
        <f t="shared" si="284"/>
        <v>860.13803330366045</v>
      </c>
      <c r="I2287" s="12">
        <f t="shared" si="291"/>
        <v>0.21566852356546495</v>
      </c>
      <c r="J2287" s="3"/>
    </row>
    <row r="2288" spans="2:10" x14ac:dyDescent="0.25">
      <c r="B2288" s="3">
        <f t="shared" si="287"/>
        <v>11340</v>
      </c>
      <c r="C2288" s="14">
        <f t="shared" si="288"/>
        <v>189</v>
      </c>
      <c r="D2288" s="11">
        <f t="shared" si="289"/>
        <v>1117.0444301679993</v>
      </c>
      <c r="E2288" s="24">
        <f t="shared" si="290"/>
        <v>787.76231829855158</v>
      </c>
      <c r="F2288" s="38">
        <f t="shared" si="285"/>
        <v>0.70295104921660734</v>
      </c>
      <c r="G2288" s="14">
        <f t="shared" si="286"/>
        <v>0</v>
      </c>
      <c r="H2288" s="24">
        <f t="shared" si="284"/>
        <v>858.94066581763832</v>
      </c>
      <c r="I2288" s="12">
        <f t="shared" si="291"/>
        <v>0.21581244868113117</v>
      </c>
      <c r="J2288" s="3"/>
    </row>
    <row r="2289" spans="2:10" x14ac:dyDescent="0.25">
      <c r="B2289" s="3">
        <f t="shared" si="287"/>
        <v>11345</v>
      </c>
      <c r="C2289" s="14">
        <f t="shared" si="288"/>
        <v>189.08333333333334</v>
      </c>
      <c r="D2289" s="11">
        <f t="shared" si="289"/>
        <v>1117.1104352775499</v>
      </c>
      <c r="E2289" s="24">
        <f t="shared" si="290"/>
        <v>787.97813074723274</v>
      </c>
      <c r="F2289" s="38">
        <f t="shared" si="285"/>
        <v>0.70392554380216343</v>
      </c>
      <c r="G2289" s="14">
        <f t="shared" si="286"/>
        <v>0</v>
      </c>
      <c r="H2289" s="24">
        <f t="shared" si="284"/>
        <v>857.75157268765724</v>
      </c>
      <c r="I2289" s="12">
        <f t="shared" si="291"/>
        <v>0.21595490146216337</v>
      </c>
      <c r="J2289" s="3"/>
    </row>
    <row r="2290" spans="2:10" x14ac:dyDescent="0.25">
      <c r="B2290" s="3">
        <f t="shared" si="287"/>
        <v>11350</v>
      </c>
      <c r="C2290" s="14">
        <f t="shared" si="288"/>
        <v>189.16666666666666</v>
      </c>
      <c r="D2290" s="11">
        <f t="shared" si="289"/>
        <v>1117.1764113227623</v>
      </c>
      <c r="E2290" s="24">
        <f t="shared" si="290"/>
        <v>788.19408564869491</v>
      </c>
      <c r="F2290" s="38">
        <f t="shared" si="285"/>
        <v>0.70489599783285661</v>
      </c>
      <c r="G2290" s="14">
        <f t="shared" si="286"/>
        <v>0</v>
      </c>
      <c r="H2290" s="24">
        <f t="shared" si="284"/>
        <v>856.57067724548244</v>
      </c>
      <c r="I2290" s="12">
        <f t="shared" si="291"/>
        <v>0.21609589023514542</v>
      </c>
      <c r="J2290" s="3"/>
    </row>
    <row r="2291" spans="2:10" x14ac:dyDescent="0.25">
      <c r="B2291" s="3">
        <f t="shared" si="287"/>
        <v>11355</v>
      </c>
      <c r="C2291" s="14">
        <f t="shared" si="288"/>
        <v>189.25</v>
      </c>
      <c r="D2291" s="11">
        <f t="shared" si="289"/>
        <v>1117.2423583292216</v>
      </c>
      <c r="E2291" s="24">
        <f t="shared" si="290"/>
        <v>788.41018153893003</v>
      </c>
      <c r="F2291" s="38">
        <f t="shared" si="285"/>
        <v>0.70586242922561027</v>
      </c>
      <c r="G2291" s="14">
        <f t="shared" si="286"/>
        <v>0</v>
      </c>
      <c r="H2291" s="24">
        <f t="shared" si="284"/>
        <v>855.39790368745298</v>
      </c>
      <c r="I2291" s="12">
        <f t="shared" si="291"/>
        <v>0.2162354232907768</v>
      </c>
      <c r="J2291" s="3"/>
    </row>
    <row r="2292" spans="2:10" x14ac:dyDescent="0.25">
      <c r="B2292" s="3">
        <f t="shared" si="287"/>
        <v>11360</v>
      </c>
      <c r="C2292" s="14">
        <f t="shared" si="288"/>
        <v>189.33333333333334</v>
      </c>
      <c r="D2292" s="11">
        <f t="shared" si="289"/>
        <v>1117.3082763224786</v>
      </c>
      <c r="E2292" s="24">
        <f t="shared" si="290"/>
        <v>788.62641696222079</v>
      </c>
      <c r="F2292" s="38">
        <f t="shared" si="285"/>
        <v>0.70682485586321631</v>
      </c>
      <c r="G2292" s="14">
        <f t="shared" si="286"/>
        <v>0</v>
      </c>
      <c r="H2292" s="24">
        <f t="shared" si="284"/>
        <v>854.23317706326566</v>
      </c>
      <c r="I2292" s="12">
        <f t="shared" si="291"/>
        <v>0.21637350888384554</v>
      </c>
      <c r="J2292" s="3"/>
    </row>
    <row r="2293" spans="2:10" x14ac:dyDescent="0.25">
      <c r="B2293" s="3">
        <f t="shared" si="287"/>
        <v>11365</v>
      </c>
      <c r="C2293" s="14">
        <f t="shared" si="288"/>
        <v>189.41666666666666</v>
      </c>
      <c r="D2293" s="11">
        <f t="shared" si="289"/>
        <v>1117.3741653280508</v>
      </c>
      <c r="E2293" s="24">
        <f t="shared" si="290"/>
        <v>788.84279047110465</v>
      </c>
      <c r="F2293" s="38">
        <f t="shared" si="285"/>
        <v>0.70778329559321973</v>
      </c>
      <c r="G2293" s="14">
        <f t="shared" si="286"/>
        <v>0</v>
      </c>
      <c r="H2293" s="24">
        <f t="shared" si="284"/>
        <v>853.07642326491805</v>
      </c>
      <c r="I2293" s="12">
        <f t="shared" si="291"/>
        <v>0.21651015523299638</v>
      </c>
      <c r="J2293" s="3"/>
    </row>
    <row r="2294" spans="2:10" x14ac:dyDescent="0.25">
      <c r="B2294" s="3">
        <f t="shared" si="287"/>
        <v>11370</v>
      </c>
      <c r="C2294" s="14">
        <f t="shared" si="288"/>
        <v>189.5</v>
      </c>
      <c r="D2294" s="11">
        <f t="shared" si="289"/>
        <v>1117.4400253714218</v>
      </c>
      <c r="E2294" s="24">
        <f t="shared" si="290"/>
        <v>789.05930062633763</v>
      </c>
      <c r="F2294" s="38">
        <f t="shared" si="285"/>
        <v>0.70873776622683027</v>
      </c>
      <c r="G2294" s="14">
        <f t="shared" si="286"/>
        <v>0</v>
      </c>
      <c r="H2294" s="24">
        <f t="shared" si="284"/>
        <v>851.92756901581163</v>
      </c>
      <c r="I2294" s="12">
        <f t="shared" si="291"/>
        <v>0.21664537052068841</v>
      </c>
      <c r="J2294" s="3"/>
    </row>
    <row r="2295" spans="2:10" x14ac:dyDescent="0.25">
      <c r="B2295" s="3">
        <f t="shared" si="287"/>
        <v>11375</v>
      </c>
      <c r="C2295" s="14">
        <f t="shared" si="288"/>
        <v>189.58333333333334</v>
      </c>
      <c r="D2295" s="11">
        <f t="shared" si="289"/>
        <v>1117.5058564780418</v>
      </c>
      <c r="E2295" s="24">
        <f t="shared" si="290"/>
        <v>789.27594599685835</v>
      </c>
      <c r="F2295" s="38">
        <f t="shared" si="285"/>
        <v>0.70968828553786578</v>
      </c>
      <c r="G2295" s="14">
        <f t="shared" si="286"/>
        <v>0</v>
      </c>
      <c r="H2295" s="24">
        <f t="shared" ref="H2295:H2358" si="292">IF(E2295&lt;600,425+0.773*E2295-1.69/1000*E2295^2+2.22/1000^2*E2295^3,IF(E2295&lt;735,666+13002/(738-E2295),IF(E2295&lt;900,545+17820/(E2295-731),650)))</f>
        <v>850.78654186000983</v>
      </c>
      <c r="I2295" s="12">
        <f t="shared" si="291"/>
        <v>0.21677916289301183</v>
      </c>
      <c r="J2295" s="3"/>
    </row>
    <row r="2296" spans="2:10" x14ac:dyDescent="0.25">
      <c r="B2296" s="3">
        <f t="shared" si="287"/>
        <v>11380</v>
      </c>
      <c r="C2296" s="14">
        <f t="shared" si="288"/>
        <v>189.66666666666666</v>
      </c>
      <c r="D2296" s="11">
        <f t="shared" si="289"/>
        <v>1117.5716586733272</v>
      </c>
      <c r="E2296" s="24">
        <f t="shared" si="290"/>
        <v>789.49272515975133</v>
      </c>
      <c r="F2296" s="38">
        <f t="shared" si="285"/>
        <v>0.71063487126172264</v>
      </c>
      <c r="G2296" s="14">
        <f t="shared" si="286"/>
        <v>0</v>
      </c>
      <c r="H2296" s="24">
        <f t="shared" si="292"/>
        <v>849.6532701516511</v>
      </c>
      <c r="I2296" s="12">
        <f t="shared" si="291"/>
        <v>0.2169115404596299</v>
      </c>
      <c r="J2296" s="3"/>
    </row>
    <row r="2297" spans="2:10" x14ac:dyDescent="0.25">
      <c r="B2297" s="3">
        <f t="shared" si="287"/>
        <v>11385</v>
      </c>
      <c r="C2297" s="14">
        <f t="shared" si="288"/>
        <v>189.75</v>
      </c>
      <c r="D2297" s="11">
        <f t="shared" si="289"/>
        <v>1117.6374319826612</v>
      </c>
      <c r="E2297" s="24">
        <f t="shared" si="290"/>
        <v>789.70963670021092</v>
      </c>
      <c r="F2297" s="38">
        <f t="shared" si="285"/>
        <v>0.71157754109437499</v>
      </c>
      <c r="G2297" s="14">
        <f t="shared" si="286"/>
        <v>0</v>
      </c>
      <c r="H2297" s="24">
        <f t="shared" si="292"/>
        <v>848.52768304451081</v>
      </c>
      <c r="I2297" s="12">
        <f t="shared" si="291"/>
        <v>0.21704251129364438</v>
      </c>
      <c r="J2297" s="3"/>
    </row>
    <row r="2298" spans="2:10" x14ac:dyDescent="0.25">
      <c r="B2298" s="3">
        <f t="shared" si="287"/>
        <v>11390</v>
      </c>
      <c r="C2298" s="14">
        <f t="shared" si="288"/>
        <v>189.83333333333334</v>
      </c>
      <c r="D2298" s="11">
        <f t="shared" si="289"/>
        <v>1117.7031764313933</v>
      </c>
      <c r="E2298" s="24">
        <f t="shared" si="290"/>
        <v>789.92667921150462</v>
      </c>
      <c r="F2298" s="38">
        <f t="shared" si="285"/>
        <v>0.71251631269140203</v>
      </c>
      <c r="G2298" s="14">
        <f t="shared" si="286"/>
        <v>0</v>
      </c>
      <c r="H2298" s="24">
        <f t="shared" si="292"/>
        <v>847.40971048171491</v>
      </c>
      <c r="I2298" s="12">
        <f t="shared" si="291"/>
        <v>0.21717208343151959</v>
      </c>
      <c r="J2298" s="3"/>
    </row>
    <row r="2299" spans="2:10" x14ac:dyDescent="0.25">
      <c r="B2299" s="3">
        <f t="shared" si="287"/>
        <v>11395</v>
      </c>
      <c r="C2299" s="14">
        <f t="shared" si="288"/>
        <v>189.91666666666666</v>
      </c>
      <c r="D2299" s="11">
        <f t="shared" si="289"/>
        <v>1117.7688920448402</v>
      </c>
      <c r="E2299" s="24">
        <f t="shared" si="290"/>
        <v>790.1438512949361</v>
      </c>
      <c r="F2299" s="38">
        <f t="shared" si="285"/>
        <v>0.71345120366704029</v>
      </c>
      <c r="G2299" s="14">
        <f t="shared" si="286"/>
        <v>0</v>
      </c>
      <c r="H2299" s="24">
        <f t="shared" si="292"/>
        <v>846.29928318560064</v>
      </c>
      <c r="I2299" s="12">
        <f t="shared" si="291"/>
        <v>0.2173002648729799</v>
      </c>
      <c r="J2299" s="3"/>
    </row>
    <row r="2300" spans="2:10" x14ac:dyDescent="0.25">
      <c r="B2300" s="3">
        <f t="shared" si="287"/>
        <v>11400</v>
      </c>
      <c r="C2300" s="14">
        <f t="shared" si="288"/>
        <v>190</v>
      </c>
      <c r="D2300" s="11">
        <f t="shared" si="289"/>
        <v>1117.8345788482843</v>
      </c>
      <c r="E2300" s="24">
        <f t="shared" si="290"/>
        <v>790.36115155980906</v>
      </c>
      <c r="F2300" s="38">
        <f t="shared" si="285"/>
        <v>0.7143822315932653</v>
      </c>
      <c r="G2300" s="14">
        <f t="shared" si="286"/>
        <v>0</v>
      </c>
      <c r="H2300" s="24">
        <f t="shared" si="292"/>
        <v>845.19633264771733</v>
      </c>
      <c r="I2300" s="12">
        <f t="shared" si="291"/>
        <v>0.21742706358099867</v>
      </c>
      <c r="J2300" s="3"/>
    </row>
    <row r="2301" spans="2:10" x14ac:dyDescent="0.25">
      <c r="B2301" s="3">
        <f t="shared" si="287"/>
        <v>11405</v>
      </c>
      <c r="C2301" s="14">
        <f t="shared" si="288"/>
        <v>190.08333333333334</v>
      </c>
      <c r="D2301" s="11">
        <f t="shared" si="289"/>
        <v>1117.900236866976</v>
      </c>
      <c r="E2301" s="24">
        <f t="shared" si="290"/>
        <v>790.57857862339006</v>
      </c>
      <c r="F2301" s="38">
        <f t="shared" si="285"/>
        <v>0.71530941399889825</v>
      </c>
      <c r="G2301" s="14">
        <f t="shared" si="286"/>
        <v>0</v>
      </c>
      <c r="H2301" s="24">
        <f t="shared" si="292"/>
        <v>844.10079111897471</v>
      </c>
      <c r="I2301" s="12">
        <f t="shared" si="291"/>
        <v>0.21755248748155981</v>
      </c>
      <c r="J2301" s="3"/>
    </row>
    <row r="2302" spans="2:10" x14ac:dyDescent="0.25">
      <c r="B2302" s="3">
        <f t="shared" si="287"/>
        <v>11410</v>
      </c>
      <c r="C2302" s="14">
        <f t="shared" si="288"/>
        <v>190.16666666666666</v>
      </c>
      <c r="D2302" s="11">
        <f t="shared" si="289"/>
        <v>1117.9658661261317</v>
      </c>
      <c r="E2302" s="24">
        <f t="shared" si="290"/>
        <v>790.79613111087167</v>
      </c>
      <c r="F2302" s="38">
        <f t="shared" si="285"/>
        <v>0.71623276836873651</v>
      </c>
      <c r="G2302" s="14">
        <f t="shared" si="286"/>
        <v>0</v>
      </c>
      <c r="H2302" s="24">
        <f t="shared" si="292"/>
        <v>843.0125915999289</v>
      </c>
      <c r="I2302" s="12">
        <f t="shared" si="291"/>
        <v>0.2176765444638282</v>
      </c>
      <c r="J2302" s="3"/>
    </row>
    <row r="2303" spans="2:10" x14ac:dyDescent="0.25">
      <c r="B2303" s="3">
        <f t="shared" si="287"/>
        <v>11415</v>
      </c>
      <c r="C2303" s="14">
        <f t="shared" si="288"/>
        <v>190.25</v>
      </c>
      <c r="D2303" s="11">
        <f t="shared" si="289"/>
        <v>1118.0314666509346</v>
      </c>
      <c r="E2303" s="24">
        <f t="shared" si="290"/>
        <v>791.01380765533554</v>
      </c>
      <c r="F2303" s="38">
        <f t="shared" si="285"/>
        <v>0.7171523121427128</v>
      </c>
      <c r="G2303" s="14">
        <f t="shared" si="286"/>
        <v>0</v>
      </c>
      <c r="H2303" s="24">
        <f t="shared" si="292"/>
        <v>841.93166783120637</v>
      </c>
      <c r="I2303" s="12">
        <f t="shared" si="291"/>
        <v>0.21779924237992471</v>
      </c>
      <c r="J2303" s="3"/>
    </row>
    <row r="2304" spans="2:10" x14ac:dyDescent="0.25">
      <c r="B2304" s="3">
        <f t="shared" si="287"/>
        <v>11420</v>
      </c>
      <c r="C2304" s="14">
        <f t="shared" si="288"/>
        <v>190.33333333333334</v>
      </c>
      <c r="D2304" s="11">
        <f t="shared" si="289"/>
        <v>1118.0970384665354</v>
      </c>
      <c r="E2304" s="24">
        <f t="shared" si="290"/>
        <v>791.23160689771544</v>
      </c>
      <c r="F2304" s="38">
        <f t="shared" si="285"/>
        <v>0.71806806271507662</v>
      </c>
      <c r="G2304" s="14">
        <f t="shared" si="286"/>
        <v>0</v>
      </c>
      <c r="H2304" s="24">
        <f t="shared" si="292"/>
        <v>840.85795428406391</v>
      </c>
      <c r="I2304" s="12">
        <f t="shared" si="291"/>
        <v>0.2179205890448756</v>
      </c>
      <c r="J2304" s="3"/>
    </row>
    <row r="2305" spans="2:10" x14ac:dyDescent="0.25">
      <c r="B2305" s="3">
        <f t="shared" si="287"/>
        <v>11425</v>
      </c>
      <c r="C2305" s="14">
        <f t="shared" si="288"/>
        <v>190.41666666666666</v>
      </c>
      <c r="D2305" s="11">
        <f t="shared" si="289"/>
        <v>1118.1625815980517</v>
      </c>
      <c r="E2305" s="24">
        <f t="shared" si="290"/>
        <v>791.4495274867603</v>
      </c>
      <c r="F2305" s="38">
        <f t="shared" si="285"/>
        <v>0.71898003743360051</v>
      </c>
      <c r="G2305" s="14">
        <f t="shared" si="286"/>
        <v>0</v>
      </c>
      <c r="H2305" s="24">
        <f t="shared" si="292"/>
        <v>839.79138615108195</v>
      </c>
      <c r="I2305" s="12">
        <f t="shared" si="291"/>
        <v>0.21804059223666963</v>
      </c>
      <c r="J2305" s="3"/>
    </row>
    <row r="2306" spans="2:10" x14ac:dyDescent="0.25">
      <c r="B2306" s="3">
        <f t="shared" si="287"/>
        <v>11430</v>
      </c>
      <c r="C2306" s="14">
        <f t="shared" si="288"/>
        <v>190.5</v>
      </c>
      <c r="D2306" s="11">
        <f t="shared" si="289"/>
        <v>1118.2280960705675</v>
      </c>
      <c r="E2306" s="24">
        <f t="shared" si="290"/>
        <v>791.66756807899696</v>
      </c>
      <c r="F2306" s="38">
        <f t="shared" si="285"/>
        <v>0.71988825359881059</v>
      </c>
      <c r="G2306" s="14">
        <f t="shared" si="286"/>
        <v>0</v>
      </c>
      <c r="H2306" s="24">
        <f t="shared" si="292"/>
        <v>838.73189933699132</v>
      </c>
      <c r="I2306" s="12">
        <f t="shared" si="291"/>
        <v>0.21815925969618591</v>
      </c>
      <c r="J2306" s="3"/>
    </row>
    <row r="2307" spans="2:10" x14ac:dyDescent="0.25">
      <c r="B2307" s="3">
        <f t="shared" si="287"/>
        <v>11435</v>
      </c>
      <c r="C2307" s="14">
        <f t="shared" si="288"/>
        <v>190.58333333333334</v>
      </c>
      <c r="D2307" s="11">
        <f t="shared" si="289"/>
        <v>1118.2935819091347</v>
      </c>
      <c r="E2307" s="24">
        <f t="shared" si="290"/>
        <v>791.88572733869319</v>
      </c>
      <c r="F2307" s="38">
        <f t="shared" si="285"/>
        <v>0.72079272846324072</v>
      </c>
      <c r="G2307" s="14">
        <f t="shared" si="286"/>
        <v>0</v>
      </c>
      <c r="H2307" s="24">
        <f t="shared" si="292"/>
        <v>837.67943044962692</v>
      </c>
      <c r="I2307" s="12">
        <f t="shared" si="291"/>
        <v>0.21827659912706182</v>
      </c>
      <c r="J2307" s="3"/>
    </row>
    <row r="2308" spans="2:10" x14ac:dyDescent="0.25">
      <c r="B2308" s="3">
        <f t="shared" si="287"/>
        <v>11440</v>
      </c>
      <c r="C2308" s="14">
        <f t="shared" si="288"/>
        <v>190.66666666666666</v>
      </c>
      <c r="D2308" s="11">
        <f t="shared" si="289"/>
        <v>1118.359039138772</v>
      </c>
      <c r="E2308" s="24">
        <f t="shared" si="290"/>
        <v>792.10400393782027</v>
      </c>
      <c r="F2308" s="38">
        <f t="shared" si="285"/>
        <v>0.72169347923070726</v>
      </c>
      <c r="G2308" s="14">
        <f t="shared" si="286"/>
        <v>0</v>
      </c>
      <c r="H2308" s="24">
        <f t="shared" si="292"/>
        <v>836.63391679101289</v>
      </c>
      <c r="I2308" s="12">
        <f t="shared" si="291"/>
        <v>0.21839261819580183</v>
      </c>
      <c r="J2308" s="3"/>
    </row>
    <row r="2309" spans="2:10" x14ac:dyDescent="0.25">
      <c r="B2309" s="3">
        <f t="shared" si="287"/>
        <v>11445</v>
      </c>
      <c r="C2309" s="14">
        <f t="shared" si="288"/>
        <v>190.75</v>
      </c>
      <c r="D2309" s="11">
        <f t="shared" si="289"/>
        <v>1118.4244677844652</v>
      </c>
      <c r="E2309" s="24">
        <f t="shared" si="290"/>
        <v>792.32239655601609</v>
      </c>
      <c r="F2309" s="38">
        <f t="shared" si="285"/>
        <v>0.72259052305560989</v>
      </c>
      <c r="G2309" s="14">
        <f t="shared" si="286"/>
        <v>0</v>
      </c>
      <c r="H2309" s="24">
        <f t="shared" si="292"/>
        <v>835.5952963485696</v>
      </c>
      <c r="I2309" s="12">
        <f t="shared" si="291"/>
        <v>0.2185073245317242</v>
      </c>
      <c r="J2309" s="3"/>
    </row>
    <row r="2310" spans="2:10" x14ac:dyDescent="0.25">
      <c r="B2310" s="3">
        <f t="shared" si="287"/>
        <v>11450</v>
      </c>
      <c r="C2310" s="14">
        <f t="shared" si="288"/>
        <v>190.83333333333334</v>
      </c>
      <c r="D2310" s="11">
        <f t="shared" si="289"/>
        <v>1118.4898678711677</v>
      </c>
      <c r="E2310" s="24">
        <f t="shared" si="290"/>
        <v>792.54090388054783</v>
      </c>
      <c r="F2310" s="38">
        <f t="shared" si="285"/>
        <v>0.72348387704225181</v>
      </c>
      <c r="G2310" s="14">
        <f t="shared" si="286"/>
        <v>0</v>
      </c>
      <c r="H2310" s="24">
        <f t="shared" si="292"/>
        <v>834.56350778644696</v>
      </c>
      <c r="I2310" s="12">
        <f t="shared" si="291"/>
        <v>0.21862072572684571</v>
      </c>
      <c r="J2310" s="3"/>
    </row>
    <row r="2311" spans="2:10" x14ac:dyDescent="0.25">
      <c r="B2311" s="3">
        <f t="shared" si="287"/>
        <v>11455</v>
      </c>
      <c r="C2311" s="14">
        <f t="shared" si="288"/>
        <v>190.91666666666666</v>
      </c>
      <c r="D2311" s="11">
        <f t="shared" si="289"/>
        <v>1118.5552394238</v>
      </c>
      <c r="E2311" s="24">
        <f t="shared" si="290"/>
        <v>792.75952460627468</v>
      </c>
      <c r="F2311" s="38">
        <f t="shared" si="285"/>
        <v>0.72437355824418326</v>
      </c>
      <c r="G2311" s="14">
        <f t="shared" si="286"/>
        <v>0</v>
      </c>
      <c r="H2311" s="24">
        <f t="shared" si="292"/>
        <v>833.53849043697971</v>
      </c>
      <c r="I2311" s="12">
        <f t="shared" si="291"/>
        <v>0.21873282933604182</v>
      </c>
      <c r="J2311" s="3"/>
    </row>
    <row r="2312" spans="2:10" x14ac:dyDescent="0.25">
      <c r="B2312" s="3">
        <f t="shared" si="287"/>
        <v>11460</v>
      </c>
      <c r="C2312" s="14">
        <f t="shared" si="288"/>
        <v>191</v>
      </c>
      <c r="D2312" s="11">
        <f t="shared" si="289"/>
        <v>1118.6205824672504</v>
      </c>
      <c r="E2312" s="24">
        <f t="shared" si="290"/>
        <v>792.97825743561077</v>
      </c>
      <c r="F2312" s="38">
        <f t="shared" si="285"/>
        <v>0.72525958366356569</v>
      </c>
      <c r="G2312" s="14">
        <f t="shared" si="286"/>
        <v>0</v>
      </c>
      <c r="H2312" s="24">
        <f t="shared" si="292"/>
        <v>832.52018429226086</v>
      </c>
      <c r="I2312" s="12">
        <f t="shared" si="291"/>
        <v>0.21884364287687483</v>
      </c>
      <c r="J2312" s="3"/>
    </row>
    <row r="2313" spans="2:10" x14ac:dyDescent="0.25">
      <c r="B2313" s="3">
        <f t="shared" si="287"/>
        <v>11465</v>
      </c>
      <c r="C2313" s="14">
        <f t="shared" si="288"/>
        <v>191.08333333333334</v>
      </c>
      <c r="D2313" s="11">
        <f t="shared" si="289"/>
        <v>1118.6858970263738</v>
      </c>
      <c r="E2313" s="24">
        <f t="shared" si="290"/>
        <v>793.19710107848766</v>
      </c>
      <c r="F2313" s="38">
        <f t="shared" si="285"/>
        <v>0.72614197025055527</v>
      </c>
      <c r="G2313" s="14">
        <f t="shared" si="286"/>
        <v>0</v>
      </c>
      <c r="H2313" s="24">
        <f t="shared" si="292"/>
        <v>831.50852999583719</v>
      </c>
      <c r="I2313" s="12">
        <f t="shared" si="291"/>
        <v>0.21895317382978213</v>
      </c>
      <c r="J2313" s="3"/>
    </row>
    <row r="2314" spans="2:10" x14ac:dyDescent="0.25">
      <c r="B2314" s="3">
        <f t="shared" si="287"/>
        <v>11470</v>
      </c>
      <c r="C2314" s="14">
        <f t="shared" si="288"/>
        <v>191.16666666666666</v>
      </c>
      <c r="D2314" s="11">
        <f t="shared" si="289"/>
        <v>1118.7511831259935</v>
      </c>
      <c r="E2314" s="24">
        <f t="shared" si="290"/>
        <v>793.41605425231739</v>
      </c>
      <c r="F2314" s="38">
        <f t="shared" si="285"/>
        <v>0.72702073490271002</v>
      </c>
      <c r="G2314" s="14">
        <f t="shared" si="286"/>
        <v>0</v>
      </c>
      <c r="H2314" s="24">
        <f t="shared" si="292"/>
        <v>830.50346883451664</v>
      </c>
      <c r="I2314" s="12">
        <f t="shared" si="291"/>
        <v>0.21906142963784611</v>
      </c>
      <c r="J2314" s="3"/>
    </row>
    <row r="2315" spans="2:10" x14ac:dyDescent="0.25">
      <c r="B2315" s="3">
        <f t="shared" si="287"/>
        <v>11475</v>
      </c>
      <c r="C2315" s="14">
        <f t="shared" si="288"/>
        <v>191.25</v>
      </c>
      <c r="D2315" s="11">
        <f t="shared" si="289"/>
        <v>1118.8164407909001</v>
      </c>
      <c r="E2315" s="24">
        <f t="shared" si="290"/>
        <v>793.6351156819552</v>
      </c>
      <c r="F2315" s="38">
        <f t="shared" si="285"/>
        <v>0.72789589446441438</v>
      </c>
      <c r="G2315" s="14">
        <f t="shared" si="286"/>
        <v>0</v>
      </c>
      <c r="H2315" s="24">
        <f t="shared" si="292"/>
        <v>829.50494273029392</v>
      </c>
      <c r="I2315" s="12">
        <f t="shared" si="291"/>
        <v>0.21916841770702755</v>
      </c>
      <c r="J2315" s="3"/>
    </row>
    <row r="2316" spans="2:10" x14ac:dyDescent="0.25">
      <c r="B2316" s="3">
        <f t="shared" si="287"/>
        <v>11480</v>
      </c>
      <c r="C2316" s="14">
        <f t="shared" si="288"/>
        <v>191.33333333333334</v>
      </c>
      <c r="D2316" s="11">
        <f t="shared" si="289"/>
        <v>1118.8816700458513</v>
      </c>
      <c r="E2316" s="24">
        <f t="shared" si="290"/>
        <v>793.85428409966221</v>
      </c>
      <c r="F2316" s="38">
        <f t="shared" si="285"/>
        <v>0.72876746572632489</v>
      </c>
      <c r="G2316" s="14">
        <f t="shared" si="286"/>
        <v>0</v>
      </c>
      <c r="H2316" s="24">
        <f t="shared" si="292"/>
        <v>828.51289423238802</v>
      </c>
      <c r="I2316" s="12">
        <f t="shared" si="291"/>
        <v>0.2192741454060978</v>
      </c>
      <c r="J2316" s="3"/>
    </row>
    <row r="2317" spans="2:10" x14ac:dyDescent="0.25">
      <c r="B2317" s="3">
        <f t="shared" si="287"/>
        <v>11485</v>
      </c>
      <c r="C2317" s="14">
        <f t="shared" si="288"/>
        <v>191.41666666666666</v>
      </c>
      <c r="D2317" s="11">
        <f t="shared" si="289"/>
        <v>1118.9468709155731</v>
      </c>
      <c r="E2317" s="24">
        <f t="shared" si="290"/>
        <v>794.07355824506828</v>
      </c>
      <c r="F2317" s="38">
        <f t="shared" si="285"/>
        <v>0.72963546542483404</v>
      </c>
      <c r="G2317" s="14">
        <f t="shared" si="286"/>
        <v>0</v>
      </c>
      <c r="H2317" s="24">
        <f t="shared" si="292"/>
        <v>827.52726650939098</v>
      </c>
      <c r="I2317" s="12">
        <f t="shared" si="291"/>
        <v>0.21937862006659226</v>
      </c>
      <c r="J2317" s="3"/>
    </row>
    <row r="2318" spans="2:10" x14ac:dyDescent="0.25">
      <c r="B2318" s="3">
        <f t="shared" si="287"/>
        <v>11490</v>
      </c>
      <c r="C2318" s="14">
        <f t="shared" si="288"/>
        <v>191.5</v>
      </c>
      <c r="D2318" s="11">
        <f t="shared" si="289"/>
        <v>1119.0120434247594</v>
      </c>
      <c r="E2318" s="24">
        <f t="shared" si="290"/>
        <v>794.29293686513483</v>
      </c>
      <c r="F2318" s="38">
        <f t="shared" si="285"/>
        <v>0.73049991024155325</v>
      </c>
      <c r="G2318" s="14">
        <f t="shared" si="286"/>
        <v>0</v>
      </c>
      <c r="H2318" s="24">
        <f t="shared" si="292"/>
        <v>826.5480033415264</v>
      </c>
      <c r="I2318" s="12">
        <f t="shared" si="291"/>
        <v>0.21948184898292283</v>
      </c>
      <c r="J2318" s="3"/>
    </row>
    <row r="2319" spans="2:10" x14ac:dyDescent="0.25">
      <c r="B2319" s="3">
        <f t="shared" si="287"/>
        <v>11495</v>
      </c>
      <c r="C2319" s="14">
        <f t="shared" si="288"/>
        <v>191.58333333333334</v>
      </c>
      <c r="D2319" s="11">
        <f t="shared" si="289"/>
        <v>1119.0771875980711</v>
      </c>
      <c r="E2319" s="24">
        <f t="shared" si="290"/>
        <v>794.51241871411776</v>
      </c>
      <c r="F2319" s="38">
        <f t="shared" si="285"/>
        <v>0.73136081680281606</v>
      </c>
      <c r="G2319" s="14">
        <f t="shared" si="286"/>
        <v>0</v>
      </c>
      <c r="H2319" s="24">
        <f t="shared" si="292"/>
        <v>825.57504911301567</v>
      </c>
      <c r="I2319" s="12">
        <f t="shared" si="291"/>
        <v>0.21958383941247725</v>
      </c>
      <c r="J2319" s="3"/>
    </row>
    <row r="2320" spans="2:10" x14ac:dyDescent="0.25">
      <c r="B2320" s="3">
        <f t="shared" si="287"/>
        <v>11500</v>
      </c>
      <c r="C2320" s="14">
        <f t="shared" si="288"/>
        <v>191.66666666666666</v>
      </c>
      <c r="D2320" s="11">
        <f t="shared" si="289"/>
        <v>1119.1423034601376</v>
      </c>
      <c r="E2320" s="24">
        <f t="shared" si="290"/>
        <v>794.73200255353026</v>
      </c>
      <c r="F2320" s="38">
        <f t="shared" si="285"/>
        <v>0.73221820167919704</v>
      </c>
      <c r="G2320" s="14">
        <f t="shared" si="286"/>
        <v>0</v>
      </c>
      <c r="H2320" s="24">
        <f t="shared" si="292"/>
        <v>824.60834880455059</v>
      </c>
      <c r="I2320" s="12">
        <f t="shared" si="291"/>
        <v>0.21968459857541461</v>
      </c>
      <c r="J2320" s="3"/>
    </row>
    <row r="2321" spans="2:10" x14ac:dyDescent="0.25">
      <c r="B2321" s="3">
        <f t="shared" si="287"/>
        <v>11505</v>
      </c>
      <c r="C2321" s="14">
        <f t="shared" si="288"/>
        <v>191.75</v>
      </c>
      <c r="D2321" s="11">
        <f t="shared" si="289"/>
        <v>1119.2073910355557</v>
      </c>
      <c r="E2321" s="24">
        <f t="shared" si="290"/>
        <v>794.95168715210571</v>
      </c>
      <c r="F2321" s="38">
        <f t="shared" si="285"/>
        <v>0.73307208138504965</v>
      </c>
      <c r="G2321" s="14">
        <f t="shared" si="286"/>
        <v>0</v>
      </c>
      <c r="H2321" s="24">
        <f t="shared" si="292"/>
        <v>823.64784798587209</v>
      </c>
      <c r="I2321" s="12">
        <f t="shared" si="291"/>
        <v>0.21978413365498004</v>
      </c>
      <c r="J2321" s="3"/>
    </row>
    <row r="2322" spans="2:10" x14ac:dyDescent="0.25">
      <c r="B2322" s="3">
        <f t="shared" si="287"/>
        <v>11510</v>
      </c>
      <c r="C2322" s="14">
        <f t="shared" si="288"/>
        <v>191.83333333333334</v>
      </c>
      <c r="D2322" s="11">
        <f t="shared" si="289"/>
        <v>1119.2724503488907</v>
      </c>
      <c r="E2322" s="24">
        <f t="shared" si="290"/>
        <v>795.17147128576073</v>
      </c>
      <c r="F2322" s="38">
        <f t="shared" si="285"/>
        <v>0.73392247237806185</v>
      </c>
      <c r="G2322" s="14">
        <f t="shared" si="286"/>
        <v>0</v>
      </c>
      <c r="H2322" s="24">
        <f t="shared" si="292"/>
        <v>822.69349280844915</v>
      </c>
      <c r="I2322" s="12">
        <f t="shared" si="291"/>
        <v>0.219882451797342</v>
      </c>
      <c r="J2322" s="3"/>
    </row>
    <row r="2323" spans="2:10" x14ac:dyDescent="0.25">
      <c r="B2323" s="3">
        <f t="shared" si="287"/>
        <v>11515</v>
      </c>
      <c r="C2323" s="14">
        <f t="shared" si="288"/>
        <v>191.91666666666666</v>
      </c>
      <c r="D2323" s="11">
        <f t="shared" si="289"/>
        <v>1119.3374814246761</v>
      </c>
      <c r="E2323" s="24">
        <f t="shared" si="290"/>
        <v>795.39135373755812</v>
      </c>
      <c r="F2323" s="38">
        <f t="shared" si="285"/>
        <v>0.73476939105882844</v>
      </c>
      <c r="G2323" s="14">
        <f t="shared" si="286"/>
        <v>0</v>
      </c>
      <c r="H2323" s="24">
        <f t="shared" si="292"/>
        <v>821.7452299982624</v>
      </c>
      <c r="I2323" s="12">
        <f t="shared" si="291"/>
        <v>0.21997956011174397</v>
      </c>
      <c r="J2323" s="3"/>
    </row>
    <row r="2324" spans="2:10" x14ac:dyDescent="0.25">
      <c r="B2324" s="3">
        <f t="shared" si="287"/>
        <v>11520</v>
      </c>
      <c r="C2324" s="14">
        <f t="shared" si="288"/>
        <v>192</v>
      </c>
      <c r="D2324" s="11">
        <f t="shared" si="289"/>
        <v>1119.4024842874119</v>
      </c>
      <c r="E2324" s="24">
        <f t="shared" si="290"/>
        <v>795.61133329766983</v>
      </c>
      <c r="F2324" s="38">
        <f t="shared" ref="F2324:F2387" si="293">Cp*RhoP/(RhoA*H2324)*dp/1000*MassivP</f>
        <v>0.73561285377043983</v>
      </c>
      <c r="G2324" s="14">
        <f t="shared" ref="G2324:G2387" si="294">Phi*EpsilonF*Botzman/10^8*J2324*((D2324+273)^4-(E2324+273)^4)</f>
        <v>0</v>
      </c>
      <c r="H2324" s="24">
        <f t="shared" si="292"/>
        <v>820.80300684868655</v>
      </c>
      <c r="I2324" s="12">
        <f t="shared" si="291"/>
        <v>0.22007546567064176</v>
      </c>
      <c r="J2324" s="3"/>
    </row>
    <row r="2325" spans="2:10" x14ac:dyDescent="0.25">
      <c r="B2325" s="3">
        <f t="shared" ref="B2325:B2388" si="295">B2324+DeltaT</f>
        <v>11525</v>
      </c>
      <c r="C2325" s="14">
        <f t="shared" ref="C2325:C2388" si="296">B2325/60</f>
        <v>192.08333333333334</v>
      </c>
      <c r="D2325" s="11">
        <f t="shared" ref="D2325:D2388" si="297">20+345*LOG(8*C2325+1,10)</f>
        <v>1119.4674589615684</v>
      </c>
      <c r="E2325" s="24">
        <f t="shared" ref="E2325:E2388" si="298">E2324+IF(Limit=Oui,MAX(0,I2324),I2324)</f>
        <v>795.83140876334051</v>
      </c>
      <c r="F2325" s="38">
        <f t="shared" si="293"/>
        <v>0.73645287679808924</v>
      </c>
      <c r="G2325" s="14">
        <f t="shared" si="294"/>
        <v>0</v>
      </c>
      <c r="H2325" s="24">
        <f t="shared" si="292"/>
        <v>819.86677121346895</v>
      </c>
      <c r="I2325" s="12">
        <f t="shared" ref="I2325:I2388" si="299">LambdaP*MassivP/(dp/1000)/(H2325*RhoA)/(1+F2325/3)*(D2325-E2325)*DeltaT-(EXP(F2325/10)-1)*(D2325-D2324)</f>
        <v>0.22017017550941476</v>
      </c>
      <c r="J2325" s="3"/>
    </row>
    <row r="2326" spans="2:10" x14ac:dyDescent="0.25">
      <c r="B2326" s="3">
        <f t="shared" si="295"/>
        <v>11530</v>
      </c>
      <c r="C2326" s="14">
        <f t="shared" si="296"/>
        <v>192.16666666666666</v>
      </c>
      <c r="D2326" s="11">
        <f t="shared" si="297"/>
        <v>1119.5324054715825</v>
      </c>
      <c r="E2326" s="24">
        <f t="shared" si="298"/>
        <v>796.05157893884996</v>
      </c>
      <c r="F2326" s="38">
        <f t="shared" si="293"/>
        <v>0.7372894763686918</v>
      </c>
      <c r="G2326" s="14">
        <f t="shared" si="294"/>
        <v>0</v>
      </c>
      <c r="H2326" s="24">
        <f t="shared" si="292"/>
        <v>818.93647149981143</v>
      </c>
      <c r="I2326" s="12">
        <f t="shared" si="299"/>
        <v>0.22026369662690878</v>
      </c>
      <c r="J2326" s="3"/>
    </row>
    <row r="2327" spans="2:10" x14ac:dyDescent="0.25">
      <c r="B2327" s="3">
        <f t="shared" si="295"/>
        <v>11535</v>
      </c>
      <c r="C2327" s="14">
        <f t="shared" si="296"/>
        <v>192.25</v>
      </c>
      <c r="D2327" s="11">
        <f t="shared" si="297"/>
        <v>1119.5973238418601</v>
      </c>
      <c r="E2327" s="24">
        <f t="shared" si="298"/>
        <v>796.2718426354769</v>
      </c>
      <c r="F2327" s="38">
        <f t="shared" si="293"/>
        <v>0.73812266865052389</v>
      </c>
      <c r="G2327" s="14">
        <f t="shared" si="294"/>
        <v>0</v>
      </c>
      <c r="H2327" s="24">
        <f t="shared" si="292"/>
        <v>818.0120566615409</v>
      </c>
      <c r="I2327" s="12">
        <f t="shared" si="299"/>
        <v>0.22035603598510095</v>
      </c>
      <c r="J2327" s="3"/>
    </row>
    <row r="2328" spans="2:10" x14ac:dyDescent="0.25">
      <c r="B2328" s="3">
        <f t="shared" si="295"/>
        <v>11540</v>
      </c>
      <c r="C2328" s="14">
        <f t="shared" si="296"/>
        <v>192.33333333333334</v>
      </c>
      <c r="D2328" s="11">
        <f t="shared" si="297"/>
        <v>1119.662214096775</v>
      </c>
      <c r="E2328" s="24">
        <f t="shared" si="298"/>
        <v>796.49219867146201</v>
      </c>
      <c r="F2328" s="38">
        <f t="shared" si="293"/>
        <v>0.73895246975287465</v>
      </c>
      <c r="G2328" s="14">
        <f t="shared" si="294"/>
        <v>0</v>
      </c>
      <c r="H2328" s="24">
        <f t="shared" si="292"/>
        <v>817.09347619237894</v>
      </c>
      <c r="I2328" s="12">
        <f t="shared" si="299"/>
        <v>0.22044720050939165</v>
      </c>
      <c r="J2328" s="3"/>
    </row>
    <row r="2329" spans="2:10" x14ac:dyDescent="0.25">
      <c r="B2329" s="3">
        <f t="shared" si="295"/>
        <v>11545</v>
      </c>
      <c r="C2329" s="14">
        <f t="shared" si="296"/>
        <v>192.41666666666666</v>
      </c>
      <c r="D2329" s="11">
        <f t="shared" si="297"/>
        <v>1119.7270762606697</v>
      </c>
      <c r="E2329" s="24">
        <f t="shared" si="298"/>
        <v>796.7126458719714</v>
      </c>
      <c r="F2329" s="38">
        <f t="shared" si="293"/>
        <v>0.73977889572571554</v>
      </c>
      <c r="G2329" s="14">
        <f t="shared" si="294"/>
        <v>0</v>
      </c>
      <c r="H2329" s="24">
        <f t="shared" si="292"/>
        <v>816.18068011930131</v>
      </c>
      <c r="I2329" s="12">
        <f t="shared" si="299"/>
        <v>0.22053719708853539</v>
      </c>
      <c r="J2329" s="3"/>
    </row>
    <row r="2330" spans="2:10" x14ac:dyDescent="0.25">
      <c r="B2330" s="3">
        <f t="shared" si="295"/>
        <v>11550</v>
      </c>
      <c r="C2330" s="14">
        <f t="shared" si="296"/>
        <v>192.5</v>
      </c>
      <c r="D2330" s="11">
        <f t="shared" si="297"/>
        <v>1119.7919103578545</v>
      </c>
      <c r="E2330" s="24">
        <f t="shared" si="298"/>
        <v>796.93318306905996</v>
      </c>
      <c r="F2330" s="38">
        <f t="shared" si="293"/>
        <v>0.74060196255938171</v>
      </c>
      <c r="G2330" s="14">
        <f t="shared" si="294"/>
        <v>0</v>
      </c>
      <c r="H2330" s="24">
        <f t="shared" si="292"/>
        <v>815.27361899599043</v>
      </c>
      <c r="I2330" s="12">
        <f t="shared" si="299"/>
        <v>0.2206260325748875</v>
      </c>
      <c r="J2330" s="3"/>
    </row>
    <row r="2331" spans="2:10" x14ac:dyDescent="0.25">
      <c r="B2331" s="3">
        <f t="shared" si="295"/>
        <v>11555</v>
      </c>
      <c r="C2331" s="14">
        <f t="shared" si="296"/>
        <v>192.58333333333334</v>
      </c>
      <c r="D2331" s="11">
        <f t="shared" si="297"/>
        <v>1119.8567164126093</v>
      </c>
      <c r="E2331" s="24">
        <f t="shared" si="298"/>
        <v>797.15380910163481</v>
      </c>
      <c r="F2331" s="38">
        <f t="shared" si="293"/>
        <v>0.74142168618427007</v>
      </c>
      <c r="G2331" s="14">
        <f t="shared" si="294"/>
        <v>0</v>
      </c>
      <c r="H2331" s="24">
        <f t="shared" si="292"/>
        <v>814.372243896378</v>
      </c>
      <c r="I2331" s="12">
        <f t="shared" si="299"/>
        <v>0.22071371378418531</v>
      </c>
      <c r="J2331" s="3"/>
    </row>
    <row r="2332" spans="2:10" x14ac:dyDescent="0.25">
      <c r="B2332" s="3">
        <f t="shared" si="295"/>
        <v>11560</v>
      </c>
      <c r="C2332" s="14">
        <f t="shared" si="296"/>
        <v>192.66666666666666</v>
      </c>
      <c r="D2332" s="11">
        <f t="shared" si="297"/>
        <v>1119.921494449181</v>
      </c>
      <c r="E2332" s="24">
        <f t="shared" si="298"/>
        <v>797.37452281541903</v>
      </c>
      <c r="F2332" s="38">
        <f t="shared" si="293"/>
        <v>0.74223808247055056</v>
      </c>
      <c r="G2332" s="14">
        <f t="shared" si="294"/>
        <v>0</v>
      </c>
      <c r="H2332" s="24">
        <f t="shared" si="292"/>
        <v>813.47650640827442</v>
      </c>
      <c r="I2332" s="12">
        <f t="shared" si="299"/>
        <v>0.22080024749607935</v>
      </c>
      <c r="J2332" s="3"/>
    </row>
    <row r="2333" spans="2:10" x14ac:dyDescent="0.25">
      <c r="B2333" s="3">
        <f t="shared" si="295"/>
        <v>11565</v>
      </c>
      <c r="C2333" s="14">
        <f t="shared" si="296"/>
        <v>192.75</v>
      </c>
      <c r="D2333" s="11">
        <f t="shared" si="297"/>
        <v>1119.986244491786</v>
      </c>
      <c r="E2333" s="24">
        <f t="shared" si="298"/>
        <v>797.5953230629151</v>
      </c>
      <c r="F2333" s="38">
        <f t="shared" si="293"/>
        <v>0.74305116722789188</v>
      </c>
      <c r="G2333" s="14">
        <f t="shared" si="294"/>
        <v>0</v>
      </c>
      <c r="H2333" s="24">
        <f t="shared" si="292"/>
        <v>812.5863586270882</v>
      </c>
      <c r="I2333" s="12">
        <f t="shared" si="299"/>
        <v>0.22088564045369363</v>
      </c>
      <c r="J2333" s="3"/>
    </row>
    <row r="2334" spans="2:10" x14ac:dyDescent="0.25">
      <c r="B2334" s="3">
        <f t="shared" si="295"/>
        <v>11570</v>
      </c>
      <c r="C2334" s="14">
        <f t="shared" si="296"/>
        <v>192.83333333333334</v>
      </c>
      <c r="D2334" s="11">
        <f t="shared" si="297"/>
        <v>1120.0509665646096</v>
      </c>
      <c r="E2334" s="24">
        <f t="shared" si="298"/>
        <v>797.81620870336883</v>
      </c>
      <c r="F2334" s="38">
        <f t="shared" si="293"/>
        <v>0.74386095620519943</v>
      </c>
      <c r="G2334" s="14">
        <f t="shared" si="294"/>
        <v>0</v>
      </c>
      <c r="H2334" s="24">
        <f t="shared" si="292"/>
        <v>811.70175314962944</v>
      </c>
      <c r="I2334" s="12">
        <f t="shared" si="299"/>
        <v>0.2209698993640947</v>
      </c>
      <c r="J2334" s="3"/>
    </row>
    <row r="2335" spans="2:10" x14ac:dyDescent="0.25">
      <c r="B2335" s="3">
        <f t="shared" si="295"/>
        <v>11575</v>
      </c>
      <c r="C2335" s="14">
        <f t="shared" si="296"/>
        <v>192.91666666666666</v>
      </c>
      <c r="D2335" s="11">
        <f t="shared" si="297"/>
        <v>1120.1156606918048</v>
      </c>
      <c r="E2335" s="24">
        <f t="shared" si="298"/>
        <v>798.03717860273298</v>
      </c>
      <c r="F2335" s="38">
        <f t="shared" si="293"/>
        <v>0.74466746509036907</v>
      </c>
      <c r="G2335" s="14">
        <f t="shared" si="294"/>
        <v>0</v>
      </c>
      <c r="H2335" s="24">
        <f t="shared" si="292"/>
        <v>810.82264306799925</v>
      </c>
      <c r="I2335" s="12">
        <f t="shared" si="299"/>
        <v>0.22105303089827438</v>
      </c>
      <c r="J2335" s="3"/>
    </row>
    <row r="2336" spans="2:10" x14ac:dyDescent="0.25">
      <c r="B2336" s="3">
        <f t="shared" si="295"/>
        <v>11580</v>
      </c>
      <c r="C2336" s="14">
        <f t="shared" si="296"/>
        <v>193</v>
      </c>
      <c r="D2336" s="11">
        <f t="shared" si="297"/>
        <v>1120.1803268974943</v>
      </c>
      <c r="E2336" s="24">
        <f t="shared" si="298"/>
        <v>798.25823163363123</v>
      </c>
      <c r="F2336" s="38">
        <f t="shared" si="293"/>
        <v>0.74547070951005157</v>
      </c>
      <c r="G2336" s="14">
        <f t="shared" si="294"/>
        <v>0</v>
      </c>
      <c r="H2336" s="24">
        <f t="shared" si="292"/>
        <v>809.94898196356144</v>
      </c>
      <c r="I2336" s="12">
        <f t="shared" si="299"/>
        <v>0.22113504169113643</v>
      </c>
      <c r="J2336" s="3"/>
    </row>
    <row r="2337" spans="2:10" x14ac:dyDescent="0.25">
      <c r="B2337" s="3">
        <f t="shared" si="295"/>
        <v>11585</v>
      </c>
      <c r="C2337" s="14">
        <f t="shared" si="296"/>
        <v>193.08333333333334</v>
      </c>
      <c r="D2337" s="11">
        <f t="shared" si="297"/>
        <v>1120.2449652057689</v>
      </c>
      <c r="E2337" s="24">
        <f t="shared" si="298"/>
        <v>798.47936667532235</v>
      </c>
      <c r="F2337" s="38">
        <f t="shared" si="293"/>
        <v>0.74627070502943094</v>
      </c>
      <c r="G2337" s="14">
        <f t="shared" si="294"/>
        <v>0</v>
      </c>
      <c r="H2337" s="24">
        <f t="shared" si="292"/>
        <v>809.0807239009979</v>
      </c>
      <c r="I2337" s="12">
        <f t="shared" si="299"/>
        <v>0.2212159383417473</v>
      </c>
      <c r="J2337" s="3"/>
    </row>
    <row r="2338" spans="2:10" x14ac:dyDescent="0.25">
      <c r="B2338" s="3">
        <f t="shared" si="295"/>
        <v>11590</v>
      </c>
      <c r="C2338" s="14">
        <f t="shared" si="296"/>
        <v>193.16666666666666</v>
      </c>
      <c r="D2338" s="11">
        <f t="shared" si="297"/>
        <v>1120.3095756406885</v>
      </c>
      <c r="E2338" s="24">
        <f t="shared" si="298"/>
        <v>798.7005826136641</v>
      </c>
      <c r="F2338" s="38">
        <f t="shared" si="293"/>
        <v>0.74706746715201577</v>
      </c>
      <c r="G2338" s="14">
        <f t="shared" si="294"/>
        <v>0</v>
      </c>
      <c r="H2338" s="24">
        <f t="shared" si="292"/>
        <v>808.21782342244364</v>
      </c>
      <c r="I2338" s="12">
        <f t="shared" si="299"/>
        <v>0.22129572741332673</v>
      </c>
      <c r="J2338" s="3"/>
    </row>
    <row r="2339" spans="2:10" x14ac:dyDescent="0.25">
      <c r="B2339" s="3">
        <f t="shared" si="295"/>
        <v>11595</v>
      </c>
      <c r="C2339" s="14">
        <f t="shared" si="296"/>
        <v>193.25</v>
      </c>
      <c r="D2339" s="11">
        <f t="shared" si="297"/>
        <v>1120.3741582262817</v>
      </c>
      <c r="E2339" s="24">
        <f t="shared" si="298"/>
        <v>798.92187834107744</v>
      </c>
      <c r="F2339" s="38">
        <f t="shared" si="293"/>
        <v>0.74786101131944072</v>
      </c>
      <c r="G2339" s="14">
        <f t="shared" si="294"/>
        <v>0</v>
      </c>
      <c r="H2339" s="24">
        <f t="shared" si="292"/>
        <v>807.36023554170333</v>
      </c>
      <c r="I2339" s="12">
        <f t="shared" si="299"/>
        <v>0.22137441543338199</v>
      </c>
      <c r="J2339" s="3"/>
    </row>
    <row r="2340" spans="2:10" x14ac:dyDescent="0.25">
      <c r="B2340" s="3">
        <f t="shared" si="295"/>
        <v>11600</v>
      </c>
      <c r="C2340" s="14">
        <f t="shared" si="296"/>
        <v>193.33333333333334</v>
      </c>
      <c r="D2340" s="11">
        <f t="shared" si="297"/>
        <v>1120.4387129865465</v>
      </c>
      <c r="E2340" s="24">
        <f t="shared" si="298"/>
        <v>799.14325275651083</v>
      </c>
      <c r="F2340" s="38">
        <f t="shared" si="293"/>
        <v>0.74865135291128238</v>
      </c>
      <c r="G2340" s="14">
        <f t="shared" si="294"/>
        <v>0</v>
      </c>
      <c r="H2340" s="24">
        <f t="shared" si="292"/>
        <v>806.50791573854485</v>
      </c>
      <c r="I2340" s="12">
        <f t="shared" si="299"/>
        <v>0.22145200889375588</v>
      </c>
      <c r="J2340" s="3"/>
    </row>
    <row r="2341" spans="2:10" x14ac:dyDescent="0.25">
      <c r="B2341" s="3">
        <f t="shared" si="295"/>
        <v>11605</v>
      </c>
      <c r="C2341" s="14">
        <f t="shared" si="296"/>
        <v>193.41666666666666</v>
      </c>
      <c r="D2341" s="11">
        <f t="shared" si="297"/>
        <v>1120.5032399454492</v>
      </c>
      <c r="E2341" s="24">
        <f t="shared" si="298"/>
        <v>799.36470476540455</v>
      </c>
      <c r="F2341" s="38">
        <f t="shared" si="293"/>
        <v>0.74943850724488525</v>
      </c>
      <c r="G2341" s="14">
        <f t="shared" si="294"/>
        <v>0</v>
      </c>
      <c r="H2341" s="24">
        <f t="shared" si="292"/>
        <v>805.6608199530715</v>
      </c>
      <c r="I2341" s="12">
        <f t="shared" si="299"/>
        <v>0.22152851425090547</v>
      </c>
      <c r="J2341" s="3"/>
    </row>
    <row r="2342" spans="2:10" x14ac:dyDescent="0.25">
      <c r="B2342" s="3">
        <f t="shared" si="295"/>
        <v>11610</v>
      </c>
      <c r="C2342" s="14">
        <f t="shared" si="296"/>
        <v>193.5</v>
      </c>
      <c r="D2342" s="11">
        <f t="shared" si="297"/>
        <v>1120.567739126926</v>
      </c>
      <c r="E2342" s="24">
        <f t="shared" si="298"/>
        <v>799.5862332796554</v>
      </c>
      <c r="F2342" s="38">
        <f t="shared" si="293"/>
        <v>0.75022248957520055</v>
      </c>
      <c r="G2342" s="14">
        <f t="shared" si="294"/>
        <v>0</v>
      </c>
      <c r="H2342" s="24">
        <f t="shared" si="292"/>
        <v>804.81890458016903</v>
      </c>
      <c r="I2342" s="12">
        <f t="shared" si="299"/>
        <v>0.22160393792570915</v>
      </c>
      <c r="J2342" s="3"/>
    </row>
    <row r="2343" spans="2:10" x14ac:dyDescent="0.25">
      <c r="B2343" s="3">
        <f t="shared" si="295"/>
        <v>11615</v>
      </c>
      <c r="C2343" s="14">
        <f t="shared" si="296"/>
        <v>193.58333333333334</v>
      </c>
      <c r="D2343" s="11">
        <f t="shared" si="297"/>
        <v>1120.6322105548813</v>
      </c>
      <c r="E2343" s="24">
        <f t="shared" si="298"/>
        <v>799.8078372175811</v>
      </c>
      <c r="F2343" s="38">
        <f t="shared" si="293"/>
        <v>0.75100331509463403</v>
      </c>
      <c r="G2343" s="14">
        <f t="shared" si="294"/>
        <v>0</v>
      </c>
      <c r="H2343" s="24">
        <f t="shared" si="292"/>
        <v>803.98212646403033</v>
      </c>
      <c r="I2343" s="12">
        <f t="shared" si="299"/>
        <v>0.22167828630390812</v>
      </c>
      <c r="J2343" s="3"/>
    </row>
    <row r="2344" spans="2:10" x14ac:dyDescent="0.25">
      <c r="B2344" s="3">
        <f t="shared" si="295"/>
        <v>11620</v>
      </c>
      <c r="C2344" s="14">
        <f t="shared" si="296"/>
        <v>193.66666666666666</v>
      </c>
      <c r="D2344" s="11">
        <f t="shared" si="297"/>
        <v>1120.6966542531895</v>
      </c>
      <c r="E2344" s="24">
        <f t="shared" si="298"/>
        <v>800.02951550388502</v>
      </c>
      <c r="F2344" s="38">
        <f t="shared" si="293"/>
        <v>0.75178099893290751</v>
      </c>
      <c r="G2344" s="14">
        <f t="shared" si="294"/>
        <v>0</v>
      </c>
      <c r="H2344" s="24">
        <f t="shared" si="292"/>
        <v>803.15044289275193</v>
      </c>
      <c r="I2344" s="12">
        <f t="shared" si="299"/>
        <v>0.22175156573593494</v>
      </c>
      <c r="J2344" s="3"/>
    </row>
    <row r="2345" spans="2:10" x14ac:dyDescent="0.25">
      <c r="B2345" s="3">
        <f t="shared" si="295"/>
        <v>11625</v>
      </c>
      <c r="C2345" s="14">
        <f t="shared" si="296"/>
        <v>193.75</v>
      </c>
      <c r="D2345" s="11">
        <f t="shared" si="297"/>
        <v>1120.7610702456936</v>
      </c>
      <c r="E2345" s="24">
        <f t="shared" si="298"/>
        <v>800.25126706962101</v>
      </c>
      <c r="F2345" s="38">
        <f t="shared" si="293"/>
        <v>0.75255555615692837</v>
      </c>
      <c r="G2345" s="14">
        <f t="shared" si="294"/>
        <v>0</v>
      </c>
      <c r="H2345" s="24">
        <f t="shared" si="292"/>
        <v>802.32381159300462</v>
      </c>
      <c r="I2345" s="12">
        <f t="shared" si="299"/>
        <v>0.22182378253721888</v>
      </c>
      <c r="J2345" s="3"/>
    </row>
    <row r="2346" spans="2:10" x14ac:dyDescent="0.25">
      <c r="B2346" s="3">
        <f t="shared" si="295"/>
        <v>11630</v>
      </c>
      <c r="C2346" s="14">
        <f t="shared" si="296"/>
        <v>193.83333333333334</v>
      </c>
      <c r="D2346" s="11">
        <f t="shared" si="297"/>
        <v>1120.8254585562061</v>
      </c>
      <c r="E2346" s="24">
        <f t="shared" si="298"/>
        <v>800.47309085215818</v>
      </c>
      <c r="F2346" s="38">
        <f t="shared" si="293"/>
        <v>0.75332700177067069</v>
      </c>
      <c r="G2346" s="14">
        <f t="shared" si="294"/>
        <v>0</v>
      </c>
      <c r="H2346" s="24">
        <f t="shared" si="292"/>
        <v>801.50219072477648</v>
      </c>
      <c r="I2346" s="12">
        <f t="shared" si="299"/>
        <v>0.22189494298819382</v>
      </c>
      <c r="J2346" s="3"/>
    </row>
    <row r="2347" spans="2:10" x14ac:dyDescent="0.25">
      <c r="B2347" s="3">
        <f t="shared" si="295"/>
        <v>11635</v>
      </c>
      <c r="C2347" s="14">
        <f t="shared" si="296"/>
        <v>193.91666666666666</v>
      </c>
      <c r="D2347" s="11">
        <f t="shared" si="297"/>
        <v>1120.8898192085087</v>
      </c>
      <c r="E2347" s="24">
        <f t="shared" si="298"/>
        <v>800.69498579514641</v>
      </c>
      <c r="F2347" s="38">
        <f t="shared" si="293"/>
        <v>0.75409535071506906</v>
      </c>
      <c r="G2347" s="14">
        <f t="shared" si="294"/>
        <v>0</v>
      </c>
      <c r="H2347" s="24">
        <f t="shared" si="292"/>
        <v>800.68553887618395</v>
      </c>
      <c r="I2347" s="12">
        <f t="shared" si="299"/>
        <v>0.22196505333443159</v>
      </c>
      <c r="J2347" s="3"/>
    </row>
    <row r="2348" spans="2:10" x14ac:dyDescent="0.25">
      <c r="B2348" s="3">
        <f t="shared" si="295"/>
        <v>11640</v>
      </c>
      <c r="C2348" s="14">
        <f t="shared" si="296"/>
        <v>194</v>
      </c>
      <c r="D2348" s="11">
        <f t="shared" si="297"/>
        <v>1120.9541522263526</v>
      </c>
      <c r="E2348" s="24">
        <f t="shared" si="298"/>
        <v>800.91695084848084</v>
      </c>
      <c r="F2348" s="38">
        <f t="shared" si="293"/>
        <v>0.75486061786791703</v>
      </c>
      <c r="G2348" s="14">
        <f t="shared" si="294"/>
        <v>0</v>
      </c>
      <c r="H2348" s="24">
        <f t="shared" si="292"/>
        <v>799.87381505835788</v>
      </c>
      <c r="I2348" s="12">
        <f t="shared" si="299"/>
        <v>0.22203411978681262</v>
      </c>
      <c r="J2348" s="3"/>
    </row>
    <row r="2349" spans="2:10" x14ac:dyDescent="0.25">
      <c r="B2349" s="3">
        <f t="shared" si="295"/>
        <v>11645</v>
      </c>
      <c r="C2349" s="14">
        <f t="shared" si="296"/>
        <v>194.08333333333334</v>
      </c>
      <c r="D2349" s="11">
        <f t="shared" si="297"/>
        <v>1121.0184576334584</v>
      </c>
      <c r="E2349" s="24">
        <f t="shared" si="298"/>
        <v>801.13898496826766</v>
      </c>
      <c r="F2349" s="38">
        <f t="shared" si="293"/>
        <v>0.75562281804378062</v>
      </c>
      <c r="G2349" s="14">
        <f t="shared" si="294"/>
        <v>0</v>
      </c>
      <c r="H2349" s="24">
        <f t="shared" si="292"/>
        <v>799.06697870039238</v>
      </c>
      <c r="I2349" s="12">
        <f t="shared" si="299"/>
        <v>0.22210214852155641</v>
      </c>
      <c r="J2349" s="3"/>
    </row>
    <row r="2350" spans="2:10" x14ac:dyDescent="0.25">
      <c r="B2350" s="3">
        <f t="shared" si="295"/>
        <v>11650</v>
      </c>
      <c r="C2350" s="14">
        <f t="shared" si="296"/>
        <v>194.16666666666666</v>
      </c>
      <c r="D2350" s="11">
        <f t="shared" si="297"/>
        <v>1121.0827354535161</v>
      </c>
      <c r="E2350" s="24">
        <f t="shared" si="298"/>
        <v>801.36108711678924</v>
      </c>
      <c r="F2350" s="38">
        <f t="shared" si="293"/>
        <v>0.75638196599391749</v>
      </c>
      <c r="G2350" s="14">
        <f t="shared" si="294"/>
        <v>0</v>
      </c>
      <c r="H2350" s="24">
        <f t="shared" si="292"/>
        <v>798.26498964436655</v>
      </c>
      <c r="I2350" s="12">
        <f t="shared" si="299"/>
        <v>0.22216914568044885</v>
      </c>
      <c r="J2350" s="3"/>
    </row>
    <row r="2351" spans="2:10" x14ac:dyDescent="0.25">
      <c r="B2351" s="3">
        <f t="shared" si="295"/>
        <v>11655</v>
      </c>
      <c r="C2351" s="14">
        <f t="shared" si="296"/>
        <v>194.25</v>
      </c>
      <c r="D2351" s="11">
        <f t="shared" si="297"/>
        <v>1121.1469857101852</v>
      </c>
      <c r="E2351" s="24">
        <f t="shared" si="298"/>
        <v>801.58325626246972</v>
      </c>
      <c r="F2351" s="38">
        <f t="shared" si="293"/>
        <v>0.75713807640620823</v>
      </c>
      <c r="G2351" s="14">
        <f t="shared" si="294"/>
        <v>0</v>
      </c>
      <c r="H2351" s="24">
        <f t="shared" si="292"/>
        <v>797.46780814042984</v>
      </c>
      <c r="I2351" s="12">
        <f t="shared" si="299"/>
        <v>0.22223511737085841</v>
      </c>
      <c r="J2351" s="3"/>
    </row>
    <row r="2352" spans="2:10" x14ac:dyDescent="0.25">
      <c r="B2352" s="3">
        <f t="shared" si="295"/>
        <v>11660</v>
      </c>
      <c r="C2352" s="14">
        <f t="shared" si="296"/>
        <v>194.33333333333334</v>
      </c>
      <c r="D2352" s="11">
        <f t="shared" si="297"/>
        <v>1121.2112084270952</v>
      </c>
      <c r="E2352" s="24">
        <f t="shared" si="298"/>
        <v>801.80549137984053</v>
      </c>
      <c r="F2352" s="38">
        <f t="shared" si="293"/>
        <v>0.75789116390509481</v>
      </c>
      <c r="G2352" s="14">
        <f t="shared" si="294"/>
        <v>0</v>
      </c>
      <c r="H2352" s="24">
        <f t="shared" si="292"/>
        <v>796.67539484195493</v>
      </c>
      <c r="I2352" s="12">
        <f t="shared" si="299"/>
        <v>0.22230006966589522</v>
      </c>
      <c r="J2352" s="3"/>
    </row>
    <row r="2353" spans="2:10" x14ac:dyDescent="0.25">
      <c r="B2353" s="3">
        <f t="shared" si="295"/>
        <v>11665</v>
      </c>
      <c r="C2353" s="14">
        <f t="shared" si="296"/>
        <v>194.41666666666666</v>
      </c>
      <c r="D2353" s="11">
        <f t="shared" si="297"/>
        <v>1121.2754036278443</v>
      </c>
      <c r="E2353" s="24">
        <f t="shared" si="298"/>
        <v>802.02779144950648</v>
      </c>
      <c r="F2353" s="38">
        <f t="shared" si="293"/>
        <v>0.75864124305153002</v>
      </c>
      <c r="G2353" s="14">
        <f t="shared" si="294"/>
        <v>0</v>
      </c>
      <c r="H2353" s="24">
        <f t="shared" si="292"/>
        <v>795.88771080075333</v>
      </c>
      <c r="I2353" s="12">
        <f t="shared" si="299"/>
        <v>0.22236400860467975</v>
      </c>
      <c r="J2353" s="3"/>
    </row>
    <row r="2354" spans="2:10" x14ac:dyDescent="0.25">
      <c r="B2354" s="3">
        <f t="shared" si="295"/>
        <v>11670</v>
      </c>
      <c r="C2354" s="14">
        <f t="shared" si="296"/>
        <v>194.5</v>
      </c>
      <c r="D2354" s="11">
        <f t="shared" si="297"/>
        <v>1121.3395713360014</v>
      </c>
      <c r="E2354" s="24">
        <f t="shared" si="298"/>
        <v>802.25015545811118</v>
      </c>
      <c r="F2354" s="38">
        <f t="shared" si="293"/>
        <v>0.75938832834293279</v>
      </c>
      <c r="G2354" s="14">
        <f t="shared" si="294"/>
        <v>0</v>
      </c>
      <c r="H2354" s="24">
        <f t="shared" si="292"/>
        <v>795.10471746235828</v>
      </c>
      <c r="I2354" s="12">
        <f t="shared" si="299"/>
        <v>0.22242694019213075</v>
      </c>
      <c r="J2354" s="3"/>
    </row>
    <row r="2355" spans="2:10" x14ac:dyDescent="0.25">
      <c r="B2355" s="3">
        <f t="shared" si="295"/>
        <v>11675</v>
      </c>
      <c r="C2355" s="14">
        <f t="shared" si="296"/>
        <v>194.58333333333334</v>
      </c>
      <c r="D2355" s="11">
        <f t="shared" si="297"/>
        <v>1121.4037115751044</v>
      </c>
      <c r="E2355" s="24">
        <f t="shared" si="298"/>
        <v>802.4725823983033</v>
      </c>
      <c r="F2355" s="38">
        <f t="shared" si="293"/>
        <v>0.76013243421315402</v>
      </c>
      <c r="G2355" s="14">
        <f t="shared" si="294"/>
        <v>0</v>
      </c>
      <c r="H2355" s="24">
        <f t="shared" si="292"/>
        <v>794.32637666136759</v>
      </c>
      <c r="I2355" s="12">
        <f t="shared" si="299"/>
        <v>0.22248887039950405</v>
      </c>
      <c r="J2355" s="3"/>
    </row>
    <row r="2356" spans="2:10" x14ac:dyDescent="0.25">
      <c r="B2356" s="3">
        <f t="shared" si="295"/>
        <v>11680</v>
      </c>
      <c r="C2356" s="14">
        <f t="shared" si="296"/>
        <v>194.66666666666666</v>
      </c>
      <c r="D2356" s="11">
        <f t="shared" si="297"/>
        <v>1121.4678243686615</v>
      </c>
      <c r="E2356" s="24">
        <f t="shared" si="298"/>
        <v>802.6950712687028</v>
      </c>
      <c r="F2356" s="38">
        <f t="shared" si="293"/>
        <v>0.76087357503245168</v>
      </c>
      <c r="G2356" s="14">
        <f t="shared" si="294"/>
        <v>0</v>
      </c>
      <c r="H2356" s="24">
        <f t="shared" si="292"/>
        <v>793.55265061684929</v>
      </c>
      <c r="I2356" s="12">
        <f t="shared" si="299"/>
        <v>0.22254980516416514</v>
      </c>
      <c r="J2356" s="3"/>
    </row>
    <row r="2357" spans="2:10" x14ac:dyDescent="0.25">
      <c r="B2357" s="3">
        <f t="shared" si="295"/>
        <v>11685</v>
      </c>
      <c r="C2357" s="14">
        <f t="shared" si="296"/>
        <v>194.75</v>
      </c>
      <c r="D2357" s="11">
        <f t="shared" si="297"/>
        <v>1121.5319097401502</v>
      </c>
      <c r="E2357" s="24">
        <f t="shared" si="298"/>
        <v>802.91762107386694</v>
      </c>
      <c r="F2357" s="38">
        <f t="shared" si="293"/>
        <v>0.76161176510746942</v>
      </c>
      <c r="G2357" s="14">
        <f t="shared" si="294"/>
        <v>0</v>
      </c>
      <c r="H2357" s="24">
        <f t="shared" si="292"/>
        <v>792.78350192780977</v>
      </c>
      <c r="I2357" s="12">
        <f t="shared" si="299"/>
        <v>0.22260975039000644</v>
      </c>
      <c r="J2357" s="3"/>
    </row>
    <row r="2358" spans="2:10" x14ac:dyDescent="0.25">
      <c r="B2358" s="3">
        <f t="shared" si="295"/>
        <v>11690</v>
      </c>
      <c r="C2358" s="14">
        <f t="shared" si="296"/>
        <v>194.83333333333334</v>
      </c>
      <c r="D2358" s="11">
        <f t="shared" si="297"/>
        <v>1121.5959677130186</v>
      </c>
      <c r="E2358" s="24">
        <f t="shared" si="298"/>
        <v>803.14023082425695</v>
      </c>
      <c r="F2358" s="38">
        <f t="shared" si="293"/>
        <v>0.76234701868123045</v>
      </c>
      <c r="G2358" s="14">
        <f t="shared" si="294"/>
        <v>0</v>
      </c>
      <c r="H2358" s="24">
        <f t="shared" si="292"/>
        <v>792.0188935687197</v>
      </c>
      <c r="I2358" s="12">
        <f t="shared" si="299"/>
        <v>0.22266871194734633</v>
      </c>
      <c r="J2358" s="3"/>
    </row>
    <row r="2359" spans="2:10" x14ac:dyDescent="0.25">
      <c r="B2359" s="3">
        <f t="shared" si="295"/>
        <v>11695</v>
      </c>
      <c r="C2359" s="14">
        <f t="shared" si="296"/>
        <v>194.91666666666666</v>
      </c>
      <c r="D2359" s="11">
        <f t="shared" si="297"/>
        <v>1121.6599983106839</v>
      </c>
      <c r="E2359" s="24">
        <f t="shared" si="298"/>
        <v>803.36289953620428</v>
      </c>
      <c r="F2359" s="38">
        <f t="shared" si="293"/>
        <v>0.76307934993313054</v>
      </c>
      <c r="G2359" s="14">
        <f t="shared" si="294"/>
        <v>0</v>
      </c>
      <c r="H2359" s="24">
        <f t="shared" ref="H2359:H2422" si="300">IF(E2359&lt;600,425+0.773*E2359-1.69/1000*E2359^2+2.22/1000^2*E2359^3,IF(E2359&lt;735,666+13002/(738-E2359),IF(E2359&lt;900,545+17820/(E2359-731),650)))</f>
        <v>791.25878888510238</v>
      </c>
      <c r="I2359" s="12">
        <f t="shared" si="299"/>
        <v>0.22272669567324216</v>
      </c>
      <c r="J2359" s="3"/>
    </row>
    <row r="2360" spans="2:10" x14ac:dyDescent="0.25">
      <c r="B2360" s="3">
        <f t="shared" si="295"/>
        <v>11700</v>
      </c>
      <c r="C2360" s="14">
        <f t="shared" si="296"/>
        <v>195</v>
      </c>
      <c r="D2360" s="11">
        <f t="shared" si="297"/>
        <v>1121.7240015565339</v>
      </c>
      <c r="E2360" s="24">
        <f t="shared" si="298"/>
        <v>803.58562623187754</v>
      </c>
      <c r="F2360" s="38">
        <f t="shared" si="293"/>
        <v>0.763808772978947</v>
      </c>
      <c r="G2360" s="14">
        <f t="shared" si="294"/>
        <v>0</v>
      </c>
      <c r="H2360" s="24">
        <f t="shared" si="300"/>
        <v>790.50315158917738</v>
      </c>
      <c r="I2360" s="12">
        <f t="shared" si="299"/>
        <v>0.22278370737149905</v>
      </c>
      <c r="J2360" s="3"/>
    </row>
    <row r="2361" spans="2:10" x14ac:dyDescent="0.25">
      <c r="B2361" s="3">
        <f t="shared" si="295"/>
        <v>11705</v>
      </c>
      <c r="C2361" s="14">
        <f t="shared" si="296"/>
        <v>195.08333333333334</v>
      </c>
      <c r="D2361" s="11">
        <f t="shared" si="297"/>
        <v>1121.7879774739263</v>
      </c>
      <c r="E2361" s="24">
        <f t="shared" si="298"/>
        <v>803.80840993924903</v>
      </c>
      <c r="F2361" s="38">
        <f t="shared" si="293"/>
        <v>0.76453530187084784</v>
      </c>
      <c r="G2361" s="14">
        <f t="shared" si="294"/>
        <v>0</v>
      </c>
      <c r="H2361" s="24">
        <f t="shared" si="300"/>
        <v>789.75194575556475</v>
      </c>
      <c r="I2361" s="12">
        <f t="shared" si="299"/>
        <v>0.22283975281287721</v>
      </c>
      <c r="J2361" s="3"/>
    </row>
    <row r="2362" spans="2:10" x14ac:dyDescent="0.25">
      <c r="B2362" s="3">
        <f t="shared" si="295"/>
        <v>11710</v>
      </c>
      <c r="C2362" s="14">
        <f t="shared" si="296"/>
        <v>195.16666666666666</v>
      </c>
      <c r="D2362" s="11">
        <f t="shared" si="297"/>
        <v>1121.8519260861888</v>
      </c>
      <c r="E2362" s="24">
        <f t="shared" si="298"/>
        <v>804.03124969206192</v>
      </c>
      <c r="F2362" s="38">
        <f t="shared" si="293"/>
        <v>0.765258950597413</v>
      </c>
      <c r="G2362" s="14">
        <f t="shared" si="294"/>
        <v>0</v>
      </c>
      <c r="H2362" s="24">
        <f t="shared" si="300"/>
        <v>789.00513581704377</v>
      </c>
      <c r="I2362" s="12">
        <f t="shared" si="299"/>
        <v>0.22289483773519256</v>
      </c>
      <c r="J2362" s="3"/>
    </row>
    <row r="2363" spans="2:10" x14ac:dyDescent="0.25">
      <c r="B2363" s="3">
        <f t="shared" si="295"/>
        <v>11715</v>
      </c>
      <c r="C2363" s="14">
        <f t="shared" si="296"/>
        <v>195.25</v>
      </c>
      <c r="D2363" s="11">
        <f t="shared" si="297"/>
        <v>1121.9158474166195</v>
      </c>
      <c r="E2363" s="24">
        <f t="shared" si="298"/>
        <v>804.25414452979714</v>
      </c>
      <c r="F2363" s="38">
        <f t="shared" si="293"/>
        <v>0.76597973308366007</v>
      </c>
      <c r="G2363" s="14">
        <f t="shared" si="294"/>
        <v>0</v>
      </c>
      <c r="H2363" s="24">
        <f t="shared" si="300"/>
        <v>788.26268656036882</v>
      </c>
      <c r="I2363" s="12">
        <f t="shared" si="299"/>
        <v>0.22294896784347254</v>
      </c>
      <c r="J2363" s="3"/>
    </row>
    <row r="2364" spans="2:10" x14ac:dyDescent="0.25">
      <c r="B2364" s="3">
        <f t="shared" si="295"/>
        <v>11720</v>
      </c>
      <c r="C2364" s="14">
        <f t="shared" si="296"/>
        <v>195.33333333333334</v>
      </c>
      <c r="D2364" s="11">
        <f t="shared" si="297"/>
        <v>1121.9797414884858</v>
      </c>
      <c r="E2364" s="24">
        <f t="shared" si="298"/>
        <v>804.47709349764057</v>
      </c>
      <c r="F2364" s="38">
        <f t="shared" si="293"/>
        <v>0.76669766319107768</v>
      </c>
      <c r="G2364" s="14">
        <f t="shared" si="294"/>
        <v>0</v>
      </c>
      <c r="H2364" s="24">
        <f t="shared" si="300"/>
        <v>787.52456312214122</v>
      </c>
      <c r="I2364" s="12">
        <f t="shared" si="299"/>
        <v>0.22300214881016586</v>
      </c>
      <c r="J2364" s="3"/>
    </row>
    <row r="2365" spans="2:10" x14ac:dyDescent="0.25">
      <c r="B2365" s="3">
        <f t="shared" si="295"/>
        <v>11725</v>
      </c>
      <c r="C2365" s="14">
        <f t="shared" si="296"/>
        <v>195.41666666666666</v>
      </c>
      <c r="D2365" s="11">
        <f t="shared" si="297"/>
        <v>1122.043608325027</v>
      </c>
      <c r="E2365" s="24">
        <f t="shared" si="298"/>
        <v>804.70009564645068</v>
      </c>
      <c r="F2365" s="38">
        <f t="shared" si="293"/>
        <v>0.76741275471766679</v>
      </c>
      <c r="G2365" s="14">
        <f t="shared" si="294"/>
        <v>0</v>
      </c>
      <c r="H2365" s="24">
        <f t="shared" si="300"/>
        <v>786.79073098473236</v>
      </c>
      <c r="I2365" s="12">
        <f t="shared" si="299"/>
        <v>0.2230543862750127</v>
      </c>
      <c r="J2365" s="3"/>
    </row>
    <row r="2366" spans="2:10" x14ac:dyDescent="0.25">
      <c r="B2366" s="3">
        <f t="shared" si="295"/>
        <v>11730</v>
      </c>
      <c r="C2366" s="14">
        <f t="shared" si="296"/>
        <v>195.5</v>
      </c>
      <c r="D2366" s="11">
        <f t="shared" si="297"/>
        <v>1122.1074479494512</v>
      </c>
      <c r="E2366" s="24">
        <f t="shared" si="298"/>
        <v>804.92315003272574</v>
      </c>
      <c r="F2366" s="38">
        <f t="shared" si="293"/>
        <v>0.76812502139798466</v>
      </c>
      <c r="G2366" s="14">
        <f t="shared" si="294"/>
        <v>0</v>
      </c>
      <c r="H2366" s="24">
        <f t="shared" si="300"/>
        <v>786.06115597226437</v>
      </c>
      <c r="I2366" s="12">
        <f t="shared" si="299"/>
        <v>0.22310568584559859</v>
      </c>
      <c r="J2366" s="3"/>
    </row>
    <row r="2367" spans="2:10" x14ac:dyDescent="0.25">
      <c r="B2367" s="3">
        <f t="shared" si="295"/>
        <v>11735</v>
      </c>
      <c r="C2367" s="14">
        <f t="shared" si="296"/>
        <v>195.58333333333334</v>
      </c>
      <c r="D2367" s="11">
        <f t="shared" si="297"/>
        <v>1122.1712603849373</v>
      </c>
      <c r="E2367" s="24">
        <f t="shared" si="298"/>
        <v>805.1462557185713</v>
      </c>
      <c r="F2367" s="38">
        <f t="shared" si="293"/>
        <v>0.76883447690319917</v>
      </c>
      <c r="G2367" s="14">
        <f t="shared" si="294"/>
        <v>0</v>
      </c>
      <c r="H2367" s="24">
        <f t="shared" si="300"/>
        <v>785.33580424664183</v>
      </c>
      <c r="I2367" s="12">
        <f t="shared" si="299"/>
        <v>0.22315605309715306</v>
      </c>
      <c r="J2367" s="3"/>
    </row>
    <row r="2368" spans="2:10" x14ac:dyDescent="0.25">
      <c r="B2368" s="3">
        <f t="shared" si="295"/>
        <v>11740</v>
      </c>
      <c r="C2368" s="14">
        <f t="shared" si="296"/>
        <v>195.66666666666666</v>
      </c>
      <c r="D2368" s="11">
        <f t="shared" si="297"/>
        <v>1122.2350456546349</v>
      </c>
      <c r="E2368" s="24">
        <f t="shared" si="298"/>
        <v>805.36941177166841</v>
      </c>
      <c r="F2368" s="38">
        <f t="shared" si="293"/>
        <v>0.76954113484114817</v>
      </c>
      <c r="G2368" s="14">
        <f t="shared" si="294"/>
        <v>0</v>
      </c>
      <c r="H2368" s="24">
        <f t="shared" si="300"/>
        <v>784.61464230363413</v>
      </c>
      <c r="I2368" s="12">
        <f t="shared" si="299"/>
        <v>0.22320549357283542</v>
      </c>
      <c r="J2368" s="3"/>
    </row>
    <row r="2369" spans="2:10" x14ac:dyDescent="0.25">
      <c r="B2369" s="3">
        <f t="shared" si="295"/>
        <v>11745</v>
      </c>
      <c r="C2369" s="14">
        <f t="shared" si="296"/>
        <v>195.75</v>
      </c>
      <c r="D2369" s="11">
        <f t="shared" si="297"/>
        <v>1122.2988037816635</v>
      </c>
      <c r="E2369" s="24">
        <f t="shared" si="298"/>
        <v>805.5926172652413</v>
      </c>
      <c r="F2369" s="38">
        <f t="shared" si="293"/>
        <v>0.77024500875640367</v>
      </c>
      <c r="G2369" s="14">
        <f t="shared" si="294"/>
        <v>0</v>
      </c>
      <c r="H2369" s="24">
        <f t="shared" si="300"/>
        <v>783.89763696901105</v>
      </c>
      <c r="I2369" s="12">
        <f t="shared" si="299"/>
        <v>0.22325401278385965</v>
      </c>
      <c r="J2369" s="3"/>
    </row>
    <row r="2370" spans="2:10" x14ac:dyDescent="0.25">
      <c r="B2370" s="3">
        <f t="shared" si="295"/>
        <v>11750</v>
      </c>
      <c r="C2370" s="14">
        <f t="shared" si="296"/>
        <v>195.83333333333334</v>
      </c>
      <c r="D2370" s="11">
        <f t="shared" si="297"/>
        <v>1122.3625347891139</v>
      </c>
      <c r="E2370" s="24">
        <f t="shared" si="298"/>
        <v>805.81587127802516</v>
      </c>
      <c r="F2370" s="38">
        <f t="shared" si="293"/>
        <v>0.7709461121303427</v>
      </c>
      <c r="G2370" s="14">
        <f t="shared" si="294"/>
        <v>0</v>
      </c>
      <c r="H2370" s="24">
        <f t="shared" si="300"/>
        <v>783.18475539472956</v>
      </c>
      <c r="I2370" s="12">
        <f t="shared" si="299"/>
        <v>0.22330161620961886</v>
      </c>
      <c r="J2370" s="3"/>
    </row>
    <row r="2371" spans="2:10" x14ac:dyDescent="0.25">
      <c r="B2371" s="3">
        <f t="shared" si="295"/>
        <v>11755</v>
      </c>
      <c r="C2371" s="14">
        <f t="shared" si="296"/>
        <v>195.91666666666666</v>
      </c>
      <c r="D2371" s="11">
        <f t="shared" si="297"/>
        <v>1122.4262387000465</v>
      </c>
      <c r="E2371" s="24">
        <f t="shared" si="298"/>
        <v>806.03917289423475</v>
      </c>
      <c r="F2371" s="38">
        <f t="shared" si="293"/>
        <v>0.77164445838122331</v>
      </c>
      <c r="G2371" s="14">
        <f t="shared" si="294"/>
        <v>0</v>
      </c>
      <c r="H2371" s="24">
        <f t="shared" si="300"/>
        <v>782.47596505516799</v>
      </c>
      <c r="I2371" s="12">
        <f t="shared" si="299"/>
        <v>0.22334830929788363</v>
      </c>
      <c r="J2371" s="3"/>
    </row>
    <row r="2372" spans="2:10" x14ac:dyDescent="0.25">
      <c r="B2372" s="3">
        <f t="shared" si="295"/>
        <v>11760</v>
      </c>
      <c r="C2372" s="14">
        <f t="shared" si="296"/>
        <v>196</v>
      </c>
      <c r="D2372" s="11">
        <f t="shared" si="297"/>
        <v>1122.4899155374931</v>
      </c>
      <c r="E2372" s="24">
        <f t="shared" si="298"/>
        <v>806.26252120353263</v>
      </c>
      <c r="F2372" s="38">
        <f t="shared" si="293"/>
        <v>0.77234006086426887</v>
      </c>
      <c r="G2372" s="14">
        <f t="shared" si="294"/>
        <v>0</v>
      </c>
      <c r="H2372" s="24">
        <f t="shared" si="300"/>
        <v>781.77123374341033</v>
      </c>
      <c r="I2372" s="12">
        <f t="shared" si="299"/>
        <v>0.22339409746485553</v>
      </c>
      <c r="J2372" s="3"/>
    </row>
    <row r="2373" spans="2:10" x14ac:dyDescent="0.25">
      <c r="B2373" s="3">
        <f t="shared" si="295"/>
        <v>11765</v>
      </c>
      <c r="C2373" s="14">
        <f t="shared" si="296"/>
        <v>196.08333333333334</v>
      </c>
      <c r="D2373" s="11">
        <f t="shared" si="297"/>
        <v>1122.5535653244556</v>
      </c>
      <c r="E2373" s="24">
        <f t="shared" si="298"/>
        <v>806.48591530099748</v>
      </c>
      <c r="F2373" s="38">
        <f t="shared" si="293"/>
        <v>0.77303293287175312</v>
      </c>
      <c r="G2373" s="14">
        <f t="shared" si="294"/>
        <v>0</v>
      </c>
      <c r="H2373" s="24">
        <f t="shared" si="300"/>
        <v>781.07052956758048</v>
      </c>
      <c r="I2373" s="12">
        <f t="shared" si="299"/>
        <v>0.22343898609540261</v>
      </c>
      <c r="J2373" s="3"/>
    </row>
    <row r="2374" spans="2:10" x14ac:dyDescent="0.25">
      <c r="B2374" s="3">
        <f t="shared" si="295"/>
        <v>11770</v>
      </c>
      <c r="C2374" s="14">
        <f t="shared" si="296"/>
        <v>196.16666666666666</v>
      </c>
      <c r="D2374" s="11">
        <f t="shared" si="297"/>
        <v>1122.617188083907</v>
      </c>
      <c r="E2374" s="24">
        <f t="shared" si="298"/>
        <v>806.70935428709288</v>
      </c>
      <c r="F2374" s="38">
        <f t="shared" si="293"/>
        <v>0.77372308763309439</v>
      </c>
      <c r="G2374" s="14">
        <f t="shared" si="294"/>
        <v>0</v>
      </c>
      <c r="H2374" s="24">
        <f t="shared" si="300"/>
        <v>780.37382094722204</v>
      </c>
      <c r="I2374" s="12">
        <f t="shared" si="299"/>
        <v>0.2234829805431322</v>
      </c>
      <c r="J2374" s="3"/>
    </row>
    <row r="2375" spans="2:10" x14ac:dyDescent="0.25">
      <c r="B2375" s="3">
        <f t="shared" si="295"/>
        <v>11775</v>
      </c>
      <c r="C2375" s="14">
        <f t="shared" si="296"/>
        <v>196.25</v>
      </c>
      <c r="D2375" s="11">
        <f t="shared" si="297"/>
        <v>1122.6807838387906</v>
      </c>
      <c r="E2375" s="24">
        <f t="shared" si="298"/>
        <v>806.93283726763605</v>
      </c>
      <c r="F2375" s="38">
        <f t="shared" si="293"/>
        <v>0.77441053831495243</v>
      </c>
      <c r="G2375" s="14">
        <f t="shared" si="294"/>
        <v>0</v>
      </c>
      <c r="H2375" s="24">
        <f t="shared" si="300"/>
        <v>779.68107660972669</v>
      </c>
      <c r="I2375" s="12">
        <f t="shared" si="299"/>
        <v>0.22352608613060956</v>
      </c>
      <c r="J2375" s="3"/>
    </row>
    <row r="2376" spans="2:10" x14ac:dyDescent="0.25">
      <c r="B2376" s="3">
        <f t="shared" si="295"/>
        <v>11780</v>
      </c>
      <c r="C2376" s="14">
        <f t="shared" si="296"/>
        <v>196.33333333333334</v>
      </c>
      <c r="D2376" s="11">
        <f t="shared" si="297"/>
        <v>1122.744352612021</v>
      </c>
      <c r="E2376" s="24">
        <f t="shared" si="298"/>
        <v>807.15636335376666</v>
      </c>
      <c r="F2376" s="38">
        <f t="shared" si="293"/>
        <v>0.77509529802133303</v>
      </c>
      <c r="G2376" s="14">
        <f t="shared" si="294"/>
        <v>0</v>
      </c>
      <c r="H2376" s="24">
        <f t="shared" si="300"/>
        <v>778.99226558680766</v>
      </c>
      <c r="I2376" s="12">
        <f t="shared" si="299"/>
        <v>0.22356830814941289</v>
      </c>
      <c r="J2376" s="3"/>
    </row>
    <row r="2377" spans="2:10" x14ac:dyDescent="0.25">
      <c r="B2377" s="3">
        <f t="shared" si="295"/>
        <v>11785</v>
      </c>
      <c r="C2377" s="14">
        <f t="shared" si="296"/>
        <v>196.41666666666666</v>
      </c>
      <c r="D2377" s="11">
        <f t="shared" si="297"/>
        <v>1122.8078944264835</v>
      </c>
      <c r="E2377" s="24">
        <f t="shared" si="298"/>
        <v>807.37993166191609</v>
      </c>
      <c r="F2377" s="38">
        <f t="shared" si="293"/>
        <v>0.77577737979369388</v>
      </c>
      <c r="G2377" s="14">
        <f t="shared" si="294"/>
        <v>0</v>
      </c>
      <c r="H2377" s="24">
        <f t="shared" si="300"/>
        <v>778.30735721102064</v>
      </c>
      <c r="I2377" s="12">
        <f t="shared" si="299"/>
        <v>0.22360965186035289</v>
      </c>
      <c r="J2377" s="3"/>
    </row>
    <row r="2378" spans="2:10" x14ac:dyDescent="0.25">
      <c r="B2378" s="3">
        <f t="shared" si="295"/>
        <v>11790</v>
      </c>
      <c r="C2378" s="14">
        <f t="shared" si="296"/>
        <v>196.5</v>
      </c>
      <c r="D2378" s="11">
        <f t="shared" si="297"/>
        <v>1122.8714093050337</v>
      </c>
      <c r="E2378" s="24">
        <f t="shared" si="298"/>
        <v>807.60354131377642</v>
      </c>
      <c r="F2378" s="38">
        <f t="shared" si="293"/>
        <v>0.77645679661105849</v>
      </c>
      <c r="G2378" s="14">
        <f t="shared" si="294"/>
        <v>0</v>
      </c>
      <c r="H2378" s="24">
        <f t="shared" si="300"/>
        <v>777.62632111232756</v>
      </c>
      <c r="I2378" s="12">
        <f t="shared" si="299"/>
        <v>0.22365012249365659</v>
      </c>
      <c r="J2378" s="3"/>
    </row>
    <row r="2379" spans="2:10" x14ac:dyDescent="0.25">
      <c r="B2379" s="3">
        <f t="shared" si="295"/>
        <v>11795</v>
      </c>
      <c r="C2379" s="14">
        <f t="shared" si="296"/>
        <v>196.58333333333334</v>
      </c>
      <c r="D2379" s="11">
        <f t="shared" si="297"/>
        <v>1122.9348972704993</v>
      </c>
      <c r="E2379" s="24">
        <f t="shared" si="298"/>
        <v>807.82719143627003</v>
      </c>
      <c r="F2379" s="38">
        <f t="shared" si="293"/>
        <v>0.77713356139013279</v>
      </c>
      <c r="G2379" s="14">
        <f t="shared" si="294"/>
        <v>0</v>
      </c>
      <c r="H2379" s="24">
        <f t="shared" si="300"/>
        <v>776.94912721470644</v>
      </c>
      <c r="I2379" s="12">
        <f t="shared" si="299"/>
        <v>0.22368972524891353</v>
      </c>
      <c r="J2379" s="3"/>
    </row>
    <row r="2380" spans="2:10" x14ac:dyDescent="0.25">
      <c r="B2380" s="3">
        <f t="shared" si="295"/>
        <v>11800</v>
      </c>
      <c r="C2380" s="14">
        <f t="shared" si="296"/>
        <v>196.66666666666666</v>
      </c>
      <c r="D2380" s="11">
        <f t="shared" si="297"/>
        <v>1122.9983583456778</v>
      </c>
      <c r="E2380" s="24">
        <f t="shared" si="298"/>
        <v>808.05088116151899</v>
      </c>
      <c r="F2380" s="38">
        <f t="shared" si="293"/>
        <v>0.77780768698542702</v>
      </c>
      <c r="G2380" s="14">
        <f t="shared" si="294"/>
        <v>0</v>
      </c>
      <c r="H2380" s="24">
        <f t="shared" si="300"/>
        <v>776.27574573280447</v>
      </c>
      <c r="I2380" s="12">
        <f t="shared" si="299"/>
        <v>0.22372846529553433</v>
      </c>
      <c r="J2380" s="3"/>
    </row>
    <row r="2381" spans="2:10" x14ac:dyDescent="0.25">
      <c r="B2381" s="3">
        <f t="shared" si="295"/>
        <v>11805</v>
      </c>
      <c r="C2381" s="14">
        <f t="shared" si="296"/>
        <v>196.75</v>
      </c>
      <c r="D2381" s="11">
        <f t="shared" si="297"/>
        <v>1123.0617925533386</v>
      </c>
      <c r="E2381" s="24">
        <f t="shared" si="298"/>
        <v>808.27460962681448</v>
      </c>
      <c r="F2381" s="38">
        <f t="shared" si="293"/>
        <v>0.77847918618938072</v>
      </c>
      <c r="G2381" s="14">
        <f t="shared" si="294"/>
        <v>0</v>
      </c>
      <c r="H2381" s="24">
        <f t="shared" si="300"/>
        <v>775.60614716863506</v>
      </c>
      <c r="I2381" s="12">
        <f t="shared" si="299"/>
        <v>0.22376634777260596</v>
      </c>
      <c r="J2381" s="3"/>
    </row>
    <row r="2382" spans="2:10" x14ac:dyDescent="0.25">
      <c r="B2382" s="3">
        <f t="shared" si="295"/>
        <v>11810</v>
      </c>
      <c r="C2382" s="14">
        <f t="shared" si="296"/>
        <v>196.83333333333334</v>
      </c>
      <c r="D2382" s="11">
        <f t="shared" si="297"/>
        <v>1123.1251999162216</v>
      </c>
      <c r="E2382" s="24">
        <f t="shared" si="298"/>
        <v>808.49837597458713</v>
      </c>
      <c r="F2382" s="38">
        <f t="shared" si="293"/>
        <v>0.7791480717324949</v>
      </c>
      <c r="G2382" s="14">
        <f t="shared" si="294"/>
        <v>0</v>
      </c>
      <c r="H2382" s="24">
        <f t="shared" si="300"/>
        <v>774.9403023083147</v>
      </c>
      <c r="I2382" s="12">
        <f t="shared" si="299"/>
        <v>0.22380337778922296</v>
      </c>
      <c r="J2382" s="3"/>
    </row>
    <row r="2383" spans="2:10" x14ac:dyDescent="0.25">
      <c r="B2383" s="3">
        <f t="shared" si="295"/>
        <v>11815</v>
      </c>
      <c r="C2383" s="14">
        <f t="shared" si="296"/>
        <v>196.91666666666666</v>
      </c>
      <c r="D2383" s="11">
        <f t="shared" si="297"/>
        <v>1123.1885804570384</v>
      </c>
      <c r="E2383" s="24">
        <f t="shared" si="298"/>
        <v>808.72217935237632</v>
      </c>
      <c r="F2383" s="38">
        <f t="shared" si="293"/>
        <v>0.77981435628346363</v>
      </c>
      <c r="G2383" s="14">
        <f t="shared" si="294"/>
        <v>0</v>
      </c>
      <c r="H2383" s="24">
        <f t="shared" si="300"/>
        <v>774.27818221884638</v>
      </c>
      <c r="I2383" s="12">
        <f t="shared" si="299"/>
        <v>0.22383956042454442</v>
      </c>
      <c r="J2383" s="3"/>
    </row>
    <row r="2384" spans="2:10" x14ac:dyDescent="0.25">
      <c r="B2384" s="3">
        <f t="shared" si="295"/>
        <v>11820</v>
      </c>
      <c r="C2384" s="14">
        <f t="shared" si="296"/>
        <v>197</v>
      </c>
      <c r="D2384" s="11">
        <f t="shared" si="297"/>
        <v>1123.2519341984714</v>
      </c>
      <c r="E2384" s="24">
        <f t="shared" si="298"/>
        <v>808.94601891280081</v>
      </c>
      <c r="F2384" s="38">
        <f t="shared" si="293"/>
        <v>0.78047805244931467</v>
      </c>
      <c r="G2384" s="14">
        <f t="shared" si="294"/>
        <v>0</v>
      </c>
      <c r="H2384" s="24">
        <f t="shared" si="300"/>
        <v>773.61975824493948</v>
      </c>
      <c r="I2384" s="12">
        <f t="shared" si="299"/>
        <v>0.22387490072799757</v>
      </c>
      <c r="J2384" s="3"/>
    </row>
    <row r="2385" spans="2:10" x14ac:dyDescent="0.25">
      <c r="B2385" s="3">
        <f t="shared" si="295"/>
        <v>11825</v>
      </c>
      <c r="C2385" s="14">
        <f t="shared" si="296"/>
        <v>197.08333333333334</v>
      </c>
      <c r="D2385" s="11">
        <f t="shared" si="297"/>
        <v>1123.3152611631745</v>
      </c>
      <c r="E2385" s="24">
        <f t="shared" si="298"/>
        <v>809.1698938135288</v>
      </c>
      <c r="F2385" s="38">
        <f t="shared" si="293"/>
        <v>0.78113917277555123</v>
      </c>
      <c r="G2385" s="14">
        <f t="shared" si="294"/>
        <v>0</v>
      </c>
      <c r="H2385" s="24">
        <f t="shared" si="300"/>
        <v>772.96500200587332</v>
      </c>
      <c r="I2385" s="12">
        <f t="shared" si="299"/>
        <v>0.22390940371940812</v>
      </c>
      <c r="J2385" s="3"/>
    </row>
    <row r="2386" spans="2:10" x14ac:dyDescent="0.25">
      <c r="B2386" s="3">
        <f t="shared" si="295"/>
        <v>11830</v>
      </c>
      <c r="C2386" s="14">
        <f t="shared" si="296"/>
        <v>197.16666666666666</v>
      </c>
      <c r="D2386" s="11">
        <f t="shared" si="297"/>
        <v>1123.3785613737721</v>
      </c>
      <c r="E2386" s="24">
        <f t="shared" si="298"/>
        <v>809.39380321724821</v>
      </c>
      <c r="F2386" s="38">
        <f t="shared" si="293"/>
        <v>0.78179772974629591</v>
      </c>
      <c r="G2386" s="14">
        <f t="shared" si="294"/>
        <v>0</v>
      </c>
      <c r="H2386" s="24">
        <f t="shared" si="300"/>
        <v>772.31388539240106</v>
      </c>
      <c r="I2386" s="12">
        <f t="shared" si="299"/>
        <v>0.2239430743891675</v>
      </c>
      <c r="J2386" s="3"/>
    </row>
    <row r="2387" spans="2:10" x14ac:dyDescent="0.25">
      <c r="B2387" s="3">
        <f t="shared" si="295"/>
        <v>11835</v>
      </c>
      <c r="C2387" s="14">
        <f t="shared" si="296"/>
        <v>197.25</v>
      </c>
      <c r="D2387" s="11">
        <f t="shared" si="297"/>
        <v>1123.4418348528613</v>
      </c>
      <c r="E2387" s="24">
        <f t="shared" si="298"/>
        <v>809.61774629163733</v>
      </c>
      <c r="F2387" s="38">
        <f t="shared" si="293"/>
        <v>0.78245373578444322</v>
      </c>
      <c r="G2387" s="14">
        <f t="shared" si="294"/>
        <v>0</v>
      </c>
      <c r="H2387" s="24">
        <f t="shared" si="300"/>
        <v>771.66638056369129</v>
      </c>
      <c r="I2387" s="12">
        <f t="shared" si="299"/>
        <v>0.22397591769823538</v>
      </c>
      <c r="J2387" s="3"/>
    </row>
    <row r="2388" spans="2:10" x14ac:dyDescent="0.25">
      <c r="B2388" s="3">
        <f t="shared" si="295"/>
        <v>11840</v>
      </c>
      <c r="C2388" s="14">
        <f t="shared" si="296"/>
        <v>197.33333333333334</v>
      </c>
      <c r="D2388" s="11">
        <f t="shared" si="297"/>
        <v>1123.5050816230096</v>
      </c>
      <c r="E2388" s="24">
        <f t="shared" si="298"/>
        <v>809.84172220933556</v>
      </c>
      <c r="F2388" s="38">
        <f t="shared" ref="F2388:F2451" si="301">Cp*RhoP/(RhoA*H2388)*dp/1000*MassivP</f>
        <v>0.7831072032518106</v>
      </c>
      <c r="G2388" s="14">
        <f t="shared" ref="G2388:G2451" si="302">Phi*EpsilonF*Botzman/10^8*J2388*((D2388+273)^4-(E2388+273)^4)</f>
        <v>0</v>
      </c>
      <c r="H2388" s="24">
        <f t="shared" si="300"/>
        <v>771.02245994431041</v>
      </c>
      <c r="I2388" s="12">
        <f t="shared" si="299"/>
        <v>0.22400793857860091</v>
      </c>
      <c r="J2388" s="3"/>
    </row>
    <row r="2389" spans="2:10" x14ac:dyDescent="0.25">
      <c r="B2389" s="3">
        <f t="shared" ref="B2389:B2452" si="303">B2388+DeltaT</f>
        <v>11845</v>
      </c>
      <c r="C2389" s="14">
        <f t="shared" ref="C2389:C2452" si="304">B2389/60</f>
        <v>197.41666666666666</v>
      </c>
      <c r="D2389" s="11">
        <f t="shared" ref="D2389:D2452" si="305">20+345*LOG(8*C2389+1,10)</f>
        <v>1123.5683017067563</v>
      </c>
      <c r="E2389" s="24">
        <f t="shared" ref="E2389:E2452" si="306">E2388+IF(Limit=Oui,MAX(0,I2388),I2388)</f>
        <v>810.06573014791411</v>
      </c>
      <c r="F2389" s="38">
        <f t="shared" si="301"/>
        <v>0.78375814444929592</v>
      </c>
      <c r="G2389" s="14">
        <f t="shared" si="302"/>
        <v>0</v>
      </c>
      <c r="H2389" s="24">
        <f t="shared" si="300"/>
        <v>770.38209622124282</v>
      </c>
      <c r="I2389" s="12">
        <f t="shared" ref="I2389:I2452" si="307">LambdaP*MassivP/(dp/1000)/(H2389*RhoA)/(1+F2389/3)*(D2389-E2389)*DeltaT-(EXP(F2389/10)-1)*(D2389-D2388)</f>
        <v>0.22403914193308241</v>
      </c>
      <c r="J2389" s="3"/>
    </row>
    <row r="2390" spans="2:10" x14ac:dyDescent="0.25">
      <c r="B2390" s="3">
        <f t="shared" si="303"/>
        <v>11850</v>
      </c>
      <c r="C2390" s="14">
        <f t="shared" si="304"/>
        <v>197.5</v>
      </c>
      <c r="D2390" s="11">
        <f t="shared" si="305"/>
        <v>1123.631495126612</v>
      </c>
      <c r="E2390" s="24">
        <f t="shared" si="306"/>
        <v>810.28976928984719</v>
      </c>
      <c r="F2390" s="38">
        <f t="shared" si="301"/>
        <v>0.78440657161703675</v>
      </c>
      <c r="G2390" s="14">
        <f t="shared" si="302"/>
        <v>0</v>
      </c>
      <c r="H2390" s="24">
        <f t="shared" si="300"/>
        <v>769.74526234094867</v>
      </c>
      <c r="I2390" s="12">
        <f t="shared" si="307"/>
        <v>0.22406953263575294</v>
      </c>
      <c r="J2390" s="3"/>
    </row>
    <row r="2391" spans="2:10" x14ac:dyDescent="0.25">
      <c r="B2391" s="3">
        <f t="shared" si="303"/>
        <v>11855</v>
      </c>
      <c r="C2391" s="14">
        <f t="shared" si="304"/>
        <v>197.58333333333334</v>
      </c>
      <c r="D2391" s="11">
        <f t="shared" si="305"/>
        <v>1123.6946619050589</v>
      </c>
      <c r="E2391" s="24">
        <f t="shared" si="306"/>
        <v>810.51383882248297</v>
      </c>
      <c r="F2391" s="38">
        <f t="shared" si="301"/>
        <v>0.78505249693457479</v>
      </c>
      <c r="G2391" s="14">
        <f t="shared" si="302"/>
        <v>0</v>
      </c>
      <c r="H2391" s="24">
        <f t="shared" si="300"/>
        <v>769.11193150646</v>
      </c>
      <c r="I2391" s="12">
        <f t="shared" si="307"/>
        <v>0.22409911553190523</v>
      </c>
      <c r="J2391" s="3"/>
    </row>
    <row r="2392" spans="2:10" x14ac:dyDescent="0.25">
      <c r="B2392" s="3">
        <f t="shared" si="303"/>
        <v>11860</v>
      </c>
      <c r="C2392" s="14">
        <f t="shared" si="304"/>
        <v>197.66666666666666</v>
      </c>
      <c r="D2392" s="11">
        <f t="shared" si="305"/>
        <v>1123.7578020645506</v>
      </c>
      <c r="E2392" s="24">
        <f t="shared" si="306"/>
        <v>810.73793793801485</v>
      </c>
      <c r="F2392" s="38">
        <f t="shared" si="301"/>
        <v>0.78569593252102032</v>
      </c>
      <c r="G2392" s="14">
        <f t="shared" si="302"/>
        <v>0</v>
      </c>
      <c r="H2392" s="24">
        <f t="shared" si="300"/>
        <v>768.48207717451351</v>
      </c>
      <c r="I2392" s="12">
        <f t="shared" si="307"/>
        <v>0.2241278954383113</v>
      </c>
      <c r="J2392" s="3"/>
    </row>
    <row r="2393" spans="2:10" x14ac:dyDescent="0.25">
      <c r="B2393" s="3">
        <f t="shared" si="303"/>
        <v>11865</v>
      </c>
      <c r="C2393" s="14">
        <f t="shared" si="304"/>
        <v>197.75</v>
      </c>
      <c r="D2393" s="11">
        <f t="shared" si="305"/>
        <v>1123.8209156275127</v>
      </c>
      <c r="E2393" s="24">
        <f t="shared" si="306"/>
        <v>810.96206583345315</v>
      </c>
      <c r="F2393" s="38">
        <f t="shared" si="301"/>
        <v>0.78633689043522315</v>
      </c>
      <c r="G2393" s="14">
        <f t="shared" si="302"/>
        <v>0</v>
      </c>
      <c r="H2393" s="24">
        <f t="shared" si="300"/>
        <v>767.85567305271866</v>
      </c>
      <c r="I2393" s="12">
        <f t="shared" si="307"/>
        <v>0.22415587714328006</v>
      </c>
      <c r="J2393" s="3"/>
    </row>
    <row r="2394" spans="2:10" x14ac:dyDescent="0.25">
      <c r="B2394" s="3">
        <f t="shared" si="303"/>
        <v>11870</v>
      </c>
      <c r="C2394" s="14">
        <f t="shared" si="304"/>
        <v>197.83333333333334</v>
      </c>
      <c r="D2394" s="11">
        <f t="shared" si="305"/>
        <v>1123.8840026163421</v>
      </c>
      <c r="E2394" s="24">
        <f t="shared" si="306"/>
        <v>811.18622171059644</v>
      </c>
      <c r="F2394" s="38">
        <f t="shared" si="301"/>
        <v>0.78697538267594358</v>
      </c>
      <c r="G2394" s="14">
        <f t="shared" si="302"/>
        <v>0</v>
      </c>
      <c r="H2394" s="24">
        <f t="shared" si="300"/>
        <v>767.23269309676334</v>
      </c>
      <c r="I2394" s="12">
        <f t="shared" si="307"/>
        <v>0.22418306540693492</v>
      </c>
      <c r="J2394" s="3"/>
    </row>
    <row r="2395" spans="2:10" x14ac:dyDescent="0.25">
      <c r="B2395" s="3">
        <f t="shared" si="303"/>
        <v>11875</v>
      </c>
      <c r="C2395" s="14">
        <f t="shared" si="304"/>
        <v>197.91666666666666</v>
      </c>
      <c r="D2395" s="11">
        <f t="shared" si="305"/>
        <v>1123.9470630534079</v>
      </c>
      <c r="E2395" s="24">
        <f t="shared" si="306"/>
        <v>811.41040477600336</v>
      </c>
      <c r="F2395" s="38">
        <f t="shared" si="301"/>
        <v>0.78761142118202876</v>
      </c>
      <c r="G2395" s="14">
        <f t="shared" si="302"/>
        <v>0</v>
      </c>
      <c r="H2395" s="24">
        <f t="shared" si="300"/>
        <v>766.61311150765368</v>
      </c>
      <c r="I2395" s="12">
        <f t="shared" si="307"/>
        <v>0.22420946496117855</v>
      </c>
      <c r="J2395" s="3"/>
    </row>
    <row r="2396" spans="2:10" x14ac:dyDescent="0.25">
      <c r="B2396" s="3">
        <f t="shared" si="303"/>
        <v>11880</v>
      </c>
      <c r="C2396" s="14">
        <f t="shared" si="304"/>
        <v>198</v>
      </c>
      <c r="D2396" s="11">
        <f t="shared" si="305"/>
        <v>1124.0100969610507</v>
      </c>
      <c r="E2396" s="24">
        <f t="shared" si="306"/>
        <v>811.63461424096454</v>
      </c>
      <c r="F2396" s="38">
        <f t="shared" si="301"/>
        <v>0.78824501783258938</v>
      </c>
      <c r="G2396" s="14">
        <f t="shared" si="302"/>
        <v>0</v>
      </c>
      <c r="H2396" s="24">
        <f t="shared" si="300"/>
        <v>765.99690272898908</v>
      </c>
      <c r="I2396" s="12">
        <f t="shared" si="307"/>
        <v>0.22423508051004554</v>
      </c>
      <c r="J2396" s="3"/>
    </row>
    <row r="2397" spans="2:10" x14ac:dyDescent="0.25">
      <c r="B2397" s="3">
        <f t="shared" si="303"/>
        <v>11885</v>
      </c>
      <c r="C2397" s="14">
        <f t="shared" si="304"/>
        <v>198.08333333333334</v>
      </c>
      <c r="D2397" s="11">
        <f t="shared" si="305"/>
        <v>1124.0731043615826</v>
      </c>
      <c r="E2397" s="24">
        <f t="shared" si="306"/>
        <v>811.85884932147462</v>
      </c>
      <c r="F2397" s="38">
        <f t="shared" si="301"/>
        <v>0.78887618444718077</v>
      </c>
      <c r="G2397" s="14">
        <f t="shared" si="302"/>
        <v>0</v>
      </c>
      <c r="H2397" s="24">
        <f t="shared" si="300"/>
        <v>765.38404144427193</v>
      </c>
      <c r="I2397" s="12">
        <f t="shared" si="307"/>
        <v>0.22425991672975815</v>
      </c>
      <c r="J2397" s="3"/>
    </row>
    <row r="2398" spans="2:10" x14ac:dyDescent="0.25">
      <c r="B2398" s="3">
        <f t="shared" si="303"/>
        <v>11890</v>
      </c>
      <c r="C2398" s="14">
        <f t="shared" si="304"/>
        <v>198.16666666666666</v>
      </c>
      <c r="D2398" s="11">
        <f t="shared" si="305"/>
        <v>1124.1360852772877</v>
      </c>
      <c r="E2398" s="24">
        <f t="shared" si="306"/>
        <v>812.08310923820443</v>
      </c>
      <c r="F2398" s="38">
        <f t="shared" si="301"/>
        <v>0.78950493278598666</v>
      </c>
      <c r="G2398" s="14">
        <f t="shared" si="302"/>
        <v>0</v>
      </c>
      <c r="H2398" s="24">
        <f t="shared" si="300"/>
        <v>764.77450257425062</v>
      </c>
      <c r="I2398" s="12">
        <f t="shared" si="307"/>
        <v>0.22428397826880106</v>
      </c>
      <c r="J2398" s="3"/>
    </row>
    <row r="2399" spans="2:10" x14ac:dyDescent="0.25">
      <c r="B2399" s="3">
        <f t="shared" si="303"/>
        <v>11895</v>
      </c>
      <c r="C2399" s="14">
        <f t="shared" si="304"/>
        <v>198.25</v>
      </c>
      <c r="D2399" s="11">
        <f t="shared" si="305"/>
        <v>1124.1990397304226</v>
      </c>
      <c r="E2399" s="24">
        <f t="shared" si="306"/>
        <v>812.3073932164732</v>
      </c>
      <c r="F2399" s="38">
        <f t="shared" si="301"/>
        <v>0.7901312745500032</v>
      </c>
      <c r="G2399" s="14">
        <f t="shared" si="302"/>
        <v>0</v>
      </c>
      <c r="H2399" s="24">
        <f t="shared" si="300"/>
        <v>764.16826127429704</v>
      </c>
      <c r="I2399" s="12">
        <f t="shared" si="307"/>
        <v>0.22430726974814441</v>
      </c>
      <c r="J2399" s="3"/>
    </row>
    <row r="2400" spans="2:10" x14ac:dyDescent="0.25">
      <c r="B2400" s="3">
        <f t="shared" si="303"/>
        <v>11900</v>
      </c>
      <c r="C2400" s="14">
        <f t="shared" si="304"/>
        <v>198.33333333333334</v>
      </c>
      <c r="D2400" s="11">
        <f t="shared" si="305"/>
        <v>1124.2619677432149</v>
      </c>
      <c r="E2400" s="24">
        <f t="shared" si="306"/>
        <v>812.53170048622133</v>
      </c>
      <c r="F2400" s="38">
        <f t="shared" si="301"/>
        <v>0.79075522138122833</v>
      </c>
      <c r="G2400" s="14">
        <f t="shared" si="302"/>
        <v>0</v>
      </c>
      <c r="H2400" s="24">
        <f t="shared" si="300"/>
        <v>763.56529293181541</v>
      </c>
      <c r="I2400" s="12">
        <f t="shared" si="307"/>
        <v>0.2243297957614665</v>
      </c>
      <c r="J2400" s="3"/>
    </row>
    <row r="2401" spans="2:10" x14ac:dyDescent="0.25">
      <c r="B2401" s="3">
        <f t="shared" si="303"/>
        <v>11905</v>
      </c>
      <c r="C2401" s="14">
        <f t="shared" si="304"/>
        <v>198.41666666666666</v>
      </c>
      <c r="D2401" s="11">
        <f t="shared" si="305"/>
        <v>1124.3248693378655</v>
      </c>
      <c r="E2401" s="24">
        <f t="shared" si="306"/>
        <v>812.75603028198282</v>
      </c>
      <c r="F2401" s="38">
        <f t="shared" si="301"/>
        <v>0.79137678486285168</v>
      </c>
      <c r="G2401" s="14">
        <f t="shared" si="302"/>
        <v>0</v>
      </c>
      <c r="H2401" s="24">
        <f t="shared" si="300"/>
        <v>762.96557316368535</v>
      </c>
      <c r="I2401" s="12">
        <f t="shared" si="307"/>
        <v>0.22435156087509722</v>
      </c>
      <c r="J2401" s="3"/>
    </row>
    <row r="2402" spans="2:10" x14ac:dyDescent="0.25">
      <c r="B2402" s="3">
        <f t="shared" si="303"/>
        <v>11910</v>
      </c>
      <c r="C2402" s="14">
        <f t="shared" si="304"/>
        <v>198.5</v>
      </c>
      <c r="D2402" s="11">
        <f t="shared" si="305"/>
        <v>1124.3877445365458</v>
      </c>
      <c r="E2402" s="24">
        <f t="shared" si="306"/>
        <v>812.98038184285792</v>
      </c>
      <c r="F2402" s="38">
        <f t="shared" si="301"/>
        <v>0.79199597651944664</v>
      </c>
      <c r="G2402" s="14">
        <f t="shared" si="302"/>
        <v>0</v>
      </c>
      <c r="H2402" s="24">
        <f t="shared" si="300"/>
        <v>762.36907781373634</v>
      </c>
      <c r="I2402" s="12">
        <f t="shared" si="307"/>
        <v>0.22437256962848279</v>
      </c>
      <c r="J2402" s="3"/>
    </row>
    <row r="2403" spans="2:10" x14ac:dyDescent="0.25">
      <c r="B2403" s="3">
        <f t="shared" si="303"/>
        <v>11915</v>
      </c>
      <c r="C2403" s="14">
        <f t="shared" si="304"/>
        <v>198.58333333333334</v>
      </c>
      <c r="D2403" s="11">
        <f t="shared" si="305"/>
        <v>1124.4505933614005</v>
      </c>
      <c r="E2403" s="24">
        <f t="shared" si="306"/>
        <v>813.20475441248641</v>
      </c>
      <c r="F2403" s="38">
        <f t="shared" si="301"/>
        <v>0.79261280781716614</v>
      </c>
      <c r="G2403" s="14">
        <f t="shared" si="302"/>
        <v>0</v>
      </c>
      <c r="H2403" s="24">
        <f t="shared" si="300"/>
        <v>761.77578295025296</v>
      </c>
      <c r="I2403" s="12">
        <f t="shared" si="307"/>
        <v>0.22439282653394188</v>
      </c>
      <c r="J2403" s="3"/>
    </row>
    <row r="2404" spans="2:10" x14ac:dyDescent="0.25">
      <c r="B2404" s="3">
        <f t="shared" si="303"/>
        <v>11920</v>
      </c>
      <c r="C2404" s="14">
        <f t="shared" si="304"/>
        <v>198.66666666666666</v>
      </c>
      <c r="D2404" s="11">
        <f t="shared" si="305"/>
        <v>1124.5134158345459</v>
      </c>
      <c r="E2404" s="24">
        <f t="shared" si="306"/>
        <v>813.42914723902038</v>
      </c>
      <c r="F2404" s="38">
        <f t="shared" si="301"/>
        <v>0.79322729016393856</v>
      </c>
      <c r="G2404" s="14">
        <f t="shared" si="302"/>
        <v>0</v>
      </c>
      <c r="H2404" s="24">
        <f t="shared" si="300"/>
        <v>761.18566486351267</v>
      </c>
      <c r="I2404" s="12">
        <f t="shared" si="307"/>
        <v>0.22441233607713096</v>
      </c>
      <c r="J2404" s="3"/>
    </row>
    <row r="2405" spans="2:10" x14ac:dyDescent="0.25">
      <c r="B2405" s="3">
        <f t="shared" si="303"/>
        <v>11925</v>
      </c>
      <c r="C2405" s="14">
        <f t="shared" si="304"/>
        <v>198.75</v>
      </c>
      <c r="D2405" s="11">
        <f t="shared" si="305"/>
        <v>1124.5762119780704</v>
      </c>
      <c r="E2405" s="24">
        <f t="shared" si="306"/>
        <v>813.65355957509746</v>
      </c>
      <c r="F2405" s="38">
        <f t="shared" si="301"/>
        <v>0.79383943490966691</v>
      </c>
      <c r="G2405" s="14">
        <f t="shared" si="302"/>
        <v>0</v>
      </c>
      <c r="H2405" s="24">
        <f t="shared" si="300"/>
        <v>760.59870006335404</v>
      </c>
      <c r="I2405" s="12">
        <f t="shared" si="307"/>
        <v>0.22443110271705985</v>
      </c>
      <c r="J2405" s="3"/>
    </row>
    <row r="2406" spans="2:10" x14ac:dyDescent="0.25">
      <c r="B2406" s="3">
        <f t="shared" si="303"/>
        <v>11930</v>
      </c>
      <c r="C2406" s="14">
        <f t="shared" si="304"/>
        <v>198.83333333333334</v>
      </c>
      <c r="D2406" s="11">
        <f t="shared" si="305"/>
        <v>1124.6389818140353</v>
      </c>
      <c r="E2406" s="24">
        <f t="shared" si="306"/>
        <v>813.87799067781452</v>
      </c>
      <c r="F2406" s="38">
        <f t="shared" si="301"/>
        <v>0.79444925334642957</v>
      </c>
      <c r="G2406" s="14">
        <f t="shared" si="302"/>
        <v>0</v>
      </c>
      <c r="H2406" s="24">
        <f t="shared" si="300"/>
        <v>760.01486527677378</v>
      </c>
      <c r="I2406" s="12">
        <f t="shared" si="307"/>
        <v>0.22444913088620266</v>
      </c>
      <c r="J2406" s="3"/>
    </row>
    <row r="2407" spans="2:10" x14ac:dyDescent="0.25">
      <c r="B2407" s="3">
        <f t="shared" si="303"/>
        <v>11935</v>
      </c>
      <c r="C2407" s="14">
        <f t="shared" si="304"/>
        <v>198.91666666666666</v>
      </c>
      <c r="D2407" s="11">
        <f t="shared" si="305"/>
        <v>1124.7017253644735</v>
      </c>
      <c r="E2407" s="24">
        <f t="shared" si="306"/>
        <v>814.10243980870075</v>
      </c>
      <c r="F2407" s="38">
        <f t="shared" si="301"/>
        <v>0.79505675670868303</v>
      </c>
      <c r="G2407" s="14">
        <f t="shared" si="302"/>
        <v>0</v>
      </c>
      <c r="H2407" s="24">
        <f t="shared" si="300"/>
        <v>759.43413744555619</v>
      </c>
      <c r="I2407" s="12">
        <f t="shared" si="307"/>
        <v>0.22446642499077454</v>
      </c>
      <c r="J2407" s="3"/>
    </row>
    <row r="2408" spans="2:10" x14ac:dyDescent="0.25">
      <c r="B2408" s="3">
        <f t="shared" si="303"/>
        <v>11940</v>
      </c>
      <c r="C2408" s="14">
        <f t="shared" si="304"/>
        <v>199</v>
      </c>
      <c r="D2408" s="11">
        <f t="shared" si="305"/>
        <v>1124.7644426513903</v>
      </c>
      <c r="E2408" s="24">
        <f t="shared" si="306"/>
        <v>814.32690623369149</v>
      </c>
      <c r="F2408" s="38">
        <f t="shared" si="301"/>
        <v>0.79566195617346602</v>
      </c>
      <c r="G2408" s="14">
        <f t="shared" si="302"/>
        <v>0</v>
      </c>
      <c r="H2408" s="24">
        <f t="shared" si="300"/>
        <v>758.85649372393061</v>
      </c>
      <c r="I2408" s="12">
        <f t="shared" si="307"/>
        <v>0.224482989410766</v>
      </c>
      <c r="J2408" s="3"/>
    </row>
    <row r="2409" spans="2:10" x14ac:dyDescent="0.25">
      <c r="B2409" s="3">
        <f t="shared" si="303"/>
        <v>11945</v>
      </c>
      <c r="C2409" s="14">
        <f t="shared" si="304"/>
        <v>199.08333333333334</v>
      </c>
      <c r="D2409" s="11">
        <f t="shared" si="305"/>
        <v>1124.8271336967637</v>
      </c>
      <c r="E2409" s="24">
        <f t="shared" si="306"/>
        <v>814.55138922310221</v>
      </c>
      <c r="F2409" s="38">
        <f t="shared" si="301"/>
        <v>0.79626486286060594</v>
      </c>
      <c r="G2409" s="14">
        <f t="shared" si="302"/>
        <v>0</v>
      </c>
      <c r="H2409" s="24">
        <f t="shared" si="300"/>
        <v>758.28191147625728</v>
      </c>
      <c r="I2409" s="12">
        <f t="shared" si="307"/>
        <v>0.22449882850007047</v>
      </c>
      <c r="J2409" s="3"/>
    </row>
    <row r="2410" spans="2:10" x14ac:dyDescent="0.25">
      <c r="B2410" s="3">
        <f t="shared" si="303"/>
        <v>11950</v>
      </c>
      <c r="C2410" s="14">
        <f t="shared" si="304"/>
        <v>199.16666666666666</v>
      </c>
      <c r="D2410" s="11">
        <f t="shared" si="305"/>
        <v>1124.889798522544</v>
      </c>
      <c r="E2410" s="24">
        <f t="shared" si="306"/>
        <v>814.77588805160224</v>
      </c>
      <c r="F2410" s="38">
        <f t="shared" si="301"/>
        <v>0.79686548783292666</v>
      </c>
      <c r="G2410" s="14">
        <f t="shared" si="302"/>
        <v>0</v>
      </c>
      <c r="H2410" s="24">
        <f t="shared" si="300"/>
        <v>757.71036827474359</v>
      </c>
      <c r="I2410" s="12">
        <f t="shared" si="307"/>
        <v>0.22451394658676171</v>
      </c>
      <c r="J2410" s="3"/>
    </row>
    <row r="2411" spans="2:10" x14ac:dyDescent="0.25">
      <c r="B2411" s="3">
        <f t="shared" si="303"/>
        <v>11955</v>
      </c>
      <c r="C2411" s="14">
        <f t="shared" si="304"/>
        <v>199.25</v>
      </c>
      <c r="D2411" s="11">
        <f t="shared" si="305"/>
        <v>1124.9524371506539</v>
      </c>
      <c r="E2411" s="24">
        <f t="shared" si="306"/>
        <v>815.00040199818898</v>
      </c>
      <c r="F2411" s="38">
        <f t="shared" si="301"/>
        <v>0.79746384209645815</v>
      </c>
      <c r="G2411" s="14">
        <f t="shared" si="302"/>
        <v>0</v>
      </c>
      <c r="H2411" s="24">
        <f t="shared" si="300"/>
        <v>757.14184189718753</v>
      </c>
      <c r="I2411" s="12">
        <f t="shared" si="307"/>
        <v>0.22452834797312579</v>
      </c>
      <c r="J2411" s="3"/>
    </row>
    <row r="2412" spans="2:10" x14ac:dyDescent="0.25">
      <c r="B2412" s="3">
        <f t="shared" si="303"/>
        <v>11960</v>
      </c>
      <c r="C2412" s="14">
        <f t="shared" si="304"/>
        <v>199.33333333333334</v>
      </c>
      <c r="D2412" s="11">
        <f t="shared" si="305"/>
        <v>1125.0150496029887</v>
      </c>
      <c r="E2412" s="24">
        <f t="shared" si="306"/>
        <v>815.22493034616207</v>
      </c>
      <c r="F2412" s="38">
        <f t="shared" si="301"/>
        <v>0.79805993660064567</v>
      </c>
      <c r="G2412" s="14">
        <f t="shared" si="302"/>
        <v>0</v>
      </c>
      <c r="H2412" s="24">
        <f t="shared" si="300"/>
        <v>756.57631032474956</v>
      </c>
      <c r="I2412" s="12">
        <f t="shared" si="307"/>
        <v>0.22454203693582592</v>
      </c>
      <c r="J2412" s="3"/>
    </row>
    <row r="2413" spans="2:10" x14ac:dyDescent="0.25">
      <c r="B2413" s="3">
        <f t="shared" si="303"/>
        <v>11965</v>
      </c>
      <c r="C2413" s="14">
        <f t="shared" si="304"/>
        <v>199.41666666666666</v>
      </c>
      <c r="D2413" s="11">
        <f t="shared" si="305"/>
        <v>1125.077635901416</v>
      </c>
      <c r="E2413" s="24">
        <f t="shared" si="306"/>
        <v>815.44947238309794</v>
      </c>
      <c r="F2413" s="38">
        <f t="shared" si="301"/>
        <v>0.79865378223856542</v>
      </c>
      <c r="G2413" s="14">
        <f t="shared" si="302"/>
        <v>0</v>
      </c>
      <c r="H2413" s="24">
        <f t="shared" si="300"/>
        <v>756.01375173975111</v>
      </c>
      <c r="I2413" s="12">
        <f t="shared" si="307"/>
        <v>0.2245550177261218</v>
      </c>
      <c r="J2413" s="3"/>
    </row>
    <row r="2414" spans="2:10" x14ac:dyDescent="0.25">
      <c r="B2414" s="3">
        <f t="shared" si="303"/>
        <v>11970</v>
      </c>
      <c r="C2414" s="14">
        <f t="shared" si="304"/>
        <v>199.5</v>
      </c>
      <c r="D2414" s="11">
        <f t="shared" si="305"/>
        <v>1125.1401960677765</v>
      </c>
      <c r="E2414" s="24">
        <f t="shared" si="306"/>
        <v>815.67402740082412</v>
      </c>
      <c r="F2414" s="38">
        <f t="shared" si="301"/>
        <v>0.79924538984713489</v>
      </c>
      <c r="G2414" s="14">
        <f t="shared" si="302"/>
        <v>0</v>
      </c>
      <c r="H2414" s="24">
        <f t="shared" si="300"/>
        <v>755.4541445235019</v>
      </c>
      <c r="I2414" s="12">
        <f t="shared" si="307"/>
        <v>0.22456729456984503</v>
      </c>
      <c r="J2414" s="3"/>
    </row>
    <row r="2415" spans="2:10" x14ac:dyDescent="0.25">
      <c r="B2415" s="3">
        <f t="shared" si="303"/>
        <v>11975</v>
      </c>
      <c r="C2415" s="14">
        <f t="shared" si="304"/>
        <v>199.58333333333334</v>
      </c>
      <c r="D2415" s="11">
        <f t="shared" si="305"/>
        <v>1125.2027301238832</v>
      </c>
      <c r="E2415" s="24">
        <f t="shared" si="306"/>
        <v>815.89859469539397</v>
      </c>
      <c r="F2415" s="38">
        <f t="shared" si="301"/>
        <v>0.79983477020732963</v>
      </c>
      <c r="G2415" s="14">
        <f t="shared" si="302"/>
        <v>0</v>
      </c>
      <c r="H2415" s="24">
        <f t="shared" si="300"/>
        <v>754.89746725415228</v>
      </c>
      <c r="I2415" s="12">
        <f t="shared" si="307"/>
        <v>0.2245788716677691</v>
      </c>
      <c r="J2415" s="3"/>
    </row>
    <row r="2416" spans="2:10" x14ac:dyDescent="0.25">
      <c r="B2416" s="3">
        <f t="shared" si="303"/>
        <v>11980</v>
      </c>
      <c r="C2416" s="14">
        <f t="shared" si="304"/>
        <v>199.66666666666666</v>
      </c>
      <c r="D2416" s="11">
        <f t="shared" si="305"/>
        <v>1125.2652380915217</v>
      </c>
      <c r="E2416" s="24">
        <f t="shared" si="306"/>
        <v>816.12317356706171</v>
      </c>
      <c r="F2416" s="38">
        <f t="shared" si="301"/>
        <v>0.80042193404439999</v>
      </c>
      <c r="G2416" s="14">
        <f t="shared" si="302"/>
        <v>0</v>
      </c>
      <c r="H2416" s="24">
        <f t="shared" si="300"/>
        <v>754.34369870457249</v>
      </c>
      <c r="I2416" s="12">
        <f t="shared" si="307"/>
        <v>0.22458975319556415</v>
      </c>
      <c r="J2416" s="3"/>
    </row>
    <row r="2417" spans="2:10" x14ac:dyDescent="0.25">
      <c r="B2417" s="3">
        <f t="shared" si="303"/>
        <v>11985</v>
      </c>
      <c r="C2417" s="14">
        <f t="shared" si="304"/>
        <v>199.75</v>
      </c>
      <c r="D2417" s="11">
        <f t="shared" si="305"/>
        <v>1125.327719992451</v>
      </c>
      <c r="E2417" s="24">
        <f t="shared" si="306"/>
        <v>816.34776332025729</v>
      </c>
      <c r="F2417" s="38">
        <f t="shared" si="301"/>
        <v>0.80100689202808784</v>
      </c>
      <c r="G2417" s="14">
        <f t="shared" si="302"/>
        <v>0</v>
      </c>
      <c r="H2417" s="24">
        <f t="shared" si="300"/>
        <v>753.79281784025875</v>
      </c>
      <c r="I2417" s="12">
        <f t="shared" si="307"/>
        <v>0.22459994330401603</v>
      </c>
      <c r="J2417" s="3"/>
    </row>
    <row r="2418" spans="2:10" x14ac:dyDescent="0.25">
      <c r="B2418" s="3">
        <f t="shared" si="303"/>
        <v>11990</v>
      </c>
      <c r="C2418" s="14">
        <f t="shared" si="304"/>
        <v>199.83333333333334</v>
      </c>
      <c r="D2418" s="11">
        <f t="shared" si="305"/>
        <v>1125.3901758484017</v>
      </c>
      <c r="E2418" s="24">
        <f t="shared" si="306"/>
        <v>816.57236326356133</v>
      </c>
      <c r="F2418" s="38">
        <f t="shared" si="301"/>
        <v>0.80158965477284494</v>
      </c>
      <c r="G2418" s="14">
        <f t="shared" si="302"/>
        <v>0</v>
      </c>
      <c r="H2418" s="24">
        <f t="shared" si="300"/>
        <v>753.24480381726426</v>
      </c>
      <c r="I2418" s="12">
        <f t="shared" si="307"/>
        <v>0.22460944611924427</v>
      </c>
      <c r="J2418" s="3"/>
    </row>
    <row r="2419" spans="2:10" x14ac:dyDescent="0.25">
      <c r="B2419" s="3">
        <f t="shared" si="303"/>
        <v>11995</v>
      </c>
      <c r="C2419" s="14">
        <f t="shared" si="304"/>
        <v>199.91666666666666</v>
      </c>
      <c r="D2419" s="11">
        <f t="shared" si="305"/>
        <v>1125.4526056810787</v>
      </c>
      <c r="E2419" s="24">
        <f t="shared" si="306"/>
        <v>816.79697270968052</v>
      </c>
      <c r="F2419" s="38">
        <f t="shared" si="301"/>
        <v>0.80217023283805411</v>
      </c>
      <c r="G2419" s="14">
        <f t="shared" si="302"/>
        <v>0</v>
      </c>
      <c r="H2419" s="24">
        <f t="shared" si="300"/>
        <v>752.69963598015579</v>
      </c>
      <c r="I2419" s="12">
        <f t="shared" si="307"/>
        <v>0.22461826574259933</v>
      </c>
      <c r="J2419" s="3"/>
    </row>
    <row r="2420" spans="2:10" x14ac:dyDescent="0.25">
      <c r="B2420" s="3">
        <f t="shared" si="303"/>
        <v>12000</v>
      </c>
      <c r="C2420" s="14">
        <f t="shared" si="304"/>
        <v>200</v>
      </c>
      <c r="D2420" s="11">
        <f t="shared" si="305"/>
        <v>1125.5150095121583</v>
      </c>
      <c r="E2420" s="24">
        <f t="shared" si="306"/>
        <v>817.02159097542312</v>
      </c>
      <c r="F2420" s="38">
        <f t="shared" si="301"/>
        <v>0.80274863672824948</v>
      </c>
      <c r="G2420" s="14">
        <f t="shared" si="302"/>
        <v>0</v>
      </c>
      <c r="H2420" s="24">
        <f t="shared" si="300"/>
        <v>752.15729385999475</v>
      </c>
      <c r="I2420" s="12">
        <f t="shared" si="307"/>
        <v>0.2246264062512007</v>
      </c>
      <c r="J2420" s="3"/>
    </row>
    <row r="2421" spans="2:10" x14ac:dyDescent="0.25">
      <c r="B2421" s="3">
        <f t="shared" si="303"/>
        <v>12005</v>
      </c>
      <c r="C2421" s="14">
        <f t="shared" si="304"/>
        <v>200.08333333333334</v>
      </c>
      <c r="D2421" s="11">
        <f t="shared" si="305"/>
        <v>1125.5773873632909</v>
      </c>
      <c r="E2421" s="24">
        <f t="shared" si="306"/>
        <v>817.24621738167434</v>
      </c>
      <c r="F2421" s="38">
        <f t="shared" si="301"/>
        <v>0.80332487689333798</v>
      </c>
      <c r="G2421" s="14">
        <f t="shared" si="302"/>
        <v>0</v>
      </c>
      <c r="H2421" s="24">
        <f t="shared" si="300"/>
        <v>751.61775717234423</v>
      </c>
      <c r="I2421" s="12">
        <f t="shared" si="307"/>
        <v>0.22463387169760646</v>
      </c>
      <c r="J2421" s="3"/>
    </row>
    <row r="2422" spans="2:10" x14ac:dyDescent="0.25">
      <c r="B2422" s="3">
        <f t="shared" si="303"/>
        <v>12010</v>
      </c>
      <c r="C2422" s="14">
        <f t="shared" si="304"/>
        <v>200.16666666666666</v>
      </c>
      <c r="D2422" s="11">
        <f t="shared" si="305"/>
        <v>1125.6397392560993</v>
      </c>
      <c r="E2422" s="24">
        <f t="shared" si="306"/>
        <v>817.47085125337196</v>
      </c>
      <c r="F2422" s="38">
        <f t="shared" si="301"/>
        <v>0.80389896372882197</v>
      </c>
      <c r="G2422" s="14">
        <f t="shared" si="302"/>
        <v>0</v>
      </c>
      <c r="H2422" s="24">
        <f t="shared" si="300"/>
        <v>751.08100581529902</v>
      </c>
      <c r="I2422" s="12">
        <f t="shared" si="307"/>
        <v>0.22464066611036976</v>
      </c>
      <c r="J2422" s="3"/>
    </row>
    <row r="2423" spans="2:10" x14ac:dyDescent="0.25">
      <c r="B2423" s="3">
        <f t="shared" si="303"/>
        <v>12015</v>
      </c>
      <c r="C2423" s="14">
        <f t="shared" si="304"/>
        <v>200.25</v>
      </c>
      <c r="D2423" s="11">
        <f t="shared" si="305"/>
        <v>1125.7020652121798</v>
      </c>
      <c r="E2423" s="24">
        <f t="shared" si="306"/>
        <v>817.69549191948238</v>
      </c>
      <c r="F2423" s="38">
        <f t="shared" si="301"/>
        <v>0.80447090757602402</v>
      </c>
      <c r="G2423" s="14">
        <f t="shared" si="302"/>
        <v>0</v>
      </c>
      <c r="H2423" s="24">
        <f t="shared" ref="H2423:H2486" si="308">IF(E2423&lt;600,425+0.773*E2423-1.69/1000*E2423^2+2.22/1000^2*E2423^3,IF(E2423&lt;735,666+13002/(738-E2423),IF(E2423&lt;900,545+17820/(E2423-731),650)))</f>
        <v>750.54701986754003</v>
      </c>
      <c r="I2423" s="12">
        <f t="shared" si="307"/>
        <v>0.22464679349391498</v>
      </c>
      <c r="J2423" s="3"/>
    </row>
    <row r="2424" spans="2:10" x14ac:dyDescent="0.25">
      <c r="B2424" s="3">
        <f t="shared" si="303"/>
        <v>12020</v>
      </c>
      <c r="C2424" s="14">
        <f t="shared" si="304"/>
        <v>200.33333333333334</v>
      </c>
      <c r="D2424" s="11">
        <f t="shared" si="305"/>
        <v>1125.764365253101</v>
      </c>
      <c r="E2424" s="24">
        <f t="shared" si="306"/>
        <v>817.92013871297627</v>
      </c>
      <c r="F2424" s="38">
        <f t="shared" si="301"/>
        <v>0.80504071872231064</v>
      </c>
      <c r="G2424" s="14">
        <f t="shared" si="302"/>
        <v>0</v>
      </c>
      <c r="H2424" s="24">
        <f t="shared" si="308"/>
        <v>750.01577958641315</v>
      </c>
      <c r="I2424" s="12">
        <f t="shared" si="307"/>
        <v>0.22465225782884773</v>
      </c>
      <c r="J2424" s="3"/>
    </row>
    <row r="2425" spans="2:10" x14ac:dyDescent="0.25">
      <c r="B2425" s="3">
        <f t="shared" si="303"/>
        <v>12025</v>
      </c>
      <c r="C2425" s="14">
        <f t="shared" si="304"/>
        <v>200.41666666666666</v>
      </c>
      <c r="D2425" s="11">
        <f t="shared" si="305"/>
        <v>1125.8266394004049</v>
      </c>
      <c r="E2425" s="24">
        <f t="shared" si="306"/>
        <v>818.14479097080516</v>
      </c>
      <c r="F2425" s="38">
        <f t="shared" si="301"/>
        <v>0.80560840740131767</v>
      </c>
      <c r="G2425" s="14">
        <f t="shared" si="302"/>
        <v>0</v>
      </c>
      <c r="H2425" s="24">
        <f t="shared" si="308"/>
        <v>749.48726540602956</v>
      </c>
      <c r="I2425" s="12">
        <f t="shared" si="307"/>
        <v>0.22465706307194305</v>
      </c>
      <c r="J2425" s="3"/>
    </row>
    <row r="2426" spans="2:10" x14ac:dyDescent="0.25">
      <c r="B2426" s="3">
        <f t="shared" si="303"/>
        <v>12030</v>
      </c>
      <c r="C2426" s="14">
        <f t="shared" si="304"/>
        <v>200.5</v>
      </c>
      <c r="D2426" s="11">
        <f t="shared" si="305"/>
        <v>1125.8888876756073</v>
      </c>
      <c r="E2426" s="24">
        <f t="shared" si="306"/>
        <v>818.36944803387712</v>
      </c>
      <c r="F2426" s="38">
        <f t="shared" si="301"/>
        <v>0.8061739837931764</v>
      </c>
      <c r="G2426" s="14">
        <f t="shared" si="302"/>
        <v>0</v>
      </c>
      <c r="H2426" s="24">
        <f t="shared" si="308"/>
        <v>748.96145793539154</v>
      </c>
      <c r="I2426" s="12">
        <f t="shared" si="307"/>
        <v>0.22466121315634163</v>
      </c>
      <c r="J2426" s="3"/>
    </row>
    <row r="2427" spans="2:10" x14ac:dyDescent="0.25">
      <c r="B2427" s="3">
        <f t="shared" si="303"/>
        <v>12035</v>
      </c>
      <c r="C2427" s="14">
        <f t="shared" si="304"/>
        <v>200.58333333333334</v>
      </c>
      <c r="D2427" s="11">
        <f t="shared" si="305"/>
        <v>1125.951110100196</v>
      </c>
      <c r="E2427" s="24">
        <f t="shared" si="306"/>
        <v>818.59410924703343</v>
      </c>
      <c r="F2427" s="38">
        <f t="shared" si="301"/>
        <v>0.80673745802474062</v>
      </c>
      <c r="G2427" s="14">
        <f t="shared" si="302"/>
        <v>0</v>
      </c>
      <c r="H2427" s="24">
        <f t="shared" si="308"/>
        <v>748.43833795653916</v>
      </c>
      <c r="I2427" s="12">
        <f t="shared" si="307"/>
        <v>0.22466471199182089</v>
      </c>
      <c r="J2427" s="3"/>
    </row>
    <row r="2428" spans="2:10" x14ac:dyDescent="0.25">
      <c r="B2428" s="3">
        <f t="shared" si="303"/>
        <v>12040</v>
      </c>
      <c r="C2428" s="14">
        <f t="shared" si="304"/>
        <v>200.66666666666666</v>
      </c>
      <c r="D2428" s="11">
        <f t="shared" si="305"/>
        <v>1126.0133066956332</v>
      </c>
      <c r="E2428" s="24">
        <f t="shared" si="306"/>
        <v>818.81877395902529</v>
      </c>
      <c r="F2428" s="38">
        <f t="shared" si="301"/>
        <v>0.80729884016981368</v>
      </c>
      <c r="G2428" s="14">
        <f t="shared" si="302"/>
        <v>0</v>
      </c>
      <c r="H2428" s="24">
        <f t="shared" si="308"/>
        <v>747.91788642271979</v>
      </c>
      <c r="I2428" s="12">
        <f t="shared" si="307"/>
        <v>0.22466756346466712</v>
      </c>
      <c r="J2428" s="3"/>
    </row>
    <row r="2429" spans="2:10" x14ac:dyDescent="0.25">
      <c r="B2429" s="3">
        <f t="shared" si="303"/>
        <v>12045</v>
      </c>
      <c r="C2429" s="14">
        <f t="shared" si="304"/>
        <v>200.75</v>
      </c>
      <c r="D2429" s="11">
        <f t="shared" si="305"/>
        <v>1126.0754774833538</v>
      </c>
      <c r="E2429" s="24">
        <f t="shared" si="306"/>
        <v>819.04344152248996</v>
      </c>
      <c r="F2429" s="38">
        <f t="shared" si="301"/>
        <v>0.80785814024937641</v>
      </c>
      <c r="G2429" s="14">
        <f t="shared" si="302"/>
        <v>0</v>
      </c>
      <c r="H2429" s="24">
        <f t="shared" si="308"/>
        <v>747.40008445658077</v>
      </c>
      <c r="I2429" s="12">
        <f t="shared" si="307"/>
        <v>0.22466977143806083</v>
      </c>
      <c r="J2429" s="3"/>
    </row>
    <row r="2430" spans="2:10" x14ac:dyDescent="0.25">
      <c r="B2430" s="3">
        <f t="shared" si="303"/>
        <v>12050</v>
      </c>
      <c r="C2430" s="14">
        <f t="shared" si="304"/>
        <v>200.83333333333334</v>
      </c>
      <c r="D2430" s="11">
        <f t="shared" si="305"/>
        <v>1126.1376224847659</v>
      </c>
      <c r="E2430" s="24">
        <f t="shared" si="306"/>
        <v>819.26811129392797</v>
      </c>
      <c r="F2430" s="38">
        <f t="shared" si="301"/>
        <v>0.80841536823181581</v>
      </c>
      <c r="G2430" s="14">
        <f t="shared" si="302"/>
        <v>0</v>
      </c>
      <c r="H2430" s="24">
        <f t="shared" si="308"/>
        <v>746.88491334838216</v>
      </c>
      <c r="I2430" s="12">
        <f t="shared" si="307"/>
        <v>0.22467133975209888</v>
      </c>
      <c r="J2430" s="3"/>
    </row>
    <row r="2431" spans="2:10" x14ac:dyDescent="0.25">
      <c r="B2431" s="3">
        <f t="shared" si="303"/>
        <v>12055</v>
      </c>
      <c r="C2431" s="14">
        <f t="shared" si="304"/>
        <v>200.91666666666666</v>
      </c>
      <c r="D2431" s="11">
        <f t="shared" si="305"/>
        <v>1126.1997417212513</v>
      </c>
      <c r="E2431" s="24">
        <f t="shared" si="306"/>
        <v>819.49278263368012</v>
      </c>
      <c r="F2431" s="38">
        <f t="shared" si="301"/>
        <v>0.80897053403315478</v>
      </c>
      <c r="G2431" s="14">
        <f t="shared" si="302"/>
        <v>0</v>
      </c>
      <c r="H2431" s="24">
        <f t="shared" si="308"/>
        <v>746.37235455423183</v>
      </c>
      <c r="I2431" s="12">
        <f t="shared" si="307"/>
        <v>0.22467227222391239</v>
      </c>
      <c r="J2431" s="3"/>
    </row>
    <row r="2432" spans="2:10" x14ac:dyDescent="0.25">
      <c r="B2432" s="3">
        <f t="shared" si="303"/>
        <v>12060</v>
      </c>
      <c r="C2432" s="14">
        <f t="shared" si="304"/>
        <v>201</v>
      </c>
      <c r="D2432" s="11">
        <f t="shared" si="305"/>
        <v>1126.2618352141651</v>
      </c>
      <c r="E2432" s="24">
        <f t="shared" si="306"/>
        <v>819.71745490590399</v>
      </c>
      <c r="F2432" s="38">
        <f t="shared" si="301"/>
        <v>0.80952364751728079</v>
      </c>
      <c r="G2432" s="14">
        <f t="shared" si="302"/>
        <v>0</v>
      </c>
      <c r="H2432" s="24">
        <f t="shared" si="308"/>
        <v>745.86238969434316</v>
      </c>
      <c r="I2432" s="12">
        <f t="shared" si="307"/>
        <v>0.22467257264785981</v>
      </c>
      <c r="J2432" s="3"/>
    </row>
    <row r="2433" spans="2:10" x14ac:dyDescent="0.25">
      <c r="B2433" s="3">
        <f t="shared" si="303"/>
        <v>12065</v>
      </c>
      <c r="C2433" s="14">
        <f t="shared" si="304"/>
        <v>201.08333333333334</v>
      </c>
      <c r="D2433" s="11">
        <f t="shared" si="305"/>
        <v>1126.3239029848357</v>
      </c>
      <c r="E2433" s="24">
        <f t="shared" si="306"/>
        <v>819.94212747855181</v>
      </c>
      <c r="F2433" s="38">
        <f t="shared" si="301"/>
        <v>0.81007471849617607</v>
      </c>
      <c r="G2433" s="14">
        <f t="shared" si="302"/>
        <v>0</v>
      </c>
      <c r="H2433" s="24">
        <f t="shared" si="308"/>
        <v>745.3550005513107</v>
      </c>
      <c r="I2433" s="12">
        <f t="shared" si="307"/>
        <v>0.22467224479566258</v>
      </c>
      <c r="J2433" s="3"/>
    </row>
    <row r="2434" spans="2:10" x14ac:dyDescent="0.25">
      <c r="B2434" s="3">
        <f t="shared" si="303"/>
        <v>12070</v>
      </c>
      <c r="C2434" s="14">
        <f t="shared" si="304"/>
        <v>201.16666666666666</v>
      </c>
      <c r="D2434" s="11">
        <f t="shared" si="305"/>
        <v>1126.3859450545656</v>
      </c>
      <c r="E2434" s="24">
        <f t="shared" si="306"/>
        <v>820.16679972334748</v>
      </c>
      <c r="F2434" s="38">
        <f t="shared" si="301"/>
        <v>0.81062375673014808</v>
      </c>
      <c r="G2434" s="14">
        <f t="shared" si="302"/>
        <v>0</v>
      </c>
      <c r="H2434" s="24">
        <f t="shared" si="308"/>
        <v>744.85016906840951</v>
      </c>
      <c r="I2434" s="12">
        <f t="shared" si="307"/>
        <v>0.22467129241644429</v>
      </c>
      <c r="J2434" s="3"/>
    </row>
    <row r="2435" spans="2:10" x14ac:dyDescent="0.25">
      <c r="B2435" s="3">
        <f t="shared" si="303"/>
        <v>12075</v>
      </c>
      <c r="C2435" s="14">
        <f t="shared" si="304"/>
        <v>201.25</v>
      </c>
      <c r="D2435" s="11">
        <f t="shared" si="305"/>
        <v>1126.44796144463</v>
      </c>
      <c r="E2435" s="24">
        <f t="shared" si="306"/>
        <v>820.39147101576395</v>
      </c>
      <c r="F2435" s="38">
        <f t="shared" si="301"/>
        <v>0.81117077192806131</v>
      </c>
      <c r="G2435" s="14">
        <f t="shared" si="302"/>
        <v>0</v>
      </c>
      <c r="H2435" s="24">
        <f t="shared" si="308"/>
        <v>744.34787734791257</v>
      </c>
      <c r="I2435" s="12">
        <f t="shared" si="307"/>
        <v>0.22466971923703741</v>
      </c>
      <c r="J2435" s="3"/>
    </row>
    <row r="2436" spans="2:10" x14ac:dyDescent="0.25">
      <c r="B2436" s="3">
        <f t="shared" si="303"/>
        <v>12080</v>
      </c>
      <c r="C2436" s="14">
        <f t="shared" si="304"/>
        <v>201.33333333333334</v>
      </c>
      <c r="D2436" s="11">
        <f t="shared" si="305"/>
        <v>1126.5099521762784</v>
      </c>
      <c r="E2436" s="24">
        <f t="shared" si="306"/>
        <v>820.61614073500095</v>
      </c>
      <c r="F2436" s="38">
        <f t="shared" si="301"/>
        <v>0.81171577374756565</v>
      </c>
      <c r="G2436" s="14">
        <f t="shared" si="302"/>
        <v>0</v>
      </c>
      <c r="H2436" s="24">
        <f t="shared" si="308"/>
        <v>743.84810764943063</v>
      </c>
      <c r="I2436" s="12">
        <f t="shared" si="307"/>
        <v>0.22466752896192549</v>
      </c>
      <c r="J2436" s="3"/>
    </row>
    <row r="2437" spans="2:10" x14ac:dyDescent="0.25">
      <c r="B2437" s="3">
        <f t="shared" si="303"/>
        <v>12085</v>
      </c>
      <c r="C2437" s="14">
        <f t="shared" si="304"/>
        <v>201.41666666666666</v>
      </c>
      <c r="D2437" s="11">
        <f t="shared" si="305"/>
        <v>1126.5719172707334</v>
      </c>
      <c r="E2437" s="24">
        <f t="shared" si="306"/>
        <v>820.84080826396291</v>
      </c>
      <c r="F2437" s="38">
        <f t="shared" si="301"/>
        <v>0.81225877179533101</v>
      </c>
      <c r="G2437" s="14">
        <f t="shared" si="302"/>
        <v>0</v>
      </c>
      <c r="H2437" s="24">
        <f t="shared" si="308"/>
        <v>743.35084238826903</v>
      </c>
      <c r="I2437" s="12">
        <f t="shared" si="307"/>
        <v>0.22466472527354892</v>
      </c>
      <c r="J2437" s="3"/>
    </row>
    <row r="2438" spans="2:10" x14ac:dyDescent="0.25">
      <c r="B2438" s="3">
        <f t="shared" si="303"/>
        <v>12090</v>
      </c>
      <c r="C2438" s="14">
        <f t="shared" si="304"/>
        <v>201.5</v>
      </c>
      <c r="D2438" s="11">
        <f t="shared" si="305"/>
        <v>1126.6338567491916</v>
      </c>
      <c r="E2438" s="24">
        <f t="shared" si="306"/>
        <v>821.06547298923647</v>
      </c>
      <c r="F2438" s="38">
        <f t="shared" si="301"/>
        <v>0.81279977562727701</v>
      </c>
      <c r="G2438" s="14">
        <f t="shared" si="302"/>
        <v>0</v>
      </c>
      <c r="H2438" s="24">
        <f t="shared" si="308"/>
        <v>742.85606413380663</v>
      </c>
      <c r="I2438" s="12">
        <f t="shared" si="307"/>
        <v>0.22466131183228452</v>
      </c>
      <c r="J2438" s="3"/>
    </row>
    <row r="2439" spans="2:10" x14ac:dyDescent="0.25">
      <c r="B2439" s="3">
        <f t="shared" si="303"/>
        <v>12095</v>
      </c>
      <c r="C2439" s="14">
        <f t="shared" si="304"/>
        <v>201.58333333333334</v>
      </c>
      <c r="D2439" s="11">
        <f t="shared" si="305"/>
        <v>1126.6957706328233</v>
      </c>
      <c r="E2439" s="24">
        <f t="shared" si="306"/>
        <v>821.29013430106875</v>
      </c>
      <c r="F2439" s="38">
        <f t="shared" si="301"/>
        <v>0.81333879474880466</v>
      </c>
      <c r="G2439" s="14">
        <f t="shared" si="302"/>
        <v>0</v>
      </c>
      <c r="H2439" s="24">
        <f t="shared" si="308"/>
        <v>742.36375560789338</v>
      </c>
      <c r="I2439" s="12">
        <f t="shared" si="307"/>
        <v>0.22465729227671147</v>
      </c>
      <c r="J2439" s="3"/>
    </row>
    <row r="2440" spans="2:10" x14ac:dyDescent="0.25">
      <c r="B2440" s="3">
        <f t="shared" si="303"/>
        <v>12100</v>
      </c>
      <c r="C2440" s="14">
        <f t="shared" si="304"/>
        <v>201.66666666666666</v>
      </c>
      <c r="D2440" s="11">
        <f t="shared" si="305"/>
        <v>1126.7576589427724</v>
      </c>
      <c r="E2440" s="24">
        <f t="shared" si="306"/>
        <v>821.51479159334542</v>
      </c>
      <c r="F2440" s="38">
        <f t="shared" si="301"/>
        <v>0.81387583861502943</v>
      </c>
      <c r="G2440" s="14">
        <f t="shared" si="302"/>
        <v>0</v>
      </c>
      <c r="H2440" s="24">
        <f t="shared" si="308"/>
        <v>741.87389968326579</v>
      </c>
      <c r="I2440" s="12">
        <f t="shared" si="307"/>
        <v>0.22465267022362836</v>
      </c>
      <c r="J2440" s="3"/>
    </row>
    <row r="2441" spans="2:10" x14ac:dyDescent="0.25">
      <c r="B2441" s="3">
        <f t="shared" si="303"/>
        <v>12105</v>
      </c>
      <c r="C2441" s="14">
        <f t="shared" si="304"/>
        <v>201.75</v>
      </c>
      <c r="D2441" s="11">
        <f t="shared" si="305"/>
        <v>1126.8195217001569</v>
      </c>
      <c r="E2441" s="24">
        <f t="shared" si="306"/>
        <v>821.739444263569</v>
      </c>
      <c r="F2441" s="38">
        <f t="shared" si="301"/>
        <v>0.81441091663101262</v>
      </c>
      <c r="G2441" s="14">
        <f t="shared" si="302"/>
        <v>0</v>
      </c>
      <c r="H2441" s="24">
        <f t="shared" si="308"/>
        <v>741.38647938198312</v>
      </c>
      <c r="I2441" s="12">
        <f t="shared" si="307"/>
        <v>0.22464744926827965</v>
      </c>
      <c r="J2441" s="3"/>
    </row>
    <row r="2442" spans="2:10" x14ac:dyDescent="0.25">
      <c r="B2442" s="3">
        <f t="shared" si="303"/>
        <v>12110</v>
      </c>
      <c r="C2442" s="14">
        <f t="shared" si="304"/>
        <v>201.83333333333334</v>
      </c>
      <c r="D2442" s="11">
        <f t="shared" si="305"/>
        <v>1126.8813589260683</v>
      </c>
      <c r="E2442" s="24">
        <f t="shared" si="306"/>
        <v>821.96409171283733</v>
      </c>
      <c r="F2442" s="38">
        <f t="shared" si="301"/>
        <v>0.81494403815199401</v>
      </c>
      <c r="G2442" s="14">
        <f t="shared" si="302"/>
        <v>0</v>
      </c>
      <c r="H2442" s="24">
        <f t="shared" si="308"/>
        <v>740.90147787388014</v>
      </c>
      <c r="I2442" s="12">
        <f t="shared" si="307"/>
        <v>0.22464163298442866</v>
      </c>
      <c r="J2442" s="3"/>
    </row>
    <row r="2443" spans="2:10" x14ac:dyDescent="0.25">
      <c r="B2443" s="3">
        <f t="shared" si="303"/>
        <v>12115</v>
      </c>
      <c r="C2443" s="14">
        <f t="shared" si="304"/>
        <v>201.91666666666666</v>
      </c>
      <c r="D2443" s="11">
        <f t="shared" si="305"/>
        <v>1126.9431706415721</v>
      </c>
      <c r="E2443" s="24">
        <f t="shared" si="306"/>
        <v>822.18873334582179</v>
      </c>
      <c r="F2443" s="38">
        <f t="shared" si="301"/>
        <v>0.81547521248362409</v>
      </c>
      <c r="G2443" s="14">
        <f t="shared" si="302"/>
        <v>0</v>
      </c>
      <c r="H2443" s="24">
        <f t="shared" si="308"/>
        <v>740.41887847504029</v>
      </c>
      <c r="I2443" s="12">
        <f t="shared" si="307"/>
        <v>0.22463522492450672</v>
      </c>
      <c r="J2443" s="3"/>
    </row>
    <row r="2444" spans="2:10" x14ac:dyDescent="0.25">
      <c r="B2444" s="3">
        <f t="shared" si="303"/>
        <v>12120</v>
      </c>
      <c r="C2444" s="14">
        <f t="shared" si="304"/>
        <v>202</v>
      </c>
      <c r="D2444" s="11">
        <f t="shared" si="305"/>
        <v>1127.0049568677084</v>
      </c>
      <c r="E2444" s="24">
        <f t="shared" si="306"/>
        <v>822.41336857074634</v>
      </c>
      <c r="F2444" s="38">
        <f t="shared" si="301"/>
        <v>0.81600444888219592</v>
      </c>
      <c r="G2444" s="14">
        <f t="shared" si="302"/>
        <v>0</v>
      </c>
      <c r="H2444" s="24">
        <f t="shared" si="308"/>
        <v>739.93866464628536</v>
      </c>
      <c r="I2444" s="12">
        <f t="shared" si="307"/>
        <v>0.22462822861968476</v>
      </c>
      <c r="J2444" s="3"/>
    </row>
    <row r="2445" spans="2:10" x14ac:dyDescent="0.25">
      <c r="B2445" s="3">
        <f t="shared" si="303"/>
        <v>12125</v>
      </c>
      <c r="C2445" s="14">
        <f t="shared" si="304"/>
        <v>202.08333333333334</v>
      </c>
      <c r="D2445" s="11">
        <f t="shared" si="305"/>
        <v>1127.0667176254899</v>
      </c>
      <c r="E2445" s="24">
        <f t="shared" si="306"/>
        <v>822.63799679936608</v>
      </c>
      <c r="F2445" s="38">
        <f t="shared" si="301"/>
        <v>0.81653175655487853</v>
      </c>
      <c r="G2445" s="14">
        <f t="shared" si="302"/>
        <v>0</v>
      </c>
      <c r="H2445" s="24">
        <f t="shared" si="308"/>
        <v>739.46081999168359</v>
      </c>
      <c r="I2445" s="12">
        <f t="shared" si="307"/>
        <v>0.22462064758021341</v>
      </c>
      <c r="J2445" s="3"/>
    </row>
    <row r="2446" spans="2:10" x14ac:dyDescent="0.25">
      <c r="B2446" s="3">
        <f t="shared" si="303"/>
        <v>12130</v>
      </c>
      <c r="C2446" s="14">
        <f t="shared" si="304"/>
        <v>202.16666666666666</v>
      </c>
      <c r="D2446" s="11">
        <f t="shared" si="305"/>
        <v>1127.1284529359045</v>
      </c>
      <c r="E2446" s="24">
        <f t="shared" si="306"/>
        <v>822.86261744694627</v>
      </c>
      <c r="F2446" s="38">
        <f t="shared" si="301"/>
        <v>0.81705714465994772</v>
      </c>
      <c r="G2446" s="14">
        <f t="shared" si="302"/>
        <v>0</v>
      </c>
      <c r="H2446" s="24">
        <f t="shared" si="308"/>
        <v>738.98532825707525</v>
      </c>
      <c r="I2446" s="12">
        <f t="shared" si="307"/>
        <v>0.22461248529518535</v>
      </c>
      <c r="J2446" s="3"/>
    </row>
    <row r="2447" spans="2:10" x14ac:dyDescent="0.25">
      <c r="B2447" s="3">
        <f t="shared" si="303"/>
        <v>12135</v>
      </c>
      <c r="C2447" s="14">
        <f t="shared" si="304"/>
        <v>202.25</v>
      </c>
      <c r="D2447" s="11">
        <f t="shared" si="305"/>
        <v>1127.1901628199139</v>
      </c>
      <c r="E2447" s="24">
        <f t="shared" si="306"/>
        <v>823.08722993224148</v>
      </c>
      <c r="F2447" s="38">
        <f t="shared" si="301"/>
        <v>0.81758062230702089</v>
      </c>
      <c r="G2447" s="14">
        <f t="shared" si="302"/>
        <v>0</v>
      </c>
      <c r="H2447" s="24">
        <f t="shared" si="308"/>
        <v>738.51217332861575</v>
      </c>
      <c r="I2447" s="12">
        <f t="shared" si="307"/>
        <v>0.22460374523300974</v>
      </c>
      <c r="J2447" s="3"/>
    </row>
    <row r="2448" spans="2:10" x14ac:dyDescent="0.25">
      <c r="B2448" s="3">
        <f t="shared" si="303"/>
        <v>12140</v>
      </c>
      <c r="C2448" s="14">
        <f t="shared" si="304"/>
        <v>202.33333333333334</v>
      </c>
      <c r="D2448" s="11">
        <f t="shared" si="305"/>
        <v>1127.2518472984534</v>
      </c>
      <c r="E2448" s="24">
        <f t="shared" si="306"/>
        <v>823.31183367747451</v>
      </c>
      <c r="F2448" s="38">
        <f t="shared" si="301"/>
        <v>0.81810219855728683</v>
      </c>
      <c r="G2448" s="14">
        <f t="shared" si="302"/>
        <v>0</v>
      </c>
      <c r="H2448" s="24">
        <f t="shared" si="308"/>
        <v>738.04133923133577</v>
      </c>
      <c r="I2448" s="12">
        <f t="shared" si="307"/>
        <v>0.2245944308413847</v>
      </c>
      <c r="J2448" s="3"/>
    </row>
    <row r="2449" spans="2:10" x14ac:dyDescent="0.25">
      <c r="B2449" s="3">
        <f t="shared" si="303"/>
        <v>12145</v>
      </c>
      <c r="C2449" s="14">
        <f t="shared" si="304"/>
        <v>202.41666666666666</v>
      </c>
      <c r="D2449" s="11">
        <f t="shared" si="305"/>
        <v>1127.3135063924335</v>
      </c>
      <c r="E2449" s="24">
        <f t="shared" si="306"/>
        <v>823.53642810831593</v>
      </c>
      <c r="F2449" s="38">
        <f t="shared" si="301"/>
        <v>0.81862188242373923</v>
      </c>
      <c r="G2449" s="14">
        <f t="shared" si="302"/>
        <v>0</v>
      </c>
      <c r="H2449" s="24">
        <f t="shared" si="308"/>
        <v>737.57281012771853</v>
      </c>
      <c r="I2449" s="12">
        <f t="shared" si="307"/>
        <v>0.22458454554734644</v>
      </c>
      <c r="J2449" s="3"/>
    </row>
    <row r="2450" spans="2:10" x14ac:dyDescent="0.25">
      <c r="B2450" s="3">
        <f t="shared" si="303"/>
        <v>12150</v>
      </c>
      <c r="C2450" s="14">
        <f t="shared" si="304"/>
        <v>202.5</v>
      </c>
      <c r="D2450" s="11">
        <f t="shared" si="305"/>
        <v>1127.3751401227375</v>
      </c>
      <c r="E2450" s="24">
        <f t="shared" si="306"/>
        <v>823.7610126538633</v>
      </c>
      <c r="F2450" s="38">
        <f t="shared" si="301"/>
        <v>0.81913968287140804</v>
      </c>
      <c r="G2450" s="14">
        <f t="shared" si="302"/>
        <v>0</v>
      </c>
      <c r="H2450" s="24">
        <f t="shared" si="308"/>
        <v>737.10657031629376</v>
      </c>
      <c r="I2450" s="12">
        <f t="shared" si="307"/>
        <v>0.22457409275766538</v>
      </c>
      <c r="J2450" s="3"/>
    </row>
    <row r="2451" spans="2:10" x14ac:dyDescent="0.25">
      <c r="B2451" s="3">
        <f t="shared" si="303"/>
        <v>12155</v>
      </c>
      <c r="C2451" s="14">
        <f t="shared" si="304"/>
        <v>202.58333333333334</v>
      </c>
      <c r="D2451" s="11">
        <f t="shared" si="305"/>
        <v>1127.4367485102243</v>
      </c>
      <c r="E2451" s="24">
        <f t="shared" si="306"/>
        <v>823.98558674662092</v>
      </c>
      <c r="F2451" s="38">
        <f t="shared" si="301"/>
        <v>0.81965560881759236</v>
      </c>
      <c r="G2451" s="14">
        <f t="shared" si="302"/>
        <v>0</v>
      </c>
      <c r="H2451" s="24">
        <f t="shared" si="308"/>
        <v>736.64260423024734</v>
      </c>
      <c r="I2451" s="12">
        <f t="shared" si="307"/>
        <v>0.22456307585858448</v>
      </c>
      <c r="J2451" s="3"/>
    </row>
    <row r="2452" spans="2:10" x14ac:dyDescent="0.25">
      <c r="B2452" s="3">
        <f t="shared" si="303"/>
        <v>12160</v>
      </c>
      <c r="C2452" s="14">
        <f t="shared" si="304"/>
        <v>202.66666666666666</v>
      </c>
      <c r="D2452" s="11">
        <f t="shared" si="305"/>
        <v>1127.4983315757261</v>
      </c>
      <c r="E2452" s="24">
        <f t="shared" si="306"/>
        <v>824.21014982247948</v>
      </c>
      <c r="F2452" s="38">
        <f t="shared" ref="F2452:F2515" si="309">Cp*RhoP/(RhoA*H2452)*dp/1000*MassivP</f>
        <v>0.82016966913209133</v>
      </c>
      <c r="G2452" s="14">
        <f t="shared" ref="G2452:G2515" si="310">Phi*EpsilonF*Botzman/10^8*J2452*((D2452+273)^4-(E2452+273)^4)</f>
        <v>0</v>
      </c>
      <c r="H2452" s="24">
        <f t="shared" si="308"/>
        <v>736.18089643604833</v>
      </c>
      <c r="I2452" s="12">
        <f t="shared" si="307"/>
        <v>0.22455149821633091</v>
      </c>
      <c r="J2452" s="3"/>
    </row>
    <row r="2453" spans="2:10" x14ac:dyDescent="0.25">
      <c r="B2453" s="3">
        <f t="shared" ref="B2453:B2516" si="311">B2452+DeltaT</f>
        <v>12165</v>
      </c>
      <c r="C2453" s="14">
        <f t="shared" ref="C2453:C2516" si="312">B2453/60</f>
        <v>202.75</v>
      </c>
      <c r="D2453" s="11">
        <f t="shared" ref="D2453:D2516" si="313">20+345*LOG(8*C2453+1,10)</f>
        <v>1127.5598893400497</v>
      </c>
      <c r="E2453" s="24">
        <f t="shared" ref="E2453:E2516" si="314">E2452+IF(Limit=Oui,MAX(0,I2452),I2452)</f>
        <v>824.43470132069581</v>
      </c>
      <c r="F2453" s="38">
        <f t="shared" si="309"/>
        <v>0.82068187263743553</v>
      </c>
      <c r="G2453" s="14">
        <f t="shared" si="310"/>
        <v>0</v>
      </c>
      <c r="H2453" s="24">
        <f t="shared" si="308"/>
        <v>735.72143163209171</v>
      </c>
      <c r="I2453" s="12">
        <f t="shared" ref="I2453:I2516" si="315">LambdaP*MassivP/(dp/1000)/(H2453*RhoA)/(1+F2453/3)*(D2453-E2453)*DeltaT-(EXP(F2453/10)-1)*(D2453-D2452)</f>
        <v>0.22453936317694884</v>
      </c>
      <c r="J2453" s="3"/>
    </row>
    <row r="2454" spans="2:10" x14ac:dyDescent="0.25">
      <c r="B2454" s="3">
        <f t="shared" si="311"/>
        <v>12170</v>
      </c>
      <c r="C2454" s="14">
        <f t="shared" si="312"/>
        <v>202.83333333333334</v>
      </c>
      <c r="D2454" s="11">
        <f t="shared" si="313"/>
        <v>1127.621421823977</v>
      </c>
      <c r="E2454" s="24">
        <f t="shared" si="314"/>
        <v>824.65924068387278</v>
      </c>
      <c r="F2454" s="38">
        <f t="shared" si="309"/>
        <v>0.82119222810911952</v>
      </c>
      <c r="G2454" s="14">
        <f t="shared" si="310"/>
        <v>0</v>
      </c>
      <c r="H2454" s="24">
        <f t="shared" si="308"/>
        <v>735.2641946473567</v>
      </c>
      <c r="I2454" s="12">
        <f t="shared" si="315"/>
        <v>0.22452667406654017</v>
      </c>
      <c r="J2454" s="3"/>
    </row>
    <row r="2455" spans="2:10" x14ac:dyDescent="0.25">
      <c r="B2455" s="3">
        <f t="shared" si="311"/>
        <v>12175</v>
      </c>
      <c r="C2455" s="14">
        <f t="shared" si="312"/>
        <v>202.91666666666666</v>
      </c>
      <c r="D2455" s="11">
        <f t="shared" si="313"/>
        <v>1127.6829290482631</v>
      </c>
      <c r="E2455" s="24">
        <f t="shared" si="314"/>
        <v>824.88376735793929</v>
      </c>
      <c r="F2455" s="38">
        <f t="shared" si="309"/>
        <v>0.82170074427583062</v>
      </c>
      <c r="G2455" s="14">
        <f t="shared" si="310"/>
        <v>0</v>
      </c>
      <c r="H2455" s="24">
        <f t="shared" si="308"/>
        <v>734.80917044008083</v>
      </c>
      <c r="I2455" s="12">
        <f t="shared" si="315"/>
        <v>0.22451343419150224</v>
      </c>
      <c r="J2455" s="3"/>
    </row>
    <row r="2456" spans="2:10" x14ac:dyDescent="0.25">
      <c r="B2456" s="3">
        <f t="shared" si="311"/>
        <v>12180</v>
      </c>
      <c r="C2456" s="14">
        <f t="shared" si="312"/>
        <v>203</v>
      </c>
      <c r="D2456" s="11">
        <f t="shared" si="313"/>
        <v>1127.744411033638</v>
      </c>
      <c r="E2456" s="24">
        <f t="shared" si="314"/>
        <v>825.10828079213081</v>
      </c>
      <c r="F2456" s="38">
        <f t="shared" si="309"/>
        <v>0.82220742981968253</v>
      </c>
      <c r="G2456" s="14">
        <f t="shared" si="310"/>
        <v>0</v>
      </c>
      <c r="H2456" s="24">
        <f t="shared" si="308"/>
        <v>734.35634409644945</v>
      </c>
      <c r="I2456" s="12">
        <f t="shared" si="315"/>
        <v>0.22449964683839796</v>
      </c>
      <c r="J2456" s="3"/>
    </row>
    <row r="2457" spans="2:10" x14ac:dyDescent="0.25">
      <c r="B2457" s="3">
        <f t="shared" si="311"/>
        <v>12185</v>
      </c>
      <c r="C2457" s="14">
        <f t="shared" si="312"/>
        <v>203.08333333333334</v>
      </c>
      <c r="D2457" s="11">
        <f t="shared" si="313"/>
        <v>1127.8058678008067</v>
      </c>
      <c r="E2457" s="24">
        <f t="shared" si="314"/>
        <v>825.33278043896917</v>
      </c>
      <c r="F2457" s="38">
        <f t="shared" si="309"/>
        <v>0.82271229337644369</v>
      </c>
      <c r="G2457" s="14">
        <f t="shared" si="310"/>
        <v>0</v>
      </c>
      <c r="H2457" s="24">
        <f t="shared" si="308"/>
        <v>733.90570082930049</v>
      </c>
      <c r="I2457" s="12">
        <f t="shared" si="315"/>
        <v>0.22448531527423329</v>
      </c>
      <c r="J2457" s="3"/>
    </row>
    <row r="2458" spans="2:10" x14ac:dyDescent="0.25">
      <c r="B2458" s="3">
        <f t="shared" si="311"/>
        <v>12190</v>
      </c>
      <c r="C2458" s="14">
        <f t="shared" si="312"/>
        <v>203.16666666666666</v>
      </c>
      <c r="D2458" s="11">
        <f t="shared" si="313"/>
        <v>1127.8672993704481</v>
      </c>
      <c r="E2458" s="24">
        <f t="shared" si="314"/>
        <v>825.55726575424342</v>
      </c>
      <c r="F2458" s="38">
        <f t="shared" si="309"/>
        <v>0.82321534353576864</v>
      </c>
      <c r="G2458" s="14">
        <f t="shared" si="310"/>
        <v>0</v>
      </c>
      <c r="H2458" s="24">
        <f t="shared" si="308"/>
        <v>733.4572259768446</v>
      </c>
      <c r="I2458" s="12">
        <f t="shared" si="315"/>
        <v>0.22447044274661573</v>
      </c>
      <c r="J2458" s="3"/>
    </row>
    <row r="2459" spans="2:10" x14ac:dyDescent="0.25">
      <c r="B2459" s="3">
        <f t="shared" si="311"/>
        <v>12195</v>
      </c>
      <c r="C2459" s="14">
        <f t="shared" si="312"/>
        <v>203.25</v>
      </c>
      <c r="D2459" s="11">
        <f t="shared" si="313"/>
        <v>1127.9287057632162</v>
      </c>
      <c r="E2459" s="24">
        <f t="shared" si="314"/>
        <v>825.78173619698998</v>
      </c>
      <c r="F2459" s="38">
        <f t="shared" si="309"/>
        <v>0.82371658884142696</v>
      </c>
      <c r="G2459" s="14">
        <f t="shared" si="310"/>
        <v>0</v>
      </c>
      <c r="H2459" s="24">
        <f t="shared" si="308"/>
        <v>733.01090500139958</v>
      </c>
      <c r="I2459" s="12">
        <f t="shared" si="315"/>
        <v>0.22445503248373949</v>
      </c>
      <c r="J2459" s="3"/>
    </row>
    <row r="2460" spans="2:10" x14ac:dyDescent="0.25">
      <c r="B2460" s="3">
        <f t="shared" si="311"/>
        <v>12200</v>
      </c>
      <c r="C2460" s="14">
        <f t="shared" si="312"/>
        <v>203.33333333333334</v>
      </c>
      <c r="D2460" s="11">
        <f t="shared" si="313"/>
        <v>1127.9900869997391</v>
      </c>
      <c r="E2460" s="24">
        <f t="shared" si="314"/>
        <v>826.00619122947376</v>
      </c>
      <c r="F2460" s="38">
        <f t="shared" si="309"/>
        <v>0.82421603779153363</v>
      </c>
      <c r="G2460" s="14">
        <f t="shared" si="310"/>
        <v>0</v>
      </c>
      <c r="H2460" s="24">
        <f t="shared" si="308"/>
        <v>732.56672348813936</v>
      </c>
      <c r="I2460" s="12">
        <f t="shared" si="315"/>
        <v>0.22443908769464041</v>
      </c>
      <c r="J2460" s="3"/>
    </row>
    <row r="2461" spans="2:10" x14ac:dyDescent="0.25">
      <c r="B2461" s="3">
        <f t="shared" si="311"/>
        <v>12205</v>
      </c>
      <c r="C2461" s="14">
        <f t="shared" si="312"/>
        <v>203.41666666666666</v>
      </c>
      <c r="D2461" s="11">
        <f t="shared" si="313"/>
        <v>1128.0514431006195</v>
      </c>
      <c r="E2461" s="24">
        <f t="shared" si="314"/>
        <v>826.23063031716845</v>
      </c>
      <c r="F2461" s="38">
        <f t="shared" si="309"/>
        <v>0.82471369883877699</v>
      </c>
      <c r="G2461" s="14">
        <f t="shared" si="310"/>
        <v>0</v>
      </c>
      <c r="H2461" s="24">
        <f t="shared" si="308"/>
        <v>732.12466714385869</v>
      </c>
      <c r="I2461" s="12">
        <f t="shared" si="315"/>
        <v>0.2244226115692565</v>
      </c>
      <c r="J2461" s="3"/>
    </row>
    <row r="2462" spans="2:10" x14ac:dyDescent="0.25">
      <c r="B2462" s="3">
        <f t="shared" si="311"/>
        <v>12210</v>
      </c>
      <c r="C2462" s="14">
        <f t="shared" si="312"/>
        <v>203.5</v>
      </c>
      <c r="D2462" s="11">
        <f t="shared" si="313"/>
        <v>1128.1127740864358</v>
      </c>
      <c r="E2462" s="24">
        <f t="shared" si="314"/>
        <v>826.4550529287377</v>
      </c>
      <c r="F2462" s="38">
        <f t="shared" si="309"/>
        <v>0.82520958039064962</v>
      </c>
      <c r="G2462" s="14">
        <f t="shared" si="310"/>
        <v>0</v>
      </c>
      <c r="H2462" s="24">
        <f t="shared" si="308"/>
        <v>731.68472179575008</v>
      </c>
      <c r="I2462" s="12">
        <f t="shared" si="315"/>
        <v>0.22440560727841108</v>
      </c>
      <c r="J2462" s="3"/>
    </row>
    <row r="2463" spans="2:10" x14ac:dyDescent="0.25">
      <c r="B2463" s="3">
        <f t="shared" si="311"/>
        <v>12215</v>
      </c>
      <c r="C2463" s="14">
        <f t="shared" si="312"/>
        <v>203.58333333333334</v>
      </c>
      <c r="D2463" s="11">
        <f t="shared" si="313"/>
        <v>1128.1740799777397</v>
      </c>
      <c r="E2463" s="24">
        <f t="shared" si="314"/>
        <v>826.67945853601611</v>
      </c>
      <c r="F2463" s="38">
        <f t="shared" si="309"/>
        <v>0.82570369080967398</v>
      </c>
      <c r="G2463" s="14">
        <f t="shared" si="310"/>
        <v>0</v>
      </c>
      <c r="H2463" s="24">
        <f t="shared" si="308"/>
        <v>731.24687339019704</v>
      </c>
      <c r="I2463" s="12">
        <f t="shared" si="315"/>
        <v>0.22438807797429908</v>
      </c>
      <c r="J2463" s="3"/>
    </row>
    <row r="2464" spans="2:10" x14ac:dyDescent="0.25">
      <c r="B2464" s="3">
        <f t="shared" si="311"/>
        <v>12220</v>
      </c>
      <c r="C2464" s="14">
        <f t="shared" si="312"/>
        <v>203.66666666666666</v>
      </c>
      <c r="D2464" s="11">
        <f t="shared" si="313"/>
        <v>1128.2353607950588</v>
      </c>
      <c r="E2464" s="24">
        <f t="shared" si="314"/>
        <v>826.90384661399037</v>
      </c>
      <c r="F2464" s="38">
        <f t="shared" si="309"/>
        <v>0.82619603841363276</v>
      </c>
      <c r="G2464" s="14">
        <f t="shared" si="310"/>
        <v>0</v>
      </c>
      <c r="H2464" s="24">
        <f t="shared" si="308"/>
        <v>730.81110799157909</v>
      </c>
      <c r="I2464" s="12">
        <f t="shared" si="315"/>
        <v>0.22437002679011794</v>
      </c>
      <c r="J2464" s="3"/>
    </row>
    <row r="2465" spans="2:10" x14ac:dyDescent="0.25">
      <c r="B2465" s="3">
        <f t="shared" si="311"/>
        <v>12225</v>
      </c>
      <c r="C2465" s="14">
        <f t="shared" si="312"/>
        <v>203.75</v>
      </c>
      <c r="D2465" s="11">
        <f t="shared" si="313"/>
        <v>1128.296616558895</v>
      </c>
      <c r="E2465" s="24">
        <f t="shared" si="314"/>
        <v>827.12821664078047</v>
      </c>
      <c r="F2465" s="38">
        <f t="shared" si="309"/>
        <v>0.82668663147579424</v>
      </c>
      <c r="G2465" s="14">
        <f t="shared" si="310"/>
        <v>0</v>
      </c>
      <c r="H2465" s="24">
        <f t="shared" si="308"/>
        <v>730.37741178109218</v>
      </c>
      <c r="I2465" s="12">
        <f t="shared" si="315"/>
        <v>0.22435145684061256</v>
      </c>
      <c r="J2465" s="3"/>
    </row>
    <row r="2466" spans="2:10" x14ac:dyDescent="0.25">
      <c r="B2466" s="3">
        <f t="shared" si="311"/>
        <v>12230</v>
      </c>
      <c r="C2466" s="14">
        <f t="shared" si="312"/>
        <v>203.83333333333334</v>
      </c>
      <c r="D2466" s="11">
        <f t="shared" si="313"/>
        <v>1128.3578472897254</v>
      </c>
      <c r="E2466" s="24">
        <f t="shared" si="314"/>
        <v>827.35256809762109</v>
      </c>
      <c r="F2466" s="38">
        <f t="shared" si="309"/>
        <v>0.82717547822514081</v>
      </c>
      <c r="G2466" s="14">
        <f t="shared" si="310"/>
        <v>0</v>
      </c>
      <c r="H2466" s="24">
        <f t="shared" si="308"/>
        <v>729.94577105558199</v>
      </c>
      <c r="I2466" s="12">
        <f t="shared" si="315"/>
        <v>0.22433237122191821</v>
      </c>
      <c r="J2466" s="3"/>
    </row>
    <row r="2467" spans="2:10" x14ac:dyDescent="0.25">
      <c r="B2467" s="3">
        <f t="shared" si="311"/>
        <v>12235</v>
      </c>
      <c r="C2467" s="14">
        <f t="shared" si="312"/>
        <v>203.91666666666666</v>
      </c>
      <c r="D2467" s="11">
        <f t="shared" si="313"/>
        <v>1128.4190530080016</v>
      </c>
      <c r="E2467" s="24">
        <f t="shared" si="314"/>
        <v>827.57690046884295</v>
      </c>
      <c r="F2467" s="38">
        <f t="shared" si="309"/>
        <v>0.82766258684659455</v>
      </c>
      <c r="G2467" s="14">
        <f t="shared" si="310"/>
        <v>0</v>
      </c>
      <c r="H2467" s="24">
        <f t="shared" si="308"/>
        <v>729.51617222639049</v>
      </c>
      <c r="I2467" s="12">
        <f t="shared" si="315"/>
        <v>0.22431277301183183</v>
      </c>
      <c r="J2467" s="3"/>
    </row>
    <row r="2468" spans="2:10" x14ac:dyDescent="0.25">
      <c r="B2468" s="3">
        <f t="shared" si="311"/>
        <v>12240</v>
      </c>
      <c r="C2468" s="14">
        <f t="shared" si="312"/>
        <v>204</v>
      </c>
      <c r="D2468" s="11">
        <f t="shared" si="313"/>
        <v>1128.4802337341505</v>
      </c>
      <c r="E2468" s="24">
        <f t="shared" si="314"/>
        <v>827.80121324185484</v>
      </c>
      <c r="F2468" s="38">
        <f t="shared" si="309"/>
        <v>0.82814796548124392</v>
      </c>
      <c r="G2468" s="14">
        <f t="shared" si="310"/>
        <v>0</v>
      </c>
      <c r="H2468" s="24">
        <f t="shared" si="308"/>
        <v>729.08860181821569</v>
      </c>
      <c r="I2468" s="12">
        <f t="shared" si="315"/>
        <v>0.22429266526978983</v>
      </c>
      <c r="J2468" s="3"/>
    </row>
    <row r="2469" spans="2:10" x14ac:dyDescent="0.25">
      <c r="B2469" s="3">
        <f t="shared" si="311"/>
        <v>12245</v>
      </c>
      <c r="C2469" s="14">
        <f t="shared" si="312"/>
        <v>204.08333333333334</v>
      </c>
      <c r="D2469" s="11">
        <f t="shared" si="313"/>
        <v>1128.5413894885735</v>
      </c>
      <c r="E2469" s="24">
        <f t="shared" si="314"/>
        <v>828.02550590712463</v>
      </c>
      <c r="F2469" s="38">
        <f t="shared" si="309"/>
        <v>0.8286316222265685</v>
      </c>
      <c r="G2469" s="14">
        <f t="shared" si="310"/>
        <v>0</v>
      </c>
      <c r="H2469" s="24">
        <f t="shared" si="308"/>
        <v>728.66304646798517</v>
      </c>
      <c r="I2469" s="12">
        <f t="shared" si="315"/>
        <v>0.22427205103715805</v>
      </c>
      <c r="J2469" s="3"/>
    </row>
    <row r="2470" spans="2:10" x14ac:dyDescent="0.25">
      <c r="B2470" s="3">
        <f t="shared" si="311"/>
        <v>12250</v>
      </c>
      <c r="C2470" s="14">
        <f t="shared" si="312"/>
        <v>204.16666666666666</v>
      </c>
      <c r="D2470" s="11">
        <f t="shared" si="313"/>
        <v>1128.602520291648</v>
      </c>
      <c r="E2470" s="24">
        <f t="shared" si="314"/>
        <v>828.24977795816176</v>
      </c>
      <c r="F2470" s="38">
        <f t="shared" si="309"/>
        <v>0.82911356513666468</v>
      </c>
      <c r="G2470" s="14">
        <f t="shared" si="310"/>
        <v>0</v>
      </c>
      <c r="H2470" s="24">
        <f t="shared" si="308"/>
        <v>728.23949292374141</v>
      </c>
      <c r="I2470" s="12">
        <f t="shared" si="315"/>
        <v>0.22425093333709112</v>
      </c>
      <c r="J2470" s="3"/>
    </row>
    <row r="2471" spans="2:10" x14ac:dyDescent="0.25">
      <c r="B2471" s="3">
        <f t="shared" si="311"/>
        <v>12255</v>
      </c>
      <c r="C2471" s="14">
        <f t="shared" si="312"/>
        <v>204.25</v>
      </c>
      <c r="D2471" s="11">
        <f t="shared" si="313"/>
        <v>1128.6636261637252</v>
      </c>
      <c r="E2471" s="24">
        <f t="shared" si="314"/>
        <v>828.47402889149885</v>
      </c>
      <c r="F2471" s="38">
        <f t="shared" si="309"/>
        <v>0.82959380222246926</v>
      </c>
      <c r="G2471" s="14">
        <f t="shared" si="310"/>
        <v>0</v>
      </c>
      <c r="H2471" s="24">
        <f t="shared" si="308"/>
        <v>727.81792804354029</v>
      </c>
      <c r="I2471" s="12">
        <f t="shared" si="315"/>
        <v>0.22422931517501629</v>
      </c>
      <c r="J2471" s="3"/>
    </row>
    <row r="2472" spans="2:10" x14ac:dyDescent="0.25">
      <c r="B2472" s="3">
        <f t="shared" si="311"/>
        <v>12260</v>
      </c>
      <c r="C2472" s="14">
        <f t="shared" si="312"/>
        <v>204.33333333333334</v>
      </c>
      <c r="D2472" s="11">
        <f t="shared" si="313"/>
        <v>1128.724707125132</v>
      </c>
      <c r="E2472" s="24">
        <f t="shared" si="314"/>
        <v>828.69825820667381</v>
      </c>
      <c r="F2472" s="38">
        <f t="shared" si="309"/>
        <v>0.83007234145198427</v>
      </c>
      <c r="G2472" s="14">
        <f t="shared" si="310"/>
        <v>0</v>
      </c>
      <c r="H2472" s="24">
        <f t="shared" si="308"/>
        <v>727.39833879436253</v>
      </c>
      <c r="I2472" s="12">
        <f t="shared" si="315"/>
        <v>0.22420719953833484</v>
      </c>
      <c r="J2472" s="3"/>
    </row>
    <row r="2473" spans="2:10" x14ac:dyDescent="0.25">
      <c r="B2473" s="3">
        <f t="shared" si="311"/>
        <v>12265</v>
      </c>
      <c r="C2473" s="14">
        <f t="shared" si="312"/>
        <v>204.41666666666666</v>
      </c>
      <c r="D2473" s="11">
        <f t="shared" si="313"/>
        <v>1128.7857631961713</v>
      </c>
      <c r="E2473" s="24">
        <f t="shared" si="314"/>
        <v>828.92246540621215</v>
      </c>
      <c r="F2473" s="38">
        <f t="shared" si="309"/>
        <v>0.83054919075049916</v>
      </c>
      <c r="G2473" s="14">
        <f t="shared" si="310"/>
        <v>0</v>
      </c>
      <c r="H2473" s="24">
        <f t="shared" si="308"/>
        <v>726.98071225103683</v>
      </c>
      <c r="I2473" s="12">
        <f t="shared" si="315"/>
        <v>0.22418458939672994</v>
      </c>
      <c r="J2473" s="3"/>
    </row>
    <row r="2474" spans="2:10" x14ac:dyDescent="0.25">
      <c r="B2474" s="3">
        <f t="shared" si="311"/>
        <v>12270</v>
      </c>
      <c r="C2474" s="14">
        <f t="shared" si="312"/>
        <v>204.5</v>
      </c>
      <c r="D2474" s="11">
        <f t="shared" si="313"/>
        <v>1128.8467943971195</v>
      </c>
      <c r="E2474" s="24">
        <f t="shared" si="314"/>
        <v>829.14664999560887</v>
      </c>
      <c r="F2474" s="38">
        <f t="shared" si="309"/>
        <v>0.83102435800081464</v>
      </c>
      <c r="G2474" s="14">
        <f t="shared" si="310"/>
        <v>0</v>
      </c>
      <c r="H2474" s="24">
        <f t="shared" si="308"/>
        <v>726.56503559517591</v>
      </c>
      <c r="I2474" s="12">
        <f t="shared" si="315"/>
        <v>0.22416148770247241</v>
      </c>
      <c r="J2474" s="3"/>
    </row>
    <row r="2475" spans="2:10" x14ac:dyDescent="0.25">
      <c r="B2475" s="3">
        <f t="shared" si="311"/>
        <v>12275</v>
      </c>
      <c r="C2475" s="14">
        <f t="shared" si="312"/>
        <v>204.58333333333334</v>
      </c>
      <c r="D2475" s="11">
        <f t="shared" si="313"/>
        <v>1128.9078007482299</v>
      </c>
      <c r="E2475" s="24">
        <f t="shared" si="314"/>
        <v>829.37081148331129</v>
      </c>
      <c r="F2475" s="38">
        <f t="shared" si="309"/>
        <v>0.83149785104346363</v>
      </c>
      <c r="G2475" s="14">
        <f t="shared" si="310"/>
        <v>0</v>
      </c>
      <c r="H2475" s="24">
        <f t="shared" si="308"/>
        <v>726.15129611412408</v>
      </c>
      <c r="I2475" s="12">
        <f t="shared" si="315"/>
        <v>0.22413789739008097</v>
      </c>
      <c r="J2475" s="3"/>
    </row>
    <row r="2476" spans="2:10" x14ac:dyDescent="0.25">
      <c r="B2476" s="3">
        <f t="shared" si="311"/>
        <v>12280</v>
      </c>
      <c r="C2476" s="14">
        <f t="shared" si="312"/>
        <v>204.66666666666666</v>
      </c>
      <c r="D2476" s="11">
        <f t="shared" si="313"/>
        <v>1128.9687822697297</v>
      </c>
      <c r="E2476" s="24">
        <f t="shared" si="314"/>
        <v>829.59494938070134</v>
      </c>
      <c r="F2476" s="38">
        <f t="shared" si="309"/>
        <v>0.83196967767693442</v>
      </c>
      <c r="G2476" s="14">
        <f t="shared" si="310"/>
        <v>0</v>
      </c>
      <c r="H2476" s="24">
        <f t="shared" si="308"/>
        <v>725.73948119991655</v>
      </c>
      <c r="I2476" s="12">
        <f t="shared" si="315"/>
        <v>0.22411382137688229</v>
      </c>
      <c r="J2476" s="3"/>
    </row>
    <row r="2477" spans="2:10" x14ac:dyDescent="0.25">
      <c r="B2477" s="3">
        <f t="shared" si="311"/>
        <v>12285</v>
      </c>
      <c r="C2477" s="14">
        <f t="shared" si="312"/>
        <v>204.75</v>
      </c>
      <c r="D2477" s="11">
        <f t="shared" si="313"/>
        <v>1129.0297389818222</v>
      </c>
      <c r="E2477" s="24">
        <f t="shared" si="314"/>
        <v>829.81906320207827</v>
      </c>
      <c r="F2477" s="38">
        <f t="shared" si="309"/>
        <v>0.83243984565788876</v>
      </c>
      <c r="G2477" s="14">
        <f t="shared" si="310"/>
        <v>0</v>
      </c>
      <c r="H2477" s="24">
        <f t="shared" si="308"/>
        <v>725.32957834825163</v>
      </c>
      <c r="I2477" s="12">
        <f t="shared" si="315"/>
        <v>0.22408926256278686</v>
      </c>
      <c r="J2477" s="3"/>
    </row>
    <row r="2478" spans="2:10" x14ac:dyDescent="0.25">
      <c r="B2478" s="3">
        <f t="shared" si="311"/>
        <v>12290</v>
      </c>
      <c r="C2478" s="14">
        <f t="shared" si="312"/>
        <v>204.83333333333334</v>
      </c>
      <c r="D2478" s="11">
        <f t="shared" si="313"/>
        <v>1129.0906709046856</v>
      </c>
      <c r="E2478" s="24">
        <f t="shared" si="314"/>
        <v>830.04315246464103</v>
      </c>
      <c r="F2478" s="38">
        <f t="shared" si="309"/>
        <v>0.83290836270138491</v>
      </c>
      <c r="G2478" s="14">
        <f t="shared" si="310"/>
        <v>0</v>
      </c>
      <c r="H2478" s="24">
        <f t="shared" si="308"/>
        <v>724.9215751574734</v>
      </c>
      <c r="I2478" s="12">
        <f t="shared" si="315"/>
        <v>0.22406422383063293</v>
      </c>
      <c r="J2478" s="3"/>
    </row>
    <row r="2479" spans="2:10" x14ac:dyDescent="0.25">
      <c r="B2479" s="3">
        <f t="shared" si="311"/>
        <v>12295</v>
      </c>
      <c r="C2479" s="14">
        <f t="shared" si="312"/>
        <v>204.91666666666666</v>
      </c>
      <c r="D2479" s="11">
        <f t="shared" si="313"/>
        <v>1129.1515780584743</v>
      </c>
      <c r="E2479" s="24">
        <f t="shared" si="314"/>
        <v>830.26721668847165</v>
      </c>
      <c r="F2479" s="38">
        <f t="shared" si="309"/>
        <v>0.83337523648109613</v>
      </c>
      <c r="G2479" s="14">
        <f t="shared" si="310"/>
        <v>0</v>
      </c>
      <c r="H2479" s="24">
        <f t="shared" si="308"/>
        <v>724.51545932756585</v>
      </c>
      <c r="I2479" s="12">
        <f t="shared" si="315"/>
        <v>0.22403870804603893</v>
      </c>
      <c r="J2479" s="3"/>
    </row>
    <row r="2480" spans="2:10" x14ac:dyDescent="0.25">
      <c r="B2480" s="3">
        <f t="shared" si="311"/>
        <v>12300</v>
      </c>
      <c r="C2480" s="14">
        <f t="shared" si="312"/>
        <v>205</v>
      </c>
      <c r="D2480" s="11">
        <f t="shared" si="313"/>
        <v>1129.212460463317</v>
      </c>
      <c r="E2480" s="24">
        <f t="shared" si="314"/>
        <v>830.49125539651766</v>
      </c>
      <c r="F2480" s="38">
        <f t="shared" si="309"/>
        <v>0.83384047462952837</v>
      </c>
      <c r="G2480" s="14">
        <f t="shared" si="310"/>
        <v>0</v>
      </c>
      <c r="H2480" s="24">
        <f t="shared" si="308"/>
        <v>724.11121865915993</v>
      </c>
      <c r="I2480" s="12">
        <f t="shared" si="315"/>
        <v>0.22401271805790351</v>
      </c>
      <c r="J2480" s="3"/>
    </row>
    <row r="2481" spans="2:10" x14ac:dyDescent="0.25">
      <c r="B2481" s="3">
        <f t="shared" si="311"/>
        <v>12305</v>
      </c>
      <c r="C2481" s="14">
        <f t="shared" si="312"/>
        <v>205.08333333333334</v>
      </c>
      <c r="D2481" s="11">
        <f t="shared" si="313"/>
        <v>1129.2733181393189</v>
      </c>
      <c r="E2481" s="24">
        <f t="shared" si="314"/>
        <v>830.71526811457557</v>
      </c>
      <c r="F2481" s="38">
        <f t="shared" si="309"/>
        <v>0.83430408473824091</v>
      </c>
      <c r="G2481" s="14">
        <f t="shared" si="310"/>
        <v>0</v>
      </c>
      <c r="H2481" s="24">
        <f t="shared" si="308"/>
        <v>723.70884105254913</v>
      </c>
      <c r="I2481" s="12">
        <f t="shared" si="315"/>
        <v>0.22398625669802036</v>
      </c>
      <c r="J2481" s="3"/>
    </row>
    <row r="2482" spans="2:10" x14ac:dyDescent="0.25">
      <c r="B2482" s="3">
        <f t="shared" si="311"/>
        <v>12310</v>
      </c>
      <c r="C2482" s="14">
        <f t="shared" si="312"/>
        <v>205.16666666666666</v>
      </c>
      <c r="D2482" s="11">
        <f t="shared" si="313"/>
        <v>1129.3341511065601</v>
      </c>
      <c r="E2482" s="24">
        <f t="shared" si="314"/>
        <v>830.93925437127359</v>
      </c>
      <c r="F2482" s="38">
        <f t="shared" si="309"/>
        <v>0.83476607435806227</v>
      </c>
      <c r="G2482" s="14">
        <f t="shared" si="310"/>
        <v>0</v>
      </c>
      <c r="H2482" s="24">
        <f t="shared" si="308"/>
        <v>723.3083145067186</v>
      </c>
      <c r="I2482" s="12">
        <f t="shared" si="315"/>
        <v>0.2239593267816177</v>
      </c>
      <c r="J2482" s="3"/>
    </row>
    <row r="2483" spans="2:10" x14ac:dyDescent="0.25">
      <c r="B2483" s="3">
        <f t="shared" si="311"/>
        <v>12315</v>
      </c>
      <c r="C2483" s="14">
        <f t="shared" si="312"/>
        <v>205.25</v>
      </c>
      <c r="D2483" s="11">
        <f t="shared" si="313"/>
        <v>1129.3949593850962</v>
      </c>
      <c r="E2483" s="24">
        <f t="shared" si="314"/>
        <v>831.16321369805519</v>
      </c>
      <c r="F2483" s="38">
        <f t="shared" si="309"/>
        <v>0.83522645099930692</v>
      </c>
      <c r="G2483" s="14">
        <f t="shared" si="310"/>
        <v>0</v>
      </c>
      <c r="H2483" s="24">
        <f t="shared" si="308"/>
        <v>722.90962711838392</v>
      </c>
      <c r="I2483" s="12">
        <f t="shared" si="315"/>
        <v>0.22393193110720697</v>
      </c>
      <c r="J2483" s="3"/>
    </row>
    <row r="2484" spans="2:10" x14ac:dyDescent="0.25">
      <c r="B2484" s="3">
        <f t="shared" si="311"/>
        <v>12320</v>
      </c>
      <c r="C2484" s="14">
        <f t="shared" si="312"/>
        <v>205.33333333333334</v>
      </c>
      <c r="D2484" s="11">
        <f t="shared" si="313"/>
        <v>1129.4557429949589</v>
      </c>
      <c r="E2484" s="24">
        <f t="shared" si="314"/>
        <v>831.38714562916243</v>
      </c>
      <c r="F2484" s="38">
        <f t="shared" si="309"/>
        <v>0.83568522213199292</v>
      </c>
      <c r="G2484" s="14">
        <f t="shared" si="310"/>
        <v>0</v>
      </c>
      <c r="H2484" s="24">
        <f t="shared" si="308"/>
        <v>722.51276708104047</v>
      </c>
      <c r="I2484" s="12">
        <f t="shared" si="315"/>
        <v>0.22390407245674684</v>
      </c>
      <c r="J2484" s="3"/>
    </row>
    <row r="2485" spans="2:10" x14ac:dyDescent="0.25">
      <c r="B2485" s="3">
        <f t="shared" si="311"/>
        <v>12325</v>
      </c>
      <c r="C2485" s="14">
        <f t="shared" si="312"/>
        <v>205.41666666666666</v>
      </c>
      <c r="D2485" s="11">
        <f t="shared" si="313"/>
        <v>1129.516501956155</v>
      </c>
      <c r="E2485" s="24">
        <f t="shared" si="314"/>
        <v>831.61104970161921</v>
      </c>
      <c r="F2485" s="38">
        <f t="shared" si="309"/>
        <v>0.83614239518605549</v>
      </c>
      <c r="G2485" s="14">
        <f t="shared" si="310"/>
        <v>0</v>
      </c>
      <c r="H2485" s="24">
        <f t="shared" si="308"/>
        <v>722.11772268402456</v>
      </c>
      <c r="I2485" s="12">
        <f t="shared" si="315"/>
        <v>0.2238757535958264</v>
      </c>
      <c r="J2485" s="3"/>
    </row>
    <row r="2486" spans="2:10" x14ac:dyDescent="0.25">
      <c r="B2486" s="3">
        <f t="shared" si="311"/>
        <v>12330</v>
      </c>
      <c r="C2486" s="14">
        <f t="shared" si="312"/>
        <v>205.5</v>
      </c>
      <c r="D2486" s="11">
        <f t="shared" si="313"/>
        <v>1129.5772362886676</v>
      </c>
      <c r="E2486" s="24">
        <f t="shared" si="314"/>
        <v>831.83492545521506</v>
      </c>
      <c r="F2486" s="38">
        <f t="shared" si="309"/>
        <v>0.83659797755156384</v>
      </c>
      <c r="G2486" s="14">
        <f t="shared" si="310"/>
        <v>0</v>
      </c>
      <c r="H2486" s="24">
        <f t="shared" si="308"/>
        <v>721.72448231158353</v>
      </c>
      <c r="I2486" s="12">
        <f t="shared" si="315"/>
        <v>0.2238469772736302</v>
      </c>
      <c r="J2486" s="3"/>
    </row>
    <row r="2487" spans="2:10" x14ac:dyDescent="0.25">
      <c r="B2487" s="3">
        <f t="shared" si="311"/>
        <v>12335</v>
      </c>
      <c r="C2487" s="14">
        <f t="shared" si="312"/>
        <v>205.58333333333334</v>
      </c>
      <c r="D2487" s="11">
        <f t="shared" si="313"/>
        <v>1129.6379460124544</v>
      </c>
      <c r="E2487" s="24">
        <f t="shared" si="314"/>
        <v>832.05877243248869</v>
      </c>
      <c r="F2487" s="38">
        <f t="shared" si="309"/>
        <v>0.83705197657893282</v>
      </c>
      <c r="G2487" s="14">
        <f t="shared" si="310"/>
        <v>0</v>
      </c>
      <c r="H2487" s="24">
        <f t="shared" ref="H2487:H2550" si="316">IF(E2487&lt;600,425+0.773*E2487-1.69/1000*E2487^2+2.22/1000^2*E2487^3,IF(E2487&lt;735,666+13002/(738-E2487),IF(E2487&lt;900,545+17820/(E2487-731),650)))</f>
        <v>721.33303444195781</v>
      </c>
      <c r="I2487" s="12">
        <f t="shared" si="315"/>
        <v>0.22381774622321904</v>
      </c>
      <c r="J2487" s="3"/>
    </row>
    <row r="2488" spans="2:10" x14ac:dyDescent="0.25">
      <c r="B2488" s="3">
        <f t="shared" si="311"/>
        <v>12340</v>
      </c>
      <c r="C2488" s="14">
        <f t="shared" si="312"/>
        <v>205.66666666666666</v>
      </c>
      <c r="D2488" s="11">
        <f t="shared" si="313"/>
        <v>1129.6986311474504</v>
      </c>
      <c r="E2488" s="24">
        <f t="shared" si="314"/>
        <v>832.28259017871187</v>
      </c>
      <c r="F2488" s="38">
        <f t="shared" si="309"/>
        <v>0.83750439957913847</v>
      </c>
      <c r="G2488" s="14">
        <f t="shared" si="310"/>
        <v>0</v>
      </c>
      <c r="H2488" s="24">
        <f t="shared" si="316"/>
        <v>720.94336764647142</v>
      </c>
      <c r="I2488" s="12">
        <f t="shared" si="315"/>
        <v>0.22378806316137542</v>
      </c>
      <c r="J2488" s="3"/>
    </row>
    <row r="2489" spans="2:10" x14ac:dyDescent="0.25">
      <c r="B2489" s="3">
        <f t="shared" si="311"/>
        <v>12345</v>
      </c>
      <c r="C2489" s="14">
        <f t="shared" si="312"/>
        <v>205.75</v>
      </c>
      <c r="D2489" s="11">
        <f t="shared" si="313"/>
        <v>1129.7592917135651</v>
      </c>
      <c r="E2489" s="24">
        <f t="shared" si="314"/>
        <v>832.50637824187322</v>
      </c>
      <c r="F2489" s="38">
        <f t="shared" si="309"/>
        <v>0.8379552538239291</v>
      </c>
      <c r="G2489" s="14">
        <f t="shared" si="310"/>
        <v>0</v>
      </c>
      <c r="H2489" s="24">
        <f t="shared" si="316"/>
        <v>720.55547058863465</v>
      </c>
      <c r="I2489" s="12">
        <f t="shared" si="315"/>
        <v>0.22375793078904135</v>
      </c>
      <c r="J2489" s="3"/>
    </row>
    <row r="2490" spans="2:10" x14ac:dyDescent="0.25">
      <c r="B2490" s="3">
        <f t="shared" si="311"/>
        <v>12350</v>
      </c>
      <c r="C2490" s="14">
        <f t="shared" si="312"/>
        <v>205.83333333333334</v>
      </c>
      <c r="D2490" s="11">
        <f t="shared" si="313"/>
        <v>1129.8199277306842</v>
      </c>
      <c r="E2490" s="24">
        <f t="shared" si="314"/>
        <v>832.73013617266224</v>
      </c>
      <c r="F2490" s="38">
        <f t="shared" si="309"/>
        <v>0.83840454654603813</v>
      </c>
      <c r="G2490" s="14">
        <f t="shared" si="310"/>
        <v>0</v>
      </c>
      <c r="H2490" s="24">
        <f t="shared" si="316"/>
        <v>720.16933202325481</v>
      </c>
      <c r="I2490" s="12">
        <f t="shared" si="315"/>
        <v>0.22372735179110279</v>
      </c>
      <c r="J2490" s="3"/>
    </row>
    <row r="2491" spans="2:10" x14ac:dyDescent="0.25">
      <c r="B2491" s="3">
        <f t="shared" si="311"/>
        <v>12355</v>
      </c>
      <c r="C2491" s="14">
        <f t="shared" si="312"/>
        <v>205.91666666666666</v>
      </c>
      <c r="D2491" s="11">
        <f t="shared" si="313"/>
        <v>1129.8805392186698</v>
      </c>
      <c r="E2491" s="24">
        <f t="shared" si="314"/>
        <v>832.95386352445337</v>
      </c>
      <c r="F2491" s="38">
        <f t="shared" si="309"/>
        <v>0.83885228493939357</v>
      </c>
      <c r="G2491" s="14">
        <f t="shared" si="310"/>
        <v>0</v>
      </c>
      <c r="H2491" s="24">
        <f t="shared" si="316"/>
        <v>719.78494079555821</v>
      </c>
      <c r="I2491" s="12">
        <f t="shared" si="315"/>
        <v>0.22369632883664831</v>
      </c>
      <c r="J2491" s="3"/>
    </row>
    <row r="2492" spans="2:10" x14ac:dyDescent="0.25">
      <c r="B2492" s="3">
        <f t="shared" si="311"/>
        <v>12360</v>
      </c>
      <c r="C2492" s="14">
        <f t="shared" si="312"/>
        <v>206</v>
      </c>
      <c r="D2492" s="11">
        <f t="shared" si="313"/>
        <v>1129.9411261973589</v>
      </c>
      <c r="E2492" s="24">
        <f t="shared" si="314"/>
        <v>833.17755985329006</v>
      </c>
      <c r="F2492" s="38">
        <f t="shared" si="309"/>
        <v>0.83929847615933006</v>
      </c>
      <c r="G2492" s="14">
        <f t="shared" si="310"/>
        <v>0</v>
      </c>
      <c r="H2492" s="24">
        <f t="shared" si="316"/>
        <v>719.40228584032093</v>
      </c>
      <c r="I2492" s="12">
        <f t="shared" si="315"/>
        <v>0.22366486457914875</v>
      </c>
      <c r="J2492" s="3"/>
    </row>
    <row r="2493" spans="2:10" x14ac:dyDescent="0.25">
      <c r="B2493" s="3">
        <f t="shared" si="311"/>
        <v>12365</v>
      </c>
      <c r="C2493" s="14">
        <f t="shared" si="312"/>
        <v>206.08333333333334</v>
      </c>
      <c r="D2493" s="11">
        <f t="shared" si="313"/>
        <v>1130.0016886865653</v>
      </c>
      <c r="E2493" s="24">
        <f t="shared" si="314"/>
        <v>833.40122471786924</v>
      </c>
      <c r="F2493" s="38">
        <f t="shared" si="309"/>
        <v>0.83974312732279666</v>
      </c>
      <c r="G2493" s="14">
        <f t="shared" si="310"/>
        <v>0</v>
      </c>
      <c r="H2493" s="24">
        <f t="shared" si="316"/>
        <v>719.02135618101033</v>
      </c>
      <c r="I2493" s="12">
        <f t="shared" si="315"/>
        <v>0.22363296165629823</v>
      </c>
      <c r="J2493" s="3"/>
    </row>
    <row r="2494" spans="2:10" x14ac:dyDescent="0.25">
      <c r="B2494" s="3">
        <f t="shared" si="311"/>
        <v>12370</v>
      </c>
      <c r="C2494" s="14">
        <f t="shared" si="312"/>
        <v>206.16666666666666</v>
      </c>
      <c r="D2494" s="11">
        <f t="shared" si="313"/>
        <v>1130.0622267060783</v>
      </c>
      <c r="E2494" s="24">
        <f t="shared" si="314"/>
        <v>833.62485767952558</v>
      </c>
      <c r="F2494" s="38">
        <f t="shared" si="309"/>
        <v>0.84018624550856735</v>
      </c>
      <c r="G2494" s="14">
        <f t="shared" si="310"/>
        <v>0</v>
      </c>
      <c r="H2494" s="24">
        <f t="shared" si="316"/>
        <v>718.64214092893428</v>
      </c>
      <c r="I2494" s="12">
        <f t="shared" si="315"/>
        <v>0.22360062269039097</v>
      </c>
      <c r="J2494" s="3"/>
    </row>
    <row r="2495" spans="2:10" x14ac:dyDescent="0.25">
      <c r="B2495" s="3">
        <f t="shared" si="311"/>
        <v>12375</v>
      </c>
      <c r="C2495" s="14">
        <f t="shared" si="312"/>
        <v>206.25</v>
      </c>
      <c r="D2495" s="11">
        <f t="shared" si="313"/>
        <v>1130.1227402756638</v>
      </c>
      <c r="E2495" s="24">
        <f t="shared" si="314"/>
        <v>833.84845830221593</v>
      </c>
      <c r="F2495" s="38">
        <f t="shared" si="309"/>
        <v>0.84062783775744765</v>
      </c>
      <c r="G2495" s="14">
        <f t="shared" si="310"/>
        <v>0</v>
      </c>
      <c r="H2495" s="24">
        <f t="shared" si="316"/>
        <v>718.26462928240176</v>
      </c>
      <c r="I2495" s="12">
        <f t="shared" si="315"/>
        <v>0.22356785028818116</v>
      </c>
      <c r="J2495" s="3"/>
    </row>
    <row r="2496" spans="2:10" x14ac:dyDescent="0.25">
      <c r="B2496" s="3">
        <f t="shared" si="311"/>
        <v>12380</v>
      </c>
      <c r="C2496" s="14">
        <f t="shared" si="312"/>
        <v>206.33333333333334</v>
      </c>
      <c r="D2496" s="11">
        <f t="shared" si="313"/>
        <v>1130.1832294150629</v>
      </c>
      <c r="E2496" s="24">
        <f t="shared" si="314"/>
        <v>834.07202615250412</v>
      </c>
      <c r="F2496" s="38">
        <f t="shared" si="309"/>
        <v>0.8410679110724818</v>
      </c>
      <c r="G2496" s="14">
        <f t="shared" si="310"/>
        <v>0</v>
      </c>
      <c r="H2496" s="24">
        <f t="shared" si="316"/>
        <v>717.88881052589136</v>
      </c>
      <c r="I2496" s="12">
        <f t="shared" si="315"/>
        <v>0.22353464704125817</v>
      </c>
      <c r="J2496" s="3"/>
    </row>
    <row r="2497" spans="2:10" x14ac:dyDescent="0.25">
      <c r="B2497" s="3">
        <f t="shared" si="311"/>
        <v>12385</v>
      </c>
      <c r="C2497" s="14">
        <f t="shared" si="312"/>
        <v>206.41666666666666</v>
      </c>
      <c r="D2497" s="11">
        <f t="shared" si="313"/>
        <v>1130.2436941439935</v>
      </c>
      <c r="E2497" s="24">
        <f t="shared" si="314"/>
        <v>834.29556079954534</v>
      </c>
      <c r="F2497" s="38">
        <f t="shared" si="309"/>
        <v>0.84150647241915977</v>
      </c>
      <c r="G2497" s="14">
        <f t="shared" si="310"/>
        <v>0</v>
      </c>
      <c r="H2497" s="24">
        <f t="shared" si="316"/>
        <v>717.51467402922935</v>
      </c>
      <c r="I2497" s="12">
        <f t="shared" si="315"/>
        <v>0.22350101552582577</v>
      </c>
      <c r="J2497" s="3"/>
    </row>
    <row r="2498" spans="2:10" x14ac:dyDescent="0.25">
      <c r="B2498" s="3">
        <f t="shared" si="311"/>
        <v>12390</v>
      </c>
      <c r="C2498" s="14">
        <f t="shared" si="312"/>
        <v>206.5</v>
      </c>
      <c r="D2498" s="11">
        <f t="shared" si="313"/>
        <v>1130.3041344821493</v>
      </c>
      <c r="E2498" s="24">
        <f t="shared" si="314"/>
        <v>834.51906181507115</v>
      </c>
      <c r="F2498" s="38">
        <f t="shared" si="309"/>
        <v>0.8419435287256225</v>
      </c>
      <c r="G2498" s="14">
        <f t="shared" si="310"/>
        <v>0</v>
      </c>
      <c r="H2498" s="24">
        <f t="shared" si="316"/>
        <v>717.14220924677682</v>
      </c>
      <c r="I2498" s="12">
        <f t="shared" si="315"/>
        <v>0.22346695830303712</v>
      </c>
      <c r="J2498" s="3"/>
    </row>
    <row r="2499" spans="2:10" x14ac:dyDescent="0.25">
      <c r="B2499" s="3">
        <f t="shared" si="311"/>
        <v>12395</v>
      </c>
      <c r="C2499" s="14">
        <f t="shared" si="312"/>
        <v>206.58333333333334</v>
      </c>
      <c r="D2499" s="11">
        <f t="shared" si="313"/>
        <v>1130.3645504492004</v>
      </c>
      <c r="E2499" s="24">
        <f t="shared" si="314"/>
        <v>834.74252877337415</v>
      </c>
      <c r="F2499" s="38">
        <f t="shared" si="309"/>
        <v>0.84237908688286656</v>
      </c>
      <c r="G2499" s="14">
        <f t="shared" si="310"/>
        <v>0</v>
      </c>
      <c r="H2499" s="24">
        <f t="shared" si="316"/>
        <v>716.77140571662608</v>
      </c>
      <c r="I2499" s="12">
        <f t="shared" si="315"/>
        <v>0.22343247791897103</v>
      </c>
      <c r="J2499" s="3"/>
    </row>
    <row r="2500" spans="2:10" x14ac:dyDescent="0.25">
      <c r="B2500" s="3">
        <f t="shared" si="311"/>
        <v>12400</v>
      </c>
      <c r="C2500" s="14">
        <f t="shared" si="312"/>
        <v>206.66666666666666</v>
      </c>
      <c r="D2500" s="11">
        <f t="shared" si="313"/>
        <v>1130.424942064793</v>
      </c>
      <c r="E2500" s="24">
        <f t="shared" si="314"/>
        <v>834.96596125129315</v>
      </c>
      <c r="F2500" s="38">
        <f t="shared" si="309"/>
        <v>0.8428131537449477</v>
      </c>
      <c r="G2500" s="14">
        <f t="shared" si="310"/>
        <v>0</v>
      </c>
      <c r="H2500" s="24">
        <f t="shared" si="316"/>
        <v>716.40225305980471</v>
      </c>
      <c r="I2500" s="12">
        <f t="shared" si="315"/>
        <v>0.22339757690478679</v>
      </c>
      <c r="J2500" s="3"/>
    </row>
    <row r="2501" spans="2:10" x14ac:dyDescent="0.25">
      <c r="B2501" s="3">
        <f t="shared" si="311"/>
        <v>12405</v>
      </c>
      <c r="C2501" s="14">
        <f t="shared" si="312"/>
        <v>206.75</v>
      </c>
      <c r="D2501" s="11">
        <f t="shared" si="313"/>
        <v>1130.4853093485494</v>
      </c>
      <c r="E2501" s="24">
        <f t="shared" si="314"/>
        <v>835.1893588281979</v>
      </c>
      <c r="F2501" s="38">
        <f t="shared" si="309"/>
        <v>0.84324573612918419</v>
      </c>
      <c r="G2501" s="14">
        <f t="shared" si="310"/>
        <v>0</v>
      </c>
      <c r="H2501" s="24">
        <f t="shared" si="316"/>
        <v>716.03474097949038</v>
      </c>
      <c r="I2501" s="12">
        <f t="shared" si="315"/>
        <v>0.22336225777679902</v>
      </c>
      <c r="J2501" s="3"/>
    </row>
    <row r="2502" spans="2:10" x14ac:dyDescent="0.25">
      <c r="B2502" s="3">
        <f t="shared" si="311"/>
        <v>12410</v>
      </c>
      <c r="C2502" s="14">
        <f t="shared" si="312"/>
        <v>206.83333333333334</v>
      </c>
      <c r="D2502" s="11">
        <f t="shared" si="313"/>
        <v>1130.5456523200685</v>
      </c>
      <c r="E2502" s="24">
        <f t="shared" si="314"/>
        <v>835.41272108597468</v>
      </c>
      <c r="F2502" s="38">
        <f t="shared" si="309"/>
        <v>0.84367684081635996</v>
      </c>
      <c r="G2502" s="14">
        <f t="shared" si="310"/>
        <v>0</v>
      </c>
      <c r="H2502" s="24">
        <f t="shared" si="316"/>
        <v>715.66885926023133</v>
      </c>
      <c r="I2502" s="12">
        <f t="shared" si="315"/>
        <v>0.22332652303655165</v>
      </c>
      <c r="J2502" s="3"/>
    </row>
    <row r="2503" spans="2:10" x14ac:dyDescent="0.25">
      <c r="B2503" s="3">
        <f t="shared" si="311"/>
        <v>12415</v>
      </c>
      <c r="C2503" s="14">
        <f t="shared" si="312"/>
        <v>206.91666666666666</v>
      </c>
      <c r="D2503" s="11">
        <f t="shared" si="313"/>
        <v>1130.6059709989252</v>
      </c>
      <c r="E2503" s="24">
        <f t="shared" si="314"/>
        <v>835.63604760901126</v>
      </c>
      <c r="F2503" s="38">
        <f t="shared" si="309"/>
        <v>0.84410647455092447</v>
      </c>
      <c r="G2503" s="14">
        <f t="shared" si="310"/>
        <v>0</v>
      </c>
      <c r="H2503" s="24">
        <f t="shared" si="316"/>
        <v>715.30459776717851</v>
      </c>
      <c r="I2503" s="12">
        <f t="shared" si="315"/>
        <v>0.22329037517093114</v>
      </c>
      <c r="J2503" s="3"/>
    </row>
    <row r="2504" spans="2:10" x14ac:dyDescent="0.25">
      <c r="B2504" s="3">
        <f t="shared" si="311"/>
        <v>12420</v>
      </c>
      <c r="C2504" s="14">
        <f t="shared" si="312"/>
        <v>207</v>
      </c>
      <c r="D2504" s="11">
        <f t="shared" si="313"/>
        <v>1130.6662654046711</v>
      </c>
      <c r="E2504" s="24">
        <f t="shared" si="314"/>
        <v>835.85933798418216</v>
      </c>
      <c r="F2504" s="38">
        <f t="shared" si="309"/>
        <v>0.84453464404119427</v>
      </c>
      <c r="G2504" s="14">
        <f t="shared" si="310"/>
        <v>0</v>
      </c>
      <c r="H2504" s="24">
        <f t="shared" si="316"/>
        <v>714.94194644532388</v>
      </c>
      <c r="I2504" s="12">
        <f t="shared" si="315"/>
        <v>0.22325381665223953</v>
      </c>
      <c r="J2504" s="3"/>
    </row>
    <row r="2505" spans="2:10" x14ac:dyDescent="0.25">
      <c r="B2505" s="3">
        <f t="shared" si="311"/>
        <v>12425</v>
      </c>
      <c r="C2505" s="14">
        <f t="shared" si="312"/>
        <v>207.08333333333334</v>
      </c>
      <c r="D2505" s="11">
        <f t="shared" si="313"/>
        <v>1130.7265355568338</v>
      </c>
      <c r="E2505" s="24">
        <f t="shared" si="314"/>
        <v>836.08259180083439</v>
      </c>
      <c r="F2505" s="38">
        <f t="shared" si="309"/>
        <v>0.84496135595955257</v>
      </c>
      <c r="G2505" s="14">
        <f t="shared" si="310"/>
        <v>0</v>
      </c>
      <c r="H2505" s="24">
        <f t="shared" si="316"/>
        <v>714.58089531874771</v>
      </c>
      <c r="I2505" s="12">
        <f t="shared" si="315"/>
        <v>0.22321684993836663</v>
      </c>
      <c r="J2505" s="3"/>
    </row>
    <row r="2506" spans="2:10" x14ac:dyDescent="0.25">
      <c r="B2506" s="3">
        <f t="shared" si="311"/>
        <v>12430</v>
      </c>
      <c r="C2506" s="14">
        <f t="shared" si="312"/>
        <v>207.16666666666666</v>
      </c>
      <c r="D2506" s="11">
        <f t="shared" si="313"/>
        <v>1130.7867814749181</v>
      </c>
      <c r="E2506" s="24">
        <f t="shared" si="314"/>
        <v>836.30580865077275</v>
      </c>
      <c r="F2506" s="38">
        <f t="shared" si="309"/>
        <v>0.84538661694264816</v>
      </c>
      <c r="G2506" s="14">
        <f t="shared" si="310"/>
        <v>0</v>
      </c>
      <c r="H2506" s="24">
        <f t="shared" si="316"/>
        <v>714.22143448987447</v>
      </c>
      <c r="I2506" s="12">
        <f t="shared" si="315"/>
        <v>0.22317947747270186</v>
      </c>
      <c r="J2506" s="3"/>
    </row>
    <row r="2507" spans="2:10" x14ac:dyDescent="0.25">
      <c r="B2507" s="3">
        <f t="shared" si="311"/>
        <v>12435</v>
      </c>
      <c r="C2507" s="14">
        <f t="shared" si="312"/>
        <v>207.25</v>
      </c>
      <c r="D2507" s="11">
        <f t="shared" si="313"/>
        <v>1130.8470031784043</v>
      </c>
      <c r="E2507" s="24">
        <f t="shared" si="314"/>
        <v>836.52898812824549</v>
      </c>
      <c r="F2507" s="38">
        <f t="shared" si="309"/>
        <v>0.84581043359159336</v>
      </c>
      <c r="G2507" s="14">
        <f t="shared" si="310"/>
        <v>0</v>
      </c>
      <c r="H2507" s="24">
        <f t="shared" si="316"/>
        <v>713.86355413873594</v>
      </c>
      <c r="I2507" s="12">
        <f t="shared" si="315"/>
        <v>0.22314170168450503</v>
      </c>
      <c r="J2507" s="3"/>
    </row>
    <row r="2508" spans="2:10" x14ac:dyDescent="0.25">
      <c r="B2508" s="3">
        <f t="shared" si="311"/>
        <v>12440</v>
      </c>
      <c r="C2508" s="14">
        <f t="shared" si="312"/>
        <v>207.33333333333334</v>
      </c>
      <c r="D2508" s="11">
        <f t="shared" si="313"/>
        <v>1130.9072006867498</v>
      </c>
      <c r="E2508" s="24">
        <f t="shared" si="314"/>
        <v>836.75212982993003</v>
      </c>
      <c r="F2508" s="38">
        <f t="shared" si="309"/>
        <v>0.84623281247216187</v>
      </c>
      <c r="G2508" s="14">
        <f t="shared" si="310"/>
        <v>0</v>
      </c>
      <c r="H2508" s="24">
        <f t="shared" si="316"/>
        <v>713.5072445222429</v>
      </c>
      <c r="I2508" s="12">
        <f t="shared" si="315"/>
        <v>0.2231035249886773</v>
      </c>
      <c r="J2508" s="3"/>
    </row>
    <row r="2509" spans="2:10" x14ac:dyDescent="0.25">
      <c r="B2509" s="3">
        <f t="shared" si="311"/>
        <v>12445</v>
      </c>
      <c r="C2509" s="14">
        <f t="shared" si="312"/>
        <v>207.41666666666666</v>
      </c>
      <c r="D2509" s="11">
        <f t="shared" si="313"/>
        <v>1130.9673740193887</v>
      </c>
      <c r="E2509" s="24">
        <f t="shared" si="314"/>
        <v>836.97523335491871</v>
      </c>
      <c r="F2509" s="38">
        <f t="shared" si="309"/>
        <v>0.84665376011498372</v>
      </c>
      <c r="G2509" s="14">
        <f t="shared" si="310"/>
        <v>0</v>
      </c>
      <c r="H2509" s="24">
        <f t="shared" si="316"/>
        <v>713.15249597346519</v>
      </c>
      <c r="I2509" s="12">
        <f t="shared" si="315"/>
        <v>0.22306494978607122</v>
      </c>
      <c r="J2509" s="3"/>
    </row>
    <row r="2510" spans="2:10" x14ac:dyDescent="0.25">
      <c r="B2510" s="3">
        <f t="shared" si="311"/>
        <v>12450</v>
      </c>
      <c r="C2510" s="14">
        <f t="shared" si="312"/>
        <v>207.5</v>
      </c>
      <c r="D2510" s="11">
        <f t="shared" si="313"/>
        <v>1131.027523195731</v>
      </c>
      <c r="E2510" s="24">
        <f t="shared" si="314"/>
        <v>837.19829830470474</v>
      </c>
      <c r="F2510" s="38">
        <f t="shared" si="309"/>
        <v>0.84707328301574236</v>
      </c>
      <c r="G2510" s="14">
        <f t="shared" si="310"/>
        <v>0</v>
      </c>
      <c r="H2510" s="24">
        <f t="shared" si="316"/>
        <v>712.79929890091796</v>
      </c>
      <c r="I2510" s="12">
        <f t="shared" si="315"/>
        <v>0.22302597846357966</v>
      </c>
      <c r="J2510" s="3"/>
    </row>
    <row r="2511" spans="2:10" x14ac:dyDescent="0.25">
      <c r="B2511" s="3">
        <f t="shared" si="311"/>
        <v>12455</v>
      </c>
      <c r="C2511" s="14">
        <f t="shared" si="312"/>
        <v>207.58333333333334</v>
      </c>
      <c r="D2511" s="11">
        <f t="shared" si="313"/>
        <v>1131.0876482351639</v>
      </c>
      <c r="E2511" s="24">
        <f t="shared" si="314"/>
        <v>837.42132428316836</v>
      </c>
      <c r="F2511" s="38">
        <f t="shared" si="309"/>
        <v>0.84749138763536902</v>
      </c>
      <c r="G2511" s="14">
        <f t="shared" si="310"/>
        <v>0</v>
      </c>
      <c r="H2511" s="24">
        <f t="shared" si="316"/>
        <v>712.44764378785703</v>
      </c>
      <c r="I2511" s="12">
        <f t="shared" si="315"/>
        <v>0.22298661339404502</v>
      </c>
      <c r="J2511" s="3"/>
    </row>
    <row r="2512" spans="2:10" x14ac:dyDescent="0.25">
      <c r="B2512" s="3">
        <f t="shared" si="311"/>
        <v>12460</v>
      </c>
      <c r="C2512" s="14">
        <f t="shared" si="312"/>
        <v>207.66666666666666</v>
      </c>
      <c r="D2512" s="11">
        <f t="shared" si="313"/>
        <v>1131.1477491570517</v>
      </c>
      <c r="E2512" s="24">
        <f t="shared" si="314"/>
        <v>837.64431089656239</v>
      </c>
      <c r="F2512" s="38">
        <f t="shared" si="309"/>
        <v>0.84790808040023524</v>
      </c>
      <c r="G2512" s="14">
        <f t="shared" si="310"/>
        <v>0</v>
      </c>
      <c r="H2512" s="24">
        <f t="shared" si="316"/>
        <v>712.09752119158202</v>
      </c>
      <c r="I2512" s="12">
        <f t="shared" si="315"/>
        <v>0.22294685693648805</v>
      </c>
      <c r="J2512" s="3"/>
    </row>
    <row r="2513" spans="2:10" x14ac:dyDescent="0.25">
      <c r="B2513" s="3">
        <f t="shared" si="311"/>
        <v>12465</v>
      </c>
      <c r="C2513" s="14">
        <f t="shared" si="312"/>
        <v>207.75</v>
      </c>
      <c r="D2513" s="11">
        <f t="shared" si="313"/>
        <v>1131.207825980734</v>
      </c>
      <c r="E2513" s="24">
        <f t="shared" si="314"/>
        <v>837.86725775349885</v>
      </c>
      <c r="F2513" s="38">
        <f t="shared" si="309"/>
        <v>0.84832336770234695</v>
      </c>
      <c r="G2513" s="14">
        <f t="shared" si="310"/>
        <v>0</v>
      </c>
      <c r="H2513" s="24">
        <f t="shared" si="316"/>
        <v>711.74892174274555</v>
      </c>
      <c r="I2513" s="12">
        <f t="shared" si="315"/>
        <v>0.22290671143633481</v>
      </c>
      <c r="J2513" s="3"/>
    </row>
    <row r="2514" spans="2:10" x14ac:dyDescent="0.25">
      <c r="B2514" s="3">
        <f t="shared" si="311"/>
        <v>12470</v>
      </c>
      <c r="C2514" s="14">
        <f t="shared" si="312"/>
        <v>207.83333333333334</v>
      </c>
      <c r="D2514" s="11">
        <f t="shared" si="313"/>
        <v>1131.2678787255286</v>
      </c>
      <c r="E2514" s="24">
        <f t="shared" si="314"/>
        <v>838.09016446493513</v>
      </c>
      <c r="F2514" s="38">
        <f t="shared" si="309"/>
        <v>0.84873725589953697</v>
      </c>
      <c r="G2514" s="14">
        <f t="shared" si="310"/>
        <v>0</v>
      </c>
      <c r="H2514" s="24">
        <f t="shared" si="316"/>
        <v>711.40183614467094</v>
      </c>
      <c r="I2514" s="12">
        <f t="shared" si="315"/>
        <v>0.22286617922506391</v>
      </c>
      <c r="J2514" s="3"/>
    </row>
    <row r="2515" spans="2:10" x14ac:dyDescent="0.25">
      <c r="B2515" s="3">
        <f t="shared" si="311"/>
        <v>12475</v>
      </c>
      <c r="C2515" s="14">
        <f t="shared" si="312"/>
        <v>207.91666666666666</v>
      </c>
      <c r="D2515" s="11">
        <f t="shared" si="313"/>
        <v>1131.327907410729</v>
      </c>
      <c r="E2515" s="24">
        <f t="shared" si="314"/>
        <v>838.31303064416022</v>
      </c>
      <c r="F2515" s="38">
        <f t="shared" si="309"/>
        <v>0.84914975131565551</v>
      </c>
      <c r="G2515" s="14">
        <f t="shared" si="310"/>
        <v>0</v>
      </c>
      <c r="H2515" s="24">
        <f t="shared" si="316"/>
        <v>711.0562551726772</v>
      </c>
      <c r="I2515" s="12">
        <f t="shared" si="315"/>
        <v>0.2228252626208142</v>
      </c>
      <c r="J2515" s="3"/>
    </row>
    <row r="2516" spans="2:10" x14ac:dyDescent="0.25">
      <c r="B2516" s="3">
        <f t="shared" si="311"/>
        <v>12480</v>
      </c>
      <c r="C2516" s="14">
        <f t="shared" si="312"/>
        <v>208</v>
      </c>
      <c r="D2516" s="11">
        <f t="shared" si="313"/>
        <v>1131.3879120556069</v>
      </c>
      <c r="E2516" s="24">
        <f t="shared" si="314"/>
        <v>838.53585590678108</v>
      </c>
      <c r="F2516" s="38">
        <f t="shared" ref="F2516:F2579" si="317">Cp*RhoP/(RhoA*H2516)*dp/1000*MassivP</f>
        <v>0.84956086024075994</v>
      </c>
      <c r="G2516" s="14">
        <f t="shared" ref="G2516:G2579" si="318">Phi*EpsilonF*Botzman/10^8*J2516*((D2516+273)^4-(E2516+273)^4)</f>
        <v>0</v>
      </c>
      <c r="H2516" s="24">
        <f t="shared" si="316"/>
        <v>710.71216967341115</v>
      </c>
      <c r="I2516" s="12">
        <f t="shared" si="315"/>
        <v>0.22278396392802963</v>
      </c>
      <c r="J2516" s="3"/>
    </row>
    <row r="2517" spans="2:10" x14ac:dyDescent="0.25">
      <c r="B2517" s="3">
        <f t="shared" ref="B2517:B2580" si="319">B2516+DeltaT</f>
        <v>12485</v>
      </c>
      <c r="C2517" s="14">
        <f t="shared" ref="C2517:C2580" si="320">B2517/60</f>
        <v>208.08333333333334</v>
      </c>
      <c r="D2517" s="11">
        <f t="shared" ref="D2517:D2580" si="321">20+345*LOG(8*C2517+1,10)</f>
        <v>1131.4478926794088</v>
      </c>
      <c r="E2517" s="24">
        <f t="shared" ref="E2517:E2580" si="322">E2516+IF(Limit=Oui,MAX(0,I2516),I2516)</f>
        <v>838.75863987070909</v>
      </c>
      <c r="F2517" s="38">
        <f t="shared" si="317"/>
        <v>0.84997058893130528</v>
      </c>
      <c r="G2517" s="14">
        <f t="shared" si="318"/>
        <v>0</v>
      </c>
      <c r="H2517" s="24">
        <f t="shared" si="316"/>
        <v>710.36957056418657</v>
      </c>
      <c r="I2517" s="12">
        <f t="shared" ref="I2517:I2580" si="323">LambdaP*MassivP/(dp/1000)/(H2517*RhoA)/(1+F2517/3)*(D2517-E2517)*DeltaT-(EXP(F2517/10)-1)*(D2517-D2516)</f>
        <v>0.22274228543798627</v>
      </c>
      <c r="J2517" s="3"/>
    </row>
    <row r="2518" spans="2:10" x14ac:dyDescent="0.25">
      <c r="B2518" s="3">
        <f t="shared" si="319"/>
        <v>12490</v>
      </c>
      <c r="C2518" s="14">
        <f t="shared" si="320"/>
        <v>208.16666666666666</v>
      </c>
      <c r="D2518" s="11">
        <f t="shared" si="321"/>
        <v>1131.50784930136</v>
      </c>
      <c r="E2518" s="24">
        <f t="shared" si="322"/>
        <v>838.98138215614711</v>
      </c>
      <c r="F2518" s="38">
        <f t="shared" si="317"/>
        <v>0.85037894361033295</v>
      </c>
      <c r="G2518" s="14">
        <f t="shared" si="318"/>
        <v>0</v>
      </c>
      <c r="H2518" s="24">
        <f t="shared" si="316"/>
        <v>710.02844883233001</v>
      </c>
      <c r="I2518" s="12">
        <f t="shared" si="323"/>
        <v>0.22270022942835499</v>
      </c>
      <c r="J2518" s="3"/>
    </row>
    <row r="2519" spans="2:10" x14ac:dyDescent="0.25">
      <c r="B2519" s="3">
        <f t="shared" si="319"/>
        <v>12495</v>
      </c>
      <c r="C2519" s="14">
        <f t="shared" si="320"/>
        <v>208.25</v>
      </c>
      <c r="D2519" s="11">
        <f t="shared" si="321"/>
        <v>1131.5677819406619</v>
      </c>
      <c r="E2519" s="24">
        <f t="shared" si="322"/>
        <v>839.20408238557548</v>
      </c>
      <c r="F2519" s="38">
        <f t="shared" si="317"/>
        <v>0.85078593046765716</v>
      </c>
      <c r="G2519" s="14">
        <f t="shared" si="318"/>
        <v>0</v>
      </c>
      <c r="H2519" s="24">
        <f t="shared" si="316"/>
        <v>709.68879553453485</v>
      </c>
      <c r="I2519" s="12">
        <f t="shared" si="323"/>
        <v>0.22265779816374906</v>
      </c>
      <c r="J2519" s="3"/>
    </row>
    <row r="2520" spans="2:10" x14ac:dyDescent="0.25">
      <c r="B2520" s="3">
        <f t="shared" si="319"/>
        <v>12500</v>
      </c>
      <c r="C2520" s="14">
        <f t="shared" si="320"/>
        <v>208.33333333333334</v>
      </c>
      <c r="D2520" s="11">
        <f t="shared" si="321"/>
        <v>1131.6276906164926</v>
      </c>
      <c r="E2520" s="24">
        <f t="shared" si="322"/>
        <v>839.42674018373918</v>
      </c>
      <c r="F2520" s="38">
        <f t="shared" si="317"/>
        <v>0.85119155566005333</v>
      </c>
      <c r="G2520" s="14">
        <f t="shared" si="318"/>
        <v>0</v>
      </c>
      <c r="H2520" s="24">
        <f t="shared" si="316"/>
        <v>709.35060179622064</v>
      </c>
      <c r="I2520" s="12">
        <f t="shared" si="323"/>
        <v>0.22261499389560577</v>
      </c>
      <c r="J2520" s="3"/>
    </row>
    <row r="2521" spans="2:10" x14ac:dyDescent="0.25">
      <c r="B2521" s="3">
        <f t="shared" si="319"/>
        <v>12505</v>
      </c>
      <c r="C2521" s="14">
        <f t="shared" si="320"/>
        <v>208.41666666666666</v>
      </c>
      <c r="D2521" s="11">
        <f t="shared" si="321"/>
        <v>1131.6875753480076</v>
      </c>
      <c r="E2521" s="24">
        <f t="shared" si="322"/>
        <v>839.64935517763479</v>
      </c>
      <c r="F2521" s="38">
        <f t="shared" si="317"/>
        <v>0.85159582531144318</v>
      </c>
      <c r="G2521" s="14">
        <f t="shared" si="318"/>
        <v>0</v>
      </c>
      <c r="H2521" s="24">
        <f t="shared" si="316"/>
        <v>709.01385881090073</v>
      </c>
      <c r="I2521" s="12">
        <f t="shared" si="323"/>
        <v>0.22257181886221025</v>
      </c>
      <c r="J2521" s="3"/>
    </row>
    <row r="2522" spans="2:10" x14ac:dyDescent="0.25">
      <c r="B2522" s="3">
        <f t="shared" si="319"/>
        <v>12510</v>
      </c>
      <c r="C2522" s="14">
        <f t="shared" si="320"/>
        <v>208.5</v>
      </c>
      <c r="D2522" s="11">
        <f t="shared" si="321"/>
        <v>1131.7474361543398</v>
      </c>
      <c r="E2522" s="24">
        <f t="shared" si="322"/>
        <v>839.871926996497</v>
      </c>
      <c r="F2522" s="38">
        <f t="shared" si="317"/>
        <v>0.85199874551308019</v>
      </c>
      <c r="G2522" s="14">
        <f t="shared" si="318"/>
        <v>0</v>
      </c>
      <c r="H2522" s="24">
        <f t="shared" si="316"/>
        <v>708.67855783955554</v>
      </c>
      <c r="I2522" s="12">
        <f t="shared" si="323"/>
        <v>0.22252827528887925</v>
      </c>
      <c r="J2522" s="3"/>
    </row>
    <row r="2523" spans="2:10" x14ac:dyDescent="0.25">
      <c r="B2523" s="3">
        <f t="shared" si="319"/>
        <v>12515</v>
      </c>
      <c r="C2523" s="14">
        <f t="shared" si="320"/>
        <v>208.58333333333334</v>
      </c>
      <c r="D2523" s="11">
        <f t="shared" si="321"/>
        <v>1131.8072730545987</v>
      </c>
      <c r="E2523" s="24">
        <f t="shared" si="322"/>
        <v>840.09445527178582</v>
      </c>
      <c r="F2523" s="38">
        <f t="shared" si="317"/>
        <v>0.85240032232373319</v>
      </c>
      <c r="G2523" s="14">
        <f t="shared" si="318"/>
        <v>0</v>
      </c>
      <c r="H2523" s="24">
        <f t="shared" si="316"/>
        <v>708.34469021001325</v>
      </c>
      <c r="I2523" s="12">
        <f t="shared" si="323"/>
        <v>0.22248436538806335</v>
      </c>
      <c r="J2523" s="3"/>
    </row>
    <row r="2524" spans="2:10" x14ac:dyDescent="0.25">
      <c r="B2524" s="3">
        <f t="shared" si="319"/>
        <v>12520</v>
      </c>
      <c r="C2524" s="14">
        <f t="shared" si="320"/>
        <v>208.66666666666666</v>
      </c>
      <c r="D2524" s="11">
        <f t="shared" si="321"/>
        <v>1131.867086067871</v>
      </c>
      <c r="E2524" s="24">
        <f t="shared" si="322"/>
        <v>840.31693963717385</v>
      </c>
      <c r="F2524" s="38">
        <f t="shared" si="317"/>
        <v>0.8528005617698704</v>
      </c>
      <c r="G2524" s="14">
        <f t="shared" si="318"/>
        <v>0</v>
      </c>
      <c r="H2524" s="24">
        <f t="shared" si="316"/>
        <v>708.01224731633636</v>
      </c>
      <c r="I2524" s="12">
        <f t="shared" si="323"/>
        <v>0.22244009135936793</v>
      </c>
      <c r="J2524" s="3"/>
    </row>
    <row r="2525" spans="2:10" x14ac:dyDescent="0.25">
      <c r="B2525" s="3">
        <f t="shared" si="319"/>
        <v>12525</v>
      </c>
      <c r="C2525" s="14">
        <f t="shared" si="320"/>
        <v>208.75</v>
      </c>
      <c r="D2525" s="11">
        <f t="shared" si="321"/>
        <v>1131.92687521322</v>
      </c>
      <c r="E2525" s="24">
        <f t="shared" si="322"/>
        <v>840.53937972853316</v>
      </c>
      <c r="F2525" s="38">
        <f t="shared" si="317"/>
        <v>0.85319946984584227</v>
      </c>
      <c r="G2525" s="14">
        <f t="shared" si="318"/>
        <v>0</v>
      </c>
      <c r="H2525" s="24">
        <f t="shared" si="316"/>
        <v>707.68122061821566</v>
      </c>
      <c r="I2525" s="12">
        <f t="shared" si="323"/>
        <v>0.22239545538969532</v>
      </c>
      <c r="J2525" s="3"/>
    </row>
    <row r="2526" spans="2:10" x14ac:dyDescent="0.25">
      <c r="B2526" s="3">
        <f t="shared" si="319"/>
        <v>12530</v>
      </c>
      <c r="C2526" s="14">
        <f t="shared" si="320"/>
        <v>208.83333333333334</v>
      </c>
      <c r="D2526" s="11">
        <f t="shared" si="321"/>
        <v>1131.986640509687</v>
      </c>
      <c r="E2526" s="24">
        <f t="shared" si="322"/>
        <v>840.76177518392285</v>
      </c>
      <c r="F2526" s="38">
        <f t="shared" si="317"/>
        <v>0.85359705251406215</v>
      </c>
      <c r="G2526" s="14">
        <f t="shared" si="318"/>
        <v>0</v>
      </c>
      <c r="H2526" s="24">
        <f t="shared" si="316"/>
        <v>707.35160164036915</v>
      </c>
      <c r="I2526" s="12">
        <f t="shared" si="323"/>
        <v>0.22235045965314429</v>
      </c>
      <c r="J2526" s="3"/>
    </row>
    <row r="2527" spans="2:10" x14ac:dyDescent="0.25">
      <c r="B2527" s="3">
        <f t="shared" si="319"/>
        <v>12535</v>
      </c>
      <c r="C2527" s="14">
        <f t="shared" si="320"/>
        <v>208.91666666666666</v>
      </c>
      <c r="D2527" s="11">
        <f t="shared" si="321"/>
        <v>1132.0463819762906</v>
      </c>
      <c r="E2527" s="24">
        <f t="shared" si="322"/>
        <v>840.98412564357602</v>
      </c>
      <c r="F2527" s="38">
        <f t="shared" si="317"/>
        <v>0.85399331570518711</v>
      </c>
      <c r="G2527" s="14">
        <f t="shared" si="318"/>
        <v>0</v>
      </c>
      <c r="H2527" s="24">
        <f t="shared" si="316"/>
        <v>707.02338197194945</v>
      </c>
      <c r="I2527" s="12">
        <f t="shared" si="323"/>
        <v>0.22230510631133235</v>
      </c>
      <c r="J2527" s="3"/>
    </row>
    <row r="2528" spans="2:10" x14ac:dyDescent="0.25">
      <c r="B2528" s="3">
        <f t="shared" si="319"/>
        <v>12540</v>
      </c>
      <c r="C2528" s="14">
        <f t="shared" si="320"/>
        <v>209</v>
      </c>
      <c r="D2528" s="11">
        <f t="shared" si="321"/>
        <v>1132.1060996320259</v>
      </c>
      <c r="E2528" s="24">
        <f t="shared" si="322"/>
        <v>841.20643074988732</v>
      </c>
      <c r="F2528" s="38">
        <f t="shared" si="317"/>
        <v>0.85438826531829837</v>
      </c>
      <c r="G2528" s="14">
        <f t="shared" si="318"/>
        <v>0</v>
      </c>
      <c r="H2528" s="24">
        <f t="shared" si="316"/>
        <v>706.69655326595557</v>
      </c>
      <c r="I2528" s="12">
        <f t="shared" si="323"/>
        <v>0.22225939751339469</v>
      </c>
      <c r="J2528" s="3"/>
    </row>
    <row r="2529" spans="2:10" x14ac:dyDescent="0.25">
      <c r="B2529" s="3">
        <f t="shared" si="319"/>
        <v>12545</v>
      </c>
      <c r="C2529" s="14">
        <f t="shared" si="320"/>
        <v>209.08333333333334</v>
      </c>
      <c r="D2529" s="11">
        <f t="shared" si="321"/>
        <v>1132.1657934958662</v>
      </c>
      <c r="E2529" s="24">
        <f t="shared" si="322"/>
        <v>841.42869014740074</v>
      </c>
      <c r="F2529" s="38">
        <f t="shared" si="317"/>
        <v>0.85478190722107961</v>
      </c>
      <c r="G2529" s="14">
        <f t="shared" si="318"/>
        <v>0</v>
      </c>
      <c r="H2529" s="24">
        <f t="shared" si="316"/>
        <v>706.37110723865135</v>
      </c>
      <c r="I2529" s="12">
        <f t="shared" si="323"/>
        <v>0.22221333539594218</v>
      </c>
      <c r="J2529" s="3"/>
    </row>
    <row r="2530" spans="2:10" x14ac:dyDescent="0.25">
      <c r="B2530" s="3">
        <f t="shared" si="319"/>
        <v>12550</v>
      </c>
      <c r="C2530" s="14">
        <f t="shared" si="320"/>
        <v>209.16666666666666</v>
      </c>
      <c r="D2530" s="11">
        <f t="shared" si="321"/>
        <v>1132.225463586761</v>
      </c>
      <c r="E2530" s="24">
        <f t="shared" si="322"/>
        <v>841.65090348279671</v>
      </c>
      <c r="F2530" s="38">
        <f t="shared" si="317"/>
        <v>0.85517424724999602</v>
      </c>
      <c r="G2530" s="14">
        <f t="shared" si="318"/>
        <v>0</v>
      </c>
      <c r="H2530" s="24">
        <f t="shared" si="316"/>
        <v>706.04703566899059</v>
      </c>
      <c r="I2530" s="12">
        <f t="shared" si="323"/>
        <v>0.22216692208338268</v>
      </c>
      <c r="J2530" s="3"/>
    </row>
    <row r="2531" spans="2:10" x14ac:dyDescent="0.25">
      <c r="B2531" s="3">
        <f t="shared" si="319"/>
        <v>12555</v>
      </c>
      <c r="C2531" s="14">
        <f t="shared" si="320"/>
        <v>209.25</v>
      </c>
      <c r="D2531" s="11">
        <f t="shared" si="321"/>
        <v>1132.2851099236379</v>
      </c>
      <c r="E2531" s="24">
        <f t="shared" si="322"/>
        <v>841.87307040488008</v>
      </c>
      <c r="F2531" s="38">
        <f t="shared" si="317"/>
        <v>0.8555652912104702</v>
      </c>
      <c r="G2531" s="14">
        <f t="shared" si="318"/>
        <v>0</v>
      </c>
      <c r="H2531" s="24">
        <f t="shared" si="316"/>
        <v>705.7243303980481</v>
      </c>
      <c r="I2531" s="12">
        <f t="shared" si="323"/>
        <v>0.2221201596876958</v>
      </c>
      <c r="J2531" s="3"/>
    </row>
    <row r="2532" spans="2:10" x14ac:dyDescent="0.25">
      <c r="B2532" s="3">
        <f t="shared" si="319"/>
        <v>12560</v>
      </c>
      <c r="C2532" s="14">
        <f t="shared" si="320"/>
        <v>209.33333333333334</v>
      </c>
      <c r="D2532" s="11">
        <f t="shared" si="321"/>
        <v>1132.3447325254024</v>
      </c>
      <c r="E2532" s="24">
        <f t="shared" si="322"/>
        <v>842.09519056456782</v>
      </c>
      <c r="F2532" s="38">
        <f t="shared" si="317"/>
        <v>0.85595504487705965</v>
      </c>
      <c r="G2532" s="14">
        <f t="shared" si="318"/>
        <v>0</v>
      </c>
      <c r="H2532" s="24">
        <f t="shared" si="316"/>
        <v>705.40298332845589</v>
      </c>
      <c r="I2532" s="12">
        <f t="shared" si="323"/>
        <v>0.22207305030873375</v>
      </c>
      <c r="J2532" s="3"/>
    </row>
    <row r="2533" spans="2:10" x14ac:dyDescent="0.25">
      <c r="B2533" s="3">
        <f t="shared" si="319"/>
        <v>12565</v>
      </c>
      <c r="C2533" s="14">
        <f t="shared" si="320"/>
        <v>209.41666666666666</v>
      </c>
      <c r="D2533" s="11">
        <f t="shared" si="321"/>
        <v>1132.404331410936</v>
      </c>
      <c r="E2533" s="24">
        <f t="shared" si="322"/>
        <v>842.31726361487654</v>
      </c>
      <c r="F2533" s="38">
        <f t="shared" si="317"/>
        <v>0.85634351399363107</v>
      </c>
      <c r="G2533" s="14">
        <f t="shared" si="318"/>
        <v>0</v>
      </c>
      <c r="H2533" s="24">
        <f t="shared" si="316"/>
        <v>705.08298642384625</v>
      </c>
      <c r="I2533" s="12">
        <f t="shared" si="323"/>
        <v>0.22202559603431793</v>
      </c>
      <c r="J2533" s="3"/>
    </row>
    <row r="2534" spans="2:10" x14ac:dyDescent="0.25">
      <c r="B2534" s="3">
        <f t="shared" si="319"/>
        <v>12570</v>
      </c>
      <c r="C2534" s="14">
        <f t="shared" si="320"/>
        <v>209.5</v>
      </c>
      <c r="D2534" s="11">
        <f t="shared" si="321"/>
        <v>1132.4639065990996</v>
      </c>
      <c r="E2534" s="24">
        <f t="shared" si="322"/>
        <v>842.53928921091085</v>
      </c>
      <c r="F2534" s="38">
        <f t="shared" si="317"/>
        <v>0.85673070427353615</v>
      </c>
      <c r="G2534" s="14">
        <f t="shared" si="318"/>
        <v>0</v>
      </c>
      <c r="H2534" s="24">
        <f t="shared" si="316"/>
        <v>704.76433170830023</v>
      </c>
      <c r="I2534" s="12">
        <f t="shared" si="323"/>
        <v>0.22197779894003297</v>
      </c>
      <c r="J2534" s="3"/>
    </row>
    <row r="2535" spans="2:10" x14ac:dyDescent="0.25">
      <c r="B2535" s="3">
        <f t="shared" si="319"/>
        <v>12575</v>
      </c>
      <c r="C2535" s="14">
        <f t="shared" si="320"/>
        <v>209.58333333333334</v>
      </c>
      <c r="D2535" s="11">
        <f t="shared" si="321"/>
        <v>1132.5234581087295</v>
      </c>
      <c r="E2535" s="24">
        <f t="shared" si="322"/>
        <v>842.76126700985094</v>
      </c>
      <c r="F2535" s="38">
        <f t="shared" si="317"/>
        <v>0.85711662139978462</v>
      </c>
      <c r="G2535" s="14">
        <f t="shared" si="318"/>
        <v>0</v>
      </c>
      <c r="H2535" s="24">
        <f t="shared" si="316"/>
        <v>704.44701126580196</v>
      </c>
      <c r="I2535" s="12">
        <f t="shared" si="323"/>
        <v>0.22192966108976825</v>
      </c>
      <c r="J2535" s="3"/>
    </row>
    <row r="2536" spans="2:10" x14ac:dyDescent="0.25">
      <c r="B2536" s="3">
        <f t="shared" si="319"/>
        <v>12580</v>
      </c>
      <c r="C2536" s="14">
        <f t="shared" si="320"/>
        <v>209.66666666666666</v>
      </c>
      <c r="D2536" s="11">
        <f t="shared" si="321"/>
        <v>1132.5829859586411</v>
      </c>
      <c r="E2536" s="24">
        <f t="shared" si="322"/>
        <v>842.98319667094074</v>
      </c>
      <c r="F2536" s="38">
        <f t="shared" si="317"/>
        <v>0.85750127102521678</v>
      </c>
      <c r="G2536" s="14">
        <f t="shared" si="318"/>
        <v>0</v>
      </c>
      <c r="H2536" s="24">
        <f t="shared" si="316"/>
        <v>704.13101723969839</v>
      </c>
      <c r="I2536" s="12">
        <f t="shared" si="323"/>
        <v>0.22188118453528727</v>
      </c>
      <c r="J2536" s="3"/>
    </row>
    <row r="2537" spans="2:10" x14ac:dyDescent="0.25">
      <c r="B2537" s="3">
        <f t="shared" si="319"/>
        <v>12585</v>
      </c>
      <c r="C2537" s="14">
        <f t="shared" si="320"/>
        <v>209.75</v>
      </c>
      <c r="D2537" s="11">
        <f t="shared" si="321"/>
        <v>1132.6424901676266</v>
      </c>
      <c r="E2537" s="24">
        <f t="shared" si="322"/>
        <v>843.20507785547602</v>
      </c>
      <c r="F2537" s="38">
        <f t="shared" si="317"/>
        <v>0.85788465877267583</v>
      </c>
      <c r="G2537" s="14">
        <f t="shared" si="318"/>
        <v>0</v>
      </c>
      <c r="H2537" s="24">
        <f t="shared" si="316"/>
        <v>703.81634183216534</v>
      </c>
      <c r="I2537" s="12">
        <f t="shared" si="323"/>
        <v>0.22183237131666783</v>
      </c>
      <c r="J2537" s="3"/>
    </row>
    <row r="2538" spans="2:10" x14ac:dyDescent="0.25">
      <c r="B2538" s="3">
        <f t="shared" si="319"/>
        <v>12590</v>
      </c>
      <c r="C2538" s="14">
        <f t="shared" si="320"/>
        <v>209.83333333333334</v>
      </c>
      <c r="D2538" s="11">
        <f t="shared" si="321"/>
        <v>1132.7019707544566</v>
      </c>
      <c r="E2538" s="24">
        <f t="shared" si="322"/>
        <v>843.42691022679264</v>
      </c>
      <c r="F2538" s="38">
        <f t="shared" si="317"/>
        <v>0.85826679023517916</v>
      </c>
      <c r="G2538" s="14">
        <f t="shared" si="318"/>
        <v>0</v>
      </c>
      <c r="H2538" s="24">
        <f t="shared" si="316"/>
        <v>703.50297730367834</v>
      </c>
      <c r="I2538" s="12">
        <f t="shared" si="323"/>
        <v>0.22178322346219442</v>
      </c>
      <c r="J2538" s="3"/>
    </row>
    <row r="2539" spans="2:10" x14ac:dyDescent="0.25">
      <c r="B2539" s="3">
        <f t="shared" si="319"/>
        <v>12595</v>
      </c>
      <c r="C2539" s="14">
        <f t="shared" si="320"/>
        <v>209.91666666666666</v>
      </c>
      <c r="D2539" s="11">
        <f t="shared" si="321"/>
        <v>1132.7614277378784</v>
      </c>
      <c r="E2539" s="24">
        <f t="shared" si="322"/>
        <v>843.64869345025488</v>
      </c>
      <c r="F2539" s="38">
        <f t="shared" si="317"/>
        <v>0.85864767097608796</v>
      </c>
      <c r="G2539" s="14">
        <f t="shared" si="318"/>
        <v>0</v>
      </c>
      <c r="H2539" s="24">
        <f t="shared" si="316"/>
        <v>703.19091597248951</v>
      </c>
      <c r="I2539" s="12">
        <f t="shared" si="323"/>
        <v>0.22173374298857379</v>
      </c>
      <c r="J2539" s="3"/>
    </row>
    <row r="2540" spans="2:10" x14ac:dyDescent="0.25">
      <c r="B2540" s="3">
        <f t="shared" si="319"/>
        <v>12600</v>
      </c>
      <c r="C2540" s="14">
        <f t="shared" si="320"/>
        <v>210</v>
      </c>
      <c r="D2540" s="11">
        <f t="shared" si="321"/>
        <v>1132.8208611366174</v>
      </c>
      <c r="E2540" s="24">
        <f t="shared" si="322"/>
        <v>843.87042719324347</v>
      </c>
      <c r="F2540" s="38">
        <f t="shared" si="317"/>
        <v>0.85902730652927695</v>
      </c>
      <c r="G2540" s="14">
        <f t="shared" si="318"/>
        <v>0</v>
      </c>
      <c r="H2540" s="24">
        <f t="shared" si="316"/>
        <v>702.88015021410956</v>
      </c>
      <c r="I2540" s="12">
        <f t="shared" si="323"/>
        <v>0.22168393190084712</v>
      </c>
      <c r="J2540" s="3"/>
    </row>
    <row r="2541" spans="2:10" x14ac:dyDescent="0.25">
      <c r="B2541" s="3">
        <f t="shared" si="319"/>
        <v>12605</v>
      </c>
      <c r="C2541" s="14">
        <f t="shared" si="320"/>
        <v>210.08333333333334</v>
      </c>
      <c r="D2541" s="11">
        <f t="shared" si="321"/>
        <v>1132.8802709693771</v>
      </c>
      <c r="E2541" s="24">
        <f t="shared" si="322"/>
        <v>844.09211112514436</v>
      </c>
      <c r="F2541" s="38">
        <f t="shared" si="317"/>
        <v>0.85940570239930247</v>
      </c>
      <c r="G2541" s="14">
        <f t="shared" si="318"/>
        <v>0</v>
      </c>
      <c r="H2541" s="24">
        <f t="shared" si="316"/>
        <v>702.57067246079544</v>
      </c>
      <c r="I2541" s="12">
        <f t="shared" si="323"/>
        <v>0.22163379219252391</v>
      </c>
      <c r="J2541" s="3"/>
    </row>
    <row r="2542" spans="2:10" x14ac:dyDescent="0.25">
      <c r="B2542" s="3">
        <f t="shared" si="319"/>
        <v>12610</v>
      </c>
      <c r="C2542" s="14">
        <f t="shared" si="320"/>
        <v>210.16666666666666</v>
      </c>
      <c r="D2542" s="11">
        <f t="shared" si="321"/>
        <v>1132.939657254838</v>
      </c>
      <c r="E2542" s="24">
        <f t="shared" si="322"/>
        <v>844.31374491733686</v>
      </c>
      <c r="F2542" s="38">
        <f t="shared" si="317"/>
        <v>0.85978286406157023</v>
      </c>
      <c r="G2542" s="14">
        <f t="shared" si="318"/>
        <v>0</v>
      </c>
      <c r="H2542" s="24">
        <f t="shared" si="316"/>
        <v>702.262475201043</v>
      </c>
      <c r="I2542" s="12">
        <f t="shared" si="323"/>
        <v>0.22158332584577667</v>
      </c>
      <c r="J2542" s="3"/>
    </row>
    <row r="2543" spans="2:10" x14ac:dyDescent="0.25">
      <c r="B2543" s="3">
        <f t="shared" si="319"/>
        <v>12615</v>
      </c>
      <c r="C2543" s="14">
        <f t="shared" si="320"/>
        <v>210.25</v>
      </c>
      <c r="D2543" s="11">
        <f t="shared" si="321"/>
        <v>1132.999020011659</v>
      </c>
      <c r="E2543" s="24">
        <f t="shared" si="322"/>
        <v>844.53532824318268</v>
      </c>
      <c r="F2543" s="38">
        <f t="shared" si="317"/>
        <v>0.86015879696250219</v>
      </c>
      <c r="G2543" s="14">
        <f t="shared" si="318"/>
        <v>0</v>
      </c>
      <c r="H2543" s="24">
        <f t="shared" si="316"/>
        <v>701.95555097908493</v>
      </c>
      <c r="I2543" s="12">
        <f t="shared" si="323"/>
        <v>0.22153253483130994</v>
      </c>
      <c r="J2543" s="3"/>
    </row>
    <row r="2544" spans="2:10" x14ac:dyDescent="0.25">
      <c r="B2544" s="3">
        <f t="shared" si="319"/>
        <v>12620</v>
      </c>
      <c r="C2544" s="14">
        <f t="shared" si="320"/>
        <v>210.33333333333334</v>
      </c>
      <c r="D2544" s="11">
        <f t="shared" si="321"/>
        <v>1133.0583592584769</v>
      </c>
      <c r="E2544" s="24">
        <f t="shared" si="322"/>
        <v>844.75686077801402</v>
      </c>
      <c r="F2544" s="38">
        <f t="shared" si="317"/>
        <v>0.86053350651970251</v>
      </c>
      <c r="G2544" s="14">
        <f t="shared" si="318"/>
        <v>0</v>
      </c>
      <c r="H2544" s="24">
        <f t="shared" si="316"/>
        <v>701.64989239439433</v>
      </c>
      <c r="I2544" s="12">
        <f t="shared" si="323"/>
        <v>0.22148142110853408</v>
      </c>
      <c r="J2544" s="3"/>
    </row>
    <row r="2545" spans="2:10" x14ac:dyDescent="0.25">
      <c r="B2545" s="3">
        <f t="shared" si="319"/>
        <v>12625</v>
      </c>
      <c r="C2545" s="14">
        <f t="shared" si="320"/>
        <v>210.41666666666666</v>
      </c>
      <c r="D2545" s="11">
        <f t="shared" si="321"/>
        <v>1133.1176750139059</v>
      </c>
      <c r="E2545" s="24">
        <f t="shared" si="322"/>
        <v>844.97834219912249</v>
      </c>
      <c r="F2545" s="38">
        <f t="shared" si="317"/>
        <v>0.86090699812212124</v>
      </c>
      <c r="G2545" s="14">
        <f t="shared" si="318"/>
        <v>0</v>
      </c>
      <c r="H2545" s="24">
        <f t="shared" si="316"/>
        <v>701.34549210119314</v>
      </c>
      <c r="I2545" s="12">
        <f t="shared" si="323"/>
        <v>0.22142998662571783</v>
      </c>
      <c r="J2545" s="3"/>
    </row>
    <row r="2546" spans="2:10" x14ac:dyDescent="0.25">
      <c r="B2546" s="3">
        <f t="shared" si="319"/>
        <v>12630</v>
      </c>
      <c r="C2546" s="14">
        <f t="shared" si="320"/>
        <v>210.5</v>
      </c>
      <c r="D2546" s="11">
        <f t="shared" si="321"/>
        <v>1133.1769672965384</v>
      </c>
      <c r="E2546" s="24">
        <f t="shared" si="322"/>
        <v>845.1997721857482</v>
      </c>
      <c r="F2546" s="38">
        <f t="shared" si="317"/>
        <v>0.86127927713022034</v>
      </c>
      <c r="G2546" s="14">
        <f t="shared" si="318"/>
        <v>0</v>
      </c>
      <c r="H2546" s="24">
        <f t="shared" si="316"/>
        <v>701.04234280796481</v>
      </c>
      <c r="I2546" s="12">
        <f t="shared" si="323"/>
        <v>0.22137823331989631</v>
      </c>
      <c r="J2546" s="3"/>
    </row>
    <row r="2547" spans="2:10" x14ac:dyDescent="0.25">
      <c r="B2547" s="3">
        <f t="shared" si="319"/>
        <v>12635</v>
      </c>
      <c r="C2547" s="14">
        <f t="shared" si="320"/>
        <v>210.58333333333334</v>
      </c>
      <c r="D2547" s="11">
        <f t="shared" si="321"/>
        <v>1133.2362361249441</v>
      </c>
      <c r="E2547" s="24">
        <f t="shared" si="322"/>
        <v>845.42115041906811</v>
      </c>
      <c r="F2547" s="38">
        <f t="shared" si="317"/>
        <v>0.86165034887613612</v>
      </c>
      <c r="G2547" s="14">
        <f t="shared" si="318"/>
        <v>0</v>
      </c>
      <c r="H2547" s="24">
        <f t="shared" si="316"/>
        <v>700.74043727697324</v>
      </c>
      <c r="I2547" s="12">
        <f t="shared" si="323"/>
        <v>0.22132616311708403</v>
      </c>
      <c r="J2547" s="3"/>
    </row>
    <row r="2548" spans="2:10" x14ac:dyDescent="0.25">
      <c r="B2548" s="3">
        <f t="shared" si="319"/>
        <v>12640</v>
      </c>
      <c r="C2548" s="14">
        <f t="shared" si="320"/>
        <v>210.66666666666666</v>
      </c>
      <c r="D2548" s="11">
        <f t="shared" si="321"/>
        <v>1133.2954815176722</v>
      </c>
      <c r="E2548" s="24">
        <f t="shared" si="322"/>
        <v>845.64247658218517</v>
      </c>
      <c r="F2548" s="38">
        <f t="shared" si="317"/>
        <v>0.86202021866384004</v>
      </c>
      <c r="G2548" s="14">
        <f t="shared" si="318"/>
        <v>0</v>
      </c>
      <c r="H2548" s="24">
        <f t="shared" si="316"/>
        <v>700.43976832378667</v>
      </c>
      <c r="I2548" s="12">
        <f t="shared" si="323"/>
        <v>0.22127377793212125</v>
      </c>
      <c r="J2548" s="3"/>
    </row>
    <row r="2549" spans="2:10" x14ac:dyDescent="0.25">
      <c r="B2549" s="3">
        <f t="shared" si="319"/>
        <v>12645</v>
      </c>
      <c r="C2549" s="14">
        <f t="shared" si="320"/>
        <v>210.75</v>
      </c>
      <c r="D2549" s="11">
        <f t="shared" si="321"/>
        <v>1133.3547034932481</v>
      </c>
      <c r="E2549" s="24">
        <f t="shared" si="322"/>
        <v>845.86375036011725</v>
      </c>
      <c r="F2549" s="38">
        <f t="shared" si="317"/>
        <v>0.86238889176930322</v>
      </c>
      <c r="G2549" s="14">
        <f t="shared" si="318"/>
        <v>0</v>
      </c>
      <c r="H2549" s="24">
        <f t="shared" si="316"/>
        <v>700.14032881680509</v>
      </c>
      <c r="I2549" s="12">
        <f t="shared" si="323"/>
        <v>0.22122107966919127</v>
      </c>
      <c r="J2549" s="3"/>
    </row>
    <row r="2550" spans="2:10" x14ac:dyDescent="0.25">
      <c r="B2550" s="3">
        <f t="shared" si="319"/>
        <v>12650</v>
      </c>
      <c r="C2550" s="14">
        <f t="shared" si="320"/>
        <v>210.83333333333334</v>
      </c>
      <c r="D2550" s="11">
        <f t="shared" si="321"/>
        <v>1133.4139020701766</v>
      </c>
      <c r="E2550" s="24">
        <f t="shared" si="322"/>
        <v>846.08497143978639</v>
      </c>
      <c r="F2550" s="38">
        <f t="shared" si="317"/>
        <v>0.8627563734406547</v>
      </c>
      <c r="G2550" s="14">
        <f t="shared" si="318"/>
        <v>0</v>
      </c>
      <c r="H2550" s="24">
        <f t="shared" si="316"/>
        <v>699.84211167679359</v>
      </c>
      <c r="I2550" s="12">
        <f t="shared" si="323"/>
        <v>0.22116807022127813</v>
      </c>
      <c r="J2550" s="3"/>
    </row>
    <row r="2551" spans="2:10" x14ac:dyDescent="0.25">
      <c r="B2551" s="3">
        <f t="shared" si="319"/>
        <v>12655</v>
      </c>
      <c r="C2551" s="14">
        <f t="shared" si="320"/>
        <v>210.91666666666666</v>
      </c>
      <c r="D2551" s="11">
        <f t="shared" si="321"/>
        <v>1133.4730772669395</v>
      </c>
      <c r="E2551" s="24">
        <f t="shared" si="322"/>
        <v>846.30613951000771</v>
      </c>
      <c r="F2551" s="38">
        <f t="shared" si="317"/>
        <v>0.86312266889834244</v>
      </c>
      <c r="G2551" s="14">
        <f t="shared" si="318"/>
        <v>0</v>
      </c>
      <c r="H2551" s="24">
        <f t="shared" ref="H2551:H2614" si="324">IF(E2551&lt;600,425+0.773*E2551-1.69/1000*E2551^2+2.22/1000^2*E2551^3,IF(E2551&lt;735,666+13002/(738-E2551),IF(E2551&lt;900,545+17820/(E2551-731),650)))</f>
        <v>699.54510987642038</v>
      </c>
      <c r="I2551" s="12">
        <f t="shared" si="323"/>
        <v>0.221114751470847</v>
      </c>
      <c r="J2551" s="3"/>
    </row>
    <row r="2552" spans="2:10" x14ac:dyDescent="0.25">
      <c r="B2552" s="3">
        <f t="shared" si="319"/>
        <v>12660</v>
      </c>
      <c r="C2552" s="14">
        <f t="shared" si="320"/>
        <v>211</v>
      </c>
      <c r="D2552" s="11">
        <f t="shared" si="321"/>
        <v>1133.5322291019979</v>
      </c>
      <c r="E2552" s="24">
        <f t="shared" si="322"/>
        <v>846.52725426147856</v>
      </c>
      <c r="F2552" s="38">
        <f t="shared" si="317"/>
        <v>0.86348778333529119</v>
      </c>
      <c r="G2552" s="14">
        <f t="shared" si="318"/>
        <v>0</v>
      </c>
      <c r="H2552" s="24">
        <f t="shared" si="324"/>
        <v>699.24931643979971</v>
      </c>
      <c r="I2552" s="12">
        <f t="shared" si="323"/>
        <v>0.22106112528936162</v>
      </c>
      <c r="J2552" s="3"/>
    </row>
    <row r="2553" spans="2:10" x14ac:dyDescent="0.25">
      <c r="B2553" s="3">
        <f t="shared" si="319"/>
        <v>12665</v>
      </c>
      <c r="C2553" s="14">
        <f t="shared" si="320"/>
        <v>211.08333333333334</v>
      </c>
      <c r="D2553" s="11">
        <f t="shared" si="321"/>
        <v>1133.59135759379</v>
      </c>
      <c r="E2553" s="24">
        <f t="shared" si="322"/>
        <v>846.7483153867679</v>
      </c>
      <c r="F2553" s="38">
        <f t="shared" si="317"/>
        <v>0.86385172191706161</v>
      </c>
      <c r="G2553" s="14">
        <f t="shared" si="318"/>
        <v>0</v>
      </c>
      <c r="H2553" s="24">
        <f t="shared" si="324"/>
        <v>698.95472444203835</v>
      </c>
      <c r="I2553" s="12">
        <f t="shared" si="323"/>
        <v>0.22100719353784196</v>
      </c>
      <c r="J2553" s="3"/>
    </row>
    <row r="2554" spans="2:10" x14ac:dyDescent="0.25">
      <c r="B2554" s="3">
        <f t="shared" si="319"/>
        <v>12670</v>
      </c>
      <c r="C2554" s="14">
        <f t="shared" si="320"/>
        <v>211.16666666666666</v>
      </c>
      <c r="D2554" s="11">
        <f t="shared" si="321"/>
        <v>1133.6504627607326</v>
      </c>
      <c r="E2554" s="24">
        <f t="shared" si="322"/>
        <v>846.96932258030574</v>
      </c>
      <c r="F2554" s="38">
        <f t="shared" si="317"/>
        <v>0.86421448978200754</v>
      </c>
      <c r="G2554" s="14">
        <f t="shared" si="318"/>
        <v>0</v>
      </c>
      <c r="H2554" s="24">
        <f t="shared" si="324"/>
        <v>698.66132700878813</v>
      </c>
      <c r="I2554" s="12">
        <f t="shared" si="323"/>
        <v>0.22095295806656312</v>
      </c>
      <c r="J2554" s="3"/>
    </row>
    <row r="2555" spans="2:10" x14ac:dyDescent="0.25">
      <c r="B2555" s="3">
        <f t="shared" si="319"/>
        <v>12675</v>
      </c>
      <c r="C2555" s="14">
        <f t="shared" si="320"/>
        <v>211.25</v>
      </c>
      <c r="D2555" s="11">
        <f t="shared" si="321"/>
        <v>1133.7095446212206</v>
      </c>
      <c r="E2555" s="24">
        <f t="shared" si="322"/>
        <v>847.19027553837236</v>
      </c>
      <c r="F2555" s="38">
        <f t="shared" si="317"/>
        <v>0.86457609204143138</v>
      </c>
      <c r="G2555" s="14">
        <f t="shared" si="318"/>
        <v>0</v>
      </c>
      <c r="H2555" s="24">
        <f t="shared" si="324"/>
        <v>698.3691173158021</v>
      </c>
      <c r="I2555" s="12">
        <f t="shared" si="323"/>
        <v>0.22089842071530733</v>
      </c>
      <c r="J2555" s="3"/>
    </row>
    <row r="2556" spans="2:10" x14ac:dyDescent="0.25">
      <c r="B2556" s="3">
        <f t="shared" si="319"/>
        <v>12680</v>
      </c>
      <c r="C2556" s="14">
        <f t="shared" si="320"/>
        <v>211.33333333333334</v>
      </c>
      <c r="D2556" s="11">
        <f t="shared" si="321"/>
        <v>1133.7686031936278</v>
      </c>
      <c r="E2556" s="24">
        <f t="shared" si="322"/>
        <v>847.41117395908771</v>
      </c>
      <c r="F2556" s="38">
        <f t="shared" si="317"/>
        <v>0.86493653377974067</v>
      </c>
      <c r="G2556" s="14">
        <f t="shared" si="318"/>
        <v>0</v>
      </c>
      <c r="H2556" s="24">
        <f t="shared" si="324"/>
        <v>698.07808858849558</v>
      </c>
      <c r="I2556" s="12">
        <f t="shared" si="323"/>
        <v>0.22084358331334752</v>
      </c>
      <c r="J2556" s="3"/>
    </row>
    <row r="2557" spans="2:10" x14ac:dyDescent="0.25">
      <c r="B2557" s="3">
        <f t="shared" si="319"/>
        <v>12685</v>
      </c>
      <c r="C2557" s="14">
        <f t="shared" si="320"/>
        <v>211.41666666666666</v>
      </c>
      <c r="D2557" s="11">
        <f t="shared" si="321"/>
        <v>1133.8276384963051</v>
      </c>
      <c r="E2557" s="24">
        <f t="shared" si="322"/>
        <v>847.63201754240106</v>
      </c>
      <c r="F2557" s="38">
        <f t="shared" si="317"/>
        <v>0.86529582005460193</v>
      </c>
      <c r="G2557" s="14">
        <f t="shared" si="318"/>
        <v>0</v>
      </c>
      <c r="H2557" s="24">
        <f t="shared" si="324"/>
        <v>697.78823410151176</v>
      </c>
      <c r="I2557" s="12">
        <f t="shared" si="323"/>
        <v>0.22078844767965694</v>
      </c>
      <c r="J2557" s="3"/>
    </row>
    <row r="2558" spans="2:10" x14ac:dyDescent="0.25">
      <c r="B2558" s="3">
        <f t="shared" si="319"/>
        <v>12690</v>
      </c>
      <c r="C2558" s="14">
        <f t="shared" si="320"/>
        <v>211.5</v>
      </c>
      <c r="D2558" s="11">
        <f t="shared" si="321"/>
        <v>1133.8866505475826</v>
      </c>
      <c r="E2558" s="24">
        <f t="shared" si="322"/>
        <v>847.8528059900807</v>
      </c>
      <c r="F2558" s="38">
        <f t="shared" si="317"/>
        <v>0.86565395589709493</v>
      </c>
      <c r="G2558" s="14">
        <f t="shared" si="318"/>
        <v>0</v>
      </c>
      <c r="H2558" s="24">
        <f t="shared" si="324"/>
        <v>697.4995471782911</v>
      </c>
      <c r="I2558" s="12">
        <f t="shared" si="323"/>
        <v>0.22073301562274905</v>
      </c>
      <c r="J2558" s="3"/>
    </row>
    <row r="2559" spans="2:10" x14ac:dyDescent="0.25">
      <c r="B2559" s="3">
        <f t="shared" si="319"/>
        <v>12695</v>
      </c>
      <c r="C2559" s="14">
        <f t="shared" si="320"/>
        <v>211.58333333333334</v>
      </c>
      <c r="D2559" s="11">
        <f t="shared" si="321"/>
        <v>1133.9456393657686</v>
      </c>
      <c r="E2559" s="24">
        <f t="shared" si="322"/>
        <v>848.07353900570342</v>
      </c>
      <c r="F2559" s="38">
        <f t="shared" si="317"/>
        <v>0.86601094631186659</v>
      </c>
      <c r="G2559" s="14">
        <f t="shared" si="318"/>
        <v>0</v>
      </c>
      <c r="H2559" s="24">
        <f t="shared" si="324"/>
        <v>697.2120211906456</v>
      </c>
      <c r="I2559" s="12">
        <f t="shared" si="323"/>
        <v>0.22067728894090718</v>
      </c>
      <c r="J2559" s="3"/>
    </row>
    <row r="2560" spans="2:10" x14ac:dyDescent="0.25">
      <c r="B2560" s="3">
        <f t="shared" si="319"/>
        <v>12700</v>
      </c>
      <c r="C2560" s="14">
        <f t="shared" si="320"/>
        <v>211.66666666666666</v>
      </c>
      <c r="D2560" s="11">
        <f t="shared" si="321"/>
        <v>1134.0046049691491</v>
      </c>
      <c r="E2560" s="24">
        <f t="shared" si="322"/>
        <v>848.29421629464434</v>
      </c>
      <c r="F2560" s="38">
        <f t="shared" si="317"/>
        <v>0.86636679627728108</v>
      </c>
      <c r="G2560" s="14">
        <f t="shared" si="318"/>
        <v>0</v>
      </c>
      <c r="H2560" s="24">
        <f t="shared" si="324"/>
        <v>696.92564955833768</v>
      </c>
      <c r="I2560" s="12">
        <f t="shared" si="323"/>
        <v>0.22062126942226878</v>
      </c>
      <c r="J2560" s="3"/>
    </row>
    <row r="2561" spans="2:10" x14ac:dyDescent="0.25">
      <c r="B2561" s="3">
        <f t="shared" si="319"/>
        <v>12705</v>
      </c>
      <c r="C2561" s="14">
        <f t="shared" si="320"/>
        <v>211.75</v>
      </c>
      <c r="D2561" s="11">
        <f t="shared" si="321"/>
        <v>1134.0635473759896</v>
      </c>
      <c r="E2561" s="24">
        <f t="shared" si="322"/>
        <v>848.51483756406662</v>
      </c>
      <c r="F2561" s="38">
        <f t="shared" si="317"/>
        <v>0.86672151074557313</v>
      </c>
      <c r="G2561" s="14">
        <f t="shared" si="318"/>
        <v>0</v>
      </c>
      <c r="H2561" s="24">
        <f t="shared" si="324"/>
        <v>696.64042574866266</v>
      </c>
      <c r="I2561" s="12">
        <f t="shared" si="323"/>
        <v>0.22056495884468524</v>
      </c>
      <c r="J2561" s="3"/>
    </row>
    <row r="2562" spans="2:10" x14ac:dyDescent="0.25">
      <c r="B2562" s="3">
        <f t="shared" si="319"/>
        <v>12710</v>
      </c>
      <c r="C2562" s="14">
        <f t="shared" si="320"/>
        <v>211.83333333333334</v>
      </c>
      <c r="D2562" s="11">
        <f t="shared" si="321"/>
        <v>1134.1224666045337</v>
      </c>
      <c r="E2562" s="24">
        <f t="shared" si="322"/>
        <v>848.73540252291127</v>
      </c>
      <c r="F2562" s="38">
        <f t="shared" si="317"/>
        <v>0.86707509464299737</v>
      </c>
      <c r="G2562" s="14">
        <f t="shared" si="318"/>
        <v>0</v>
      </c>
      <c r="H2562" s="24">
        <f t="shared" si="324"/>
        <v>696.35634327603566</v>
      </c>
      <c r="I2562" s="12">
        <f t="shared" si="323"/>
        <v>0.22050835897603185</v>
      </c>
      <c r="J2562" s="3"/>
    </row>
    <row r="2563" spans="2:10" x14ac:dyDescent="0.25">
      <c r="B2563" s="3">
        <f t="shared" si="319"/>
        <v>12715</v>
      </c>
      <c r="C2563" s="14">
        <f t="shared" si="320"/>
        <v>211.91666666666666</v>
      </c>
      <c r="D2563" s="11">
        <f t="shared" si="321"/>
        <v>1134.1813626730029</v>
      </c>
      <c r="E2563" s="24">
        <f t="shared" si="322"/>
        <v>848.95591088188735</v>
      </c>
      <c r="F2563" s="38">
        <f t="shared" si="317"/>
        <v>0.86742755286997864</v>
      </c>
      <c r="G2563" s="14">
        <f t="shared" si="318"/>
        <v>0</v>
      </c>
      <c r="H2563" s="24">
        <f t="shared" si="324"/>
        <v>696.07339570158274</v>
      </c>
      <c r="I2563" s="12">
        <f t="shared" si="323"/>
        <v>0.22045147157416781</v>
      </c>
      <c r="J2563" s="3"/>
    </row>
    <row r="2564" spans="2:10" x14ac:dyDescent="0.25">
      <c r="B2564" s="3">
        <f t="shared" si="319"/>
        <v>12720</v>
      </c>
      <c r="C2564" s="14">
        <f t="shared" si="320"/>
        <v>212</v>
      </c>
      <c r="D2564" s="11">
        <f t="shared" si="321"/>
        <v>1134.240235599598</v>
      </c>
      <c r="E2564" s="24">
        <f t="shared" si="322"/>
        <v>849.17636235346151</v>
      </c>
      <c r="F2564" s="38">
        <f t="shared" si="317"/>
        <v>0.86777889030126032</v>
      </c>
      <c r="G2564" s="14">
        <f t="shared" si="318"/>
        <v>0</v>
      </c>
      <c r="H2564" s="24">
        <f t="shared" si="324"/>
        <v>695.79157663273622</v>
      </c>
      <c r="I2564" s="12">
        <f t="shared" si="323"/>
        <v>0.22039429838693847</v>
      </c>
      <c r="J2564" s="3"/>
    </row>
    <row r="2565" spans="2:10" x14ac:dyDescent="0.25">
      <c r="B2565" s="3">
        <f t="shared" si="319"/>
        <v>12725</v>
      </c>
      <c r="C2565" s="14">
        <f t="shared" si="320"/>
        <v>212.08333333333334</v>
      </c>
      <c r="D2565" s="11">
        <f t="shared" si="321"/>
        <v>1134.2990854024977</v>
      </c>
      <c r="E2565" s="24">
        <f t="shared" si="322"/>
        <v>849.39675665184848</v>
      </c>
      <c r="F2565" s="38">
        <f t="shared" si="317"/>
        <v>0.86812911178605301</v>
      </c>
      <c r="G2565" s="14">
        <f t="shared" si="318"/>
        <v>0</v>
      </c>
      <c r="H2565" s="24">
        <f t="shared" si="324"/>
        <v>695.51087972283392</v>
      </c>
      <c r="I2565" s="12">
        <f t="shared" si="323"/>
        <v>0.22033684115236044</v>
      </c>
      <c r="J2565" s="3"/>
    </row>
    <row r="2566" spans="2:10" x14ac:dyDescent="0.25">
      <c r="B2566" s="3">
        <f t="shared" si="319"/>
        <v>12730</v>
      </c>
      <c r="C2566" s="14">
        <f t="shared" si="320"/>
        <v>212.16666666666666</v>
      </c>
      <c r="D2566" s="11">
        <f t="shared" si="321"/>
        <v>1134.35791209986</v>
      </c>
      <c r="E2566" s="24">
        <f t="shared" si="322"/>
        <v>849.61709349300088</v>
      </c>
      <c r="F2566" s="38">
        <f t="shared" si="317"/>
        <v>0.86847822214818138</v>
      </c>
      <c r="G2566" s="14">
        <f t="shared" si="318"/>
        <v>0</v>
      </c>
      <c r="H2566" s="24">
        <f t="shared" si="324"/>
        <v>695.23129867072225</v>
      </c>
      <c r="I2566" s="12">
        <f t="shared" si="323"/>
        <v>0.22027910159851966</v>
      </c>
      <c r="J2566" s="3"/>
    </row>
    <row r="2567" spans="2:10" x14ac:dyDescent="0.25">
      <c r="B2567" s="3">
        <f t="shared" si="319"/>
        <v>12735</v>
      </c>
      <c r="C2567" s="14">
        <f t="shared" si="320"/>
        <v>212.25</v>
      </c>
      <c r="D2567" s="11">
        <f t="shared" si="321"/>
        <v>1134.4167157098207</v>
      </c>
      <c r="E2567" s="24">
        <f t="shared" si="322"/>
        <v>849.8373725945994</v>
      </c>
      <c r="F2567" s="38">
        <f t="shared" si="317"/>
        <v>0.86882622618622996</v>
      </c>
      <c r="G2567" s="14">
        <f t="shared" si="318"/>
        <v>0</v>
      </c>
      <c r="H2567" s="24">
        <f t="shared" si="324"/>
        <v>694.95282722036416</v>
      </c>
      <c r="I2567" s="12">
        <f t="shared" si="323"/>
        <v>0.22022108144387958</v>
      </c>
      <c r="J2567" s="3"/>
    </row>
    <row r="2568" spans="2:10" x14ac:dyDescent="0.25">
      <c r="B2568" s="3">
        <f t="shared" si="319"/>
        <v>12740</v>
      </c>
      <c r="C2568" s="14">
        <f t="shared" si="320"/>
        <v>212.33333333333334</v>
      </c>
      <c r="D2568" s="11">
        <f t="shared" si="321"/>
        <v>1134.4754962504946</v>
      </c>
      <c r="E2568" s="24">
        <f t="shared" si="322"/>
        <v>850.05759367604333</v>
      </c>
      <c r="F2568" s="38">
        <f t="shared" si="317"/>
        <v>0.86917312867369045</v>
      </c>
      <c r="G2568" s="14">
        <f t="shared" si="318"/>
        <v>0</v>
      </c>
      <c r="H2568" s="24">
        <f t="shared" si="324"/>
        <v>694.67545916044935</v>
      </c>
      <c r="I2568" s="12">
        <f t="shared" si="323"/>
        <v>0.22016278239707499</v>
      </c>
      <c r="J2568" s="3"/>
    </row>
    <row r="2569" spans="2:10" x14ac:dyDescent="0.25">
      <c r="B2569" s="3">
        <f t="shared" si="319"/>
        <v>12745</v>
      </c>
      <c r="C2569" s="14">
        <f t="shared" si="320"/>
        <v>212.41666666666666</v>
      </c>
      <c r="D2569" s="11">
        <f t="shared" si="321"/>
        <v>1134.5342537399758</v>
      </c>
      <c r="E2569" s="24">
        <f t="shared" si="322"/>
        <v>850.27775645844042</v>
      </c>
      <c r="F2569" s="38">
        <f t="shared" si="317"/>
        <v>0.86951893435910366</v>
      </c>
      <c r="G2569" s="14">
        <f t="shared" si="318"/>
        <v>0</v>
      </c>
      <c r="H2569" s="24">
        <f t="shared" si="324"/>
        <v>694.39918832401054</v>
      </c>
      <c r="I2569" s="12">
        <f t="shared" si="323"/>
        <v>0.22010420615709694</v>
      </c>
      <c r="J2569" s="3"/>
    </row>
    <row r="2570" spans="2:10" x14ac:dyDescent="0.25">
      <c r="B2570" s="3">
        <f t="shared" si="319"/>
        <v>12750</v>
      </c>
      <c r="C2570" s="14">
        <f t="shared" si="320"/>
        <v>212.5</v>
      </c>
      <c r="D2570" s="11">
        <f t="shared" si="321"/>
        <v>1134.5929881963361</v>
      </c>
      <c r="E2570" s="24">
        <f t="shared" si="322"/>
        <v>850.49786066459751</v>
      </c>
      <c r="F2570" s="38">
        <f t="shared" si="317"/>
        <v>0.86986364796620663</v>
      </c>
      <c r="G2570" s="14">
        <f t="shared" si="318"/>
        <v>0</v>
      </c>
      <c r="H2570" s="24">
        <f t="shared" si="324"/>
        <v>694.12400858804131</v>
      </c>
      <c r="I2570" s="12">
        <f t="shared" si="323"/>
        <v>0.22004535441345516</v>
      </c>
      <c r="J2570" s="3"/>
    </row>
    <row r="2571" spans="2:10" x14ac:dyDescent="0.25">
      <c r="B2571" s="3">
        <f t="shared" si="319"/>
        <v>12755</v>
      </c>
      <c r="C2571" s="14">
        <f t="shared" si="320"/>
        <v>212.58333333333334</v>
      </c>
      <c r="D2571" s="11">
        <f t="shared" si="321"/>
        <v>1134.651699637627</v>
      </c>
      <c r="E2571" s="24">
        <f t="shared" si="322"/>
        <v>850.71790601901091</v>
      </c>
      <c r="F2571" s="38">
        <f t="shared" si="317"/>
        <v>0.87020727419407351</v>
      </c>
      <c r="G2571" s="14">
        <f t="shared" si="318"/>
        <v>0</v>
      </c>
      <c r="H2571" s="24">
        <f t="shared" si="324"/>
        <v>693.84991387311959</v>
      </c>
      <c r="I2571" s="12">
        <f t="shared" si="323"/>
        <v>0.21998622884599184</v>
      </c>
      <c r="J2571" s="3"/>
    </row>
    <row r="2572" spans="2:10" x14ac:dyDescent="0.25">
      <c r="B2572" s="3">
        <f t="shared" si="319"/>
        <v>12760</v>
      </c>
      <c r="C2572" s="14">
        <f t="shared" si="320"/>
        <v>212.66666666666666</v>
      </c>
      <c r="D2572" s="11">
        <f t="shared" si="321"/>
        <v>1134.7103880818777</v>
      </c>
      <c r="E2572" s="24">
        <f t="shared" si="322"/>
        <v>850.93789224785689</v>
      </c>
      <c r="F2572" s="38">
        <f t="shared" si="317"/>
        <v>0.87054981771725914</v>
      </c>
      <c r="G2572" s="14">
        <f t="shared" si="318"/>
        <v>0</v>
      </c>
      <c r="H2572" s="24">
        <f t="shared" si="324"/>
        <v>693.57689814303376</v>
      </c>
      <c r="I2572" s="12">
        <f t="shared" si="323"/>
        <v>0.21992683112522918</v>
      </c>
      <c r="J2572" s="3"/>
    </row>
    <row r="2573" spans="2:10" x14ac:dyDescent="0.25">
      <c r="B2573" s="3">
        <f t="shared" si="319"/>
        <v>12765</v>
      </c>
      <c r="C2573" s="14">
        <f t="shared" si="320"/>
        <v>212.75</v>
      </c>
      <c r="D2573" s="11">
        <f t="shared" si="321"/>
        <v>1134.7690535470974</v>
      </c>
      <c r="E2573" s="24">
        <f t="shared" si="322"/>
        <v>851.15781907898213</v>
      </c>
      <c r="F2573" s="38">
        <f t="shared" si="317"/>
        <v>0.87089128318593956</v>
      </c>
      <c r="G2573" s="14">
        <f t="shared" si="318"/>
        <v>0</v>
      </c>
      <c r="H2573" s="24">
        <f t="shared" si="324"/>
        <v>693.30495540441325</v>
      </c>
      <c r="I2573" s="12">
        <f t="shared" si="323"/>
        <v>0.21986716291211958</v>
      </c>
      <c r="J2573" s="3"/>
    </row>
    <row r="2574" spans="2:10" x14ac:dyDescent="0.25">
      <c r="B2574" s="3">
        <f t="shared" si="319"/>
        <v>12770</v>
      </c>
      <c r="C2574" s="14">
        <f t="shared" si="320"/>
        <v>212.83333333333334</v>
      </c>
      <c r="D2574" s="11">
        <f t="shared" si="321"/>
        <v>1134.8276960512731</v>
      </c>
      <c r="E2574" s="24">
        <f t="shared" si="322"/>
        <v>851.37768624189425</v>
      </c>
      <c r="F2574" s="38">
        <f t="shared" si="317"/>
        <v>0.8712316752260536</v>
      </c>
      <c r="G2574" s="14">
        <f t="shared" si="318"/>
        <v>0</v>
      </c>
      <c r="H2574" s="24">
        <f t="shared" si="324"/>
        <v>693.03407970636192</v>
      </c>
      <c r="I2574" s="12">
        <f t="shared" si="323"/>
        <v>0.21980722585845536</v>
      </c>
      <c r="J2574" s="3"/>
    </row>
    <row r="2575" spans="2:10" x14ac:dyDescent="0.25">
      <c r="B2575" s="3">
        <f t="shared" si="319"/>
        <v>12775</v>
      </c>
      <c r="C2575" s="14">
        <f t="shared" si="320"/>
        <v>212.91666666666666</v>
      </c>
      <c r="D2575" s="11">
        <f t="shared" si="321"/>
        <v>1134.8863156123716</v>
      </c>
      <c r="E2575" s="24">
        <f t="shared" si="322"/>
        <v>851.59749346775266</v>
      </c>
      <c r="F2575" s="38">
        <f t="shared" si="317"/>
        <v>0.87157099843944252</v>
      </c>
      <c r="G2575" s="14">
        <f t="shared" si="318"/>
        <v>0</v>
      </c>
      <c r="H2575" s="24">
        <f t="shared" si="324"/>
        <v>692.76426514009597</v>
      </c>
      <c r="I2575" s="12">
        <f t="shared" si="323"/>
        <v>0.2197470216065143</v>
      </c>
      <c r="J2575" s="3"/>
    </row>
    <row r="2576" spans="2:10" x14ac:dyDescent="0.25">
      <c r="B2576" s="3">
        <f t="shared" si="319"/>
        <v>12780</v>
      </c>
      <c r="C2576" s="14">
        <f t="shared" si="320"/>
        <v>213</v>
      </c>
      <c r="D2576" s="11">
        <f t="shared" si="321"/>
        <v>1134.9449122483381</v>
      </c>
      <c r="E2576" s="24">
        <f t="shared" si="322"/>
        <v>851.81724048935916</v>
      </c>
      <c r="F2576" s="38">
        <f t="shared" si="317"/>
        <v>0.8719092574039885</v>
      </c>
      <c r="G2576" s="14">
        <f t="shared" si="318"/>
        <v>0</v>
      </c>
      <c r="H2576" s="24">
        <f t="shared" si="324"/>
        <v>692.49550583858502</v>
      </c>
      <c r="I2576" s="12">
        <f t="shared" si="323"/>
        <v>0.21968655178955138</v>
      </c>
      <c r="J2576" s="3"/>
    </row>
    <row r="2577" spans="2:10" x14ac:dyDescent="0.25">
      <c r="B2577" s="3">
        <f t="shared" si="319"/>
        <v>12785</v>
      </c>
      <c r="C2577" s="14">
        <f t="shared" si="320"/>
        <v>213.08333333333334</v>
      </c>
      <c r="D2577" s="11">
        <f t="shared" si="321"/>
        <v>1135.0034859770969</v>
      </c>
      <c r="E2577" s="24">
        <f t="shared" si="322"/>
        <v>852.03692704114872</v>
      </c>
      <c r="F2577" s="38">
        <f t="shared" si="317"/>
        <v>0.87224645667375489</v>
      </c>
      <c r="G2577" s="14">
        <f t="shared" si="318"/>
        <v>0</v>
      </c>
      <c r="H2577" s="24">
        <f t="shared" si="324"/>
        <v>692.22779597619626</v>
      </c>
      <c r="I2577" s="12">
        <f t="shared" si="323"/>
        <v>0.21962581803152567</v>
      </c>
      <c r="J2577" s="3"/>
    </row>
    <row r="2578" spans="2:10" x14ac:dyDescent="0.25">
      <c r="B2578" s="3">
        <f t="shared" si="319"/>
        <v>12790</v>
      </c>
      <c r="C2578" s="14">
        <f t="shared" si="320"/>
        <v>213.16666666666666</v>
      </c>
      <c r="D2578" s="11">
        <f t="shared" si="321"/>
        <v>1135.062036816551</v>
      </c>
      <c r="E2578" s="24">
        <f t="shared" si="322"/>
        <v>852.25655285918026</v>
      </c>
      <c r="F2578" s="38">
        <f t="shared" si="317"/>
        <v>0.87258260077912109</v>
      </c>
      <c r="G2578" s="14">
        <f t="shared" si="318"/>
        <v>0</v>
      </c>
      <c r="H2578" s="24">
        <f t="shared" si="324"/>
        <v>691.96112976834354</v>
      </c>
      <c r="I2578" s="12">
        <f t="shared" si="323"/>
        <v>0.21956482194734397</v>
      </c>
      <c r="J2578" s="3"/>
    </row>
    <row r="2579" spans="2:10" x14ac:dyDescent="0.25">
      <c r="B2579" s="3">
        <f t="shared" si="319"/>
        <v>12795</v>
      </c>
      <c r="C2579" s="14">
        <f t="shared" si="320"/>
        <v>213.25</v>
      </c>
      <c r="D2579" s="11">
        <f t="shared" si="321"/>
        <v>1135.1205647845832</v>
      </c>
      <c r="E2579" s="24">
        <f t="shared" si="322"/>
        <v>852.47611768112756</v>
      </c>
      <c r="F2579" s="38">
        <f t="shared" si="317"/>
        <v>0.87291769422692145</v>
      </c>
      <c r="G2579" s="14">
        <f t="shared" si="318"/>
        <v>0</v>
      </c>
      <c r="H2579" s="24">
        <f t="shared" si="324"/>
        <v>691.69550147113819</v>
      </c>
      <c r="I2579" s="12">
        <f t="shared" si="323"/>
        <v>0.21950356514273175</v>
      </c>
      <c r="J2579" s="3"/>
    </row>
    <row r="2580" spans="2:10" x14ac:dyDescent="0.25">
      <c r="B2580" s="3">
        <f t="shared" si="319"/>
        <v>12800</v>
      </c>
      <c r="C2580" s="14">
        <f t="shared" si="320"/>
        <v>213.33333333333334</v>
      </c>
      <c r="D2580" s="11">
        <f t="shared" si="321"/>
        <v>1135.179069899054</v>
      </c>
      <c r="E2580" s="24">
        <f t="shared" si="322"/>
        <v>852.69562124627032</v>
      </c>
      <c r="F2580" s="38">
        <f t="shared" ref="F2580:F2643" si="325">Cp*RhoP/(RhoA*H2580)*dp/1000*MassivP</f>
        <v>0.87325174150058071</v>
      </c>
      <c r="G2580" s="14">
        <f t="shared" ref="G2580:G2643" si="326">Phi*EpsilonF*Botzman/10^8*J2580*((D2580+273)^4-(E2580+273)^4)</f>
        <v>0</v>
      </c>
      <c r="H2580" s="24">
        <f t="shared" si="324"/>
        <v>691.43090538104423</v>
      </c>
      <c r="I2580" s="12">
        <f t="shared" si="323"/>
        <v>0.21944204921464061</v>
      </c>
      <c r="J2580" s="3"/>
    </row>
    <row r="2581" spans="2:10" x14ac:dyDescent="0.25">
      <c r="B2581" s="3">
        <f t="shared" ref="B2581:B2644" si="327">B2580+DeltaT</f>
        <v>12805</v>
      </c>
      <c r="C2581" s="14">
        <f t="shared" ref="C2581:C2644" si="328">B2581/60</f>
        <v>213.41666666666666</v>
      </c>
      <c r="D2581" s="11">
        <f t="shared" ref="D2581:D2644" si="329">20+345*LOG(8*C2581+1,10)</f>
        <v>1135.2375521778044</v>
      </c>
      <c r="E2581" s="24">
        <f t="shared" ref="E2581:E2644" si="330">E2580+IF(Limit=Oui,MAX(0,I2580),I2580)</f>
        <v>852.91506329548497</v>
      </c>
      <c r="F2581" s="38">
        <f t="shared" si="325"/>
        <v>0.87358474706024869</v>
      </c>
      <c r="G2581" s="14">
        <f t="shared" si="326"/>
        <v>0</v>
      </c>
      <c r="H2581" s="24">
        <f t="shared" si="324"/>
        <v>691.16733583453708</v>
      </c>
      <c r="I2581" s="12">
        <f t="shared" ref="I2581:I2644" si="331">LambdaP*MassivP/(dp/1000)/(H2581*RhoA)/(1+F2581/3)*(D2581-E2581)*DeltaT-(EXP(F2581/10)-1)*(D2581-D2580)</f>
        <v>0.21938027575078814</v>
      </c>
      <c r="J2581" s="3"/>
    </row>
    <row r="2582" spans="2:10" x14ac:dyDescent="0.25">
      <c r="B2582" s="3">
        <f t="shared" si="327"/>
        <v>12810</v>
      </c>
      <c r="C2582" s="14">
        <f t="shared" si="328"/>
        <v>213.5</v>
      </c>
      <c r="D2582" s="11">
        <f t="shared" si="329"/>
        <v>1135.2960116386541</v>
      </c>
      <c r="E2582" s="24">
        <f t="shared" si="330"/>
        <v>853.13444357123581</v>
      </c>
      <c r="F2582" s="38">
        <f t="shared" si="325"/>
        <v>0.87391671534293525</v>
      </c>
      <c r="G2582" s="14">
        <f t="shared" si="326"/>
        <v>0</v>
      </c>
      <c r="H2582" s="24">
        <f t="shared" si="324"/>
        <v>690.90478720776548</v>
      </c>
      <c r="I2582" s="12">
        <f t="shared" si="331"/>
        <v>0.21931824633020972</v>
      </c>
      <c r="J2582" s="3"/>
    </row>
    <row r="2583" spans="2:10" x14ac:dyDescent="0.25">
      <c r="B2583" s="3">
        <f t="shared" si="327"/>
        <v>12815</v>
      </c>
      <c r="C2583" s="14">
        <f t="shared" si="328"/>
        <v>213.58333333333334</v>
      </c>
      <c r="D2583" s="11">
        <f t="shared" si="329"/>
        <v>1135.3544482994014</v>
      </c>
      <c r="E2583" s="24">
        <f t="shared" si="330"/>
        <v>853.35376181756601</v>
      </c>
      <c r="F2583" s="38">
        <f t="shared" si="325"/>
        <v>0.87424765076264399</v>
      </c>
      <c r="G2583" s="14">
        <f t="shared" si="326"/>
        <v>0</v>
      </c>
      <c r="H2583" s="24">
        <f t="shared" si="324"/>
        <v>690.64325391621617</v>
      </c>
      <c r="I2583" s="12">
        <f t="shared" si="331"/>
        <v>0.21925596252306573</v>
      </c>
      <c r="J2583" s="3"/>
    </row>
    <row r="2584" spans="2:10" x14ac:dyDescent="0.25">
      <c r="B2584" s="3">
        <f t="shared" si="327"/>
        <v>12820</v>
      </c>
      <c r="C2584" s="14">
        <f t="shared" si="328"/>
        <v>213.66666666666666</v>
      </c>
      <c r="D2584" s="11">
        <f t="shared" si="329"/>
        <v>1135.4128621778241</v>
      </c>
      <c r="E2584" s="24">
        <f t="shared" si="330"/>
        <v>853.57301778008912</v>
      </c>
      <c r="F2584" s="38">
        <f t="shared" si="325"/>
        <v>0.87457755771050427</v>
      </c>
      <c r="G2584" s="14">
        <f t="shared" si="326"/>
        <v>0</v>
      </c>
      <c r="H2584" s="24">
        <f t="shared" si="324"/>
        <v>690.38273041438242</v>
      </c>
      <c r="I2584" s="12">
        <f t="shared" si="331"/>
        <v>0.21919342589067581</v>
      </c>
      <c r="J2584" s="3"/>
    </row>
    <row r="2585" spans="2:10" x14ac:dyDescent="0.25">
      <c r="B2585" s="3">
        <f t="shared" si="327"/>
        <v>12825</v>
      </c>
      <c r="C2585" s="14">
        <f t="shared" si="328"/>
        <v>213.75</v>
      </c>
      <c r="D2585" s="11">
        <f t="shared" si="329"/>
        <v>1135.4712532916794</v>
      </c>
      <c r="E2585" s="24">
        <f t="shared" si="330"/>
        <v>853.79221120597981</v>
      </c>
      <c r="F2585" s="38">
        <f t="shared" si="325"/>
        <v>0.87490644055490518</v>
      </c>
      <c r="G2585" s="14">
        <f t="shared" si="326"/>
        <v>0</v>
      </c>
      <c r="H2585" s="24">
        <f t="shared" si="324"/>
        <v>690.12321119543606</v>
      </c>
      <c r="I2585" s="12">
        <f t="shared" si="331"/>
        <v>0.21913063798565641</v>
      </c>
      <c r="J2585" s="3"/>
    </row>
    <row r="2586" spans="2:10" x14ac:dyDescent="0.25">
      <c r="B2586" s="3">
        <f t="shared" si="327"/>
        <v>12830</v>
      </c>
      <c r="C2586" s="14">
        <f t="shared" si="328"/>
        <v>213.83333333333334</v>
      </c>
      <c r="D2586" s="11">
        <f t="shared" si="329"/>
        <v>1135.5296216587039</v>
      </c>
      <c r="E2586" s="24">
        <f t="shared" si="330"/>
        <v>854.01134184396551</v>
      </c>
      <c r="F2586" s="38">
        <f t="shared" si="325"/>
        <v>0.87523430364162524</v>
      </c>
      <c r="G2586" s="14">
        <f t="shared" si="326"/>
        <v>0</v>
      </c>
      <c r="H2586" s="24">
        <f t="shared" si="324"/>
        <v>689.86469079090193</v>
      </c>
      <c r="I2586" s="12">
        <f t="shared" si="331"/>
        <v>0.21906760035195461</v>
      </c>
      <c r="J2586" s="3"/>
    </row>
    <row r="2587" spans="2:10" x14ac:dyDescent="0.25">
      <c r="B2587" s="3">
        <f t="shared" si="327"/>
        <v>12835</v>
      </c>
      <c r="C2587" s="14">
        <f t="shared" si="328"/>
        <v>213.91666666666666</v>
      </c>
      <c r="D2587" s="11">
        <f t="shared" si="329"/>
        <v>1135.5879672966128</v>
      </c>
      <c r="E2587" s="24">
        <f t="shared" si="330"/>
        <v>854.2304094443175</v>
      </c>
      <c r="F2587" s="38">
        <f t="shared" si="325"/>
        <v>0.87556115129396339</v>
      </c>
      <c r="G2587" s="14">
        <f t="shared" si="326"/>
        <v>0</v>
      </c>
      <c r="H2587" s="24">
        <f t="shared" si="324"/>
        <v>689.60716377033611</v>
      </c>
      <c r="I2587" s="12">
        <f t="shared" si="331"/>
        <v>0.21900431452496372</v>
      </c>
      <c r="J2587" s="3"/>
    </row>
    <row r="2588" spans="2:10" x14ac:dyDescent="0.25">
      <c r="B2588" s="3">
        <f t="shared" si="327"/>
        <v>12840</v>
      </c>
      <c r="C2588" s="14">
        <f t="shared" si="328"/>
        <v>214</v>
      </c>
      <c r="D2588" s="11">
        <f t="shared" si="329"/>
        <v>1135.646290223101</v>
      </c>
      <c r="E2588" s="24">
        <f t="shared" si="330"/>
        <v>854.44941375884241</v>
      </c>
      <c r="F2588" s="38">
        <f t="shared" si="325"/>
        <v>0.87588698781286867</v>
      </c>
      <c r="G2588" s="14">
        <f t="shared" si="326"/>
        <v>0</v>
      </c>
      <c r="H2588" s="24">
        <f t="shared" si="324"/>
        <v>689.35062474100732</v>
      </c>
      <c r="I2588" s="12">
        <f t="shared" si="331"/>
        <v>0.21894078203139078</v>
      </c>
      <c r="J2588" s="3"/>
    </row>
    <row r="2589" spans="2:10" x14ac:dyDescent="0.25">
      <c r="B2589" s="3">
        <f t="shared" si="327"/>
        <v>12845</v>
      </c>
      <c r="C2589" s="14">
        <f t="shared" si="328"/>
        <v>214.08333333333334</v>
      </c>
      <c r="D2589" s="11">
        <f t="shared" si="329"/>
        <v>1135.7045904558431</v>
      </c>
      <c r="E2589" s="24">
        <f t="shared" si="330"/>
        <v>854.66835454087379</v>
      </c>
      <c r="F2589" s="38">
        <f t="shared" si="325"/>
        <v>0.87621181747707155</v>
      </c>
      <c r="G2589" s="14">
        <f t="shared" si="326"/>
        <v>0</v>
      </c>
      <c r="H2589" s="24">
        <f t="shared" si="324"/>
        <v>689.09506834758031</v>
      </c>
      <c r="I2589" s="12">
        <f t="shared" si="331"/>
        <v>0.21887700438949612</v>
      </c>
      <c r="J2589" s="3"/>
    </row>
    <row r="2590" spans="2:10" x14ac:dyDescent="0.25">
      <c r="B2590" s="3">
        <f t="shared" si="327"/>
        <v>12850</v>
      </c>
      <c r="C2590" s="14">
        <f t="shared" si="328"/>
        <v>214.16666666666666</v>
      </c>
      <c r="D2590" s="11">
        <f t="shared" si="329"/>
        <v>1135.7628680124924</v>
      </c>
      <c r="E2590" s="24">
        <f t="shared" si="330"/>
        <v>854.88723154526326</v>
      </c>
      <c r="F2590" s="38">
        <f t="shared" si="325"/>
        <v>0.87653564454320831</v>
      </c>
      <c r="G2590" s="14">
        <f t="shared" si="326"/>
        <v>0</v>
      </c>
      <c r="H2590" s="24">
        <f t="shared" si="324"/>
        <v>688.84048927180447</v>
      </c>
      <c r="I2590" s="12">
        <f t="shared" si="331"/>
        <v>0.21881298310912553</v>
      </c>
      <c r="J2590" s="3"/>
    </row>
    <row r="2591" spans="2:10" x14ac:dyDescent="0.25">
      <c r="B2591" s="3">
        <f t="shared" si="327"/>
        <v>12855</v>
      </c>
      <c r="C2591" s="14">
        <f t="shared" si="328"/>
        <v>214.25</v>
      </c>
      <c r="D2591" s="11">
        <f t="shared" si="329"/>
        <v>1135.8211229106823</v>
      </c>
      <c r="E2591" s="24">
        <f t="shared" si="330"/>
        <v>855.10604452837242</v>
      </c>
      <c r="F2591" s="38">
        <f t="shared" si="325"/>
        <v>0.87685847324595201</v>
      </c>
      <c r="G2591" s="14">
        <f t="shared" si="326"/>
        <v>0</v>
      </c>
      <c r="H2591" s="24">
        <f t="shared" si="324"/>
        <v>688.58688223220338</v>
      </c>
      <c r="I2591" s="12">
        <f t="shared" si="331"/>
        <v>0.21874871969159682</v>
      </c>
      <c r="J2591" s="3"/>
    </row>
    <row r="2592" spans="2:10" x14ac:dyDescent="0.25">
      <c r="B2592" s="3">
        <f t="shared" si="327"/>
        <v>12860</v>
      </c>
      <c r="C2592" s="14">
        <f t="shared" si="328"/>
        <v>214.33333333333334</v>
      </c>
      <c r="D2592" s="11">
        <f t="shared" si="329"/>
        <v>1135.8793551680249</v>
      </c>
      <c r="E2592" s="24">
        <f t="shared" si="330"/>
        <v>855.324793248064</v>
      </c>
      <c r="F2592" s="38">
        <f t="shared" si="325"/>
        <v>0.87718030779813805</v>
      </c>
      <c r="G2592" s="14">
        <f t="shared" si="326"/>
        <v>0</v>
      </c>
      <c r="H2592" s="24">
        <f t="shared" si="324"/>
        <v>688.33424198376861</v>
      </c>
      <c r="I2592" s="12">
        <f t="shared" si="331"/>
        <v>0.21868421563004242</v>
      </c>
      <c r="J2592" s="3"/>
    </row>
    <row r="2593" spans="2:10" x14ac:dyDescent="0.25">
      <c r="B2593" s="3">
        <f t="shared" si="327"/>
        <v>12865</v>
      </c>
      <c r="C2593" s="14">
        <f t="shared" si="328"/>
        <v>214.41666666666666</v>
      </c>
      <c r="D2593" s="11">
        <f t="shared" si="329"/>
        <v>1135.9375648021123</v>
      </c>
      <c r="E2593" s="24">
        <f t="shared" si="330"/>
        <v>855.54347746369399</v>
      </c>
      <c r="F2593" s="38">
        <f t="shared" si="325"/>
        <v>0.87750115239088988</v>
      </c>
      <c r="G2593" s="14">
        <f t="shared" si="326"/>
        <v>0</v>
      </c>
      <c r="H2593" s="24">
        <f t="shared" si="324"/>
        <v>688.08256331765551</v>
      </c>
      <c r="I2593" s="12">
        <f t="shared" si="331"/>
        <v>0.21861947240910845</v>
      </c>
      <c r="J2593" s="3"/>
    </row>
    <row r="2594" spans="2:10" x14ac:dyDescent="0.25">
      <c r="B2594" s="3">
        <f t="shared" si="327"/>
        <v>12870</v>
      </c>
      <c r="C2594" s="14">
        <f t="shared" si="328"/>
        <v>214.5</v>
      </c>
      <c r="D2594" s="11">
        <f t="shared" si="329"/>
        <v>1135.9957518305162</v>
      </c>
      <c r="E2594" s="24">
        <f t="shared" si="330"/>
        <v>855.76209693610315</v>
      </c>
      <c r="F2594" s="38">
        <f t="shared" si="325"/>
        <v>0.87782101119374534</v>
      </c>
      <c r="G2594" s="14">
        <f t="shared" si="326"/>
        <v>0</v>
      </c>
      <c r="H2594" s="24">
        <f t="shared" si="324"/>
        <v>687.83184106088333</v>
      </c>
      <c r="I2594" s="12">
        <f t="shared" si="331"/>
        <v>0.21855449150531753</v>
      </c>
      <c r="J2594" s="3"/>
    </row>
    <row r="2595" spans="2:10" x14ac:dyDescent="0.25">
      <c r="B2595" s="3">
        <f t="shared" si="327"/>
        <v>12875</v>
      </c>
      <c r="C2595" s="14">
        <f t="shared" si="328"/>
        <v>214.58333333333334</v>
      </c>
      <c r="D2595" s="11">
        <f t="shared" si="329"/>
        <v>1136.0539162707871</v>
      </c>
      <c r="E2595" s="24">
        <f t="shared" si="330"/>
        <v>855.98065142760845</v>
      </c>
      <c r="F2595" s="38">
        <f t="shared" si="325"/>
        <v>0.87813988835478107</v>
      </c>
      <c r="G2595" s="14">
        <f t="shared" si="326"/>
        <v>0</v>
      </c>
      <c r="H2595" s="24">
        <f t="shared" si="324"/>
        <v>687.58207007603687</v>
      </c>
      <c r="I2595" s="12">
        <f t="shared" si="331"/>
        <v>0.21848927438697444</v>
      </c>
      <c r="J2595" s="3"/>
    </row>
    <row r="2596" spans="2:10" x14ac:dyDescent="0.25">
      <c r="B2596" s="3">
        <f t="shared" si="327"/>
        <v>12880</v>
      </c>
      <c r="C2596" s="14">
        <f t="shared" si="328"/>
        <v>214.66666666666666</v>
      </c>
      <c r="D2596" s="11">
        <f t="shared" si="329"/>
        <v>1136.1120581404562</v>
      </c>
      <c r="E2596" s="24">
        <f t="shared" si="330"/>
        <v>856.19914070199547</v>
      </c>
      <c r="F2596" s="38">
        <f t="shared" si="325"/>
        <v>0.87845778800073548</v>
      </c>
      <c r="G2596" s="14">
        <f t="shared" si="326"/>
        <v>0</v>
      </c>
      <c r="H2596" s="24">
        <f t="shared" si="324"/>
        <v>687.33324526097147</v>
      </c>
      <c r="I2596" s="12">
        <f t="shared" si="331"/>
        <v>0.21842382251415476</v>
      </c>
      <c r="J2596" s="3"/>
    </row>
    <row r="2597" spans="2:10" x14ac:dyDescent="0.25">
      <c r="B2597" s="3">
        <f t="shared" si="327"/>
        <v>12885</v>
      </c>
      <c r="C2597" s="14">
        <f t="shared" si="328"/>
        <v>214.75</v>
      </c>
      <c r="D2597" s="11">
        <f t="shared" si="329"/>
        <v>1136.1701774570329</v>
      </c>
      <c r="E2597" s="24">
        <f t="shared" si="330"/>
        <v>856.41756452450966</v>
      </c>
      <c r="F2597" s="38">
        <f t="shared" si="325"/>
        <v>0.87877471423713427</v>
      </c>
      <c r="G2597" s="14">
        <f t="shared" si="326"/>
        <v>0</v>
      </c>
      <c r="H2597" s="24">
        <f t="shared" si="324"/>
        <v>687.08536154852163</v>
      </c>
      <c r="I2597" s="12">
        <f t="shared" si="331"/>
        <v>0.21835813733898357</v>
      </c>
      <c r="J2597" s="3"/>
    </row>
    <row r="2598" spans="2:10" x14ac:dyDescent="0.25">
      <c r="B2598" s="3">
        <f t="shared" si="327"/>
        <v>12890</v>
      </c>
      <c r="C2598" s="14">
        <f t="shared" si="328"/>
        <v>214.83333333333334</v>
      </c>
      <c r="D2598" s="11">
        <f t="shared" si="329"/>
        <v>1136.2282742380075</v>
      </c>
      <c r="E2598" s="24">
        <f t="shared" si="330"/>
        <v>856.63592266184867</v>
      </c>
      <c r="F2598" s="38">
        <f t="shared" si="325"/>
        <v>0.87909067114840966</v>
      </c>
      <c r="G2598" s="14">
        <f t="shared" si="326"/>
        <v>0</v>
      </c>
      <c r="H2598" s="24">
        <f t="shared" si="324"/>
        <v>686.83841390621092</v>
      </c>
      <c r="I2598" s="12">
        <f t="shared" si="331"/>
        <v>0.21829222030535311</v>
      </c>
      <c r="J2598" s="3"/>
    </row>
    <row r="2599" spans="2:10" x14ac:dyDescent="0.25">
      <c r="B2599" s="3">
        <f t="shared" si="327"/>
        <v>12895</v>
      </c>
      <c r="C2599" s="14">
        <f t="shared" si="328"/>
        <v>214.91666666666666</v>
      </c>
      <c r="D2599" s="11">
        <f t="shared" si="329"/>
        <v>1136.2863485008497</v>
      </c>
      <c r="E2599" s="24">
        <f t="shared" si="330"/>
        <v>856.854214882154</v>
      </c>
      <c r="F2599" s="38">
        <f t="shared" si="325"/>
        <v>0.8794056627980249</v>
      </c>
      <c r="G2599" s="14">
        <f t="shared" si="326"/>
        <v>0</v>
      </c>
      <c r="H2599" s="24">
        <f t="shared" si="324"/>
        <v>686.5923973359661</v>
      </c>
      <c r="I2599" s="12">
        <f t="shared" si="331"/>
        <v>0.21822607284928486</v>
      </c>
      <c r="J2599" s="3"/>
    </row>
    <row r="2600" spans="2:10" x14ac:dyDescent="0.25">
      <c r="B2600" s="3">
        <f t="shared" si="327"/>
        <v>12900</v>
      </c>
      <c r="C2600" s="14">
        <f t="shared" si="328"/>
        <v>215</v>
      </c>
      <c r="D2600" s="11">
        <f t="shared" si="329"/>
        <v>1136.3444002630081</v>
      </c>
      <c r="E2600" s="24">
        <f t="shared" si="330"/>
        <v>857.07244095500323</v>
      </c>
      <c r="F2600" s="38">
        <f t="shared" si="325"/>
        <v>0.87971969322859445</v>
      </c>
      <c r="G2600" s="14">
        <f t="shared" si="326"/>
        <v>0</v>
      </c>
      <c r="H2600" s="24">
        <f t="shared" si="324"/>
        <v>686.34730687383274</v>
      </c>
      <c r="I2600" s="12">
        <f t="shared" si="331"/>
        <v>0.21815969639887403</v>
      </c>
      <c r="J2600" s="3"/>
    </row>
    <row r="2601" spans="2:10" x14ac:dyDescent="0.25">
      <c r="B2601" s="3">
        <f t="shared" si="327"/>
        <v>12905</v>
      </c>
      <c r="C2601" s="14">
        <f t="shared" si="328"/>
        <v>215.08333333333334</v>
      </c>
      <c r="D2601" s="11">
        <f t="shared" si="329"/>
        <v>1136.4024295419119</v>
      </c>
      <c r="E2601" s="24">
        <f t="shared" si="330"/>
        <v>857.29060065140209</v>
      </c>
      <c r="F2601" s="38">
        <f t="shared" si="325"/>
        <v>0.8800327664620039</v>
      </c>
      <c r="G2601" s="14">
        <f t="shared" si="326"/>
        <v>0</v>
      </c>
      <c r="H2601" s="24">
        <f t="shared" si="324"/>
        <v>686.10313758969482</v>
      </c>
      <c r="I2601" s="12">
        <f t="shared" si="331"/>
        <v>0.21809309237417285</v>
      </c>
      <c r="J2601" s="3"/>
    </row>
    <row r="2602" spans="2:10" x14ac:dyDescent="0.25">
      <c r="B2602" s="3">
        <f t="shared" si="327"/>
        <v>12910</v>
      </c>
      <c r="C2602" s="14">
        <f t="shared" si="328"/>
        <v>215.16666666666666</v>
      </c>
      <c r="D2602" s="11">
        <f t="shared" si="329"/>
        <v>1136.4604363549697</v>
      </c>
      <c r="E2602" s="24">
        <f t="shared" si="330"/>
        <v>857.50869374377623</v>
      </c>
      <c r="F2602" s="38">
        <f t="shared" si="325"/>
        <v>0.88034488649952991</v>
      </c>
      <c r="G2602" s="14">
        <f t="shared" si="326"/>
        <v>0</v>
      </c>
      <c r="H2602" s="24">
        <f t="shared" si="324"/>
        <v>685.85988458699649</v>
      </c>
      <c r="I2602" s="12">
        <f t="shared" si="331"/>
        <v>0.21802626218753055</v>
      </c>
      <c r="J2602" s="3"/>
    </row>
    <row r="2603" spans="2:10" x14ac:dyDescent="0.25">
      <c r="B2603" s="3">
        <f t="shared" si="327"/>
        <v>12915</v>
      </c>
      <c r="C2603" s="14">
        <f t="shared" si="328"/>
        <v>215.25</v>
      </c>
      <c r="D2603" s="11">
        <f t="shared" si="329"/>
        <v>1136.5184207195698</v>
      </c>
      <c r="E2603" s="24">
        <f t="shared" si="330"/>
        <v>857.72672000596378</v>
      </c>
      <c r="F2603" s="38">
        <f t="shared" si="325"/>
        <v>0.8806560573219594</v>
      </c>
      <c r="G2603" s="14">
        <f t="shared" si="326"/>
        <v>0</v>
      </c>
      <c r="H2603" s="24">
        <f t="shared" si="324"/>
        <v>685.61754300246537</v>
      </c>
      <c r="I2603" s="12">
        <f t="shared" si="331"/>
        <v>0.21795920724341281</v>
      </c>
      <c r="J2603" s="3"/>
    </row>
    <row r="2604" spans="2:10" x14ac:dyDescent="0.25">
      <c r="B2604" s="3">
        <f t="shared" si="327"/>
        <v>12920</v>
      </c>
      <c r="C2604" s="14">
        <f t="shared" si="328"/>
        <v>215.33333333333334</v>
      </c>
      <c r="D2604" s="11">
        <f t="shared" si="329"/>
        <v>1136.5763826530804</v>
      </c>
      <c r="E2604" s="24">
        <f t="shared" si="330"/>
        <v>857.94467921320722</v>
      </c>
      <c r="F2604" s="38">
        <f t="shared" si="325"/>
        <v>0.88096628288970702</v>
      </c>
      <c r="G2604" s="14">
        <f t="shared" si="326"/>
        <v>0</v>
      </c>
      <c r="H2604" s="24">
        <f t="shared" si="324"/>
        <v>685.37610800584093</v>
      </c>
      <c r="I2604" s="12">
        <f t="shared" si="331"/>
        <v>0.2178919289385538</v>
      </c>
      <c r="J2604" s="3"/>
    </row>
    <row r="2605" spans="2:10" x14ac:dyDescent="0.25">
      <c r="B2605" s="3">
        <f t="shared" si="327"/>
        <v>12925</v>
      </c>
      <c r="C2605" s="14">
        <f t="shared" si="328"/>
        <v>215.41666666666666</v>
      </c>
      <c r="D2605" s="11">
        <f t="shared" si="329"/>
        <v>1136.6343221728498</v>
      </c>
      <c r="E2605" s="24">
        <f t="shared" si="330"/>
        <v>858.16257114214579</v>
      </c>
      <c r="F2605" s="38">
        <f t="shared" si="325"/>
        <v>0.88127556714293398</v>
      </c>
      <c r="G2605" s="14">
        <f t="shared" si="326"/>
        <v>0</v>
      </c>
      <c r="H2605" s="24">
        <f t="shared" si="324"/>
        <v>685.13557479960286</v>
      </c>
      <c r="I2605" s="12">
        <f t="shared" si="331"/>
        <v>0.2178244286619419</v>
      </c>
      <c r="J2605" s="3"/>
    </row>
    <row r="2606" spans="2:10" x14ac:dyDescent="0.25">
      <c r="B2606" s="3">
        <f t="shared" si="327"/>
        <v>12930</v>
      </c>
      <c r="C2606" s="14">
        <f t="shared" si="328"/>
        <v>215.5</v>
      </c>
      <c r="D2606" s="11">
        <f t="shared" si="329"/>
        <v>1136.6922392962058</v>
      </c>
      <c r="E2606" s="24">
        <f t="shared" si="330"/>
        <v>858.38039557080776</v>
      </c>
      <c r="F2606" s="38">
        <f t="shared" si="325"/>
        <v>0.88158391400166303</v>
      </c>
      <c r="G2606" s="14">
        <f t="shared" si="326"/>
        <v>0</v>
      </c>
      <c r="H2606" s="24">
        <f t="shared" si="324"/>
        <v>684.89593861870435</v>
      </c>
      <c r="I2606" s="12">
        <f t="shared" si="331"/>
        <v>0.21775670779499151</v>
      </c>
      <c r="J2606" s="3"/>
    </row>
    <row r="2607" spans="2:10" x14ac:dyDescent="0.25">
      <c r="B2607" s="3">
        <f t="shared" si="327"/>
        <v>12935</v>
      </c>
      <c r="C2607" s="14">
        <f t="shared" si="328"/>
        <v>215.58333333333334</v>
      </c>
      <c r="D2607" s="11">
        <f t="shared" si="329"/>
        <v>1136.7501340404567</v>
      </c>
      <c r="E2607" s="24">
        <f t="shared" si="330"/>
        <v>858.59815227860281</v>
      </c>
      <c r="F2607" s="38">
        <f t="shared" si="325"/>
        <v>0.88189132736589637</v>
      </c>
      <c r="G2607" s="14">
        <f t="shared" si="326"/>
        <v>0</v>
      </c>
      <c r="H2607" s="24">
        <f t="shared" si="324"/>
        <v>684.65719473030549</v>
      </c>
      <c r="I2607" s="12">
        <f t="shared" si="331"/>
        <v>0.21768876771138243</v>
      </c>
      <c r="J2607" s="3"/>
    </row>
    <row r="2608" spans="2:10" x14ac:dyDescent="0.25">
      <c r="B2608" s="3">
        <f t="shared" si="327"/>
        <v>12940</v>
      </c>
      <c r="C2608" s="14">
        <f t="shared" si="328"/>
        <v>215.66666666666666</v>
      </c>
      <c r="D2608" s="11">
        <f t="shared" si="329"/>
        <v>1136.8080064228898</v>
      </c>
      <c r="E2608" s="24">
        <f t="shared" si="330"/>
        <v>858.81584104631418</v>
      </c>
      <c r="F2608" s="38">
        <f t="shared" si="325"/>
        <v>0.88219781111573015</v>
      </c>
      <c r="G2608" s="14">
        <f t="shared" si="326"/>
        <v>0</v>
      </c>
      <c r="H2608" s="24">
        <f t="shared" si="324"/>
        <v>684.4193384335116</v>
      </c>
      <c r="I2608" s="12">
        <f t="shared" si="331"/>
        <v>0.21762060977739825</v>
      </c>
      <c r="J2608" s="3"/>
    </row>
    <row r="2609" spans="2:10" x14ac:dyDescent="0.25">
      <c r="B2609" s="3">
        <f t="shared" si="327"/>
        <v>12945</v>
      </c>
      <c r="C2609" s="14">
        <f t="shared" si="328"/>
        <v>215.75</v>
      </c>
      <c r="D2609" s="11">
        <f t="shared" si="329"/>
        <v>1136.8658564607731</v>
      </c>
      <c r="E2609" s="24">
        <f t="shared" si="330"/>
        <v>859.03346165609162</v>
      </c>
      <c r="F2609" s="38">
        <f t="shared" si="325"/>
        <v>0.88250336911146987</v>
      </c>
      <c r="G2609" s="14">
        <f t="shared" si="326"/>
        <v>0</v>
      </c>
      <c r="H2609" s="24">
        <f t="shared" si="324"/>
        <v>684.18236505911227</v>
      </c>
      <c r="I2609" s="12">
        <f t="shared" si="331"/>
        <v>0.21755223535161791</v>
      </c>
      <c r="J2609" s="3"/>
    </row>
    <row r="2610" spans="2:10" x14ac:dyDescent="0.25">
      <c r="B2610" s="3">
        <f t="shared" si="327"/>
        <v>12950</v>
      </c>
      <c r="C2610" s="14">
        <f t="shared" si="328"/>
        <v>215.83333333333334</v>
      </c>
      <c r="D2610" s="11">
        <f t="shared" si="329"/>
        <v>1136.9236841713548</v>
      </c>
      <c r="E2610" s="24">
        <f t="shared" si="330"/>
        <v>859.25101389144322</v>
      </c>
      <c r="F2610" s="38">
        <f t="shared" si="325"/>
        <v>0.88280800519374292</v>
      </c>
      <c r="G2610" s="14">
        <f t="shared" si="326"/>
        <v>0</v>
      </c>
      <c r="H2610" s="24">
        <f t="shared" si="324"/>
        <v>683.94626996932402</v>
      </c>
      <c r="I2610" s="12">
        <f t="shared" si="331"/>
        <v>0.21748364578523416</v>
      </c>
      <c r="J2610" s="3"/>
    </row>
    <row r="2611" spans="2:10" x14ac:dyDescent="0.25">
      <c r="B2611" s="3">
        <f t="shared" si="327"/>
        <v>12955</v>
      </c>
      <c r="C2611" s="14">
        <f t="shared" si="328"/>
        <v>215.91666666666666</v>
      </c>
      <c r="D2611" s="11">
        <f t="shared" si="329"/>
        <v>1136.9814895718619</v>
      </c>
      <c r="E2611" s="24">
        <f t="shared" si="330"/>
        <v>859.46849753722847</v>
      </c>
      <c r="F2611" s="38">
        <f t="shared" si="325"/>
        <v>0.88311172318361442</v>
      </c>
      <c r="G2611" s="14">
        <f t="shared" si="326"/>
        <v>0</v>
      </c>
      <c r="H2611" s="24">
        <f t="shared" si="324"/>
        <v>683.71104855753447</v>
      </c>
      <c r="I2611" s="12">
        <f t="shared" si="331"/>
        <v>0.21741484242211898</v>
      </c>
      <c r="J2611" s="3"/>
    </row>
    <row r="2612" spans="2:10" x14ac:dyDescent="0.25">
      <c r="B2612" s="3">
        <f t="shared" si="327"/>
        <v>12960</v>
      </c>
      <c r="C2612" s="14">
        <f t="shared" si="328"/>
        <v>216</v>
      </c>
      <c r="D2612" s="11">
        <f t="shared" si="329"/>
        <v>1137.0392726795033</v>
      </c>
      <c r="E2612" s="24">
        <f t="shared" si="330"/>
        <v>859.68591237965063</v>
      </c>
      <c r="F2612" s="38">
        <f t="shared" si="325"/>
        <v>0.88341452688269784</v>
      </c>
      <c r="G2612" s="14">
        <f t="shared" si="326"/>
        <v>0</v>
      </c>
      <c r="H2612" s="24">
        <f t="shared" si="324"/>
        <v>683.47669624804962</v>
      </c>
      <c r="I2612" s="12">
        <f t="shared" si="331"/>
        <v>0.21734582659847354</v>
      </c>
      <c r="J2612" s="3"/>
    </row>
    <row r="2613" spans="2:10" x14ac:dyDescent="0.25">
      <c r="B2613" s="3">
        <f t="shared" si="327"/>
        <v>12965</v>
      </c>
      <c r="C2613" s="14">
        <f t="shared" si="328"/>
        <v>216.08333333333334</v>
      </c>
      <c r="D2613" s="11">
        <f t="shared" si="329"/>
        <v>1137.0970335114664</v>
      </c>
      <c r="E2613" s="24">
        <f t="shared" si="330"/>
        <v>859.90325820624912</v>
      </c>
      <c r="F2613" s="38">
        <f t="shared" si="325"/>
        <v>0.88371642007326823</v>
      </c>
      <c r="G2613" s="14">
        <f t="shared" si="326"/>
        <v>0</v>
      </c>
      <c r="H2613" s="24">
        <f t="shared" si="324"/>
        <v>683.24320849584319</v>
      </c>
      <c r="I2613" s="12">
        <f t="shared" si="331"/>
        <v>0.21727659964349993</v>
      </c>
      <c r="J2613" s="3"/>
    </row>
    <row r="2614" spans="2:10" x14ac:dyDescent="0.25">
      <c r="B2614" s="3">
        <f t="shared" si="327"/>
        <v>12970</v>
      </c>
      <c r="C2614" s="14">
        <f t="shared" si="328"/>
        <v>216.16666666666666</v>
      </c>
      <c r="D2614" s="11">
        <f t="shared" si="329"/>
        <v>1137.1547720849194</v>
      </c>
      <c r="E2614" s="24">
        <f t="shared" si="330"/>
        <v>860.12053480589259</v>
      </c>
      <c r="F2614" s="38">
        <f t="shared" si="325"/>
        <v>0.88401740651837302</v>
      </c>
      <c r="G2614" s="14">
        <f t="shared" si="326"/>
        <v>0</v>
      </c>
      <c r="H2614" s="24">
        <f t="shared" si="324"/>
        <v>683.01058078630854</v>
      </c>
      <c r="I2614" s="12">
        <f t="shared" si="331"/>
        <v>0.21720716287890202</v>
      </c>
      <c r="J2614" s="3"/>
    </row>
    <row r="2615" spans="2:10" x14ac:dyDescent="0.25">
      <c r="B2615" s="3">
        <f t="shared" si="327"/>
        <v>12975</v>
      </c>
      <c r="C2615" s="14">
        <f t="shared" si="328"/>
        <v>216.25</v>
      </c>
      <c r="D2615" s="11">
        <f t="shared" si="329"/>
        <v>1137.2124884170107</v>
      </c>
      <c r="E2615" s="24">
        <f t="shared" si="330"/>
        <v>860.33774196877152</v>
      </c>
      <c r="F2615" s="38">
        <f t="shared" si="325"/>
        <v>0.88431748996194304</v>
      </c>
      <c r="G2615" s="14">
        <f t="shared" si="326"/>
        <v>0</v>
      </c>
      <c r="H2615" s="24">
        <f t="shared" ref="H2615:H2678" si="332">IF(E2615&lt;600,425+0.773*E2615-1.69/1000*E2615^2+2.22/1000^2*E2615^3,IF(E2615&lt;735,666+13002/(738-E2615),IF(E2615&lt;900,545+17820/(E2615-731),650)))</f>
        <v>682.77880863501252</v>
      </c>
      <c r="I2615" s="12">
        <f t="shared" si="331"/>
        <v>0.21713751761916086</v>
      </c>
      <c r="J2615" s="3"/>
    </row>
    <row r="2616" spans="2:10" x14ac:dyDescent="0.25">
      <c r="B2616" s="3">
        <f t="shared" si="327"/>
        <v>12980</v>
      </c>
      <c r="C2616" s="14">
        <f t="shared" si="328"/>
        <v>216.33333333333334</v>
      </c>
      <c r="D2616" s="11">
        <f t="shared" si="329"/>
        <v>1137.2701825248689</v>
      </c>
      <c r="E2616" s="24">
        <f t="shared" si="330"/>
        <v>860.55487948639063</v>
      </c>
      <c r="F2616" s="38">
        <f t="shared" si="325"/>
        <v>0.88461667412890244</v>
      </c>
      <c r="G2616" s="14">
        <f t="shared" si="326"/>
        <v>0</v>
      </c>
      <c r="H2616" s="24">
        <f t="shared" si="332"/>
        <v>682.54788758745235</v>
      </c>
      <c r="I2616" s="12">
        <f t="shared" si="331"/>
        <v>0.21706766517159989</v>
      </c>
      <c r="J2616" s="3"/>
    </row>
    <row r="2617" spans="2:10" x14ac:dyDescent="0.25">
      <c r="B2617" s="3">
        <f t="shared" si="327"/>
        <v>12985</v>
      </c>
      <c r="C2617" s="14">
        <f t="shared" si="328"/>
        <v>216.41666666666666</v>
      </c>
      <c r="D2617" s="11">
        <f t="shared" si="329"/>
        <v>1137.3278544256029</v>
      </c>
      <c r="E2617" s="24">
        <f t="shared" si="330"/>
        <v>860.77194715156224</v>
      </c>
      <c r="F2617" s="38">
        <f t="shared" si="325"/>
        <v>0.88491496272527836</v>
      </c>
      <c r="G2617" s="14">
        <f t="shared" si="326"/>
        <v>0</v>
      </c>
      <c r="H2617" s="24">
        <f t="shared" si="332"/>
        <v>682.31781321881385</v>
      </c>
      <c r="I2617" s="12">
        <f t="shared" si="331"/>
        <v>0.21699760683634522</v>
      </c>
      <c r="J2617" s="3"/>
    </row>
    <row r="2618" spans="2:10" x14ac:dyDescent="0.25">
      <c r="B2618" s="3">
        <f t="shared" si="327"/>
        <v>12990</v>
      </c>
      <c r="C2618" s="14">
        <f t="shared" si="328"/>
        <v>216.5</v>
      </c>
      <c r="D2618" s="11">
        <f t="shared" si="329"/>
        <v>1137.3855041363011</v>
      </c>
      <c r="E2618" s="24">
        <f t="shared" si="330"/>
        <v>860.98894475839859</v>
      </c>
      <c r="F2618" s="38">
        <f t="shared" si="325"/>
        <v>0.88521235943830945</v>
      </c>
      <c r="G2618" s="14">
        <f t="shared" si="326"/>
        <v>0</v>
      </c>
      <c r="H2618" s="24">
        <f t="shared" si="332"/>
        <v>682.08858113373253</v>
      </c>
      <c r="I2618" s="12">
        <f t="shared" si="331"/>
        <v>0.2169273439065155</v>
      </c>
      <c r="J2618" s="3"/>
    </row>
    <row r="2619" spans="2:10" x14ac:dyDescent="0.25">
      <c r="B2619" s="3">
        <f t="shared" si="327"/>
        <v>12995</v>
      </c>
      <c r="C2619" s="14">
        <f t="shared" si="328"/>
        <v>216.58333333333334</v>
      </c>
      <c r="D2619" s="11">
        <f t="shared" si="329"/>
        <v>1137.4431316740333</v>
      </c>
      <c r="E2619" s="24">
        <f t="shared" si="330"/>
        <v>861.20587210230508</v>
      </c>
      <c r="F2619" s="38">
        <f t="shared" si="325"/>
        <v>0.8855088679365537</v>
      </c>
      <c r="G2619" s="14">
        <f t="shared" si="326"/>
        <v>0</v>
      </c>
      <c r="H2619" s="24">
        <f t="shared" si="332"/>
        <v>681.8601869660572</v>
      </c>
      <c r="I2619" s="12">
        <f t="shared" si="331"/>
        <v>0.21685687766793088</v>
      </c>
      <c r="J2619" s="3"/>
    </row>
    <row r="2620" spans="2:10" x14ac:dyDescent="0.25">
      <c r="B2620" s="3">
        <f t="shared" si="327"/>
        <v>13000</v>
      </c>
      <c r="C2620" s="14">
        <f t="shared" si="328"/>
        <v>216.66666666666666</v>
      </c>
      <c r="D2620" s="11">
        <f t="shared" si="329"/>
        <v>1137.500737055849</v>
      </c>
      <c r="E2620" s="24">
        <f t="shared" si="330"/>
        <v>861.42272897997304</v>
      </c>
      <c r="F2620" s="38">
        <f t="shared" si="325"/>
        <v>0.88580449186999655</v>
      </c>
      <c r="G2620" s="14">
        <f t="shared" si="326"/>
        <v>0</v>
      </c>
      <c r="H2620" s="24">
        <f t="shared" si="332"/>
        <v>681.63262637861487</v>
      </c>
      <c r="I2620" s="12">
        <f t="shared" si="331"/>
        <v>0.216786209399638</v>
      </c>
      <c r="J2620" s="3"/>
    </row>
    <row r="2621" spans="2:10" x14ac:dyDescent="0.25">
      <c r="B2621" s="3">
        <f t="shared" si="327"/>
        <v>13005</v>
      </c>
      <c r="C2621" s="14">
        <f t="shared" si="328"/>
        <v>216.75</v>
      </c>
      <c r="D2621" s="11">
        <f t="shared" si="329"/>
        <v>1137.5583202987777</v>
      </c>
      <c r="E2621" s="24">
        <f t="shared" si="330"/>
        <v>861.63951518937267</v>
      </c>
      <c r="F2621" s="38">
        <f t="shared" si="325"/>
        <v>0.88609923487015707</v>
      </c>
      <c r="G2621" s="14">
        <f t="shared" si="326"/>
        <v>0</v>
      </c>
      <c r="H2621" s="24">
        <f t="shared" si="332"/>
        <v>681.40589506297886</v>
      </c>
      <c r="I2621" s="12">
        <f t="shared" si="331"/>
        <v>0.2167153403735543</v>
      </c>
      <c r="J2621" s="3"/>
    </row>
    <row r="2622" spans="2:10" x14ac:dyDescent="0.25">
      <c r="B2622" s="3">
        <f t="shared" si="327"/>
        <v>13010</v>
      </c>
      <c r="C2622" s="14">
        <f t="shared" si="328"/>
        <v>216.83333333333334</v>
      </c>
      <c r="D2622" s="11">
        <f t="shared" si="329"/>
        <v>1137.6158814198302</v>
      </c>
      <c r="E2622" s="24">
        <f t="shared" si="330"/>
        <v>861.8562305297462</v>
      </c>
      <c r="F2622" s="38">
        <f t="shared" si="325"/>
        <v>0.8863931005501946</v>
      </c>
      <c r="G2622" s="14">
        <f t="shared" si="326"/>
        <v>0</v>
      </c>
      <c r="H2622" s="24">
        <f t="shared" si="332"/>
        <v>681.1799887392383</v>
      </c>
      <c r="I2622" s="12">
        <f t="shared" si="331"/>
        <v>0.21664427185465765</v>
      </c>
      <c r="J2622" s="3"/>
    </row>
    <row r="2623" spans="2:10" x14ac:dyDescent="0.25">
      <c r="B2623" s="3">
        <f t="shared" si="327"/>
        <v>13015</v>
      </c>
      <c r="C2623" s="14">
        <f t="shared" si="328"/>
        <v>216.91666666666666</v>
      </c>
      <c r="D2623" s="11">
        <f t="shared" si="329"/>
        <v>1137.6734204359968</v>
      </c>
      <c r="E2623" s="24">
        <f t="shared" si="330"/>
        <v>862.07287480160085</v>
      </c>
      <c r="F2623" s="38">
        <f t="shared" si="325"/>
        <v>0.8866860925050144</v>
      </c>
      <c r="G2623" s="14">
        <f t="shared" si="326"/>
        <v>0</v>
      </c>
      <c r="H2623" s="24">
        <f t="shared" si="332"/>
        <v>680.9549031557699</v>
      </c>
      <c r="I2623" s="12">
        <f t="shared" si="331"/>
        <v>0.21657300510109173</v>
      </c>
      <c r="J2623" s="3"/>
    </row>
    <row r="2624" spans="2:10" x14ac:dyDescent="0.25">
      <c r="B2624" s="3">
        <f t="shared" si="327"/>
        <v>13020</v>
      </c>
      <c r="C2624" s="14">
        <f t="shared" si="328"/>
        <v>217</v>
      </c>
      <c r="D2624" s="11">
        <f t="shared" si="329"/>
        <v>1137.7309373642488</v>
      </c>
      <c r="E2624" s="24">
        <f t="shared" si="330"/>
        <v>862.2894478067019</v>
      </c>
      <c r="F2624" s="38">
        <f t="shared" si="325"/>
        <v>0.88697821431137125</v>
      </c>
      <c r="G2624" s="14">
        <f t="shared" si="326"/>
        <v>0</v>
      </c>
      <c r="H2624" s="24">
        <f t="shared" si="332"/>
        <v>680.73063408901282</v>
      </c>
      <c r="I2624" s="12">
        <f t="shared" si="331"/>
        <v>0.21650154136408181</v>
      </c>
      <c r="J2624" s="3"/>
    </row>
    <row r="2625" spans="2:10" x14ac:dyDescent="0.25">
      <c r="B2625" s="3">
        <f t="shared" si="327"/>
        <v>13025</v>
      </c>
      <c r="C2625" s="14">
        <f t="shared" si="328"/>
        <v>217.08333333333334</v>
      </c>
      <c r="D2625" s="11">
        <f t="shared" si="329"/>
        <v>1137.788432221538</v>
      </c>
      <c r="E2625" s="24">
        <f t="shared" si="330"/>
        <v>862.505949348066</v>
      </c>
      <c r="F2625" s="38">
        <f t="shared" si="325"/>
        <v>0.88726946952797581</v>
      </c>
      <c r="G2625" s="14">
        <f t="shared" si="326"/>
        <v>0</v>
      </c>
      <c r="H2625" s="24">
        <f t="shared" si="332"/>
        <v>680.50717734324371</v>
      </c>
      <c r="I2625" s="12">
        <f t="shared" si="331"/>
        <v>0.21642988188803977</v>
      </c>
      <c r="J2625" s="3"/>
    </row>
    <row r="2626" spans="2:10" x14ac:dyDescent="0.25">
      <c r="B2626" s="3">
        <f t="shared" si="327"/>
        <v>13030</v>
      </c>
      <c r="C2626" s="14">
        <f t="shared" si="328"/>
        <v>217.16666666666666</v>
      </c>
      <c r="D2626" s="11">
        <f t="shared" si="329"/>
        <v>1137.8459050247961</v>
      </c>
      <c r="E2626" s="24">
        <f t="shared" si="330"/>
        <v>862.72237922995407</v>
      </c>
      <c r="F2626" s="38">
        <f t="shared" si="325"/>
        <v>0.88755986169559686</v>
      </c>
      <c r="G2626" s="14">
        <f t="shared" si="326"/>
        <v>0</v>
      </c>
      <c r="H2626" s="24">
        <f t="shared" si="332"/>
        <v>680.28452875035589</v>
      </c>
      <c r="I2626" s="12">
        <f t="shared" si="331"/>
        <v>0.21635802791066852</v>
      </c>
      <c r="J2626" s="3"/>
    </row>
    <row r="2627" spans="2:10" x14ac:dyDescent="0.25">
      <c r="B2627" s="3">
        <f t="shared" si="327"/>
        <v>13035</v>
      </c>
      <c r="C2627" s="14">
        <f t="shared" si="328"/>
        <v>217.25</v>
      </c>
      <c r="D2627" s="11">
        <f t="shared" si="329"/>
        <v>1137.9033557909356</v>
      </c>
      <c r="E2627" s="24">
        <f t="shared" si="330"/>
        <v>862.93873725786477</v>
      </c>
      <c r="F2627" s="38">
        <f t="shared" si="325"/>
        <v>0.88784939433716392</v>
      </c>
      <c r="G2627" s="14">
        <f t="shared" si="326"/>
        <v>0</v>
      </c>
      <c r="H2627" s="24">
        <f t="shared" si="332"/>
        <v>680.06268416963917</v>
      </c>
      <c r="I2627" s="12">
        <f t="shared" si="331"/>
        <v>0.21628598066289767</v>
      </c>
      <c r="J2627" s="3"/>
    </row>
    <row r="2628" spans="2:10" x14ac:dyDescent="0.25">
      <c r="B2628" s="3">
        <f t="shared" si="327"/>
        <v>13040</v>
      </c>
      <c r="C2628" s="14">
        <f t="shared" si="328"/>
        <v>217.33333333333334</v>
      </c>
      <c r="D2628" s="11">
        <f t="shared" si="329"/>
        <v>1137.9607845368503</v>
      </c>
      <c r="E2628" s="24">
        <f t="shared" si="330"/>
        <v>863.15502323852763</v>
      </c>
      <c r="F2628" s="38">
        <f t="shared" si="325"/>
        <v>0.8881380709578709</v>
      </c>
      <c r="G2628" s="14">
        <f t="shared" si="326"/>
        <v>0</v>
      </c>
      <c r="H2628" s="24">
        <f t="shared" si="332"/>
        <v>679.84163948756259</v>
      </c>
      <c r="I2628" s="12">
        <f t="shared" si="331"/>
        <v>0.21621374136886246</v>
      </c>
      <c r="J2628" s="3"/>
    </row>
    <row r="2629" spans="2:10" x14ac:dyDescent="0.25">
      <c r="B2629" s="3">
        <f t="shared" si="327"/>
        <v>13045</v>
      </c>
      <c r="C2629" s="14">
        <f t="shared" si="328"/>
        <v>217.41666666666666</v>
      </c>
      <c r="D2629" s="11">
        <f t="shared" si="329"/>
        <v>1138.0181912794133</v>
      </c>
      <c r="E2629" s="24">
        <f t="shared" si="330"/>
        <v>863.37123697989648</v>
      </c>
      <c r="F2629" s="38">
        <f t="shared" si="325"/>
        <v>0.88842589504527747</v>
      </c>
      <c r="G2629" s="14">
        <f t="shared" si="326"/>
        <v>0</v>
      </c>
      <c r="H2629" s="24">
        <f t="shared" si="332"/>
        <v>679.62139061755806</v>
      </c>
      <c r="I2629" s="12">
        <f t="shared" si="331"/>
        <v>0.21614131124625882</v>
      </c>
      <c r="J2629" s="3"/>
    </row>
    <row r="2630" spans="2:10" x14ac:dyDescent="0.25">
      <c r="B2630" s="3">
        <f t="shared" si="327"/>
        <v>13050</v>
      </c>
      <c r="C2630" s="14">
        <f t="shared" si="328"/>
        <v>217.5</v>
      </c>
      <c r="D2630" s="11">
        <f t="shared" si="329"/>
        <v>1138.0755760354791</v>
      </c>
      <c r="E2630" s="24">
        <f t="shared" si="330"/>
        <v>863.58737829114273</v>
      </c>
      <c r="F2630" s="38">
        <f t="shared" si="325"/>
        <v>0.88871287006940947</v>
      </c>
      <c r="G2630" s="14">
        <f t="shared" si="326"/>
        <v>0</v>
      </c>
      <c r="H2630" s="24">
        <f t="shared" si="332"/>
        <v>679.40193349980757</v>
      </c>
      <c r="I2630" s="12">
        <f t="shared" si="331"/>
        <v>0.21606869150598426</v>
      </c>
      <c r="J2630" s="3"/>
    </row>
    <row r="2631" spans="2:10" x14ac:dyDescent="0.25">
      <c r="B2631" s="3">
        <f t="shared" si="327"/>
        <v>13055</v>
      </c>
      <c r="C2631" s="14">
        <f t="shared" si="328"/>
        <v>217.58333333333334</v>
      </c>
      <c r="D2631" s="11">
        <f t="shared" si="329"/>
        <v>1138.1329388218828</v>
      </c>
      <c r="E2631" s="24">
        <f t="shared" si="330"/>
        <v>863.80344698264867</v>
      </c>
      <c r="F2631" s="38">
        <f t="shared" si="325"/>
        <v>0.88899899948286076</v>
      </c>
      <c r="G2631" s="14">
        <f t="shared" si="326"/>
        <v>0</v>
      </c>
      <c r="H2631" s="24">
        <f t="shared" si="332"/>
        <v>679.18326410103089</v>
      </c>
      <c r="I2631" s="12">
        <f t="shared" si="331"/>
        <v>0.21599588335245193</v>
      </c>
      <c r="J2631" s="3"/>
    </row>
    <row r="2632" spans="2:10" x14ac:dyDescent="0.25">
      <c r="B2632" s="3">
        <f t="shared" si="327"/>
        <v>13060</v>
      </c>
      <c r="C2632" s="14">
        <f t="shared" si="328"/>
        <v>217.66666666666666</v>
      </c>
      <c r="D2632" s="11">
        <f t="shared" si="329"/>
        <v>1138.1902796554402</v>
      </c>
      <c r="E2632" s="24">
        <f t="shared" si="330"/>
        <v>864.0194428660011</v>
      </c>
      <c r="F2632" s="38">
        <f t="shared" si="325"/>
        <v>0.88928428672089221</v>
      </c>
      <c r="G2632" s="14">
        <f t="shared" si="326"/>
        <v>0</v>
      </c>
      <c r="H2632" s="24">
        <f t="shared" si="332"/>
        <v>678.96537841427596</v>
      </c>
      <c r="I2632" s="12">
        <f t="shared" si="331"/>
        <v>0.21592288798350404</v>
      </c>
      <c r="J2632" s="3"/>
    </row>
    <row r="2633" spans="2:10" x14ac:dyDescent="0.25">
      <c r="B2633" s="3">
        <f t="shared" si="327"/>
        <v>13065</v>
      </c>
      <c r="C2633" s="14">
        <f t="shared" si="328"/>
        <v>217.75</v>
      </c>
      <c r="D2633" s="11">
        <f t="shared" si="329"/>
        <v>1138.2475985529475</v>
      </c>
      <c r="E2633" s="24">
        <f t="shared" si="330"/>
        <v>864.23536575398464</v>
      </c>
      <c r="F2633" s="38">
        <f t="shared" si="325"/>
        <v>0.88956873520153101</v>
      </c>
      <c r="G2633" s="14">
        <f t="shared" si="326"/>
        <v>0</v>
      </c>
      <c r="H2633" s="24">
        <f t="shared" si="332"/>
        <v>678.74827245871143</v>
      </c>
      <c r="I2633" s="12">
        <f t="shared" si="331"/>
        <v>0.21584970659055611</v>
      </c>
      <c r="J2633" s="3"/>
    </row>
    <row r="2634" spans="2:10" x14ac:dyDescent="0.25">
      <c r="B2634" s="3">
        <f t="shared" si="327"/>
        <v>13070</v>
      </c>
      <c r="C2634" s="14">
        <f t="shared" si="328"/>
        <v>217.83333333333334</v>
      </c>
      <c r="D2634" s="11">
        <f t="shared" si="329"/>
        <v>1138.304895531182</v>
      </c>
      <c r="E2634" s="24">
        <f t="shared" si="330"/>
        <v>864.45121546057521</v>
      </c>
      <c r="F2634" s="38">
        <f t="shared" si="325"/>
        <v>0.88985234832567017</v>
      </c>
      <c r="G2634" s="14">
        <f t="shared" si="326"/>
        <v>0</v>
      </c>
      <c r="H2634" s="24">
        <f t="shared" si="332"/>
        <v>678.53194227942026</v>
      </c>
      <c r="I2634" s="12">
        <f t="shared" si="331"/>
        <v>0.21577634035846868</v>
      </c>
      <c r="J2634" s="3"/>
    </row>
    <row r="2635" spans="2:10" x14ac:dyDescent="0.25">
      <c r="B2635" s="3">
        <f t="shared" si="327"/>
        <v>13075</v>
      </c>
      <c r="C2635" s="14">
        <f t="shared" si="328"/>
        <v>217.91666666666666</v>
      </c>
      <c r="D2635" s="11">
        <f t="shared" si="329"/>
        <v>1138.3621706069009</v>
      </c>
      <c r="E2635" s="24">
        <f t="shared" si="330"/>
        <v>864.66699180093372</v>
      </c>
      <c r="F2635" s="38">
        <f t="shared" si="325"/>
        <v>0.89013512947716533</v>
      </c>
      <c r="G2635" s="14">
        <f t="shared" si="326"/>
        <v>0</v>
      </c>
      <c r="H2635" s="24">
        <f t="shared" si="332"/>
        <v>678.31638394719619</v>
      </c>
      <c r="I2635" s="12">
        <f t="shared" si="331"/>
        <v>0.21570279046583848</v>
      </c>
      <c r="J2635" s="3"/>
    </row>
    <row r="2636" spans="2:10" x14ac:dyDescent="0.25">
      <c r="B2636" s="3">
        <f t="shared" si="327"/>
        <v>13080</v>
      </c>
      <c r="C2636" s="14">
        <f t="shared" si="328"/>
        <v>218</v>
      </c>
      <c r="D2636" s="11">
        <f t="shared" si="329"/>
        <v>1138.4194237968434</v>
      </c>
      <c r="E2636" s="24">
        <f t="shared" si="330"/>
        <v>864.88269459139951</v>
      </c>
      <c r="F2636" s="38">
        <f t="shared" si="325"/>
        <v>0.89041708202293413</v>
      </c>
      <c r="G2636" s="14">
        <f t="shared" si="326"/>
        <v>0</v>
      </c>
      <c r="H2636" s="24">
        <f t="shared" si="332"/>
        <v>678.10159355834139</v>
      </c>
      <c r="I2636" s="12">
        <f t="shared" si="331"/>
        <v>0.21562905808470006</v>
      </c>
      <c r="J2636" s="3"/>
    </row>
    <row r="2637" spans="2:10" x14ac:dyDescent="0.25">
      <c r="B2637" s="3">
        <f t="shared" si="327"/>
        <v>13085</v>
      </c>
      <c r="C2637" s="14">
        <f t="shared" si="328"/>
        <v>218.08333333333334</v>
      </c>
      <c r="D2637" s="11">
        <f t="shared" si="329"/>
        <v>1138.476655117729</v>
      </c>
      <c r="E2637" s="24">
        <f t="shared" si="330"/>
        <v>865.0983236494842</v>
      </c>
      <c r="F2637" s="38">
        <f t="shared" si="325"/>
        <v>0.89069820931305221</v>
      </c>
      <c r="G2637" s="14">
        <f t="shared" si="326"/>
        <v>0</v>
      </c>
      <c r="H2637" s="24">
        <f t="shared" si="332"/>
        <v>677.88756723446591</v>
      </c>
      <c r="I2637" s="12">
        <f t="shared" si="331"/>
        <v>0.21555514438086026</v>
      </c>
      <c r="J2637" s="3"/>
    </row>
    <row r="2638" spans="2:10" x14ac:dyDescent="0.25">
      <c r="B2638" s="3">
        <f t="shared" si="327"/>
        <v>13090</v>
      </c>
      <c r="C2638" s="14">
        <f t="shared" si="328"/>
        <v>218.16666666666666</v>
      </c>
      <c r="D2638" s="11">
        <f t="shared" si="329"/>
        <v>1138.5338645862578</v>
      </c>
      <c r="E2638" s="24">
        <f t="shared" si="330"/>
        <v>865.31387879386511</v>
      </c>
      <c r="F2638" s="38">
        <f t="shared" si="325"/>
        <v>0.89097851468084888</v>
      </c>
      <c r="G2638" s="14">
        <f t="shared" si="326"/>
        <v>0</v>
      </c>
      <c r="H2638" s="24">
        <f t="shared" si="332"/>
        <v>677.67430112228988</v>
      </c>
      <c r="I2638" s="12">
        <f t="shared" si="331"/>
        <v>0.21548105051387206</v>
      </c>
      <c r="J2638" s="3"/>
    </row>
    <row r="2639" spans="2:10" x14ac:dyDescent="0.25">
      <c r="B2639" s="3">
        <f t="shared" si="327"/>
        <v>13095</v>
      </c>
      <c r="C2639" s="14">
        <f t="shared" si="328"/>
        <v>218.25</v>
      </c>
      <c r="D2639" s="11">
        <f t="shared" si="329"/>
        <v>1138.5910522191109</v>
      </c>
      <c r="E2639" s="24">
        <f t="shared" si="330"/>
        <v>865.52935984437897</v>
      </c>
      <c r="F2639" s="38">
        <f t="shared" si="325"/>
        <v>0.89125800144300371</v>
      </c>
      <c r="G2639" s="14">
        <f t="shared" si="326"/>
        <v>0</v>
      </c>
      <c r="H2639" s="24">
        <f t="shared" si="332"/>
        <v>677.46179139344633</v>
      </c>
      <c r="I2639" s="12">
        <f t="shared" si="331"/>
        <v>0.21540677763692542</v>
      </c>
      <c r="J2639" s="3"/>
    </row>
    <row r="2640" spans="2:10" x14ac:dyDescent="0.25">
      <c r="B2640" s="3">
        <f t="shared" si="327"/>
        <v>13100</v>
      </c>
      <c r="C2640" s="14">
        <f t="shared" si="328"/>
        <v>218.33333333333334</v>
      </c>
      <c r="D2640" s="11">
        <f t="shared" si="329"/>
        <v>1138.648218032951</v>
      </c>
      <c r="E2640" s="24">
        <f t="shared" si="330"/>
        <v>865.74476662201585</v>
      </c>
      <c r="F2640" s="38">
        <f t="shared" si="325"/>
        <v>0.89153667289964256</v>
      </c>
      <c r="G2640" s="14">
        <f t="shared" si="326"/>
        <v>0</v>
      </c>
      <c r="H2640" s="24">
        <f t="shared" si="332"/>
        <v>677.25003424428655</v>
      </c>
      <c r="I2640" s="12">
        <f t="shared" si="331"/>
        <v>0.21533232689699114</v>
      </c>
      <c r="J2640" s="3"/>
    </row>
    <row r="2641" spans="2:10" x14ac:dyDescent="0.25">
      <c r="B2641" s="3">
        <f t="shared" si="327"/>
        <v>13105</v>
      </c>
      <c r="C2641" s="14">
        <f t="shared" si="328"/>
        <v>218.41666666666666</v>
      </c>
      <c r="D2641" s="11">
        <f t="shared" si="329"/>
        <v>1138.7053620444203</v>
      </c>
      <c r="E2641" s="24">
        <f t="shared" si="330"/>
        <v>865.96009894891279</v>
      </c>
      <c r="F2641" s="38">
        <f t="shared" si="325"/>
        <v>0.89181453233442964</v>
      </c>
      <c r="G2641" s="14">
        <f t="shared" si="326"/>
        <v>0</v>
      </c>
      <c r="H2641" s="24">
        <f t="shared" si="332"/>
        <v>677.03902589568725</v>
      </c>
      <c r="I2641" s="12">
        <f t="shared" si="331"/>
        <v>0.21525769943502585</v>
      </c>
      <c r="J2641" s="3"/>
    </row>
    <row r="2642" spans="2:10" x14ac:dyDescent="0.25">
      <c r="B2642" s="3">
        <f t="shared" si="327"/>
        <v>13110</v>
      </c>
      <c r="C2642" s="14">
        <f t="shared" si="328"/>
        <v>218.5</v>
      </c>
      <c r="D2642" s="11">
        <f t="shared" si="329"/>
        <v>1138.7624842701432</v>
      </c>
      <c r="E2642" s="24">
        <f t="shared" si="330"/>
        <v>866.17535664834782</v>
      </c>
      <c r="F2642" s="38">
        <f t="shared" si="325"/>
        <v>0.89209158301466551</v>
      </c>
      <c r="G2642" s="14">
        <f t="shared" si="326"/>
        <v>0</v>
      </c>
      <c r="H2642" s="24">
        <f t="shared" si="332"/>
        <v>676.82876259285831</v>
      </c>
      <c r="I2642" s="12">
        <f t="shared" si="331"/>
        <v>0.21518289638558816</v>
      </c>
      <c r="J2642" s="3"/>
    </row>
    <row r="2643" spans="2:10" x14ac:dyDescent="0.25">
      <c r="B2643" s="3">
        <f t="shared" si="327"/>
        <v>13115</v>
      </c>
      <c r="C2643" s="14">
        <f t="shared" si="328"/>
        <v>218.58333333333334</v>
      </c>
      <c r="D2643" s="11">
        <f t="shared" si="329"/>
        <v>1138.8195847267248</v>
      </c>
      <c r="E2643" s="24">
        <f t="shared" si="330"/>
        <v>866.39053954473343</v>
      </c>
      <c r="F2643" s="38">
        <f t="shared" si="325"/>
        <v>0.89236782819137594</v>
      </c>
      <c r="G2643" s="14">
        <f t="shared" si="326"/>
        <v>0</v>
      </c>
      <c r="H2643" s="24">
        <f t="shared" si="332"/>
        <v>676.6192406051548</v>
      </c>
      <c r="I2643" s="12">
        <f t="shared" si="331"/>
        <v>0.21510791887727651</v>
      </c>
      <c r="J2643" s="3"/>
    </row>
    <row r="2644" spans="2:10" x14ac:dyDescent="0.25">
      <c r="B2644" s="3">
        <f t="shared" si="327"/>
        <v>13120</v>
      </c>
      <c r="C2644" s="14">
        <f t="shared" si="328"/>
        <v>218.66666666666666</v>
      </c>
      <c r="D2644" s="11">
        <f t="shared" si="329"/>
        <v>1138.876663430751</v>
      </c>
      <c r="E2644" s="24">
        <f t="shared" si="330"/>
        <v>866.60564746361069</v>
      </c>
      <c r="F2644" s="38">
        <f t="shared" ref="F2644:F2707" si="333">Cp*RhoP/(RhoA*H2644)*dp/1000*MassivP</f>
        <v>0.89264327109940911</v>
      </c>
      <c r="G2644" s="14">
        <f t="shared" ref="G2644:G2707" si="334">Phi*EpsilonF*Botzman/10^8*J2644*((D2644+273)^4-(E2644+273)^4)</f>
        <v>0</v>
      </c>
      <c r="H2644" s="24">
        <f t="shared" si="332"/>
        <v>676.41045622588786</v>
      </c>
      <c r="I2644" s="12">
        <f t="shared" si="331"/>
        <v>0.21503276803259705</v>
      </c>
      <c r="J2644" s="3"/>
    </row>
    <row r="2645" spans="2:10" x14ac:dyDescent="0.25">
      <c r="B2645" s="3">
        <f t="shared" ref="B2645:B2708" si="335">B2644+DeltaT</f>
        <v>13125</v>
      </c>
      <c r="C2645" s="14">
        <f t="shared" ref="C2645:C2708" si="336">B2645/60</f>
        <v>218.75</v>
      </c>
      <c r="D2645" s="11">
        <f t="shared" ref="D2645:D2708" si="337">20+345*LOG(8*C2645+1,10)</f>
        <v>1138.9337203987889</v>
      </c>
      <c r="E2645" s="24">
        <f t="shared" ref="E2645:E2708" si="338">E2644+IF(Limit=Oui,MAX(0,I2644),I2644)</f>
        <v>866.82068023164334</v>
      </c>
      <c r="F2645" s="38">
        <f t="shared" si="333"/>
        <v>0.89291791495752426</v>
      </c>
      <c r="G2645" s="14">
        <f t="shared" si="334"/>
        <v>0</v>
      </c>
      <c r="H2645" s="24">
        <f t="shared" si="332"/>
        <v>676.20240577213895</v>
      </c>
      <c r="I2645" s="12">
        <f t="shared" ref="I2645:I2708" si="339">LambdaP*MassivP/(dp/1000)/(H2645*RhoA)/(1+F2645/3)*(D2645-E2645)*DeltaT-(EXP(F2645/10)-1)*(D2645-D2644)</f>
        <v>0.21495744496802097</v>
      </c>
      <c r="J2645" s="3"/>
    </row>
    <row r="2646" spans="2:10" x14ac:dyDescent="0.25">
      <c r="B2646" s="3">
        <f t="shared" si="335"/>
        <v>13130</v>
      </c>
      <c r="C2646" s="14">
        <f t="shared" si="336"/>
        <v>218.83333333333334</v>
      </c>
      <c r="D2646" s="11">
        <f t="shared" si="337"/>
        <v>1138.9907556473863</v>
      </c>
      <c r="E2646" s="24">
        <f t="shared" si="338"/>
        <v>867.03563767661137</v>
      </c>
      <c r="F2646" s="38">
        <f t="shared" si="333"/>
        <v>0.89319176296848679</v>
      </c>
      <c r="G2646" s="14">
        <f t="shared" si="334"/>
        <v>0</v>
      </c>
      <c r="H2646" s="24">
        <f t="shared" si="332"/>
        <v>675.99508558457546</v>
      </c>
      <c r="I2646" s="12">
        <f t="shared" si="339"/>
        <v>0.21488195079399988</v>
      </c>
      <c r="J2646" s="3"/>
    </row>
    <row r="2647" spans="2:10" x14ac:dyDescent="0.25">
      <c r="B2647" s="3">
        <f t="shared" si="335"/>
        <v>13135</v>
      </c>
      <c r="C2647" s="14">
        <f t="shared" si="336"/>
        <v>218.91666666666666</v>
      </c>
      <c r="D2647" s="11">
        <f t="shared" si="337"/>
        <v>1139.047769193073</v>
      </c>
      <c r="E2647" s="24">
        <f t="shared" si="338"/>
        <v>867.25051962740542</v>
      </c>
      <c r="F2647" s="38">
        <f t="shared" si="333"/>
        <v>0.89346481831915747</v>
      </c>
      <c r="G2647" s="14">
        <f t="shared" si="334"/>
        <v>0</v>
      </c>
      <c r="H2647" s="24">
        <f t="shared" si="332"/>
        <v>675.78849202726769</v>
      </c>
      <c r="I2647" s="12">
        <f t="shared" si="339"/>
        <v>0.21480628661498069</v>
      </c>
      <c r="J2647" s="3"/>
    </row>
    <row r="2648" spans="2:10" x14ac:dyDescent="0.25">
      <c r="B2648" s="3">
        <f t="shared" si="335"/>
        <v>13140</v>
      </c>
      <c r="C2648" s="14">
        <f t="shared" si="336"/>
        <v>219</v>
      </c>
      <c r="D2648" s="11">
        <f t="shared" si="337"/>
        <v>1139.104761052359</v>
      </c>
      <c r="E2648" s="24">
        <f t="shared" si="338"/>
        <v>867.46532591402035</v>
      </c>
      <c r="F2648" s="38">
        <f t="shared" si="333"/>
        <v>0.89373708418058284</v>
      </c>
      <c r="G2648" s="14">
        <f t="shared" si="334"/>
        <v>0</v>
      </c>
      <c r="H2648" s="24">
        <f t="shared" si="332"/>
        <v>675.5826214875085</v>
      </c>
      <c r="I2648" s="12">
        <f t="shared" si="339"/>
        <v>0.2147304535295893</v>
      </c>
      <c r="J2648" s="3"/>
    </row>
    <row r="2649" spans="2:10" x14ac:dyDescent="0.25">
      <c r="B2649" s="3">
        <f t="shared" si="335"/>
        <v>13145</v>
      </c>
      <c r="C2649" s="14">
        <f t="shared" si="336"/>
        <v>219.08333333333334</v>
      </c>
      <c r="D2649" s="11">
        <f t="shared" si="337"/>
        <v>1139.1617312417361</v>
      </c>
      <c r="E2649" s="24">
        <f t="shared" si="338"/>
        <v>867.68005636754992</v>
      </c>
      <c r="F2649" s="38">
        <f t="shared" si="333"/>
        <v>0.89400856370808679</v>
      </c>
      <c r="G2649" s="14">
        <f t="shared" si="334"/>
        <v>0</v>
      </c>
      <c r="H2649" s="24">
        <f t="shared" si="332"/>
        <v>675.37747037563236</v>
      </c>
      <c r="I2649" s="12">
        <f t="shared" si="339"/>
        <v>0.21465445263043367</v>
      </c>
      <c r="J2649" s="3"/>
    </row>
    <row r="2650" spans="2:10" x14ac:dyDescent="0.25">
      <c r="B2650" s="3">
        <f t="shared" si="335"/>
        <v>13150</v>
      </c>
      <c r="C2650" s="14">
        <f t="shared" si="336"/>
        <v>219.16666666666666</v>
      </c>
      <c r="D2650" s="11">
        <f t="shared" si="337"/>
        <v>1139.2186797776769</v>
      </c>
      <c r="E2650" s="24">
        <f t="shared" si="338"/>
        <v>867.89471082018031</v>
      </c>
      <c r="F2650" s="38">
        <f t="shared" si="333"/>
        <v>0.89427926004135982</v>
      </c>
      <c r="G2650" s="14">
        <f t="shared" si="334"/>
        <v>0</v>
      </c>
      <c r="H2650" s="24">
        <f t="shared" si="332"/>
        <v>675.17303512483898</v>
      </c>
      <c r="I2650" s="12">
        <f t="shared" si="339"/>
        <v>0.21457828500437137</v>
      </c>
      <c r="J2650" s="3"/>
    </row>
    <row r="2651" spans="2:10" x14ac:dyDescent="0.25">
      <c r="B2651" s="3">
        <f t="shared" si="335"/>
        <v>13155</v>
      </c>
      <c r="C2651" s="14">
        <f t="shared" si="336"/>
        <v>219.25</v>
      </c>
      <c r="D2651" s="11">
        <f t="shared" si="337"/>
        <v>1139.2756066766358</v>
      </c>
      <c r="E2651" s="24">
        <f t="shared" si="338"/>
        <v>868.10928910518464</v>
      </c>
      <c r="F2651" s="38">
        <f t="shared" si="333"/>
        <v>0.89454917630454733</v>
      </c>
      <c r="G2651" s="14">
        <f t="shared" si="334"/>
        <v>0</v>
      </c>
      <c r="H2651" s="24">
        <f t="shared" si="332"/>
        <v>674.96931219101589</v>
      </c>
      <c r="I2651" s="12">
        <f t="shared" si="339"/>
        <v>0.2145019517323338</v>
      </c>
      <c r="J2651" s="3"/>
    </row>
    <row r="2652" spans="2:10" x14ac:dyDescent="0.25">
      <c r="B2652" s="3">
        <f t="shared" si="335"/>
        <v>13160</v>
      </c>
      <c r="C2652" s="14">
        <f t="shared" si="336"/>
        <v>219.33333333333334</v>
      </c>
      <c r="D2652" s="11">
        <f t="shared" si="337"/>
        <v>1139.3325119550473</v>
      </c>
      <c r="E2652" s="24">
        <f t="shared" si="338"/>
        <v>868.323791056917</v>
      </c>
      <c r="F2652" s="38">
        <f t="shared" si="333"/>
        <v>0.89481831560633818</v>
      </c>
      <c r="G2652" s="14">
        <f t="shared" si="334"/>
        <v>0</v>
      </c>
      <c r="H2652" s="24">
        <f t="shared" si="332"/>
        <v>674.76629805256459</v>
      </c>
      <c r="I2652" s="12">
        <f t="shared" si="339"/>
        <v>0.21442545388961412</v>
      </c>
      <c r="J2652" s="3"/>
    </row>
    <row r="2653" spans="2:10" x14ac:dyDescent="0.25">
      <c r="B2653" s="3">
        <f t="shared" si="335"/>
        <v>13165</v>
      </c>
      <c r="C2653" s="14">
        <f t="shared" si="336"/>
        <v>219.41666666666666</v>
      </c>
      <c r="D2653" s="11">
        <f t="shared" si="337"/>
        <v>1139.3893956293284</v>
      </c>
      <c r="E2653" s="24">
        <f t="shared" si="338"/>
        <v>868.53821651080659</v>
      </c>
      <c r="F2653" s="38">
        <f t="shared" si="333"/>
        <v>0.89508668104005273</v>
      </c>
      <c r="G2653" s="14">
        <f t="shared" si="334"/>
        <v>0</v>
      </c>
      <c r="H2653" s="24">
        <f t="shared" si="332"/>
        <v>674.56398921022696</v>
      </c>
      <c r="I2653" s="12">
        <f t="shared" si="339"/>
        <v>0.21434879254554273</v>
      </c>
      <c r="J2653" s="3"/>
    </row>
    <row r="2654" spans="2:10" x14ac:dyDescent="0.25">
      <c r="B2654" s="3">
        <f t="shared" si="335"/>
        <v>13170</v>
      </c>
      <c r="C2654" s="14">
        <f t="shared" si="336"/>
        <v>219.5</v>
      </c>
      <c r="D2654" s="11">
        <f t="shared" si="337"/>
        <v>1139.4462577158765</v>
      </c>
      <c r="E2654" s="24">
        <f t="shared" si="338"/>
        <v>868.75256530335218</v>
      </c>
      <c r="F2654" s="38">
        <f t="shared" si="333"/>
        <v>0.89535427568373227</v>
      </c>
      <c r="G2654" s="14">
        <f t="shared" si="334"/>
        <v>0</v>
      </c>
      <c r="H2654" s="24">
        <f t="shared" si="332"/>
        <v>674.36238218691346</v>
      </c>
      <c r="I2654" s="12">
        <f t="shared" si="339"/>
        <v>0.21427196876394466</v>
      </c>
      <c r="J2654" s="3"/>
    </row>
    <row r="2655" spans="2:10" x14ac:dyDescent="0.25">
      <c r="B2655" s="3">
        <f t="shared" si="335"/>
        <v>13175</v>
      </c>
      <c r="C2655" s="14">
        <f t="shared" si="336"/>
        <v>219.58333333333334</v>
      </c>
      <c r="D2655" s="11">
        <f t="shared" si="337"/>
        <v>1139.5030982310714</v>
      </c>
      <c r="E2655" s="24">
        <f t="shared" si="338"/>
        <v>868.96683727211609</v>
      </c>
      <c r="F2655" s="38">
        <f t="shared" si="333"/>
        <v>0.89562110260022176</v>
      </c>
      <c r="G2655" s="14">
        <f t="shared" si="334"/>
        <v>0</v>
      </c>
      <c r="H2655" s="24">
        <f t="shared" si="332"/>
        <v>674.16147352753387</v>
      </c>
      <c r="I2655" s="12">
        <f t="shared" si="339"/>
        <v>0.21419498360275041</v>
      </c>
      <c r="J2655" s="3"/>
    </row>
    <row r="2656" spans="2:10" x14ac:dyDescent="0.25">
      <c r="B2656" s="3">
        <f t="shared" si="335"/>
        <v>13180</v>
      </c>
      <c r="C2656" s="14">
        <f t="shared" si="336"/>
        <v>219.66666666666666</v>
      </c>
      <c r="D2656" s="11">
        <f t="shared" si="337"/>
        <v>1139.5599171912734</v>
      </c>
      <c r="E2656" s="24">
        <f t="shared" si="338"/>
        <v>869.18103225571883</v>
      </c>
      <c r="F2656" s="38">
        <f t="shared" si="333"/>
        <v>0.89588716483726005</v>
      </c>
      <c r="G2656" s="14">
        <f t="shared" si="334"/>
        <v>0</v>
      </c>
      <c r="H2656" s="24">
        <f t="shared" si="332"/>
        <v>673.96125979882811</v>
      </c>
      <c r="I2656" s="12">
        <f t="shared" si="339"/>
        <v>0.21411783811441115</v>
      </c>
      <c r="J2656" s="3"/>
    </row>
    <row r="2657" spans="2:10" x14ac:dyDescent="0.25">
      <c r="B2657" s="3">
        <f t="shared" si="335"/>
        <v>13185</v>
      </c>
      <c r="C2657" s="14">
        <f t="shared" si="336"/>
        <v>219.75</v>
      </c>
      <c r="D2657" s="11">
        <f t="shared" si="337"/>
        <v>1139.6167146128239</v>
      </c>
      <c r="E2657" s="24">
        <f t="shared" si="338"/>
        <v>869.39515009383319</v>
      </c>
      <c r="F2657" s="38">
        <f t="shared" si="333"/>
        <v>0.89615246542756344</v>
      </c>
      <c r="G2657" s="14">
        <f t="shared" si="334"/>
        <v>0</v>
      </c>
      <c r="H2657" s="24">
        <f t="shared" si="332"/>
        <v>673.76173758919936</v>
      </c>
      <c r="I2657" s="12">
        <f t="shared" si="339"/>
        <v>0.2140405333457415</v>
      </c>
      <c r="J2657" s="3"/>
    </row>
    <row r="2658" spans="2:10" x14ac:dyDescent="0.25">
      <c r="B2658" s="3">
        <f t="shared" si="335"/>
        <v>13190</v>
      </c>
      <c r="C2658" s="14">
        <f t="shared" si="336"/>
        <v>219.83333333333334</v>
      </c>
      <c r="D2658" s="11">
        <f t="shared" si="337"/>
        <v>1139.673490512047</v>
      </c>
      <c r="E2658" s="24">
        <f t="shared" si="338"/>
        <v>869.60919062717892</v>
      </c>
      <c r="F2658" s="38">
        <f t="shared" si="333"/>
        <v>0.89641700738891306</v>
      </c>
      <c r="G2658" s="14">
        <f t="shared" si="334"/>
        <v>0</v>
      </c>
      <c r="H2658" s="24">
        <f t="shared" si="332"/>
        <v>673.5629035085484</v>
      </c>
      <c r="I2658" s="12">
        <f t="shared" si="339"/>
        <v>0.21396307033780457</v>
      </c>
      <c r="J2658" s="3"/>
    </row>
    <row r="2659" spans="2:10" x14ac:dyDescent="0.25">
      <c r="B2659" s="3">
        <f t="shared" si="335"/>
        <v>13195</v>
      </c>
      <c r="C2659" s="14">
        <f t="shared" si="336"/>
        <v>219.91666666666666</v>
      </c>
      <c r="D2659" s="11">
        <f t="shared" si="337"/>
        <v>1139.730244905247</v>
      </c>
      <c r="E2659" s="24">
        <f t="shared" si="338"/>
        <v>869.82315369751677</v>
      </c>
      <c r="F2659" s="38">
        <f t="shared" si="333"/>
        <v>0.89668079372423648</v>
      </c>
      <c r="G2659" s="14">
        <f t="shared" si="334"/>
        <v>0</v>
      </c>
      <c r="H2659" s="24">
        <f t="shared" si="332"/>
        <v>673.36475418811028</v>
      </c>
      <c r="I2659" s="12">
        <f t="shared" si="339"/>
        <v>0.21388545012634846</v>
      </c>
      <c r="J2659" s="3"/>
    </row>
    <row r="2660" spans="2:10" x14ac:dyDescent="0.25">
      <c r="B2660" s="3">
        <f t="shared" si="335"/>
        <v>13200</v>
      </c>
      <c r="C2660" s="14">
        <f t="shared" si="336"/>
        <v>220</v>
      </c>
      <c r="D2660" s="11">
        <f t="shared" si="337"/>
        <v>1139.7869778087104</v>
      </c>
      <c r="E2660" s="24">
        <f t="shared" si="338"/>
        <v>870.0370391476431</v>
      </c>
      <c r="F2660" s="38">
        <f t="shared" si="333"/>
        <v>0.89694382742169509</v>
      </c>
      <c r="G2660" s="14">
        <f t="shared" si="334"/>
        <v>0</v>
      </c>
      <c r="H2660" s="24">
        <f t="shared" si="332"/>
        <v>673.16728628029102</v>
      </c>
      <c r="I2660" s="12">
        <f t="shared" si="339"/>
        <v>0.21380767374141477</v>
      </c>
      <c r="J2660" s="3"/>
    </row>
    <row r="2661" spans="2:10" x14ac:dyDescent="0.25">
      <c r="B2661" s="3">
        <f t="shared" si="335"/>
        <v>13205</v>
      </c>
      <c r="C2661" s="14">
        <f t="shared" si="336"/>
        <v>220.08333333333334</v>
      </c>
      <c r="D2661" s="11">
        <f t="shared" si="337"/>
        <v>1139.8436892387049</v>
      </c>
      <c r="E2661" s="24">
        <f t="shared" si="338"/>
        <v>870.25084682138447</v>
      </c>
      <c r="F2661" s="38">
        <f t="shared" si="333"/>
        <v>0.89720611145476614</v>
      </c>
      <c r="G2661" s="14">
        <f t="shared" si="334"/>
        <v>0</v>
      </c>
      <c r="H2661" s="24">
        <f t="shared" si="332"/>
        <v>672.97049645850643</v>
      </c>
      <c r="I2661" s="12">
        <f t="shared" si="339"/>
        <v>0.2137297422076686</v>
      </c>
      <c r="J2661" s="3"/>
    </row>
    <row r="2662" spans="2:10" x14ac:dyDescent="0.25">
      <c r="B2662" s="3">
        <f t="shared" si="335"/>
        <v>13210</v>
      </c>
      <c r="C2662" s="14">
        <f t="shared" si="336"/>
        <v>220.16666666666666</v>
      </c>
      <c r="D2662" s="11">
        <f t="shared" si="337"/>
        <v>1139.9003792114797</v>
      </c>
      <c r="E2662" s="24">
        <f t="shared" si="338"/>
        <v>870.46457656359212</v>
      </c>
      <c r="F2662" s="38">
        <f t="shared" si="333"/>
        <v>0.89746764878232732</v>
      </c>
      <c r="G2662" s="14">
        <f t="shared" si="334"/>
        <v>0</v>
      </c>
      <c r="H2662" s="24">
        <f t="shared" si="332"/>
        <v>672.77438141702282</v>
      </c>
      <c r="I2662" s="12">
        <f t="shared" si="339"/>
        <v>0.21365165654428239</v>
      </c>
      <c r="J2662" s="3"/>
    </row>
    <row r="2663" spans="2:10" x14ac:dyDescent="0.25">
      <c r="B2663" s="3">
        <f t="shared" si="335"/>
        <v>13215</v>
      </c>
      <c r="C2663" s="14">
        <f t="shared" si="336"/>
        <v>220.25</v>
      </c>
      <c r="D2663" s="11">
        <f t="shared" si="337"/>
        <v>1139.957047743266</v>
      </c>
      <c r="E2663" s="24">
        <f t="shared" si="338"/>
        <v>870.67822822013636</v>
      </c>
      <c r="F2663" s="38">
        <f t="shared" si="333"/>
        <v>0.89772844234873728</v>
      </c>
      <c r="G2663" s="14">
        <f t="shared" si="334"/>
        <v>0</v>
      </c>
      <c r="H2663" s="24">
        <f t="shared" si="332"/>
        <v>672.57893787079854</v>
      </c>
      <c r="I2663" s="12">
        <f t="shared" si="339"/>
        <v>0.21357341776498973</v>
      </c>
      <c r="J2663" s="3"/>
    </row>
    <row r="2664" spans="2:10" x14ac:dyDescent="0.25">
      <c r="B2664" s="3">
        <f t="shared" si="335"/>
        <v>13220</v>
      </c>
      <c r="C2664" s="14">
        <f t="shared" si="336"/>
        <v>220.33333333333334</v>
      </c>
      <c r="D2664" s="11">
        <f t="shared" si="337"/>
        <v>1140.0136948502759</v>
      </c>
      <c r="E2664" s="24">
        <f t="shared" si="338"/>
        <v>870.89180163790138</v>
      </c>
      <c r="F2664" s="38">
        <f t="shared" si="333"/>
        <v>0.89798849508391998</v>
      </c>
      <c r="G2664" s="14">
        <f t="shared" si="334"/>
        <v>0</v>
      </c>
      <c r="H2664" s="24">
        <f t="shared" si="332"/>
        <v>672.38416255532707</v>
      </c>
      <c r="I2664" s="12">
        <f t="shared" si="339"/>
        <v>0.2134950268782021</v>
      </c>
      <c r="J2664" s="3"/>
    </row>
    <row r="2665" spans="2:10" x14ac:dyDescent="0.25">
      <c r="B2665" s="3">
        <f t="shared" si="335"/>
        <v>13225</v>
      </c>
      <c r="C2665" s="14">
        <f t="shared" si="336"/>
        <v>220.41666666666666</v>
      </c>
      <c r="D2665" s="11">
        <f t="shared" si="337"/>
        <v>1140.0703205487039</v>
      </c>
      <c r="E2665" s="24">
        <f t="shared" si="338"/>
        <v>871.10529666477953</v>
      </c>
      <c r="F2665" s="38">
        <f t="shared" si="333"/>
        <v>0.89824780990344599</v>
      </c>
      <c r="G2665" s="14">
        <f t="shared" si="334"/>
        <v>0</v>
      </c>
      <c r="H2665" s="24">
        <f t="shared" si="332"/>
        <v>672.19005222648161</v>
      </c>
      <c r="I2665" s="12">
        <f t="shared" si="339"/>
        <v>0.21341648488687154</v>
      </c>
      <c r="J2665" s="3"/>
    </row>
    <row r="2666" spans="2:10" x14ac:dyDescent="0.25">
      <c r="B2666" s="3">
        <f t="shared" si="335"/>
        <v>13230</v>
      </c>
      <c r="C2666" s="14">
        <f t="shared" si="336"/>
        <v>220.5</v>
      </c>
      <c r="D2666" s="11">
        <f t="shared" si="337"/>
        <v>1140.1269248547251</v>
      </c>
      <c r="E2666" s="24">
        <f t="shared" si="338"/>
        <v>871.31871314966645</v>
      </c>
      <c r="F2666" s="38">
        <f t="shared" si="333"/>
        <v>0.89850638970861285</v>
      </c>
      <c r="G2666" s="14">
        <f t="shared" si="334"/>
        <v>0</v>
      </c>
      <c r="H2666" s="24">
        <f t="shared" si="332"/>
        <v>671.99660366036051</v>
      </c>
      <c r="I2666" s="12">
        <f t="shared" si="339"/>
        <v>0.21333779278877657</v>
      </c>
      <c r="J2666" s="3"/>
    </row>
    <row r="2667" spans="2:10" x14ac:dyDescent="0.25">
      <c r="B2667" s="3">
        <f t="shared" si="335"/>
        <v>13235</v>
      </c>
      <c r="C2667" s="14">
        <f t="shared" si="336"/>
        <v>220.58333333333334</v>
      </c>
      <c r="D2667" s="11">
        <f t="shared" si="337"/>
        <v>1140.1835077844976</v>
      </c>
      <c r="E2667" s="24">
        <f t="shared" si="338"/>
        <v>871.53205094245527</v>
      </c>
      <c r="F2667" s="38">
        <f t="shared" si="333"/>
        <v>0.89876423738652644</v>
      </c>
      <c r="G2667" s="14">
        <f t="shared" si="334"/>
        <v>0</v>
      </c>
      <c r="H2667" s="24">
        <f t="shared" si="332"/>
        <v>671.80381365313519</v>
      </c>
      <c r="I2667" s="12">
        <f t="shared" si="339"/>
        <v>0.2132589515761929</v>
      </c>
      <c r="J2667" s="3"/>
    </row>
    <row r="2668" spans="2:10" x14ac:dyDescent="0.25">
      <c r="B2668" s="3">
        <f t="shared" si="335"/>
        <v>13240</v>
      </c>
      <c r="C2668" s="14">
        <f t="shared" si="336"/>
        <v>220.66666666666666</v>
      </c>
      <c r="D2668" s="11">
        <f t="shared" si="337"/>
        <v>1140.2400693541599</v>
      </c>
      <c r="E2668" s="24">
        <f t="shared" si="338"/>
        <v>871.74530989403149</v>
      </c>
      <c r="F2668" s="38">
        <f t="shared" si="333"/>
        <v>0.89902135581018083</v>
      </c>
      <c r="G2668" s="14">
        <f t="shared" si="334"/>
        <v>0</v>
      </c>
      <c r="H2668" s="24">
        <f t="shared" si="332"/>
        <v>671.61167902089846</v>
      </c>
      <c r="I2668" s="12">
        <f t="shared" si="339"/>
        <v>0.21317996223637126</v>
      </c>
      <c r="J2668" s="3"/>
    </row>
    <row r="2669" spans="2:10" x14ac:dyDescent="0.25">
      <c r="B2669" s="3">
        <f t="shared" si="335"/>
        <v>13245</v>
      </c>
      <c r="C2669" s="14">
        <f t="shared" si="336"/>
        <v>220.75</v>
      </c>
      <c r="D2669" s="11">
        <f t="shared" si="337"/>
        <v>1140.2966095798336</v>
      </c>
      <c r="E2669" s="24">
        <f t="shared" si="338"/>
        <v>871.95848985626787</v>
      </c>
      <c r="F2669" s="38">
        <f t="shared" si="333"/>
        <v>0.89927774783853909</v>
      </c>
      <c r="G2669" s="14">
        <f t="shared" si="334"/>
        <v>0</v>
      </c>
      <c r="H2669" s="24">
        <f t="shared" si="332"/>
        <v>671.42019659951416</v>
      </c>
      <c r="I2669" s="12">
        <f t="shared" si="339"/>
        <v>0.2131008257511002</v>
      </c>
      <c r="J2669" s="3"/>
    </row>
    <row r="2670" spans="2:10" x14ac:dyDescent="0.25">
      <c r="B2670" s="3">
        <f t="shared" si="335"/>
        <v>13250</v>
      </c>
      <c r="C2670" s="14">
        <f t="shared" si="336"/>
        <v>220.83333333333334</v>
      </c>
      <c r="D2670" s="11">
        <f t="shared" si="337"/>
        <v>1140.3531284776204</v>
      </c>
      <c r="E2670" s="24">
        <f t="shared" si="338"/>
        <v>872.17159068201897</v>
      </c>
      <c r="F2670" s="38">
        <f t="shared" si="333"/>
        <v>0.89953341631661099</v>
      </c>
      <c r="G2670" s="14">
        <f t="shared" si="334"/>
        <v>0</v>
      </c>
      <c r="H2670" s="24">
        <f t="shared" si="332"/>
        <v>671.22936324446846</v>
      </c>
      <c r="I2670" s="12">
        <f t="shared" si="339"/>
        <v>0.21302154309720542</v>
      </c>
      <c r="J2670" s="3"/>
    </row>
    <row r="2671" spans="2:10" x14ac:dyDescent="0.25">
      <c r="B2671" s="3">
        <f t="shared" si="335"/>
        <v>13255</v>
      </c>
      <c r="C2671" s="14">
        <f t="shared" si="336"/>
        <v>220.91666666666666</v>
      </c>
      <c r="D2671" s="11">
        <f t="shared" si="337"/>
        <v>1140.4096260636054</v>
      </c>
      <c r="E2671" s="24">
        <f t="shared" si="338"/>
        <v>872.38461222511614</v>
      </c>
      <c r="F2671" s="38">
        <f t="shared" si="333"/>
        <v>0.89978836407553298</v>
      </c>
      <c r="G2671" s="14">
        <f t="shared" si="334"/>
        <v>0</v>
      </c>
      <c r="H2671" s="24">
        <f t="shared" si="332"/>
        <v>671.03917583072302</v>
      </c>
      <c r="I2671" s="12">
        <f t="shared" si="339"/>
        <v>0.21294211524611187</v>
      </c>
      <c r="J2671" s="3"/>
    </row>
    <row r="2672" spans="2:10" x14ac:dyDescent="0.25">
      <c r="B2672" s="3">
        <f t="shared" si="335"/>
        <v>13260</v>
      </c>
      <c r="C2672" s="14">
        <f t="shared" si="336"/>
        <v>221</v>
      </c>
      <c r="D2672" s="11">
        <f t="shared" si="337"/>
        <v>1140.4661023538545</v>
      </c>
      <c r="E2672" s="24">
        <f t="shared" si="338"/>
        <v>872.59755434036231</v>
      </c>
      <c r="F2672" s="38">
        <f t="shared" si="333"/>
        <v>0.90004259393264618</v>
      </c>
      <c r="G2672" s="14">
        <f t="shared" si="334"/>
        <v>0</v>
      </c>
      <c r="H2672" s="24">
        <f t="shared" si="332"/>
        <v>670.84963125256763</v>
      </c>
      <c r="I2672" s="12">
        <f t="shared" si="339"/>
        <v>0.21286254316427933</v>
      </c>
      <c r="J2672" s="3"/>
    </row>
    <row r="2673" spans="2:10" x14ac:dyDescent="0.25">
      <c r="B2673" s="3">
        <f t="shared" si="335"/>
        <v>13265</v>
      </c>
      <c r="C2673" s="14">
        <f t="shared" si="336"/>
        <v>221.08333333333334</v>
      </c>
      <c r="D2673" s="11">
        <f t="shared" si="337"/>
        <v>1140.5225573644154</v>
      </c>
      <c r="E2673" s="24">
        <f t="shared" si="338"/>
        <v>872.81041688352661</v>
      </c>
      <c r="F2673" s="38">
        <f t="shared" si="333"/>
        <v>0.90029610869157384</v>
      </c>
      <c r="G2673" s="14">
        <f t="shared" si="334"/>
        <v>0</v>
      </c>
      <c r="H2673" s="24">
        <f t="shared" si="332"/>
        <v>670.6607264234766</v>
      </c>
      <c r="I2673" s="12">
        <f t="shared" si="339"/>
        <v>0.21278282781299776</v>
      </c>
      <c r="J2673" s="3"/>
    </row>
    <row r="2674" spans="2:10" x14ac:dyDescent="0.25">
      <c r="B2674" s="3">
        <f t="shared" si="335"/>
        <v>13270</v>
      </c>
      <c r="C2674" s="14">
        <f t="shared" si="336"/>
        <v>221.16666666666666</v>
      </c>
      <c r="D2674" s="11">
        <f t="shared" si="337"/>
        <v>1140.5789911113186</v>
      </c>
      <c r="E2674" s="24">
        <f t="shared" si="338"/>
        <v>873.02319971133966</v>
      </c>
      <c r="F2674" s="38">
        <f t="shared" si="333"/>
        <v>0.90054891114229918</v>
      </c>
      <c r="G2674" s="14">
        <f t="shared" si="334"/>
        <v>0</v>
      </c>
      <c r="H2674" s="24">
        <f t="shared" si="332"/>
        <v>670.47245827596419</v>
      </c>
      <c r="I2674" s="12">
        <f t="shared" si="339"/>
        <v>0.2127029701484178</v>
      </c>
      <c r="J2674" s="3"/>
    </row>
    <row r="2675" spans="2:10" x14ac:dyDescent="0.25">
      <c r="B2675" s="3">
        <f t="shared" si="335"/>
        <v>13275</v>
      </c>
      <c r="C2675" s="14">
        <f t="shared" si="336"/>
        <v>221.25</v>
      </c>
      <c r="D2675" s="11">
        <f t="shared" si="337"/>
        <v>1140.6354036105756</v>
      </c>
      <c r="E2675" s="24">
        <f t="shared" si="338"/>
        <v>873.23590268148803</v>
      </c>
      <c r="F2675" s="38">
        <f t="shared" si="333"/>
        <v>0.90080100406124142</v>
      </c>
      <c r="G2675" s="14">
        <f t="shared" si="334"/>
        <v>0</v>
      </c>
      <c r="H2675" s="24">
        <f t="shared" si="332"/>
        <v>670.28482376144314</v>
      </c>
      <c r="I2675" s="12">
        <f t="shared" si="339"/>
        <v>0.21262297112175144</v>
      </c>
      <c r="J2675" s="3"/>
    </row>
    <row r="2676" spans="2:10" x14ac:dyDescent="0.25">
      <c r="B2676" s="3">
        <f t="shared" si="335"/>
        <v>13280</v>
      </c>
      <c r="C2676" s="14">
        <f t="shared" si="336"/>
        <v>221.33333333333334</v>
      </c>
      <c r="D2676" s="11">
        <f t="shared" si="337"/>
        <v>1140.6917948781802</v>
      </c>
      <c r="E2676" s="24">
        <f t="shared" si="338"/>
        <v>873.44852565260976</v>
      </c>
      <c r="F2676" s="38">
        <f t="shared" si="333"/>
        <v>0.90105239021133332</v>
      </c>
      <c r="G2676" s="14">
        <f t="shared" si="334"/>
        <v>0</v>
      </c>
      <c r="H2676" s="24">
        <f t="shared" si="332"/>
        <v>670.09781985008226</v>
      </c>
      <c r="I2676" s="12">
        <f t="shared" si="339"/>
        <v>0.21254283167913024</v>
      </c>
      <c r="J2676" s="3"/>
    </row>
    <row r="2677" spans="2:10" x14ac:dyDescent="0.25">
      <c r="B2677" s="3">
        <f t="shared" si="335"/>
        <v>13285</v>
      </c>
      <c r="C2677" s="14">
        <f t="shared" si="336"/>
        <v>221.41666666666666</v>
      </c>
      <c r="D2677" s="11">
        <f t="shared" si="337"/>
        <v>1140.748164930108</v>
      </c>
      <c r="E2677" s="24">
        <f t="shared" si="338"/>
        <v>873.66106848428888</v>
      </c>
      <c r="F2677" s="38">
        <f t="shared" si="333"/>
        <v>0.90130307234209694</v>
      </c>
      <c r="G2677" s="14">
        <f t="shared" si="334"/>
        <v>0</v>
      </c>
      <c r="H2677" s="24">
        <f t="shared" si="332"/>
        <v>669.91144353066795</v>
      </c>
      <c r="I2677" s="12">
        <f t="shared" si="339"/>
        <v>0.21246255276169959</v>
      </c>
      <c r="J2677" s="3"/>
    </row>
    <row r="2678" spans="2:10" x14ac:dyDescent="0.25">
      <c r="B2678" s="3">
        <f t="shared" si="335"/>
        <v>13290</v>
      </c>
      <c r="C2678" s="14">
        <f t="shared" si="336"/>
        <v>221.5</v>
      </c>
      <c r="D2678" s="11">
        <f t="shared" si="337"/>
        <v>1140.8045137823165</v>
      </c>
      <c r="E2678" s="24">
        <f t="shared" si="338"/>
        <v>873.87353103705061</v>
      </c>
      <c r="F2678" s="38">
        <f t="shared" si="333"/>
        <v>0.90155305318971779</v>
      </c>
      <c r="G2678" s="14">
        <f t="shared" si="334"/>
        <v>0</v>
      </c>
      <c r="H2678" s="24">
        <f t="shared" si="332"/>
        <v>669.72569181046447</v>
      </c>
      <c r="I2678" s="12">
        <f t="shared" si="339"/>
        <v>0.21238213530569042</v>
      </c>
      <c r="J2678" s="3"/>
    </row>
    <row r="2679" spans="2:10" x14ac:dyDescent="0.25">
      <c r="B2679" s="3">
        <f t="shared" si="335"/>
        <v>13295</v>
      </c>
      <c r="C2679" s="14">
        <f t="shared" si="336"/>
        <v>221.58333333333334</v>
      </c>
      <c r="D2679" s="11">
        <f t="shared" si="337"/>
        <v>1140.8608414507457</v>
      </c>
      <c r="E2679" s="24">
        <f t="shared" si="338"/>
        <v>874.0859131723563</v>
      </c>
      <c r="F2679" s="38">
        <f t="shared" si="333"/>
        <v>0.90180233547712141</v>
      </c>
      <c r="G2679" s="14">
        <f t="shared" si="334"/>
        <v>0</v>
      </c>
      <c r="H2679" s="24">
        <f t="shared" ref="H2679:H2742" si="340">IF(E2679&lt;600,425+0.773*E2679-1.69/1000*E2679^2+2.22/1000^2*E2679^3,IF(E2679&lt;735,666+13002/(738-E2679),IF(E2679&lt;900,545+17820/(E2679-731),650)))</f>
        <v>669.54056171507705</v>
      </c>
      <c r="I2679" s="12">
        <f t="shared" si="339"/>
        <v>0.21230158024227772</v>
      </c>
      <c r="J2679" s="3"/>
    </row>
    <row r="2680" spans="2:10" x14ac:dyDescent="0.25">
      <c r="B2680" s="3">
        <f t="shared" si="335"/>
        <v>13300</v>
      </c>
      <c r="C2680" s="14">
        <f t="shared" si="336"/>
        <v>221.66666666666666</v>
      </c>
      <c r="D2680" s="11">
        <f t="shared" si="337"/>
        <v>1140.9171479513168</v>
      </c>
      <c r="E2680" s="24">
        <f t="shared" si="338"/>
        <v>874.2982147525986</v>
      </c>
      <c r="F2680" s="38">
        <f t="shared" si="333"/>
        <v>0.90205092191404679</v>
      </c>
      <c r="G2680" s="14">
        <f t="shared" si="334"/>
        <v>0</v>
      </c>
      <c r="H2680" s="24">
        <f t="shared" si="340"/>
        <v>669.3560502883156</v>
      </c>
      <c r="I2680" s="12">
        <f t="shared" si="339"/>
        <v>0.21222088849795079</v>
      </c>
      <c r="J2680" s="3"/>
    </row>
    <row r="2681" spans="2:10" x14ac:dyDescent="0.25">
      <c r="B2681" s="3">
        <f t="shared" si="335"/>
        <v>13305</v>
      </c>
      <c r="C2681" s="14">
        <f t="shared" si="336"/>
        <v>221.75</v>
      </c>
      <c r="D2681" s="11">
        <f t="shared" si="337"/>
        <v>1140.9734332999337</v>
      </c>
      <c r="E2681" s="24">
        <f t="shared" si="338"/>
        <v>874.51043564109659</v>
      </c>
      <c r="F2681" s="38">
        <f t="shared" si="333"/>
        <v>0.90229881519712174</v>
      </c>
      <c r="G2681" s="14">
        <f t="shared" si="334"/>
        <v>0</v>
      </c>
      <c r="H2681" s="24">
        <f t="shared" si="340"/>
        <v>669.17215459205909</v>
      </c>
      <c r="I2681" s="12">
        <f t="shared" si="339"/>
        <v>0.21214006099409358</v>
      </c>
      <c r="J2681" s="3"/>
    </row>
    <row r="2682" spans="2:10" x14ac:dyDescent="0.25">
      <c r="B2682" s="3">
        <f t="shared" si="335"/>
        <v>13310</v>
      </c>
      <c r="C2682" s="14">
        <f t="shared" si="336"/>
        <v>221.83333333333334</v>
      </c>
      <c r="D2682" s="11">
        <f t="shared" si="337"/>
        <v>1141.0296975124827</v>
      </c>
      <c r="E2682" s="24">
        <f t="shared" si="338"/>
        <v>874.72257570209069</v>
      </c>
      <c r="F2682" s="38">
        <f t="shared" si="333"/>
        <v>0.90254601800993495</v>
      </c>
      <c r="G2682" s="14">
        <f t="shared" si="334"/>
        <v>0</v>
      </c>
      <c r="H2682" s="24">
        <f t="shared" si="340"/>
        <v>668.9888717061225</v>
      </c>
      <c r="I2682" s="12">
        <f t="shared" si="339"/>
        <v>0.21205909864735531</v>
      </c>
      <c r="J2682" s="3"/>
    </row>
    <row r="2683" spans="2:10" x14ac:dyDescent="0.25">
      <c r="B2683" s="3">
        <f t="shared" si="335"/>
        <v>13315</v>
      </c>
      <c r="C2683" s="14">
        <f t="shared" si="336"/>
        <v>221.91666666666666</v>
      </c>
      <c r="D2683" s="11">
        <f t="shared" si="337"/>
        <v>1141.085940604831</v>
      </c>
      <c r="E2683" s="24">
        <f t="shared" si="338"/>
        <v>874.93463480073808</v>
      </c>
      <c r="F2683" s="38">
        <f t="shared" si="333"/>
        <v>0.90279253302311069</v>
      </c>
      <c r="G2683" s="14">
        <f t="shared" si="334"/>
        <v>0</v>
      </c>
      <c r="H2683" s="24">
        <f t="shared" si="340"/>
        <v>668.80619872812304</v>
      </c>
      <c r="I2683" s="12">
        <f t="shared" si="339"/>
        <v>0.21197800236965711</v>
      </c>
      <c r="J2683" s="3"/>
    </row>
    <row r="2684" spans="2:10" x14ac:dyDescent="0.25">
      <c r="B2684" s="3">
        <f t="shared" si="335"/>
        <v>13320</v>
      </c>
      <c r="C2684" s="14">
        <f t="shared" si="336"/>
        <v>222</v>
      </c>
      <c r="D2684" s="11">
        <f t="shared" si="337"/>
        <v>1141.142162592829</v>
      </c>
      <c r="E2684" s="24">
        <f t="shared" si="338"/>
        <v>875.1466128031077</v>
      </c>
      <c r="F2684" s="38">
        <f t="shared" si="333"/>
        <v>0.90303836289437978</v>
      </c>
      <c r="G2684" s="14">
        <f t="shared" si="334"/>
        <v>0</v>
      </c>
      <c r="H2684" s="24">
        <f t="shared" si="340"/>
        <v>668.62413277334963</v>
      </c>
      <c r="I2684" s="12">
        <f t="shared" si="339"/>
        <v>0.21189677306794216</v>
      </c>
      <c r="J2684" s="3"/>
    </row>
    <row r="2685" spans="2:10" x14ac:dyDescent="0.25">
      <c r="B2685" s="3">
        <f t="shared" si="335"/>
        <v>13325</v>
      </c>
      <c r="C2685" s="14">
        <f t="shared" si="336"/>
        <v>222.08333333333334</v>
      </c>
      <c r="D2685" s="11">
        <f t="shared" si="337"/>
        <v>1141.1983634923088</v>
      </c>
      <c r="E2685" s="24">
        <f t="shared" si="338"/>
        <v>875.35850957617561</v>
      </c>
      <c r="F2685" s="38">
        <f t="shared" si="333"/>
        <v>0.90328351026865428</v>
      </c>
      <c r="G2685" s="14">
        <f t="shared" si="334"/>
        <v>0</v>
      </c>
      <c r="H2685" s="24">
        <f t="shared" si="340"/>
        <v>668.44267097463126</v>
      </c>
      <c r="I2685" s="12">
        <f t="shared" si="339"/>
        <v>0.21181541164454645</v>
      </c>
      <c r="J2685" s="3"/>
    </row>
    <row r="2686" spans="2:10" x14ac:dyDescent="0.25">
      <c r="B2686" s="3">
        <f t="shared" si="335"/>
        <v>13330</v>
      </c>
      <c r="C2686" s="14">
        <f t="shared" si="336"/>
        <v>222.16666666666666</v>
      </c>
      <c r="D2686" s="11">
        <f t="shared" si="337"/>
        <v>1141.2545433190849</v>
      </c>
      <c r="E2686" s="24">
        <f t="shared" si="338"/>
        <v>875.57032498782019</v>
      </c>
      <c r="F2686" s="38">
        <f t="shared" si="333"/>
        <v>0.90352797777809746</v>
      </c>
      <c r="G2686" s="14">
        <f t="shared" si="334"/>
        <v>0</v>
      </c>
      <c r="H2686" s="24">
        <f t="shared" si="340"/>
        <v>668.2618104822086</v>
      </c>
      <c r="I2686" s="12">
        <f t="shared" si="339"/>
        <v>0.21173391899699051</v>
      </c>
      <c r="J2686" s="3"/>
    </row>
    <row r="2687" spans="2:10" x14ac:dyDescent="0.25">
      <c r="B2687" s="3">
        <f t="shared" si="335"/>
        <v>13335</v>
      </c>
      <c r="C2687" s="14">
        <f t="shared" si="336"/>
        <v>222.25</v>
      </c>
      <c r="D2687" s="11">
        <f t="shared" si="337"/>
        <v>1141.310702088954</v>
      </c>
      <c r="E2687" s="24">
        <f t="shared" si="338"/>
        <v>875.78205890681716</v>
      </c>
      <c r="F2687" s="38">
        <f t="shared" si="333"/>
        <v>0.90377176804219506</v>
      </c>
      <c r="G2687" s="14">
        <f t="shared" si="334"/>
        <v>0</v>
      </c>
      <c r="H2687" s="24">
        <f t="shared" si="340"/>
        <v>668.08154846360549</v>
      </c>
      <c r="I2687" s="12">
        <f t="shared" si="339"/>
        <v>0.2116522960181148</v>
      </c>
      <c r="J2687" s="3"/>
    </row>
    <row r="2688" spans="2:10" x14ac:dyDescent="0.25">
      <c r="B2688" s="3">
        <f t="shared" si="335"/>
        <v>13340</v>
      </c>
      <c r="C2688" s="14">
        <f t="shared" si="336"/>
        <v>222.33333333333334</v>
      </c>
      <c r="D2688" s="11">
        <f t="shared" si="337"/>
        <v>1141.3668398176949</v>
      </c>
      <c r="E2688" s="24">
        <f t="shared" si="338"/>
        <v>875.99371120283524</v>
      </c>
      <c r="F2688" s="38">
        <f t="shared" si="333"/>
        <v>0.90401488366782801</v>
      </c>
      <c r="G2688" s="14">
        <f t="shared" si="334"/>
        <v>0</v>
      </c>
      <c r="H2688" s="24">
        <f t="shared" si="340"/>
        <v>667.90188210350152</v>
      </c>
      <c r="I2688" s="12">
        <f t="shared" si="339"/>
        <v>0.21157054359612781</v>
      </c>
      <c r="J2688" s="3"/>
    </row>
    <row r="2689" spans="2:10" x14ac:dyDescent="0.25">
      <c r="B2689" s="3">
        <f t="shared" si="335"/>
        <v>13345</v>
      </c>
      <c r="C2689" s="14">
        <f t="shared" si="336"/>
        <v>222.41666666666666</v>
      </c>
      <c r="D2689" s="11">
        <f t="shared" si="337"/>
        <v>1141.4229565210687</v>
      </c>
      <c r="E2689" s="24">
        <f t="shared" si="338"/>
        <v>876.20528174643141</v>
      </c>
      <c r="F2689" s="38">
        <f t="shared" si="333"/>
        <v>0.90425732724934083</v>
      </c>
      <c r="G2689" s="14">
        <f t="shared" si="334"/>
        <v>0</v>
      </c>
      <c r="H2689" s="24">
        <f t="shared" si="340"/>
        <v>667.72280860360615</v>
      </c>
      <c r="I2689" s="12">
        <f t="shared" si="339"/>
        <v>0.21148866261450505</v>
      </c>
      <c r="J2689" s="3"/>
    </row>
    <row r="2690" spans="2:10" x14ac:dyDescent="0.25">
      <c r="B2690" s="3">
        <f t="shared" si="335"/>
        <v>13350</v>
      </c>
      <c r="C2690" s="14">
        <f t="shared" si="336"/>
        <v>222.5</v>
      </c>
      <c r="D2690" s="11">
        <f t="shared" si="337"/>
        <v>1141.4790522148189</v>
      </c>
      <c r="E2690" s="24">
        <f t="shared" si="338"/>
        <v>876.41677040904597</v>
      </c>
      <c r="F2690" s="38">
        <f t="shared" si="333"/>
        <v>0.90449910136861467</v>
      </c>
      <c r="G2690" s="14">
        <f t="shared" si="334"/>
        <v>0</v>
      </c>
      <c r="H2690" s="24">
        <f t="shared" si="340"/>
        <v>667.54432518253384</v>
      </c>
      <c r="I2690" s="12">
        <f t="shared" si="339"/>
        <v>0.21140665395216643</v>
      </c>
      <c r="J2690" s="3"/>
    </row>
    <row r="2691" spans="2:10" x14ac:dyDescent="0.25">
      <c r="B2691" s="3">
        <f t="shared" si="335"/>
        <v>13355</v>
      </c>
      <c r="C2691" s="14">
        <f t="shared" si="336"/>
        <v>222.58333333333334</v>
      </c>
      <c r="D2691" s="11">
        <f t="shared" si="337"/>
        <v>1141.5351269146713</v>
      </c>
      <c r="E2691" s="24">
        <f t="shared" si="338"/>
        <v>876.62817706299813</v>
      </c>
      <c r="F2691" s="38">
        <f t="shared" si="333"/>
        <v>0.90474020859513282</v>
      </c>
      <c r="G2691" s="14">
        <f t="shared" si="334"/>
        <v>0</v>
      </c>
      <c r="H2691" s="24">
        <f t="shared" si="340"/>
        <v>667.36642907568046</v>
      </c>
      <c r="I2691" s="12">
        <f t="shared" si="339"/>
        <v>0.21132451848339578</v>
      </c>
      <c r="J2691" s="3"/>
    </row>
    <row r="2692" spans="2:10" x14ac:dyDescent="0.25">
      <c r="B2692" s="3">
        <f t="shared" si="335"/>
        <v>13360</v>
      </c>
      <c r="C2692" s="14">
        <f t="shared" si="336"/>
        <v>222.66666666666666</v>
      </c>
      <c r="D2692" s="11">
        <f t="shared" si="337"/>
        <v>1141.5911806363338</v>
      </c>
      <c r="E2692" s="24">
        <f t="shared" si="338"/>
        <v>876.8395015814815</v>
      </c>
      <c r="F2692" s="38">
        <f t="shared" si="333"/>
        <v>0.90498065148605422</v>
      </c>
      <c r="G2692" s="14">
        <f t="shared" si="334"/>
        <v>0</v>
      </c>
      <c r="H2692" s="24">
        <f t="shared" si="340"/>
        <v>667.18911753509974</v>
      </c>
      <c r="I2692" s="12">
        <f t="shared" si="339"/>
        <v>0.21124225707795297</v>
      </c>
      <c r="J2692" s="3"/>
    </row>
    <row r="2693" spans="2:10" x14ac:dyDescent="0.25">
      <c r="B2693" s="3">
        <f t="shared" si="335"/>
        <v>13365</v>
      </c>
      <c r="C2693" s="14">
        <f t="shared" si="336"/>
        <v>222.75</v>
      </c>
      <c r="D2693" s="11">
        <f t="shared" si="337"/>
        <v>1141.6472133954971</v>
      </c>
      <c r="E2693" s="24">
        <f t="shared" si="338"/>
        <v>877.05074383855947</v>
      </c>
      <c r="F2693" s="38">
        <f t="shared" si="333"/>
        <v>0.90522043258627949</v>
      </c>
      <c r="G2693" s="14">
        <f t="shared" si="334"/>
        <v>0</v>
      </c>
      <c r="H2693" s="24">
        <f t="shared" si="340"/>
        <v>667.01238782938174</v>
      </c>
      <c r="I2693" s="12">
        <f t="shared" si="339"/>
        <v>0.21115987060097244</v>
      </c>
      <c r="J2693" s="3"/>
    </row>
    <row r="2694" spans="2:10" x14ac:dyDescent="0.25">
      <c r="B2694" s="3">
        <f t="shared" si="335"/>
        <v>13370</v>
      </c>
      <c r="C2694" s="14">
        <f t="shared" si="336"/>
        <v>222.83333333333334</v>
      </c>
      <c r="D2694" s="11">
        <f t="shared" si="337"/>
        <v>1141.7032252078343</v>
      </c>
      <c r="E2694" s="24">
        <f t="shared" si="338"/>
        <v>877.26190370916049</v>
      </c>
      <c r="F2694" s="38">
        <f t="shared" si="333"/>
        <v>0.90545955442852044</v>
      </c>
      <c r="G2694" s="14">
        <f t="shared" si="334"/>
        <v>0</v>
      </c>
      <c r="H2694" s="24">
        <f t="shared" si="340"/>
        <v>666.83623724353265</v>
      </c>
      <c r="I2694" s="12">
        <f t="shared" si="339"/>
        <v>0.21107735991316076</v>
      </c>
      <c r="J2694" s="3"/>
    </row>
    <row r="2695" spans="2:10" x14ac:dyDescent="0.25">
      <c r="B2695" s="3">
        <f t="shared" si="335"/>
        <v>13375</v>
      </c>
      <c r="C2695" s="14">
        <f t="shared" si="336"/>
        <v>222.91666666666666</v>
      </c>
      <c r="D2695" s="11">
        <f t="shared" si="337"/>
        <v>1141.7592160890001</v>
      </c>
      <c r="E2695" s="24">
        <f t="shared" si="338"/>
        <v>877.47298106907363</v>
      </c>
      <c r="F2695" s="38">
        <f t="shared" si="333"/>
        <v>0.9056980195333677</v>
      </c>
      <c r="G2695" s="14">
        <f t="shared" si="334"/>
        <v>0</v>
      </c>
      <c r="H2695" s="24">
        <f t="shared" si="340"/>
        <v>666.66066307885444</v>
      </c>
      <c r="I2695" s="12">
        <f t="shared" si="339"/>
        <v>0.21099472587073698</v>
      </c>
      <c r="J2695" s="3"/>
    </row>
    <row r="2696" spans="2:10" x14ac:dyDescent="0.25">
      <c r="B2696" s="3">
        <f t="shared" si="335"/>
        <v>13380</v>
      </c>
      <c r="C2696" s="14">
        <f t="shared" si="336"/>
        <v>223</v>
      </c>
      <c r="D2696" s="11">
        <f t="shared" si="337"/>
        <v>1141.8151860546329</v>
      </c>
      <c r="E2696" s="24">
        <f t="shared" si="338"/>
        <v>877.68397579494433</v>
      </c>
      <c r="F2696" s="38">
        <f t="shared" si="333"/>
        <v>0.90593583040935854</v>
      </c>
      <c r="G2696" s="14">
        <f t="shared" si="334"/>
        <v>0</v>
      </c>
      <c r="H2696" s="24">
        <f t="shared" si="340"/>
        <v>666.4856626528267</v>
      </c>
      <c r="I2696" s="12">
        <f t="shared" si="339"/>
        <v>0.21091196932532996</v>
      </c>
      <c r="J2696" s="3"/>
    </row>
    <row r="2697" spans="2:10" x14ac:dyDescent="0.25">
      <c r="B2697" s="3">
        <f t="shared" si="335"/>
        <v>13385</v>
      </c>
      <c r="C2697" s="14">
        <f t="shared" si="336"/>
        <v>223.08333333333334</v>
      </c>
      <c r="D2697" s="11">
        <f t="shared" si="337"/>
        <v>1141.8711351203528</v>
      </c>
      <c r="E2697" s="24">
        <f t="shared" si="338"/>
        <v>877.8948877642697</v>
      </c>
      <c r="F2697" s="38">
        <f t="shared" si="333"/>
        <v>0.90617298955304437</v>
      </c>
      <c r="G2697" s="14">
        <f t="shared" si="334"/>
        <v>0</v>
      </c>
      <c r="H2697" s="24">
        <f t="shared" si="340"/>
        <v>666.3112332989881</v>
      </c>
      <c r="I2697" s="12">
        <f t="shared" si="339"/>
        <v>0.21082909112428364</v>
      </c>
      <c r="J2697" s="3"/>
    </row>
    <row r="2698" spans="2:10" x14ac:dyDescent="0.25">
      <c r="B2698" s="3">
        <f t="shared" si="335"/>
        <v>13390</v>
      </c>
      <c r="C2698" s="14">
        <f t="shared" si="336"/>
        <v>223.16666666666666</v>
      </c>
      <c r="D2698" s="11">
        <f t="shared" si="337"/>
        <v>1141.9270633017625</v>
      </c>
      <c r="E2698" s="24">
        <f t="shared" si="338"/>
        <v>878.10571685539401</v>
      </c>
      <c r="F2698" s="38">
        <f t="shared" si="333"/>
        <v>0.90640949944905669</v>
      </c>
      <c r="G2698" s="14">
        <f t="shared" si="334"/>
        <v>0</v>
      </c>
      <c r="H2698" s="24">
        <f t="shared" si="340"/>
        <v>666.13737236682095</v>
      </c>
      <c r="I2698" s="12">
        <f t="shared" si="339"/>
        <v>0.21074609211046724</v>
      </c>
      <c r="J2698" s="3"/>
    </row>
    <row r="2699" spans="2:10" x14ac:dyDescent="0.25">
      <c r="B2699" s="3">
        <f t="shared" si="335"/>
        <v>13395</v>
      </c>
      <c r="C2699" s="14">
        <f t="shared" si="336"/>
        <v>223.25</v>
      </c>
      <c r="D2699" s="11">
        <f t="shared" si="337"/>
        <v>1141.9829706144471</v>
      </c>
      <c r="E2699" s="24">
        <f t="shared" si="338"/>
        <v>878.31646294750442</v>
      </c>
      <c r="F2699" s="38">
        <f t="shared" si="333"/>
        <v>0.90664536257017392</v>
      </c>
      <c r="G2699" s="14">
        <f t="shared" si="334"/>
        <v>0</v>
      </c>
      <c r="H2699" s="24">
        <f t="shared" si="340"/>
        <v>665.96407722163462</v>
      </c>
      <c r="I2699" s="12">
        <f t="shared" si="339"/>
        <v>0.21066297312234467</v>
      </c>
      <c r="J2699" s="3"/>
    </row>
    <row r="2700" spans="2:10" x14ac:dyDescent="0.25">
      <c r="B2700" s="3">
        <f t="shared" si="335"/>
        <v>13400</v>
      </c>
      <c r="C2700" s="14">
        <f t="shared" si="336"/>
        <v>223.33333333333334</v>
      </c>
      <c r="D2700" s="11">
        <f t="shared" si="337"/>
        <v>1142.0388570739749</v>
      </c>
      <c r="E2700" s="24">
        <f t="shared" si="338"/>
        <v>878.52712592062676</v>
      </c>
      <c r="F2700" s="38">
        <f t="shared" si="333"/>
        <v>0.90688058137738681</v>
      </c>
      <c r="G2700" s="14">
        <f t="shared" si="334"/>
        <v>0</v>
      </c>
      <c r="H2700" s="24">
        <f t="shared" si="340"/>
        <v>665.79134524445089</v>
      </c>
      <c r="I2700" s="12">
        <f t="shared" si="339"/>
        <v>0.21057973499402044</v>
      </c>
      <c r="J2700" s="3"/>
    </row>
    <row r="2701" spans="2:10" x14ac:dyDescent="0.25">
      <c r="B2701" s="3">
        <f t="shared" si="335"/>
        <v>13405</v>
      </c>
      <c r="C2701" s="14">
        <f t="shared" si="336"/>
        <v>223.41666666666666</v>
      </c>
      <c r="D2701" s="11">
        <f t="shared" si="337"/>
        <v>1142.0947226958961</v>
      </c>
      <c r="E2701" s="24">
        <f t="shared" si="338"/>
        <v>878.73770565562074</v>
      </c>
      <c r="F2701" s="38">
        <f t="shared" si="333"/>
        <v>0.9071151583199657</v>
      </c>
      <c r="G2701" s="14">
        <f t="shared" si="334"/>
        <v>0</v>
      </c>
      <c r="H2701" s="24">
        <f t="shared" si="340"/>
        <v>665.61917383189052</v>
      </c>
      <c r="I2701" s="12">
        <f t="shared" si="339"/>
        <v>0.21049637855530876</v>
      </c>
      <c r="J2701" s="3"/>
    </row>
    <row r="2702" spans="2:10" x14ac:dyDescent="0.25">
      <c r="B2702" s="3">
        <f t="shared" si="335"/>
        <v>13410</v>
      </c>
      <c r="C2702" s="14">
        <f t="shared" si="336"/>
        <v>223.5</v>
      </c>
      <c r="D2702" s="11">
        <f t="shared" si="337"/>
        <v>1142.1505674957436</v>
      </c>
      <c r="E2702" s="24">
        <f t="shared" si="338"/>
        <v>878.94820203417601</v>
      </c>
      <c r="F2702" s="38">
        <f t="shared" si="333"/>
        <v>0.90734909583552292</v>
      </c>
      <c r="G2702" s="14">
        <f t="shared" si="334"/>
        <v>0</v>
      </c>
      <c r="H2702" s="24">
        <f t="shared" si="340"/>
        <v>665.44756039606068</v>
      </c>
      <c r="I2702" s="12">
        <f t="shared" si="339"/>
        <v>0.21041290463167156</v>
      </c>
      <c r="J2702" s="3"/>
    </row>
    <row r="2703" spans="2:10" x14ac:dyDescent="0.25">
      <c r="B2703" s="3">
        <f t="shared" si="335"/>
        <v>13415</v>
      </c>
      <c r="C2703" s="14">
        <f t="shared" si="336"/>
        <v>223.58333333333334</v>
      </c>
      <c r="D2703" s="11">
        <f t="shared" si="337"/>
        <v>1142.2063914890334</v>
      </c>
      <c r="E2703" s="24">
        <f t="shared" si="338"/>
        <v>879.15861493880766</v>
      </c>
      <c r="F2703" s="38">
        <f t="shared" si="333"/>
        <v>0.90758239635007998</v>
      </c>
      <c r="G2703" s="14">
        <f t="shared" si="334"/>
        <v>0</v>
      </c>
      <c r="H2703" s="24">
        <f t="shared" si="340"/>
        <v>665.27650236444231</v>
      </c>
      <c r="I2703" s="12">
        <f t="shared" si="339"/>
        <v>0.21032931404428729</v>
      </c>
      <c r="J2703" s="3"/>
    </row>
    <row r="2704" spans="2:10" x14ac:dyDescent="0.25">
      <c r="B2704" s="3">
        <f t="shared" si="335"/>
        <v>13420</v>
      </c>
      <c r="C2704" s="14">
        <f t="shared" si="336"/>
        <v>223.66666666666666</v>
      </c>
      <c r="D2704" s="11">
        <f t="shared" si="337"/>
        <v>1142.2621946912639</v>
      </c>
      <c r="E2704" s="24">
        <f t="shared" si="338"/>
        <v>879.36894425285197</v>
      </c>
      <c r="F2704" s="38">
        <f t="shared" si="333"/>
        <v>0.90781506227813036</v>
      </c>
      <c r="G2704" s="14">
        <f t="shared" si="334"/>
        <v>0</v>
      </c>
      <c r="H2704" s="24">
        <f t="shared" si="340"/>
        <v>665.10599717978016</v>
      </c>
      <c r="I2704" s="12">
        <f t="shared" si="339"/>
        <v>0.21024560761007513</v>
      </c>
      <c r="J2704" s="3"/>
    </row>
    <row r="2705" spans="2:10" x14ac:dyDescent="0.25">
      <c r="B2705" s="3">
        <f t="shared" si="335"/>
        <v>13425</v>
      </c>
      <c r="C2705" s="14">
        <f t="shared" si="336"/>
        <v>223.75</v>
      </c>
      <c r="D2705" s="11">
        <f t="shared" si="337"/>
        <v>1142.3179771179157</v>
      </c>
      <c r="E2705" s="24">
        <f t="shared" si="338"/>
        <v>879.57918986046207</v>
      </c>
      <c r="F2705" s="38">
        <f t="shared" si="333"/>
        <v>0.90804709602270473</v>
      </c>
      <c r="G2705" s="14">
        <f t="shared" si="334"/>
        <v>0</v>
      </c>
      <c r="H2705" s="24">
        <f t="shared" si="340"/>
        <v>664.93604229997231</v>
      </c>
      <c r="I2705" s="12">
        <f t="shared" si="339"/>
        <v>0.2101617861417627</v>
      </c>
      <c r="J2705" s="3"/>
    </row>
    <row r="2706" spans="2:10" x14ac:dyDescent="0.25">
      <c r="B2706" s="3">
        <f t="shared" si="335"/>
        <v>13430</v>
      </c>
      <c r="C2706" s="14">
        <f t="shared" si="336"/>
        <v>223.83333333333334</v>
      </c>
      <c r="D2706" s="11">
        <f t="shared" si="337"/>
        <v>1142.3737387844533</v>
      </c>
      <c r="E2706" s="24">
        <f t="shared" si="338"/>
        <v>879.78935164660379</v>
      </c>
      <c r="F2706" s="38">
        <f t="shared" si="333"/>
        <v>0.90827849997543264</v>
      </c>
      <c r="G2706" s="14">
        <f t="shared" si="334"/>
        <v>0</v>
      </c>
      <c r="H2706" s="24">
        <f t="shared" si="340"/>
        <v>664.76663519796148</v>
      </c>
      <c r="I2706" s="12">
        <f t="shared" si="339"/>
        <v>0.21007785044773825</v>
      </c>
      <c r="J2706" s="3"/>
    </row>
    <row r="2707" spans="2:10" x14ac:dyDescent="0.25">
      <c r="B2707" s="3">
        <f t="shared" si="335"/>
        <v>13435</v>
      </c>
      <c r="C2707" s="14">
        <f t="shared" si="336"/>
        <v>223.91666666666666</v>
      </c>
      <c r="D2707" s="11">
        <f t="shared" si="337"/>
        <v>1142.4294797063226</v>
      </c>
      <c r="E2707" s="24">
        <f t="shared" si="338"/>
        <v>879.99942949705155</v>
      </c>
      <c r="F2707" s="38">
        <f t="shared" si="333"/>
        <v>0.9085092765166084</v>
      </c>
      <c r="G2707" s="14">
        <f t="shared" si="334"/>
        <v>0</v>
      </c>
      <c r="H2707" s="24">
        <f t="shared" si="340"/>
        <v>664.59777336162642</v>
      </c>
      <c r="I2707" s="12">
        <f t="shared" si="339"/>
        <v>0.20999380133239756</v>
      </c>
      <c r="J2707" s="3"/>
    </row>
    <row r="2708" spans="2:10" x14ac:dyDescent="0.25">
      <c r="B2708" s="3">
        <f t="shared" si="335"/>
        <v>13440</v>
      </c>
      <c r="C2708" s="14">
        <f t="shared" si="336"/>
        <v>224</v>
      </c>
      <c r="D2708" s="11">
        <f t="shared" si="337"/>
        <v>1142.4851998989529</v>
      </c>
      <c r="E2708" s="24">
        <f t="shared" si="338"/>
        <v>880.20942329838397</v>
      </c>
      <c r="F2708" s="38">
        <f t="shared" ref="F2708:F2771" si="341">Cp*RhoP/(RhoA*H2708)*dp/1000*MassivP</f>
        <v>0.90873942801525143</v>
      </c>
      <c r="G2708" s="14">
        <f t="shared" ref="G2708:G2771" si="342">Phi*EpsilonF*Botzman/10^8*J2708*((D2708+273)^4-(E2708+273)^4)</f>
        <v>0</v>
      </c>
      <c r="H2708" s="24">
        <f t="shared" si="340"/>
        <v>664.42945429367535</v>
      </c>
      <c r="I2708" s="12">
        <f t="shared" si="339"/>
        <v>0.20990963959580233</v>
      </c>
      <c r="J2708" s="3"/>
    </row>
    <row r="2709" spans="2:10" x14ac:dyDescent="0.25">
      <c r="B2709" s="3">
        <f t="shared" ref="B2709:B2772" si="343">B2708+DeltaT</f>
        <v>13445</v>
      </c>
      <c r="C2709" s="14">
        <f t="shared" ref="C2709:C2772" si="344">B2709/60</f>
        <v>224.08333333333334</v>
      </c>
      <c r="D2709" s="11">
        <f t="shared" ref="D2709:D2772" si="345">20+345*LOG(8*C2709+1,10)</f>
        <v>1142.5408993777569</v>
      </c>
      <c r="E2709" s="24">
        <f t="shared" ref="E2709:E2772" si="346">E2708+IF(Limit=Oui,MAX(0,I2708),I2708)</f>
        <v>880.41933293797979</v>
      </c>
      <c r="F2709" s="38">
        <f t="shared" si="341"/>
        <v>0.90896895682916934</v>
      </c>
      <c r="G2709" s="14">
        <f t="shared" si="342"/>
        <v>0</v>
      </c>
      <c r="H2709" s="24">
        <f t="shared" si="340"/>
        <v>664.26167551153935</v>
      </c>
      <c r="I2709" s="12">
        <f t="shared" ref="I2709:I2772" si="347">LambdaP*MassivP/(dp/1000)/(H2709*RhoA)/(1+F2709/3)*(D2709-E2709)*DeltaT-(EXP(F2709/10)-1)*(D2709-D2708)</f>
        <v>0.20982536603389768</v>
      </c>
      <c r="J2709" s="3"/>
    </row>
    <row r="2710" spans="2:10" x14ac:dyDescent="0.25">
      <c r="B2710" s="3">
        <f t="shared" si="343"/>
        <v>13450</v>
      </c>
      <c r="C2710" s="14">
        <f t="shared" si="344"/>
        <v>224.16666666666666</v>
      </c>
      <c r="D2710" s="11">
        <f t="shared" si="345"/>
        <v>1142.5965781581288</v>
      </c>
      <c r="E2710" s="24">
        <f t="shared" si="346"/>
        <v>880.62915830401369</v>
      </c>
      <c r="F2710" s="38">
        <f t="shared" si="341"/>
        <v>0.909197865305021</v>
      </c>
      <c r="G2710" s="14">
        <f t="shared" si="342"/>
        <v>0</v>
      </c>
      <c r="H2710" s="24">
        <f t="shared" si="340"/>
        <v>664.09443454726693</v>
      </c>
      <c r="I2710" s="12">
        <f t="shared" si="347"/>
        <v>0.20974098143864392</v>
      </c>
      <c r="J2710" s="3"/>
    </row>
    <row r="2711" spans="2:10" x14ac:dyDescent="0.25">
      <c r="B2711" s="3">
        <f t="shared" si="343"/>
        <v>13455</v>
      </c>
      <c r="C2711" s="14">
        <f t="shared" si="344"/>
        <v>224.25</v>
      </c>
      <c r="D2711" s="11">
        <f t="shared" si="345"/>
        <v>1142.6522362554465</v>
      </c>
      <c r="E2711" s="24">
        <f t="shared" si="346"/>
        <v>880.83889928545238</v>
      </c>
      <c r="F2711" s="38">
        <f t="shared" si="341"/>
        <v>0.90942615577837704</v>
      </c>
      <c r="G2711" s="14">
        <f t="shared" si="342"/>
        <v>0</v>
      </c>
      <c r="H2711" s="24">
        <f t="shared" si="340"/>
        <v>663.92772894741972</v>
      </c>
      <c r="I2711" s="12">
        <f t="shared" si="347"/>
        <v>0.20965648659773772</v>
      </c>
      <c r="J2711" s="3"/>
    </row>
    <row r="2712" spans="2:10" x14ac:dyDescent="0.25">
      <c r="B2712" s="3">
        <f t="shared" si="343"/>
        <v>13460</v>
      </c>
      <c r="C2712" s="14">
        <f t="shared" si="344"/>
        <v>224.33333333333334</v>
      </c>
      <c r="D2712" s="11">
        <f t="shared" si="345"/>
        <v>1142.7078736850708</v>
      </c>
      <c r="E2712" s="24">
        <f t="shared" si="346"/>
        <v>881.04855577205012</v>
      </c>
      <c r="F2712" s="38">
        <f t="shared" si="341"/>
        <v>0.90965383057378091</v>
      </c>
      <c r="G2712" s="14">
        <f t="shared" si="342"/>
        <v>0</v>
      </c>
      <c r="H2712" s="24">
        <f t="shared" si="340"/>
        <v>663.76155627296862</v>
      </c>
      <c r="I2712" s="12">
        <f t="shared" si="347"/>
        <v>0.20957188229489546</v>
      </c>
      <c r="J2712" s="3"/>
    </row>
    <row r="2713" spans="2:10" x14ac:dyDescent="0.25">
      <c r="B2713" s="3">
        <f t="shared" si="343"/>
        <v>13465</v>
      </c>
      <c r="C2713" s="14">
        <f t="shared" si="344"/>
        <v>224.41666666666666</v>
      </c>
      <c r="D2713" s="11">
        <f t="shared" si="345"/>
        <v>1142.7634904623451</v>
      </c>
      <c r="E2713" s="24">
        <f t="shared" si="346"/>
        <v>881.258127654345</v>
      </c>
      <c r="F2713" s="38">
        <f t="shared" si="341"/>
        <v>0.90988089200481126</v>
      </c>
      <c r="G2713" s="14">
        <f t="shared" si="342"/>
        <v>0</v>
      </c>
      <c r="H2713" s="24">
        <f t="shared" si="340"/>
        <v>663.59591409919119</v>
      </c>
      <c r="I2713" s="12">
        <f t="shared" si="347"/>
        <v>0.20948716930978889</v>
      </c>
      <c r="J2713" s="3"/>
    </row>
    <row r="2714" spans="2:10" x14ac:dyDescent="0.25">
      <c r="B2714" s="3">
        <f t="shared" si="343"/>
        <v>13470</v>
      </c>
      <c r="C2714" s="14">
        <f t="shared" si="344"/>
        <v>224.5</v>
      </c>
      <c r="D2714" s="11">
        <f t="shared" si="345"/>
        <v>1142.8190866025959</v>
      </c>
      <c r="E2714" s="24">
        <f t="shared" si="346"/>
        <v>881.4676148236548</v>
      </c>
      <c r="F2714" s="38">
        <f t="shared" si="341"/>
        <v>0.91010734237414093</v>
      </c>
      <c r="G2714" s="14">
        <f t="shared" si="342"/>
        <v>0</v>
      </c>
      <c r="H2714" s="24">
        <f t="shared" si="340"/>
        <v>663.4308000155695</v>
      </c>
      <c r="I2714" s="12">
        <f t="shared" si="347"/>
        <v>0.20940234841802635</v>
      </c>
      <c r="J2714" s="3"/>
    </row>
    <row r="2715" spans="2:10" x14ac:dyDescent="0.25">
      <c r="B2715" s="3">
        <f t="shared" si="343"/>
        <v>13475</v>
      </c>
      <c r="C2715" s="14">
        <f t="shared" si="344"/>
        <v>224.58333333333334</v>
      </c>
      <c r="D2715" s="11">
        <f t="shared" si="345"/>
        <v>1142.8746621211324</v>
      </c>
      <c r="E2715" s="24">
        <f t="shared" si="346"/>
        <v>881.67701717207285</v>
      </c>
      <c r="F2715" s="38">
        <f t="shared" si="341"/>
        <v>0.91033318397359808</v>
      </c>
      <c r="G2715" s="14">
        <f t="shared" si="342"/>
        <v>0</v>
      </c>
      <c r="H2715" s="24">
        <f t="shared" si="340"/>
        <v>663.26621162568938</v>
      </c>
      <c r="I2715" s="12">
        <f t="shared" si="347"/>
        <v>0.20931742039128262</v>
      </c>
      <c r="J2715" s="3"/>
    </row>
    <row r="2716" spans="2:10" x14ac:dyDescent="0.25">
      <c r="B2716" s="3">
        <f t="shared" si="343"/>
        <v>13480</v>
      </c>
      <c r="C2716" s="14">
        <f t="shared" si="344"/>
        <v>224.66666666666666</v>
      </c>
      <c r="D2716" s="11">
        <f t="shared" si="345"/>
        <v>1142.9302170332471</v>
      </c>
      <c r="E2716" s="24">
        <f t="shared" si="346"/>
        <v>881.8863345924641</v>
      </c>
      <c r="F2716" s="38">
        <f t="shared" si="341"/>
        <v>0.9105584190842253</v>
      </c>
      <c r="G2716" s="14">
        <f t="shared" si="342"/>
        <v>0</v>
      </c>
      <c r="H2716" s="24">
        <f t="shared" si="340"/>
        <v>663.10214654714002</v>
      </c>
      <c r="I2716" s="12">
        <f t="shared" si="347"/>
        <v>0.20923238599714997</v>
      </c>
      <c r="J2716" s="3"/>
    </row>
    <row r="2717" spans="2:10" x14ac:dyDescent="0.25">
      <c r="B2717" s="3">
        <f t="shared" si="343"/>
        <v>13485</v>
      </c>
      <c r="C2717" s="14">
        <f t="shared" si="344"/>
        <v>224.75</v>
      </c>
      <c r="D2717" s="11">
        <f t="shared" si="345"/>
        <v>1142.9857513542152</v>
      </c>
      <c r="E2717" s="24">
        <f t="shared" si="346"/>
        <v>882.09556697846119</v>
      </c>
      <c r="F2717" s="38">
        <f t="shared" si="341"/>
        <v>0.91078304997633941</v>
      </c>
      <c r="G2717" s="14">
        <f t="shared" si="342"/>
        <v>0</v>
      </c>
      <c r="H2717" s="24">
        <f t="shared" si="340"/>
        <v>662.93860241141465</v>
      </c>
      <c r="I2717" s="12">
        <f t="shared" si="347"/>
        <v>0.20914724599939744</v>
      </c>
      <c r="J2717" s="3"/>
    </row>
    <row r="2718" spans="2:10" x14ac:dyDescent="0.25">
      <c r="B2718" s="3">
        <f t="shared" si="343"/>
        <v>13490</v>
      </c>
      <c r="C2718" s="14">
        <f t="shared" si="344"/>
        <v>224.83333333333334</v>
      </c>
      <c r="D2718" s="11">
        <f t="shared" si="345"/>
        <v>1143.0412650992948</v>
      </c>
      <c r="E2718" s="24">
        <f t="shared" si="346"/>
        <v>882.30471422446055</v>
      </c>
      <c r="F2718" s="38">
        <f t="shared" si="341"/>
        <v>0.91100707890959109</v>
      </c>
      <c r="G2718" s="14">
        <f t="shared" si="342"/>
        <v>0</v>
      </c>
      <c r="H2718" s="24">
        <f t="shared" si="340"/>
        <v>662.77557686381158</v>
      </c>
      <c r="I2718" s="12">
        <f t="shared" si="347"/>
        <v>0.2090620011577568</v>
      </c>
      <c r="J2718" s="3"/>
    </row>
    <row r="2719" spans="2:10" x14ac:dyDescent="0.25">
      <c r="B2719" s="3">
        <f t="shared" si="343"/>
        <v>13495</v>
      </c>
      <c r="C2719" s="14">
        <f t="shared" si="344"/>
        <v>224.91666666666666</v>
      </c>
      <c r="D2719" s="11">
        <f t="shared" si="345"/>
        <v>1143.0967582837279</v>
      </c>
      <c r="E2719" s="24">
        <f t="shared" si="346"/>
        <v>882.51377622561836</v>
      </c>
      <c r="F2719" s="38">
        <f t="shared" si="341"/>
        <v>0.91123050813302187</v>
      </c>
      <c r="G2719" s="14">
        <f t="shared" si="342"/>
        <v>0</v>
      </c>
      <c r="H2719" s="24">
        <f t="shared" si="340"/>
        <v>662.61306756333715</v>
      </c>
      <c r="I2719" s="12">
        <f t="shared" si="347"/>
        <v>0.20897665222805248</v>
      </c>
      <c r="J2719" s="3"/>
    </row>
    <row r="2720" spans="2:10" x14ac:dyDescent="0.25">
      <c r="B2720" s="3">
        <f t="shared" si="343"/>
        <v>13500</v>
      </c>
      <c r="C2720" s="14">
        <f t="shared" si="344"/>
        <v>225</v>
      </c>
      <c r="D2720" s="11">
        <f t="shared" si="345"/>
        <v>1143.1522309227389</v>
      </c>
      <c r="E2720" s="24">
        <f t="shared" si="346"/>
        <v>882.72275287784646</v>
      </c>
      <c r="F2720" s="38">
        <f t="shared" si="341"/>
        <v>0.91145333988512434</v>
      </c>
      <c r="G2720" s="14">
        <f t="shared" si="342"/>
        <v>0</v>
      </c>
      <c r="H2720" s="24">
        <f t="shared" si="340"/>
        <v>662.45107218260841</v>
      </c>
      <c r="I2720" s="12">
        <f t="shared" si="347"/>
        <v>0.20889119996228867</v>
      </c>
      <c r="J2720" s="3"/>
    </row>
    <row r="2721" spans="2:10" x14ac:dyDescent="0.25">
      <c r="B2721" s="3">
        <f t="shared" si="343"/>
        <v>13505</v>
      </c>
      <c r="C2721" s="14">
        <f t="shared" si="344"/>
        <v>225.08333333333334</v>
      </c>
      <c r="D2721" s="11">
        <f t="shared" si="345"/>
        <v>1143.2076830315348</v>
      </c>
      <c r="E2721" s="24">
        <f t="shared" si="346"/>
        <v>882.93164407780876</v>
      </c>
      <c r="F2721" s="38">
        <f t="shared" si="341"/>
        <v>0.9116755763938994</v>
      </c>
      <c r="G2721" s="14">
        <f t="shared" si="342"/>
        <v>0</v>
      </c>
      <c r="H2721" s="24">
        <f t="shared" si="340"/>
        <v>662.28958840775681</v>
      </c>
      <c r="I2721" s="12">
        <f t="shared" si="347"/>
        <v>0.20880564510862801</v>
      </c>
      <c r="J2721" s="3"/>
    </row>
    <row r="2722" spans="2:10" x14ac:dyDescent="0.25">
      <c r="B2722" s="3">
        <f t="shared" si="343"/>
        <v>13510</v>
      </c>
      <c r="C2722" s="14">
        <f t="shared" si="344"/>
        <v>225.16666666666666</v>
      </c>
      <c r="D2722" s="11">
        <f t="shared" si="345"/>
        <v>1143.2631146253068</v>
      </c>
      <c r="E2722" s="24">
        <f t="shared" si="346"/>
        <v>883.14044972291742</v>
      </c>
      <c r="F2722" s="38">
        <f t="shared" si="341"/>
        <v>0.91189721987691319</v>
      </c>
      <c r="G2722" s="14">
        <f t="shared" si="342"/>
        <v>0</v>
      </c>
      <c r="H2722" s="24">
        <f t="shared" si="340"/>
        <v>662.12861393833327</v>
      </c>
      <c r="I2722" s="12">
        <f t="shared" si="347"/>
        <v>0.20871998841121917</v>
      </c>
      <c r="J2722" s="3"/>
    </row>
    <row r="2723" spans="2:10" x14ac:dyDescent="0.25">
      <c r="B2723" s="3">
        <f t="shared" si="343"/>
        <v>13515</v>
      </c>
      <c r="C2723" s="14">
        <f t="shared" si="344"/>
        <v>225.25</v>
      </c>
      <c r="D2723" s="11">
        <f t="shared" si="345"/>
        <v>1143.3185257192285</v>
      </c>
      <c r="E2723" s="24">
        <f t="shared" si="346"/>
        <v>883.34916971132861</v>
      </c>
      <c r="F2723" s="38">
        <f t="shared" si="341"/>
        <v>0.91211827254135569</v>
      </c>
      <c r="G2723" s="14">
        <f t="shared" si="342"/>
        <v>0</v>
      </c>
      <c r="H2723" s="24">
        <f t="shared" si="340"/>
        <v>661.96814648721329</v>
      </c>
      <c r="I2723" s="12">
        <f t="shared" si="347"/>
        <v>0.20863423061058675</v>
      </c>
      <c r="J2723" s="3"/>
    </row>
    <row r="2724" spans="2:10" x14ac:dyDescent="0.25">
      <c r="B2724" s="3">
        <f t="shared" si="343"/>
        <v>13520</v>
      </c>
      <c r="C2724" s="14">
        <f t="shared" si="344"/>
        <v>225.33333333333334</v>
      </c>
      <c r="D2724" s="11">
        <f t="shared" si="345"/>
        <v>1143.3739163284572</v>
      </c>
      <c r="E2724" s="24">
        <f t="shared" si="346"/>
        <v>883.55780394193926</v>
      </c>
      <c r="F2724" s="38">
        <f t="shared" si="341"/>
        <v>0.91233873658409703</v>
      </c>
      <c r="G2724" s="14">
        <f t="shared" si="342"/>
        <v>0</v>
      </c>
      <c r="H2724" s="24">
        <f t="shared" si="340"/>
        <v>661.8081837805031</v>
      </c>
      <c r="I2724" s="12">
        <f t="shared" si="347"/>
        <v>0.20854837244332777</v>
      </c>
      <c r="J2724" s="3"/>
    </row>
    <row r="2725" spans="2:10" x14ac:dyDescent="0.25">
      <c r="B2725" s="3">
        <f t="shared" si="343"/>
        <v>13525</v>
      </c>
      <c r="C2725" s="14">
        <f t="shared" si="344"/>
        <v>225.41666666666666</v>
      </c>
      <c r="D2725" s="11">
        <f t="shared" si="345"/>
        <v>1143.4292864681324</v>
      </c>
      <c r="E2725" s="24">
        <f t="shared" si="346"/>
        <v>883.76635231438263</v>
      </c>
      <c r="F2725" s="38">
        <f t="shared" si="341"/>
        <v>0.91255861419174378</v>
      </c>
      <c r="G2725" s="14">
        <f t="shared" si="342"/>
        <v>0</v>
      </c>
      <c r="H2725" s="24">
        <f t="shared" si="340"/>
        <v>661.64872355744717</v>
      </c>
      <c r="I2725" s="12">
        <f t="shared" si="347"/>
        <v>0.20846241464237159</v>
      </c>
      <c r="J2725" s="3"/>
    </row>
    <row r="2726" spans="2:10" x14ac:dyDescent="0.25">
      <c r="B2726" s="3">
        <f t="shared" si="343"/>
        <v>13530</v>
      </c>
      <c r="C2726" s="14">
        <f t="shared" si="344"/>
        <v>225.5</v>
      </c>
      <c r="D2726" s="11">
        <f t="shared" si="345"/>
        <v>1143.4846361533785</v>
      </c>
      <c r="E2726" s="24">
        <f t="shared" si="346"/>
        <v>883.97481472902496</v>
      </c>
      <c r="F2726" s="38">
        <f t="shared" si="341"/>
        <v>0.91277790754069554</v>
      </c>
      <c r="G2726" s="14">
        <f t="shared" si="342"/>
        <v>0</v>
      </c>
      <c r="H2726" s="24">
        <f t="shared" si="340"/>
        <v>661.48976357033553</v>
      </c>
      <c r="I2726" s="12">
        <f t="shared" si="347"/>
        <v>0.20837635793669851</v>
      </c>
      <c r="J2726" s="3"/>
    </row>
    <row r="2727" spans="2:10" x14ac:dyDescent="0.25">
      <c r="B2727" s="3">
        <f t="shared" si="343"/>
        <v>13535</v>
      </c>
      <c r="C2727" s="14">
        <f t="shared" si="344"/>
        <v>225.58333333333334</v>
      </c>
      <c r="D2727" s="11">
        <f t="shared" si="345"/>
        <v>1143.5399653993013</v>
      </c>
      <c r="E2727" s="24">
        <f t="shared" si="346"/>
        <v>884.18319108696164</v>
      </c>
      <c r="F2727" s="38">
        <f t="shared" si="341"/>
        <v>0.91299661879720051</v>
      </c>
      <c r="G2727" s="14">
        <f t="shared" si="342"/>
        <v>0</v>
      </c>
      <c r="H2727" s="24">
        <f t="shared" si="340"/>
        <v>661.33130158441236</v>
      </c>
      <c r="I2727" s="12">
        <f t="shared" si="347"/>
        <v>0.20829020305181514</v>
      </c>
      <c r="J2727" s="3"/>
    </row>
    <row r="2728" spans="2:10" x14ac:dyDescent="0.25">
      <c r="B2728" s="3">
        <f t="shared" si="343"/>
        <v>13540</v>
      </c>
      <c r="C2728" s="14">
        <f t="shared" si="344"/>
        <v>225.66666666666666</v>
      </c>
      <c r="D2728" s="11">
        <f t="shared" si="345"/>
        <v>1143.5952742209913</v>
      </c>
      <c r="E2728" s="24">
        <f t="shared" si="346"/>
        <v>884.39148129001342</v>
      </c>
      <c r="F2728" s="38">
        <f t="shared" si="341"/>
        <v>0.91321475011741204</v>
      </c>
      <c r="G2728" s="14">
        <f t="shared" si="342"/>
        <v>0</v>
      </c>
      <c r="H2728" s="24">
        <f t="shared" si="340"/>
        <v>661.17333537778529</v>
      </c>
      <c r="I2728" s="12">
        <f t="shared" si="347"/>
        <v>0.20820395070927808</v>
      </c>
      <c r="J2728" s="3"/>
    </row>
    <row r="2729" spans="2:10" x14ac:dyDescent="0.25">
      <c r="B2729" s="3">
        <f t="shared" si="343"/>
        <v>13545</v>
      </c>
      <c r="C2729" s="14">
        <f t="shared" si="344"/>
        <v>225.75</v>
      </c>
      <c r="D2729" s="11">
        <f t="shared" si="345"/>
        <v>1143.6505626335213</v>
      </c>
      <c r="E2729" s="24">
        <f t="shared" si="346"/>
        <v>884.59968524072269</v>
      </c>
      <c r="F2729" s="38">
        <f t="shared" si="341"/>
        <v>0.91343230364744332</v>
      </c>
      <c r="G2729" s="14">
        <f t="shared" si="342"/>
        <v>0</v>
      </c>
      <c r="H2729" s="24">
        <f t="shared" si="340"/>
        <v>661.01586274133535</v>
      </c>
      <c r="I2729" s="12">
        <f t="shared" si="347"/>
        <v>0.20811760162712603</v>
      </c>
      <c r="J2729" s="3"/>
    </row>
    <row r="2730" spans="2:10" x14ac:dyDescent="0.25">
      <c r="B2730" s="3">
        <f t="shared" si="343"/>
        <v>13550</v>
      </c>
      <c r="C2730" s="14">
        <f t="shared" si="344"/>
        <v>225.83333333333334</v>
      </c>
      <c r="D2730" s="11">
        <f t="shared" si="345"/>
        <v>1143.7058306519484</v>
      </c>
      <c r="E2730" s="24">
        <f t="shared" si="346"/>
        <v>884.80780284234982</v>
      </c>
      <c r="F2730" s="38">
        <f t="shared" si="341"/>
        <v>0.91364928152342084</v>
      </c>
      <c r="G2730" s="14">
        <f t="shared" si="342"/>
        <v>0</v>
      </c>
      <c r="H2730" s="24">
        <f t="shared" si="340"/>
        <v>660.85888147862806</v>
      </c>
      <c r="I2730" s="12">
        <f t="shared" si="347"/>
        <v>0.20803115651955428</v>
      </c>
      <c r="J2730" s="3"/>
    </row>
    <row r="2731" spans="2:10" x14ac:dyDescent="0.25">
      <c r="B2731" s="3">
        <f t="shared" si="343"/>
        <v>13555</v>
      </c>
      <c r="C2731" s="14">
        <f t="shared" si="344"/>
        <v>225.91666666666666</v>
      </c>
      <c r="D2731" s="11">
        <f t="shared" si="345"/>
        <v>1143.7610782913121</v>
      </c>
      <c r="E2731" s="24">
        <f t="shared" si="346"/>
        <v>885.01583399886943</v>
      </c>
      <c r="F2731" s="38">
        <f t="shared" si="341"/>
        <v>0.91386568587154171</v>
      </c>
      <c r="G2731" s="14">
        <f t="shared" si="342"/>
        <v>0</v>
      </c>
      <c r="H2731" s="24">
        <f t="shared" si="340"/>
        <v>660.70238940582442</v>
      </c>
      <c r="I2731" s="12">
        <f t="shared" si="347"/>
        <v>0.20794461609730361</v>
      </c>
      <c r="J2731" s="3"/>
    </row>
    <row r="2732" spans="2:10" x14ac:dyDescent="0.25">
      <c r="B2732" s="3">
        <f t="shared" si="343"/>
        <v>13560</v>
      </c>
      <c r="C2732" s="14">
        <f t="shared" si="344"/>
        <v>226</v>
      </c>
      <c r="D2732" s="11">
        <f t="shared" si="345"/>
        <v>1143.8163055666357</v>
      </c>
      <c r="E2732" s="24">
        <f t="shared" si="346"/>
        <v>885.2237786149667</v>
      </c>
      <c r="F2732" s="38">
        <f t="shared" si="341"/>
        <v>0.91408151880812494</v>
      </c>
      <c r="G2732" s="14">
        <f t="shared" si="342"/>
        <v>0</v>
      </c>
      <c r="H2732" s="24">
        <f t="shared" si="340"/>
        <v>660.54638435159347</v>
      </c>
      <c r="I2732" s="12">
        <f t="shared" si="347"/>
        <v>0.20785798106731276</v>
      </c>
      <c r="J2732" s="3"/>
    </row>
    <row r="2733" spans="2:10" x14ac:dyDescent="0.25">
      <c r="B2733" s="3">
        <f t="shared" si="343"/>
        <v>13565</v>
      </c>
      <c r="C2733" s="14">
        <f t="shared" si="344"/>
        <v>226.08333333333334</v>
      </c>
      <c r="D2733" s="11">
        <f t="shared" si="345"/>
        <v>1143.8715124929261</v>
      </c>
      <c r="E2733" s="24">
        <f t="shared" si="346"/>
        <v>885.43163659603397</v>
      </c>
      <c r="F2733" s="38">
        <f t="shared" si="341"/>
        <v>0.91429678243966861</v>
      </c>
      <c r="G2733" s="14">
        <f t="shared" si="342"/>
        <v>0</v>
      </c>
      <c r="H2733" s="24">
        <f t="shared" si="340"/>
        <v>660.39086415702491</v>
      </c>
      <c r="I2733" s="12">
        <f t="shared" si="347"/>
        <v>0.20777125213299874</v>
      </c>
      <c r="J2733" s="3"/>
    </row>
    <row r="2734" spans="2:10" x14ac:dyDescent="0.25">
      <c r="B2734" s="3">
        <f t="shared" si="343"/>
        <v>13570</v>
      </c>
      <c r="C2734" s="14">
        <f t="shared" si="344"/>
        <v>226.16666666666666</v>
      </c>
      <c r="D2734" s="11">
        <f t="shared" si="345"/>
        <v>1143.9266990851729</v>
      </c>
      <c r="E2734" s="24">
        <f t="shared" si="346"/>
        <v>885.63940784816691</v>
      </c>
      <c r="F2734" s="38">
        <f t="shared" si="341"/>
        <v>0.91451147886289963</v>
      </c>
      <c r="G2734" s="14">
        <f t="shared" si="342"/>
        <v>0</v>
      </c>
      <c r="H2734" s="24">
        <f t="shared" si="340"/>
        <v>660.23582667554319</v>
      </c>
      <c r="I2734" s="12">
        <f t="shared" si="347"/>
        <v>0.20768442999419029</v>
      </c>
      <c r="J2734" s="3"/>
    </row>
    <row r="2735" spans="2:10" x14ac:dyDescent="0.25">
      <c r="B2735" s="3">
        <f t="shared" si="343"/>
        <v>13575</v>
      </c>
      <c r="C2735" s="14">
        <f t="shared" si="344"/>
        <v>226.25</v>
      </c>
      <c r="D2735" s="11">
        <f t="shared" si="345"/>
        <v>1143.98186535835</v>
      </c>
      <c r="E2735" s="24">
        <f t="shared" si="346"/>
        <v>885.84709227816109</v>
      </c>
      <c r="F2735" s="38">
        <f t="shared" si="341"/>
        <v>0.91472561016483078</v>
      </c>
      <c r="G2735" s="14">
        <f t="shared" si="342"/>
        <v>0</v>
      </c>
      <c r="H2735" s="24">
        <f t="shared" si="340"/>
        <v>660.0812697728212</v>
      </c>
      <c r="I2735" s="12">
        <f t="shared" si="347"/>
        <v>0.20759751534708354</v>
      </c>
      <c r="J2735" s="3"/>
    </row>
    <row r="2736" spans="2:10" x14ac:dyDescent="0.25">
      <c r="B2736" s="3">
        <f t="shared" si="343"/>
        <v>13580</v>
      </c>
      <c r="C2736" s="14">
        <f t="shared" si="344"/>
        <v>226.33333333333334</v>
      </c>
      <c r="D2736" s="11">
        <f t="shared" si="345"/>
        <v>1144.0370113274143</v>
      </c>
      <c r="E2736" s="24">
        <f t="shared" si="346"/>
        <v>886.05468979350815</v>
      </c>
      <c r="F2736" s="38">
        <f t="shared" si="341"/>
        <v>0.91493917842281069</v>
      </c>
      <c r="G2736" s="14">
        <f t="shared" si="342"/>
        <v>0</v>
      </c>
      <c r="H2736" s="24">
        <f t="shared" si="340"/>
        <v>659.92719132669595</v>
      </c>
      <c r="I2736" s="12">
        <f t="shared" si="347"/>
        <v>0.20751050888437039</v>
      </c>
      <c r="J2736" s="3"/>
    </row>
    <row r="2737" spans="2:10" x14ac:dyDescent="0.25">
      <c r="B2737" s="3">
        <f t="shared" si="343"/>
        <v>13585</v>
      </c>
      <c r="C2737" s="14">
        <f t="shared" si="344"/>
        <v>226.41666666666666</v>
      </c>
      <c r="D2737" s="11">
        <f t="shared" si="345"/>
        <v>1144.0921370073065</v>
      </c>
      <c r="E2737" s="24">
        <f t="shared" si="346"/>
        <v>886.26220030239256</v>
      </c>
      <c r="F2737" s="38">
        <f t="shared" si="341"/>
        <v>0.91515218570457824</v>
      </c>
      <c r="G2737" s="14">
        <f t="shared" si="342"/>
        <v>0</v>
      </c>
      <c r="H2737" s="24">
        <f t="shared" si="340"/>
        <v>659.77358922708368</v>
      </c>
      <c r="I2737" s="12">
        <f t="shared" si="347"/>
        <v>0.20742341129521483</v>
      </c>
      <c r="J2737" s="3"/>
    </row>
    <row r="2738" spans="2:10" x14ac:dyDescent="0.25">
      <c r="B2738" s="3">
        <f t="shared" si="343"/>
        <v>13590</v>
      </c>
      <c r="C2738" s="14">
        <f t="shared" si="344"/>
        <v>226.5</v>
      </c>
      <c r="D2738" s="11">
        <f t="shared" si="345"/>
        <v>1144.1472424129504</v>
      </c>
      <c r="E2738" s="24">
        <f t="shared" si="346"/>
        <v>886.46962371368772</v>
      </c>
      <c r="F2738" s="38">
        <f t="shared" si="341"/>
        <v>0.91536463406831337</v>
      </c>
      <c r="G2738" s="14">
        <f t="shared" si="342"/>
        <v>0</v>
      </c>
      <c r="H2738" s="24">
        <f t="shared" si="340"/>
        <v>659.62046137589709</v>
      </c>
      <c r="I2738" s="12">
        <f t="shared" si="347"/>
        <v>0.20733622326527282</v>
      </c>
      <c r="J2738" s="3"/>
    </row>
    <row r="2739" spans="2:10" x14ac:dyDescent="0.25">
      <c r="B2739" s="3">
        <f t="shared" si="343"/>
        <v>13595</v>
      </c>
      <c r="C2739" s="14">
        <f t="shared" si="344"/>
        <v>226.58333333333334</v>
      </c>
      <c r="D2739" s="11">
        <f t="shared" si="345"/>
        <v>1144.2023275592535</v>
      </c>
      <c r="E2739" s="24">
        <f t="shared" si="346"/>
        <v>886.67695993695304</v>
      </c>
      <c r="F2739" s="38">
        <f t="shared" si="341"/>
        <v>0.91557652556269142</v>
      </c>
      <c r="G2739" s="14">
        <f t="shared" si="342"/>
        <v>0</v>
      </c>
      <c r="H2739" s="24">
        <f t="shared" si="340"/>
        <v>659.46780568696136</v>
      </c>
      <c r="I2739" s="12">
        <f t="shared" si="347"/>
        <v>0.20724894547669037</v>
      </c>
      <c r="J2739" s="3"/>
    </row>
    <row r="2740" spans="2:10" x14ac:dyDescent="0.25">
      <c r="B2740" s="3">
        <f t="shared" si="343"/>
        <v>13600</v>
      </c>
      <c r="C2740" s="14">
        <f t="shared" si="344"/>
        <v>226.66666666666666</v>
      </c>
      <c r="D2740" s="11">
        <f t="shared" si="345"/>
        <v>1144.257392461107</v>
      </c>
      <c r="E2740" s="24">
        <f t="shared" si="346"/>
        <v>886.88420888242968</v>
      </c>
      <c r="F2740" s="38">
        <f t="shared" si="341"/>
        <v>0.91578786222693154</v>
      </c>
      <c r="G2740" s="14">
        <f t="shared" si="342"/>
        <v>0</v>
      </c>
      <c r="H2740" s="24">
        <f t="shared" si="340"/>
        <v>659.31562008593266</v>
      </c>
      <c r="I2740" s="12">
        <f t="shared" si="347"/>
        <v>0.20716157860814524</v>
      </c>
      <c r="J2740" s="3"/>
    </row>
    <row r="2741" spans="2:10" x14ac:dyDescent="0.25">
      <c r="B2741" s="3">
        <f t="shared" si="343"/>
        <v>13605</v>
      </c>
      <c r="C2741" s="14">
        <f t="shared" si="344"/>
        <v>226.75</v>
      </c>
      <c r="D2741" s="11">
        <f t="shared" si="345"/>
        <v>1144.3124371333852</v>
      </c>
      <c r="E2741" s="24">
        <f t="shared" si="346"/>
        <v>887.09137046103785</v>
      </c>
      <c r="F2741" s="38">
        <f t="shared" si="341"/>
        <v>0.91599864609085124</v>
      </c>
      <c r="G2741" s="14">
        <f t="shared" si="342"/>
        <v>0</v>
      </c>
      <c r="H2741" s="24">
        <f t="shared" si="340"/>
        <v>659.16390251021642</v>
      </c>
      <c r="I2741" s="12">
        <f t="shared" si="347"/>
        <v>0.20707412333490854</v>
      </c>
      <c r="J2741" s="3"/>
    </row>
    <row r="2742" spans="2:10" x14ac:dyDescent="0.25">
      <c r="B2742" s="3">
        <f t="shared" si="343"/>
        <v>13610</v>
      </c>
      <c r="C2742" s="14">
        <f t="shared" si="344"/>
        <v>226.83333333333334</v>
      </c>
      <c r="D2742" s="11">
        <f t="shared" si="345"/>
        <v>1144.367461590947</v>
      </c>
      <c r="E2742" s="24">
        <f t="shared" si="346"/>
        <v>887.29844458437276</v>
      </c>
      <c r="F2742" s="38">
        <f t="shared" si="341"/>
        <v>0.91620887917491478</v>
      </c>
      <c r="G2742" s="14">
        <f t="shared" si="342"/>
        <v>0</v>
      </c>
      <c r="H2742" s="24">
        <f t="shared" si="340"/>
        <v>659.01265090888626</v>
      </c>
      <c r="I2742" s="12">
        <f t="shared" si="347"/>
        <v>0.2069865803286921</v>
      </c>
      <c r="J2742" s="3"/>
    </row>
    <row r="2743" spans="2:10" x14ac:dyDescent="0.25">
      <c r="B2743" s="3">
        <f t="shared" si="343"/>
        <v>13615</v>
      </c>
      <c r="C2743" s="14">
        <f t="shared" si="344"/>
        <v>226.91666666666666</v>
      </c>
      <c r="D2743" s="11">
        <f t="shared" si="345"/>
        <v>1144.4224658486339</v>
      </c>
      <c r="E2743" s="24">
        <f t="shared" si="346"/>
        <v>887.50543116470146</v>
      </c>
      <c r="F2743" s="38">
        <f t="shared" si="341"/>
        <v>0.91641856349028561</v>
      </c>
      <c r="G2743" s="14">
        <f t="shared" si="342"/>
        <v>0</v>
      </c>
      <c r="H2743" s="24">
        <f t="shared" ref="H2743:H2806" si="348">IF(E2743&lt;600,425+0.773*E2743-1.69/1000*E2743^2+2.22/1000^2*E2743^3,IF(E2743&lt;735,666+13002/(738-E2743),IF(E2743&lt;900,545+17820/(E2743-731),650)))</f>
        <v>658.86186324260393</v>
      </c>
      <c r="I2743" s="12">
        <f t="shared" si="347"/>
        <v>0.20689895025797037</v>
      </c>
      <c r="J2743" s="3"/>
    </row>
    <row r="2744" spans="2:10" x14ac:dyDescent="0.25">
      <c r="B2744" s="3">
        <f t="shared" si="343"/>
        <v>13620</v>
      </c>
      <c r="C2744" s="14">
        <f t="shared" si="344"/>
        <v>227</v>
      </c>
      <c r="D2744" s="11">
        <f t="shared" si="345"/>
        <v>1144.4774499212717</v>
      </c>
      <c r="E2744" s="24">
        <f t="shared" si="346"/>
        <v>887.7123301149594</v>
      </c>
      <c r="F2744" s="38">
        <f t="shared" si="341"/>
        <v>0.91662770103887603</v>
      </c>
      <c r="G2744" s="14">
        <f t="shared" si="342"/>
        <v>0</v>
      </c>
      <c r="H2744" s="24">
        <f t="shared" si="348"/>
        <v>658.71153748353936</v>
      </c>
      <c r="I2744" s="12">
        <f t="shared" si="347"/>
        <v>0.20681123378769581</v>
      </c>
      <c r="J2744" s="3"/>
    </row>
    <row r="2745" spans="2:10" x14ac:dyDescent="0.25">
      <c r="B2745" s="3">
        <f t="shared" si="343"/>
        <v>13625</v>
      </c>
      <c r="C2745" s="14">
        <f t="shared" si="344"/>
        <v>227.08333333333334</v>
      </c>
      <c r="D2745" s="11">
        <f t="shared" si="345"/>
        <v>1144.5324138236697</v>
      </c>
      <c r="E2745" s="24">
        <f t="shared" si="346"/>
        <v>887.91914134874708</v>
      </c>
      <c r="F2745" s="38">
        <f t="shared" si="341"/>
        <v>0.91683629381339771</v>
      </c>
      <c r="G2745" s="14">
        <f t="shared" si="342"/>
        <v>0</v>
      </c>
      <c r="H2745" s="24">
        <f t="shared" si="348"/>
        <v>658.56167161529197</v>
      </c>
      <c r="I2745" s="12">
        <f t="shared" si="347"/>
        <v>0.20672343157949194</v>
      </c>
      <c r="J2745" s="3"/>
    </row>
    <row r="2746" spans="2:10" x14ac:dyDescent="0.25">
      <c r="B2746" s="3">
        <f t="shared" si="343"/>
        <v>13630</v>
      </c>
      <c r="C2746" s="14">
        <f t="shared" si="344"/>
        <v>227.16666666666666</v>
      </c>
      <c r="D2746" s="11">
        <f t="shared" si="345"/>
        <v>1144.5873575706207</v>
      </c>
      <c r="E2746" s="24">
        <f t="shared" si="346"/>
        <v>888.12586478032654</v>
      </c>
      <c r="F2746" s="38">
        <f t="shared" si="341"/>
        <v>0.91704434379741084</v>
      </c>
      <c r="G2746" s="14">
        <f t="shared" si="342"/>
        <v>0</v>
      </c>
      <c r="H2746" s="24">
        <f t="shared" si="348"/>
        <v>658.41226363281226</v>
      </c>
      <c r="I2746" s="12">
        <f t="shared" si="347"/>
        <v>0.20663554429162817</v>
      </c>
      <c r="J2746" s="3"/>
    </row>
    <row r="2747" spans="2:10" x14ac:dyDescent="0.25">
      <c r="B2747" s="3">
        <f t="shared" si="343"/>
        <v>13635</v>
      </c>
      <c r="C2747" s="14">
        <f t="shared" si="344"/>
        <v>227.25</v>
      </c>
      <c r="D2747" s="11">
        <f t="shared" si="345"/>
        <v>1144.6422811769016</v>
      </c>
      <c r="E2747" s="24">
        <f t="shared" si="346"/>
        <v>888.3325003246182</v>
      </c>
      <c r="F2747" s="38">
        <f t="shared" si="341"/>
        <v>0.91725185296537415</v>
      </c>
      <c r="G2747" s="14">
        <f t="shared" si="342"/>
        <v>0</v>
      </c>
      <c r="H2747" s="24">
        <f t="shared" si="348"/>
        <v>658.26331154232389</v>
      </c>
      <c r="I2747" s="12">
        <f t="shared" si="347"/>
        <v>0.20654757257901726</v>
      </c>
      <c r="J2747" s="3"/>
    </row>
    <row r="2748" spans="2:10" x14ac:dyDescent="0.25">
      <c r="B2748" s="3">
        <f t="shared" si="343"/>
        <v>13640</v>
      </c>
      <c r="C2748" s="14">
        <f t="shared" si="344"/>
        <v>227.33333333333334</v>
      </c>
      <c r="D2748" s="11">
        <f t="shared" si="345"/>
        <v>1144.6971846572731</v>
      </c>
      <c r="E2748" s="24">
        <f t="shared" si="346"/>
        <v>888.53904789719718</v>
      </c>
      <c r="F2748" s="38">
        <f t="shared" si="341"/>
        <v>0.91745882328269512</v>
      </c>
      <c r="G2748" s="14">
        <f t="shared" si="342"/>
        <v>0</v>
      </c>
      <c r="H2748" s="24">
        <f t="shared" si="348"/>
        <v>658.11481336124689</v>
      </c>
      <c r="I2748" s="12">
        <f t="shared" si="347"/>
        <v>0.2064595170932558</v>
      </c>
      <c r="J2748" s="3"/>
    </row>
    <row r="2749" spans="2:10" x14ac:dyDescent="0.25">
      <c r="B2749" s="3">
        <f t="shared" si="343"/>
        <v>13645</v>
      </c>
      <c r="C2749" s="14">
        <f t="shared" si="344"/>
        <v>227.41666666666666</v>
      </c>
      <c r="D2749" s="11">
        <f t="shared" si="345"/>
        <v>1144.7520680264788</v>
      </c>
      <c r="E2749" s="24">
        <f t="shared" si="346"/>
        <v>888.74550741429039</v>
      </c>
      <c r="F2749" s="38">
        <f t="shared" si="341"/>
        <v>0.91766525670577581</v>
      </c>
      <c r="G2749" s="14">
        <f t="shared" si="342"/>
        <v>0</v>
      </c>
      <c r="H2749" s="24">
        <f t="shared" si="348"/>
        <v>657.9667671181212</v>
      </c>
      <c r="I2749" s="12">
        <f t="shared" si="347"/>
        <v>0.20637137848270692</v>
      </c>
      <c r="J2749" s="3"/>
    </row>
    <row r="2750" spans="2:10" x14ac:dyDescent="0.25">
      <c r="B2750" s="3">
        <f t="shared" si="343"/>
        <v>13650</v>
      </c>
      <c r="C2750" s="14">
        <f t="shared" si="344"/>
        <v>227.5</v>
      </c>
      <c r="D2750" s="11">
        <f t="shared" si="345"/>
        <v>1144.8069312992475</v>
      </c>
      <c r="E2750" s="24">
        <f t="shared" si="346"/>
        <v>888.95187879277307</v>
      </c>
      <c r="F2750" s="38">
        <f t="shared" si="341"/>
        <v>0.91787115518206497</v>
      </c>
      <c r="G2750" s="14">
        <f t="shared" si="342"/>
        <v>0</v>
      </c>
      <c r="H2750" s="24">
        <f t="shared" si="348"/>
        <v>657.81917085253019</v>
      </c>
      <c r="I2750" s="12">
        <f t="shared" si="347"/>
        <v>0.2062831573923023</v>
      </c>
      <c r="J2750" s="3"/>
    </row>
    <row r="2751" spans="2:10" x14ac:dyDescent="0.25">
      <c r="B2751" s="3">
        <f t="shared" si="343"/>
        <v>13655</v>
      </c>
      <c r="C2751" s="14">
        <f t="shared" si="344"/>
        <v>227.58333333333334</v>
      </c>
      <c r="D2751" s="11">
        <f t="shared" si="345"/>
        <v>1144.8617744902904</v>
      </c>
      <c r="E2751" s="24">
        <f t="shared" si="346"/>
        <v>889.15816195016532</v>
      </c>
      <c r="F2751" s="38">
        <f t="shared" si="341"/>
        <v>0.91807652065010459</v>
      </c>
      <c r="G2751" s="14">
        <f t="shared" si="342"/>
        <v>0</v>
      </c>
      <c r="H2751" s="24">
        <f t="shared" si="348"/>
        <v>657.67202261502621</v>
      </c>
      <c r="I2751" s="12">
        <f t="shared" si="347"/>
        <v>0.20619485446390801</v>
      </c>
      <c r="J2751" s="3"/>
    </row>
    <row r="2752" spans="2:10" x14ac:dyDescent="0.25">
      <c r="B2752" s="3">
        <f t="shared" si="343"/>
        <v>13660</v>
      </c>
      <c r="C2752" s="14">
        <f t="shared" si="344"/>
        <v>227.66666666666666</v>
      </c>
      <c r="D2752" s="11">
        <f t="shared" si="345"/>
        <v>1144.9165976143036</v>
      </c>
      <c r="E2752" s="24">
        <f t="shared" si="346"/>
        <v>889.36435680462921</v>
      </c>
      <c r="F2752" s="38">
        <f t="shared" si="341"/>
        <v>0.91828135503957764</v>
      </c>
      <c r="G2752" s="14">
        <f t="shared" si="342"/>
        <v>0</v>
      </c>
      <c r="H2752" s="24">
        <f t="shared" si="348"/>
        <v>657.52532046705539</v>
      </c>
      <c r="I2752" s="12">
        <f t="shared" si="347"/>
        <v>0.20610647033595084</v>
      </c>
      <c r="J2752" s="3"/>
    </row>
    <row r="2753" spans="2:10" x14ac:dyDescent="0.25">
      <c r="B2753" s="3">
        <f t="shared" si="343"/>
        <v>13665</v>
      </c>
      <c r="C2753" s="14">
        <f t="shared" si="344"/>
        <v>227.75</v>
      </c>
      <c r="D2753" s="11">
        <f t="shared" si="345"/>
        <v>1144.9714006859667</v>
      </c>
      <c r="E2753" s="24">
        <f t="shared" si="346"/>
        <v>889.57046327496516</v>
      </c>
      <c r="F2753" s="38">
        <f t="shared" si="341"/>
        <v>0.91848566027135681</v>
      </c>
      <c r="G2753" s="14">
        <f t="shared" si="342"/>
        <v>0</v>
      </c>
      <c r="H2753" s="24">
        <f t="shared" si="348"/>
        <v>657.37906248088382</v>
      </c>
      <c r="I2753" s="12">
        <f t="shared" si="347"/>
        <v>0.20601800564374151</v>
      </c>
      <c r="J2753" s="3"/>
    </row>
    <row r="2754" spans="2:10" x14ac:dyDescent="0.25">
      <c r="B2754" s="3">
        <f t="shared" si="343"/>
        <v>13670</v>
      </c>
      <c r="C2754" s="14">
        <f t="shared" si="344"/>
        <v>227.83333333333334</v>
      </c>
      <c r="D2754" s="11">
        <f t="shared" si="345"/>
        <v>1145.0261837199432</v>
      </c>
      <c r="E2754" s="24">
        <f t="shared" si="346"/>
        <v>889.77648128060889</v>
      </c>
      <c r="F2754" s="38">
        <f t="shared" si="341"/>
        <v>0.91868943825755145</v>
      </c>
      <c r="G2754" s="14">
        <f t="shared" si="342"/>
        <v>0</v>
      </c>
      <c r="H2754" s="24">
        <f t="shared" si="348"/>
        <v>657.23324673952402</v>
      </c>
      <c r="I2754" s="12">
        <f t="shared" si="347"/>
        <v>0.20592946101938317</v>
      </c>
      <c r="J2754" s="3"/>
    </row>
    <row r="2755" spans="2:10" x14ac:dyDescent="0.25">
      <c r="B2755" s="3">
        <f t="shared" si="343"/>
        <v>13675</v>
      </c>
      <c r="C2755" s="14">
        <f t="shared" si="344"/>
        <v>227.91666666666666</v>
      </c>
      <c r="D2755" s="11">
        <f t="shared" si="345"/>
        <v>1145.0809467308807</v>
      </c>
      <c r="E2755" s="24">
        <f t="shared" si="346"/>
        <v>889.98241074162831</v>
      </c>
      <c r="F2755" s="38">
        <f t="shared" si="341"/>
        <v>0.91889269090155479</v>
      </c>
      <c r="G2755" s="14">
        <f t="shared" si="342"/>
        <v>0</v>
      </c>
      <c r="H2755" s="24">
        <f t="shared" si="348"/>
        <v>657.08787133666215</v>
      </c>
      <c r="I2755" s="12">
        <f t="shared" si="347"/>
        <v>0.20584083709172407</v>
      </c>
      <c r="J2755" s="3"/>
    </row>
    <row r="2756" spans="2:10" x14ac:dyDescent="0.25">
      <c r="B2756" s="3">
        <f t="shared" si="343"/>
        <v>13680</v>
      </c>
      <c r="C2756" s="14">
        <f t="shared" si="344"/>
        <v>228</v>
      </c>
      <c r="D2756" s="11">
        <f t="shared" si="345"/>
        <v>1145.1356897334101</v>
      </c>
      <c r="E2756" s="24">
        <f t="shared" si="346"/>
        <v>890.18825157872004</v>
      </c>
      <c r="F2756" s="38">
        <f t="shared" si="341"/>
        <v>0.91909542009809075</v>
      </c>
      <c r="G2756" s="14">
        <f t="shared" si="342"/>
        <v>0</v>
      </c>
      <c r="H2756" s="24">
        <f t="shared" si="348"/>
        <v>656.9429343765853</v>
      </c>
      <c r="I2756" s="12">
        <f t="shared" si="347"/>
        <v>0.20575213448652796</v>
      </c>
      <c r="J2756" s="3"/>
    </row>
    <row r="2757" spans="2:10" x14ac:dyDescent="0.25">
      <c r="B2757" s="3">
        <f t="shared" si="343"/>
        <v>13685</v>
      </c>
      <c r="C2757" s="14">
        <f t="shared" si="344"/>
        <v>228.08333333333334</v>
      </c>
      <c r="D2757" s="11">
        <f t="shared" si="345"/>
        <v>1145.1904127421471</v>
      </c>
      <c r="E2757" s="24">
        <f t="shared" si="346"/>
        <v>890.39400371320653</v>
      </c>
      <c r="F2757" s="38">
        <f t="shared" si="341"/>
        <v>0.91929762773326062</v>
      </c>
      <c r="G2757" s="14">
        <f t="shared" si="342"/>
        <v>0</v>
      </c>
      <c r="H2757" s="24">
        <f t="shared" si="348"/>
        <v>656.79843397411025</v>
      </c>
      <c r="I2757" s="12">
        <f t="shared" si="347"/>
        <v>0.20566335382629519</v>
      </c>
      <c r="J2757" s="3"/>
    </row>
    <row r="2758" spans="2:10" x14ac:dyDescent="0.25">
      <c r="B2758" s="3">
        <f t="shared" si="343"/>
        <v>13690</v>
      </c>
      <c r="C2758" s="14">
        <f t="shared" si="344"/>
        <v>228.16666666666666</v>
      </c>
      <c r="D2758" s="11">
        <f t="shared" si="345"/>
        <v>1145.2451157716912</v>
      </c>
      <c r="E2758" s="24">
        <f t="shared" si="346"/>
        <v>890.59966706703278</v>
      </c>
      <c r="F2758" s="38">
        <f t="shared" si="341"/>
        <v>0.91949931568458931</v>
      </c>
      <c r="G2758" s="14">
        <f t="shared" si="342"/>
        <v>0</v>
      </c>
      <c r="H2758" s="24">
        <f t="shared" si="348"/>
        <v>656.65436825451206</v>
      </c>
      <c r="I2758" s="12">
        <f t="shared" si="347"/>
        <v>0.20557449573045472</v>
      </c>
      <c r="J2758" s="3"/>
    </row>
    <row r="2759" spans="2:10" x14ac:dyDescent="0.25">
      <c r="B2759" s="3">
        <f t="shared" si="343"/>
        <v>13695</v>
      </c>
      <c r="C2759" s="14">
        <f t="shared" si="344"/>
        <v>228.25</v>
      </c>
      <c r="D2759" s="11">
        <f t="shared" si="345"/>
        <v>1145.2997988366253</v>
      </c>
      <c r="E2759" s="24">
        <f t="shared" si="346"/>
        <v>890.80524156276329</v>
      </c>
      <c r="F2759" s="38">
        <f t="shared" si="341"/>
        <v>0.91970048582107145</v>
      </c>
      <c r="G2759" s="14">
        <f t="shared" si="342"/>
        <v>0</v>
      </c>
      <c r="H2759" s="24">
        <f t="shared" si="348"/>
        <v>656.51073535345347</v>
      </c>
      <c r="I2759" s="12">
        <f t="shared" si="347"/>
        <v>0.20548556081533792</v>
      </c>
      <c r="J2759" s="3"/>
    </row>
    <row r="2760" spans="2:10" x14ac:dyDescent="0.25">
      <c r="B2760" s="3">
        <f t="shared" si="343"/>
        <v>13700</v>
      </c>
      <c r="C2760" s="14">
        <f t="shared" si="344"/>
        <v>228.33333333333334</v>
      </c>
      <c r="D2760" s="11">
        <f t="shared" si="345"/>
        <v>1145.3544619515174</v>
      </c>
      <c r="E2760" s="24">
        <f t="shared" si="346"/>
        <v>891.01072712357859</v>
      </c>
      <c r="F2760" s="38">
        <f t="shared" si="341"/>
        <v>0.91990114000321765</v>
      </c>
      <c r="G2760" s="14">
        <f t="shared" si="342"/>
        <v>0</v>
      </c>
      <c r="H2760" s="24">
        <f t="shared" si="348"/>
        <v>656.36753341691497</v>
      </c>
      <c r="I2760" s="12">
        <f t="shared" si="347"/>
        <v>0.20539654969406484</v>
      </c>
      <c r="J2760" s="3"/>
    </row>
    <row r="2761" spans="2:10" x14ac:dyDescent="0.25">
      <c r="B2761" s="3">
        <f t="shared" si="343"/>
        <v>13705</v>
      </c>
      <c r="C2761" s="14">
        <f t="shared" si="344"/>
        <v>228.41666666666666</v>
      </c>
      <c r="D2761" s="11">
        <f t="shared" si="345"/>
        <v>1145.4091051309181</v>
      </c>
      <c r="E2761" s="24">
        <f t="shared" si="346"/>
        <v>891.2161236732727</v>
      </c>
      <c r="F2761" s="38">
        <f t="shared" si="341"/>
        <v>0.92010128008309866</v>
      </c>
      <c r="G2761" s="14">
        <f t="shared" si="342"/>
        <v>0</v>
      </c>
      <c r="H2761" s="24">
        <f t="shared" si="348"/>
        <v>656.22476060112501</v>
      </c>
      <c r="I2761" s="12">
        <f t="shared" si="347"/>
        <v>0.2053074629768448</v>
      </c>
      <c r="J2761" s="3"/>
    </row>
    <row r="2762" spans="2:10" x14ac:dyDescent="0.25">
      <c r="B2762" s="3">
        <f t="shared" si="343"/>
        <v>13710</v>
      </c>
      <c r="C2762" s="14">
        <f t="shared" si="344"/>
        <v>228.5</v>
      </c>
      <c r="D2762" s="11">
        <f t="shared" si="345"/>
        <v>1145.4637283893637</v>
      </c>
      <c r="E2762" s="24">
        <f t="shared" si="346"/>
        <v>891.42143113624957</v>
      </c>
      <c r="F2762" s="38">
        <f t="shared" si="341"/>
        <v>0.92030090790439201</v>
      </c>
      <c r="G2762" s="14">
        <f t="shared" si="342"/>
        <v>0</v>
      </c>
      <c r="H2762" s="24">
        <f t="shared" si="348"/>
        <v>656.08241507249159</v>
      </c>
      <c r="I2762" s="12">
        <f t="shared" si="347"/>
        <v>0.20521830127057927</v>
      </c>
      <c r="J2762" s="3"/>
    </row>
    <row r="2763" spans="2:10" x14ac:dyDescent="0.25">
      <c r="B2763" s="3">
        <f t="shared" si="343"/>
        <v>13715</v>
      </c>
      <c r="C2763" s="14">
        <f t="shared" si="344"/>
        <v>228.58333333333334</v>
      </c>
      <c r="D2763" s="11">
        <f t="shared" si="345"/>
        <v>1145.5183317413735</v>
      </c>
      <c r="E2763" s="24">
        <f t="shared" si="346"/>
        <v>891.6266494375202</v>
      </c>
      <c r="F2763" s="38">
        <f t="shared" si="341"/>
        <v>0.92050002530242603</v>
      </c>
      <c r="G2763" s="14">
        <f t="shared" si="342"/>
        <v>0</v>
      </c>
      <c r="H2763" s="24">
        <f t="shared" si="348"/>
        <v>655.94049500753317</v>
      </c>
      <c r="I2763" s="12">
        <f t="shared" si="347"/>
        <v>0.2051290651793585</v>
      </c>
      <c r="J2763" s="3"/>
    </row>
    <row r="2764" spans="2:10" x14ac:dyDescent="0.25">
      <c r="B2764" s="3">
        <f t="shared" si="343"/>
        <v>13720</v>
      </c>
      <c r="C2764" s="14">
        <f t="shared" si="344"/>
        <v>228.66666666666666</v>
      </c>
      <c r="D2764" s="11">
        <f t="shared" si="345"/>
        <v>1145.5729152014515</v>
      </c>
      <c r="E2764" s="24">
        <f t="shared" si="346"/>
        <v>891.83177850269954</v>
      </c>
      <c r="F2764" s="38">
        <f t="shared" si="341"/>
        <v>0.92069863410422481</v>
      </c>
      <c r="G2764" s="14">
        <f t="shared" si="342"/>
        <v>0</v>
      </c>
      <c r="H2764" s="24">
        <f t="shared" si="348"/>
        <v>655.79899859281159</v>
      </c>
      <c r="I2764" s="12">
        <f t="shared" si="347"/>
        <v>0.20503975530404212</v>
      </c>
      <c r="J2764" s="3"/>
    </row>
    <row r="2765" spans="2:10" x14ac:dyDescent="0.25">
      <c r="B2765" s="3">
        <f t="shared" si="343"/>
        <v>13725</v>
      </c>
      <c r="C2765" s="14">
        <f t="shared" si="344"/>
        <v>228.75</v>
      </c>
      <c r="D2765" s="11">
        <f t="shared" si="345"/>
        <v>1145.627478784085</v>
      </c>
      <c r="E2765" s="24">
        <f t="shared" si="346"/>
        <v>892.03681825800356</v>
      </c>
      <c r="F2765" s="38">
        <f t="shared" si="341"/>
        <v>0.92089673612855305</v>
      </c>
      <c r="G2765" s="14">
        <f t="shared" si="342"/>
        <v>0</v>
      </c>
      <c r="H2765" s="24">
        <f t="shared" si="348"/>
        <v>655.65792402486409</v>
      </c>
      <c r="I2765" s="12">
        <f t="shared" si="347"/>
        <v>0.20495037224264637</v>
      </c>
      <c r="J2765" s="3"/>
    </row>
    <row r="2766" spans="2:10" x14ac:dyDescent="0.25">
      <c r="B2766" s="3">
        <f t="shared" si="343"/>
        <v>13730</v>
      </c>
      <c r="C2766" s="14">
        <f t="shared" si="344"/>
        <v>228.83333333333334</v>
      </c>
      <c r="D2766" s="11">
        <f t="shared" si="345"/>
        <v>1145.682022503747</v>
      </c>
      <c r="E2766" s="24">
        <f t="shared" si="346"/>
        <v>892.24176863024616</v>
      </c>
      <c r="F2766" s="38">
        <f t="shared" si="341"/>
        <v>0.92109433318595946</v>
      </c>
      <c r="G2766" s="14">
        <f t="shared" si="342"/>
        <v>0</v>
      </c>
      <c r="H2766" s="24">
        <f t="shared" si="348"/>
        <v>655.51726951013654</v>
      </c>
      <c r="I2766" s="12">
        <f t="shared" si="347"/>
        <v>0.20486091658996847</v>
      </c>
      <c r="J2766" s="3"/>
    </row>
    <row r="2767" spans="2:10" x14ac:dyDescent="0.25">
      <c r="B2767" s="3">
        <f t="shared" si="343"/>
        <v>13735</v>
      </c>
      <c r="C2767" s="14">
        <f t="shared" si="344"/>
        <v>228.91666666666666</v>
      </c>
      <c r="D2767" s="11">
        <f t="shared" si="345"/>
        <v>1145.7365463748934</v>
      </c>
      <c r="E2767" s="24">
        <f t="shared" si="346"/>
        <v>892.44662954683611</v>
      </c>
      <c r="F2767" s="38">
        <f t="shared" si="341"/>
        <v>0.92129142707882117</v>
      </c>
      <c r="G2767" s="14">
        <f t="shared" si="342"/>
        <v>0</v>
      </c>
      <c r="H2767" s="24">
        <f t="shared" si="348"/>
        <v>655.37703326491783</v>
      </c>
      <c r="I2767" s="12">
        <f t="shared" si="347"/>
        <v>0.20477138893803942</v>
      </c>
      <c r="J2767" s="3"/>
    </row>
    <row r="2768" spans="2:10" x14ac:dyDescent="0.25">
      <c r="B2768" s="3">
        <f t="shared" si="343"/>
        <v>13740</v>
      </c>
      <c r="C2768" s="14">
        <f t="shared" si="344"/>
        <v>229</v>
      </c>
      <c r="D2768" s="11">
        <f t="shared" si="345"/>
        <v>1145.7910504119645</v>
      </c>
      <c r="E2768" s="24">
        <f t="shared" si="346"/>
        <v>892.65140093577418</v>
      </c>
      <c r="F2768" s="38">
        <f t="shared" si="341"/>
        <v>0.92148801960138649</v>
      </c>
      <c r="G2768" s="14">
        <f t="shared" si="342"/>
        <v>0</v>
      </c>
      <c r="H2768" s="24">
        <f t="shared" si="348"/>
        <v>655.23721351527342</v>
      </c>
      <c r="I2768" s="12">
        <f t="shared" si="347"/>
        <v>0.20468178987579094</v>
      </c>
      <c r="J2768" s="3"/>
    </row>
    <row r="2769" spans="2:10" x14ac:dyDescent="0.25">
      <c r="B2769" s="3">
        <f t="shared" si="343"/>
        <v>13745</v>
      </c>
      <c r="C2769" s="14">
        <f t="shared" si="344"/>
        <v>229.08333333333334</v>
      </c>
      <c r="D2769" s="11">
        <f t="shared" si="345"/>
        <v>1145.8455346293858</v>
      </c>
      <c r="E2769" s="24">
        <f t="shared" si="346"/>
        <v>892.85608272564991</v>
      </c>
      <c r="F2769" s="38">
        <f t="shared" si="341"/>
        <v>0.92168411253981986</v>
      </c>
      <c r="G2769" s="14">
        <f t="shared" si="342"/>
        <v>0</v>
      </c>
      <c r="H2769" s="24">
        <f t="shared" si="348"/>
        <v>655.09780849698029</v>
      </c>
      <c r="I2769" s="12">
        <f t="shared" si="347"/>
        <v>0.20459211998918117</v>
      </c>
      <c r="J2769" s="3"/>
    </row>
    <row r="2770" spans="2:10" x14ac:dyDescent="0.25">
      <c r="B2770" s="3">
        <f t="shared" si="343"/>
        <v>13750</v>
      </c>
      <c r="C2770" s="14">
        <f t="shared" si="344"/>
        <v>229.16666666666666</v>
      </c>
      <c r="D2770" s="11">
        <f t="shared" si="345"/>
        <v>1145.8999990415655</v>
      </c>
      <c r="E2770" s="24">
        <f t="shared" si="346"/>
        <v>893.06067484563914</v>
      </c>
      <c r="F2770" s="38">
        <f t="shared" si="341"/>
        <v>0.92187970767224314</v>
      </c>
      <c r="G2770" s="14">
        <f t="shared" si="342"/>
        <v>0</v>
      </c>
      <c r="H2770" s="24">
        <f t="shared" si="348"/>
        <v>654.9588164554624</v>
      </c>
      <c r="I2770" s="12">
        <f t="shared" si="347"/>
        <v>0.20450237986140724</v>
      </c>
      <c r="J2770" s="3"/>
    </row>
    <row r="2771" spans="2:10" x14ac:dyDescent="0.25">
      <c r="B2771" s="3">
        <f t="shared" si="343"/>
        <v>13755</v>
      </c>
      <c r="C2771" s="14">
        <f t="shared" si="344"/>
        <v>229.25</v>
      </c>
      <c r="D2771" s="11">
        <f t="shared" si="345"/>
        <v>1145.9544436628971</v>
      </c>
      <c r="E2771" s="24">
        <f t="shared" si="346"/>
        <v>893.26517722550057</v>
      </c>
      <c r="F2771" s="38">
        <f t="shared" si="341"/>
        <v>0.92207480676878018</v>
      </c>
      <c r="G2771" s="14">
        <f t="shared" si="342"/>
        <v>0</v>
      </c>
      <c r="H2771" s="24">
        <f t="shared" si="348"/>
        <v>654.82023564572626</v>
      </c>
      <c r="I2771" s="12">
        <f t="shared" si="347"/>
        <v>0.20441257007250602</v>
      </c>
      <c r="J2771" s="3"/>
    </row>
    <row r="2772" spans="2:10" x14ac:dyDescent="0.25">
      <c r="B2772" s="3">
        <f t="shared" si="343"/>
        <v>13760</v>
      </c>
      <c r="C2772" s="14">
        <f t="shared" si="344"/>
        <v>229.33333333333334</v>
      </c>
      <c r="D2772" s="11">
        <f t="shared" si="345"/>
        <v>1146.0088685077587</v>
      </c>
      <c r="E2772" s="24">
        <f t="shared" si="346"/>
        <v>893.46958979557303</v>
      </c>
      <c r="F2772" s="38">
        <f t="shared" ref="F2772:F2835" si="349">Cp*RhoP/(RhoA*H2772)*dp/1000*MassivP</f>
        <v>0.92226941159159714</v>
      </c>
      <c r="G2772" s="14">
        <f t="shared" ref="G2772:G2835" si="350">Phi*EpsilonF*Botzman/10^8*J2772*((D2772+273)^4-(E2772+273)^4)</f>
        <v>0</v>
      </c>
      <c r="H2772" s="24">
        <f t="shared" si="348"/>
        <v>654.68206433229739</v>
      </c>
      <c r="I2772" s="12">
        <f t="shared" si="347"/>
        <v>0.20432269119972085</v>
      </c>
      <c r="J2772" s="3"/>
    </row>
    <row r="2773" spans="2:10" x14ac:dyDescent="0.25">
      <c r="B2773" s="3">
        <f t="shared" ref="B2773:B2836" si="351">B2772+DeltaT</f>
        <v>13765</v>
      </c>
      <c r="C2773" s="14">
        <f t="shared" ref="C2773:C2836" si="352">B2773/60</f>
        <v>229.41666666666666</v>
      </c>
      <c r="D2773" s="11">
        <f t="shared" ref="D2773:D2836" si="353">20+345*LOG(8*C2773+1,10)</f>
        <v>1146.0632735905122</v>
      </c>
      <c r="E2773" s="24">
        <f t="shared" ref="E2773:E2836" si="354">E2772+IF(Limit=Oui,MAX(0,I2772),I2772)</f>
        <v>893.67391248677279</v>
      </c>
      <c r="F2773" s="38">
        <f t="shared" si="349"/>
        <v>0.92246352389494768</v>
      </c>
      <c r="G2773" s="14">
        <f t="shared" si="350"/>
        <v>0</v>
      </c>
      <c r="H2773" s="24">
        <f t="shared" si="348"/>
        <v>654.54430078915675</v>
      </c>
      <c r="I2773" s="12">
        <f t="shared" ref="I2773:I2836" si="355">LambdaP*MassivP/(dp/1000)/(H2773*RhoA)/(1+F2773/3)*(D2773-E2773)*DeltaT-(EXP(F2773/10)-1)*(D2773-D2772)</f>
        <v>0.2042327438174506</v>
      </c>
      <c r="J2773" s="3"/>
    </row>
    <row r="2774" spans="2:10" x14ac:dyDescent="0.25">
      <c r="B2774" s="3">
        <f t="shared" si="351"/>
        <v>13770</v>
      </c>
      <c r="C2774" s="14">
        <f t="shared" si="352"/>
        <v>229.5</v>
      </c>
      <c r="D2774" s="11">
        <f t="shared" si="353"/>
        <v>1146.1176589255037</v>
      </c>
      <c r="E2774" s="24">
        <f t="shared" si="354"/>
        <v>893.87814523059023</v>
      </c>
      <c r="F2774" s="38">
        <f t="shared" si="349"/>
        <v>0.92265714542521227</v>
      </c>
      <c r="G2774" s="14">
        <f t="shared" si="350"/>
        <v>0</v>
      </c>
      <c r="H2774" s="24">
        <f t="shared" si="348"/>
        <v>654.40694329967857</v>
      </c>
      <c r="I2774" s="12">
        <f t="shared" si="355"/>
        <v>0.20414272849715664</v>
      </c>
      <c r="J2774" s="3"/>
    </row>
    <row r="2775" spans="2:10" x14ac:dyDescent="0.25">
      <c r="B2775" s="3">
        <f t="shared" si="351"/>
        <v>13775</v>
      </c>
      <c r="C2775" s="14">
        <f t="shared" si="352"/>
        <v>229.58333333333334</v>
      </c>
      <c r="D2775" s="11">
        <f t="shared" si="353"/>
        <v>1146.1720245270642</v>
      </c>
      <c r="E2775" s="24">
        <f t="shared" si="354"/>
        <v>894.08228795908735</v>
      </c>
      <c r="F2775" s="38">
        <f t="shared" si="349"/>
        <v>0.92285027792094143</v>
      </c>
      <c r="G2775" s="14">
        <f t="shared" si="350"/>
        <v>0</v>
      </c>
      <c r="H2775" s="24">
        <f t="shared" si="348"/>
        <v>654.26999015656759</v>
      </c>
      <c r="I2775" s="12">
        <f t="shared" si="355"/>
        <v>0.2040526458074661</v>
      </c>
      <c r="J2775" s="3"/>
    </row>
    <row r="2776" spans="2:10" x14ac:dyDescent="0.25">
      <c r="B2776" s="3">
        <f t="shared" si="351"/>
        <v>13780</v>
      </c>
      <c r="C2776" s="14">
        <f t="shared" si="352"/>
        <v>229.66666666666666</v>
      </c>
      <c r="D2776" s="11">
        <f t="shared" si="353"/>
        <v>1146.2263704095085</v>
      </c>
      <c r="E2776" s="24">
        <f t="shared" si="354"/>
        <v>894.2863406048948</v>
      </c>
      <c r="F2776" s="38">
        <f t="shared" si="349"/>
        <v>0.92304292311289826</v>
      </c>
      <c r="G2776" s="14">
        <f t="shared" si="350"/>
        <v>0</v>
      </c>
      <c r="H2776" s="24">
        <f t="shared" si="348"/>
        <v>654.13343966179752</v>
      </c>
      <c r="I2776" s="12">
        <f t="shared" si="355"/>
        <v>0.20396249631416519</v>
      </c>
      <c r="J2776" s="3"/>
    </row>
    <row r="2777" spans="2:10" x14ac:dyDescent="0.25">
      <c r="B2777" s="3">
        <f t="shared" si="351"/>
        <v>13785</v>
      </c>
      <c r="C2777" s="14">
        <f t="shared" si="352"/>
        <v>229.75</v>
      </c>
      <c r="D2777" s="11">
        <f t="shared" si="353"/>
        <v>1146.2806965871366</v>
      </c>
      <c r="E2777" s="24">
        <f t="shared" si="354"/>
        <v>894.49030310120895</v>
      </c>
      <c r="F2777" s="38">
        <f t="shared" si="349"/>
        <v>0.92323508272409671</v>
      </c>
      <c r="G2777" s="14">
        <f t="shared" si="350"/>
        <v>0</v>
      </c>
      <c r="H2777" s="24">
        <f t="shared" si="348"/>
        <v>653.99729012654961</v>
      </c>
      <c r="I2777" s="12">
        <f t="shared" si="355"/>
        <v>0.20387228058014972</v>
      </c>
      <c r="J2777" s="3"/>
    </row>
    <row r="2778" spans="2:10" x14ac:dyDescent="0.25">
      <c r="B2778" s="3">
        <f t="shared" si="351"/>
        <v>13790</v>
      </c>
      <c r="C2778" s="14">
        <f t="shared" si="352"/>
        <v>229.83333333333334</v>
      </c>
      <c r="D2778" s="11">
        <f t="shared" si="353"/>
        <v>1146.3350030742324</v>
      </c>
      <c r="E2778" s="24">
        <f t="shared" si="354"/>
        <v>894.69417538178914</v>
      </c>
      <c r="F2778" s="38">
        <f t="shared" si="349"/>
        <v>0.92342675846984623</v>
      </c>
      <c r="G2778" s="14">
        <f t="shared" si="350"/>
        <v>0</v>
      </c>
      <c r="H2778" s="24">
        <f t="shared" si="348"/>
        <v>653.8615398711521</v>
      </c>
      <c r="I2778" s="12">
        <f t="shared" si="355"/>
        <v>0.20378199916561526</v>
      </c>
      <c r="J2778" s="3"/>
    </row>
    <row r="2779" spans="2:10" x14ac:dyDescent="0.25">
      <c r="B2779" s="3">
        <f t="shared" si="351"/>
        <v>13795</v>
      </c>
      <c r="C2779" s="14">
        <f t="shared" si="352"/>
        <v>229.91666666666666</v>
      </c>
      <c r="D2779" s="11">
        <f t="shared" si="353"/>
        <v>1146.389289885064</v>
      </c>
      <c r="E2779" s="24">
        <f t="shared" si="354"/>
        <v>894.89795738095472</v>
      </c>
      <c r="F2779" s="38">
        <f t="shared" si="349"/>
        <v>0.92361795205778996</v>
      </c>
      <c r="G2779" s="14">
        <f t="shared" si="350"/>
        <v>0</v>
      </c>
      <c r="H2779" s="24">
        <f t="shared" si="348"/>
        <v>653.72618722501977</v>
      </c>
      <c r="I2779" s="12">
        <f t="shared" si="355"/>
        <v>0.20369165262791869</v>
      </c>
      <c r="J2779" s="3"/>
    </row>
    <row r="2780" spans="2:10" x14ac:dyDescent="0.25">
      <c r="B2780" s="3">
        <f t="shared" si="351"/>
        <v>13800</v>
      </c>
      <c r="C2780" s="14">
        <f t="shared" si="352"/>
        <v>230</v>
      </c>
      <c r="D2780" s="11">
        <f t="shared" si="353"/>
        <v>1146.4435570338851</v>
      </c>
      <c r="E2780" s="24">
        <f t="shared" si="354"/>
        <v>895.10164903358259</v>
      </c>
      <c r="F2780" s="38">
        <f t="shared" si="349"/>
        <v>0.92380866518794624</v>
      </c>
      <c r="G2780" s="14">
        <f t="shared" si="350"/>
        <v>0</v>
      </c>
      <c r="H2780" s="24">
        <f t="shared" si="348"/>
        <v>653.59123052659402</v>
      </c>
      <c r="I2780" s="12">
        <f t="shared" si="355"/>
        <v>0.2036012415215285</v>
      </c>
      <c r="J2780" s="3"/>
    </row>
    <row r="2781" spans="2:10" x14ac:dyDescent="0.25">
      <c r="B2781" s="3">
        <f t="shared" si="351"/>
        <v>13805</v>
      </c>
      <c r="C2781" s="14">
        <f t="shared" si="352"/>
        <v>230.08333333333334</v>
      </c>
      <c r="D2781" s="11">
        <f t="shared" si="353"/>
        <v>1146.4978045349326</v>
      </c>
      <c r="E2781" s="24">
        <f t="shared" si="354"/>
        <v>895.30525027510407</v>
      </c>
      <c r="F2781" s="38">
        <f t="shared" si="349"/>
        <v>0.9239988995527495</v>
      </c>
      <c r="G2781" s="14">
        <f t="shared" si="350"/>
        <v>0</v>
      </c>
      <c r="H2781" s="24">
        <f t="shared" si="348"/>
        <v>653.45666812328352</v>
      </c>
      <c r="I2781" s="12">
        <f t="shared" si="355"/>
        <v>0.20351076639834617</v>
      </c>
      <c r="J2781" s="3"/>
    </row>
    <row r="2782" spans="2:10" x14ac:dyDescent="0.25">
      <c r="B2782" s="3">
        <f t="shared" si="351"/>
        <v>13810</v>
      </c>
      <c r="C2782" s="14">
        <f t="shared" si="352"/>
        <v>230.16666666666666</v>
      </c>
      <c r="D2782" s="11">
        <f t="shared" si="353"/>
        <v>1146.5520324024287</v>
      </c>
      <c r="E2782" s="24">
        <f t="shared" si="354"/>
        <v>895.50876104150245</v>
      </c>
      <c r="F2782" s="38">
        <f t="shared" si="349"/>
        <v>0.92418865683708917</v>
      </c>
      <c r="G2782" s="14">
        <f t="shared" si="350"/>
        <v>0</v>
      </c>
      <c r="H2782" s="24">
        <f t="shared" si="348"/>
        <v>653.322498371405</v>
      </c>
      <c r="I2782" s="12">
        <f t="shared" si="355"/>
        <v>0.20342022780734867</v>
      </c>
      <c r="J2782" s="3"/>
    </row>
    <row r="2783" spans="2:10" x14ac:dyDescent="0.25">
      <c r="B2783" s="3">
        <f t="shared" si="351"/>
        <v>13815</v>
      </c>
      <c r="C2783" s="14">
        <f t="shared" si="352"/>
        <v>230.25</v>
      </c>
      <c r="D2783" s="11">
        <f t="shared" si="353"/>
        <v>1146.6062406505805</v>
      </c>
      <c r="E2783" s="24">
        <f t="shared" si="354"/>
        <v>895.71218126930978</v>
      </c>
      <c r="F2783" s="38">
        <f t="shared" si="349"/>
        <v>0.92437793871835083</v>
      </c>
      <c r="G2783" s="14">
        <f t="shared" si="350"/>
        <v>0</v>
      </c>
      <c r="H2783" s="24">
        <f t="shared" si="348"/>
        <v>653.18871963612526</v>
      </c>
      <c r="I2783" s="12">
        <f t="shared" si="355"/>
        <v>0.20332962629482312</v>
      </c>
      <c r="J2783" s="3"/>
    </row>
    <row r="2784" spans="2:10" x14ac:dyDescent="0.25">
      <c r="B2784" s="3">
        <f t="shared" si="351"/>
        <v>13820</v>
      </c>
      <c r="C2784" s="14">
        <f t="shared" si="352"/>
        <v>230.33333333333334</v>
      </c>
      <c r="D2784" s="11">
        <f t="shared" si="353"/>
        <v>1146.6604292935783</v>
      </c>
      <c r="E2784" s="24">
        <f t="shared" si="354"/>
        <v>895.9155108956046</v>
      </c>
      <c r="F2784" s="38">
        <f t="shared" si="349"/>
        <v>0.92456674686645435</v>
      </c>
      <c r="G2784" s="14">
        <f t="shared" si="350"/>
        <v>0</v>
      </c>
      <c r="H2784" s="24">
        <f t="shared" si="348"/>
        <v>653.05533029140281</v>
      </c>
      <c r="I2784" s="12">
        <f t="shared" si="355"/>
        <v>0.20323896240446826</v>
      </c>
      <c r="J2784" s="3"/>
    </row>
    <row r="2785" spans="2:10" x14ac:dyDescent="0.25">
      <c r="B2785" s="3">
        <f t="shared" si="351"/>
        <v>13825</v>
      </c>
      <c r="C2785" s="14">
        <f t="shared" si="352"/>
        <v>230.41666666666666</v>
      </c>
      <c r="D2785" s="11">
        <f t="shared" si="353"/>
        <v>1146.7145983455989</v>
      </c>
      <c r="E2785" s="24">
        <f t="shared" si="354"/>
        <v>896.1187498580091</v>
      </c>
      <c r="F2785" s="38">
        <f t="shared" si="349"/>
        <v>0.92475508294389475</v>
      </c>
      <c r="G2785" s="14">
        <f t="shared" si="350"/>
        <v>0</v>
      </c>
      <c r="H2785" s="24">
        <f t="shared" si="348"/>
        <v>652.92232871993031</v>
      </c>
      <c r="I2785" s="12">
        <f t="shared" si="355"/>
        <v>0.20314823667699336</v>
      </c>
      <c r="J2785" s="3"/>
    </row>
    <row r="2786" spans="2:10" x14ac:dyDescent="0.25">
      <c r="B2786" s="3">
        <f t="shared" si="351"/>
        <v>13830</v>
      </c>
      <c r="C2786" s="14">
        <f t="shared" si="352"/>
        <v>230.5</v>
      </c>
      <c r="D2786" s="11">
        <f t="shared" si="353"/>
        <v>1146.7687478208022</v>
      </c>
      <c r="E2786" s="24">
        <f t="shared" si="354"/>
        <v>896.32189809468605</v>
      </c>
      <c r="F2786" s="38">
        <f t="shared" si="349"/>
        <v>0.92494294860578075</v>
      </c>
      <c r="G2786" s="14">
        <f t="shared" si="350"/>
        <v>0</v>
      </c>
      <c r="H2786" s="24">
        <f t="shared" si="348"/>
        <v>652.7897133130773</v>
      </c>
      <c r="I2786" s="12">
        <f t="shared" si="355"/>
        <v>0.20305744965072545</v>
      </c>
      <c r="J2786" s="3"/>
    </row>
    <row r="2787" spans="2:10" x14ac:dyDescent="0.25">
      <c r="B2787" s="3">
        <f t="shared" si="351"/>
        <v>13835</v>
      </c>
      <c r="C2787" s="14">
        <f t="shared" si="352"/>
        <v>230.58333333333334</v>
      </c>
      <c r="D2787" s="11">
        <f t="shared" si="353"/>
        <v>1146.8228777333334</v>
      </c>
      <c r="E2787" s="24">
        <f t="shared" si="354"/>
        <v>896.52495554433676</v>
      </c>
      <c r="F2787" s="38">
        <f t="shared" si="349"/>
        <v>0.9251303454998735</v>
      </c>
      <c r="G2787" s="14">
        <f t="shared" si="350"/>
        <v>0</v>
      </c>
      <c r="H2787" s="24">
        <f t="shared" si="348"/>
        <v>652.65748247083388</v>
      </c>
      <c r="I2787" s="12">
        <f t="shared" si="355"/>
        <v>0.20296660186111767</v>
      </c>
      <c r="J2787" s="3"/>
    </row>
    <row r="2788" spans="2:10" x14ac:dyDescent="0.25">
      <c r="B2788" s="3">
        <f t="shared" si="351"/>
        <v>13840</v>
      </c>
      <c r="C2788" s="14">
        <f t="shared" si="352"/>
        <v>230.66666666666666</v>
      </c>
      <c r="D2788" s="11">
        <f t="shared" si="353"/>
        <v>1146.8769880973223</v>
      </c>
      <c r="E2788" s="24">
        <f t="shared" si="354"/>
        <v>896.7279221461979</v>
      </c>
      <c r="F2788" s="38">
        <f t="shared" si="349"/>
        <v>0.92531727526662455</v>
      </c>
      <c r="G2788" s="14">
        <f t="shared" si="350"/>
        <v>0</v>
      </c>
      <c r="H2788" s="24">
        <f t="shared" si="348"/>
        <v>652.52563460175395</v>
      </c>
      <c r="I2788" s="12">
        <f t="shared" si="355"/>
        <v>0.20287569384100693</v>
      </c>
      <c r="J2788" s="3"/>
    </row>
    <row r="2789" spans="2:10" x14ac:dyDescent="0.25">
      <c r="B2789" s="3">
        <f t="shared" si="351"/>
        <v>13845</v>
      </c>
      <c r="C2789" s="14">
        <f t="shared" si="352"/>
        <v>230.75</v>
      </c>
      <c r="D2789" s="11">
        <f t="shared" si="353"/>
        <v>1146.9310789268832</v>
      </c>
      <c r="E2789" s="24">
        <f t="shared" si="354"/>
        <v>896.93079784003885</v>
      </c>
      <c r="F2789" s="38">
        <f t="shared" si="349"/>
        <v>0.92550373953921705</v>
      </c>
      <c r="G2789" s="14">
        <f t="shared" si="350"/>
        <v>0</v>
      </c>
      <c r="H2789" s="24">
        <f t="shared" si="348"/>
        <v>652.3941681228996</v>
      </c>
      <c r="I2789" s="12">
        <f t="shared" si="355"/>
        <v>0.2027847261206274</v>
      </c>
      <c r="J2789" s="3"/>
    </row>
    <row r="2790" spans="2:10" x14ac:dyDescent="0.25">
      <c r="B2790" s="3">
        <f t="shared" si="351"/>
        <v>13850</v>
      </c>
      <c r="C2790" s="14">
        <f t="shared" si="352"/>
        <v>230.83333333333334</v>
      </c>
      <c r="D2790" s="11">
        <f t="shared" si="353"/>
        <v>1146.9851502361155</v>
      </c>
      <c r="E2790" s="24">
        <f t="shared" si="354"/>
        <v>897.13358256615948</v>
      </c>
      <c r="F2790" s="38">
        <f t="shared" si="349"/>
        <v>0.92568973994359982</v>
      </c>
      <c r="G2790" s="14">
        <f t="shared" si="350"/>
        <v>0</v>
      </c>
      <c r="H2790" s="24">
        <f t="shared" si="348"/>
        <v>652.26308145978567</v>
      </c>
      <c r="I2790" s="12">
        <f t="shared" si="355"/>
        <v>0.20269369922749295</v>
      </c>
      <c r="J2790" s="3"/>
    </row>
    <row r="2791" spans="2:10" x14ac:dyDescent="0.25">
      <c r="B2791" s="3">
        <f t="shared" si="351"/>
        <v>13855</v>
      </c>
      <c r="C2791" s="14">
        <f t="shared" si="352"/>
        <v>230.91666666666666</v>
      </c>
      <c r="D2791" s="11">
        <f t="shared" si="353"/>
        <v>1147.0392020391032</v>
      </c>
      <c r="E2791" s="24">
        <f t="shared" si="354"/>
        <v>897.33627626538691</v>
      </c>
      <c r="F2791" s="38">
        <f t="shared" si="349"/>
        <v>0.92587527809852954</v>
      </c>
      <c r="G2791" s="14">
        <f t="shared" si="350"/>
        <v>0</v>
      </c>
      <c r="H2791" s="24">
        <f t="shared" si="348"/>
        <v>652.13237304632503</v>
      </c>
      <c r="I2791" s="12">
        <f t="shared" si="355"/>
        <v>0.20260261368656576</v>
      </c>
      <c r="J2791" s="3"/>
    </row>
    <row r="2792" spans="2:10" x14ac:dyDescent="0.25">
      <c r="B2792" s="3">
        <f t="shared" si="351"/>
        <v>13860</v>
      </c>
      <c r="C2792" s="14">
        <f t="shared" si="352"/>
        <v>231</v>
      </c>
      <c r="D2792" s="11">
        <f t="shared" si="353"/>
        <v>1147.0932343499146</v>
      </c>
      <c r="E2792" s="24">
        <f t="shared" si="354"/>
        <v>897.53887887907354</v>
      </c>
      <c r="F2792" s="38">
        <f t="shared" si="349"/>
        <v>0.92606035561560585</v>
      </c>
      <c r="G2792" s="14">
        <f t="shared" si="350"/>
        <v>0</v>
      </c>
      <c r="H2792" s="24">
        <f t="shared" si="348"/>
        <v>652.00204132477302</v>
      </c>
      <c r="I2792" s="12">
        <f t="shared" si="355"/>
        <v>0.20251147002022557</v>
      </c>
      <c r="J2792" s="3"/>
    </row>
    <row r="2793" spans="2:10" x14ac:dyDescent="0.25">
      <c r="B2793" s="3">
        <f t="shared" si="351"/>
        <v>13865</v>
      </c>
      <c r="C2793" s="14">
        <f t="shared" si="352"/>
        <v>231.08333333333334</v>
      </c>
      <c r="D2793" s="11">
        <f t="shared" si="353"/>
        <v>1147.1472471826035</v>
      </c>
      <c r="E2793" s="24">
        <f t="shared" si="354"/>
        <v>897.74139034909376</v>
      </c>
      <c r="F2793" s="38">
        <f t="shared" si="349"/>
        <v>0.92624497409930884</v>
      </c>
      <c r="G2793" s="14">
        <f t="shared" si="350"/>
        <v>0</v>
      </c>
      <c r="H2793" s="24">
        <f t="shared" si="348"/>
        <v>651.8720847456749</v>
      </c>
      <c r="I2793" s="12">
        <f t="shared" si="355"/>
        <v>0.20242026874815283</v>
      </c>
      <c r="J2793" s="3"/>
    </row>
    <row r="2794" spans="2:10" x14ac:dyDescent="0.25">
      <c r="B2794" s="3">
        <f t="shared" si="351"/>
        <v>13870</v>
      </c>
      <c r="C2794" s="14">
        <f t="shared" si="352"/>
        <v>231.16666666666666</v>
      </c>
      <c r="D2794" s="11">
        <f t="shared" si="353"/>
        <v>1147.2012405512082</v>
      </c>
      <c r="E2794" s="24">
        <f t="shared" si="354"/>
        <v>897.9438106178419</v>
      </c>
      <c r="F2794" s="38">
        <f t="shared" si="349"/>
        <v>0.92642913514703895</v>
      </c>
      <c r="G2794" s="14">
        <f t="shared" si="350"/>
        <v>0</v>
      </c>
      <c r="H2794" s="24">
        <f t="shared" si="348"/>
        <v>651.74250176781038</v>
      </c>
      <c r="I2794" s="12">
        <f t="shared" si="355"/>
        <v>0.20232901038751805</v>
      </c>
      <c r="J2794" s="3"/>
    </row>
    <row r="2795" spans="2:10" x14ac:dyDescent="0.25">
      <c r="B2795" s="3">
        <f t="shared" si="351"/>
        <v>13875</v>
      </c>
      <c r="C2795" s="14">
        <f t="shared" si="352"/>
        <v>231.25</v>
      </c>
      <c r="D2795" s="11">
        <f t="shared" si="353"/>
        <v>1147.2552144697518</v>
      </c>
      <c r="E2795" s="24">
        <f t="shared" si="354"/>
        <v>898.14613962822943</v>
      </c>
      <c r="F2795" s="38">
        <f t="shared" si="349"/>
        <v>0.92661284034915081</v>
      </c>
      <c r="G2795" s="14">
        <f t="shared" si="350"/>
        <v>0</v>
      </c>
      <c r="H2795" s="24">
        <f t="shared" si="348"/>
        <v>651.6132908581418</v>
      </c>
      <c r="I2795" s="12">
        <f t="shared" si="355"/>
        <v>0.20223769545297335</v>
      </c>
      <c r="J2795" s="3"/>
    </row>
    <row r="2796" spans="2:10" x14ac:dyDescent="0.25">
      <c r="B2796" s="3">
        <f t="shared" si="351"/>
        <v>13880</v>
      </c>
      <c r="C2796" s="14">
        <f t="shared" si="352"/>
        <v>231.33333333333334</v>
      </c>
      <c r="D2796" s="11">
        <f t="shared" si="353"/>
        <v>1147.3091689522421</v>
      </c>
      <c r="E2796" s="24">
        <f t="shared" si="354"/>
        <v>898.34837732368237</v>
      </c>
      <c r="F2796" s="38">
        <f t="shared" si="349"/>
        <v>0.92679609128899243</v>
      </c>
      <c r="G2796" s="14">
        <f t="shared" si="350"/>
        <v>0</v>
      </c>
      <c r="H2796" s="24">
        <f t="shared" si="348"/>
        <v>651.48445049175984</v>
      </c>
      <c r="I2796" s="12">
        <f t="shared" si="355"/>
        <v>0.2021463244565348</v>
      </c>
      <c r="J2796" s="3"/>
    </row>
    <row r="2797" spans="2:10" x14ac:dyDescent="0.25">
      <c r="B2797" s="3">
        <f t="shared" si="351"/>
        <v>13885</v>
      </c>
      <c r="C2797" s="14">
        <f t="shared" si="352"/>
        <v>231.41666666666666</v>
      </c>
      <c r="D2797" s="11">
        <f t="shared" si="353"/>
        <v>1147.3631040126722</v>
      </c>
      <c r="E2797" s="24">
        <f t="shared" si="354"/>
        <v>898.55052364813889</v>
      </c>
      <c r="F2797" s="38">
        <f t="shared" si="349"/>
        <v>0.92697888954294083</v>
      </c>
      <c r="G2797" s="14">
        <f t="shared" si="350"/>
        <v>0</v>
      </c>
      <c r="H2797" s="24">
        <f t="shared" si="348"/>
        <v>651.355979151832</v>
      </c>
      <c r="I2797" s="12">
        <f t="shared" si="355"/>
        <v>0.20205489790770589</v>
      </c>
      <c r="J2797" s="3"/>
    </row>
    <row r="2798" spans="2:10" x14ac:dyDescent="0.25">
      <c r="B2798" s="3">
        <f t="shared" si="351"/>
        <v>13890</v>
      </c>
      <c r="C2798" s="14">
        <f t="shared" si="352"/>
        <v>231.5</v>
      </c>
      <c r="D2798" s="11">
        <f t="shared" si="353"/>
        <v>1147.4170196650196</v>
      </c>
      <c r="E2798" s="24">
        <f t="shared" si="354"/>
        <v>898.75257854604661</v>
      </c>
      <c r="F2798" s="38">
        <f t="shared" si="349"/>
        <v>0.92716123668043859</v>
      </c>
      <c r="G2798" s="14">
        <f t="shared" si="350"/>
        <v>0</v>
      </c>
      <c r="H2798" s="24">
        <f t="shared" si="348"/>
        <v>651.2278753295501</v>
      </c>
      <c r="I2798" s="12">
        <f t="shared" si="355"/>
        <v>0.20196341631353501</v>
      </c>
      <c r="J2798" s="3"/>
    </row>
    <row r="2799" spans="2:10" x14ac:dyDescent="0.25">
      <c r="B2799" s="3">
        <f t="shared" si="351"/>
        <v>13895</v>
      </c>
      <c r="C2799" s="14">
        <f t="shared" si="352"/>
        <v>231.58333333333334</v>
      </c>
      <c r="D2799" s="11">
        <f t="shared" si="353"/>
        <v>1147.470915923247</v>
      </c>
      <c r="E2799" s="24">
        <f t="shared" si="354"/>
        <v>898.95454196236017</v>
      </c>
      <c r="F2799" s="38">
        <f t="shared" si="349"/>
        <v>0.92734313426403048</v>
      </c>
      <c r="G2799" s="14">
        <f t="shared" si="350"/>
        <v>0</v>
      </c>
      <c r="H2799" s="24">
        <f t="shared" si="348"/>
        <v>651.10013752407838</v>
      </c>
      <c r="I2799" s="12">
        <f t="shared" si="355"/>
        <v>0.20187188017843113</v>
      </c>
      <c r="J2799" s="3"/>
    </row>
    <row r="2800" spans="2:10" x14ac:dyDescent="0.25">
      <c r="B2800" s="3">
        <f t="shared" si="351"/>
        <v>13900</v>
      </c>
      <c r="C2800" s="14">
        <f t="shared" si="352"/>
        <v>231.66666666666666</v>
      </c>
      <c r="D2800" s="11">
        <f t="shared" si="353"/>
        <v>1147.5247928013021</v>
      </c>
      <c r="E2800" s="24">
        <f t="shared" si="354"/>
        <v>899.15641384253865</v>
      </c>
      <c r="F2800" s="38">
        <f t="shared" si="349"/>
        <v>0.92752458384939951</v>
      </c>
      <c r="G2800" s="14">
        <f t="shared" si="350"/>
        <v>0</v>
      </c>
      <c r="H2800" s="24">
        <f t="shared" si="348"/>
        <v>650.97276424250231</v>
      </c>
      <c r="I2800" s="12">
        <f t="shared" si="355"/>
        <v>0.20178029000444139</v>
      </c>
      <c r="J2800" s="3"/>
    </row>
    <row r="2801" spans="2:10" x14ac:dyDescent="0.25">
      <c r="B2801" s="3">
        <f t="shared" si="351"/>
        <v>13905</v>
      </c>
      <c r="C2801" s="14">
        <f t="shared" si="352"/>
        <v>231.75</v>
      </c>
      <c r="D2801" s="11">
        <f t="shared" si="353"/>
        <v>1147.5786503131171</v>
      </c>
      <c r="E2801" s="24">
        <f t="shared" si="354"/>
        <v>899.35819413254308</v>
      </c>
      <c r="F2801" s="38">
        <f t="shared" si="349"/>
        <v>0.9277055869854014</v>
      </c>
      <c r="G2801" s="14">
        <f t="shared" si="350"/>
        <v>0</v>
      </c>
      <c r="H2801" s="24">
        <f t="shared" si="348"/>
        <v>650.84575399977791</v>
      </c>
      <c r="I2801" s="12">
        <f t="shared" si="355"/>
        <v>0.20168864629104405</v>
      </c>
      <c r="J2801" s="3"/>
    </row>
    <row r="2802" spans="2:10" x14ac:dyDescent="0.25">
      <c r="B2802" s="3">
        <f t="shared" si="351"/>
        <v>13910</v>
      </c>
      <c r="C2802" s="14">
        <f t="shared" si="352"/>
        <v>231.83333333333334</v>
      </c>
      <c r="D2802" s="11">
        <f t="shared" si="353"/>
        <v>1147.6324884726102</v>
      </c>
      <c r="E2802" s="24">
        <f t="shared" si="354"/>
        <v>899.55988277883409</v>
      </c>
      <c r="F2802" s="38">
        <f t="shared" si="349"/>
        <v>0.92788614521410284</v>
      </c>
      <c r="G2802" s="14">
        <f t="shared" si="350"/>
        <v>0</v>
      </c>
      <c r="H2802" s="24">
        <f t="shared" si="348"/>
        <v>650.71910531868048</v>
      </c>
      <c r="I2802" s="12">
        <f t="shared" si="355"/>
        <v>0.20159694953522833</v>
      </c>
      <c r="J2802" s="3"/>
    </row>
    <row r="2803" spans="2:10" x14ac:dyDescent="0.25">
      <c r="B2803" s="3">
        <f t="shared" si="351"/>
        <v>13915</v>
      </c>
      <c r="C2803" s="14">
        <f t="shared" si="352"/>
        <v>231.91666666666666</v>
      </c>
      <c r="D2803" s="11">
        <f t="shared" si="353"/>
        <v>1147.6863072936833</v>
      </c>
      <c r="E2803" s="24">
        <f t="shared" si="354"/>
        <v>899.7614797283693</v>
      </c>
      <c r="F2803" s="38">
        <f t="shared" si="349"/>
        <v>0.9280662600708135</v>
      </c>
      <c r="G2803" s="14">
        <f t="shared" si="350"/>
        <v>0</v>
      </c>
      <c r="H2803" s="24">
        <f t="shared" si="348"/>
        <v>650.59281672975521</v>
      </c>
      <c r="I2803" s="12">
        <f t="shared" si="355"/>
        <v>0.20150520023168297</v>
      </c>
      <c r="J2803" s="3"/>
    </row>
    <row r="2804" spans="2:10" x14ac:dyDescent="0.25">
      <c r="B2804" s="3">
        <f t="shared" si="351"/>
        <v>13920</v>
      </c>
      <c r="C2804" s="14">
        <f t="shared" si="352"/>
        <v>232</v>
      </c>
      <c r="D2804" s="11">
        <f t="shared" si="353"/>
        <v>1147.7401067902242</v>
      </c>
      <c r="E2804" s="24">
        <f t="shared" si="354"/>
        <v>899.96298492860103</v>
      </c>
      <c r="F2804" s="38">
        <f t="shared" si="349"/>
        <v>0.92824593308412451</v>
      </c>
      <c r="G2804" s="14">
        <f t="shared" si="350"/>
        <v>0</v>
      </c>
      <c r="H2804" s="24">
        <f t="shared" si="348"/>
        <v>650.46688677126667</v>
      </c>
      <c r="I2804" s="12">
        <f t="shared" si="355"/>
        <v>0.20141339887243548</v>
      </c>
      <c r="J2804" s="3"/>
    </row>
    <row r="2805" spans="2:10" x14ac:dyDescent="0.25">
      <c r="B2805" s="3">
        <f t="shared" si="351"/>
        <v>13925</v>
      </c>
      <c r="C2805" s="14">
        <f t="shared" si="352"/>
        <v>232.08333333333334</v>
      </c>
      <c r="D2805" s="11">
        <f t="shared" si="353"/>
        <v>1147.7938869761056</v>
      </c>
      <c r="E2805" s="24">
        <f t="shared" si="354"/>
        <v>900.16439832747346</v>
      </c>
      <c r="F2805" s="38">
        <f t="shared" si="349"/>
        <v>0.92891268038664632</v>
      </c>
      <c r="G2805" s="14">
        <f t="shared" si="350"/>
        <v>0</v>
      </c>
      <c r="H2805" s="24">
        <f t="shared" si="348"/>
        <v>650</v>
      </c>
      <c r="I2805" s="12">
        <f t="shared" si="355"/>
        <v>0.201401486551257</v>
      </c>
      <c r="J2805" s="3"/>
    </row>
    <row r="2806" spans="2:10" x14ac:dyDescent="0.25">
      <c r="B2806" s="3">
        <f t="shared" si="351"/>
        <v>13930</v>
      </c>
      <c r="C2806" s="14">
        <f t="shared" si="352"/>
        <v>232.16666666666666</v>
      </c>
      <c r="D2806" s="11">
        <f t="shared" si="353"/>
        <v>1147.8476478651849</v>
      </c>
      <c r="E2806" s="24">
        <f t="shared" si="354"/>
        <v>900.36579981402474</v>
      </c>
      <c r="F2806" s="38">
        <f t="shared" si="349"/>
        <v>0.92891268038664632</v>
      </c>
      <c r="G2806" s="14">
        <f t="shared" si="350"/>
        <v>0</v>
      </c>
      <c r="H2806" s="24">
        <f t="shared" si="348"/>
        <v>650</v>
      </c>
      <c r="I2806" s="12">
        <f t="shared" si="355"/>
        <v>0.20128016496843662</v>
      </c>
      <c r="J2806" s="3"/>
    </row>
    <row r="2807" spans="2:10" x14ac:dyDescent="0.25">
      <c r="B2807" s="3">
        <f t="shared" si="351"/>
        <v>13935</v>
      </c>
      <c r="C2807" s="14">
        <f t="shared" si="352"/>
        <v>232.25</v>
      </c>
      <c r="D2807" s="11">
        <f t="shared" si="353"/>
        <v>1147.901389471305</v>
      </c>
      <c r="E2807" s="24">
        <f t="shared" si="354"/>
        <v>900.56707997899321</v>
      </c>
      <c r="F2807" s="38">
        <f t="shared" si="349"/>
        <v>0.92891268038664632</v>
      </c>
      <c r="G2807" s="14">
        <f t="shared" si="350"/>
        <v>0</v>
      </c>
      <c r="H2807" s="24">
        <f t="shared" ref="H2807:H2870" si="356">IF(E2807&lt;600,425+0.773*E2807-1.69/1000*E2807^2+2.22/1000^2*E2807^3,IF(E2807&lt;735,666+13002/(738-E2807),IF(E2807&lt;900,545+17820/(E2807-731),650)))</f>
        <v>650</v>
      </c>
      <c r="I2807" s="12">
        <f t="shared" si="355"/>
        <v>0.20115892718512537</v>
      </c>
      <c r="J2807" s="3"/>
    </row>
    <row r="2808" spans="2:10" x14ac:dyDescent="0.25">
      <c r="B2808" s="3">
        <f t="shared" si="351"/>
        <v>13940</v>
      </c>
      <c r="C2808" s="14">
        <f t="shared" si="352"/>
        <v>232.33333333333334</v>
      </c>
      <c r="D2808" s="11">
        <f t="shared" si="353"/>
        <v>1147.9551118082939</v>
      </c>
      <c r="E2808" s="24">
        <f t="shared" si="354"/>
        <v>900.76823890617834</v>
      </c>
      <c r="F2808" s="38">
        <f t="shared" si="349"/>
        <v>0.92891268038664632</v>
      </c>
      <c r="G2808" s="14">
        <f t="shared" si="350"/>
        <v>0</v>
      </c>
      <c r="H2808" s="24">
        <f t="shared" si="356"/>
        <v>650</v>
      </c>
      <c r="I2808" s="12">
        <f t="shared" si="355"/>
        <v>0.20103777314441756</v>
      </c>
      <c r="J2808" s="3"/>
    </row>
    <row r="2809" spans="2:10" x14ac:dyDescent="0.25">
      <c r="B2809" s="3">
        <f t="shared" si="351"/>
        <v>13945</v>
      </c>
      <c r="C2809" s="14">
        <f t="shared" si="352"/>
        <v>232.41666666666666</v>
      </c>
      <c r="D2809" s="11">
        <f t="shared" si="353"/>
        <v>1148.0088148899642</v>
      </c>
      <c r="E2809" s="24">
        <f t="shared" si="354"/>
        <v>900.96927667932277</v>
      </c>
      <c r="F2809" s="38">
        <f t="shared" si="349"/>
        <v>0.92891268038664632</v>
      </c>
      <c r="G2809" s="14">
        <f t="shared" si="350"/>
        <v>0</v>
      </c>
      <c r="H2809" s="24">
        <f t="shared" si="356"/>
        <v>650</v>
      </c>
      <c r="I2809" s="12">
        <f t="shared" si="355"/>
        <v>0.20091670278939849</v>
      </c>
      <c r="J2809" s="3"/>
    </row>
    <row r="2810" spans="2:10" x14ac:dyDescent="0.25">
      <c r="B2810" s="3">
        <f t="shared" si="351"/>
        <v>13950</v>
      </c>
      <c r="C2810" s="14">
        <f t="shared" si="352"/>
        <v>232.5</v>
      </c>
      <c r="D2810" s="11">
        <f t="shared" si="353"/>
        <v>1148.0624987301146</v>
      </c>
      <c r="E2810" s="24">
        <f t="shared" si="354"/>
        <v>901.17019338211219</v>
      </c>
      <c r="F2810" s="38">
        <f t="shared" si="349"/>
        <v>0.92891268038664632</v>
      </c>
      <c r="G2810" s="14">
        <f t="shared" si="350"/>
        <v>0</v>
      </c>
      <c r="H2810" s="24">
        <f t="shared" si="356"/>
        <v>650</v>
      </c>
      <c r="I2810" s="12">
        <f t="shared" si="355"/>
        <v>0.20079571606316665</v>
      </c>
      <c r="J2810" s="3"/>
    </row>
    <row r="2811" spans="2:10" x14ac:dyDescent="0.25">
      <c r="B2811" s="3">
        <f t="shared" si="351"/>
        <v>13955</v>
      </c>
      <c r="C2811" s="14">
        <f t="shared" si="352"/>
        <v>232.58333333333334</v>
      </c>
      <c r="D2811" s="11">
        <f t="shared" si="353"/>
        <v>1148.1161633425279</v>
      </c>
      <c r="E2811" s="24">
        <f t="shared" si="354"/>
        <v>901.3709890981753</v>
      </c>
      <c r="F2811" s="38">
        <f t="shared" si="349"/>
        <v>0.92891268038664632</v>
      </c>
      <c r="G2811" s="14">
        <f t="shared" si="350"/>
        <v>0</v>
      </c>
      <c r="H2811" s="24">
        <f t="shared" si="356"/>
        <v>650</v>
      </c>
      <c r="I2811" s="12">
        <f t="shared" si="355"/>
        <v>0.2006748129089436</v>
      </c>
      <c r="J2811" s="3"/>
    </row>
    <row r="2812" spans="2:10" x14ac:dyDescent="0.25">
      <c r="B2812" s="3">
        <f t="shared" si="351"/>
        <v>13960</v>
      </c>
      <c r="C2812" s="14">
        <f t="shared" si="352"/>
        <v>232.66666666666666</v>
      </c>
      <c r="D2812" s="11">
        <f t="shared" si="353"/>
        <v>1148.1698087409732</v>
      </c>
      <c r="E2812" s="24">
        <f t="shared" si="354"/>
        <v>901.57166391108422</v>
      </c>
      <c r="F2812" s="38">
        <f t="shared" si="349"/>
        <v>0.92891268038664632</v>
      </c>
      <c r="G2812" s="14">
        <f t="shared" si="350"/>
        <v>0</v>
      </c>
      <c r="H2812" s="24">
        <f t="shared" si="356"/>
        <v>650</v>
      </c>
      <c r="I2812" s="12">
        <f t="shared" si="355"/>
        <v>0.20055399326983173</v>
      </c>
      <c r="J2812" s="3"/>
    </row>
    <row r="2813" spans="2:10" x14ac:dyDescent="0.25">
      <c r="B2813" s="3">
        <f t="shared" si="351"/>
        <v>13965</v>
      </c>
      <c r="C2813" s="14">
        <f t="shared" si="352"/>
        <v>232.75</v>
      </c>
      <c r="D2813" s="11">
        <f t="shared" si="353"/>
        <v>1148.2234349392038</v>
      </c>
      <c r="E2813" s="24">
        <f t="shared" si="354"/>
        <v>901.77221790435408</v>
      </c>
      <c r="F2813" s="38">
        <f t="shared" si="349"/>
        <v>0.92891268038664632</v>
      </c>
      <c r="G2813" s="14">
        <f t="shared" si="350"/>
        <v>0</v>
      </c>
      <c r="H2813" s="24">
        <f t="shared" si="356"/>
        <v>650</v>
      </c>
      <c r="I2813" s="12">
        <f t="shared" si="355"/>
        <v>0.20043325708914489</v>
      </c>
      <c r="J2813" s="3"/>
    </row>
    <row r="2814" spans="2:10" x14ac:dyDescent="0.25">
      <c r="B2814" s="3">
        <f t="shared" si="351"/>
        <v>13970</v>
      </c>
      <c r="C2814" s="14">
        <f t="shared" si="352"/>
        <v>232.83333333333334</v>
      </c>
      <c r="D2814" s="11">
        <f t="shared" si="353"/>
        <v>1148.2770419509586</v>
      </c>
      <c r="E2814" s="24">
        <f t="shared" si="354"/>
        <v>901.9726511614432</v>
      </c>
      <c r="F2814" s="38">
        <f t="shared" si="349"/>
        <v>0.92891268038664632</v>
      </c>
      <c r="G2814" s="14">
        <f t="shared" si="350"/>
        <v>0</v>
      </c>
      <c r="H2814" s="24">
        <f t="shared" si="356"/>
        <v>650</v>
      </c>
      <c r="I2814" s="12">
        <f t="shared" si="355"/>
        <v>0.20031260431012163</v>
      </c>
      <c r="J2814" s="3"/>
    </row>
    <row r="2815" spans="2:10" x14ac:dyDescent="0.25">
      <c r="B2815" s="3">
        <f t="shared" si="351"/>
        <v>13975</v>
      </c>
      <c r="C2815" s="14">
        <f t="shared" si="352"/>
        <v>232.91666666666666</v>
      </c>
      <c r="D2815" s="11">
        <f t="shared" si="353"/>
        <v>1148.3306297899619</v>
      </c>
      <c r="E2815" s="24">
        <f t="shared" si="354"/>
        <v>902.17296376575337</v>
      </c>
      <c r="F2815" s="38">
        <f t="shared" si="349"/>
        <v>0.92891268038664632</v>
      </c>
      <c r="G2815" s="14">
        <f t="shared" si="350"/>
        <v>0</v>
      </c>
      <c r="H2815" s="24">
        <f t="shared" si="356"/>
        <v>650</v>
      </c>
      <c r="I2815" s="12">
        <f t="shared" si="355"/>
        <v>0.20019203487603543</v>
      </c>
      <c r="J2815" s="3"/>
    </row>
    <row r="2816" spans="2:10" x14ac:dyDescent="0.25">
      <c r="B2816" s="3">
        <f t="shared" si="351"/>
        <v>13980</v>
      </c>
      <c r="C2816" s="14">
        <f t="shared" si="352"/>
        <v>233</v>
      </c>
      <c r="D2816" s="11">
        <f t="shared" si="353"/>
        <v>1148.3841984699236</v>
      </c>
      <c r="E2816" s="24">
        <f t="shared" si="354"/>
        <v>902.37315580062943</v>
      </c>
      <c r="F2816" s="38">
        <f t="shared" si="349"/>
        <v>0.92891268038664632</v>
      </c>
      <c r="G2816" s="14">
        <f t="shared" si="350"/>
        <v>0</v>
      </c>
      <c r="H2816" s="24">
        <f t="shared" si="356"/>
        <v>650</v>
      </c>
      <c r="I2816" s="12">
        <f t="shared" si="355"/>
        <v>0.20007154873017324</v>
      </c>
      <c r="J2816" s="3"/>
    </row>
    <row r="2817" spans="2:10" x14ac:dyDescent="0.25">
      <c r="B2817" s="3">
        <f t="shared" si="351"/>
        <v>13985</v>
      </c>
      <c r="C2817" s="14">
        <f t="shared" si="352"/>
        <v>233.08333333333334</v>
      </c>
      <c r="D2817" s="11">
        <f t="shared" si="353"/>
        <v>1148.4377480045382</v>
      </c>
      <c r="E2817" s="24">
        <f t="shared" si="354"/>
        <v>902.57322734935963</v>
      </c>
      <c r="F2817" s="38">
        <f t="shared" si="349"/>
        <v>0.92891268038664632</v>
      </c>
      <c r="G2817" s="14">
        <f t="shared" si="350"/>
        <v>0</v>
      </c>
      <c r="H2817" s="24">
        <f t="shared" si="356"/>
        <v>650</v>
      </c>
      <c r="I2817" s="12">
        <f t="shared" si="355"/>
        <v>0.19995114581596701</v>
      </c>
      <c r="J2817" s="3"/>
    </row>
    <row r="2818" spans="2:10" x14ac:dyDescent="0.25">
      <c r="B2818" s="3">
        <f t="shared" si="351"/>
        <v>13990</v>
      </c>
      <c r="C2818" s="14">
        <f t="shared" si="352"/>
        <v>233.16666666666666</v>
      </c>
      <c r="D2818" s="11">
        <f t="shared" si="353"/>
        <v>1148.4912784074859</v>
      </c>
      <c r="E2818" s="24">
        <f t="shared" si="354"/>
        <v>902.77317849517556</v>
      </c>
      <c r="F2818" s="38">
        <f t="shared" si="349"/>
        <v>0.92891268038664632</v>
      </c>
      <c r="G2818" s="14">
        <f t="shared" si="350"/>
        <v>0</v>
      </c>
      <c r="H2818" s="24">
        <f t="shared" si="356"/>
        <v>650</v>
      </c>
      <c r="I2818" s="12">
        <f t="shared" si="355"/>
        <v>0.19983082607677327</v>
      </c>
      <c r="J2818" s="3"/>
    </row>
    <row r="2819" spans="2:10" x14ac:dyDescent="0.25">
      <c r="B2819" s="3">
        <f t="shared" si="351"/>
        <v>13995</v>
      </c>
      <c r="C2819" s="14">
        <f t="shared" si="352"/>
        <v>233.25</v>
      </c>
      <c r="D2819" s="11">
        <f t="shared" si="353"/>
        <v>1148.5447896924318</v>
      </c>
      <c r="E2819" s="24">
        <f t="shared" si="354"/>
        <v>902.97300932125233</v>
      </c>
      <c r="F2819" s="38">
        <f t="shared" si="349"/>
        <v>0.92891268038664632</v>
      </c>
      <c r="G2819" s="14">
        <f t="shared" si="350"/>
        <v>0</v>
      </c>
      <c r="H2819" s="24">
        <f t="shared" si="356"/>
        <v>650</v>
      </c>
      <c r="I2819" s="12">
        <f t="shared" si="355"/>
        <v>0.19971058945604964</v>
      </c>
      <c r="J2819" s="3"/>
    </row>
    <row r="2820" spans="2:10" x14ac:dyDescent="0.25">
      <c r="B2820" s="3">
        <f t="shared" si="351"/>
        <v>14000</v>
      </c>
      <c r="C2820" s="14">
        <f t="shared" si="352"/>
        <v>233.33333333333334</v>
      </c>
      <c r="D2820" s="11">
        <f t="shared" si="353"/>
        <v>1148.5982818730274</v>
      </c>
      <c r="E2820" s="24">
        <f t="shared" si="354"/>
        <v>903.17271991070834</v>
      </c>
      <c r="F2820" s="38">
        <f t="shared" si="349"/>
        <v>0.92891268038664632</v>
      </c>
      <c r="G2820" s="14">
        <f t="shared" si="350"/>
        <v>0</v>
      </c>
      <c r="H2820" s="24">
        <f t="shared" si="356"/>
        <v>650</v>
      </c>
      <c r="I2820" s="12">
        <f t="shared" si="355"/>
        <v>0.19959043589715694</v>
      </c>
      <c r="J2820" s="3"/>
    </row>
    <row r="2821" spans="2:10" x14ac:dyDescent="0.25">
      <c r="B2821" s="3">
        <f t="shared" si="351"/>
        <v>14005</v>
      </c>
      <c r="C2821" s="14">
        <f t="shared" si="352"/>
        <v>233.41666666666666</v>
      </c>
      <c r="D2821" s="11">
        <f t="shared" si="353"/>
        <v>1148.6517549629086</v>
      </c>
      <c r="E2821" s="24">
        <f t="shared" si="354"/>
        <v>903.37231034660545</v>
      </c>
      <c r="F2821" s="38">
        <f t="shared" si="349"/>
        <v>0.92891268038664632</v>
      </c>
      <c r="G2821" s="14">
        <f t="shared" si="350"/>
        <v>0</v>
      </c>
      <c r="H2821" s="24">
        <f t="shared" si="356"/>
        <v>650</v>
      </c>
      <c r="I2821" s="12">
        <f t="shared" si="355"/>
        <v>0.19947036534368914</v>
      </c>
      <c r="J2821" s="3"/>
    </row>
    <row r="2822" spans="2:10" x14ac:dyDescent="0.25">
      <c r="B2822" s="3">
        <f t="shared" si="351"/>
        <v>14010</v>
      </c>
      <c r="C2822" s="14">
        <f t="shared" si="352"/>
        <v>233.5</v>
      </c>
      <c r="D2822" s="11">
        <f t="shared" si="353"/>
        <v>1148.7052089756969</v>
      </c>
      <c r="E2822" s="24">
        <f t="shared" si="354"/>
        <v>903.57178071194915</v>
      </c>
      <c r="F2822" s="38">
        <f t="shared" si="349"/>
        <v>0.92891268038664632</v>
      </c>
      <c r="G2822" s="14">
        <f t="shared" si="350"/>
        <v>0</v>
      </c>
      <c r="H2822" s="24">
        <f t="shared" si="356"/>
        <v>650</v>
      </c>
      <c r="I2822" s="12">
        <f t="shared" si="355"/>
        <v>0.19935037773914252</v>
      </c>
      <c r="J2822" s="3"/>
    </row>
    <row r="2823" spans="2:10" x14ac:dyDescent="0.25">
      <c r="B2823" s="3">
        <f t="shared" si="351"/>
        <v>14015</v>
      </c>
      <c r="C2823" s="14">
        <f t="shared" si="352"/>
        <v>233.58333333333334</v>
      </c>
      <c r="D2823" s="11">
        <f t="shared" si="353"/>
        <v>1148.7586439249997</v>
      </c>
      <c r="E2823" s="24">
        <f t="shared" si="354"/>
        <v>903.77113108968831</v>
      </c>
      <c r="F2823" s="38">
        <f t="shared" si="349"/>
        <v>0.92891268038664632</v>
      </c>
      <c r="G2823" s="14">
        <f t="shared" si="350"/>
        <v>0</v>
      </c>
      <c r="H2823" s="24">
        <f t="shared" si="356"/>
        <v>650</v>
      </c>
      <c r="I2823" s="12">
        <f t="shared" si="355"/>
        <v>0.19923047302702676</v>
      </c>
      <c r="J2823" s="3"/>
    </row>
    <row r="2824" spans="2:10" x14ac:dyDescent="0.25">
      <c r="B2824" s="3">
        <f t="shared" si="351"/>
        <v>14020</v>
      </c>
      <c r="C2824" s="14">
        <f t="shared" si="352"/>
        <v>233.66666666666666</v>
      </c>
      <c r="D2824" s="11">
        <f t="shared" si="353"/>
        <v>1148.8120598244091</v>
      </c>
      <c r="E2824" s="24">
        <f t="shared" si="354"/>
        <v>903.97036156271531</v>
      </c>
      <c r="F2824" s="38">
        <f t="shared" si="349"/>
        <v>0.92891268038664632</v>
      </c>
      <c r="G2824" s="14">
        <f t="shared" si="350"/>
        <v>0</v>
      </c>
      <c r="H2824" s="24">
        <f t="shared" si="356"/>
        <v>650</v>
      </c>
      <c r="I2824" s="12">
        <f t="shared" si="355"/>
        <v>0.19911065115099669</v>
      </c>
      <c r="J2824" s="3"/>
    </row>
    <row r="2825" spans="2:10" x14ac:dyDescent="0.25">
      <c r="B2825" s="3">
        <f t="shared" si="351"/>
        <v>14025</v>
      </c>
      <c r="C2825" s="14">
        <f t="shared" si="352"/>
        <v>233.75</v>
      </c>
      <c r="D2825" s="11">
        <f t="shared" si="353"/>
        <v>1148.8654566875032</v>
      </c>
      <c r="E2825" s="24">
        <f t="shared" si="354"/>
        <v>904.16947221386636</v>
      </c>
      <c r="F2825" s="38">
        <f t="shared" si="349"/>
        <v>0.92891268038664632</v>
      </c>
      <c r="G2825" s="14">
        <f t="shared" si="350"/>
        <v>0</v>
      </c>
      <c r="H2825" s="24">
        <f t="shared" si="356"/>
        <v>650</v>
      </c>
      <c r="I2825" s="12">
        <f t="shared" si="355"/>
        <v>0.1989909120546314</v>
      </c>
      <c r="J2825" s="3"/>
    </row>
    <row r="2826" spans="2:10" x14ac:dyDescent="0.25">
      <c r="B2826" s="3">
        <f t="shared" si="351"/>
        <v>14030</v>
      </c>
      <c r="C2826" s="14">
        <f t="shared" si="352"/>
        <v>233.83333333333334</v>
      </c>
      <c r="D2826" s="11">
        <f t="shared" si="353"/>
        <v>1148.9188345278458</v>
      </c>
      <c r="E2826" s="24">
        <f t="shared" si="354"/>
        <v>904.36846312592104</v>
      </c>
      <c r="F2826" s="38">
        <f t="shared" si="349"/>
        <v>0.92891268038664632</v>
      </c>
      <c r="G2826" s="14">
        <f t="shared" si="350"/>
        <v>0</v>
      </c>
      <c r="H2826" s="24">
        <f t="shared" si="356"/>
        <v>650</v>
      </c>
      <c r="I2826" s="12">
        <f t="shared" si="355"/>
        <v>0.19887125568156758</v>
      </c>
      <c r="J2826" s="3"/>
    </row>
    <row r="2827" spans="2:10" x14ac:dyDescent="0.25">
      <c r="B2827" s="3">
        <f t="shared" si="351"/>
        <v>14035</v>
      </c>
      <c r="C2827" s="14">
        <f t="shared" si="352"/>
        <v>233.91666666666666</v>
      </c>
      <c r="D2827" s="11">
        <f t="shared" si="353"/>
        <v>1148.9721933589854</v>
      </c>
      <c r="E2827" s="24">
        <f t="shared" si="354"/>
        <v>904.56733438160256</v>
      </c>
      <c r="F2827" s="38">
        <f t="shared" si="349"/>
        <v>0.92891268038664632</v>
      </c>
      <c r="G2827" s="14">
        <f t="shared" si="350"/>
        <v>0</v>
      </c>
      <c r="H2827" s="24">
        <f t="shared" si="356"/>
        <v>650</v>
      </c>
      <c r="I2827" s="12">
        <f t="shared" si="355"/>
        <v>0.19875168197556475</v>
      </c>
      <c r="J2827" s="3"/>
    </row>
    <row r="2828" spans="2:10" x14ac:dyDescent="0.25">
      <c r="B2828" s="3">
        <f t="shared" si="351"/>
        <v>14040</v>
      </c>
      <c r="C2828" s="14">
        <f t="shared" si="352"/>
        <v>234</v>
      </c>
      <c r="D2828" s="11">
        <f t="shared" si="353"/>
        <v>1149.0255331944568</v>
      </c>
      <c r="E2828" s="24">
        <f t="shared" si="354"/>
        <v>904.76608606357809</v>
      </c>
      <c r="F2828" s="38">
        <f t="shared" si="349"/>
        <v>0.92891268038664632</v>
      </c>
      <c r="G2828" s="14">
        <f t="shared" si="350"/>
        <v>0</v>
      </c>
      <c r="H2828" s="24">
        <f t="shared" si="356"/>
        <v>650</v>
      </c>
      <c r="I2828" s="12">
        <f t="shared" si="355"/>
        <v>0.19863219088026277</v>
      </c>
      <c r="J2828" s="3"/>
    </row>
    <row r="2829" spans="2:10" x14ac:dyDescent="0.25">
      <c r="B2829" s="3">
        <f t="shared" si="351"/>
        <v>14045</v>
      </c>
      <c r="C2829" s="14">
        <f t="shared" si="352"/>
        <v>234.08333333333334</v>
      </c>
      <c r="D2829" s="11">
        <f t="shared" si="353"/>
        <v>1149.0788540477799</v>
      </c>
      <c r="E2829" s="24">
        <f t="shared" si="354"/>
        <v>904.96471825445838</v>
      </c>
      <c r="F2829" s="38">
        <f t="shared" si="349"/>
        <v>0.92891268038664632</v>
      </c>
      <c r="G2829" s="14">
        <f t="shared" si="350"/>
        <v>0</v>
      </c>
      <c r="H2829" s="24">
        <f t="shared" si="356"/>
        <v>650</v>
      </c>
      <c r="I2829" s="12">
        <f t="shared" si="355"/>
        <v>0.19851278233946901</v>
      </c>
      <c r="J2829" s="3"/>
    </row>
    <row r="2830" spans="2:10" x14ac:dyDescent="0.25">
      <c r="B2830" s="3">
        <f t="shared" si="351"/>
        <v>14050</v>
      </c>
      <c r="C2830" s="14">
        <f t="shared" si="352"/>
        <v>234.16666666666666</v>
      </c>
      <c r="D2830" s="11">
        <f t="shared" si="353"/>
        <v>1149.1321559324604</v>
      </c>
      <c r="E2830" s="24">
        <f t="shared" si="354"/>
        <v>905.16323103679781</v>
      </c>
      <c r="F2830" s="38">
        <f t="shared" si="349"/>
        <v>0.92891268038664632</v>
      </c>
      <c r="G2830" s="14">
        <f t="shared" si="350"/>
        <v>0</v>
      </c>
      <c r="H2830" s="24">
        <f t="shared" si="356"/>
        <v>650</v>
      </c>
      <c r="I2830" s="12">
        <f t="shared" si="355"/>
        <v>0.19839345629695943</v>
      </c>
      <c r="J2830" s="3"/>
    </row>
    <row r="2831" spans="2:10" x14ac:dyDescent="0.25">
      <c r="B2831" s="3">
        <f t="shared" si="351"/>
        <v>14055</v>
      </c>
      <c r="C2831" s="14">
        <f t="shared" si="352"/>
        <v>234.25</v>
      </c>
      <c r="D2831" s="11">
        <f t="shared" si="353"/>
        <v>1149.1854388619893</v>
      </c>
      <c r="E2831" s="24">
        <f t="shared" si="354"/>
        <v>905.36162449309472</v>
      </c>
      <c r="F2831" s="38">
        <f t="shared" si="349"/>
        <v>0.92891268038664632</v>
      </c>
      <c r="G2831" s="14">
        <f t="shared" si="350"/>
        <v>0</v>
      </c>
      <c r="H2831" s="24">
        <f t="shared" si="356"/>
        <v>650</v>
      </c>
      <c r="I2831" s="12">
        <f t="shared" si="355"/>
        <v>0.1982742126965448</v>
      </c>
      <c r="J2831" s="3"/>
    </row>
    <row r="2832" spans="2:10" x14ac:dyDescent="0.25">
      <c r="B2832" s="3">
        <f t="shared" si="351"/>
        <v>14060</v>
      </c>
      <c r="C2832" s="14">
        <f t="shared" si="352"/>
        <v>234.33333333333334</v>
      </c>
      <c r="D2832" s="11">
        <f t="shared" si="353"/>
        <v>1149.2387028498438</v>
      </c>
      <c r="E2832" s="24">
        <f t="shared" si="354"/>
        <v>905.55989870579128</v>
      </c>
      <c r="F2832" s="38">
        <f t="shared" si="349"/>
        <v>0.92891268038664632</v>
      </c>
      <c r="G2832" s="14">
        <f t="shared" si="350"/>
        <v>0</v>
      </c>
      <c r="H2832" s="24">
        <f t="shared" si="356"/>
        <v>650</v>
      </c>
      <c r="I2832" s="12">
        <f t="shared" si="355"/>
        <v>0.19815505148204893</v>
      </c>
      <c r="J2832" s="3"/>
    </row>
    <row r="2833" spans="2:10" x14ac:dyDescent="0.25">
      <c r="B2833" s="3">
        <f t="shared" si="351"/>
        <v>14065</v>
      </c>
      <c r="C2833" s="14">
        <f t="shared" si="352"/>
        <v>234.41666666666666</v>
      </c>
      <c r="D2833" s="11">
        <f t="shared" si="353"/>
        <v>1149.291947909486</v>
      </c>
      <c r="E2833" s="24">
        <f t="shared" si="354"/>
        <v>905.75805375727339</v>
      </c>
      <c r="F2833" s="38">
        <f t="shared" si="349"/>
        <v>0.92891268038664632</v>
      </c>
      <c r="G2833" s="14">
        <f t="shared" si="350"/>
        <v>0</v>
      </c>
      <c r="H2833" s="24">
        <f t="shared" si="356"/>
        <v>650</v>
      </c>
      <c r="I2833" s="12">
        <f t="shared" si="355"/>
        <v>0.19803597259741848</v>
      </c>
      <c r="J2833" s="3"/>
    </row>
    <row r="2834" spans="2:10" x14ac:dyDescent="0.25">
      <c r="B2834" s="3">
        <f t="shared" si="351"/>
        <v>14070</v>
      </c>
      <c r="C2834" s="14">
        <f t="shared" si="352"/>
        <v>234.5</v>
      </c>
      <c r="D2834" s="11">
        <f t="shared" si="353"/>
        <v>1149.3451740543644</v>
      </c>
      <c r="E2834" s="24">
        <f t="shared" si="354"/>
        <v>905.95608972987077</v>
      </c>
      <c r="F2834" s="38">
        <f t="shared" si="349"/>
        <v>0.92891268038664632</v>
      </c>
      <c r="G2834" s="14">
        <f t="shared" si="350"/>
        <v>0</v>
      </c>
      <c r="H2834" s="24">
        <f t="shared" si="356"/>
        <v>650</v>
      </c>
      <c r="I2834" s="12">
        <f t="shared" si="355"/>
        <v>0.19791697598650299</v>
      </c>
      <c r="J2834" s="3"/>
    </row>
    <row r="2835" spans="2:10" x14ac:dyDescent="0.25">
      <c r="B2835" s="3">
        <f t="shared" si="351"/>
        <v>14075</v>
      </c>
      <c r="C2835" s="14">
        <f t="shared" si="352"/>
        <v>234.58333333333334</v>
      </c>
      <c r="D2835" s="11">
        <f t="shared" si="353"/>
        <v>1149.3983812979125</v>
      </c>
      <c r="E2835" s="24">
        <f t="shared" si="354"/>
        <v>906.15400670585723</v>
      </c>
      <c r="F2835" s="38">
        <f t="shared" si="349"/>
        <v>0.92891268038664632</v>
      </c>
      <c r="G2835" s="14">
        <f t="shared" si="350"/>
        <v>0</v>
      </c>
      <c r="H2835" s="24">
        <f t="shared" si="356"/>
        <v>650</v>
      </c>
      <c r="I2835" s="12">
        <f t="shared" si="355"/>
        <v>0.19779806159331867</v>
      </c>
      <c r="J2835" s="3"/>
    </row>
    <row r="2836" spans="2:10" x14ac:dyDescent="0.25">
      <c r="B2836" s="3">
        <f t="shared" si="351"/>
        <v>14080</v>
      </c>
      <c r="C2836" s="14">
        <f t="shared" si="352"/>
        <v>234.66666666666666</v>
      </c>
      <c r="D2836" s="11">
        <f t="shared" si="353"/>
        <v>1149.4515696535495</v>
      </c>
      <c r="E2836" s="24">
        <f t="shared" si="354"/>
        <v>906.35180476745052</v>
      </c>
      <c r="F2836" s="38">
        <f t="shared" ref="F2836:F2899" si="357">Cp*RhoP/(RhoA*H2836)*dp/1000*MassivP</f>
        <v>0.92891268038664632</v>
      </c>
      <c r="G2836" s="14">
        <f t="shared" ref="G2836:G2899" si="358">Phi*EpsilonF*Botzman/10^8*J2836*((D2836+273)^4-(E2836+273)^4)</f>
        <v>0</v>
      </c>
      <c r="H2836" s="24">
        <f t="shared" si="356"/>
        <v>650</v>
      </c>
      <c r="I2836" s="12">
        <f t="shared" si="355"/>
        <v>0.19767922936182852</v>
      </c>
      <c r="J2836" s="3"/>
    </row>
    <row r="2837" spans="2:10" x14ac:dyDescent="0.25">
      <c r="B2837" s="3">
        <f t="shared" ref="B2837:B2900" si="359">B2836+DeltaT</f>
        <v>14085</v>
      </c>
      <c r="C2837" s="14">
        <f t="shared" ref="C2837:C2900" si="360">B2837/60</f>
        <v>234.75</v>
      </c>
      <c r="D2837" s="11">
        <f t="shared" ref="D2837:D2900" si="361">20+345*LOG(8*C2837+1,10)</f>
        <v>1149.5047391346811</v>
      </c>
      <c r="E2837" s="24">
        <f t="shared" ref="E2837:E2900" si="362">E2836+IF(Limit=Oui,MAX(0,I2836),I2836)</f>
        <v>906.54948399681234</v>
      </c>
      <c r="F2837" s="38">
        <f t="shared" si="357"/>
        <v>0.92891268038664632</v>
      </c>
      <c r="G2837" s="14">
        <f t="shared" si="358"/>
        <v>0</v>
      </c>
      <c r="H2837" s="24">
        <f t="shared" si="356"/>
        <v>650</v>
      </c>
      <c r="I2837" s="12">
        <f t="shared" ref="I2837:I2900" si="363">LambdaP*MassivP/(dp/1000)/(H2837*RhoA)/(1+F2837/3)*(D2837-E2837)*DeltaT-(EXP(F2837/10)-1)*(D2837-D2836)</f>
        <v>0.19756047923600834</v>
      </c>
      <c r="J2837" s="3"/>
    </row>
    <row r="2838" spans="2:10" x14ac:dyDescent="0.25">
      <c r="B2838" s="3">
        <f t="shared" si="359"/>
        <v>14090</v>
      </c>
      <c r="C2838" s="14">
        <f t="shared" si="360"/>
        <v>234.83333333333334</v>
      </c>
      <c r="D2838" s="11">
        <f t="shared" si="361"/>
        <v>1149.5578897546982</v>
      </c>
      <c r="E2838" s="24">
        <f t="shared" si="362"/>
        <v>906.74704447604836</v>
      </c>
      <c r="F2838" s="38">
        <f t="shared" si="357"/>
        <v>0.92891268038664632</v>
      </c>
      <c r="G2838" s="14">
        <f t="shared" si="358"/>
        <v>0</v>
      </c>
      <c r="H2838" s="24">
        <f t="shared" si="356"/>
        <v>650</v>
      </c>
      <c r="I2838" s="12">
        <f t="shared" si="363"/>
        <v>0.19744181115993512</v>
      </c>
      <c r="J2838" s="3"/>
    </row>
    <row r="2839" spans="2:10" x14ac:dyDescent="0.25">
      <c r="B2839" s="3">
        <f t="shared" si="359"/>
        <v>14095</v>
      </c>
      <c r="C2839" s="14">
        <f t="shared" si="360"/>
        <v>234.91666666666666</v>
      </c>
      <c r="D2839" s="11">
        <f t="shared" si="361"/>
        <v>1149.6110215269771</v>
      </c>
      <c r="E2839" s="24">
        <f t="shared" si="362"/>
        <v>906.94448628720829</v>
      </c>
      <c r="F2839" s="38">
        <f t="shared" si="357"/>
        <v>0.92891268038664632</v>
      </c>
      <c r="G2839" s="14">
        <f t="shared" si="358"/>
        <v>0</v>
      </c>
      <c r="H2839" s="24">
        <f t="shared" si="356"/>
        <v>650</v>
      </c>
      <c r="I2839" s="12">
        <f t="shared" si="363"/>
        <v>0.19732322507772024</v>
      </c>
      <c r="J2839" s="3"/>
    </row>
    <row r="2840" spans="2:10" x14ac:dyDescent="0.25">
      <c r="B2840" s="3">
        <f t="shared" si="359"/>
        <v>14100</v>
      </c>
      <c r="C2840" s="14">
        <f t="shared" si="360"/>
        <v>235</v>
      </c>
      <c r="D2840" s="11">
        <f t="shared" si="361"/>
        <v>1149.6641344648806</v>
      </c>
      <c r="E2840" s="24">
        <f t="shared" si="362"/>
        <v>907.14180951228604</v>
      </c>
      <c r="F2840" s="38">
        <f t="shared" si="357"/>
        <v>0.92891268038664632</v>
      </c>
      <c r="G2840" s="14">
        <f t="shared" si="358"/>
        <v>0</v>
      </c>
      <c r="H2840" s="24">
        <f t="shared" si="356"/>
        <v>650</v>
      </c>
      <c r="I2840" s="12">
        <f t="shared" si="363"/>
        <v>0.1972047209334219</v>
      </c>
      <c r="J2840" s="3"/>
    </row>
    <row r="2841" spans="2:10" x14ac:dyDescent="0.25">
      <c r="B2841" s="3">
        <f t="shared" si="359"/>
        <v>14105</v>
      </c>
      <c r="C2841" s="14">
        <f t="shared" si="360"/>
        <v>235.08333333333334</v>
      </c>
      <c r="D2841" s="11">
        <f t="shared" si="361"/>
        <v>1149.7172285817569</v>
      </c>
      <c r="E2841" s="24">
        <f t="shared" si="362"/>
        <v>907.33901423321947</v>
      </c>
      <c r="F2841" s="38">
        <f t="shared" si="357"/>
        <v>0.92891268038664632</v>
      </c>
      <c r="G2841" s="14">
        <f t="shared" si="358"/>
        <v>0</v>
      </c>
      <c r="H2841" s="24">
        <f t="shared" si="356"/>
        <v>650</v>
      </c>
      <c r="I2841" s="12">
        <f t="shared" si="363"/>
        <v>0.19708629867122135</v>
      </c>
      <c r="J2841" s="3"/>
    </row>
    <row r="2842" spans="2:10" x14ac:dyDescent="0.25">
      <c r="B2842" s="3">
        <f t="shared" si="359"/>
        <v>14110</v>
      </c>
      <c r="C2842" s="14">
        <f t="shared" si="360"/>
        <v>235.16666666666666</v>
      </c>
      <c r="D2842" s="11">
        <f t="shared" si="361"/>
        <v>1149.7703038909397</v>
      </c>
      <c r="E2842" s="24">
        <f t="shared" si="362"/>
        <v>907.53610053189072</v>
      </c>
      <c r="F2842" s="38">
        <f t="shared" si="357"/>
        <v>0.92891268038664632</v>
      </c>
      <c r="G2842" s="14">
        <f t="shared" si="358"/>
        <v>0</v>
      </c>
      <c r="H2842" s="24">
        <f t="shared" si="356"/>
        <v>650</v>
      </c>
      <c r="I2842" s="12">
        <f t="shared" si="363"/>
        <v>0.19696795823533422</v>
      </c>
      <c r="J2842" s="3"/>
    </row>
    <row r="2843" spans="2:10" x14ac:dyDescent="0.25">
      <c r="B2843" s="3">
        <f t="shared" si="359"/>
        <v>14115</v>
      </c>
      <c r="C2843" s="14">
        <f t="shared" si="360"/>
        <v>235.25</v>
      </c>
      <c r="D2843" s="11">
        <f t="shared" si="361"/>
        <v>1149.8233604057493</v>
      </c>
      <c r="E2843" s="24">
        <f t="shared" si="362"/>
        <v>907.73306849012602</v>
      </c>
      <c r="F2843" s="38">
        <f t="shared" si="357"/>
        <v>0.92891268038664632</v>
      </c>
      <c r="G2843" s="14">
        <f t="shared" si="358"/>
        <v>0</v>
      </c>
      <c r="H2843" s="24">
        <f t="shared" si="356"/>
        <v>650</v>
      </c>
      <c r="I2843" s="12">
        <f t="shared" si="363"/>
        <v>0.19684969956987902</v>
      </c>
      <c r="J2843" s="3"/>
    </row>
    <row r="2844" spans="2:10" x14ac:dyDescent="0.25">
      <c r="B2844" s="3">
        <f t="shared" si="359"/>
        <v>14120</v>
      </c>
      <c r="C2844" s="14">
        <f t="shared" si="360"/>
        <v>235.33333333333334</v>
      </c>
      <c r="D2844" s="11">
        <f t="shared" si="361"/>
        <v>1149.8763981394914</v>
      </c>
      <c r="E2844" s="24">
        <f t="shared" si="362"/>
        <v>907.92991818969585</v>
      </c>
      <c r="F2844" s="38">
        <f t="shared" si="357"/>
        <v>0.92891268038664632</v>
      </c>
      <c r="G2844" s="14">
        <f t="shared" si="358"/>
        <v>0</v>
      </c>
      <c r="H2844" s="24">
        <f t="shared" si="356"/>
        <v>650</v>
      </c>
      <c r="I2844" s="12">
        <f t="shared" si="363"/>
        <v>0.19673152261918528</v>
      </c>
      <c r="J2844" s="3"/>
    </row>
    <row r="2845" spans="2:10" x14ac:dyDescent="0.25">
      <c r="B2845" s="3">
        <f t="shared" si="359"/>
        <v>14125</v>
      </c>
      <c r="C2845" s="14">
        <f t="shared" si="360"/>
        <v>235.41666666666666</v>
      </c>
      <c r="D2845" s="11">
        <f t="shared" si="361"/>
        <v>1149.9294171054573</v>
      </c>
      <c r="E2845" s="24">
        <f t="shared" si="362"/>
        <v>908.12664971231504</v>
      </c>
      <c r="F2845" s="38">
        <f t="shared" si="357"/>
        <v>0.92891268038664632</v>
      </c>
      <c r="G2845" s="14">
        <f t="shared" si="358"/>
        <v>0</v>
      </c>
      <c r="H2845" s="24">
        <f t="shared" si="356"/>
        <v>650</v>
      </c>
      <c r="I2845" s="12">
        <f t="shared" si="363"/>
        <v>0.19661342732750678</v>
      </c>
      <c r="J2845" s="3"/>
    </row>
    <row r="2846" spans="2:10" x14ac:dyDescent="0.25">
      <c r="B2846" s="3">
        <f t="shared" si="359"/>
        <v>14130</v>
      </c>
      <c r="C2846" s="14">
        <f t="shared" si="360"/>
        <v>235.5</v>
      </c>
      <c r="D2846" s="11">
        <f t="shared" si="361"/>
        <v>1149.982417316925</v>
      </c>
      <c r="E2846" s="24">
        <f t="shared" si="362"/>
        <v>908.32326313964256</v>
      </c>
      <c r="F2846" s="38">
        <f t="shared" si="357"/>
        <v>0.92891268038664632</v>
      </c>
      <c r="G2846" s="14">
        <f t="shared" si="358"/>
        <v>0</v>
      </c>
      <c r="H2846" s="24">
        <f t="shared" si="356"/>
        <v>650</v>
      </c>
      <c r="I2846" s="12">
        <f t="shared" si="363"/>
        <v>0.19649541363913223</v>
      </c>
      <c r="J2846" s="3"/>
    </row>
    <row r="2847" spans="2:10" x14ac:dyDescent="0.25">
      <c r="B2847" s="3">
        <f t="shared" si="359"/>
        <v>14135</v>
      </c>
      <c r="C2847" s="14">
        <f t="shared" si="360"/>
        <v>235.58333333333334</v>
      </c>
      <c r="D2847" s="11">
        <f t="shared" si="361"/>
        <v>1150.0353987871576</v>
      </c>
      <c r="E2847" s="24">
        <f t="shared" si="362"/>
        <v>908.51975855328169</v>
      </c>
      <c r="F2847" s="38">
        <f t="shared" si="357"/>
        <v>0.92891268038664632</v>
      </c>
      <c r="G2847" s="14">
        <f t="shared" si="358"/>
        <v>0</v>
      </c>
      <c r="H2847" s="24">
        <f t="shared" si="356"/>
        <v>650</v>
      </c>
      <c r="I2847" s="12">
        <f t="shared" si="363"/>
        <v>0.19637748149842918</v>
      </c>
      <c r="J2847" s="3"/>
    </row>
    <row r="2848" spans="2:10" x14ac:dyDescent="0.25">
      <c r="B2848" s="3">
        <f t="shared" si="359"/>
        <v>14140</v>
      </c>
      <c r="C2848" s="14">
        <f t="shared" si="360"/>
        <v>235.66666666666666</v>
      </c>
      <c r="D2848" s="11">
        <f t="shared" si="361"/>
        <v>1150.0883615294044</v>
      </c>
      <c r="E2848" s="24">
        <f t="shared" si="362"/>
        <v>908.71613603478011</v>
      </c>
      <c r="F2848" s="38">
        <f t="shared" si="357"/>
        <v>0.92891268038664632</v>
      </c>
      <c r="G2848" s="14">
        <f t="shared" si="358"/>
        <v>0</v>
      </c>
      <c r="H2848" s="24">
        <f t="shared" si="356"/>
        <v>650</v>
      </c>
      <c r="I2848" s="12">
        <f t="shared" si="363"/>
        <v>0.19625963084979978</v>
      </c>
      <c r="J2848" s="3"/>
    </row>
    <row r="2849" spans="2:10" x14ac:dyDescent="0.25">
      <c r="B2849" s="3">
        <f t="shared" si="359"/>
        <v>14145</v>
      </c>
      <c r="C2849" s="14">
        <f t="shared" si="360"/>
        <v>235.75</v>
      </c>
      <c r="D2849" s="11">
        <f t="shared" si="361"/>
        <v>1150.1413055569012</v>
      </c>
      <c r="E2849" s="24">
        <f t="shared" si="362"/>
        <v>908.9123956656299</v>
      </c>
      <c r="F2849" s="38">
        <f t="shared" si="357"/>
        <v>0.92891268038664632</v>
      </c>
      <c r="G2849" s="14">
        <f t="shared" si="358"/>
        <v>0</v>
      </c>
      <c r="H2849" s="24">
        <f t="shared" si="356"/>
        <v>650</v>
      </c>
      <c r="I2849" s="12">
        <f t="shared" si="363"/>
        <v>0.19614186163757069</v>
      </c>
      <c r="J2849" s="3"/>
    </row>
    <row r="2850" spans="2:10" x14ac:dyDescent="0.25">
      <c r="B2850" s="3">
        <f t="shared" si="359"/>
        <v>14150</v>
      </c>
      <c r="C2850" s="14">
        <f t="shared" si="360"/>
        <v>235.83333333333334</v>
      </c>
      <c r="D2850" s="11">
        <f t="shared" si="361"/>
        <v>1150.1942308828689</v>
      </c>
      <c r="E2850" s="24">
        <f t="shared" si="362"/>
        <v>909.10853752726746</v>
      </c>
      <c r="F2850" s="38">
        <f t="shared" si="357"/>
        <v>0.92891268038664632</v>
      </c>
      <c r="G2850" s="14">
        <f t="shared" si="358"/>
        <v>0</v>
      </c>
      <c r="H2850" s="24">
        <f t="shared" si="356"/>
        <v>650</v>
      </c>
      <c r="I2850" s="12">
        <f t="shared" si="363"/>
        <v>0.19602417380627962</v>
      </c>
      <c r="J2850" s="3"/>
    </row>
    <row r="2851" spans="2:10" x14ac:dyDescent="0.25">
      <c r="B2851" s="3">
        <f t="shared" si="359"/>
        <v>14155</v>
      </c>
      <c r="C2851" s="14">
        <f t="shared" si="360"/>
        <v>235.91666666666666</v>
      </c>
      <c r="D2851" s="11">
        <f t="shared" si="361"/>
        <v>1150.247137520515</v>
      </c>
      <c r="E2851" s="24">
        <f t="shared" si="362"/>
        <v>909.30456170107379</v>
      </c>
      <c r="F2851" s="38">
        <f t="shared" si="357"/>
        <v>0.92891268038664632</v>
      </c>
      <c r="G2851" s="14">
        <f t="shared" si="358"/>
        <v>0</v>
      </c>
      <c r="H2851" s="24">
        <f t="shared" si="356"/>
        <v>650</v>
      </c>
      <c r="I2851" s="12">
        <f t="shared" si="363"/>
        <v>0.19590656730032247</v>
      </c>
      <c r="J2851" s="3"/>
    </row>
    <row r="2852" spans="2:10" x14ac:dyDescent="0.25">
      <c r="B2852" s="3">
        <f t="shared" si="359"/>
        <v>14160</v>
      </c>
      <c r="C2852" s="14">
        <f t="shared" si="360"/>
        <v>236</v>
      </c>
      <c r="D2852" s="11">
        <f t="shared" si="361"/>
        <v>1150.3000254830324</v>
      </c>
      <c r="E2852" s="24">
        <f t="shared" si="362"/>
        <v>909.50046826837411</v>
      </c>
      <c r="F2852" s="38">
        <f t="shared" si="357"/>
        <v>0.92891268038664632</v>
      </c>
      <c r="G2852" s="14">
        <f t="shared" si="358"/>
        <v>0</v>
      </c>
      <c r="H2852" s="24">
        <f t="shared" si="356"/>
        <v>650</v>
      </c>
      <c r="I2852" s="12">
        <f t="shared" si="363"/>
        <v>0.19578904206430633</v>
      </c>
      <c r="J2852" s="3"/>
    </row>
    <row r="2853" spans="2:10" x14ac:dyDescent="0.25">
      <c r="B2853" s="3">
        <f t="shared" si="359"/>
        <v>14165</v>
      </c>
      <c r="C2853" s="14">
        <f t="shared" si="360"/>
        <v>236.08333333333334</v>
      </c>
      <c r="D2853" s="11">
        <f t="shared" si="361"/>
        <v>1150.352894783601</v>
      </c>
      <c r="E2853" s="24">
        <f t="shared" si="362"/>
        <v>909.69625731043845</v>
      </c>
      <c r="F2853" s="38">
        <f t="shared" si="357"/>
        <v>0.92891268038664632</v>
      </c>
      <c r="G2853" s="14">
        <f t="shared" si="358"/>
        <v>0</v>
      </c>
      <c r="H2853" s="24">
        <f t="shared" si="356"/>
        <v>650</v>
      </c>
      <c r="I2853" s="12">
        <f t="shared" si="363"/>
        <v>0.19567159804265219</v>
      </c>
      <c r="J2853" s="3"/>
    </row>
    <row r="2854" spans="2:10" x14ac:dyDescent="0.25">
      <c r="B2854" s="3">
        <f t="shared" si="359"/>
        <v>14170</v>
      </c>
      <c r="C2854" s="14">
        <f t="shared" si="360"/>
        <v>236.16666666666666</v>
      </c>
      <c r="D2854" s="11">
        <f t="shared" si="361"/>
        <v>1150.4057454353858</v>
      </c>
      <c r="E2854" s="24">
        <f t="shared" si="362"/>
        <v>909.89192890848108</v>
      </c>
      <c r="F2854" s="38">
        <f t="shared" si="357"/>
        <v>0.92891268038664632</v>
      </c>
      <c r="G2854" s="14">
        <f t="shared" si="358"/>
        <v>0</v>
      </c>
      <c r="H2854" s="24">
        <f t="shared" si="356"/>
        <v>650</v>
      </c>
      <c r="I2854" s="12">
        <f t="shared" si="363"/>
        <v>0.19555423518001455</v>
      </c>
      <c r="J2854" s="3"/>
    </row>
    <row r="2855" spans="2:10" x14ac:dyDescent="0.25">
      <c r="B2855" s="3">
        <f t="shared" si="359"/>
        <v>14175</v>
      </c>
      <c r="C2855" s="14">
        <f t="shared" si="360"/>
        <v>236.25</v>
      </c>
      <c r="D2855" s="11">
        <f t="shared" si="361"/>
        <v>1150.4585774515385</v>
      </c>
      <c r="E2855" s="24">
        <f t="shared" si="362"/>
        <v>910.08748314366107</v>
      </c>
      <c r="F2855" s="38">
        <f t="shared" si="357"/>
        <v>0.92891268038664632</v>
      </c>
      <c r="G2855" s="14">
        <f t="shared" si="358"/>
        <v>0</v>
      </c>
      <c r="H2855" s="24">
        <f t="shared" si="356"/>
        <v>650</v>
      </c>
      <c r="I2855" s="12">
        <f t="shared" si="363"/>
        <v>0.19543695342097195</v>
      </c>
      <c r="J2855" s="3"/>
    </row>
    <row r="2856" spans="2:10" x14ac:dyDescent="0.25">
      <c r="B2856" s="3">
        <f t="shared" si="359"/>
        <v>14180</v>
      </c>
      <c r="C2856" s="14">
        <f t="shared" si="360"/>
        <v>236.33333333333334</v>
      </c>
      <c r="D2856" s="11">
        <f t="shared" si="361"/>
        <v>1150.5113908451967</v>
      </c>
      <c r="E2856" s="24">
        <f t="shared" si="362"/>
        <v>910.28292009708207</v>
      </c>
      <c r="F2856" s="38">
        <f t="shared" si="357"/>
        <v>0.92891268038664632</v>
      </c>
      <c r="G2856" s="14">
        <f t="shared" si="358"/>
        <v>0</v>
      </c>
      <c r="H2856" s="24">
        <f t="shared" si="356"/>
        <v>650</v>
      </c>
      <c r="I2856" s="12">
        <f t="shared" si="363"/>
        <v>0.19531975271015967</v>
      </c>
      <c r="J2856" s="3"/>
    </row>
    <row r="2857" spans="2:10" x14ac:dyDescent="0.25">
      <c r="B2857" s="3">
        <f t="shared" si="359"/>
        <v>14185</v>
      </c>
      <c r="C2857" s="14">
        <f t="shared" si="360"/>
        <v>236.41666666666666</v>
      </c>
      <c r="D2857" s="11">
        <f t="shared" si="361"/>
        <v>1150.5641856294837</v>
      </c>
      <c r="E2857" s="24">
        <f t="shared" si="362"/>
        <v>910.4782398497922</v>
      </c>
      <c r="F2857" s="38">
        <f t="shared" si="357"/>
        <v>0.92891268038664632</v>
      </c>
      <c r="G2857" s="14">
        <f t="shared" si="358"/>
        <v>0</v>
      </c>
      <c r="H2857" s="24">
        <f t="shared" si="356"/>
        <v>650</v>
      </c>
      <c r="I2857" s="12">
        <f t="shared" si="363"/>
        <v>0.1952026329922916</v>
      </c>
      <c r="J2857" s="3"/>
    </row>
    <row r="2858" spans="2:10" x14ac:dyDescent="0.25">
      <c r="B2858" s="3">
        <f t="shared" si="359"/>
        <v>14190</v>
      </c>
      <c r="C2858" s="14">
        <f t="shared" si="360"/>
        <v>236.5</v>
      </c>
      <c r="D2858" s="11">
        <f t="shared" si="361"/>
        <v>1150.6169618175097</v>
      </c>
      <c r="E2858" s="24">
        <f t="shared" si="362"/>
        <v>910.67344248278448</v>
      </c>
      <c r="F2858" s="38">
        <f t="shared" si="357"/>
        <v>0.92891268038664632</v>
      </c>
      <c r="G2858" s="14">
        <f t="shared" si="358"/>
        <v>0</v>
      </c>
      <c r="H2858" s="24">
        <f t="shared" si="356"/>
        <v>650</v>
      </c>
      <c r="I2858" s="12">
        <f t="shared" si="363"/>
        <v>0.19508559421200608</v>
      </c>
      <c r="J2858" s="3"/>
    </row>
    <row r="2859" spans="2:10" x14ac:dyDescent="0.25">
      <c r="B2859" s="3">
        <f t="shared" si="359"/>
        <v>14195</v>
      </c>
      <c r="C2859" s="14">
        <f t="shared" si="360"/>
        <v>236.58333333333334</v>
      </c>
      <c r="D2859" s="11">
        <f t="shared" si="361"/>
        <v>1150.6697194223705</v>
      </c>
      <c r="E2859" s="24">
        <f t="shared" si="362"/>
        <v>910.86852807699654</v>
      </c>
      <c r="F2859" s="38">
        <f t="shared" si="357"/>
        <v>0.92891268038664632</v>
      </c>
      <c r="G2859" s="14">
        <f t="shared" si="358"/>
        <v>0</v>
      </c>
      <c r="H2859" s="24">
        <f t="shared" si="356"/>
        <v>650</v>
      </c>
      <c r="I2859" s="12">
        <f t="shared" si="363"/>
        <v>0.19496863631408629</v>
      </c>
      <c r="J2859" s="3"/>
    </row>
    <row r="2860" spans="2:10" x14ac:dyDescent="0.25">
      <c r="B2860" s="3">
        <f t="shared" si="359"/>
        <v>14200</v>
      </c>
      <c r="C2860" s="14">
        <f t="shared" si="360"/>
        <v>236.66666666666666</v>
      </c>
      <c r="D2860" s="11">
        <f t="shared" si="361"/>
        <v>1150.7224584571484</v>
      </c>
      <c r="E2860" s="24">
        <f t="shared" si="362"/>
        <v>911.06349671331066</v>
      </c>
      <c r="F2860" s="38">
        <f t="shared" si="357"/>
        <v>0.92891268038664632</v>
      </c>
      <c r="G2860" s="14">
        <f t="shared" si="358"/>
        <v>0</v>
      </c>
      <c r="H2860" s="24">
        <f t="shared" si="356"/>
        <v>650</v>
      </c>
      <c r="I2860" s="12">
        <f t="shared" si="363"/>
        <v>0.19485175924326184</v>
      </c>
      <c r="J2860" s="3"/>
    </row>
    <row r="2861" spans="2:10" x14ac:dyDescent="0.25">
      <c r="B2861" s="3">
        <f t="shared" si="359"/>
        <v>14205</v>
      </c>
      <c r="C2861" s="14">
        <f t="shared" si="360"/>
        <v>236.75</v>
      </c>
      <c r="D2861" s="11">
        <f t="shared" si="361"/>
        <v>1150.7751789349113</v>
      </c>
      <c r="E2861" s="24">
        <f t="shared" si="362"/>
        <v>911.25834847255396</v>
      </c>
      <c r="F2861" s="38">
        <f t="shared" si="357"/>
        <v>0.92891268038664632</v>
      </c>
      <c r="G2861" s="14">
        <f t="shared" si="358"/>
        <v>0</v>
      </c>
      <c r="H2861" s="24">
        <f t="shared" si="356"/>
        <v>650</v>
      </c>
      <c r="I2861" s="12">
        <f t="shared" si="363"/>
        <v>0.19473496294440695</v>
      </c>
      <c r="J2861" s="3"/>
    </row>
    <row r="2862" spans="2:10" x14ac:dyDescent="0.25">
      <c r="B2862" s="3">
        <f t="shared" si="359"/>
        <v>14210</v>
      </c>
      <c r="C2862" s="14">
        <f t="shared" si="360"/>
        <v>236.83333333333334</v>
      </c>
      <c r="D2862" s="11">
        <f t="shared" si="361"/>
        <v>1150.8278808687141</v>
      </c>
      <c r="E2862" s="24">
        <f t="shared" si="362"/>
        <v>911.45308343549834</v>
      </c>
      <c r="F2862" s="38">
        <f t="shared" si="357"/>
        <v>0.92891268038664632</v>
      </c>
      <c r="G2862" s="14">
        <f t="shared" si="358"/>
        <v>0</v>
      </c>
      <c r="H2862" s="24">
        <f t="shared" si="356"/>
        <v>650</v>
      </c>
      <c r="I2862" s="12">
        <f t="shared" si="363"/>
        <v>0.19461824736227623</v>
      </c>
      <c r="J2862" s="3"/>
    </row>
    <row r="2863" spans="2:10" x14ac:dyDescent="0.25">
      <c r="B2863" s="3">
        <f t="shared" si="359"/>
        <v>14215</v>
      </c>
      <c r="C2863" s="14">
        <f t="shared" si="360"/>
        <v>236.91666666666666</v>
      </c>
      <c r="D2863" s="11">
        <f t="shared" si="361"/>
        <v>1150.8805642715974</v>
      </c>
      <c r="E2863" s="24">
        <f t="shared" si="362"/>
        <v>911.64770168286066</v>
      </c>
      <c r="F2863" s="38">
        <f t="shared" si="357"/>
        <v>0.92891268038664632</v>
      </c>
      <c r="G2863" s="14">
        <f t="shared" si="358"/>
        <v>0</v>
      </c>
      <c r="H2863" s="24">
        <f t="shared" si="356"/>
        <v>650</v>
      </c>
      <c r="I2863" s="12">
        <f t="shared" si="363"/>
        <v>0.19450161244179087</v>
      </c>
      <c r="J2863" s="3"/>
    </row>
    <row r="2864" spans="2:10" x14ac:dyDescent="0.25">
      <c r="B2864" s="3">
        <f t="shared" si="359"/>
        <v>14220</v>
      </c>
      <c r="C2864" s="14">
        <f t="shared" si="360"/>
        <v>237</v>
      </c>
      <c r="D2864" s="11">
        <f t="shared" si="361"/>
        <v>1150.9332291565886</v>
      </c>
      <c r="E2864" s="24">
        <f t="shared" si="362"/>
        <v>911.8422032953024</v>
      </c>
      <c r="F2864" s="38">
        <f t="shared" si="357"/>
        <v>0.92891268038664632</v>
      </c>
      <c r="G2864" s="14">
        <f t="shared" si="358"/>
        <v>0</v>
      </c>
      <c r="H2864" s="24">
        <f t="shared" si="356"/>
        <v>650</v>
      </c>
      <c r="I2864" s="12">
        <f t="shared" si="363"/>
        <v>0.19438505812779677</v>
      </c>
      <c r="J2864" s="3"/>
    </row>
    <row r="2865" spans="2:10" x14ac:dyDescent="0.25">
      <c r="B2865" s="3">
        <f t="shared" si="359"/>
        <v>14225</v>
      </c>
      <c r="C2865" s="14">
        <f t="shared" si="360"/>
        <v>237.08333333333334</v>
      </c>
      <c r="D2865" s="11">
        <f t="shared" si="361"/>
        <v>1150.9858755367002</v>
      </c>
      <c r="E2865" s="24">
        <f t="shared" si="362"/>
        <v>912.03658835343015</v>
      </c>
      <c r="F2865" s="38">
        <f t="shared" si="357"/>
        <v>0.92891268038664632</v>
      </c>
      <c r="G2865" s="14">
        <f t="shared" si="358"/>
        <v>0</v>
      </c>
      <c r="H2865" s="24">
        <f t="shared" si="356"/>
        <v>650</v>
      </c>
      <c r="I2865" s="12">
        <f t="shared" si="363"/>
        <v>0.19426858436532823</v>
      </c>
      <c r="J2865" s="3"/>
    </row>
    <row r="2866" spans="2:10" x14ac:dyDescent="0.25">
      <c r="B2866" s="3">
        <f t="shared" si="359"/>
        <v>14230</v>
      </c>
      <c r="C2866" s="14">
        <f t="shared" si="360"/>
        <v>237.16666666666666</v>
      </c>
      <c r="D2866" s="11">
        <f t="shared" si="361"/>
        <v>1151.0385034249325</v>
      </c>
      <c r="E2866" s="24">
        <f t="shared" si="362"/>
        <v>912.23085693779547</v>
      </c>
      <c r="F2866" s="38">
        <f t="shared" si="357"/>
        <v>0.92891268038664632</v>
      </c>
      <c r="G2866" s="14">
        <f t="shared" si="358"/>
        <v>0</v>
      </c>
      <c r="H2866" s="24">
        <f t="shared" si="356"/>
        <v>650</v>
      </c>
      <c r="I2866" s="12">
        <f t="shared" si="363"/>
        <v>0.19415219109921167</v>
      </c>
      <c r="J2866" s="3"/>
    </row>
    <row r="2867" spans="2:10" x14ac:dyDescent="0.25">
      <c r="B2867" s="3">
        <f t="shared" si="359"/>
        <v>14235</v>
      </c>
      <c r="C2867" s="14">
        <f t="shared" si="360"/>
        <v>237.25</v>
      </c>
      <c r="D2867" s="11">
        <f t="shared" si="361"/>
        <v>1151.0911128342709</v>
      </c>
      <c r="E2867" s="24">
        <f t="shared" si="362"/>
        <v>912.42500912889466</v>
      </c>
      <c r="F2867" s="38">
        <f t="shared" si="357"/>
        <v>0.92891268038664632</v>
      </c>
      <c r="G2867" s="14">
        <f t="shared" si="358"/>
        <v>0</v>
      </c>
      <c r="H2867" s="24">
        <f t="shared" si="356"/>
        <v>650</v>
      </c>
      <c r="I2867" s="12">
        <f t="shared" si="363"/>
        <v>0.19403587827457278</v>
      </c>
      <c r="J2867" s="3"/>
    </row>
    <row r="2868" spans="2:10" x14ac:dyDescent="0.25">
      <c r="B2868" s="3">
        <f t="shared" si="359"/>
        <v>14240</v>
      </c>
      <c r="C2868" s="14">
        <f t="shared" si="360"/>
        <v>237.33333333333334</v>
      </c>
      <c r="D2868" s="11">
        <f t="shared" si="361"/>
        <v>1151.143703777688</v>
      </c>
      <c r="E2868" s="24">
        <f t="shared" si="362"/>
        <v>912.61904500716923</v>
      </c>
      <c r="F2868" s="38">
        <f t="shared" si="357"/>
        <v>0.92891268038664632</v>
      </c>
      <c r="G2868" s="14">
        <f t="shared" si="358"/>
        <v>0</v>
      </c>
      <c r="H2868" s="24">
        <f t="shared" si="356"/>
        <v>650</v>
      </c>
      <c r="I2868" s="12">
        <f t="shared" si="363"/>
        <v>0.19391964583635091</v>
      </c>
      <c r="J2868" s="3"/>
    </row>
    <row r="2869" spans="2:10" x14ac:dyDescent="0.25">
      <c r="B2869" s="3">
        <f t="shared" si="359"/>
        <v>14245</v>
      </c>
      <c r="C2869" s="14">
        <f t="shared" si="360"/>
        <v>237.41666666666666</v>
      </c>
      <c r="D2869" s="11">
        <f t="shared" si="361"/>
        <v>1151.1962762681419</v>
      </c>
      <c r="E2869" s="24">
        <f t="shared" si="362"/>
        <v>912.81296465300557</v>
      </c>
      <c r="F2869" s="38">
        <f t="shared" si="357"/>
        <v>0.92891268038664632</v>
      </c>
      <c r="G2869" s="14">
        <f t="shared" si="358"/>
        <v>0</v>
      </c>
      <c r="H2869" s="24">
        <f t="shared" si="356"/>
        <v>650</v>
      </c>
      <c r="I2869" s="12">
        <f t="shared" si="363"/>
        <v>0.19380349372967451</v>
      </c>
      <c r="J2869" s="3"/>
    </row>
    <row r="2870" spans="2:10" x14ac:dyDescent="0.25">
      <c r="B2870" s="3">
        <f t="shared" si="359"/>
        <v>14250</v>
      </c>
      <c r="C2870" s="14">
        <f t="shared" si="360"/>
        <v>237.5</v>
      </c>
      <c r="D2870" s="11">
        <f t="shared" si="361"/>
        <v>1151.2488303185778</v>
      </c>
      <c r="E2870" s="24">
        <f t="shared" si="362"/>
        <v>913.00676814673523</v>
      </c>
      <c r="F2870" s="38">
        <f t="shared" si="357"/>
        <v>0.92891268038664632</v>
      </c>
      <c r="G2870" s="14">
        <f t="shared" si="358"/>
        <v>0</v>
      </c>
      <c r="H2870" s="24">
        <f t="shared" si="356"/>
        <v>650</v>
      </c>
      <c r="I2870" s="12">
        <f t="shared" si="363"/>
        <v>0.19368742189959604</v>
      </c>
      <c r="J2870" s="3"/>
    </row>
    <row r="2871" spans="2:10" x14ac:dyDescent="0.25">
      <c r="B2871" s="3">
        <f t="shared" si="359"/>
        <v>14255</v>
      </c>
      <c r="C2871" s="14">
        <f t="shared" si="360"/>
        <v>237.58333333333334</v>
      </c>
      <c r="D2871" s="11">
        <f t="shared" si="361"/>
        <v>1151.3013659419269</v>
      </c>
      <c r="E2871" s="24">
        <f t="shared" si="362"/>
        <v>913.20045556863477</v>
      </c>
      <c r="F2871" s="38">
        <f t="shared" si="357"/>
        <v>0.92891268038664632</v>
      </c>
      <c r="G2871" s="14">
        <f t="shared" si="358"/>
        <v>0</v>
      </c>
      <c r="H2871" s="24">
        <f t="shared" ref="H2871:H2934" si="364">IF(E2871&lt;600,425+0.773*E2871-1.69/1000*E2871^2+2.22/1000^2*E2871^3,IF(E2871&lt;735,666+13002/(738-E2871),IF(E2871&lt;900,545+17820/(E2871-731),650)))</f>
        <v>650</v>
      </c>
      <c r="I2871" s="12">
        <f t="shared" si="363"/>
        <v>0.19357143029126866</v>
      </c>
      <c r="J2871" s="3"/>
    </row>
    <row r="2872" spans="2:10" x14ac:dyDescent="0.25">
      <c r="B2872" s="3">
        <f t="shared" si="359"/>
        <v>14260</v>
      </c>
      <c r="C2872" s="14">
        <f t="shared" si="360"/>
        <v>237.66666666666666</v>
      </c>
      <c r="D2872" s="11">
        <f t="shared" si="361"/>
        <v>1151.3538831511071</v>
      </c>
      <c r="E2872" s="24">
        <f t="shared" si="362"/>
        <v>913.39402699892605</v>
      </c>
      <c r="F2872" s="38">
        <f t="shared" si="357"/>
        <v>0.92891268038664632</v>
      </c>
      <c r="G2872" s="14">
        <f t="shared" si="358"/>
        <v>0</v>
      </c>
      <c r="H2872" s="24">
        <f t="shared" si="364"/>
        <v>650</v>
      </c>
      <c r="I2872" s="12">
        <f t="shared" si="363"/>
        <v>0.19345551884981391</v>
      </c>
      <c r="J2872" s="3"/>
    </row>
    <row r="2873" spans="2:10" x14ac:dyDescent="0.25">
      <c r="B2873" s="3">
        <f t="shared" si="359"/>
        <v>14265</v>
      </c>
      <c r="C2873" s="14">
        <f t="shared" si="360"/>
        <v>237.75</v>
      </c>
      <c r="D2873" s="11">
        <f t="shared" si="361"/>
        <v>1151.4063819590219</v>
      </c>
      <c r="E2873" s="24">
        <f t="shared" si="362"/>
        <v>913.58748251777581</v>
      </c>
      <c r="F2873" s="38">
        <f t="shared" si="357"/>
        <v>0.92891268038664632</v>
      </c>
      <c r="G2873" s="14">
        <f t="shared" si="358"/>
        <v>0</v>
      </c>
      <c r="H2873" s="24">
        <f t="shared" si="364"/>
        <v>650</v>
      </c>
      <c r="I2873" s="12">
        <f t="shared" si="363"/>
        <v>0.19333968752051975</v>
      </c>
      <c r="J2873" s="3"/>
    </row>
    <row r="2874" spans="2:10" x14ac:dyDescent="0.25">
      <c r="B2874" s="3">
        <f t="shared" si="359"/>
        <v>14270</v>
      </c>
      <c r="C2874" s="14">
        <f t="shared" si="360"/>
        <v>237.83333333333334</v>
      </c>
      <c r="D2874" s="11">
        <f t="shared" si="361"/>
        <v>1151.4588623785626</v>
      </c>
      <c r="E2874" s="24">
        <f t="shared" si="362"/>
        <v>913.78082220529632</v>
      </c>
      <c r="F2874" s="38">
        <f t="shared" si="357"/>
        <v>0.92891268038664632</v>
      </c>
      <c r="G2874" s="14">
        <f t="shared" si="358"/>
        <v>0</v>
      </c>
      <c r="H2874" s="24">
        <f t="shared" si="364"/>
        <v>650</v>
      </c>
      <c r="I2874" s="12">
        <f t="shared" si="363"/>
        <v>0.19322393624848822</v>
      </c>
      <c r="J2874" s="3"/>
    </row>
    <row r="2875" spans="2:10" x14ac:dyDescent="0.25">
      <c r="B2875" s="3">
        <f t="shared" si="359"/>
        <v>14275</v>
      </c>
      <c r="C2875" s="14">
        <f t="shared" si="360"/>
        <v>237.91666666666666</v>
      </c>
      <c r="D2875" s="11">
        <f t="shared" si="361"/>
        <v>1151.5113244226059</v>
      </c>
      <c r="E2875" s="24">
        <f t="shared" si="362"/>
        <v>913.97404614154482</v>
      </c>
      <c r="F2875" s="38">
        <f t="shared" si="357"/>
        <v>0.92891268038664632</v>
      </c>
      <c r="G2875" s="14">
        <f t="shared" si="358"/>
        <v>0</v>
      </c>
      <c r="H2875" s="24">
        <f t="shared" si="364"/>
        <v>650</v>
      </c>
      <c r="I2875" s="12">
        <f t="shared" si="363"/>
        <v>0.19310826497905442</v>
      </c>
      <c r="J2875" s="3"/>
    </row>
    <row r="2876" spans="2:10" x14ac:dyDescent="0.25">
      <c r="B2876" s="3">
        <f t="shared" si="359"/>
        <v>14280</v>
      </c>
      <c r="C2876" s="14">
        <f t="shared" si="360"/>
        <v>238</v>
      </c>
      <c r="D2876" s="11">
        <f t="shared" si="361"/>
        <v>1151.5637681040153</v>
      </c>
      <c r="E2876" s="24">
        <f t="shared" si="362"/>
        <v>914.16715440652388</v>
      </c>
      <c r="F2876" s="38">
        <f t="shared" si="357"/>
        <v>0.92891268038664632</v>
      </c>
      <c r="G2876" s="14">
        <f t="shared" si="358"/>
        <v>0</v>
      </c>
      <c r="H2876" s="24">
        <f t="shared" si="364"/>
        <v>650</v>
      </c>
      <c r="I2876" s="12">
        <f t="shared" si="363"/>
        <v>0.19299267365749945</v>
      </c>
      <c r="J2876" s="3"/>
    </row>
    <row r="2877" spans="2:10" x14ac:dyDescent="0.25">
      <c r="B2877" s="3">
        <f t="shared" si="359"/>
        <v>14285</v>
      </c>
      <c r="C2877" s="14">
        <f t="shared" si="360"/>
        <v>238.08333333333334</v>
      </c>
      <c r="D2877" s="11">
        <f t="shared" si="361"/>
        <v>1151.6161934356405</v>
      </c>
      <c r="E2877" s="24">
        <f t="shared" si="362"/>
        <v>914.36014708018138</v>
      </c>
      <c r="F2877" s="38">
        <f t="shared" si="357"/>
        <v>0.92891268038664632</v>
      </c>
      <c r="G2877" s="14">
        <f t="shared" si="358"/>
        <v>0</v>
      </c>
      <c r="H2877" s="24">
        <f t="shared" si="364"/>
        <v>650</v>
      </c>
      <c r="I2877" s="12">
        <f t="shared" si="363"/>
        <v>0.19287716222916057</v>
      </c>
      <c r="J2877" s="3"/>
    </row>
    <row r="2878" spans="2:10" x14ac:dyDescent="0.25">
      <c r="B2878" s="3">
        <f t="shared" si="359"/>
        <v>14290</v>
      </c>
      <c r="C2878" s="14">
        <f t="shared" si="360"/>
        <v>238.16666666666666</v>
      </c>
      <c r="D2878" s="11">
        <f t="shared" si="361"/>
        <v>1151.6686004303183</v>
      </c>
      <c r="E2878" s="24">
        <f t="shared" si="362"/>
        <v>914.55302424241052</v>
      </c>
      <c r="F2878" s="38">
        <f t="shared" si="357"/>
        <v>0.92891268038664632</v>
      </c>
      <c r="G2878" s="14">
        <f t="shared" si="358"/>
        <v>0</v>
      </c>
      <c r="H2878" s="24">
        <f t="shared" si="364"/>
        <v>650</v>
      </c>
      <c r="I2878" s="12">
        <f t="shared" si="363"/>
        <v>0.19276173063936566</v>
      </c>
      <c r="J2878" s="3"/>
    </row>
    <row r="2879" spans="2:10" x14ac:dyDescent="0.25">
      <c r="B2879" s="3">
        <f t="shared" si="359"/>
        <v>14295</v>
      </c>
      <c r="C2879" s="14">
        <f t="shared" si="360"/>
        <v>238.25</v>
      </c>
      <c r="D2879" s="11">
        <f t="shared" si="361"/>
        <v>1151.7209891008717</v>
      </c>
      <c r="E2879" s="24">
        <f t="shared" si="362"/>
        <v>914.74578597304992</v>
      </c>
      <c r="F2879" s="38">
        <f t="shared" si="357"/>
        <v>0.92891268038664632</v>
      </c>
      <c r="G2879" s="14">
        <f t="shared" si="358"/>
        <v>0</v>
      </c>
      <c r="H2879" s="24">
        <f t="shared" si="364"/>
        <v>650</v>
      </c>
      <c r="I2879" s="12">
        <f t="shared" si="363"/>
        <v>0.19264637883349894</v>
      </c>
      <c r="J2879" s="3"/>
    </row>
    <row r="2880" spans="2:10" x14ac:dyDescent="0.25">
      <c r="B2880" s="3">
        <f t="shared" si="359"/>
        <v>14300</v>
      </c>
      <c r="C2880" s="14">
        <f t="shared" si="360"/>
        <v>238.33333333333334</v>
      </c>
      <c r="D2880" s="11">
        <f t="shared" si="361"/>
        <v>1151.7733594601107</v>
      </c>
      <c r="E2880" s="24">
        <f t="shared" si="362"/>
        <v>914.93843235188342</v>
      </c>
      <c r="F2880" s="38">
        <f t="shared" si="357"/>
        <v>0.92891268038664632</v>
      </c>
      <c r="G2880" s="14">
        <f t="shared" si="358"/>
        <v>0</v>
      </c>
      <c r="H2880" s="24">
        <f t="shared" si="364"/>
        <v>650</v>
      </c>
      <c r="I2880" s="12">
        <f t="shared" si="363"/>
        <v>0.19253110675697915</v>
      </c>
      <c r="J2880" s="3"/>
    </row>
    <row r="2881" spans="2:10" x14ac:dyDescent="0.25">
      <c r="B2881" s="3">
        <f t="shared" si="359"/>
        <v>14305</v>
      </c>
      <c r="C2881" s="14">
        <f t="shared" si="360"/>
        <v>238.41666666666666</v>
      </c>
      <c r="D2881" s="11">
        <f t="shared" si="361"/>
        <v>1151.8257115208307</v>
      </c>
      <c r="E2881" s="24">
        <f t="shared" si="362"/>
        <v>915.13096345864039</v>
      </c>
      <c r="F2881" s="38">
        <f t="shared" si="357"/>
        <v>0.92891268038664632</v>
      </c>
      <c r="G2881" s="14">
        <f t="shared" si="358"/>
        <v>0</v>
      </c>
      <c r="H2881" s="24">
        <f t="shared" si="364"/>
        <v>650</v>
      </c>
      <c r="I2881" s="12">
        <f t="shared" si="363"/>
        <v>0.19241591435532512</v>
      </c>
      <c r="J2881" s="3"/>
    </row>
    <row r="2882" spans="2:10" x14ac:dyDescent="0.25">
      <c r="B2882" s="3">
        <f t="shared" si="359"/>
        <v>14310</v>
      </c>
      <c r="C2882" s="14">
        <f t="shared" si="360"/>
        <v>238.5</v>
      </c>
      <c r="D2882" s="11">
        <f t="shared" si="361"/>
        <v>1151.8780452958151</v>
      </c>
      <c r="E2882" s="24">
        <f t="shared" si="362"/>
        <v>915.32337937299576</v>
      </c>
      <c r="F2882" s="38">
        <f t="shared" si="357"/>
        <v>0.92891268038664632</v>
      </c>
      <c r="G2882" s="14">
        <f t="shared" si="358"/>
        <v>0</v>
      </c>
      <c r="H2882" s="24">
        <f t="shared" si="364"/>
        <v>650</v>
      </c>
      <c r="I2882" s="12">
        <f t="shared" si="363"/>
        <v>0.19230080157393584</v>
      </c>
      <c r="J2882" s="3"/>
    </row>
    <row r="2883" spans="2:10" x14ac:dyDescent="0.25">
      <c r="B2883" s="3">
        <f t="shared" si="359"/>
        <v>14315</v>
      </c>
      <c r="C2883" s="14">
        <f t="shared" si="360"/>
        <v>238.58333333333334</v>
      </c>
      <c r="D2883" s="11">
        <f t="shared" si="361"/>
        <v>1151.9303607978327</v>
      </c>
      <c r="E2883" s="24">
        <f t="shared" si="362"/>
        <v>915.51568017456975</v>
      </c>
      <c r="F2883" s="38">
        <f t="shared" si="357"/>
        <v>0.92891268038664632</v>
      </c>
      <c r="G2883" s="14">
        <f t="shared" si="358"/>
        <v>0</v>
      </c>
      <c r="H2883" s="24">
        <f t="shared" si="364"/>
        <v>650</v>
      </c>
      <c r="I2883" s="12">
        <f t="shared" si="363"/>
        <v>0.19218576835842094</v>
      </c>
      <c r="J2883" s="3"/>
    </row>
    <row r="2884" spans="2:10" x14ac:dyDescent="0.25">
      <c r="B2884" s="3">
        <f t="shared" si="359"/>
        <v>14320</v>
      </c>
      <c r="C2884" s="14">
        <f t="shared" si="360"/>
        <v>238.66666666666666</v>
      </c>
      <c r="D2884" s="11">
        <f t="shared" si="361"/>
        <v>1151.9826580396398</v>
      </c>
      <c r="E2884" s="24">
        <f t="shared" si="362"/>
        <v>915.70786594292815</v>
      </c>
      <c r="F2884" s="38">
        <f t="shared" si="357"/>
        <v>0.92891268038664632</v>
      </c>
      <c r="G2884" s="14">
        <f t="shared" si="358"/>
        <v>0</v>
      </c>
      <c r="H2884" s="24">
        <f t="shared" si="364"/>
        <v>650</v>
      </c>
      <c r="I2884" s="12">
        <f t="shared" si="363"/>
        <v>0.19207081465424805</v>
      </c>
      <c r="J2884" s="3"/>
    </row>
    <row r="2885" spans="2:10" x14ac:dyDescent="0.25">
      <c r="B2885" s="3">
        <f t="shared" si="359"/>
        <v>14325</v>
      </c>
      <c r="C2885" s="14">
        <f t="shared" si="360"/>
        <v>238.75</v>
      </c>
      <c r="D2885" s="11">
        <f t="shared" si="361"/>
        <v>1152.0349370339793</v>
      </c>
      <c r="E2885" s="24">
        <f t="shared" si="362"/>
        <v>915.8999367575824</v>
      </c>
      <c r="F2885" s="38">
        <f t="shared" si="357"/>
        <v>0.92891268038664632</v>
      </c>
      <c r="G2885" s="14">
        <f t="shared" si="358"/>
        <v>0</v>
      </c>
      <c r="H2885" s="24">
        <f t="shared" si="364"/>
        <v>650</v>
      </c>
      <c r="I2885" s="12">
        <f t="shared" si="363"/>
        <v>0.19195594040700742</v>
      </c>
      <c r="J2885" s="3"/>
    </row>
    <row r="2886" spans="2:10" x14ac:dyDescent="0.25">
      <c r="B2886" s="3">
        <f t="shared" si="359"/>
        <v>14330</v>
      </c>
      <c r="C2886" s="14">
        <f t="shared" si="360"/>
        <v>238.83333333333334</v>
      </c>
      <c r="D2886" s="11">
        <f t="shared" si="361"/>
        <v>1152.0871977935801</v>
      </c>
      <c r="E2886" s="24">
        <f t="shared" si="362"/>
        <v>916.09189269798935</v>
      </c>
      <c r="F2886" s="38">
        <f t="shared" si="357"/>
        <v>0.92891268038664632</v>
      </c>
      <c r="G2886" s="14">
        <f t="shared" si="358"/>
        <v>0</v>
      </c>
      <c r="H2886" s="24">
        <f t="shared" si="364"/>
        <v>650</v>
      </c>
      <c r="I2886" s="12">
        <f t="shared" si="363"/>
        <v>0.19184114556238957</v>
      </c>
      <c r="J2886" s="3"/>
    </row>
    <row r="2887" spans="2:10" x14ac:dyDescent="0.25">
      <c r="B2887" s="3">
        <f t="shared" si="359"/>
        <v>14335</v>
      </c>
      <c r="C2887" s="14">
        <f t="shared" si="360"/>
        <v>238.91666666666666</v>
      </c>
      <c r="D2887" s="11">
        <f t="shared" si="361"/>
        <v>1152.1394403311585</v>
      </c>
      <c r="E2887" s="24">
        <f t="shared" si="362"/>
        <v>916.28373384355177</v>
      </c>
      <c r="F2887" s="38">
        <f t="shared" si="357"/>
        <v>0.92891268038664632</v>
      </c>
      <c r="G2887" s="14">
        <f t="shared" si="358"/>
        <v>0</v>
      </c>
      <c r="H2887" s="24">
        <f t="shared" si="364"/>
        <v>650</v>
      </c>
      <c r="I2887" s="12">
        <f t="shared" si="363"/>
        <v>0.19172643006596468</v>
      </c>
      <c r="J2887" s="3"/>
    </row>
    <row r="2888" spans="2:10" x14ac:dyDescent="0.25">
      <c r="B2888" s="3">
        <f t="shared" si="359"/>
        <v>14340</v>
      </c>
      <c r="C2888" s="14">
        <f t="shared" si="360"/>
        <v>239</v>
      </c>
      <c r="D2888" s="11">
        <f t="shared" si="361"/>
        <v>1152.1916646594168</v>
      </c>
      <c r="E2888" s="24">
        <f t="shared" si="362"/>
        <v>916.47546027361773</v>
      </c>
      <c r="F2888" s="38">
        <f t="shared" si="357"/>
        <v>0.92891268038664632</v>
      </c>
      <c r="G2888" s="14">
        <f t="shared" si="358"/>
        <v>0</v>
      </c>
      <c r="H2888" s="24">
        <f t="shared" si="364"/>
        <v>650</v>
      </c>
      <c r="I2888" s="12">
        <f t="shared" si="363"/>
        <v>0.19161179386349186</v>
      </c>
      <c r="J2888" s="3"/>
    </row>
    <row r="2889" spans="2:10" x14ac:dyDescent="0.25">
      <c r="B2889" s="3">
        <f t="shared" si="359"/>
        <v>14345</v>
      </c>
      <c r="C2889" s="14">
        <f t="shared" si="360"/>
        <v>239.08333333333334</v>
      </c>
      <c r="D2889" s="11">
        <f t="shared" si="361"/>
        <v>1152.2438707910451</v>
      </c>
      <c r="E2889" s="24">
        <f t="shared" si="362"/>
        <v>916.66707206748117</v>
      </c>
      <c r="F2889" s="38">
        <f t="shared" si="357"/>
        <v>0.92891268038664632</v>
      </c>
      <c r="G2889" s="14">
        <f t="shared" si="358"/>
        <v>0</v>
      </c>
      <c r="H2889" s="24">
        <f t="shared" si="364"/>
        <v>650</v>
      </c>
      <c r="I2889" s="12">
        <f t="shared" si="363"/>
        <v>0.19149723690056605</v>
      </c>
      <c r="J2889" s="3"/>
    </row>
    <row r="2890" spans="2:10" x14ac:dyDescent="0.25">
      <c r="B2890" s="3">
        <f t="shared" si="359"/>
        <v>14350</v>
      </c>
      <c r="C2890" s="14">
        <f t="shared" si="360"/>
        <v>239.16666666666666</v>
      </c>
      <c r="D2890" s="11">
        <f t="shared" si="361"/>
        <v>1152.2960587387188</v>
      </c>
      <c r="E2890" s="24">
        <f t="shared" si="362"/>
        <v>916.85856930438172</v>
      </c>
      <c r="F2890" s="38">
        <f t="shared" si="357"/>
        <v>0.92891268038664632</v>
      </c>
      <c r="G2890" s="14">
        <f t="shared" si="358"/>
        <v>0</v>
      </c>
      <c r="H2890" s="24">
        <f t="shared" si="364"/>
        <v>650</v>
      </c>
      <c r="I2890" s="12">
        <f t="shared" si="363"/>
        <v>0.19138275912308081</v>
      </c>
      <c r="J2890" s="3"/>
    </row>
    <row r="2891" spans="2:10" x14ac:dyDescent="0.25">
      <c r="B2891" s="3">
        <f t="shared" si="359"/>
        <v>14355</v>
      </c>
      <c r="C2891" s="14">
        <f t="shared" si="360"/>
        <v>239.25</v>
      </c>
      <c r="D2891" s="11">
        <f t="shared" si="361"/>
        <v>1152.3482285151013</v>
      </c>
      <c r="E2891" s="24">
        <f t="shared" si="362"/>
        <v>917.04995206350475</v>
      </c>
      <c r="F2891" s="38">
        <f t="shared" si="357"/>
        <v>0.92891268038664632</v>
      </c>
      <c r="G2891" s="14">
        <f t="shared" si="358"/>
        <v>0</v>
      </c>
      <c r="H2891" s="24">
        <f t="shared" si="364"/>
        <v>650</v>
      </c>
      <c r="I2891" s="12">
        <f t="shared" si="363"/>
        <v>0.19126836047669935</v>
      </c>
      <c r="J2891" s="3"/>
    </row>
    <row r="2892" spans="2:10" x14ac:dyDescent="0.25">
      <c r="B2892" s="3">
        <f t="shared" si="359"/>
        <v>14360</v>
      </c>
      <c r="C2892" s="14">
        <f t="shared" si="360"/>
        <v>239.33333333333334</v>
      </c>
      <c r="D2892" s="11">
        <f t="shared" si="361"/>
        <v>1152.400380132842</v>
      </c>
      <c r="E2892" s="24">
        <f t="shared" si="362"/>
        <v>917.24122042398142</v>
      </c>
      <c r="F2892" s="38">
        <f t="shared" si="357"/>
        <v>0.92891268038664632</v>
      </c>
      <c r="G2892" s="14">
        <f t="shared" si="358"/>
        <v>0</v>
      </c>
      <c r="H2892" s="24">
        <f t="shared" si="364"/>
        <v>650</v>
      </c>
      <c r="I2892" s="12">
        <f t="shared" si="363"/>
        <v>0.19115404090729546</v>
      </c>
      <c r="J2892" s="3"/>
    </row>
    <row r="2893" spans="2:10" x14ac:dyDescent="0.25">
      <c r="B2893" s="3">
        <f t="shared" si="359"/>
        <v>14365</v>
      </c>
      <c r="C2893" s="14">
        <f t="shared" si="360"/>
        <v>239.41666666666666</v>
      </c>
      <c r="D2893" s="11">
        <f t="shared" si="361"/>
        <v>1152.4525136045777</v>
      </c>
      <c r="E2893" s="24">
        <f t="shared" si="362"/>
        <v>917.43237446488877</v>
      </c>
      <c r="F2893" s="38">
        <f t="shared" si="357"/>
        <v>0.92891268038664632</v>
      </c>
      <c r="G2893" s="14">
        <f t="shared" si="358"/>
        <v>0</v>
      </c>
      <c r="H2893" s="24">
        <f t="shared" si="364"/>
        <v>650</v>
      </c>
      <c r="I2893" s="12">
        <f t="shared" si="363"/>
        <v>0.19103980036066703</v>
      </c>
      <c r="J2893" s="3"/>
    </row>
    <row r="2894" spans="2:10" x14ac:dyDescent="0.25">
      <c r="B2894" s="3">
        <f t="shared" si="359"/>
        <v>14370</v>
      </c>
      <c r="C2894" s="14">
        <f t="shared" si="360"/>
        <v>239.5</v>
      </c>
      <c r="D2894" s="11">
        <f t="shared" si="361"/>
        <v>1152.5046289429315</v>
      </c>
      <c r="E2894" s="24">
        <f t="shared" si="362"/>
        <v>917.62341426524938</v>
      </c>
      <c r="F2894" s="38">
        <f t="shared" si="357"/>
        <v>0.92891268038664632</v>
      </c>
      <c r="G2894" s="14">
        <f t="shared" si="358"/>
        <v>0</v>
      </c>
      <c r="H2894" s="24">
        <f t="shared" si="364"/>
        <v>650</v>
      </c>
      <c r="I2894" s="12">
        <f t="shared" si="363"/>
        <v>0.19092563878273441</v>
      </c>
      <c r="J2894" s="3"/>
    </row>
    <row r="2895" spans="2:10" x14ac:dyDescent="0.25">
      <c r="B2895" s="3">
        <f t="shared" si="359"/>
        <v>14375</v>
      </c>
      <c r="C2895" s="14">
        <f t="shared" si="360"/>
        <v>239.58333333333334</v>
      </c>
      <c r="D2895" s="11">
        <f t="shared" si="361"/>
        <v>1152.5567261605136</v>
      </c>
      <c r="E2895" s="24">
        <f t="shared" si="362"/>
        <v>917.81433990403207</v>
      </c>
      <c r="F2895" s="38">
        <f t="shared" si="357"/>
        <v>0.92891268038664632</v>
      </c>
      <c r="G2895" s="14">
        <f t="shared" si="358"/>
        <v>0</v>
      </c>
      <c r="H2895" s="24">
        <f t="shared" si="364"/>
        <v>650</v>
      </c>
      <c r="I2895" s="12">
        <f t="shared" si="363"/>
        <v>0.19081155611938558</v>
      </c>
      <c r="J2895" s="3"/>
    </row>
    <row r="2896" spans="2:10" x14ac:dyDescent="0.25">
      <c r="B2896" s="3">
        <f t="shared" si="359"/>
        <v>14380</v>
      </c>
      <c r="C2896" s="14">
        <f t="shared" si="360"/>
        <v>239.66666666666666</v>
      </c>
      <c r="D2896" s="11">
        <f t="shared" si="361"/>
        <v>1152.608805269921</v>
      </c>
      <c r="E2896" s="24">
        <f t="shared" si="362"/>
        <v>918.00515146015141</v>
      </c>
      <c r="F2896" s="38">
        <f t="shared" si="357"/>
        <v>0.92891268038664632</v>
      </c>
      <c r="G2896" s="14">
        <f t="shared" si="358"/>
        <v>0</v>
      </c>
      <c r="H2896" s="24">
        <f t="shared" si="364"/>
        <v>650</v>
      </c>
      <c r="I2896" s="12">
        <f t="shared" si="363"/>
        <v>0.19069755231654298</v>
      </c>
      <c r="J2896" s="3"/>
    </row>
    <row r="2897" spans="2:10" x14ac:dyDescent="0.25">
      <c r="B2897" s="3">
        <f t="shared" si="359"/>
        <v>14385</v>
      </c>
      <c r="C2897" s="14">
        <f t="shared" si="360"/>
        <v>239.75</v>
      </c>
      <c r="D2897" s="11">
        <f t="shared" si="361"/>
        <v>1152.6608662837375</v>
      </c>
      <c r="E2897" s="24">
        <f t="shared" si="362"/>
        <v>918.19584901246799</v>
      </c>
      <c r="F2897" s="38">
        <f t="shared" si="357"/>
        <v>0.92891268038664632</v>
      </c>
      <c r="G2897" s="14">
        <f t="shared" si="358"/>
        <v>0</v>
      </c>
      <c r="H2897" s="24">
        <f t="shared" si="364"/>
        <v>650</v>
      </c>
      <c r="I2897" s="12">
        <f t="shared" si="363"/>
        <v>0.19058362732022924</v>
      </c>
      <c r="J2897" s="3"/>
    </row>
    <row r="2898" spans="2:10" x14ac:dyDescent="0.25">
      <c r="B2898" s="3">
        <f t="shared" si="359"/>
        <v>14390</v>
      </c>
      <c r="C2898" s="14">
        <f t="shared" si="360"/>
        <v>239.83333333333334</v>
      </c>
      <c r="D2898" s="11">
        <f t="shared" si="361"/>
        <v>1152.7129092145342</v>
      </c>
      <c r="E2898" s="24">
        <f t="shared" si="362"/>
        <v>918.38643263978827</v>
      </c>
      <c r="F2898" s="38">
        <f t="shared" si="357"/>
        <v>0.92891268038664632</v>
      </c>
      <c r="G2898" s="14">
        <f t="shared" si="358"/>
        <v>0</v>
      </c>
      <c r="H2898" s="24">
        <f t="shared" si="364"/>
        <v>650</v>
      </c>
      <c r="I2898" s="12">
        <f t="shared" si="363"/>
        <v>0.19046978107636892</v>
      </c>
      <c r="J2898" s="3"/>
    </row>
    <row r="2899" spans="2:10" x14ac:dyDescent="0.25">
      <c r="B2899" s="3">
        <f t="shared" si="359"/>
        <v>14395</v>
      </c>
      <c r="C2899" s="14">
        <f t="shared" si="360"/>
        <v>239.91666666666666</v>
      </c>
      <c r="D2899" s="11">
        <f t="shared" si="361"/>
        <v>1152.7649340748681</v>
      </c>
      <c r="E2899" s="24">
        <f t="shared" si="362"/>
        <v>918.5769024208646</v>
      </c>
      <c r="F2899" s="38">
        <f t="shared" si="357"/>
        <v>0.92891268038664632</v>
      </c>
      <c r="G2899" s="14">
        <f t="shared" si="358"/>
        <v>0</v>
      </c>
      <c r="H2899" s="24">
        <f t="shared" si="364"/>
        <v>650</v>
      </c>
      <c r="I2899" s="12">
        <f t="shared" si="363"/>
        <v>0.19035601353111906</v>
      </c>
      <c r="J2899" s="3"/>
    </row>
    <row r="2900" spans="2:10" x14ac:dyDescent="0.25">
      <c r="B2900" s="3">
        <f t="shared" si="359"/>
        <v>14400</v>
      </c>
      <c r="C2900" s="14">
        <f t="shared" si="360"/>
        <v>240</v>
      </c>
      <c r="D2900" s="11">
        <f t="shared" si="361"/>
        <v>1152.8169408772842</v>
      </c>
      <c r="E2900" s="24">
        <f t="shared" si="362"/>
        <v>918.76725843439567</v>
      </c>
      <c r="F2900" s="38">
        <f t="shared" ref="F2900:F2963" si="365">Cp*RhoP/(RhoA*H2900)*dp/1000*MassivP</f>
        <v>0.92891268038664632</v>
      </c>
      <c r="G2900" s="14">
        <f t="shared" ref="G2900:G2963" si="366">Phi*EpsilonF*Botzman/10^8*J2900*((D2900+273)^4-(E2900+273)^4)</f>
        <v>0</v>
      </c>
      <c r="H2900" s="24">
        <f t="shared" si="364"/>
        <v>650</v>
      </c>
      <c r="I2900" s="12">
        <f t="shared" si="363"/>
        <v>0.19024232463042823</v>
      </c>
      <c r="J2900" s="3"/>
    </row>
    <row r="2901" spans="2:10" x14ac:dyDescent="0.25">
      <c r="B2901" s="3">
        <f t="shared" ref="B2901:B2964" si="367">B2900+DeltaT</f>
        <v>14405</v>
      </c>
      <c r="C2901" s="14">
        <f t="shared" ref="C2901:C2964" si="368">B2901/60</f>
        <v>240.08333333333334</v>
      </c>
      <c r="D2901" s="11">
        <f t="shared" ref="D2901:D2964" si="369">20+345*LOG(8*C2901+1,10)</f>
        <v>1152.8689296343141</v>
      </c>
      <c r="E2901" s="24">
        <f t="shared" ref="E2901:E2964" si="370">E2900+IF(Limit=Oui,MAX(0,I2900),I2900)</f>
        <v>918.95750075902606</v>
      </c>
      <c r="F2901" s="38">
        <f t="shared" si="365"/>
        <v>0.92891268038664632</v>
      </c>
      <c r="G2901" s="14">
        <f t="shared" si="366"/>
        <v>0</v>
      </c>
      <c r="H2901" s="24">
        <f t="shared" si="364"/>
        <v>650</v>
      </c>
      <c r="I2901" s="12">
        <f t="shared" ref="I2901:I2964" si="371">LambdaP*MassivP/(dp/1000)/(H2901*RhoA)/(1+F2901/3)*(D2901-E2901)*DeltaT-(EXP(F2901/10)-1)*(D2901-D2900)</f>
        <v>0.19012871432045567</v>
      </c>
      <c r="J2901" s="3"/>
    </row>
    <row r="2902" spans="2:10" x14ac:dyDescent="0.25">
      <c r="B2902" s="3">
        <f t="shared" si="367"/>
        <v>14410</v>
      </c>
      <c r="C2902" s="14">
        <f t="shared" si="368"/>
        <v>240.16666666666666</v>
      </c>
      <c r="D2902" s="11">
        <f t="shared" si="369"/>
        <v>1152.920900358476</v>
      </c>
      <c r="E2902" s="24">
        <f t="shared" si="370"/>
        <v>919.14762947334657</v>
      </c>
      <c r="F2902" s="38">
        <f t="shared" si="365"/>
        <v>0.92891268038664632</v>
      </c>
      <c r="G2902" s="14">
        <f t="shared" si="366"/>
        <v>0</v>
      </c>
      <c r="H2902" s="24">
        <f t="shared" si="364"/>
        <v>650</v>
      </c>
      <c r="I2902" s="12">
        <f t="shared" si="371"/>
        <v>0.19001518254735045</v>
      </c>
      <c r="J2902" s="3"/>
    </row>
    <row r="2903" spans="2:10" x14ac:dyDescent="0.25">
      <c r="B2903" s="3">
        <f t="shared" si="367"/>
        <v>14415</v>
      </c>
      <c r="C2903" s="14">
        <f t="shared" si="368"/>
        <v>240.25</v>
      </c>
      <c r="D2903" s="11">
        <f t="shared" si="369"/>
        <v>1152.9728530622754</v>
      </c>
      <c r="E2903" s="24">
        <f t="shared" si="370"/>
        <v>919.33764465589388</v>
      </c>
      <c r="F2903" s="38">
        <f t="shared" si="365"/>
        <v>0.92891268038664632</v>
      </c>
      <c r="G2903" s="14">
        <f t="shared" si="366"/>
        <v>0</v>
      </c>
      <c r="H2903" s="24">
        <f t="shared" si="364"/>
        <v>650</v>
      </c>
      <c r="I2903" s="12">
        <f t="shared" si="371"/>
        <v>0.18990172925727355</v>
      </c>
      <c r="J2903" s="3"/>
    </row>
    <row r="2904" spans="2:10" x14ac:dyDescent="0.25">
      <c r="B2904" s="3">
        <f t="shared" si="367"/>
        <v>14420</v>
      </c>
      <c r="C2904" s="14">
        <f t="shared" si="368"/>
        <v>240.33333333333334</v>
      </c>
      <c r="D2904" s="11">
        <f t="shared" si="369"/>
        <v>1153.0247877582049</v>
      </c>
      <c r="E2904" s="24">
        <f t="shared" si="370"/>
        <v>919.52754638515114</v>
      </c>
      <c r="F2904" s="38">
        <f t="shared" si="365"/>
        <v>0.92891268038664632</v>
      </c>
      <c r="G2904" s="14">
        <f t="shared" si="366"/>
        <v>0</v>
      </c>
      <c r="H2904" s="24">
        <f t="shared" si="364"/>
        <v>650</v>
      </c>
      <c r="I2904" s="12">
        <f t="shared" si="371"/>
        <v>0.1897883543963762</v>
      </c>
      <c r="J2904" s="3"/>
    </row>
    <row r="2905" spans="2:10" x14ac:dyDescent="0.25">
      <c r="B2905" s="3">
        <f t="shared" si="367"/>
        <v>14425</v>
      </c>
      <c r="C2905" s="14">
        <f t="shared" si="368"/>
        <v>240.41666666666666</v>
      </c>
      <c r="D2905" s="11">
        <f t="shared" si="369"/>
        <v>1153.0767044587442</v>
      </c>
      <c r="E2905" s="24">
        <f t="shared" si="370"/>
        <v>919.71733473954748</v>
      </c>
      <c r="F2905" s="38">
        <f t="shared" si="365"/>
        <v>0.92891268038664632</v>
      </c>
      <c r="G2905" s="14">
        <f t="shared" si="366"/>
        <v>0</v>
      </c>
      <c r="H2905" s="24">
        <f t="shared" si="364"/>
        <v>650</v>
      </c>
      <c r="I2905" s="12">
        <f t="shared" si="371"/>
        <v>0.18967505791090997</v>
      </c>
      <c r="J2905" s="3"/>
    </row>
    <row r="2906" spans="2:10" x14ac:dyDescent="0.25">
      <c r="B2906" s="3">
        <f t="shared" si="367"/>
        <v>14430</v>
      </c>
      <c r="C2906" s="14">
        <f t="shared" si="368"/>
        <v>240.5</v>
      </c>
      <c r="D2906" s="11">
        <f t="shared" si="369"/>
        <v>1153.1286031763591</v>
      </c>
      <c r="E2906" s="24">
        <f t="shared" si="370"/>
        <v>919.90700979745839</v>
      </c>
      <c r="F2906" s="38">
        <f t="shared" si="365"/>
        <v>0.92891268038664632</v>
      </c>
      <c r="G2906" s="14">
        <f t="shared" si="366"/>
        <v>0</v>
      </c>
      <c r="H2906" s="24">
        <f t="shared" si="364"/>
        <v>650</v>
      </c>
      <c r="I2906" s="12">
        <f t="shared" si="371"/>
        <v>0.18956183974722596</v>
      </c>
      <c r="J2906" s="3"/>
    </row>
    <row r="2907" spans="2:10" x14ac:dyDescent="0.25">
      <c r="B2907" s="3">
        <f t="shared" si="367"/>
        <v>14435</v>
      </c>
      <c r="C2907" s="14">
        <f t="shared" si="368"/>
        <v>240.58333333333334</v>
      </c>
      <c r="D2907" s="11">
        <f t="shared" si="369"/>
        <v>1153.1804839235037</v>
      </c>
      <c r="E2907" s="24">
        <f t="shared" si="370"/>
        <v>920.09657163720556</v>
      </c>
      <c r="F2907" s="38">
        <f t="shared" si="365"/>
        <v>0.92891268038664632</v>
      </c>
      <c r="G2907" s="14">
        <f t="shared" si="366"/>
        <v>0</v>
      </c>
      <c r="H2907" s="24">
        <f t="shared" si="364"/>
        <v>650</v>
      </c>
      <c r="I2907" s="12">
        <f t="shared" si="371"/>
        <v>0.18944869985148935</v>
      </c>
      <c r="J2907" s="3"/>
    </row>
    <row r="2908" spans="2:10" x14ac:dyDescent="0.25">
      <c r="B2908" s="3">
        <f t="shared" si="367"/>
        <v>14440</v>
      </c>
      <c r="C2908" s="14">
        <f t="shared" si="368"/>
        <v>240.66666666666666</v>
      </c>
      <c r="D2908" s="11">
        <f t="shared" si="369"/>
        <v>1153.2323467126184</v>
      </c>
      <c r="E2908" s="24">
        <f t="shared" si="370"/>
        <v>920.28602033705704</v>
      </c>
      <c r="F2908" s="38">
        <f t="shared" si="365"/>
        <v>0.92891268038664632</v>
      </c>
      <c r="G2908" s="14">
        <f t="shared" si="366"/>
        <v>0</v>
      </c>
      <c r="H2908" s="24">
        <f t="shared" si="364"/>
        <v>650</v>
      </c>
      <c r="I2908" s="12">
        <f t="shared" si="371"/>
        <v>0.18933563817011964</v>
      </c>
      <c r="J2908" s="3"/>
    </row>
    <row r="2909" spans="2:10" x14ac:dyDescent="0.25">
      <c r="B2909" s="3">
        <f t="shared" si="367"/>
        <v>14445</v>
      </c>
      <c r="C2909" s="14">
        <f t="shared" si="368"/>
        <v>240.75</v>
      </c>
      <c r="D2909" s="11">
        <f t="shared" si="369"/>
        <v>1153.2841915561312</v>
      </c>
      <c r="E2909" s="24">
        <f t="shared" si="370"/>
        <v>920.4753559752271</v>
      </c>
      <c r="F2909" s="38">
        <f t="shared" si="365"/>
        <v>0.92891268038664632</v>
      </c>
      <c r="G2909" s="14">
        <f t="shared" si="366"/>
        <v>0</v>
      </c>
      <c r="H2909" s="24">
        <f t="shared" si="364"/>
        <v>650</v>
      </c>
      <c r="I2909" s="12">
        <f t="shared" si="371"/>
        <v>0.18922265464941612</v>
      </c>
      <c r="J2909" s="3"/>
    </row>
    <row r="2910" spans="2:10" x14ac:dyDescent="0.25">
      <c r="B2910" s="3">
        <f t="shared" si="367"/>
        <v>14450</v>
      </c>
      <c r="C2910" s="14">
        <f t="shared" si="368"/>
        <v>240.83333333333334</v>
      </c>
      <c r="D2910" s="11">
        <f t="shared" si="369"/>
        <v>1153.3360184664564</v>
      </c>
      <c r="E2910" s="24">
        <f t="shared" si="370"/>
        <v>920.66457862987647</v>
      </c>
      <c r="F2910" s="38">
        <f t="shared" si="365"/>
        <v>0.92891268038664632</v>
      </c>
      <c r="G2910" s="14">
        <f t="shared" si="366"/>
        <v>0</v>
      </c>
      <c r="H2910" s="24">
        <f t="shared" si="364"/>
        <v>650</v>
      </c>
      <c r="I2910" s="12">
        <f t="shared" si="371"/>
        <v>0.1891097492358442</v>
      </c>
      <c r="J2910" s="3"/>
    </row>
    <row r="2911" spans="2:10" x14ac:dyDescent="0.25">
      <c r="B2911" s="3">
        <f t="shared" si="367"/>
        <v>14455</v>
      </c>
      <c r="C2911" s="14">
        <f t="shared" si="368"/>
        <v>240.91666666666666</v>
      </c>
      <c r="D2911" s="11">
        <f t="shared" si="369"/>
        <v>1153.3878274559963</v>
      </c>
      <c r="E2911" s="24">
        <f t="shared" si="370"/>
        <v>920.85368837911233</v>
      </c>
      <c r="F2911" s="38">
        <f t="shared" si="365"/>
        <v>0.92891268038664632</v>
      </c>
      <c r="G2911" s="14">
        <f t="shared" si="366"/>
        <v>0</v>
      </c>
      <c r="H2911" s="24">
        <f t="shared" si="364"/>
        <v>650</v>
      </c>
      <c r="I2911" s="12">
        <f t="shared" si="371"/>
        <v>0.18899692187574882</v>
      </c>
      <c r="J2911" s="3"/>
    </row>
    <row r="2912" spans="2:10" x14ac:dyDescent="0.25">
      <c r="B2912" s="3">
        <f t="shared" si="367"/>
        <v>14460</v>
      </c>
      <c r="C2912" s="14">
        <f t="shared" si="368"/>
        <v>241</v>
      </c>
      <c r="D2912" s="11">
        <f t="shared" si="369"/>
        <v>1153.4396185371399</v>
      </c>
      <c r="E2912" s="24">
        <f t="shared" si="370"/>
        <v>921.04268530098807</v>
      </c>
      <c r="F2912" s="38">
        <f t="shared" si="365"/>
        <v>0.92891268038664632</v>
      </c>
      <c r="G2912" s="14">
        <f t="shared" si="366"/>
        <v>0</v>
      </c>
      <c r="H2912" s="24">
        <f t="shared" si="364"/>
        <v>650</v>
      </c>
      <c r="I2912" s="12">
        <f t="shared" si="371"/>
        <v>0.18888417251564174</v>
      </c>
      <c r="J2912" s="3"/>
    </row>
    <row r="2913" spans="2:10" x14ac:dyDescent="0.25">
      <c r="B2913" s="3">
        <f t="shared" si="367"/>
        <v>14465</v>
      </c>
      <c r="C2913" s="14">
        <f t="shared" si="368"/>
        <v>241.08333333333334</v>
      </c>
      <c r="D2913" s="11">
        <f t="shared" si="369"/>
        <v>1153.4913917222634</v>
      </c>
      <c r="E2913" s="24">
        <f t="shared" si="370"/>
        <v>921.23156947350367</v>
      </c>
      <c r="F2913" s="38">
        <f t="shared" si="365"/>
        <v>0.92891268038664632</v>
      </c>
      <c r="G2913" s="14">
        <f t="shared" si="366"/>
        <v>0</v>
      </c>
      <c r="H2913" s="24">
        <f t="shared" si="364"/>
        <v>650</v>
      </c>
      <c r="I2913" s="12">
        <f t="shared" si="371"/>
        <v>0.18877150110200189</v>
      </c>
      <c r="J2913" s="3"/>
    </row>
    <row r="2914" spans="2:10" x14ac:dyDescent="0.25">
      <c r="B2914" s="3">
        <f t="shared" si="367"/>
        <v>14470</v>
      </c>
      <c r="C2914" s="14">
        <f t="shared" si="368"/>
        <v>241.16666666666666</v>
      </c>
      <c r="D2914" s="11">
        <f t="shared" si="369"/>
        <v>1153.5431470237304</v>
      </c>
      <c r="E2914" s="24">
        <f t="shared" si="370"/>
        <v>921.42034097460566</v>
      </c>
      <c r="F2914" s="38">
        <f t="shared" si="365"/>
        <v>0.92891268038664632</v>
      </c>
      <c r="G2914" s="14">
        <f t="shared" si="366"/>
        <v>0</v>
      </c>
      <c r="H2914" s="24">
        <f t="shared" si="364"/>
        <v>650</v>
      </c>
      <c r="I2914" s="12">
        <f t="shared" si="371"/>
        <v>0.1886589075813204</v>
      </c>
      <c r="J2914" s="3"/>
    </row>
    <row r="2915" spans="2:10" x14ac:dyDescent="0.25">
      <c r="B2915" s="3">
        <f t="shared" si="367"/>
        <v>14475</v>
      </c>
      <c r="C2915" s="14">
        <f t="shared" si="368"/>
        <v>241.25</v>
      </c>
      <c r="D2915" s="11">
        <f t="shared" si="369"/>
        <v>1153.5948844538912</v>
      </c>
      <c r="E2915" s="24">
        <f t="shared" si="370"/>
        <v>921.60899988218694</v>
      </c>
      <c r="F2915" s="38">
        <f t="shared" si="365"/>
        <v>0.92891268038664632</v>
      </c>
      <c r="G2915" s="14">
        <f t="shared" si="366"/>
        <v>0</v>
      </c>
      <c r="H2915" s="24">
        <f t="shared" si="364"/>
        <v>650</v>
      </c>
      <c r="I2915" s="12">
        <f t="shared" si="371"/>
        <v>0.18854639190021066</v>
      </c>
      <c r="J2915" s="3"/>
    </row>
    <row r="2916" spans="2:10" x14ac:dyDescent="0.25">
      <c r="B2916" s="3">
        <f t="shared" si="367"/>
        <v>14480</v>
      </c>
      <c r="C2916" s="14">
        <f t="shared" si="368"/>
        <v>241.33333333333334</v>
      </c>
      <c r="D2916" s="11">
        <f t="shared" si="369"/>
        <v>1153.6466040250834</v>
      </c>
      <c r="E2916" s="24">
        <f t="shared" si="370"/>
        <v>921.79754627408715</v>
      </c>
      <c r="F2916" s="38">
        <f t="shared" si="365"/>
        <v>0.92891268038664632</v>
      </c>
      <c r="G2916" s="14">
        <f t="shared" si="366"/>
        <v>0</v>
      </c>
      <c r="H2916" s="24">
        <f t="shared" si="364"/>
        <v>650</v>
      </c>
      <c r="I2916" s="12">
        <f t="shared" si="371"/>
        <v>0.18843395400523119</v>
      </c>
      <c r="J2916" s="3"/>
    </row>
    <row r="2917" spans="2:10" x14ac:dyDescent="0.25">
      <c r="B2917" s="3">
        <f t="shared" si="367"/>
        <v>14485</v>
      </c>
      <c r="C2917" s="14">
        <f t="shared" si="368"/>
        <v>241.41666666666666</v>
      </c>
      <c r="D2917" s="11">
        <f t="shared" si="369"/>
        <v>1153.6983057496327</v>
      </c>
      <c r="E2917" s="24">
        <f t="shared" si="370"/>
        <v>921.98598022809233</v>
      </c>
      <c r="F2917" s="38">
        <f t="shared" si="365"/>
        <v>0.92891268038664632</v>
      </c>
      <c r="G2917" s="14">
        <f t="shared" si="366"/>
        <v>0</v>
      </c>
      <c r="H2917" s="24">
        <f t="shared" si="364"/>
        <v>650</v>
      </c>
      <c r="I2917" s="12">
        <f t="shared" si="371"/>
        <v>0.18832159384295316</v>
      </c>
      <c r="J2917" s="3"/>
    </row>
    <row r="2918" spans="2:10" x14ac:dyDescent="0.25">
      <c r="B2918" s="3">
        <f t="shared" si="367"/>
        <v>14490</v>
      </c>
      <c r="C2918" s="14">
        <f t="shared" si="368"/>
        <v>241.5</v>
      </c>
      <c r="D2918" s="11">
        <f t="shared" si="369"/>
        <v>1153.7499896398506</v>
      </c>
      <c r="E2918" s="24">
        <f t="shared" si="370"/>
        <v>922.17430182193527</v>
      </c>
      <c r="F2918" s="38">
        <f t="shared" si="365"/>
        <v>0.92891268038664632</v>
      </c>
      <c r="G2918" s="14">
        <f t="shared" si="366"/>
        <v>0</v>
      </c>
      <c r="H2918" s="24">
        <f t="shared" si="364"/>
        <v>650</v>
      </c>
      <c r="I2918" s="12">
        <f t="shared" si="371"/>
        <v>0.18820931136013533</v>
      </c>
      <c r="J2918" s="3"/>
    </row>
    <row r="2919" spans="2:10" x14ac:dyDescent="0.25">
      <c r="B2919" s="3">
        <f t="shared" si="367"/>
        <v>14495</v>
      </c>
      <c r="C2919" s="14">
        <f t="shared" si="368"/>
        <v>241.58333333333334</v>
      </c>
      <c r="D2919" s="11">
        <f t="shared" si="369"/>
        <v>1153.8016557080373</v>
      </c>
      <c r="E2919" s="24">
        <f t="shared" si="370"/>
        <v>922.36251113329536</v>
      </c>
      <c r="F2919" s="38">
        <f t="shared" si="365"/>
        <v>0.92891268038664632</v>
      </c>
      <c r="G2919" s="14">
        <f t="shared" si="366"/>
        <v>0</v>
      </c>
      <c r="H2919" s="24">
        <f t="shared" si="364"/>
        <v>650</v>
      </c>
      <c r="I2919" s="12">
        <f t="shared" si="371"/>
        <v>0.1880971065033282</v>
      </c>
      <c r="J2919" s="3"/>
    </row>
    <row r="2920" spans="2:10" x14ac:dyDescent="0.25">
      <c r="B2920" s="3">
        <f t="shared" si="367"/>
        <v>14500</v>
      </c>
      <c r="C2920" s="14">
        <f t="shared" si="368"/>
        <v>241.66666666666666</v>
      </c>
      <c r="D2920" s="11">
        <f t="shared" si="369"/>
        <v>1153.8533039664794</v>
      </c>
      <c r="E2920" s="24">
        <f t="shared" si="370"/>
        <v>922.55060823979863</v>
      </c>
      <c r="F2920" s="38">
        <f t="shared" si="365"/>
        <v>0.92891268038664632</v>
      </c>
      <c r="G2920" s="14">
        <f t="shared" si="366"/>
        <v>0</v>
      </c>
      <c r="H2920" s="24">
        <f t="shared" si="364"/>
        <v>650</v>
      </c>
      <c r="I2920" s="12">
        <f t="shared" si="371"/>
        <v>0.18798497921933668</v>
      </c>
      <c r="J2920" s="3"/>
    </row>
    <row r="2921" spans="2:10" x14ac:dyDescent="0.25">
      <c r="B2921" s="3">
        <f t="shared" si="367"/>
        <v>14505</v>
      </c>
      <c r="C2921" s="14">
        <f t="shared" si="368"/>
        <v>241.75</v>
      </c>
      <c r="D2921" s="11">
        <f t="shared" si="369"/>
        <v>1153.9049344274508</v>
      </c>
      <c r="E2921" s="24">
        <f t="shared" si="370"/>
        <v>922.73859321901796</v>
      </c>
      <c r="F2921" s="38">
        <f t="shared" si="365"/>
        <v>0.92891268038664632</v>
      </c>
      <c r="G2921" s="14">
        <f t="shared" si="366"/>
        <v>0</v>
      </c>
      <c r="H2921" s="24">
        <f t="shared" si="364"/>
        <v>650</v>
      </c>
      <c r="I2921" s="12">
        <f t="shared" si="371"/>
        <v>0.18787292945491085</v>
      </c>
      <c r="J2921" s="3"/>
    </row>
    <row r="2922" spans="2:10" x14ac:dyDescent="0.25">
      <c r="B2922" s="3">
        <f t="shared" si="367"/>
        <v>14510</v>
      </c>
      <c r="C2922" s="14">
        <f t="shared" si="368"/>
        <v>241.83333333333334</v>
      </c>
      <c r="D2922" s="11">
        <f t="shared" si="369"/>
        <v>1153.9565471032131</v>
      </c>
      <c r="E2922" s="24">
        <f t="shared" si="370"/>
        <v>922.92646614847285</v>
      </c>
      <c r="F2922" s="38">
        <f t="shared" si="365"/>
        <v>0.92891268038664632</v>
      </c>
      <c r="G2922" s="14">
        <f t="shared" si="366"/>
        <v>0</v>
      </c>
      <c r="H2922" s="24">
        <f t="shared" si="364"/>
        <v>650</v>
      </c>
      <c r="I2922" s="12">
        <f t="shared" si="371"/>
        <v>0.18776095715679092</v>
      </c>
      <c r="J2922" s="3"/>
    </row>
    <row r="2923" spans="2:10" x14ac:dyDescent="0.25">
      <c r="B2923" s="3">
        <f t="shared" si="367"/>
        <v>14515</v>
      </c>
      <c r="C2923" s="14">
        <f t="shared" si="368"/>
        <v>241.91666666666666</v>
      </c>
      <c r="D2923" s="11">
        <f t="shared" si="369"/>
        <v>1154.0081420060153</v>
      </c>
      <c r="E2923" s="24">
        <f t="shared" si="370"/>
        <v>923.11422710562965</v>
      </c>
      <c r="F2923" s="38">
        <f t="shared" si="365"/>
        <v>0.92891268038664632</v>
      </c>
      <c r="G2923" s="14">
        <f t="shared" si="366"/>
        <v>0</v>
      </c>
      <c r="H2923" s="24">
        <f t="shared" si="364"/>
        <v>650</v>
      </c>
      <c r="I2923" s="12">
        <f t="shared" si="371"/>
        <v>0.18764906227177308</v>
      </c>
      <c r="J2923" s="3"/>
    </row>
    <row r="2924" spans="2:10" x14ac:dyDescent="0.25">
      <c r="B2924" s="3">
        <f t="shared" si="367"/>
        <v>14520</v>
      </c>
      <c r="C2924" s="14">
        <f t="shared" si="368"/>
        <v>242</v>
      </c>
      <c r="D2924" s="11">
        <f t="shared" si="369"/>
        <v>1154.0597191480931</v>
      </c>
      <c r="E2924" s="24">
        <f t="shared" si="370"/>
        <v>923.30187616790147</v>
      </c>
      <c r="F2924" s="38">
        <f t="shared" si="365"/>
        <v>0.92891268038664632</v>
      </c>
      <c r="G2924" s="14">
        <f t="shared" si="366"/>
        <v>0</v>
      </c>
      <c r="H2924" s="24">
        <f t="shared" si="364"/>
        <v>650</v>
      </c>
      <c r="I2924" s="12">
        <f t="shared" si="371"/>
        <v>0.18753724474677522</v>
      </c>
      <c r="J2924" s="3"/>
    </row>
    <row r="2925" spans="2:10" x14ac:dyDescent="0.25">
      <c r="B2925" s="3">
        <f t="shared" si="367"/>
        <v>14525</v>
      </c>
      <c r="C2925" s="14">
        <f t="shared" si="368"/>
        <v>242.08333333333334</v>
      </c>
      <c r="D2925" s="11">
        <f t="shared" si="369"/>
        <v>1154.1112785416703</v>
      </c>
      <c r="E2925" s="24">
        <f t="shared" si="370"/>
        <v>923.48941341264822</v>
      </c>
      <c r="F2925" s="38">
        <f t="shared" si="365"/>
        <v>0.92891268038664632</v>
      </c>
      <c r="G2925" s="14">
        <f t="shared" si="366"/>
        <v>0</v>
      </c>
      <c r="H2925" s="24">
        <f t="shared" si="364"/>
        <v>650</v>
      </c>
      <c r="I2925" s="12">
        <f t="shared" si="371"/>
        <v>0.18742550452859497</v>
      </c>
      <c r="J2925" s="3"/>
    </row>
    <row r="2926" spans="2:10" x14ac:dyDescent="0.25">
      <c r="B2926" s="3">
        <f t="shared" si="367"/>
        <v>14530</v>
      </c>
      <c r="C2926" s="14">
        <f t="shared" si="368"/>
        <v>242.16666666666666</v>
      </c>
      <c r="D2926" s="11">
        <f t="shared" si="369"/>
        <v>1154.1628201989574</v>
      </c>
      <c r="E2926" s="24">
        <f t="shared" si="370"/>
        <v>923.67683891717684</v>
      </c>
      <c r="F2926" s="38">
        <f t="shared" si="365"/>
        <v>0.92891268038664632</v>
      </c>
      <c r="G2926" s="14">
        <f t="shared" si="366"/>
        <v>0</v>
      </c>
      <c r="H2926" s="24">
        <f t="shared" si="364"/>
        <v>650</v>
      </c>
      <c r="I2926" s="12">
        <f t="shared" si="371"/>
        <v>0.18731384156421782</v>
      </c>
      <c r="J2926" s="3"/>
    </row>
    <row r="2927" spans="2:10" x14ac:dyDescent="0.25">
      <c r="B2927" s="3">
        <f t="shared" si="367"/>
        <v>14535</v>
      </c>
      <c r="C2927" s="14">
        <f t="shared" si="368"/>
        <v>242.25</v>
      </c>
      <c r="D2927" s="11">
        <f t="shared" si="369"/>
        <v>1154.2143441321532</v>
      </c>
      <c r="E2927" s="24">
        <f t="shared" si="370"/>
        <v>923.86415275874106</v>
      </c>
      <c r="F2927" s="38">
        <f t="shared" si="365"/>
        <v>0.92891268038664632</v>
      </c>
      <c r="G2927" s="14">
        <f t="shared" si="366"/>
        <v>0</v>
      </c>
      <c r="H2927" s="24">
        <f t="shared" si="364"/>
        <v>650</v>
      </c>
      <c r="I2927" s="12">
        <f t="shared" si="371"/>
        <v>0.18720225580048694</v>
      </c>
      <c r="J2927" s="3"/>
    </row>
    <row r="2928" spans="2:10" x14ac:dyDescent="0.25">
      <c r="B2928" s="3">
        <f t="shared" si="367"/>
        <v>14540</v>
      </c>
      <c r="C2928" s="14">
        <f t="shared" si="368"/>
        <v>242.33333333333334</v>
      </c>
      <c r="D2928" s="11">
        <f t="shared" si="369"/>
        <v>1154.2658503534431</v>
      </c>
      <c r="E2928" s="24">
        <f t="shared" si="370"/>
        <v>924.05135501454151</v>
      </c>
      <c r="F2928" s="38">
        <f t="shared" si="365"/>
        <v>0.92891268038664632</v>
      </c>
      <c r="G2928" s="14">
        <f t="shared" si="366"/>
        <v>0</v>
      </c>
      <c r="H2928" s="24">
        <f t="shared" si="364"/>
        <v>650</v>
      </c>
      <c r="I2928" s="12">
        <f t="shared" si="371"/>
        <v>0.18709074718445559</v>
      </c>
      <c r="J2928" s="3"/>
    </row>
    <row r="2929" spans="2:10" x14ac:dyDescent="0.25">
      <c r="B2929" s="3">
        <f t="shared" si="367"/>
        <v>14545</v>
      </c>
      <c r="C2929" s="14">
        <f t="shared" si="368"/>
        <v>242.41666666666666</v>
      </c>
      <c r="D2929" s="11">
        <f t="shared" si="369"/>
        <v>1154.3173388750001</v>
      </c>
      <c r="E2929" s="24">
        <f t="shared" si="370"/>
        <v>924.23844576172598</v>
      </c>
      <c r="F2929" s="38">
        <f t="shared" si="365"/>
        <v>0.92891268038664632</v>
      </c>
      <c r="G2929" s="14">
        <f t="shared" si="366"/>
        <v>0</v>
      </c>
      <c r="H2929" s="24">
        <f t="shared" si="364"/>
        <v>650</v>
      </c>
      <c r="I2929" s="12">
        <f t="shared" si="371"/>
        <v>0.18697931566310033</v>
      </c>
      <c r="J2929" s="3"/>
    </row>
    <row r="2930" spans="2:10" x14ac:dyDescent="0.25">
      <c r="B2930" s="3">
        <f t="shared" si="367"/>
        <v>14550</v>
      </c>
      <c r="C2930" s="14">
        <f t="shared" si="368"/>
        <v>242.5</v>
      </c>
      <c r="D2930" s="11">
        <f t="shared" si="369"/>
        <v>1154.3688097089851</v>
      </c>
      <c r="E2930" s="24">
        <f t="shared" si="370"/>
        <v>924.42542507738904</v>
      </c>
      <c r="F2930" s="38">
        <f t="shared" si="365"/>
        <v>0.92891268038664632</v>
      </c>
      <c r="G2930" s="14">
        <f t="shared" si="366"/>
        <v>0</v>
      </c>
      <c r="H2930" s="24">
        <f t="shared" si="364"/>
        <v>650</v>
      </c>
      <c r="I2930" s="12">
        <f t="shared" si="371"/>
        <v>0.18686796118345383</v>
      </c>
      <c r="J2930" s="3"/>
    </row>
    <row r="2931" spans="2:10" x14ac:dyDescent="0.25">
      <c r="B2931" s="3">
        <f t="shared" si="367"/>
        <v>14555</v>
      </c>
      <c r="C2931" s="14">
        <f t="shared" si="368"/>
        <v>242.58333333333334</v>
      </c>
      <c r="D2931" s="11">
        <f t="shared" si="369"/>
        <v>1154.4202628675459</v>
      </c>
      <c r="E2931" s="24">
        <f t="shared" si="370"/>
        <v>924.61229303857249</v>
      </c>
      <c r="F2931" s="38">
        <f t="shared" si="365"/>
        <v>0.92891268038664632</v>
      </c>
      <c r="G2931" s="14">
        <f t="shared" si="366"/>
        <v>0</v>
      </c>
      <c r="H2931" s="24">
        <f t="shared" si="364"/>
        <v>650</v>
      </c>
      <c r="I2931" s="12">
        <f t="shared" si="371"/>
        <v>0.1867566836925823</v>
      </c>
      <c r="J2931" s="3"/>
    </row>
    <row r="2932" spans="2:10" x14ac:dyDescent="0.25">
      <c r="B2932" s="3">
        <f t="shared" si="367"/>
        <v>14560</v>
      </c>
      <c r="C2932" s="14">
        <f t="shared" si="368"/>
        <v>242.66666666666666</v>
      </c>
      <c r="D2932" s="11">
        <f t="shared" si="369"/>
        <v>1154.4716983628182</v>
      </c>
      <c r="E2932" s="24">
        <f t="shared" si="370"/>
        <v>924.79904972226507</v>
      </c>
      <c r="F2932" s="38">
        <f t="shared" si="365"/>
        <v>0.92891268038664632</v>
      </c>
      <c r="G2932" s="14">
        <f t="shared" si="366"/>
        <v>0</v>
      </c>
      <c r="H2932" s="24">
        <f t="shared" si="364"/>
        <v>650</v>
      </c>
      <c r="I2932" s="12">
        <f t="shared" si="371"/>
        <v>0.1866454831376077</v>
      </c>
      <c r="J2932" s="3"/>
    </row>
    <row r="2933" spans="2:10" x14ac:dyDescent="0.25">
      <c r="B2933" s="3">
        <f t="shared" si="367"/>
        <v>14565</v>
      </c>
      <c r="C2933" s="14">
        <f t="shared" si="368"/>
        <v>242.75</v>
      </c>
      <c r="D2933" s="11">
        <f t="shared" si="369"/>
        <v>1154.5231162069249</v>
      </c>
      <c r="E2933" s="24">
        <f t="shared" si="370"/>
        <v>924.98569520540264</v>
      </c>
      <c r="F2933" s="38">
        <f t="shared" si="365"/>
        <v>0.92891268038664632</v>
      </c>
      <c r="G2933" s="14">
        <f t="shared" si="366"/>
        <v>0</v>
      </c>
      <c r="H2933" s="24">
        <f t="shared" si="364"/>
        <v>650</v>
      </c>
      <c r="I2933" s="12">
        <f t="shared" si="371"/>
        <v>0.1865343594656417</v>
      </c>
      <c r="J2933" s="3"/>
    </row>
    <row r="2934" spans="2:10" x14ac:dyDescent="0.25">
      <c r="B2934" s="3">
        <f t="shared" si="367"/>
        <v>14570</v>
      </c>
      <c r="C2934" s="14">
        <f t="shared" si="368"/>
        <v>242.83333333333334</v>
      </c>
      <c r="D2934" s="11">
        <f t="shared" si="369"/>
        <v>1154.5745164119767</v>
      </c>
      <c r="E2934" s="24">
        <f t="shared" si="370"/>
        <v>925.1722295648683</v>
      </c>
      <c r="F2934" s="38">
        <f t="shared" si="365"/>
        <v>0.92891268038664632</v>
      </c>
      <c r="G2934" s="14">
        <f t="shared" si="366"/>
        <v>0</v>
      </c>
      <c r="H2934" s="24">
        <f t="shared" si="364"/>
        <v>650</v>
      </c>
      <c r="I2934" s="12">
        <f t="shared" si="371"/>
        <v>0.18642331262385167</v>
      </c>
      <c r="J2934" s="3"/>
    </row>
    <row r="2935" spans="2:10" x14ac:dyDescent="0.25">
      <c r="B2935" s="3">
        <f t="shared" si="367"/>
        <v>14575</v>
      </c>
      <c r="C2935" s="14">
        <f t="shared" si="368"/>
        <v>242.91666666666666</v>
      </c>
      <c r="D2935" s="11">
        <f t="shared" si="369"/>
        <v>1154.6258989900716</v>
      </c>
      <c r="E2935" s="24">
        <f t="shared" si="370"/>
        <v>925.3586528774922</v>
      </c>
      <c r="F2935" s="38">
        <f t="shared" si="365"/>
        <v>0.92891268038664632</v>
      </c>
      <c r="G2935" s="14">
        <f t="shared" si="366"/>
        <v>0</v>
      </c>
      <c r="H2935" s="24">
        <f t="shared" ref="H2935:H2972" si="372">IF(E2935&lt;600,425+0.773*E2935-1.69/1000*E2935^2+2.22/1000^2*E2935^3,IF(E2935&lt;735,666+13002/(738-E2935),IF(E2935&lt;900,545+17820/(E2935-731),650)))</f>
        <v>650</v>
      </c>
      <c r="I2935" s="12">
        <f t="shared" si="371"/>
        <v>0.18631234255943863</v>
      </c>
      <c r="J2935" s="3"/>
    </row>
    <row r="2936" spans="2:10" x14ac:dyDescent="0.25">
      <c r="B2936" s="3">
        <f t="shared" si="367"/>
        <v>14580</v>
      </c>
      <c r="C2936" s="14">
        <f t="shared" si="368"/>
        <v>243</v>
      </c>
      <c r="D2936" s="11">
        <f t="shared" si="369"/>
        <v>1154.6772639532956</v>
      </c>
      <c r="E2936" s="24">
        <f t="shared" si="370"/>
        <v>925.54496522005161</v>
      </c>
      <c r="F2936" s="38">
        <f t="shared" si="365"/>
        <v>0.92891268038664632</v>
      </c>
      <c r="G2936" s="14">
        <f t="shared" si="366"/>
        <v>0</v>
      </c>
      <c r="H2936" s="24">
        <f t="shared" si="372"/>
        <v>650</v>
      </c>
      <c r="I2936" s="12">
        <f t="shared" si="371"/>
        <v>0.18620144921961551</v>
      </c>
      <c r="J2936" s="3"/>
    </row>
    <row r="2937" spans="2:10" x14ac:dyDescent="0.25">
      <c r="B2937" s="3">
        <f t="shared" si="367"/>
        <v>14585</v>
      </c>
      <c r="C2937" s="14">
        <f t="shared" si="368"/>
        <v>243.08333333333334</v>
      </c>
      <c r="D2937" s="11">
        <f t="shared" si="369"/>
        <v>1154.7286113137216</v>
      </c>
      <c r="E2937" s="24">
        <f t="shared" si="370"/>
        <v>925.73116666927126</v>
      </c>
      <c r="F2937" s="38">
        <f t="shared" si="365"/>
        <v>0.92891268038664632</v>
      </c>
      <c r="G2937" s="14">
        <f t="shared" si="366"/>
        <v>0</v>
      </c>
      <c r="H2937" s="24">
        <f t="shared" si="372"/>
        <v>650</v>
      </c>
      <c r="I2937" s="12">
        <f t="shared" si="371"/>
        <v>0.18609063255167255</v>
      </c>
      <c r="J2937" s="3"/>
    </row>
    <row r="2938" spans="2:10" x14ac:dyDescent="0.25">
      <c r="B2938" s="3">
        <f t="shared" si="367"/>
        <v>14590</v>
      </c>
      <c r="C2938" s="14">
        <f t="shared" si="368"/>
        <v>243.16666666666666</v>
      </c>
      <c r="D2938" s="11">
        <f t="shared" si="369"/>
        <v>1154.7799410834104</v>
      </c>
      <c r="E2938" s="24">
        <f t="shared" si="370"/>
        <v>925.91725730182293</v>
      </c>
      <c r="F2938" s="38">
        <f t="shared" si="365"/>
        <v>0.92891268038664632</v>
      </c>
      <c r="G2938" s="14">
        <f t="shared" si="366"/>
        <v>0</v>
      </c>
      <c r="H2938" s="24">
        <f t="shared" si="372"/>
        <v>650</v>
      </c>
      <c r="I2938" s="12">
        <f t="shared" si="371"/>
        <v>0.18597989250288985</v>
      </c>
      <c r="J2938" s="3"/>
    </row>
    <row r="2939" spans="2:10" x14ac:dyDescent="0.25">
      <c r="B2939" s="3">
        <f t="shared" si="367"/>
        <v>14595</v>
      </c>
      <c r="C2939" s="14">
        <f t="shared" si="368"/>
        <v>243.25</v>
      </c>
      <c r="D2939" s="11">
        <f t="shared" si="369"/>
        <v>1154.8312532744108</v>
      </c>
      <c r="E2939" s="24">
        <f t="shared" si="370"/>
        <v>926.10323719432586</v>
      </c>
      <c r="F2939" s="38">
        <f t="shared" si="365"/>
        <v>0.92891268038664632</v>
      </c>
      <c r="G2939" s="14">
        <f t="shared" si="366"/>
        <v>0</v>
      </c>
      <c r="H2939" s="24">
        <f t="shared" si="372"/>
        <v>650</v>
      </c>
      <c r="I2939" s="12">
        <f t="shared" si="371"/>
        <v>0.18586922902058092</v>
      </c>
      <c r="J2939" s="3"/>
    </row>
    <row r="2940" spans="2:10" x14ac:dyDescent="0.25">
      <c r="B2940" s="3">
        <f t="shared" si="367"/>
        <v>14600</v>
      </c>
      <c r="C2940" s="14">
        <f t="shared" si="368"/>
        <v>243.33333333333334</v>
      </c>
      <c r="D2940" s="11">
        <f t="shared" si="369"/>
        <v>1154.8825478987587</v>
      </c>
      <c r="E2940" s="24">
        <f t="shared" si="370"/>
        <v>926.28910642334642</v>
      </c>
      <c r="F2940" s="38">
        <f t="shared" si="365"/>
        <v>0.92891268038664632</v>
      </c>
      <c r="G2940" s="14">
        <f t="shared" si="366"/>
        <v>0</v>
      </c>
      <c r="H2940" s="24">
        <f t="shared" si="372"/>
        <v>650</v>
      </c>
      <c r="I2940" s="12">
        <f t="shared" si="371"/>
        <v>0.18575864205209328</v>
      </c>
      <c r="J2940" s="3"/>
    </row>
    <row r="2941" spans="2:10" x14ac:dyDescent="0.25">
      <c r="B2941" s="3">
        <f t="shared" si="367"/>
        <v>14605</v>
      </c>
      <c r="C2941" s="14">
        <f t="shared" si="368"/>
        <v>243.41666666666666</v>
      </c>
      <c r="D2941" s="11">
        <f t="shared" si="369"/>
        <v>1154.9338249684777</v>
      </c>
      <c r="E2941" s="24">
        <f t="shared" si="370"/>
        <v>926.47486506539849</v>
      </c>
      <c r="F2941" s="38">
        <f t="shared" si="365"/>
        <v>0.92891268038664632</v>
      </c>
      <c r="G2941" s="14">
        <f t="shared" si="366"/>
        <v>0</v>
      </c>
      <c r="H2941" s="24">
        <f t="shared" si="372"/>
        <v>650</v>
      </c>
      <c r="I2941" s="12">
        <f t="shared" si="371"/>
        <v>0.18564813154487378</v>
      </c>
      <c r="J2941" s="3"/>
    </row>
    <row r="2942" spans="2:10" x14ac:dyDescent="0.25">
      <c r="B2942" s="3">
        <f t="shared" si="367"/>
        <v>14610</v>
      </c>
      <c r="C2942" s="14">
        <f t="shared" si="368"/>
        <v>243.5</v>
      </c>
      <c r="D2942" s="11">
        <f t="shared" si="369"/>
        <v>1154.9850844955793</v>
      </c>
      <c r="E2942" s="24">
        <f t="shared" si="370"/>
        <v>926.66051319694338</v>
      </c>
      <c r="F2942" s="38">
        <f t="shared" si="365"/>
        <v>0.92891268038664632</v>
      </c>
      <c r="G2942" s="14">
        <f t="shared" si="366"/>
        <v>0</v>
      </c>
      <c r="H2942" s="24">
        <f t="shared" si="372"/>
        <v>650</v>
      </c>
      <c r="I2942" s="12">
        <f t="shared" si="371"/>
        <v>0.18553769744627063</v>
      </c>
      <c r="J2942" s="3"/>
    </row>
    <row r="2943" spans="2:10" x14ac:dyDescent="0.25">
      <c r="B2943" s="3">
        <f t="shared" si="367"/>
        <v>14615</v>
      </c>
      <c r="C2943" s="14">
        <f t="shared" si="368"/>
        <v>243.58333333333334</v>
      </c>
      <c r="D2943" s="11">
        <f t="shared" si="369"/>
        <v>1155.0363264920625</v>
      </c>
      <c r="E2943" s="24">
        <f t="shared" si="370"/>
        <v>926.84605089438969</v>
      </c>
      <c r="F2943" s="38">
        <f t="shared" si="365"/>
        <v>0.92891268038664632</v>
      </c>
      <c r="G2943" s="14">
        <f t="shared" si="366"/>
        <v>0</v>
      </c>
      <c r="H2943" s="24">
        <f t="shared" si="372"/>
        <v>650</v>
      </c>
      <c r="I2943" s="12">
        <f t="shared" si="371"/>
        <v>0.18542733970377615</v>
      </c>
      <c r="J2943" s="3"/>
    </row>
    <row r="2944" spans="2:10" x14ac:dyDescent="0.25">
      <c r="B2944" s="3">
        <f t="shared" si="367"/>
        <v>14620</v>
      </c>
      <c r="C2944" s="14">
        <f t="shared" si="368"/>
        <v>243.66666666666666</v>
      </c>
      <c r="D2944" s="11">
        <f t="shared" si="369"/>
        <v>1155.0875509699142</v>
      </c>
      <c r="E2944" s="24">
        <f t="shared" si="370"/>
        <v>927.03147823409347</v>
      </c>
      <c r="F2944" s="38">
        <f t="shared" si="365"/>
        <v>0.92891268038664632</v>
      </c>
      <c r="G2944" s="14">
        <f t="shared" si="366"/>
        <v>0</v>
      </c>
      <c r="H2944" s="24">
        <f t="shared" si="372"/>
        <v>650</v>
      </c>
      <c r="I2944" s="12">
        <f t="shared" si="371"/>
        <v>0.18531705826485004</v>
      </c>
      <c r="J2944" s="3"/>
    </row>
    <row r="2945" spans="2:10" x14ac:dyDescent="0.25">
      <c r="B2945" s="3">
        <f t="shared" si="367"/>
        <v>14625</v>
      </c>
      <c r="C2945" s="14">
        <f t="shared" si="368"/>
        <v>243.75</v>
      </c>
      <c r="D2945" s="11">
        <f t="shared" si="369"/>
        <v>1155.1387579411087</v>
      </c>
      <c r="E2945" s="24">
        <f t="shared" si="370"/>
        <v>927.21679529235837</v>
      </c>
      <c r="F2945" s="38">
        <f t="shared" si="365"/>
        <v>0.92891268038664632</v>
      </c>
      <c r="G2945" s="14">
        <f t="shared" si="366"/>
        <v>0</v>
      </c>
      <c r="H2945" s="24">
        <f t="shared" si="372"/>
        <v>650</v>
      </c>
      <c r="I2945" s="12">
        <f t="shared" si="371"/>
        <v>0.1852068530770514</v>
      </c>
      <c r="J2945" s="3"/>
    </row>
    <row r="2946" spans="2:10" x14ac:dyDescent="0.25">
      <c r="B2946" s="3">
        <f t="shared" si="367"/>
        <v>14630</v>
      </c>
      <c r="C2946" s="14">
        <f t="shared" si="368"/>
        <v>243.83333333333334</v>
      </c>
      <c r="D2946" s="11">
        <f t="shared" si="369"/>
        <v>1155.189947417608</v>
      </c>
      <c r="E2946" s="24">
        <f t="shared" si="370"/>
        <v>927.4020021454354</v>
      </c>
      <c r="F2946" s="38">
        <f t="shared" si="365"/>
        <v>0.92891268038664632</v>
      </c>
      <c r="G2946" s="14">
        <f t="shared" si="366"/>
        <v>0</v>
      </c>
      <c r="H2946" s="24">
        <f t="shared" si="372"/>
        <v>650</v>
      </c>
      <c r="I2946" s="12">
        <f t="shared" si="371"/>
        <v>0.18509672408790681</v>
      </c>
      <c r="J2946" s="3"/>
    </row>
    <row r="2947" spans="2:10" x14ac:dyDescent="0.25">
      <c r="B2947" s="3">
        <f t="shared" si="367"/>
        <v>14635</v>
      </c>
      <c r="C2947" s="14">
        <f t="shared" si="368"/>
        <v>243.91666666666666</v>
      </c>
      <c r="D2947" s="11">
        <f t="shared" si="369"/>
        <v>1155.2411194113627</v>
      </c>
      <c r="E2947" s="24">
        <f t="shared" si="370"/>
        <v>927.58709886952329</v>
      </c>
      <c r="F2947" s="38">
        <f t="shared" si="365"/>
        <v>0.92891268038664632</v>
      </c>
      <c r="G2947" s="14">
        <f t="shared" si="366"/>
        <v>0</v>
      </c>
      <c r="H2947" s="24">
        <f t="shared" si="372"/>
        <v>650</v>
      </c>
      <c r="I2947" s="12">
        <f t="shared" si="371"/>
        <v>0.18498667124493276</v>
      </c>
      <c r="J2947" s="3"/>
    </row>
    <row r="2948" spans="2:10" x14ac:dyDescent="0.25">
      <c r="B2948" s="3">
        <f t="shared" si="367"/>
        <v>14640</v>
      </c>
      <c r="C2948" s="14">
        <f t="shared" si="368"/>
        <v>244</v>
      </c>
      <c r="D2948" s="11">
        <f t="shared" si="369"/>
        <v>1155.2922739343096</v>
      </c>
      <c r="E2948" s="24">
        <f t="shared" si="370"/>
        <v>927.77208554076822</v>
      </c>
      <c r="F2948" s="38">
        <f t="shared" si="365"/>
        <v>0.92891268038664632</v>
      </c>
      <c r="G2948" s="14">
        <f t="shared" si="366"/>
        <v>0</v>
      </c>
      <c r="H2948" s="24">
        <f t="shared" si="372"/>
        <v>650</v>
      </c>
      <c r="I2948" s="12">
        <f t="shared" si="371"/>
        <v>0.18487669449587713</v>
      </c>
      <c r="J2948" s="3"/>
    </row>
    <row r="2949" spans="2:10" x14ac:dyDescent="0.25">
      <c r="B2949" s="3">
        <f t="shared" si="367"/>
        <v>14645</v>
      </c>
      <c r="C2949" s="14">
        <f t="shared" si="368"/>
        <v>244.08333333333334</v>
      </c>
      <c r="D2949" s="11">
        <f t="shared" si="369"/>
        <v>1155.3434109983748</v>
      </c>
      <c r="E2949" s="24">
        <f t="shared" si="370"/>
        <v>927.95696223526409</v>
      </c>
      <c r="F2949" s="38">
        <f t="shared" si="365"/>
        <v>0.92891268038664632</v>
      </c>
      <c r="G2949" s="14">
        <f t="shared" si="366"/>
        <v>0</v>
      </c>
      <c r="H2949" s="24">
        <f t="shared" si="372"/>
        <v>650</v>
      </c>
      <c r="I2949" s="12">
        <f t="shared" si="371"/>
        <v>0.18476679378825681</v>
      </c>
      <c r="J2949" s="3"/>
    </row>
    <row r="2950" spans="2:10" x14ac:dyDescent="0.25">
      <c r="B2950" s="3">
        <f t="shared" si="367"/>
        <v>14650</v>
      </c>
      <c r="C2950" s="14">
        <f t="shared" si="368"/>
        <v>244.16666666666666</v>
      </c>
      <c r="D2950" s="11">
        <f t="shared" si="369"/>
        <v>1155.3945306154712</v>
      </c>
      <c r="E2950" s="24">
        <f t="shared" si="370"/>
        <v>928.14172902905239</v>
      </c>
      <c r="F2950" s="38">
        <f t="shared" si="365"/>
        <v>0.92891268038664632</v>
      </c>
      <c r="G2950" s="14">
        <f t="shared" si="366"/>
        <v>0</v>
      </c>
      <c r="H2950" s="24">
        <f t="shared" si="372"/>
        <v>650</v>
      </c>
      <c r="I2950" s="12">
        <f t="shared" si="371"/>
        <v>0.18465696906982088</v>
      </c>
      <c r="J2950" s="3"/>
    </row>
    <row r="2951" spans="2:10" x14ac:dyDescent="0.25">
      <c r="B2951" s="3">
        <f t="shared" si="367"/>
        <v>14655</v>
      </c>
      <c r="C2951" s="14">
        <f t="shared" si="368"/>
        <v>244.25</v>
      </c>
      <c r="D2951" s="11">
        <f t="shared" si="369"/>
        <v>1155.4456327975006</v>
      </c>
      <c r="E2951" s="24">
        <f t="shared" si="370"/>
        <v>928.32638599812219</v>
      </c>
      <c r="F2951" s="38">
        <f t="shared" si="365"/>
        <v>0.92891268038664632</v>
      </c>
      <c r="G2951" s="14">
        <f t="shared" si="366"/>
        <v>0</v>
      </c>
      <c r="H2951" s="24">
        <f t="shared" si="372"/>
        <v>650</v>
      </c>
      <c r="I2951" s="12">
        <f t="shared" si="371"/>
        <v>0.18454722028819767</v>
      </c>
      <c r="J2951" s="3"/>
    </row>
    <row r="2952" spans="2:10" x14ac:dyDescent="0.25">
      <c r="B2952" s="3">
        <f t="shared" si="367"/>
        <v>14660</v>
      </c>
      <c r="C2952" s="14">
        <f t="shared" si="368"/>
        <v>244.33333333333334</v>
      </c>
      <c r="D2952" s="11">
        <f t="shared" si="369"/>
        <v>1155.4967175563506</v>
      </c>
      <c r="E2952" s="24">
        <f t="shared" si="370"/>
        <v>928.5109332184104</v>
      </c>
      <c r="F2952" s="38">
        <f t="shared" si="365"/>
        <v>0.92891268038664632</v>
      </c>
      <c r="G2952" s="14">
        <f t="shared" si="366"/>
        <v>0</v>
      </c>
      <c r="H2952" s="24">
        <f t="shared" si="372"/>
        <v>650</v>
      </c>
      <c r="I2952" s="12">
        <f t="shared" si="371"/>
        <v>0.18443754739129095</v>
      </c>
      <c r="J2952" s="3"/>
    </row>
    <row r="2953" spans="2:10" x14ac:dyDescent="0.25">
      <c r="B2953" s="3">
        <f t="shared" si="367"/>
        <v>14665</v>
      </c>
      <c r="C2953" s="14">
        <f t="shared" si="368"/>
        <v>244.41666666666666</v>
      </c>
      <c r="D2953" s="11">
        <f t="shared" si="369"/>
        <v>1155.5477849038991</v>
      </c>
      <c r="E2953" s="24">
        <f t="shared" si="370"/>
        <v>928.69537076580173</v>
      </c>
      <c r="F2953" s="38">
        <f t="shared" si="365"/>
        <v>0.92891268038664632</v>
      </c>
      <c r="G2953" s="14">
        <f t="shared" si="366"/>
        <v>0</v>
      </c>
      <c r="H2953" s="24">
        <f t="shared" si="372"/>
        <v>650</v>
      </c>
      <c r="I2953" s="12">
        <f t="shared" si="371"/>
        <v>0.18432795032666341</v>
      </c>
      <c r="J2953" s="3"/>
    </row>
    <row r="2954" spans="2:10" x14ac:dyDescent="0.25">
      <c r="B2954" s="3">
        <f t="shared" si="367"/>
        <v>14670</v>
      </c>
      <c r="C2954" s="14">
        <f t="shared" si="368"/>
        <v>244.5</v>
      </c>
      <c r="D2954" s="11">
        <f t="shared" si="369"/>
        <v>1155.5988348520102</v>
      </c>
      <c r="E2954" s="24">
        <f t="shared" si="370"/>
        <v>928.87969871612836</v>
      </c>
      <c r="F2954" s="38">
        <f t="shared" si="365"/>
        <v>0.92891268038664632</v>
      </c>
      <c r="G2954" s="14">
        <f t="shared" si="366"/>
        <v>0</v>
      </c>
      <c r="H2954" s="24">
        <f t="shared" si="372"/>
        <v>650</v>
      </c>
      <c r="I2954" s="12">
        <f t="shared" si="371"/>
        <v>0.18421842904226435</v>
      </c>
      <c r="J2954" s="3"/>
    </row>
    <row r="2955" spans="2:10" x14ac:dyDescent="0.25">
      <c r="B2955" s="3">
        <f t="shared" si="367"/>
        <v>14675</v>
      </c>
      <c r="C2955" s="14">
        <f t="shared" si="368"/>
        <v>244.58333333333334</v>
      </c>
      <c r="D2955" s="11">
        <f t="shared" si="369"/>
        <v>1155.6498674125367</v>
      </c>
      <c r="E2955" s="24">
        <f t="shared" si="370"/>
        <v>929.06391714517065</v>
      </c>
      <c r="F2955" s="38">
        <f t="shared" si="365"/>
        <v>0.92891268038664632</v>
      </c>
      <c r="G2955" s="14">
        <f t="shared" si="366"/>
        <v>0</v>
      </c>
      <c r="H2955" s="24">
        <f t="shared" si="372"/>
        <v>650</v>
      </c>
      <c r="I2955" s="12">
        <f t="shared" si="371"/>
        <v>0.18410898348585553</v>
      </c>
      <c r="J2955" s="3"/>
    </row>
    <row r="2956" spans="2:10" x14ac:dyDescent="0.25">
      <c r="B2956" s="3">
        <f t="shared" si="367"/>
        <v>14680</v>
      </c>
      <c r="C2956" s="14">
        <f t="shared" si="368"/>
        <v>244.66666666666666</v>
      </c>
      <c r="D2956" s="11">
        <f t="shared" si="369"/>
        <v>1155.7008825973182</v>
      </c>
      <c r="E2956" s="24">
        <f t="shared" si="370"/>
        <v>929.24802612865653</v>
      </c>
      <c r="F2956" s="38">
        <f t="shared" si="365"/>
        <v>0.92891268038664632</v>
      </c>
      <c r="G2956" s="14">
        <f t="shared" si="366"/>
        <v>0</v>
      </c>
      <c r="H2956" s="24">
        <f t="shared" si="372"/>
        <v>650</v>
      </c>
      <c r="I2956" s="12">
        <f t="shared" si="371"/>
        <v>0.18399961360538641</v>
      </c>
      <c r="J2956" s="3"/>
    </row>
    <row r="2957" spans="2:10" x14ac:dyDescent="0.25">
      <c r="B2957" s="3">
        <f t="shared" si="367"/>
        <v>14685</v>
      </c>
      <c r="C2957" s="14">
        <f t="shared" si="368"/>
        <v>244.75</v>
      </c>
      <c r="D2957" s="11">
        <f t="shared" si="369"/>
        <v>1155.7518804181839</v>
      </c>
      <c r="E2957" s="24">
        <f t="shared" si="370"/>
        <v>929.43202574226189</v>
      </c>
      <c r="F2957" s="38">
        <f t="shared" si="365"/>
        <v>0.92891268038664632</v>
      </c>
      <c r="G2957" s="14">
        <f t="shared" si="366"/>
        <v>0</v>
      </c>
      <c r="H2957" s="24">
        <f t="shared" si="372"/>
        <v>650</v>
      </c>
      <c r="I2957" s="12">
        <f t="shared" si="371"/>
        <v>0.18389031934864183</v>
      </c>
      <c r="J2957" s="3"/>
    </row>
    <row r="2958" spans="2:10" x14ac:dyDescent="0.25">
      <c r="B2958" s="3">
        <f t="shared" si="367"/>
        <v>14690</v>
      </c>
      <c r="C2958" s="14">
        <f t="shared" si="368"/>
        <v>244.83333333333334</v>
      </c>
      <c r="D2958" s="11">
        <f t="shared" si="369"/>
        <v>1155.8028608869495</v>
      </c>
      <c r="E2958" s="24">
        <f t="shared" si="370"/>
        <v>929.61591606161051</v>
      </c>
      <c r="F2958" s="38">
        <f t="shared" si="365"/>
        <v>0.92891268038664632</v>
      </c>
      <c r="G2958" s="14">
        <f t="shared" si="366"/>
        <v>0</v>
      </c>
      <c r="H2958" s="24">
        <f t="shared" si="372"/>
        <v>650</v>
      </c>
      <c r="I2958" s="12">
        <f t="shared" si="371"/>
        <v>0.18378110066363831</v>
      </c>
      <c r="J2958" s="3"/>
    </row>
    <row r="2959" spans="2:10" x14ac:dyDescent="0.25">
      <c r="B2959" s="3">
        <f t="shared" si="367"/>
        <v>14695</v>
      </c>
      <c r="C2959" s="14">
        <f t="shared" si="368"/>
        <v>244.91666666666666</v>
      </c>
      <c r="D2959" s="11">
        <f t="shared" si="369"/>
        <v>1155.8538240154194</v>
      </c>
      <c r="E2959" s="24">
        <f t="shared" si="370"/>
        <v>929.79969716227413</v>
      </c>
      <c r="F2959" s="38">
        <f t="shared" si="365"/>
        <v>0.92891268038664632</v>
      </c>
      <c r="G2959" s="14">
        <f t="shared" si="366"/>
        <v>0</v>
      </c>
      <c r="H2959" s="24">
        <f t="shared" si="372"/>
        <v>650</v>
      </c>
      <c r="I2959" s="12">
        <f t="shared" si="371"/>
        <v>0.18367195749829335</v>
      </c>
      <c r="J2959" s="3"/>
    </row>
    <row r="2960" spans="2:10" x14ac:dyDescent="0.25">
      <c r="B2960" s="3">
        <f t="shared" si="367"/>
        <v>14700</v>
      </c>
      <c r="C2960" s="14">
        <f t="shared" si="368"/>
        <v>245</v>
      </c>
      <c r="D2960" s="11">
        <f t="shared" si="369"/>
        <v>1155.9047698153854</v>
      </c>
      <c r="E2960" s="24">
        <f t="shared" si="370"/>
        <v>929.98336911977242</v>
      </c>
      <c r="F2960" s="38">
        <f t="shared" si="365"/>
        <v>0.92891268038664632</v>
      </c>
      <c r="G2960" s="14">
        <f t="shared" si="366"/>
        <v>0</v>
      </c>
      <c r="H2960" s="24">
        <f t="shared" si="372"/>
        <v>650</v>
      </c>
      <c r="I2960" s="12">
        <f t="shared" si="371"/>
        <v>0.18356288980064606</v>
      </c>
      <c r="J2960" s="3"/>
    </row>
    <row r="2961" spans="2:10" x14ac:dyDescent="0.25">
      <c r="B2961" s="3">
        <f t="shared" si="367"/>
        <v>14705</v>
      </c>
      <c r="C2961" s="14">
        <f t="shared" si="368"/>
        <v>245.08333333333334</v>
      </c>
      <c r="D2961" s="11">
        <f t="shared" si="369"/>
        <v>1155.9556982986278</v>
      </c>
      <c r="E2961" s="24">
        <f t="shared" si="370"/>
        <v>930.16693200957309</v>
      </c>
      <c r="F2961" s="38">
        <f t="shared" si="365"/>
        <v>0.92891268038664632</v>
      </c>
      <c r="G2961" s="14">
        <f t="shared" si="366"/>
        <v>0</v>
      </c>
      <c r="H2961" s="24">
        <f t="shared" si="372"/>
        <v>650</v>
      </c>
      <c r="I2961" s="12">
        <f t="shared" si="371"/>
        <v>0.1834538975186806</v>
      </c>
      <c r="J2961" s="3"/>
    </row>
    <row r="2962" spans="2:10" x14ac:dyDescent="0.25">
      <c r="B2962" s="3">
        <f t="shared" si="367"/>
        <v>14710</v>
      </c>
      <c r="C2962" s="14">
        <f t="shared" si="368"/>
        <v>245.16666666666666</v>
      </c>
      <c r="D2962" s="11">
        <f t="shared" si="369"/>
        <v>1156.0066094769147</v>
      </c>
      <c r="E2962" s="24">
        <f t="shared" si="370"/>
        <v>930.35038590709178</v>
      </c>
      <c r="F2962" s="38">
        <f t="shared" si="365"/>
        <v>0.92891268038664632</v>
      </c>
      <c r="G2962" s="14">
        <f t="shared" si="366"/>
        <v>0</v>
      </c>
      <c r="H2962" s="24">
        <f t="shared" si="372"/>
        <v>650</v>
      </c>
      <c r="I2962" s="12">
        <f t="shared" si="371"/>
        <v>0.1833449806004589</v>
      </c>
      <c r="J2962" s="3"/>
    </row>
    <row r="2963" spans="2:10" x14ac:dyDescent="0.25">
      <c r="B2963" s="3">
        <f t="shared" si="367"/>
        <v>14715</v>
      </c>
      <c r="C2963" s="14">
        <f t="shared" si="368"/>
        <v>245.25</v>
      </c>
      <c r="D2963" s="11">
        <f t="shared" si="369"/>
        <v>1156.0575033620021</v>
      </c>
      <c r="E2963" s="24">
        <f t="shared" si="370"/>
        <v>930.53373088769229</v>
      </c>
      <c r="F2963" s="38">
        <f t="shared" si="365"/>
        <v>0.92891268038664632</v>
      </c>
      <c r="G2963" s="14">
        <f t="shared" si="366"/>
        <v>0</v>
      </c>
      <c r="H2963" s="24">
        <f t="shared" si="372"/>
        <v>650</v>
      </c>
      <c r="I2963" s="12">
        <f t="shared" si="371"/>
        <v>0.18323613899409794</v>
      </c>
      <c r="J2963" s="3"/>
    </row>
    <row r="2964" spans="2:10" x14ac:dyDescent="0.25">
      <c r="B2964" s="3">
        <f t="shared" si="367"/>
        <v>14720</v>
      </c>
      <c r="C2964" s="14">
        <f t="shared" si="368"/>
        <v>245.33333333333334</v>
      </c>
      <c r="D2964" s="11">
        <f t="shared" si="369"/>
        <v>1156.1083799656342</v>
      </c>
      <c r="E2964" s="24">
        <f t="shared" si="370"/>
        <v>930.71696702668635</v>
      </c>
      <c r="F2964" s="38">
        <f t="shared" ref="F2964:F2972" si="373">Cp*RhoP/(RhoA*H2964)*dp/1000*MassivP</f>
        <v>0.92891268038664632</v>
      </c>
      <c r="G2964" s="14">
        <f t="shared" ref="G2964:G2972" si="374">Phi*EpsilonF*Botzman/10^8*J2964*((D2964+273)^4-(E2964+273)^4)</f>
        <v>0</v>
      </c>
      <c r="H2964" s="24">
        <f t="shared" si="372"/>
        <v>650</v>
      </c>
      <c r="I2964" s="12">
        <f t="shared" si="371"/>
        <v>0.18312737264768217</v>
      </c>
      <c r="J2964" s="3"/>
    </row>
    <row r="2965" spans="2:10" x14ac:dyDescent="0.25">
      <c r="B2965" s="3">
        <f t="shared" ref="B2965:B2972" si="375">B2964+DeltaT</f>
        <v>14725</v>
      </c>
      <c r="C2965" s="14">
        <f t="shared" ref="C2965:C2972" si="376">B2965/60</f>
        <v>245.41666666666666</v>
      </c>
      <c r="D2965" s="11">
        <f t="shared" ref="D2965:D2972" si="377">20+345*LOG(8*C2965+1,10)</f>
        <v>1156.1592392995428</v>
      </c>
      <c r="E2965" s="24">
        <f t="shared" ref="E2965:E2972" si="378">E2964+IF(Limit=Oui,MAX(0,I2964),I2964)</f>
        <v>930.90009439933408</v>
      </c>
      <c r="F2965" s="38">
        <f t="shared" si="373"/>
        <v>0.92891268038664632</v>
      </c>
      <c r="G2965" s="14">
        <f t="shared" si="374"/>
        <v>0</v>
      </c>
      <c r="H2965" s="24">
        <f t="shared" si="372"/>
        <v>650</v>
      </c>
      <c r="I2965" s="12">
        <f t="shared" ref="I2965:I2972" si="379">LambdaP*MassivP/(dp/1000)/(H2965*RhoA)/(1+F2965/3)*(D2965-E2965)*DeltaT-(EXP(F2965/10)-1)*(D2965-D2964)</f>
        <v>0.18301868150941711</v>
      </c>
      <c r="J2965" s="3"/>
    </row>
    <row r="2966" spans="2:10" x14ac:dyDescent="0.25">
      <c r="B2966" s="3">
        <f t="shared" si="375"/>
        <v>14730</v>
      </c>
      <c r="C2966" s="14">
        <f t="shared" si="376"/>
        <v>245.5</v>
      </c>
      <c r="D2966" s="11">
        <f t="shared" si="377"/>
        <v>1156.2100813754487</v>
      </c>
      <c r="E2966" s="24">
        <f t="shared" si="378"/>
        <v>931.08311308084353</v>
      </c>
      <c r="F2966" s="38">
        <f t="shared" si="373"/>
        <v>0.92891268038664632</v>
      </c>
      <c r="G2966" s="14">
        <f t="shared" si="374"/>
        <v>0</v>
      </c>
      <c r="H2966" s="24">
        <f t="shared" si="372"/>
        <v>650</v>
      </c>
      <c r="I2966" s="12">
        <f t="shared" si="379"/>
        <v>0.18291006552740968</v>
      </c>
      <c r="J2966" s="3"/>
    </row>
    <row r="2967" spans="2:10" x14ac:dyDescent="0.25">
      <c r="B2967" s="3">
        <f t="shared" si="375"/>
        <v>14735</v>
      </c>
      <c r="C2967" s="14">
        <f t="shared" si="376"/>
        <v>245.58333333333334</v>
      </c>
      <c r="D2967" s="11">
        <f t="shared" si="377"/>
        <v>1156.2609062050597</v>
      </c>
      <c r="E2967" s="24">
        <f t="shared" si="378"/>
        <v>931.26602314637091</v>
      </c>
      <c r="F2967" s="38">
        <f t="shared" si="373"/>
        <v>0.92891268038664632</v>
      </c>
      <c r="G2967" s="14">
        <f t="shared" si="374"/>
        <v>0</v>
      </c>
      <c r="H2967" s="24">
        <f t="shared" si="372"/>
        <v>650</v>
      </c>
      <c r="I2967" s="12">
        <f t="shared" si="379"/>
        <v>0.18280152464995436</v>
      </c>
      <c r="J2967" s="3"/>
    </row>
    <row r="2968" spans="2:10" x14ac:dyDescent="0.25">
      <c r="B2968" s="3">
        <f t="shared" si="375"/>
        <v>14740</v>
      </c>
      <c r="C2968" s="14">
        <f t="shared" si="376"/>
        <v>245.66666666666666</v>
      </c>
      <c r="D2968" s="11">
        <f t="shared" si="377"/>
        <v>1156.3117138000721</v>
      </c>
      <c r="E2968" s="24">
        <f t="shared" si="378"/>
        <v>931.44882467102082</v>
      </c>
      <c r="F2968" s="38">
        <f t="shared" si="373"/>
        <v>0.92891268038664632</v>
      </c>
      <c r="G2968" s="14">
        <f t="shared" si="374"/>
        <v>0</v>
      </c>
      <c r="H2968" s="24">
        <f t="shared" si="372"/>
        <v>650</v>
      </c>
      <c r="I2968" s="12">
        <f t="shared" si="379"/>
        <v>0.18269305882526837</v>
      </c>
      <c r="J2968" s="3"/>
    </row>
    <row r="2969" spans="2:10" x14ac:dyDescent="0.25">
      <c r="B2969" s="3">
        <f t="shared" si="375"/>
        <v>14745</v>
      </c>
      <c r="C2969" s="14">
        <f t="shared" si="376"/>
        <v>245.75</v>
      </c>
      <c r="D2969" s="11">
        <f t="shared" si="377"/>
        <v>1156.3625041721709</v>
      </c>
      <c r="E2969" s="24">
        <f t="shared" si="378"/>
        <v>931.63151772984611</v>
      </c>
      <c r="F2969" s="38">
        <f t="shared" si="373"/>
        <v>0.92891268038664632</v>
      </c>
      <c r="G2969" s="14">
        <f t="shared" si="374"/>
        <v>0</v>
      </c>
      <c r="H2969" s="24">
        <f t="shared" si="372"/>
        <v>650</v>
      </c>
      <c r="I2969" s="12">
        <f t="shared" si="379"/>
        <v>0.18258466800158046</v>
      </c>
      <c r="J2969" s="3"/>
    </row>
    <row r="2970" spans="2:10" x14ac:dyDescent="0.25">
      <c r="B2970" s="3">
        <f t="shared" si="375"/>
        <v>14750</v>
      </c>
      <c r="C2970" s="14">
        <f t="shared" si="376"/>
        <v>245.83333333333334</v>
      </c>
      <c r="D2970" s="11">
        <f t="shared" si="377"/>
        <v>1156.4132773330286</v>
      </c>
      <c r="E2970" s="24">
        <f t="shared" si="378"/>
        <v>931.81410239784771</v>
      </c>
      <c r="F2970" s="38">
        <f t="shared" si="373"/>
        <v>0.92891268038664632</v>
      </c>
      <c r="G2970" s="14">
        <f t="shared" si="374"/>
        <v>0</v>
      </c>
      <c r="H2970" s="24">
        <f t="shared" si="372"/>
        <v>650</v>
      </c>
      <c r="I2970" s="12">
        <f t="shared" si="379"/>
        <v>0.18247635212726296</v>
      </c>
      <c r="J2970" s="3"/>
    </row>
    <row r="2971" spans="2:10" x14ac:dyDescent="0.25">
      <c r="B2971" s="3">
        <f t="shared" si="375"/>
        <v>14755</v>
      </c>
      <c r="C2971" s="14">
        <f t="shared" si="376"/>
        <v>245.91666666666666</v>
      </c>
      <c r="D2971" s="11">
        <f t="shared" si="377"/>
        <v>1156.4640332943054</v>
      </c>
      <c r="E2971" s="24">
        <f t="shared" si="378"/>
        <v>931.99657874997501</v>
      </c>
      <c r="F2971" s="38">
        <f t="shared" si="373"/>
        <v>0.92891268038664632</v>
      </c>
      <c r="G2971" s="14">
        <f t="shared" si="374"/>
        <v>0</v>
      </c>
      <c r="H2971" s="24">
        <f t="shared" si="372"/>
        <v>650</v>
      </c>
      <c r="I2971" s="12">
        <f t="shared" si="379"/>
        <v>0.18236811115069884</v>
      </c>
      <c r="J2971" s="3"/>
    </row>
    <row r="2972" spans="2:10" x14ac:dyDescent="0.25">
      <c r="B2972" s="3">
        <f t="shared" si="375"/>
        <v>14760</v>
      </c>
      <c r="C2972" s="14">
        <f t="shared" si="376"/>
        <v>246</v>
      </c>
      <c r="D2972" s="11">
        <f t="shared" si="377"/>
        <v>1156.5147720676507</v>
      </c>
      <c r="E2972" s="24">
        <f t="shared" si="378"/>
        <v>932.17894686112572</v>
      </c>
      <c r="F2972" s="38">
        <f t="shared" si="373"/>
        <v>0.92891268038664632</v>
      </c>
      <c r="G2972" s="14">
        <f t="shared" si="374"/>
        <v>0</v>
      </c>
      <c r="H2972" s="24">
        <f t="shared" si="372"/>
        <v>650</v>
      </c>
      <c r="I2972" s="12">
        <f t="shared" si="379"/>
        <v>0.18225994502015033</v>
      </c>
      <c r="J2972" s="3"/>
    </row>
  </sheetData>
  <dataValidations count="3">
    <dataValidation type="list" allowBlank="1" showInputMessage="1" showErrorMessage="1" sqref="M5">
      <formula1>ListExpo</formula1>
    </dataValidation>
    <dataValidation type="list" allowBlank="1" showInputMessage="1" showErrorMessage="1" sqref="I11 M18">
      <formula1>ListeOuiNon</formula1>
    </dataValidation>
    <dataValidation type="list" allowBlank="1" showInputMessage="1" showErrorMessage="1" sqref="M13">
      <formula1>Protection_Types</formula1>
    </dataValidation>
  </dataValidations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>
    <pageSetUpPr fitToPage="1"/>
  </sheetPr>
  <dimension ref="C2:U10"/>
  <sheetViews>
    <sheetView tabSelected="1" topLeftCell="I1" workbookViewId="0">
      <selection activeCell="Q13" sqref="Q13"/>
    </sheetView>
  </sheetViews>
  <sheetFormatPr baseColWidth="10" defaultRowHeight="15" x14ac:dyDescent="0.25"/>
  <sheetData>
    <row r="2" spans="3:21" x14ac:dyDescent="0.25">
      <c r="R2" s="2" t="s">
        <v>102</v>
      </c>
      <c r="S2" s="4">
        <v>3</v>
      </c>
    </row>
    <row r="3" spans="3:21" x14ac:dyDescent="0.25">
      <c r="C3" s="42" t="s">
        <v>49</v>
      </c>
      <c r="D3" s="8" t="s">
        <v>50</v>
      </c>
      <c r="E3" s="44" t="s">
        <v>51</v>
      </c>
      <c r="F3" s="45"/>
      <c r="G3" s="46"/>
      <c r="H3" s="50" t="s">
        <v>61</v>
      </c>
      <c r="I3" s="51" t="s">
        <v>65</v>
      </c>
      <c r="J3" s="54" t="s">
        <v>66</v>
      </c>
      <c r="K3" s="55" t="s">
        <v>65</v>
      </c>
      <c r="L3" s="67" t="s">
        <v>107</v>
      </c>
      <c r="M3" s="68" t="s">
        <v>108</v>
      </c>
      <c r="N3" s="68"/>
      <c r="O3" s="69"/>
      <c r="P3" s="92" t="s">
        <v>111</v>
      </c>
      <c r="Q3" s="93" t="s">
        <v>65</v>
      </c>
      <c r="S3" s="50"/>
      <c r="T3" s="96"/>
      <c r="U3" s="51"/>
    </row>
    <row r="4" spans="3:21" x14ac:dyDescent="0.25">
      <c r="C4" s="43" t="s">
        <v>14</v>
      </c>
      <c r="D4" s="10" t="s">
        <v>13</v>
      </c>
      <c r="E4" s="47" t="s">
        <v>13</v>
      </c>
      <c r="F4" s="48" t="s">
        <v>72</v>
      </c>
      <c r="G4" s="49" t="s">
        <v>73</v>
      </c>
      <c r="H4" s="52" t="s">
        <v>64</v>
      </c>
      <c r="I4" s="53"/>
      <c r="J4" s="56" t="s">
        <v>67</v>
      </c>
      <c r="K4" s="57"/>
      <c r="L4" s="88" t="s">
        <v>67</v>
      </c>
      <c r="M4" s="89"/>
      <c r="N4" s="89" t="s">
        <v>109</v>
      </c>
      <c r="O4" s="90" t="s">
        <v>110</v>
      </c>
      <c r="P4" s="94" t="s">
        <v>57</v>
      </c>
      <c r="Q4" s="95"/>
      <c r="S4" s="52" t="s">
        <v>112</v>
      </c>
      <c r="T4" s="97" t="s">
        <v>113</v>
      </c>
      <c r="U4" s="91" t="s">
        <v>114</v>
      </c>
    </row>
    <row r="5" spans="3:21" x14ac:dyDescent="0.25">
      <c r="C5" s="3">
        <v>30</v>
      </c>
      <c r="D5" s="24">
        <f>VLOOKUP(C5,Calculs!$C$20:$E$2923,2)</f>
        <v>841.79587968832948</v>
      </c>
      <c r="E5" s="24">
        <f>VLOOKUP(C5,Calculs!$C$20:$E$2923,3)</f>
        <v>187.15394145698463</v>
      </c>
      <c r="F5" s="13">
        <f>reductionky(E5)</f>
        <v>1</v>
      </c>
      <c r="G5" s="13">
        <f>reductionke(E5)</f>
        <v>0.91284605854301537</v>
      </c>
      <c r="H5" s="70">
        <f t="shared" ref="H5:H10" si="0">IF(ClasseFeu=2,Wpl,Wel)*Fy*F5/GammaM/1000</f>
        <v>508.005</v>
      </c>
      <c r="I5" s="71">
        <f t="shared" ref="I5:I10" si="1">MEd/H5</f>
        <v>0.1771636105943839</v>
      </c>
      <c r="J5" s="76">
        <f t="shared" ref="J5:J10" si="2">Av*Fy*F5/SQRT(3)/GammaM/10</f>
        <v>780.48518790130379</v>
      </c>
      <c r="K5" s="79">
        <f>VEd/Echauffements!J5</f>
        <v>3.8437628881425545E-2</v>
      </c>
      <c r="L5" s="70">
        <f t="shared" ref="L5:L10" si="3">O5*F5*hw*tw*Fy/SQRT(3)/GammaM/1000</f>
        <v>621.73522789080903</v>
      </c>
      <c r="M5" s="79">
        <f>VEd/Echauffements!L5</f>
        <v>4.8252051121138478E-2</v>
      </c>
      <c r="N5" s="80">
        <f t="shared" ref="N5:N10" si="4">LambdaFi0*SQRT(F5/G5)</f>
        <v>1.0419269761433736</v>
      </c>
      <c r="O5" s="81">
        <f t="shared" ref="O5:O10" si="5">IF(N5&lt;=0.83/Eta,1,0.83/N5)</f>
        <v>0.79660093173918212</v>
      </c>
      <c r="P5" s="70">
        <f t="shared" ref="P5:P10" si="6">U5*F5*IF(ClasseLT=2,Wpl,Wel)*Fy/GammaM/1000</f>
        <v>278.01865304222611</v>
      </c>
      <c r="Q5" s="71">
        <f t="shared" ref="Q5:Q10" si="7">MEd/P5</f>
        <v>0.32371928651251536</v>
      </c>
      <c r="S5" s="12">
        <f t="shared" ref="S5:S10" si="8">LambdaLT*SQRT(F5/G5)</f>
        <v>0.88846569265338016</v>
      </c>
      <c r="T5" s="12">
        <f t="shared" ref="T5:T10" si="9">0.5*(1+AlphaLT*(S5)+S5^2)</f>
        <v>1.1296185102482734</v>
      </c>
      <c r="U5" s="12">
        <f>MIN(1,1/(T5+SQRT(T5^2-S5^2)))</f>
        <v>0.54727542650608962</v>
      </c>
    </row>
    <row r="6" spans="3:21" x14ac:dyDescent="0.25">
      <c r="C6" s="3">
        <v>60</v>
      </c>
      <c r="D6" s="24">
        <f>VLOOKUP(C6,Calculs!$C$20:$E$2923,2)</f>
        <v>945.34005134897188</v>
      </c>
      <c r="E6" s="24">
        <f>VLOOKUP(C6,Calculs!$C$20:$E$2923,3)</f>
        <v>381.04252447987045</v>
      </c>
      <c r="F6" s="13">
        <f t="shared" ref="F6:F10" si="10">reductionky(E6)</f>
        <v>1</v>
      </c>
      <c r="G6" s="13">
        <f t="shared" ref="G6:G10" si="11">reductionke(E6)</f>
        <v>0.71895747552012956</v>
      </c>
      <c r="H6" s="72">
        <f t="shared" si="0"/>
        <v>508.005</v>
      </c>
      <c r="I6" s="73">
        <f t="shared" si="1"/>
        <v>0.1771636105943839</v>
      </c>
      <c r="J6" s="77">
        <f t="shared" si="2"/>
        <v>780.48518790130379</v>
      </c>
      <c r="K6" s="82">
        <f>VEd/Echauffements!J6</f>
        <v>3.8437628881425545E-2</v>
      </c>
      <c r="L6" s="72">
        <f t="shared" si="3"/>
        <v>551.7702807537446</v>
      </c>
      <c r="M6" s="82">
        <f>VEd/Echauffements!L6</f>
        <v>5.4370452788828287E-2</v>
      </c>
      <c r="N6" s="83">
        <f t="shared" si="4"/>
        <v>1.1740442146923038</v>
      </c>
      <c r="O6" s="84">
        <f t="shared" si="5"/>
        <v>0.70695804264708062</v>
      </c>
      <c r="P6" s="72">
        <f t="shared" si="6"/>
        <v>248.95846612094257</v>
      </c>
      <c r="Q6" s="73">
        <f t="shared" si="7"/>
        <v>0.36150608333310713</v>
      </c>
      <c r="S6" s="12">
        <f t="shared" si="8"/>
        <v>1.0011239081967649</v>
      </c>
      <c r="T6" s="12">
        <f t="shared" si="9"/>
        <v>1.2658470964955664</v>
      </c>
      <c r="U6" s="12">
        <f t="shared" ref="U6:U10" si="12">MIN(1,1/(T6+SQRT(T6^2-S6^2)))</f>
        <v>0.49007089717806435</v>
      </c>
    </row>
    <row r="7" spans="3:21" x14ac:dyDescent="0.25">
      <c r="C7" s="3">
        <v>90</v>
      </c>
      <c r="D7" s="24">
        <f>VLOOKUP(C7,Calculs!$C$20:$E$2923,2)</f>
        <v>1005.987666328203</v>
      </c>
      <c r="E7" s="24">
        <f>VLOOKUP(C7,Calculs!$C$20:$E$2923,3)</f>
        <v>532.4517749816863</v>
      </c>
      <c r="F7" s="13">
        <f t="shared" si="10"/>
        <v>0.67939949755677254</v>
      </c>
      <c r="G7" s="13">
        <f t="shared" si="11"/>
        <v>0.5058898525531097</v>
      </c>
      <c r="H7" s="72">
        <f t="shared" si="0"/>
        <v>345.13834175632826</v>
      </c>
      <c r="I7" s="73">
        <f t="shared" si="1"/>
        <v>0.26076500090372767</v>
      </c>
      <c r="J7" s="77">
        <f t="shared" si="2"/>
        <v>530.26124451064902</v>
      </c>
      <c r="K7" s="82">
        <f>VEd/Echauffements!J7</f>
        <v>5.6575886528696745E-2</v>
      </c>
      <c r="L7" s="72">
        <f t="shared" si="3"/>
        <v>381.50242058781794</v>
      </c>
      <c r="M7" s="82">
        <f>VEd/Echauffements!L7</f>
        <v>7.8636460428681096E-2</v>
      </c>
      <c r="N7" s="83">
        <f t="shared" si="4"/>
        <v>1.1536409972594872</v>
      </c>
      <c r="O7" s="84">
        <f t="shared" si="5"/>
        <v>0.71946125525331772</v>
      </c>
      <c r="P7" s="72">
        <f t="shared" si="6"/>
        <v>172.10389716463791</v>
      </c>
      <c r="Q7" s="73">
        <f t="shared" si="7"/>
        <v>0.52293993037185127</v>
      </c>
      <c r="S7" s="12">
        <f t="shared" si="8"/>
        <v>0.98372579957316142</v>
      </c>
      <c r="T7" s="12">
        <f t="shared" si="9"/>
        <v>1.2439802798311546</v>
      </c>
      <c r="U7" s="12">
        <f t="shared" si="12"/>
        <v>0.49865192110746515</v>
      </c>
    </row>
    <row r="8" spans="3:21" x14ac:dyDescent="0.25">
      <c r="C8" s="3">
        <v>120</v>
      </c>
      <c r="D8" s="24">
        <f>VLOOKUP(C8,Calculs!$C$20:$E$2923,2)</f>
        <v>1049.039568745648</v>
      </c>
      <c r="E8" s="24">
        <f>VLOOKUP(C8,Calculs!$C$20:$E$2923,3)</f>
        <v>646.49677890542887</v>
      </c>
      <c r="F8" s="13">
        <f t="shared" si="10"/>
        <v>0.35840773062697073</v>
      </c>
      <c r="G8" s="13">
        <f t="shared" si="11"/>
        <v>0.22630579797022804</v>
      </c>
      <c r="H8" s="72">
        <f t="shared" si="0"/>
        <v>182.07291919715425</v>
      </c>
      <c r="I8" s="73">
        <f t="shared" si="1"/>
        <v>0.494307447789889</v>
      </c>
      <c r="J8" s="77">
        <f t="shared" si="2"/>
        <v>279.73192498367109</v>
      </c>
      <c r="K8" s="82">
        <f>VEd/Echauffements!J8</f>
        <v>0.10724553517354589</v>
      </c>
      <c r="L8" s="72">
        <f t="shared" si="3"/>
        <v>185.3289340120775</v>
      </c>
      <c r="M8" s="82">
        <f>VEd/Echauffements!L8</f>
        <v>0.1618743460643062</v>
      </c>
      <c r="N8" s="83">
        <f t="shared" si="4"/>
        <v>1.2527860205644767</v>
      </c>
      <c r="O8" s="84">
        <f t="shared" si="5"/>
        <v>0.66252335704226728</v>
      </c>
      <c r="P8" s="72">
        <f t="shared" si="6"/>
        <v>83.385532750137813</v>
      </c>
      <c r="Q8" s="73">
        <f t="shared" si="7"/>
        <v>1.0793239190505892</v>
      </c>
      <c r="S8" s="12">
        <f t="shared" si="8"/>
        <v>1.0682681464177084</v>
      </c>
      <c r="T8" s="12">
        <f t="shared" si="9"/>
        <v>1.3530756128645782</v>
      </c>
      <c r="U8" s="12">
        <f t="shared" si="12"/>
        <v>0.45797877640356471</v>
      </c>
    </row>
    <row r="9" spans="3:21" x14ac:dyDescent="0.25">
      <c r="C9" s="3">
        <v>180</v>
      </c>
      <c r="D9" s="24">
        <f>VLOOKUP(C9,Calculs!$C$20:$E$2923,2)</f>
        <v>1109.7390733808261</v>
      </c>
      <c r="E9" s="24">
        <f>VLOOKUP(C9,Calculs!$C$20:$E$2923,3)</f>
        <v>765.66266300191648</v>
      </c>
      <c r="F9" s="13">
        <f t="shared" si="10"/>
        <v>0.15120480439770023</v>
      </c>
      <c r="G9" s="13">
        <f t="shared" si="11"/>
        <v>0.1037349347992334</v>
      </c>
      <c r="H9" s="72">
        <f t="shared" si="0"/>
        <v>76.812796658053699</v>
      </c>
      <c r="I9" s="73">
        <f t="shared" si="1"/>
        <v>1.171679771023721</v>
      </c>
      <c r="J9" s="77">
        <f t="shared" si="2"/>
        <v>118.01311017191895</v>
      </c>
      <c r="K9" s="82">
        <f>VEd/Echauffements!J9</f>
        <v>0.25420904470949579</v>
      </c>
      <c r="L9" s="72">
        <f t="shared" si="3"/>
        <v>81.498950769794433</v>
      </c>
      <c r="M9" s="82">
        <f>VEd/Echauffements!L9</f>
        <v>0.36810289846232913</v>
      </c>
      <c r="N9" s="83">
        <f t="shared" si="4"/>
        <v>1.2018667788665052</v>
      </c>
      <c r="O9" s="84">
        <f t="shared" si="5"/>
        <v>0.69059234733385577</v>
      </c>
      <c r="P9" s="72">
        <f t="shared" si="6"/>
        <v>36.758006440497979</v>
      </c>
      <c r="Q9" s="73">
        <f t="shared" si="7"/>
        <v>2.4484461676583984</v>
      </c>
      <c r="S9" s="12">
        <f t="shared" si="8"/>
        <v>1.0248485974661818</v>
      </c>
      <c r="T9" s="12">
        <f t="shared" si="9"/>
        <v>1.2961532902422859</v>
      </c>
      <c r="U9" s="12">
        <f t="shared" si="12"/>
        <v>0.47854013966101255</v>
      </c>
    </row>
    <row r="10" spans="3:21" x14ac:dyDescent="0.25">
      <c r="C10" s="3">
        <v>240</v>
      </c>
      <c r="D10" s="24">
        <f>VLOOKUP(C10,Calculs!$C$20:$E$2923,2)</f>
        <v>1152.8169408772842</v>
      </c>
      <c r="E10" s="24">
        <f>VLOOKUP(C10,Calculs!$C$20:$E$2923,3)</f>
        <v>918.76725843439567</v>
      </c>
      <c r="F10" s="13">
        <f t="shared" si="10"/>
        <v>5.6246548313120863E-2</v>
      </c>
      <c r="G10" s="13">
        <f t="shared" si="11"/>
        <v>6.3277366852260972E-2</v>
      </c>
      <c r="H10" s="74">
        <f t="shared" si="0"/>
        <v>28.573527775806966</v>
      </c>
      <c r="I10" s="75">
        <f t="shared" si="1"/>
        <v>3.1497685797202282</v>
      </c>
      <c r="J10" s="78">
        <f t="shared" si="2"/>
        <v>43.899597828965895</v>
      </c>
      <c r="K10" s="85">
        <f>VEd/Echauffements!J10</f>
        <v>0.68337755887607143</v>
      </c>
      <c r="L10" s="74">
        <f t="shared" si="3"/>
        <v>38.822083605096317</v>
      </c>
      <c r="M10" s="85">
        <f>VEd/Echauffements!L10</f>
        <v>0.7727560505294927</v>
      </c>
      <c r="N10" s="86">
        <f t="shared" si="4"/>
        <v>0.9385551421886722</v>
      </c>
      <c r="O10" s="87">
        <f t="shared" si="5"/>
        <v>0.88433802415111584</v>
      </c>
      <c r="P10" s="74">
        <f t="shared" si="6"/>
        <v>16.975346637227453</v>
      </c>
      <c r="Q10" s="75">
        <f t="shared" si="7"/>
        <v>5.301806314966627</v>
      </c>
      <c r="S10" s="12">
        <f t="shared" si="8"/>
        <v>0.80031908530152662</v>
      </c>
      <c r="T10" s="12">
        <f t="shared" si="9"/>
        <v>1.0318799868982325</v>
      </c>
      <c r="U10" s="12">
        <f t="shared" si="12"/>
        <v>0.59409348297553843</v>
      </c>
    </row>
  </sheetData>
  <pageMargins left="0.25" right="0.25" top="0.75" bottom="0.75" header="0.3" footer="0.3"/>
  <pageSetup paperSize="8" scale="94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C3:J37"/>
  <sheetViews>
    <sheetView workbookViewId="0">
      <selection activeCell="I14" sqref="I14"/>
    </sheetView>
  </sheetViews>
  <sheetFormatPr baseColWidth="10" defaultRowHeight="15" x14ac:dyDescent="0.25"/>
  <sheetData>
    <row r="3" spans="3:10" x14ac:dyDescent="0.25">
      <c r="C3" s="2" t="s">
        <v>52</v>
      </c>
      <c r="D3" s="4">
        <v>12</v>
      </c>
      <c r="E3" t="s">
        <v>55</v>
      </c>
      <c r="H3" t="s">
        <v>115</v>
      </c>
    </row>
    <row r="4" spans="3:10" x14ac:dyDescent="0.25">
      <c r="C4" s="2" t="s">
        <v>53</v>
      </c>
      <c r="D4" s="4">
        <v>5</v>
      </c>
      <c r="E4" t="s">
        <v>54</v>
      </c>
      <c r="H4" s="2" t="s">
        <v>116</v>
      </c>
      <c r="I4" s="4">
        <v>705</v>
      </c>
      <c r="J4" t="s">
        <v>57</v>
      </c>
    </row>
    <row r="5" spans="3:10" x14ac:dyDescent="0.25">
      <c r="H5" s="2" t="s">
        <v>117</v>
      </c>
      <c r="I5" s="31">
        <f>IF(ClasseLT=3,Wel,Wpl)*Fy/1000</f>
        <v>508.005</v>
      </c>
      <c r="J5" t="s">
        <v>57</v>
      </c>
    </row>
    <row r="6" spans="3:10" x14ac:dyDescent="0.25">
      <c r="C6" s="2" t="s">
        <v>56</v>
      </c>
      <c r="D6" s="31">
        <f>q*LL^2/8</f>
        <v>90</v>
      </c>
      <c r="E6" t="s">
        <v>57</v>
      </c>
      <c r="H6" s="2" t="s">
        <v>112</v>
      </c>
      <c r="I6" s="65">
        <f>SQRT(MRk/Mcr)</f>
        <v>0.84886657849458669</v>
      </c>
    </row>
    <row r="7" spans="3:10" x14ac:dyDescent="0.25">
      <c r="C7" s="25" t="s">
        <v>68</v>
      </c>
      <c r="D7" s="31">
        <f>q*LL/2</f>
        <v>30</v>
      </c>
      <c r="E7" t="s">
        <v>69</v>
      </c>
      <c r="H7" s="2" t="s">
        <v>118</v>
      </c>
      <c r="I7" s="63">
        <f>0.65*SQRT(235/Fy)</f>
        <v>0.52885073375343761</v>
      </c>
    </row>
    <row r="8" spans="3:10" x14ac:dyDescent="0.25">
      <c r="H8" s="2" t="s">
        <v>119</v>
      </c>
      <c r="I8" s="31">
        <f>h/b</f>
        <v>2.5</v>
      </c>
    </row>
    <row r="9" spans="3:10" x14ac:dyDescent="0.25">
      <c r="C9" s="25" t="s">
        <v>70</v>
      </c>
      <c r="D9" s="31">
        <f>Eta*hw*tw/100</f>
        <v>38.08</v>
      </c>
      <c r="E9" t="s">
        <v>71</v>
      </c>
    </row>
    <row r="10" spans="3:10" x14ac:dyDescent="0.25">
      <c r="C10" s="25" t="s">
        <v>58</v>
      </c>
      <c r="D10" s="66">
        <f>2*SUM(D17:D18)/1000</f>
        <v>1624.3520000000001</v>
      </c>
      <c r="E10" t="s">
        <v>60</v>
      </c>
    </row>
    <row r="11" spans="3:10" x14ac:dyDescent="0.25">
      <c r="C11" s="25" t="s">
        <v>100</v>
      </c>
      <c r="D11" s="4">
        <v>1431</v>
      </c>
      <c r="E11" t="s">
        <v>60</v>
      </c>
    </row>
    <row r="12" spans="3:10" x14ac:dyDescent="0.25">
      <c r="C12" s="2" t="s">
        <v>59</v>
      </c>
      <c r="D12" s="4">
        <v>1</v>
      </c>
    </row>
    <row r="13" spans="3:10" x14ac:dyDescent="0.25">
      <c r="C13" s="25" t="s">
        <v>62</v>
      </c>
      <c r="D13" s="4">
        <v>355</v>
      </c>
      <c r="E13" t="s">
        <v>63</v>
      </c>
    </row>
    <row r="14" spans="3:10" x14ac:dyDescent="0.25">
      <c r="C14" s="25" t="s">
        <v>104</v>
      </c>
      <c r="D14" s="4">
        <v>1</v>
      </c>
    </row>
    <row r="15" spans="3:10" x14ac:dyDescent="0.25">
      <c r="C15" s="25" t="s">
        <v>105</v>
      </c>
      <c r="D15" s="4">
        <v>5.34</v>
      </c>
    </row>
    <row r="16" spans="3:10" x14ac:dyDescent="0.25">
      <c r="C16" s="58" t="s">
        <v>89</v>
      </c>
    </row>
    <row r="17" spans="3:5" x14ac:dyDescent="0.25">
      <c r="C17" s="58" t="s">
        <v>90</v>
      </c>
      <c r="D17" s="59">
        <f>b*tf*(h/2-tf/2)</f>
        <v>585600</v>
      </c>
    </row>
    <row r="18" spans="3:5" x14ac:dyDescent="0.25">
      <c r="C18" s="58" t="s">
        <v>91</v>
      </c>
      <c r="D18" s="59">
        <f>hw*tw/2*hw/4</f>
        <v>226576</v>
      </c>
    </row>
    <row r="22" spans="3:5" x14ac:dyDescent="0.25">
      <c r="C22" t="s">
        <v>92</v>
      </c>
    </row>
    <row r="23" spans="3:5" x14ac:dyDescent="0.25">
      <c r="C23" s="2" t="s">
        <v>93</v>
      </c>
      <c r="D23" s="31">
        <f>hw/tw</f>
        <v>59.5</v>
      </c>
    </row>
    <row r="24" spans="3:5" x14ac:dyDescent="0.25">
      <c r="C24" s="2" t="s">
        <v>94</v>
      </c>
      <c r="D24" s="4">
        <v>0.5</v>
      </c>
    </row>
    <row r="25" spans="3:5" x14ac:dyDescent="0.25">
      <c r="C25" s="2" t="s">
        <v>101</v>
      </c>
      <c r="D25" s="4">
        <v>-1</v>
      </c>
    </row>
    <row r="26" spans="3:5" x14ac:dyDescent="0.25">
      <c r="D26" s="3" t="s">
        <v>97</v>
      </c>
      <c r="E26" s="3" t="s">
        <v>98</v>
      </c>
    </row>
    <row r="27" spans="3:5" x14ac:dyDescent="0.25">
      <c r="C27" s="2" t="s">
        <v>99</v>
      </c>
      <c r="D27" s="60">
        <f>SQRT(235/Fy)</f>
        <v>0.81361651346682706</v>
      </c>
      <c r="E27" s="60">
        <f>D27*0.85</f>
        <v>0.69157403644680293</v>
      </c>
    </row>
    <row r="28" spans="3:5" x14ac:dyDescent="0.25">
      <c r="C28" s="2" t="s">
        <v>95</v>
      </c>
      <c r="D28" s="61">
        <f>41.5*D27/$D$24</f>
        <v>67.530170617746649</v>
      </c>
      <c r="E28" s="61">
        <f>41.5*E27/$D$24</f>
        <v>57.400645025084643</v>
      </c>
    </row>
    <row r="29" spans="3:5" x14ac:dyDescent="0.25">
      <c r="C29" s="2" t="s">
        <v>96</v>
      </c>
      <c r="D29" s="61">
        <f>62*D27*(1-$D$25)*SQRT(-$D$25)</f>
        <v>100.88844766988656</v>
      </c>
      <c r="E29" s="61">
        <f>62*E27*(1-$D$25)*SQRT(-$D$25)</f>
        <v>85.755180519403567</v>
      </c>
    </row>
    <row r="30" spans="3:5" x14ac:dyDescent="0.25">
      <c r="D30" s="3"/>
    </row>
    <row r="31" spans="3:5" x14ac:dyDescent="0.25">
      <c r="C31" s="25" t="s">
        <v>102</v>
      </c>
      <c r="D31" s="4">
        <v>2</v>
      </c>
      <c r="E31" s="62">
        <v>3</v>
      </c>
    </row>
    <row r="32" spans="3:5" x14ac:dyDescent="0.25">
      <c r="D32" s="3"/>
    </row>
    <row r="34" spans="3:5" x14ac:dyDescent="0.25">
      <c r="C34" s="2" t="s">
        <v>103</v>
      </c>
      <c r="D34" s="64">
        <f>72*D27/Eta</f>
        <v>58.580388969611548</v>
      </c>
      <c r="E34" s="64">
        <f>72*E27/Eta</f>
        <v>49.793330624169812</v>
      </c>
    </row>
    <row r="37" spans="3:5" x14ac:dyDescent="0.25">
      <c r="C37" s="2" t="s">
        <v>106</v>
      </c>
      <c r="D37" s="65">
        <f>hw/tw/(37.4*EpsilonFi*SQRT(kTau))</f>
        <v>0.9954880583386716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54</vt:i4>
      </vt:variant>
    </vt:vector>
  </HeadingPairs>
  <TitlesOfParts>
    <vt:vector size="57" baseType="lpstr">
      <vt:lpstr>Calculs</vt:lpstr>
      <vt:lpstr>Echauffements</vt:lpstr>
      <vt:lpstr>Poutre</vt:lpstr>
      <vt:lpstr>Aa</vt:lpstr>
      <vt:lpstr>AlphaC</vt:lpstr>
      <vt:lpstr>AlphaLT</vt:lpstr>
      <vt:lpstr>Av</vt:lpstr>
      <vt:lpstr>b</vt:lpstr>
      <vt:lpstr>Botzman</vt:lpstr>
      <vt:lpstr>ClasseFeu</vt:lpstr>
      <vt:lpstr>ClasseLT</vt:lpstr>
      <vt:lpstr>Cp</vt:lpstr>
      <vt:lpstr>DeltaT</vt:lpstr>
      <vt:lpstr>dp</vt:lpstr>
      <vt:lpstr>EpsilonF</vt:lpstr>
      <vt:lpstr>EpsilonFi</vt:lpstr>
      <vt:lpstr>Eta</vt:lpstr>
      <vt:lpstr>Expo</vt:lpstr>
      <vt:lpstr>Fy</vt:lpstr>
      <vt:lpstr>Galva</vt:lpstr>
      <vt:lpstr>GammaM</vt:lpstr>
      <vt:lpstr>h</vt:lpstr>
      <vt:lpstr>hw</vt:lpstr>
      <vt:lpstr>ksh</vt:lpstr>
      <vt:lpstr>kTau</vt:lpstr>
      <vt:lpstr>LambdaFi0</vt:lpstr>
      <vt:lpstr>LambdaLT</vt:lpstr>
      <vt:lpstr>LambdaP</vt:lpstr>
      <vt:lpstr>Limit</vt:lpstr>
      <vt:lpstr>ListeOuiNon</vt:lpstr>
      <vt:lpstr>ListExpo</vt:lpstr>
      <vt:lpstr>LL</vt:lpstr>
      <vt:lpstr>Massivete</vt:lpstr>
      <vt:lpstr>MassiveteBox</vt:lpstr>
      <vt:lpstr>MassivP</vt:lpstr>
      <vt:lpstr>Mcr</vt:lpstr>
      <vt:lpstr>MEd</vt:lpstr>
      <vt:lpstr>MRk</vt:lpstr>
      <vt:lpstr>Oui</vt:lpstr>
      <vt:lpstr>p</vt:lpstr>
      <vt:lpstr>pb</vt:lpstr>
      <vt:lpstr>pBoard</vt:lpstr>
      <vt:lpstr>Phi</vt:lpstr>
      <vt:lpstr>pP</vt:lpstr>
      <vt:lpstr>Protection</vt:lpstr>
      <vt:lpstr>Protection_Types</vt:lpstr>
      <vt:lpstr>q</vt:lpstr>
      <vt:lpstr>RhoA</vt:lpstr>
      <vt:lpstr>RhoP</vt:lpstr>
      <vt:lpstr>rr</vt:lpstr>
      <vt:lpstr>tf</vt:lpstr>
      <vt:lpstr>Theta0</vt:lpstr>
      <vt:lpstr>tw</vt:lpstr>
      <vt:lpstr>VEd</vt:lpstr>
      <vt:lpstr>Wel</vt:lpstr>
      <vt:lpstr>Wpl</vt:lpstr>
      <vt:lpstr>Echauffements!Zone_d_impression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Pierre Olivier MARTIN</dc:creator>
  <cp:lastModifiedBy>Pierre Olivier MARTIN</cp:lastModifiedBy>
  <cp:lastPrinted>2024-10-31T13:03:30Z</cp:lastPrinted>
  <dcterms:created xsi:type="dcterms:W3CDTF">2024-10-21T13:00:30Z</dcterms:created>
  <dcterms:modified xsi:type="dcterms:W3CDTF">2024-11-07T16:43:12Z</dcterms:modified>
</cp:coreProperties>
</file>