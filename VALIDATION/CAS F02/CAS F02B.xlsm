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2\"/>
    </mc:Choice>
  </mc:AlternateContent>
  <xr:revisionPtr revIDLastSave="0" documentId="13_ncr:1_{0D1EB129-A515-46A2-9D23-4767A7F2B324}" xr6:coauthVersionLast="47" xr6:coauthVersionMax="47" xr10:uidLastSave="{00000000-0000-0000-0000-000000000000}"/>
  <bookViews>
    <workbookView xWindow="-30225" yWindow="165" windowWidth="28800" windowHeight="15345" activeTab="1" xr2:uid="{00000000-000D-0000-FFFF-FFFF00000000}"/>
  </bookViews>
  <sheets>
    <sheet name="Calculs" sheetId="1" r:id="rId1"/>
    <sheet name="Echauffements" sheetId="2" r:id="rId2"/>
    <sheet name="Poutre" sheetId="3" r:id="rId3"/>
  </sheets>
  <functionGroups builtInGroupCount="19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3" l="1"/>
  <c r="I5" i="3"/>
  <c r="I6" i="3" s="1"/>
  <c r="I8" i="3"/>
  <c r="D27" i="3" l="1"/>
  <c r="D28" i="3" s="1"/>
  <c r="D17" i="3"/>
  <c r="D29" i="3" l="1"/>
  <c r="D34" i="3"/>
  <c r="E27" i="3"/>
  <c r="E28" i="3" l="1"/>
  <c r="E34" i="3"/>
  <c r="E29" i="3"/>
  <c r="D7" i="3"/>
  <c r="D6" i="3" l="1"/>
  <c r="M9" i="1"/>
  <c r="I10" i="1"/>
  <c r="M6" i="1"/>
  <c r="P8" i="1" s="1"/>
  <c r="E20" i="1"/>
  <c r="H20" i="1" s="1"/>
  <c r="C20" i="1"/>
  <c r="D20" i="1" s="1"/>
  <c r="B21" i="1"/>
  <c r="B22" i="1" s="1"/>
  <c r="M7" i="1" l="1"/>
  <c r="P9" i="1" s="1"/>
  <c r="D9" i="3"/>
  <c r="D37" i="3"/>
  <c r="D23" i="3"/>
  <c r="D18" i="3"/>
  <c r="D10" i="3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P10" i="1" l="1"/>
  <c r="F20" i="1" s="1"/>
  <c r="I20" i="1" s="1"/>
  <c r="E21" i="1" s="1"/>
  <c r="M11" i="1"/>
  <c r="B25" i="1"/>
  <c r="C25" i="1" s="1"/>
  <c r="D25" i="1" s="1"/>
  <c r="G21" i="1" l="1"/>
  <c r="H21" i="1"/>
  <c r="B26" i="1"/>
  <c r="C26" i="1" s="1"/>
  <c r="D26" i="1" s="1"/>
  <c r="F21" i="1" l="1"/>
  <c r="I21" i="1" s="1"/>
  <c r="E22" i="1" s="1"/>
  <c r="B27" i="1"/>
  <c r="C27" i="1" s="1"/>
  <c r="D27" i="1" s="1"/>
  <c r="G22" i="1" l="1"/>
  <c r="B28" i="1"/>
  <c r="C28" i="1" s="1"/>
  <c r="D28" i="1" s="1"/>
  <c r="H22" i="1" l="1"/>
  <c r="B29" i="1"/>
  <c r="C29" i="1" s="1"/>
  <c r="D29" i="1" s="1"/>
  <c r="F22" i="1" l="1"/>
  <c r="I22" i="1" s="1"/>
  <c r="E23" i="1" s="1"/>
  <c r="B30" i="1"/>
  <c r="C30" i="1" s="1"/>
  <c r="D30" i="1" s="1"/>
  <c r="H23" i="1" l="1"/>
  <c r="G23" i="1"/>
  <c r="B31" i="1"/>
  <c r="C31" i="1" s="1"/>
  <c r="D31" i="1" s="1"/>
  <c r="F23" i="1" l="1"/>
  <c r="B32" i="1"/>
  <c r="C32" i="1" s="1"/>
  <c r="D32" i="1" s="1"/>
  <c r="I23" i="1" l="1"/>
  <c r="E24" i="1" s="1"/>
  <c r="B33" i="1"/>
  <c r="C33" i="1" s="1"/>
  <c r="D33" i="1" s="1"/>
  <c r="G24" i="1" l="1"/>
  <c r="H24" i="1"/>
  <c r="B34" i="1"/>
  <c r="C34" i="1" s="1"/>
  <c r="D34" i="1" s="1"/>
  <c r="F24" i="1" l="1"/>
  <c r="I24" i="1" s="1"/>
  <c r="E25" i="1" s="1"/>
  <c r="B35" i="1"/>
  <c r="C35" i="1" s="1"/>
  <c r="D35" i="1" s="1"/>
  <c r="H25" i="1" l="1"/>
  <c r="G25" i="1"/>
  <c r="B36" i="1"/>
  <c r="C36" i="1" s="1"/>
  <c r="D36" i="1" s="1"/>
  <c r="F25" i="1" l="1"/>
  <c r="I25" i="1" s="1"/>
  <c r="E26" i="1" s="1"/>
  <c r="B37" i="1"/>
  <c r="C37" i="1" s="1"/>
  <c r="D37" i="1" s="1"/>
  <c r="G26" i="1" l="1"/>
  <c r="H26" i="1"/>
  <c r="B38" i="1"/>
  <c r="C38" i="1" s="1"/>
  <c r="D38" i="1" s="1"/>
  <c r="F26" i="1" l="1"/>
  <c r="I26" i="1" s="1"/>
  <c r="B39" i="1"/>
  <c r="C39" i="1" s="1"/>
  <c r="D39" i="1" s="1"/>
  <c r="E27" i="1" l="1"/>
  <c r="G27" i="1" s="1"/>
  <c r="B40" i="1"/>
  <c r="C40" i="1" s="1"/>
  <c r="D40" i="1" s="1"/>
  <c r="H27" i="1" l="1"/>
  <c r="F27" i="1" s="1"/>
  <c r="I27" i="1" s="1"/>
  <c r="E28" i="1" s="1"/>
  <c r="B41" i="1"/>
  <c r="C41" i="1" s="1"/>
  <c r="D41" i="1" s="1"/>
  <c r="H28" i="1" l="1"/>
  <c r="G28" i="1"/>
  <c r="B42" i="1"/>
  <c r="F28" i="1" l="1"/>
  <c r="I28" i="1" s="1"/>
  <c r="E29" i="1" s="1"/>
  <c r="C42" i="1"/>
  <c r="D42" i="1" s="1"/>
  <c r="B43" i="1"/>
  <c r="C43" i="1" l="1"/>
  <c r="D43" i="1" s="1"/>
  <c r="B44" i="1"/>
  <c r="G29" i="1" l="1"/>
  <c r="H29" i="1"/>
  <c r="C44" i="1"/>
  <c r="D44" i="1" s="1"/>
  <c r="B45" i="1"/>
  <c r="F29" i="1" l="1"/>
  <c r="I29" i="1" s="1"/>
  <c r="E30" i="1" s="1"/>
  <c r="C45" i="1"/>
  <c r="D45" i="1" s="1"/>
  <c r="B46" i="1"/>
  <c r="C46" i="1" l="1"/>
  <c r="D46" i="1" s="1"/>
  <c r="B47" i="1"/>
  <c r="H30" i="1" l="1"/>
  <c r="G30" i="1"/>
  <c r="C47" i="1"/>
  <c r="D47" i="1" s="1"/>
  <c r="B48" i="1"/>
  <c r="F30" i="1" l="1"/>
  <c r="C48" i="1"/>
  <c r="D48" i="1" s="1"/>
  <c r="B49" i="1"/>
  <c r="I30" i="1" l="1"/>
  <c r="E31" i="1" s="1"/>
  <c r="B50" i="1"/>
  <c r="C49" i="1"/>
  <c r="D49" i="1" s="1"/>
  <c r="G31" i="1" l="1"/>
  <c r="H31" i="1"/>
  <c r="F31" i="1" s="1"/>
  <c r="B51" i="1"/>
  <c r="C50" i="1"/>
  <c r="D50" i="1" s="1"/>
  <c r="I31" i="1" l="1"/>
  <c r="E32" i="1" s="1"/>
  <c r="C51" i="1"/>
  <c r="D51" i="1" s="1"/>
  <c r="B52" i="1"/>
  <c r="H32" i="1" l="1"/>
  <c r="F32" i="1" s="1"/>
  <c r="G32" i="1"/>
  <c r="B53" i="1"/>
  <c r="C52" i="1"/>
  <c r="D52" i="1" s="1"/>
  <c r="I32" i="1" l="1"/>
  <c r="E33" i="1" s="1"/>
  <c r="B54" i="1"/>
  <c r="C53" i="1"/>
  <c r="D53" i="1" s="1"/>
  <c r="H33" i="1" l="1"/>
  <c r="F33" i="1" s="1"/>
  <c r="G33" i="1"/>
  <c r="C54" i="1"/>
  <c r="D54" i="1" s="1"/>
  <c r="B55" i="1"/>
  <c r="I33" i="1" l="1"/>
  <c r="E34" i="1" s="1"/>
  <c r="C55" i="1"/>
  <c r="D55" i="1" s="1"/>
  <c r="B56" i="1"/>
  <c r="H34" i="1" l="1"/>
  <c r="G34" i="1"/>
  <c r="C56" i="1"/>
  <c r="D56" i="1" s="1"/>
  <c r="B57" i="1"/>
  <c r="F34" i="1" l="1"/>
  <c r="C57" i="1"/>
  <c r="D57" i="1" s="1"/>
  <c r="B58" i="1"/>
  <c r="I34" i="1" l="1"/>
  <c r="E35" i="1" s="1"/>
  <c r="B59" i="1"/>
  <c r="C58" i="1"/>
  <c r="D58" i="1" s="1"/>
  <c r="H35" i="1" l="1"/>
  <c r="F35" i="1" s="1"/>
  <c r="G35" i="1"/>
  <c r="C59" i="1"/>
  <c r="D59" i="1" s="1"/>
  <c r="B60" i="1"/>
  <c r="I35" i="1" l="1"/>
  <c r="E36" i="1" s="1"/>
  <c r="C60" i="1"/>
  <c r="D60" i="1" s="1"/>
  <c r="B61" i="1"/>
  <c r="H36" i="1" l="1"/>
  <c r="G36" i="1"/>
  <c r="C61" i="1"/>
  <c r="D61" i="1" s="1"/>
  <c r="B62" i="1"/>
  <c r="F36" i="1" l="1"/>
  <c r="I36" i="1" s="1"/>
  <c r="E37" i="1" s="1"/>
  <c r="C62" i="1"/>
  <c r="D62" i="1" s="1"/>
  <c r="B63" i="1"/>
  <c r="C63" i="1" l="1"/>
  <c r="D63" i="1" s="1"/>
  <c r="B64" i="1"/>
  <c r="H37" i="1" l="1"/>
  <c r="G37" i="1"/>
  <c r="C64" i="1"/>
  <c r="D64" i="1" s="1"/>
  <c r="B65" i="1"/>
  <c r="F37" i="1" l="1"/>
  <c r="I37" i="1" s="1"/>
  <c r="E38" i="1" s="1"/>
  <c r="C65" i="1"/>
  <c r="D65" i="1" s="1"/>
  <c r="B66" i="1"/>
  <c r="C66" i="1" l="1"/>
  <c r="D66" i="1" s="1"/>
  <c r="B67" i="1"/>
  <c r="H38" i="1" l="1"/>
  <c r="G38" i="1"/>
  <c r="C67" i="1"/>
  <c r="D67" i="1" s="1"/>
  <c r="B68" i="1"/>
  <c r="F38" i="1" l="1"/>
  <c r="C68" i="1"/>
  <c r="D68" i="1" s="1"/>
  <c r="B69" i="1"/>
  <c r="I38" i="1" l="1"/>
  <c r="E39" i="1" s="1"/>
  <c r="C69" i="1"/>
  <c r="D69" i="1" s="1"/>
  <c r="B70" i="1"/>
  <c r="H39" i="1" l="1"/>
  <c r="F39" i="1" s="1"/>
  <c r="G39" i="1"/>
  <c r="C70" i="1"/>
  <c r="D70" i="1" s="1"/>
  <c r="B71" i="1"/>
  <c r="I39" i="1" l="1"/>
  <c r="E40" i="1" s="1"/>
  <c r="B72" i="1"/>
  <c r="C71" i="1"/>
  <c r="D71" i="1" s="1"/>
  <c r="H40" i="1" l="1"/>
  <c r="F40" i="1" s="1"/>
  <c r="G40" i="1"/>
  <c r="C72" i="1"/>
  <c r="D72" i="1" s="1"/>
  <c r="B73" i="1"/>
  <c r="I40" i="1" l="1"/>
  <c r="E41" i="1" s="1"/>
  <c r="C73" i="1"/>
  <c r="D73" i="1" s="1"/>
  <c r="B74" i="1"/>
  <c r="H41" i="1" l="1"/>
  <c r="F41" i="1" s="1"/>
  <c r="G41" i="1"/>
  <c r="C74" i="1"/>
  <c r="D74" i="1" s="1"/>
  <c r="B75" i="1"/>
  <c r="I41" i="1" l="1"/>
  <c r="E42" i="1" s="1"/>
  <c r="C75" i="1"/>
  <c r="D75" i="1" s="1"/>
  <c r="B76" i="1"/>
  <c r="H42" i="1" l="1"/>
  <c r="G42" i="1"/>
  <c r="F42" i="1"/>
  <c r="C76" i="1"/>
  <c r="D76" i="1" s="1"/>
  <c r="B77" i="1"/>
  <c r="I42" i="1" l="1"/>
  <c r="E43" i="1" s="1"/>
  <c r="C77" i="1"/>
  <c r="D77" i="1" s="1"/>
  <c r="B78" i="1"/>
  <c r="G43" i="1" l="1"/>
  <c r="H43" i="1"/>
  <c r="C78" i="1"/>
  <c r="D78" i="1" s="1"/>
  <c r="B79" i="1"/>
  <c r="F43" i="1" l="1"/>
  <c r="I43" i="1" s="1"/>
  <c r="E44" i="1" s="1"/>
  <c r="B80" i="1"/>
  <c r="C79" i="1"/>
  <c r="D79" i="1" s="1"/>
  <c r="C80" i="1" l="1"/>
  <c r="D80" i="1" s="1"/>
  <c r="B81" i="1"/>
  <c r="H44" i="1" l="1"/>
  <c r="G44" i="1"/>
  <c r="C81" i="1"/>
  <c r="D81" i="1" s="1"/>
  <c r="B82" i="1"/>
  <c r="F44" i="1" l="1"/>
  <c r="C82" i="1"/>
  <c r="D82" i="1" s="1"/>
  <c r="B83" i="1"/>
  <c r="I44" i="1" l="1"/>
  <c r="E45" i="1" s="1"/>
  <c r="B84" i="1"/>
  <c r="C83" i="1"/>
  <c r="D83" i="1" s="1"/>
  <c r="H45" i="1" l="1"/>
  <c r="F45" i="1" s="1"/>
  <c r="G45" i="1"/>
  <c r="C84" i="1"/>
  <c r="D84" i="1" s="1"/>
  <c r="B85" i="1"/>
  <c r="I45" i="1" l="1"/>
  <c r="E46" i="1" s="1"/>
  <c r="C85" i="1"/>
  <c r="D85" i="1" s="1"/>
  <c r="B86" i="1"/>
  <c r="H46" i="1" l="1"/>
  <c r="F46" i="1" s="1"/>
  <c r="G46" i="1"/>
  <c r="C86" i="1"/>
  <c r="D86" i="1" s="1"/>
  <c r="B87" i="1"/>
  <c r="I46" i="1" l="1"/>
  <c r="E47" i="1" s="1"/>
  <c r="C87" i="1"/>
  <c r="D87" i="1" s="1"/>
  <c r="B88" i="1"/>
  <c r="H47" i="1" l="1"/>
  <c r="F47" i="1" s="1"/>
  <c r="G47" i="1"/>
  <c r="C88" i="1"/>
  <c r="D88" i="1" s="1"/>
  <c r="B89" i="1"/>
  <c r="I47" i="1" l="1"/>
  <c r="E48" i="1" s="1"/>
  <c r="C89" i="1"/>
  <c r="D89" i="1" s="1"/>
  <c r="B90" i="1"/>
  <c r="G48" i="1" l="1"/>
  <c r="H48" i="1"/>
  <c r="C90" i="1"/>
  <c r="D90" i="1" s="1"/>
  <c r="B91" i="1"/>
  <c r="F48" i="1" l="1"/>
  <c r="B92" i="1"/>
  <c r="C91" i="1"/>
  <c r="D91" i="1" s="1"/>
  <c r="I48" i="1" l="1"/>
  <c r="E49" i="1" s="1"/>
  <c r="C92" i="1"/>
  <c r="D92" i="1" s="1"/>
  <c r="B93" i="1"/>
  <c r="H49" i="1" l="1"/>
  <c r="F49" i="1" s="1"/>
  <c r="G49" i="1"/>
  <c r="B94" i="1"/>
  <c r="C93" i="1"/>
  <c r="D93" i="1" s="1"/>
  <c r="I49" i="1" l="1"/>
  <c r="E50" i="1" s="1"/>
  <c r="C94" i="1"/>
  <c r="D94" i="1" s="1"/>
  <c r="B95" i="1"/>
  <c r="G50" i="1" l="1"/>
  <c r="H50" i="1"/>
  <c r="F50" i="1" s="1"/>
  <c r="B96" i="1"/>
  <c r="C95" i="1"/>
  <c r="D95" i="1" s="1"/>
  <c r="I50" i="1" l="1"/>
  <c r="E51" i="1" s="1"/>
  <c r="C96" i="1"/>
  <c r="D96" i="1" s="1"/>
  <c r="B97" i="1"/>
  <c r="H51" i="1" l="1"/>
  <c r="F51" i="1" s="1"/>
  <c r="G51" i="1"/>
  <c r="C97" i="1"/>
  <c r="D97" i="1" s="1"/>
  <c r="B98" i="1"/>
  <c r="I51" i="1" l="1"/>
  <c r="E52" i="1" s="1"/>
  <c r="C98" i="1"/>
  <c r="D98" i="1" s="1"/>
  <c r="B99" i="1"/>
  <c r="G52" i="1" l="1"/>
  <c r="H52" i="1"/>
  <c r="B100" i="1"/>
  <c r="C99" i="1"/>
  <c r="D99" i="1" s="1"/>
  <c r="F52" i="1" l="1"/>
  <c r="B101" i="1"/>
  <c r="C100" i="1"/>
  <c r="D100" i="1" s="1"/>
  <c r="I52" i="1" l="1"/>
  <c r="E53" i="1" s="1"/>
  <c r="B102" i="1"/>
  <c r="C101" i="1"/>
  <c r="D101" i="1" s="1"/>
  <c r="G53" i="1" l="1"/>
  <c r="H53" i="1"/>
  <c r="C102" i="1"/>
  <c r="D102" i="1" s="1"/>
  <c r="B103" i="1"/>
  <c r="F53" i="1" l="1"/>
  <c r="C103" i="1"/>
  <c r="D103" i="1" s="1"/>
  <c r="B104" i="1"/>
  <c r="I53" i="1" l="1"/>
  <c r="E54" i="1" s="1"/>
  <c r="C104" i="1"/>
  <c r="D104" i="1" s="1"/>
  <c r="B105" i="1"/>
  <c r="G54" i="1" l="1"/>
  <c r="H54" i="1"/>
  <c r="B106" i="1"/>
  <c r="C105" i="1"/>
  <c r="D105" i="1" s="1"/>
  <c r="F54" i="1" l="1"/>
  <c r="C106" i="1"/>
  <c r="D106" i="1" s="1"/>
  <c r="B107" i="1"/>
  <c r="I54" i="1" l="1"/>
  <c r="E55" i="1" s="1"/>
  <c r="B108" i="1"/>
  <c r="C107" i="1"/>
  <c r="D107" i="1" s="1"/>
  <c r="G55" i="1" l="1"/>
  <c r="H55" i="1"/>
  <c r="B109" i="1"/>
  <c r="C108" i="1"/>
  <c r="D108" i="1" s="1"/>
  <c r="F55" i="1" l="1"/>
  <c r="I55" i="1" s="1"/>
  <c r="E56" i="1" s="1"/>
  <c r="B110" i="1"/>
  <c r="C109" i="1"/>
  <c r="D109" i="1" s="1"/>
  <c r="H56" i="1" l="1"/>
  <c r="G56" i="1"/>
  <c r="C110" i="1"/>
  <c r="D110" i="1" s="1"/>
  <c r="B111" i="1"/>
  <c r="F56" i="1" l="1"/>
  <c r="I56" i="1" s="1"/>
  <c r="E57" i="1" s="1"/>
  <c r="B112" i="1"/>
  <c r="C111" i="1"/>
  <c r="D111" i="1" s="1"/>
  <c r="G57" i="1" l="1"/>
  <c r="H57" i="1"/>
  <c r="C112" i="1"/>
  <c r="D112" i="1" s="1"/>
  <c r="B113" i="1"/>
  <c r="F57" i="1" l="1"/>
  <c r="I57" i="1" s="1"/>
  <c r="E58" i="1" s="1"/>
  <c r="C113" i="1"/>
  <c r="D113" i="1" s="1"/>
  <c r="B114" i="1"/>
  <c r="H58" i="1" l="1"/>
  <c r="F58" i="1" s="1"/>
  <c r="G58" i="1"/>
  <c r="B115" i="1"/>
  <c r="C114" i="1"/>
  <c r="D114" i="1" s="1"/>
  <c r="I58" i="1" l="1"/>
  <c r="E59" i="1" s="1"/>
  <c r="C115" i="1"/>
  <c r="D115" i="1" s="1"/>
  <c r="B116" i="1"/>
  <c r="G59" i="1" l="1"/>
  <c r="H59" i="1"/>
  <c r="C116" i="1"/>
  <c r="D116" i="1" s="1"/>
  <c r="B117" i="1"/>
  <c r="F59" i="1" l="1"/>
  <c r="I59" i="1" s="1"/>
  <c r="E60" i="1" s="1"/>
  <c r="C117" i="1"/>
  <c r="D117" i="1" s="1"/>
  <c r="B118" i="1"/>
  <c r="B119" i="1" l="1"/>
  <c r="C118" i="1"/>
  <c r="D118" i="1" s="1"/>
  <c r="H60" i="1" l="1"/>
  <c r="G60" i="1"/>
  <c r="C119" i="1"/>
  <c r="D119" i="1" s="1"/>
  <c r="B120" i="1"/>
  <c r="F60" i="1" l="1"/>
  <c r="I60" i="1" s="1"/>
  <c r="E61" i="1" s="1"/>
  <c r="B121" i="1"/>
  <c r="C120" i="1"/>
  <c r="D120" i="1" s="1"/>
  <c r="C121" i="1" l="1"/>
  <c r="D121" i="1" s="1"/>
  <c r="B122" i="1"/>
  <c r="G61" i="1" l="1"/>
  <c r="H61" i="1"/>
  <c r="B123" i="1"/>
  <c r="C122" i="1"/>
  <c r="D122" i="1" s="1"/>
  <c r="F61" i="1" l="1"/>
  <c r="I61" i="1" s="1"/>
  <c r="E62" i="1" s="1"/>
  <c r="C123" i="1"/>
  <c r="D123" i="1" s="1"/>
  <c r="B124" i="1"/>
  <c r="C124" i="1" l="1"/>
  <c r="D124" i="1" s="1"/>
  <c r="B125" i="1"/>
  <c r="H62" i="1" l="1"/>
  <c r="G62" i="1"/>
  <c r="B126" i="1"/>
  <c r="C125" i="1"/>
  <c r="D125" i="1" s="1"/>
  <c r="F62" i="1" l="1"/>
  <c r="I62" i="1" s="1"/>
  <c r="E63" i="1" s="1"/>
  <c r="C126" i="1"/>
  <c r="D126" i="1" s="1"/>
  <c r="B127" i="1"/>
  <c r="B128" i="1" l="1"/>
  <c r="C127" i="1"/>
  <c r="D127" i="1" s="1"/>
  <c r="H63" i="1" l="1"/>
  <c r="G63" i="1"/>
  <c r="C128" i="1"/>
  <c r="D128" i="1" s="1"/>
  <c r="B129" i="1"/>
  <c r="F63" i="1" l="1"/>
  <c r="B130" i="1"/>
  <c r="C129" i="1"/>
  <c r="D129" i="1" s="1"/>
  <c r="I63" i="1" l="1"/>
  <c r="E64" i="1" s="1"/>
  <c r="B131" i="1"/>
  <c r="C130" i="1"/>
  <c r="D130" i="1" s="1"/>
  <c r="H64" i="1" l="1"/>
  <c r="F64" i="1" s="1"/>
  <c r="G64" i="1"/>
  <c r="C131" i="1"/>
  <c r="D131" i="1" s="1"/>
  <c r="B132" i="1"/>
  <c r="I64" i="1" l="1"/>
  <c r="E65" i="1" s="1"/>
  <c r="C132" i="1"/>
  <c r="D132" i="1" s="1"/>
  <c r="B133" i="1"/>
  <c r="G65" i="1" l="1"/>
  <c r="H65" i="1"/>
  <c r="F65" i="1" s="1"/>
  <c r="C133" i="1"/>
  <c r="D133" i="1" s="1"/>
  <c r="B134" i="1"/>
  <c r="I65" i="1" l="1"/>
  <c r="E66" i="1" s="1"/>
  <c r="C134" i="1"/>
  <c r="D134" i="1" s="1"/>
  <c r="B135" i="1"/>
  <c r="G66" i="1" l="1"/>
  <c r="H66" i="1"/>
  <c r="C135" i="1"/>
  <c r="D135" i="1" s="1"/>
  <c r="B136" i="1"/>
  <c r="F66" i="1" l="1"/>
  <c r="I66" i="1" s="1"/>
  <c r="E67" i="1" s="1"/>
  <c r="C136" i="1"/>
  <c r="D136" i="1" s="1"/>
  <c r="B137" i="1"/>
  <c r="C137" i="1" l="1"/>
  <c r="D137" i="1" s="1"/>
  <c r="B138" i="1"/>
  <c r="G67" i="1" l="1"/>
  <c r="H67" i="1"/>
  <c r="C138" i="1"/>
  <c r="D138" i="1" s="1"/>
  <c r="B139" i="1"/>
  <c r="F67" i="1" l="1"/>
  <c r="C139" i="1"/>
  <c r="D139" i="1" s="1"/>
  <c r="B140" i="1"/>
  <c r="I67" i="1" l="1"/>
  <c r="E68" i="1" s="1"/>
  <c r="B141" i="1"/>
  <c r="C140" i="1"/>
  <c r="D140" i="1" s="1"/>
  <c r="G68" i="1" l="1"/>
  <c r="H68" i="1"/>
  <c r="F68" i="1" s="1"/>
  <c r="B142" i="1"/>
  <c r="C141" i="1"/>
  <c r="D141" i="1" s="1"/>
  <c r="I68" i="1" l="1"/>
  <c r="E69" i="1" s="1"/>
  <c r="C142" i="1"/>
  <c r="D142" i="1" s="1"/>
  <c r="B143" i="1"/>
  <c r="G69" i="1" l="1"/>
  <c r="H69" i="1"/>
  <c r="F69" i="1" s="1"/>
  <c r="C143" i="1"/>
  <c r="D143" i="1" s="1"/>
  <c r="B144" i="1"/>
  <c r="I69" i="1" l="1"/>
  <c r="E70" i="1" s="1"/>
  <c r="C144" i="1"/>
  <c r="D144" i="1" s="1"/>
  <c r="B145" i="1"/>
  <c r="G70" i="1" l="1"/>
  <c r="H70" i="1"/>
  <c r="F70" i="1" s="1"/>
  <c r="C145" i="1"/>
  <c r="D145" i="1" s="1"/>
  <c r="B146" i="1"/>
  <c r="I70" i="1" l="1"/>
  <c r="E71" i="1" s="1"/>
  <c r="C146" i="1"/>
  <c r="D146" i="1" s="1"/>
  <c r="B147" i="1"/>
  <c r="H71" i="1" l="1"/>
  <c r="F71" i="1" s="1"/>
  <c r="G71" i="1"/>
  <c r="C147" i="1"/>
  <c r="D147" i="1" s="1"/>
  <c r="B148" i="1"/>
  <c r="I71" i="1" l="1"/>
  <c r="E72" i="1" s="1"/>
  <c r="B149" i="1"/>
  <c r="C148" i="1"/>
  <c r="D148" i="1" s="1"/>
  <c r="G72" i="1" l="1"/>
  <c r="H72" i="1"/>
  <c r="F72" i="1" s="1"/>
  <c r="C149" i="1"/>
  <c r="D149" i="1" s="1"/>
  <c r="B150" i="1"/>
  <c r="I72" i="1" l="1"/>
  <c r="E73" i="1" s="1"/>
  <c r="C150" i="1"/>
  <c r="D150" i="1" s="1"/>
  <c r="B151" i="1"/>
  <c r="G73" i="1" l="1"/>
  <c r="H73" i="1"/>
  <c r="F73" i="1" s="1"/>
  <c r="C151" i="1"/>
  <c r="D151" i="1" s="1"/>
  <c r="B152" i="1"/>
  <c r="I73" i="1" l="1"/>
  <c r="E74" i="1" s="1"/>
  <c r="C152" i="1"/>
  <c r="D152" i="1" s="1"/>
  <c r="B153" i="1"/>
  <c r="H74" i="1" l="1"/>
  <c r="F74" i="1" s="1"/>
  <c r="G74" i="1"/>
  <c r="C153" i="1"/>
  <c r="D153" i="1" s="1"/>
  <c r="B154" i="1"/>
  <c r="I74" i="1" l="1"/>
  <c r="E75" i="1" s="1"/>
  <c r="C154" i="1"/>
  <c r="D154" i="1" s="1"/>
  <c r="B155" i="1"/>
  <c r="H75" i="1" l="1"/>
  <c r="F75" i="1" s="1"/>
  <c r="G75" i="1"/>
  <c r="C155" i="1"/>
  <c r="D155" i="1" s="1"/>
  <c r="B156" i="1"/>
  <c r="I75" i="1" l="1"/>
  <c r="E76" i="1" s="1"/>
  <c r="B157" i="1"/>
  <c r="C156" i="1"/>
  <c r="D156" i="1" s="1"/>
  <c r="H76" i="1" l="1"/>
  <c r="F76" i="1" s="1"/>
  <c r="G76" i="1"/>
  <c r="C157" i="1"/>
  <c r="D157" i="1" s="1"/>
  <c r="B158" i="1"/>
  <c r="I76" i="1" l="1"/>
  <c r="E77" i="1" s="1"/>
  <c r="C158" i="1"/>
  <c r="D158" i="1" s="1"/>
  <c r="B159" i="1"/>
  <c r="G77" i="1" l="1"/>
  <c r="H77" i="1"/>
  <c r="F77" i="1" s="1"/>
  <c r="C159" i="1"/>
  <c r="D159" i="1" s="1"/>
  <c r="B160" i="1"/>
  <c r="I77" i="1" l="1"/>
  <c r="E78" i="1" s="1"/>
  <c r="C160" i="1"/>
  <c r="D160" i="1" s="1"/>
  <c r="B161" i="1"/>
  <c r="G78" i="1" l="1"/>
  <c r="H78" i="1"/>
  <c r="F78" i="1" s="1"/>
  <c r="C161" i="1"/>
  <c r="D161" i="1" s="1"/>
  <c r="B162" i="1"/>
  <c r="I78" i="1" l="1"/>
  <c r="E79" i="1" s="1"/>
  <c r="B163" i="1"/>
  <c r="C162" i="1"/>
  <c r="D162" i="1" s="1"/>
  <c r="G79" i="1" l="1"/>
  <c r="H79" i="1"/>
  <c r="F79" i="1" s="1"/>
  <c r="C163" i="1"/>
  <c r="D163" i="1" s="1"/>
  <c r="B164" i="1"/>
  <c r="I79" i="1" l="1"/>
  <c r="E80" i="1" s="1"/>
  <c r="C164" i="1"/>
  <c r="D164" i="1" s="1"/>
  <c r="B165" i="1"/>
  <c r="G80" i="1" l="1"/>
  <c r="H80" i="1"/>
  <c r="F80" i="1" s="1"/>
  <c r="C165" i="1"/>
  <c r="D165" i="1" s="1"/>
  <c r="B166" i="1"/>
  <c r="I80" i="1" l="1"/>
  <c r="E81" i="1" s="1"/>
  <c r="C166" i="1"/>
  <c r="D166" i="1" s="1"/>
  <c r="B167" i="1"/>
  <c r="H81" i="1" l="1"/>
  <c r="F81" i="1" s="1"/>
  <c r="G81" i="1"/>
  <c r="C167" i="1"/>
  <c r="D167" i="1" s="1"/>
  <c r="B168" i="1"/>
  <c r="I81" i="1" l="1"/>
  <c r="E82" i="1" s="1"/>
  <c r="C168" i="1"/>
  <c r="D168" i="1" s="1"/>
  <c r="B169" i="1"/>
  <c r="H82" i="1" l="1"/>
  <c r="F82" i="1" s="1"/>
  <c r="G82" i="1"/>
  <c r="C169" i="1"/>
  <c r="D169" i="1" s="1"/>
  <c r="B170" i="1"/>
  <c r="I82" i="1" l="1"/>
  <c r="E83" i="1" s="1"/>
  <c r="C170" i="1"/>
  <c r="D170" i="1" s="1"/>
  <c r="B171" i="1"/>
  <c r="H83" i="1" l="1"/>
  <c r="F83" i="1" s="1"/>
  <c r="G83" i="1"/>
  <c r="C171" i="1"/>
  <c r="D171" i="1" s="1"/>
  <c r="B172" i="1"/>
  <c r="I83" i="1" l="1"/>
  <c r="E84" i="1" s="1"/>
  <c r="C172" i="1"/>
  <c r="D172" i="1" s="1"/>
  <c r="B173" i="1"/>
  <c r="H84" i="1" l="1"/>
  <c r="G84" i="1"/>
  <c r="C173" i="1"/>
  <c r="D173" i="1" s="1"/>
  <c r="B174" i="1"/>
  <c r="F84" i="1" l="1"/>
  <c r="C174" i="1"/>
  <c r="D174" i="1" s="1"/>
  <c r="B175" i="1"/>
  <c r="I84" i="1" l="1"/>
  <c r="E85" i="1" s="1"/>
  <c r="C175" i="1"/>
  <c r="D175" i="1" s="1"/>
  <c r="B176" i="1"/>
  <c r="G85" i="1" l="1"/>
  <c r="H85" i="1"/>
  <c r="F85" i="1" s="1"/>
  <c r="B177" i="1"/>
  <c r="C176" i="1"/>
  <c r="D176" i="1" s="1"/>
  <c r="I85" i="1" l="1"/>
  <c r="E86" i="1" s="1"/>
  <c r="C177" i="1"/>
  <c r="D177" i="1" s="1"/>
  <c r="B178" i="1"/>
  <c r="H86" i="1" l="1"/>
  <c r="F86" i="1" s="1"/>
  <c r="G86" i="1"/>
  <c r="C178" i="1"/>
  <c r="D178" i="1" s="1"/>
  <c r="B179" i="1"/>
  <c r="I86" i="1" l="1"/>
  <c r="E87" i="1" s="1"/>
  <c r="C179" i="1"/>
  <c r="D179" i="1" s="1"/>
  <c r="B180" i="1"/>
  <c r="H87" i="1" l="1"/>
  <c r="F87" i="1" s="1"/>
  <c r="G87" i="1"/>
  <c r="C180" i="1"/>
  <c r="D180" i="1" s="1"/>
  <c r="B181" i="1"/>
  <c r="I87" i="1" l="1"/>
  <c r="E88" i="1" s="1"/>
  <c r="C181" i="1"/>
  <c r="D181" i="1" s="1"/>
  <c r="B182" i="1"/>
  <c r="H88" i="1" l="1"/>
  <c r="F88" i="1" s="1"/>
  <c r="G88" i="1"/>
  <c r="C182" i="1"/>
  <c r="D182" i="1" s="1"/>
  <c r="B183" i="1"/>
  <c r="I88" i="1" l="1"/>
  <c r="E89" i="1" s="1"/>
  <c r="C183" i="1"/>
  <c r="D183" i="1" s="1"/>
  <c r="B184" i="1"/>
  <c r="G89" i="1" l="1"/>
  <c r="H89" i="1"/>
  <c r="F89" i="1" s="1"/>
  <c r="C184" i="1"/>
  <c r="D184" i="1" s="1"/>
  <c r="B185" i="1"/>
  <c r="I89" i="1" l="1"/>
  <c r="E90" i="1" s="1"/>
  <c r="C185" i="1"/>
  <c r="D185" i="1" s="1"/>
  <c r="B186" i="1"/>
  <c r="H90" i="1" l="1"/>
  <c r="G90" i="1"/>
  <c r="C186" i="1"/>
  <c r="D186" i="1" s="1"/>
  <c r="B187" i="1"/>
  <c r="F90" i="1" l="1"/>
  <c r="I90" i="1" s="1"/>
  <c r="E91" i="1" s="1"/>
  <c r="C187" i="1"/>
  <c r="D187" i="1" s="1"/>
  <c r="B188" i="1"/>
  <c r="H91" i="1" l="1"/>
  <c r="G91" i="1"/>
  <c r="C188" i="1"/>
  <c r="D188" i="1" s="1"/>
  <c r="B189" i="1"/>
  <c r="F91" i="1" l="1"/>
  <c r="C189" i="1"/>
  <c r="D189" i="1" s="1"/>
  <c r="B190" i="1"/>
  <c r="I91" i="1" l="1"/>
  <c r="E92" i="1" s="1"/>
  <c r="C190" i="1"/>
  <c r="D190" i="1" s="1"/>
  <c r="B191" i="1"/>
  <c r="G92" i="1" l="1"/>
  <c r="H92" i="1"/>
  <c r="F92" i="1" s="1"/>
  <c r="B192" i="1"/>
  <c r="C191" i="1"/>
  <c r="D191" i="1" s="1"/>
  <c r="I92" i="1" l="1"/>
  <c r="E93" i="1" s="1"/>
  <c r="B193" i="1"/>
  <c r="C192" i="1"/>
  <c r="D192" i="1" s="1"/>
  <c r="G93" i="1" l="1"/>
  <c r="H93" i="1"/>
  <c r="C193" i="1"/>
  <c r="D193" i="1" s="1"/>
  <c r="B194" i="1"/>
  <c r="F93" i="1" l="1"/>
  <c r="B195" i="1"/>
  <c r="C194" i="1"/>
  <c r="D194" i="1" s="1"/>
  <c r="I93" i="1" l="1"/>
  <c r="E94" i="1" s="1"/>
  <c r="C195" i="1"/>
  <c r="D195" i="1" s="1"/>
  <c r="B196" i="1"/>
  <c r="H94" i="1" l="1"/>
  <c r="G94" i="1"/>
  <c r="F94" i="1"/>
  <c r="C196" i="1"/>
  <c r="D196" i="1" s="1"/>
  <c r="B197" i="1"/>
  <c r="I94" i="1" l="1"/>
  <c r="E95" i="1" s="1"/>
  <c r="C197" i="1"/>
  <c r="D197" i="1" s="1"/>
  <c r="B198" i="1"/>
  <c r="G95" i="1" l="1"/>
  <c r="H95" i="1"/>
  <c r="F95" i="1" s="1"/>
  <c r="C198" i="1"/>
  <c r="D198" i="1" s="1"/>
  <c r="B199" i="1"/>
  <c r="I95" i="1" l="1"/>
  <c r="E96" i="1" s="1"/>
  <c r="B200" i="1"/>
  <c r="C199" i="1"/>
  <c r="D199" i="1" s="1"/>
  <c r="H96" i="1" l="1"/>
  <c r="G96" i="1"/>
  <c r="C200" i="1"/>
  <c r="D200" i="1" s="1"/>
  <c r="B201" i="1"/>
  <c r="F96" i="1" l="1"/>
  <c r="C201" i="1"/>
  <c r="D201" i="1" s="1"/>
  <c r="B202" i="1"/>
  <c r="I96" i="1" l="1"/>
  <c r="E97" i="1" s="1"/>
  <c r="C202" i="1"/>
  <c r="D202" i="1" s="1"/>
  <c r="B203" i="1"/>
  <c r="G97" i="1" l="1"/>
  <c r="H97" i="1"/>
  <c r="F97" i="1" s="1"/>
  <c r="C203" i="1"/>
  <c r="D203" i="1" s="1"/>
  <c r="B204" i="1"/>
  <c r="I97" i="1" l="1"/>
  <c r="E98" i="1" s="1"/>
  <c r="C204" i="1"/>
  <c r="D204" i="1" s="1"/>
  <c r="B205" i="1"/>
  <c r="H98" i="1" l="1"/>
  <c r="F98" i="1" s="1"/>
  <c r="G98" i="1"/>
  <c r="B206" i="1"/>
  <c r="C205" i="1"/>
  <c r="D205" i="1" s="1"/>
  <c r="I98" i="1" l="1"/>
  <c r="E99" i="1" s="1"/>
  <c r="C206" i="1"/>
  <c r="D206" i="1" s="1"/>
  <c r="B207" i="1"/>
  <c r="H99" i="1" l="1"/>
  <c r="F99" i="1" s="1"/>
  <c r="G99" i="1"/>
  <c r="C207" i="1"/>
  <c r="D207" i="1" s="1"/>
  <c r="B208" i="1"/>
  <c r="I99" i="1" l="1"/>
  <c r="E100" i="1" s="1"/>
  <c r="C208" i="1"/>
  <c r="D208" i="1" s="1"/>
  <c r="B209" i="1"/>
  <c r="H100" i="1" l="1"/>
  <c r="F100" i="1" s="1"/>
  <c r="G100" i="1"/>
  <c r="C209" i="1"/>
  <c r="D209" i="1" s="1"/>
  <c r="B210" i="1"/>
  <c r="I100" i="1" l="1"/>
  <c r="E101" i="1" s="1"/>
  <c r="C210" i="1"/>
  <c r="D210" i="1" s="1"/>
  <c r="B211" i="1"/>
  <c r="H101" i="1" l="1"/>
  <c r="F101" i="1" s="1"/>
  <c r="G101" i="1"/>
  <c r="C211" i="1"/>
  <c r="D211" i="1" s="1"/>
  <c r="B212" i="1"/>
  <c r="I101" i="1" l="1"/>
  <c r="E102" i="1" s="1"/>
  <c r="B213" i="1"/>
  <c r="C212" i="1"/>
  <c r="D212" i="1" s="1"/>
  <c r="H102" i="1" l="1"/>
  <c r="F102" i="1" s="1"/>
  <c r="G102" i="1"/>
  <c r="B214" i="1"/>
  <c r="C213" i="1"/>
  <c r="D213" i="1" s="1"/>
  <c r="I102" i="1" l="1"/>
  <c r="E103" i="1" s="1"/>
  <c r="C214" i="1"/>
  <c r="D214" i="1" s="1"/>
  <c r="B215" i="1"/>
  <c r="H103" i="1" l="1"/>
  <c r="F103" i="1" s="1"/>
  <c r="G103" i="1"/>
  <c r="C215" i="1"/>
  <c r="D215" i="1" s="1"/>
  <c r="B216" i="1"/>
  <c r="I103" i="1" l="1"/>
  <c r="E104" i="1" s="1"/>
  <c r="C216" i="1"/>
  <c r="D216" i="1" s="1"/>
  <c r="B217" i="1"/>
  <c r="H104" i="1" l="1"/>
  <c r="F104" i="1" s="1"/>
  <c r="G104" i="1"/>
  <c r="C217" i="1"/>
  <c r="D217" i="1" s="1"/>
  <c r="B218" i="1"/>
  <c r="I104" i="1" l="1"/>
  <c r="E105" i="1" s="1"/>
  <c r="C218" i="1"/>
  <c r="D218" i="1" s="1"/>
  <c r="B219" i="1"/>
  <c r="G105" i="1" l="1"/>
  <c r="H105" i="1"/>
  <c r="F105" i="1" s="1"/>
  <c r="C219" i="1"/>
  <c r="D219" i="1" s="1"/>
  <c r="B220" i="1"/>
  <c r="I105" i="1" l="1"/>
  <c r="E106" i="1" s="1"/>
  <c r="C220" i="1"/>
  <c r="D220" i="1" s="1"/>
  <c r="B221" i="1"/>
  <c r="H106" i="1" l="1"/>
  <c r="F106" i="1" s="1"/>
  <c r="G106" i="1"/>
  <c r="C221" i="1"/>
  <c r="D221" i="1" s="1"/>
  <c r="B222" i="1"/>
  <c r="I106" i="1" l="1"/>
  <c r="E107" i="1" s="1"/>
  <c r="C222" i="1"/>
  <c r="D222" i="1" s="1"/>
  <c r="B223" i="1"/>
  <c r="H107" i="1" l="1"/>
  <c r="F107" i="1" s="1"/>
  <c r="G107" i="1"/>
  <c r="C223" i="1"/>
  <c r="D223" i="1" s="1"/>
  <c r="B224" i="1"/>
  <c r="I107" i="1" l="1"/>
  <c r="E108" i="1" s="1"/>
  <c r="C224" i="1"/>
  <c r="D224" i="1" s="1"/>
  <c r="B225" i="1"/>
  <c r="H108" i="1" l="1"/>
  <c r="F108" i="1" s="1"/>
  <c r="G108" i="1"/>
  <c r="C225" i="1"/>
  <c r="D225" i="1" s="1"/>
  <c r="B226" i="1"/>
  <c r="I108" i="1" l="1"/>
  <c r="E109" i="1" s="1"/>
  <c r="C226" i="1"/>
  <c r="D226" i="1" s="1"/>
  <c r="B227" i="1"/>
  <c r="H109" i="1" l="1"/>
  <c r="G109" i="1"/>
  <c r="C227" i="1"/>
  <c r="D227" i="1" s="1"/>
  <c r="B228" i="1"/>
  <c r="F109" i="1" l="1"/>
  <c r="C228" i="1"/>
  <c r="D228" i="1" s="1"/>
  <c r="B229" i="1"/>
  <c r="I109" i="1" l="1"/>
  <c r="E110" i="1" s="1"/>
  <c r="B230" i="1"/>
  <c r="C229" i="1"/>
  <c r="D229" i="1" s="1"/>
  <c r="H110" i="1" l="1"/>
  <c r="F110" i="1" s="1"/>
  <c r="G110" i="1"/>
  <c r="B231" i="1"/>
  <c r="C230" i="1"/>
  <c r="D230" i="1" s="1"/>
  <c r="I110" i="1" l="1"/>
  <c r="E111" i="1" s="1"/>
  <c r="C231" i="1"/>
  <c r="D231" i="1" s="1"/>
  <c r="B232" i="1"/>
  <c r="G111" i="1" l="1"/>
  <c r="H111" i="1"/>
  <c r="F111" i="1" s="1"/>
  <c r="C232" i="1"/>
  <c r="D232" i="1" s="1"/>
  <c r="B233" i="1"/>
  <c r="I111" i="1" l="1"/>
  <c r="E112" i="1" s="1"/>
  <c r="C233" i="1"/>
  <c r="D233" i="1" s="1"/>
  <c r="B234" i="1"/>
  <c r="G112" i="1" l="1"/>
  <c r="H112" i="1"/>
  <c r="F112" i="1" s="1"/>
  <c r="C234" i="1"/>
  <c r="D234" i="1" s="1"/>
  <c r="B235" i="1"/>
  <c r="I112" i="1" l="1"/>
  <c r="E113" i="1" s="1"/>
  <c r="B236" i="1"/>
  <c r="C235" i="1"/>
  <c r="D235" i="1" s="1"/>
  <c r="H113" i="1" l="1"/>
  <c r="F113" i="1" s="1"/>
  <c r="G113" i="1"/>
  <c r="C236" i="1"/>
  <c r="D236" i="1" s="1"/>
  <c r="B237" i="1"/>
  <c r="I113" i="1" l="1"/>
  <c r="E114" i="1" s="1"/>
  <c r="B238" i="1"/>
  <c r="C237" i="1"/>
  <c r="D237" i="1" s="1"/>
  <c r="H114" i="1" l="1"/>
  <c r="F114" i="1" s="1"/>
  <c r="G114" i="1"/>
  <c r="C238" i="1"/>
  <c r="D238" i="1" s="1"/>
  <c r="B239" i="1"/>
  <c r="I114" i="1" l="1"/>
  <c r="E115" i="1" s="1"/>
  <c r="C239" i="1"/>
  <c r="D239" i="1" s="1"/>
  <c r="B240" i="1"/>
  <c r="G115" i="1" l="1"/>
  <c r="H115" i="1"/>
  <c r="F115" i="1" s="1"/>
  <c r="C240" i="1"/>
  <c r="D240" i="1" s="1"/>
  <c r="B241" i="1"/>
  <c r="I115" i="1" l="1"/>
  <c r="E116" i="1" s="1"/>
  <c r="C241" i="1"/>
  <c r="D241" i="1" s="1"/>
  <c r="B242" i="1"/>
  <c r="H116" i="1" l="1"/>
  <c r="G116" i="1"/>
  <c r="F116" i="1"/>
  <c r="C242" i="1"/>
  <c r="D242" i="1" s="1"/>
  <c r="B243" i="1"/>
  <c r="I116" i="1" l="1"/>
  <c r="E117" i="1" s="1"/>
  <c r="C243" i="1"/>
  <c r="D243" i="1" s="1"/>
  <c r="B244" i="1"/>
  <c r="G117" i="1" l="1"/>
  <c r="H117" i="1"/>
  <c r="C244" i="1"/>
  <c r="D244" i="1" s="1"/>
  <c r="B245" i="1"/>
  <c r="F117" i="1" l="1"/>
  <c r="I117" i="1" s="1"/>
  <c r="E118" i="1" s="1"/>
  <c r="C245" i="1"/>
  <c r="D245" i="1" s="1"/>
  <c r="B246" i="1"/>
  <c r="C246" i="1" l="1"/>
  <c r="D246" i="1" s="1"/>
  <c r="B247" i="1"/>
  <c r="G118" i="1" l="1"/>
  <c r="H118" i="1"/>
  <c r="B248" i="1"/>
  <c r="C247" i="1"/>
  <c r="D247" i="1" s="1"/>
  <c r="F118" i="1" l="1"/>
  <c r="I118" i="1" s="1"/>
  <c r="E119" i="1" s="1"/>
  <c r="C248" i="1"/>
  <c r="D248" i="1" s="1"/>
  <c r="B249" i="1"/>
  <c r="B250" i="1" l="1"/>
  <c r="C249" i="1"/>
  <c r="D249" i="1" s="1"/>
  <c r="H119" i="1" l="1"/>
  <c r="G119" i="1"/>
  <c r="C250" i="1"/>
  <c r="D250" i="1" s="1"/>
  <c r="B251" i="1"/>
  <c r="F119" i="1" l="1"/>
  <c r="B252" i="1"/>
  <c r="C251" i="1"/>
  <c r="D251" i="1" s="1"/>
  <c r="I119" i="1" l="1"/>
  <c r="E120" i="1" s="1"/>
  <c r="B253" i="1"/>
  <c r="C252" i="1"/>
  <c r="D252" i="1" s="1"/>
  <c r="H120" i="1" l="1"/>
  <c r="F120" i="1" s="1"/>
  <c r="G120" i="1"/>
  <c r="C253" i="1"/>
  <c r="D253" i="1" s="1"/>
  <c r="B254" i="1"/>
  <c r="I120" i="1" l="1"/>
  <c r="E121" i="1" s="1"/>
  <c r="C254" i="1"/>
  <c r="D254" i="1" s="1"/>
  <c r="B255" i="1"/>
  <c r="G121" i="1" l="1"/>
  <c r="H121" i="1"/>
  <c r="B256" i="1"/>
  <c r="C255" i="1"/>
  <c r="D255" i="1" s="1"/>
  <c r="F121" i="1" l="1"/>
  <c r="C256" i="1"/>
  <c r="D256" i="1" s="1"/>
  <c r="B257" i="1"/>
  <c r="I121" i="1" l="1"/>
  <c r="E122" i="1" s="1"/>
  <c r="B258" i="1"/>
  <c r="C257" i="1"/>
  <c r="D257" i="1" s="1"/>
  <c r="G122" i="1" l="1"/>
  <c r="H122" i="1"/>
  <c r="F122" i="1" s="1"/>
  <c r="B259" i="1"/>
  <c r="C258" i="1"/>
  <c r="D258" i="1" s="1"/>
  <c r="I122" i="1" l="1"/>
  <c r="E123" i="1" s="1"/>
  <c r="C259" i="1"/>
  <c r="D259" i="1" s="1"/>
  <c r="B260" i="1"/>
  <c r="G123" i="1" l="1"/>
  <c r="H123" i="1"/>
  <c r="F123" i="1" s="1"/>
  <c r="B261" i="1"/>
  <c r="C260" i="1"/>
  <c r="D260" i="1" s="1"/>
  <c r="I123" i="1" l="1"/>
  <c r="E124" i="1" s="1"/>
  <c r="B262" i="1"/>
  <c r="C261" i="1"/>
  <c r="D261" i="1" s="1"/>
  <c r="G124" i="1" l="1"/>
  <c r="H124" i="1"/>
  <c r="F124" i="1" s="1"/>
  <c r="C262" i="1"/>
  <c r="D262" i="1" s="1"/>
  <c r="B263" i="1"/>
  <c r="I124" i="1" l="1"/>
  <c r="E125" i="1" s="1"/>
  <c r="C263" i="1"/>
  <c r="D263" i="1" s="1"/>
  <c r="B264" i="1"/>
  <c r="H125" i="1" l="1"/>
  <c r="F125" i="1" s="1"/>
  <c r="G125" i="1"/>
  <c r="C264" i="1"/>
  <c r="D264" i="1" s="1"/>
  <c r="B265" i="1"/>
  <c r="I125" i="1" l="1"/>
  <c r="E126" i="1" s="1"/>
  <c r="C265" i="1"/>
  <c r="D265" i="1" s="1"/>
  <c r="B266" i="1"/>
  <c r="G126" i="1" l="1"/>
  <c r="H126" i="1"/>
  <c r="F126" i="1" s="1"/>
  <c r="C266" i="1"/>
  <c r="D266" i="1" s="1"/>
  <c r="B267" i="1"/>
  <c r="I126" i="1" l="1"/>
  <c r="E127" i="1" s="1"/>
  <c r="B268" i="1"/>
  <c r="C267" i="1"/>
  <c r="D267" i="1" s="1"/>
  <c r="G127" i="1" l="1"/>
  <c r="H127" i="1"/>
  <c r="B269" i="1"/>
  <c r="C268" i="1"/>
  <c r="D268" i="1" s="1"/>
  <c r="F127" i="1" l="1"/>
  <c r="I127" i="1" s="1"/>
  <c r="E128" i="1" s="1"/>
  <c r="C269" i="1"/>
  <c r="D269" i="1" s="1"/>
  <c r="B270" i="1"/>
  <c r="C270" i="1" l="1"/>
  <c r="D270" i="1" s="1"/>
  <c r="B271" i="1"/>
  <c r="G128" i="1" l="1"/>
  <c r="H128" i="1"/>
  <c r="B272" i="1"/>
  <c r="C271" i="1"/>
  <c r="D271" i="1" s="1"/>
  <c r="F128" i="1" l="1"/>
  <c r="C272" i="1"/>
  <c r="D272" i="1" s="1"/>
  <c r="B273" i="1"/>
  <c r="I128" i="1" l="1"/>
  <c r="E129" i="1" s="1"/>
  <c r="B274" i="1"/>
  <c r="C273" i="1"/>
  <c r="D273" i="1" s="1"/>
  <c r="H129" i="1" l="1"/>
  <c r="F129" i="1" s="1"/>
  <c r="G129" i="1"/>
  <c r="C274" i="1"/>
  <c r="D274" i="1" s="1"/>
  <c r="B275" i="1"/>
  <c r="I129" i="1" l="1"/>
  <c r="E130" i="1" s="1"/>
  <c r="B276" i="1"/>
  <c r="C275" i="1"/>
  <c r="D275" i="1" s="1"/>
  <c r="G130" i="1" l="1"/>
  <c r="H130" i="1"/>
  <c r="F130" i="1" s="1"/>
  <c r="C276" i="1"/>
  <c r="D276" i="1" s="1"/>
  <c r="B277" i="1"/>
  <c r="I130" i="1" l="1"/>
  <c r="E131" i="1" s="1"/>
  <c r="B278" i="1"/>
  <c r="C277" i="1"/>
  <c r="D277" i="1" s="1"/>
  <c r="H131" i="1" l="1"/>
  <c r="F131" i="1" s="1"/>
  <c r="G131" i="1"/>
  <c r="C278" i="1"/>
  <c r="D278" i="1" s="1"/>
  <c r="B279" i="1"/>
  <c r="I131" i="1" l="1"/>
  <c r="E132" i="1" s="1"/>
  <c r="B280" i="1"/>
  <c r="C279" i="1"/>
  <c r="D279" i="1" s="1"/>
  <c r="G132" i="1" l="1"/>
  <c r="H132" i="1"/>
  <c r="F132" i="1" s="1"/>
  <c r="C280" i="1"/>
  <c r="D280" i="1" s="1"/>
  <c r="B281" i="1"/>
  <c r="I132" i="1" l="1"/>
  <c r="E133" i="1" s="1"/>
  <c r="C281" i="1"/>
  <c r="D281" i="1" s="1"/>
  <c r="B282" i="1"/>
  <c r="G133" i="1" l="1"/>
  <c r="H133" i="1"/>
  <c r="F133" i="1"/>
  <c r="C282" i="1"/>
  <c r="D282" i="1" s="1"/>
  <c r="B283" i="1"/>
  <c r="I133" i="1" l="1"/>
  <c r="E134" i="1" s="1"/>
  <c r="C283" i="1"/>
  <c r="D283" i="1" s="1"/>
  <c r="B284" i="1"/>
  <c r="G134" i="1" l="1"/>
  <c r="H134" i="1"/>
  <c r="F134" i="1" s="1"/>
  <c r="C284" i="1"/>
  <c r="D284" i="1" s="1"/>
  <c r="B285" i="1"/>
  <c r="I134" i="1" l="1"/>
  <c r="E135" i="1" s="1"/>
  <c r="B286" i="1"/>
  <c r="C285" i="1"/>
  <c r="D285" i="1" s="1"/>
  <c r="G135" i="1" l="1"/>
  <c r="H135" i="1"/>
  <c r="F135" i="1" s="1"/>
  <c r="I135" i="1" s="1"/>
  <c r="E136" i="1" s="1"/>
  <c r="C286" i="1"/>
  <c r="D286" i="1" s="1"/>
  <c r="B287" i="1"/>
  <c r="B288" i="1" l="1"/>
  <c r="C287" i="1"/>
  <c r="D287" i="1" s="1"/>
  <c r="G136" i="1" l="1"/>
  <c r="H136" i="1"/>
  <c r="C288" i="1"/>
  <c r="D288" i="1" s="1"/>
  <c r="B289" i="1"/>
  <c r="F136" i="1" l="1"/>
  <c r="B290" i="1"/>
  <c r="C289" i="1"/>
  <c r="D289" i="1" s="1"/>
  <c r="I136" i="1" l="1"/>
  <c r="E137" i="1" s="1"/>
  <c r="C290" i="1"/>
  <c r="D290" i="1" s="1"/>
  <c r="B291" i="1"/>
  <c r="H137" i="1" l="1"/>
  <c r="F137" i="1" s="1"/>
  <c r="G137" i="1"/>
  <c r="C291" i="1"/>
  <c r="D291" i="1" s="1"/>
  <c r="B292" i="1"/>
  <c r="I137" i="1" l="1"/>
  <c r="E138" i="1" s="1"/>
  <c r="B293" i="1"/>
  <c r="C292" i="1"/>
  <c r="D292" i="1" s="1"/>
  <c r="H138" i="1" l="1"/>
  <c r="F138" i="1" s="1"/>
  <c r="G138" i="1"/>
  <c r="B294" i="1"/>
  <c r="C293" i="1"/>
  <c r="D293" i="1" s="1"/>
  <c r="I138" i="1" l="1"/>
  <c r="E139" i="1" s="1"/>
  <c r="C294" i="1"/>
  <c r="D294" i="1" s="1"/>
  <c r="B295" i="1"/>
  <c r="H139" i="1" l="1"/>
  <c r="F139" i="1" s="1"/>
  <c r="G139" i="1"/>
  <c r="C295" i="1"/>
  <c r="D295" i="1" s="1"/>
  <c r="B296" i="1"/>
  <c r="I139" i="1" l="1"/>
  <c r="E140" i="1" s="1"/>
  <c r="B297" i="1"/>
  <c r="C296" i="1"/>
  <c r="D296" i="1" s="1"/>
  <c r="H140" i="1" l="1"/>
  <c r="G140" i="1"/>
  <c r="F140" i="1"/>
  <c r="B298" i="1"/>
  <c r="C297" i="1"/>
  <c r="D297" i="1" s="1"/>
  <c r="I140" i="1" l="1"/>
  <c r="E141" i="1" s="1"/>
  <c r="C298" i="1"/>
  <c r="D298" i="1" s="1"/>
  <c r="B299" i="1"/>
  <c r="G141" i="1" l="1"/>
  <c r="H141" i="1"/>
  <c r="F141" i="1" s="1"/>
  <c r="B300" i="1"/>
  <c r="C299" i="1"/>
  <c r="D299" i="1" s="1"/>
  <c r="I141" i="1" l="1"/>
  <c r="E142" i="1" s="1"/>
  <c r="C300" i="1"/>
  <c r="D300" i="1" s="1"/>
  <c r="B301" i="1"/>
  <c r="G142" i="1" l="1"/>
  <c r="H142" i="1"/>
  <c r="F142" i="1" s="1"/>
  <c r="B302" i="1"/>
  <c r="C301" i="1"/>
  <c r="D301" i="1" s="1"/>
  <c r="I142" i="1" l="1"/>
  <c r="E143" i="1" s="1"/>
  <c r="B303" i="1"/>
  <c r="C302" i="1"/>
  <c r="D302" i="1" s="1"/>
  <c r="H143" i="1" l="1"/>
  <c r="F143" i="1" s="1"/>
  <c r="G143" i="1"/>
  <c r="C303" i="1"/>
  <c r="D303" i="1" s="1"/>
  <c r="B304" i="1"/>
  <c r="I143" i="1" l="1"/>
  <c r="E144" i="1" s="1"/>
  <c r="C304" i="1"/>
  <c r="D304" i="1" s="1"/>
  <c r="B305" i="1"/>
  <c r="G144" i="1" l="1"/>
  <c r="H144" i="1"/>
  <c r="F144" i="1" s="1"/>
  <c r="B306" i="1"/>
  <c r="C305" i="1"/>
  <c r="D305" i="1" s="1"/>
  <c r="I144" i="1" l="1"/>
  <c r="E145" i="1" s="1"/>
  <c r="B307" i="1"/>
  <c r="C306" i="1"/>
  <c r="D306" i="1" s="1"/>
  <c r="H145" i="1" l="1"/>
  <c r="G145" i="1"/>
  <c r="F145" i="1"/>
  <c r="C307" i="1"/>
  <c r="D307" i="1" s="1"/>
  <c r="B308" i="1"/>
  <c r="I145" i="1" l="1"/>
  <c r="E146" i="1" s="1"/>
  <c r="C308" i="1"/>
  <c r="D308" i="1" s="1"/>
  <c r="B309" i="1"/>
  <c r="G146" i="1" l="1"/>
  <c r="H146" i="1"/>
  <c r="F146" i="1" s="1"/>
  <c r="B310" i="1"/>
  <c r="C309" i="1"/>
  <c r="D309" i="1" s="1"/>
  <c r="I146" i="1" l="1"/>
  <c r="C310" i="1"/>
  <c r="D310" i="1" s="1"/>
  <c r="B311" i="1"/>
  <c r="E147" i="1" l="1"/>
  <c r="G147" i="1" s="1"/>
  <c r="B312" i="1"/>
  <c r="C311" i="1"/>
  <c r="D311" i="1" s="1"/>
  <c r="H147" i="1" l="1"/>
  <c r="F147" i="1" s="1"/>
  <c r="I147" i="1" s="1"/>
  <c r="E148" i="1" s="1"/>
  <c r="B313" i="1"/>
  <c r="C312" i="1"/>
  <c r="D312" i="1" s="1"/>
  <c r="G148" i="1" l="1"/>
  <c r="H148" i="1"/>
  <c r="F148" i="1" s="1"/>
  <c r="C313" i="1"/>
  <c r="D313" i="1" s="1"/>
  <c r="B314" i="1"/>
  <c r="I148" i="1" l="1"/>
  <c r="E149" i="1" s="1"/>
  <c r="C314" i="1"/>
  <c r="D314" i="1" s="1"/>
  <c r="B315" i="1"/>
  <c r="G149" i="1" l="1"/>
  <c r="H149" i="1"/>
  <c r="F149" i="1" s="1"/>
  <c r="C315" i="1"/>
  <c r="D315" i="1" s="1"/>
  <c r="B316" i="1"/>
  <c r="I149" i="1" l="1"/>
  <c r="E150" i="1" s="1"/>
  <c r="C316" i="1"/>
  <c r="D316" i="1" s="1"/>
  <c r="B317" i="1"/>
  <c r="G150" i="1" l="1"/>
  <c r="H150" i="1"/>
  <c r="F150" i="1" s="1"/>
  <c r="C317" i="1"/>
  <c r="D317" i="1" s="1"/>
  <c r="B318" i="1"/>
  <c r="I150" i="1" l="1"/>
  <c r="E151" i="1" s="1"/>
  <c r="C318" i="1"/>
  <c r="D318" i="1" s="1"/>
  <c r="B319" i="1"/>
  <c r="H151" i="1" l="1"/>
  <c r="G151" i="1"/>
  <c r="C319" i="1"/>
  <c r="D319" i="1" s="1"/>
  <c r="B320" i="1"/>
  <c r="F151" i="1" l="1"/>
  <c r="C320" i="1"/>
  <c r="D320" i="1" s="1"/>
  <c r="B321" i="1"/>
  <c r="I151" i="1" l="1"/>
  <c r="E152" i="1" s="1"/>
  <c r="C321" i="1"/>
  <c r="D321" i="1" s="1"/>
  <c r="B322" i="1"/>
  <c r="G152" i="1" l="1"/>
  <c r="H152" i="1"/>
  <c r="F152" i="1" s="1"/>
  <c r="C322" i="1"/>
  <c r="D322" i="1" s="1"/>
  <c r="B323" i="1"/>
  <c r="I152" i="1" l="1"/>
  <c r="E153" i="1" s="1"/>
  <c r="C323" i="1"/>
  <c r="D323" i="1" s="1"/>
  <c r="B324" i="1"/>
  <c r="G153" i="1" l="1"/>
  <c r="H153" i="1"/>
  <c r="C324" i="1"/>
  <c r="D324" i="1" s="1"/>
  <c r="B325" i="1"/>
  <c r="F153" i="1" l="1"/>
  <c r="I153" i="1" s="1"/>
  <c r="E154" i="1" s="1"/>
  <c r="C325" i="1"/>
  <c r="D325" i="1" s="1"/>
  <c r="B326" i="1"/>
  <c r="C326" i="1" l="1"/>
  <c r="D326" i="1" s="1"/>
  <c r="B327" i="1"/>
  <c r="H154" i="1" l="1"/>
  <c r="G154" i="1"/>
  <c r="B328" i="1"/>
  <c r="C327" i="1"/>
  <c r="D327" i="1" s="1"/>
  <c r="F154" i="1" l="1"/>
  <c r="I154" i="1" s="1"/>
  <c r="E155" i="1" s="1"/>
  <c r="C328" i="1"/>
  <c r="D328" i="1" s="1"/>
  <c r="B329" i="1"/>
  <c r="B330" i="1" l="1"/>
  <c r="C329" i="1"/>
  <c r="D329" i="1" s="1"/>
  <c r="H155" i="1" l="1"/>
  <c r="G155" i="1"/>
  <c r="C330" i="1"/>
  <c r="D330" i="1" s="1"/>
  <c r="B331" i="1"/>
  <c r="F155" i="1" l="1"/>
  <c r="I155" i="1" s="1"/>
  <c r="E156" i="1" s="1"/>
  <c r="C331" i="1"/>
  <c r="D331" i="1" s="1"/>
  <c r="B332" i="1"/>
  <c r="B333" i="1" l="1"/>
  <c r="C332" i="1"/>
  <c r="D332" i="1" s="1"/>
  <c r="G156" i="1" l="1"/>
  <c r="H156" i="1"/>
  <c r="B334" i="1"/>
  <c r="C333" i="1"/>
  <c r="D333" i="1" s="1"/>
  <c r="F156" i="1" l="1"/>
  <c r="I156" i="1" s="1"/>
  <c r="E157" i="1" s="1"/>
  <c r="C334" i="1"/>
  <c r="D334" i="1" s="1"/>
  <c r="B335" i="1"/>
  <c r="C335" i="1" l="1"/>
  <c r="D335" i="1" s="1"/>
  <c r="B336" i="1"/>
  <c r="H157" i="1" l="1"/>
  <c r="G157" i="1"/>
  <c r="C336" i="1"/>
  <c r="D336" i="1" s="1"/>
  <c r="B337" i="1"/>
  <c r="F157" i="1" l="1"/>
  <c r="I157" i="1" s="1"/>
  <c r="E158" i="1" s="1"/>
  <c r="C337" i="1"/>
  <c r="D337" i="1" s="1"/>
  <c r="B338" i="1"/>
  <c r="B339" i="1" l="1"/>
  <c r="C338" i="1"/>
  <c r="D338" i="1" s="1"/>
  <c r="G158" i="1" l="1"/>
  <c r="H158" i="1"/>
  <c r="C339" i="1"/>
  <c r="D339" i="1" s="1"/>
  <c r="B340" i="1"/>
  <c r="F158" i="1" l="1"/>
  <c r="I158" i="1" s="1"/>
  <c r="E159" i="1" s="1"/>
  <c r="C340" i="1"/>
  <c r="D340" i="1" s="1"/>
  <c r="B341" i="1"/>
  <c r="C341" i="1" l="1"/>
  <c r="D341" i="1" s="1"/>
  <c r="B342" i="1"/>
  <c r="H159" i="1" l="1"/>
  <c r="G159" i="1"/>
  <c r="C342" i="1"/>
  <c r="D342" i="1" s="1"/>
  <c r="B343" i="1"/>
  <c r="F159" i="1" l="1"/>
  <c r="I159" i="1" s="1"/>
  <c r="E160" i="1" s="1"/>
  <c r="C343" i="1"/>
  <c r="D343" i="1" s="1"/>
  <c r="B344" i="1"/>
  <c r="B345" i="1" l="1"/>
  <c r="C344" i="1"/>
  <c r="D344" i="1" s="1"/>
  <c r="H160" i="1" l="1"/>
  <c r="G160" i="1"/>
  <c r="C345" i="1"/>
  <c r="D345" i="1" s="1"/>
  <c r="B346" i="1"/>
  <c r="F160" i="1" l="1"/>
  <c r="C346" i="1"/>
  <c r="D346" i="1" s="1"/>
  <c r="B347" i="1"/>
  <c r="I160" i="1" l="1"/>
  <c r="E161" i="1" s="1"/>
  <c r="B348" i="1"/>
  <c r="C347" i="1"/>
  <c r="D347" i="1" s="1"/>
  <c r="H161" i="1" l="1"/>
  <c r="F161" i="1" s="1"/>
  <c r="G161" i="1"/>
  <c r="C348" i="1"/>
  <c r="D348" i="1" s="1"/>
  <c r="B349" i="1"/>
  <c r="I161" i="1" l="1"/>
  <c r="E162" i="1" s="1"/>
  <c r="C349" i="1"/>
  <c r="D349" i="1" s="1"/>
  <c r="B350" i="1"/>
  <c r="G162" i="1" l="1"/>
  <c r="H162" i="1"/>
  <c r="F162" i="1" s="1"/>
  <c r="C350" i="1"/>
  <c r="D350" i="1" s="1"/>
  <c r="B351" i="1"/>
  <c r="I162" i="1" l="1"/>
  <c r="E163" i="1" s="1"/>
  <c r="C351" i="1"/>
  <c r="D351" i="1" s="1"/>
  <c r="B352" i="1"/>
  <c r="G163" i="1" l="1"/>
  <c r="H163" i="1"/>
  <c r="F163" i="1" s="1"/>
  <c r="C352" i="1"/>
  <c r="D352" i="1" s="1"/>
  <c r="B353" i="1"/>
  <c r="I163" i="1" l="1"/>
  <c r="E164" i="1" s="1"/>
  <c r="C353" i="1"/>
  <c r="D353" i="1" s="1"/>
  <c r="B354" i="1"/>
  <c r="H164" i="1" l="1"/>
  <c r="G164" i="1"/>
  <c r="C354" i="1"/>
  <c r="D354" i="1" s="1"/>
  <c r="B355" i="1"/>
  <c r="F164" i="1" l="1"/>
  <c r="B356" i="1"/>
  <c r="C355" i="1"/>
  <c r="D355" i="1" s="1"/>
  <c r="I164" i="1" l="1"/>
  <c r="E165" i="1" s="1"/>
  <c r="C356" i="1"/>
  <c r="D356" i="1" s="1"/>
  <c r="B357" i="1"/>
  <c r="G165" i="1" l="1"/>
  <c r="H165" i="1"/>
  <c r="F165" i="1" s="1"/>
  <c r="C357" i="1"/>
  <c r="D357" i="1" s="1"/>
  <c r="B358" i="1"/>
  <c r="I165" i="1" l="1"/>
  <c r="E166" i="1" s="1"/>
  <c r="C358" i="1"/>
  <c r="D358" i="1" s="1"/>
  <c r="B359" i="1"/>
  <c r="G166" i="1" l="1"/>
  <c r="H166" i="1"/>
  <c r="F166" i="1" s="1"/>
  <c r="C359" i="1"/>
  <c r="D359" i="1" s="1"/>
  <c r="B360" i="1"/>
  <c r="I166" i="1" l="1"/>
  <c r="E167" i="1" s="1"/>
  <c r="C360" i="1"/>
  <c r="D360" i="1" s="1"/>
  <c r="B361" i="1"/>
  <c r="H167" i="1" l="1"/>
  <c r="F167" i="1" s="1"/>
  <c r="G167" i="1"/>
  <c r="C361" i="1"/>
  <c r="D361" i="1" s="1"/>
  <c r="B362" i="1"/>
  <c r="I167" i="1" l="1"/>
  <c r="C362" i="1"/>
  <c r="D362" i="1" s="1"/>
  <c r="B363" i="1"/>
  <c r="E168" i="1" l="1"/>
  <c r="H168" i="1" s="1"/>
  <c r="F168" i="1" s="1"/>
  <c r="B364" i="1"/>
  <c r="C363" i="1"/>
  <c r="D363" i="1" s="1"/>
  <c r="G168" i="1" l="1"/>
  <c r="I168" i="1"/>
  <c r="E169" i="1" s="1"/>
  <c r="C364" i="1"/>
  <c r="D364" i="1" s="1"/>
  <c r="B365" i="1"/>
  <c r="H169" i="1" l="1"/>
  <c r="F169" i="1" s="1"/>
  <c r="G169" i="1"/>
  <c r="B366" i="1"/>
  <c r="C365" i="1"/>
  <c r="D365" i="1" s="1"/>
  <c r="I169" i="1" l="1"/>
  <c r="E170" i="1" s="1"/>
  <c r="C366" i="1"/>
  <c r="D366" i="1" s="1"/>
  <c r="B367" i="1"/>
  <c r="G170" i="1" l="1"/>
  <c r="H170" i="1"/>
  <c r="F170" i="1" s="1"/>
  <c r="C367" i="1"/>
  <c r="D367" i="1" s="1"/>
  <c r="B368" i="1"/>
  <c r="I170" i="1" l="1"/>
  <c r="E171" i="1" s="1"/>
  <c r="C368" i="1"/>
  <c r="D368" i="1" s="1"/>
  <c r="B369" i="1"/>
  <c r="G171" i="1" l="1"/>
  <c r="H171" i="1"/>
  <c r="F171" i="1" s="1"/>
  <c r="C369" i="1"/>
  <c r="D369" i="1" s="1"/>
  <c r="B370" i="1"/>
  <c r="I171" i="1" l="1"/>
  <c r="E172" i="1" s="1"/>
  <c r="B371" i="1"/>
  <c r="C370" i="1"/>
  <c r="D370" i="1" s="1"/>
  <c r="G172" i="1" l="1"/>
  <c r="H172" i="1"/>
  <c r="F172" i="1" s="1"/>
  <c r="B372" i="1"/>
  <c r="C371" i="1"/>
  <c r="D371" i="1" s="1"/>
  <c r="I172" i="1" l="1"/>
  <c r="E173" i="1" s="1"/>
  <c r="B373" i="1"/>
  <c r="C372" i="1"/>
  <c r="D372" i="1" s="1"/>
  <c r="G173" i="1" l="1"/>
  <c r="H173" i="1"/>
  <c r="F173" i="1" s="1"/>
  <c r="C373" i="1"/>
  <c r="D373" i="1" s="1"/>
  <c r="B374" i="1"/>
  <c r="I173" i="1" l="1"/>
  <c r="E174" i="1" s="1"/>
  <c r="B375" i="1"/>
  <c r="C374" i="1"/>
  <c r="D374" i="1" s="1"/>
  <c r="H174" i="1" l="1"/>
  <c r="F174" i="1" s="1"/>
  <c r="G174" i="1"/>
  <c r="C375" i="1"/>
  <c r="D375" i="1" s="1"/>
  <c r="B376" i="1"/>
  <c r="I174" i="1" l="1"/>
  <c r="E175" i="1" s="1"/>
  <c r="C376" i="1"/>
  <c r="D376" i="1" s="1"/>
  <c r="B377" i="1"/>
  <c r="G175" i="1" l="1"/>
  <c r="H175" i="1"/>
  <c r="F175" i="1" s="1"/>
  <c r="C377" i="1"/>
  <c r="D377" i="1" s="1"/>
  <c r="B378" i="1"/>
  <c r="I175" i="1" l="1"/>
  <c r="E176" i="1" s="1"/>
  <c r="C378" i="1"/>
  <c r="D378" i="1" s="1"/>
  <c r="B379" i="1"/>
  <c r="H176" i="1" l="1"/>
  <c r="F176" i="1" s="1"/>
  <c r="G176" i="1"/>
  <c r="C379" i="1"/>
  <c r="D379" i="1" s="1"/>
  <c r="B380" i="1"/>
  <c r="I176" i="1" l="1"/>
  <c r="E177" i="1" s="1"/>
  <c r="C380" i="1"/>
  <c r="D380" i="1" s="1"/>
  <c r="B381" i="1"/>
  <c r="H177" i="1" l="1"/>
  <c r="F177" i="1" s="1"/>
  <c r="G177" i="1"/>
  <c r="C381" i="1"/>
  <c r="D381" i="1" s="1"/>
  <c r="B382" i="1"/>
  <c r="I177" i="1" l="1"/>
  <c r="E178" i="1" s="1"/>
  <c r="B383" i="1"/>
  <c r="C382" i="1"/>
  <c r="D382" i="1" s="1"/>
  <c r="H178" i="1" l="1"/>
  <c r="F178" i="1" s="1"/>
  <c r="G178" i="1"/>
  <c r="C383" i="1"/>
  <c r="D383" i="1" s="1"/>
  <c r="B384" i="1"/>
  <c r="I178" i="1" l="1"/>
  <c r="E179" i="1" s="1"/>
  <c r="C384" i="1"/>
  <c r="D384" i="1" s="1"/>
  <c r="B385" i="1"/>
  <c r="G179" i="1" l="1"/>
  <c r="H179" i="1"/>
  <c r="F179" i="1" s="1"/>
  <c r="C385" i="1"/>
  <c r="D385" i="1" s="1"/>
  <c r="B386" i="1"/>
  <c r="I179" i="1" l="1"/>
  <c r="E180" i="1" s="1"/>
  <c r="C386" i="1"/>
  <c r="D386" i="1" s="1"/>
  <c r="B387" i="1"/>
  <c r="G180" i="1" l="1"/>
  <c r="H180" i="1"/>
  <c r="F180" i="1" s="1"/>
  <c r="B388" i="1"/>
  <c r="C387" i="1"/>
  <c r="D387" i="1" s="1"/>
  <c r="I180" i="1" l="1"/>
  <c r="E181" i="1" s="1"/>
  <c r="B389" i="1"/>
  <c r="C388" i="1"/>
  <c r="D388" i="1" s="1"/>
  <c r="H181" i="1" l="1"/>
  <c r="G181" i="1"/>
  <c r="C389" i="1"/>
  <c r="D389" i="1" s="1"/>
  <c r="B390" i="1"/>
  <c r="F181" i="1" l="1"/>
  <c r="C390" i="1"/>
  <c r="D390" i="1" s="1"/>
  <c r="B391" i="1"/>
  <c r="I181" i="1" l="1"/>
  <c r="E182" i="1" s="1"/>
  <c r="C391" i="1"/>
  <c r="D391" i="1" s="1"/>
  <c r="B392" i="1"/>
  <c r="H182" i="1" l="1"/>
  <c r="F182" i="1" s="1"/>
  <c r="G182" i="1"/>
  <c r="C392" i="1"/>
  <c r="D392" i="1" s="1"/>
  <c r="B393" i="1"/>
  <c r="I182" i="1" l="1"/>
  <c r="E183" i="1" s="1"/>
  <c r="C393" i="1"/>
  <c r="D393" i="1" s="1"/>
  <c r="B394" i="1"/>
  <c r="H183" i="1" l="1"/>
  <c r="F183" i="1" s="1"/>
  <c r="G183" i="1"/>
  <c r="C394" i="1"/>
  <c r="D394" i="1" s="1"/>
  <c r="B395" i="1"/>
  <c r="I183" i="1" l="1"/>
  <c r="E184" i="1" s="1"/>
  <c r="C395" i="1"/>
  <c r="D395" i="1" s="1"/>
  <c r="B396" i="1"/>
  <c r="H184" i="1" l="1"/>
  <c r="F184" i="1" s="1"/>
  <c r="G184" i="1"/>
  <c r="C396" i="1"/>
  <c r="D396" i="1" s="1"/>
  <c r="B397" i="1"/>
  <c r="I184" i="1" l="1"/>
  <c r="E185" i="1" s="1"/>
  <c r="C397" i="1"/>
  <c r="D397" i="1" s="1"/>
  <c r="B398" i="1"/>
  <c r="H185" i="1" l="1"/>
  <c r="F185" i="1" s="1"/>
  <c r="G185" i="1"/>
  <c r="B399" i="1"/>
  <c r="C398" i="1"/>
  <c r="D398" i="1" s="1"/>
  <c r="I185" i="1" l="1"/>
  <c r="B400" i="1"/>
  <c r="C399" i="1"/>
  <c r="D399" i="1" s="1"/>
  <c r="E186" i="1" l="1"/>
  <c r="G186" i="1" s="1"/>
  <c r="C400" i="1"/>
  <c r="D400" i="1" s="1"/>
  <c r="B401" i="1"/>
  <c r="H186" i="1" l="1"/>
  <c r="F186" i="1" s="1"/>
  <c r="C401" i="1"/>
  <c r="D401" i="1" s="1"/>
  <c r="B402" i="1"/>
  <c r="I186" i="1" l="1"/>
  <c r="E187" i="1" s="1"/>
  <c r="H187" i="1" s="1"/>
  <c r="F187" i="1" s="1"/>
  <c r="C402" i="1"/>
  <c r="D402" i="1" s="1"/>
  <c r="B403" i="1"/>
  <c r="G187" i="1" l="1"/>
  <c r="I187" i="1"/>
  <c r="E188" i="1" s="1"/>
  <c r="B404" i="1"/>
  <c r="C403" i="1"/>
  <c r="D403" i="1" s="1"/>
  <c r="H188" i="1" l="1"/>
  <c r="F188" i="1" s="1"/>
  <c r="G188" i="1"/>
  <c r="B405" i="1"/>
  <c r="C404" i="1"/>
  <c r="D404" i="1" s="1"/>
  <c r="I188" i="1" l="1"/>
  <c r="E189" i="1" s="1"/>
  <c r="B406" i="1"/>
  <c r="C405" i="1"/>
  <c r="D405" i="1" s="1"/>
  <c r="H189" i="1" l="1"/>
  <c r="G189" i="1"/>
  <c r="F189" i="1"/>
  <c r="C406" i="1"/>
  <c r="D406" i="1" s="1"/>
  <c r="B407" i="1"/>
  <c r="I189" i="1" l="1"/>
  <c r="E190" i="1" s="1"/>
  <c r="C407" i="1"/>
  <c r="D407" i="1" s="1"/>
  <c r="B408" i="1"/>
  <c r="H190" i="1" l="1"/>
  <c r="F190" i="1" s="1"/>
  <c r="G190" i="1"/>
  <c r="C408" i="1"/>
  <c r="D408" i="1" s="1"/>
  <c r="B409" i="1"/>
  <c r="I190" i="1" l="1"/>
  <c r="B410" i="1"/>
  <c r="C409" i="1"/>
  <c r="D409" i="1" s="1"/>
  <c r="E191" i="1" l="1"/>
  <c r="G191" i="1" s="1"/>
  <c r="C410" i="1"/>
  <c r="D410" i="1" s="1"/>
  <c r="B411" i="1"/>
  <c r="H191" i="1" l="1"/>
  <c r="F191" i="1" s="1"/>
  <c r="C411" i="1"/>
  <c r="D411" i="1" s="1"/>
  <c r="B412" i="1"/>
  <c r="I191" i="1" l="1"/>
  <c r="E192" i="1" s="1"/>
  <c r="H192" i="1" s="1"/>
  <c r="F192" i="1" s="1"/>
  <c r="C412" i="1"/>
  <c r="D412" i="1" s="1"/>
  <c r="B413" i="1"/>
  <c r="G192" i="1" l="1"/>
  <c r="I192" i="1"/>
  <c r="E193" i="1" s="1"/>
  <c r="C413" i="1"/>
  <c r="D413" i="1" s="1"/>
  <c r="B414" i="1"/>
  <c r="G193" i="1" l="1"/>
  <c r="H193" i="1"/>
  <c r="F193" i="1" s="1"/>
  <c r="B415" i="1"/>
  <c r="C414" i="1"/>
  <c r="D414" i="1" s="1"/>
  <c r="I193" i="1" l="1"/>
  <c r="E194" i="1" s="1"/>
  <c r="B416" i="1"/>
  <c r="C415" i="1"/>
  <c r="D415" i="1" s="1"/>
  <c r="G194" i="1" l="1"/>
  <c r="H194" i="1"/>
  <c r="F194" i="1" s="1"/>
  <c r="B417" i="1"/>
  <c r="C416" i="1"/>
  <c r="D416" i="1" s="1"/>
  <c r="I194" i="1" l="1"/>
  <c r="E195" i="1" s="1"/>
  <c r="C417" i="1"/>
  <c r="D417" i="1" s="1"/>
  <c r="B418" i="1"/>
  <c r="G195" i="1" l="1"/>
  <c r="H195" i="1"/>
  <c r="F195" i="1" s="1"/>
  <c r="B419" i="1"/>
  <c r="C418" i="1"/>
  <c r="D418" i="1" s="1"/>
  <c r="I195" i="1" l="1"/>
  <c r="E196" i="1" s="1"/>
  <c r="C419" i="1"/>
  <c r="D419" i="1" s="1"/>
  <c r="B420" i="1"/>
  <c r="G196" i="1" l="1"/>
  <c r="H196" i="1"/>
  <c r="F196" i="1" s="1"/>
  <c r="B421" i="1"/>
  <c r="C420" i="1"/>
  <c r="D420" i="1" s="1"/>
  <c r="I196" i="1" l="1"/>
  <c r="B422" i="1"/>
  <c r="C421" i="1"/>
  <c r="D421" i="1" s="1"/>
  <c r="E197" i="1" l="1"/>
  <c r="H197" i="1" s="1"/>
  <c r="F197" i="1" s="1"/>
  <c r="B423" i="1"/>
  <c r="C422" i="1"/>
  <c r="D422" i="1" s="1"/>
  <c r="G197" i="1" l="1"/>
  <c r="I197" i="1"/>
  <c r="E198" i="1" s="1"/>
  <c r="B424" i="1"/>
  <c r="C423" i="1"/>
  <c r="D423" i="1" s="1"/>
  <c r="H198" i="1" l="1"/>
  <c r="F198" i="1" s="1"/>
  <c r="G198" i="1"/>
  <c r="C424" i="1"/>
  <c r="D424" i="1" s="1"/>
  <c r="B425" i="1"/>
  <c r="I198" i="1" l="1"/>
  <c r="E199" i="1" s="1"/>
  <c r="C425" i="1"/>
  <c r="D425" i="1" s="1"/>
  <c r="B426" i="1"/>
  <c r="G199" i="1" l="1"/>
  <c r="H199" i="1"/>
  <c r="F199" i="1" s="1"/>
  <c r="B427" i="1"/>
  <c r="C426" i="1"/>
  <c r="D426" i="1" s="1"/>
  <c r="I199" i="1" l="1"/>
  <c r="E200" i="1" s="1"/>
  <c r="C427" i="1"/>
  <c r="D427" i="1" s="1"/>
  <c r="B428" i="1"/>
  <c r="H200" i="1" l="1"/>
  <c r="F200" i="1" s="1"/>
  <c r="G200" i="1"/>
  <c r="C428" i="1"/>
  <c r="D428" i="1" s="1"/>
  <c r="B429" i="1"/>
  <c r="I200" i="1" l="1"/>
  <c r="E201" i="1" s="1"/>
  <c r="C429" i="1"/>
  <c r="D429" i="1" s="1"/>
  <c r="B430" i="1"/>
  <c r="H201" i="1" l="1"/>
  <c r="F201" i="1" s="1"/>
  <c r="G201" i="1"/>
  <c r="B431" i="1"/>
  <c r="C430" i="1"/>
  <c r="D430" i="1" s="1"/>
  <c r="I201" i="1" l="1"/>
  <c r="E202" i="1" s="1"/>
  <c r="C431" i="1"/>
  <c r="D431" i="1" s="1"/>
  <c r="B432" i="1"/>
  <c r="H202" i="1" l="1"/>
  <c r="F202" i="1" s="1"/>
  <c r="G202" i="1"/>
  <c r="C432" i="1"/>
  <c r="D432" i="1" s="1"/>
  <c r="B433" i="1"/>
  <c r="I202" i="1" l="1"/>
  <c r="E203" i="1" s="1"/>
  <c r="C433" i="1"/>
  <c r="D433" i="1" s="1"/>
  <c r="B434" i="1"/>
  <c r="G203" i="1" l="1"/>
  <c r="H203" i="1"/>
  <c r="F203" i="1" s="1"/>
  <c r="C434" i="1"/>
  <c r="D434" i="1" s="1"/>
  <c r="B435" i="1"/>
  <c r="I203" i="1" l="1"/>
  <c r="E204" i="1" s="1"/>
  <c r="B436" i="1"/>
  <c r="C435" i="1"/>
  <c r="D435" i="1" s="1"/>
  <c r="H204" i="1" l="1"/>
  <c r="F204" i="1" s="1"/>
  <c r="G204" i="1"/>
  <c r="B437" i="1"/>
  <c r="C436" i="1"/>
  <c r="D436" i="1" s="1"/>
  <c r="I204" i="1" l="1"/>
  <c r="E205" i="1" s="1"/>
  <c r="C437" i="1"/>
  <c r="D437" i="1" s="1"/>
  <c r="B438" i="1"/>
  <c r="H205" i="1" l="1"/>
  <c r="F205" i="1" s="1"/>
  <c r="G205" i="1"/>
  <c r="C438" i="1"/>
  <c r="D438" i="1" s="1"/>
  <c r="B439" i="1"/>
  <c r="I205" i="1" l="1"/>
  <c r="E206" i="1" s="1"/>
  <c r="B440" i="1"/>
  <c r="C439" i="1"/>
  <c r="D439" i="1" s="1"/>
  <c r="G206" i="1" l="1"/>
  <c r="H206" i="1"/>
  <c r="C440" i="1"/>
  <c r="D440" i="1" s="1"/>
  <c r="B441" i="1"/>
  <c r="F206" i="1" l="1"/>
  <c r="I206" i="1" s="1"/>
  <c r="E207" i="1" s="1"/>
  <c r="B442" i="1"/>
  <c r="C441" i="1"/>
  <c r="D441" i="1" s="1"/>
  <c r="H207" i="1" l="1"/>
  <c r="F207" i="1" s="1"/>
  <c r="G207" i="1"/>
  <c r="B443" i="1"/>
  <c r="C442" i="1"/>
  <c r="D442" i="1" s="1"/>
  <c r="I207" i="1" l="1"/>
  <c r="E208" i="1" s="1"/>
  <c r="C443" i="1"/>
  <c r="D443" i="1" s="1"/>
  <c r="B444" i="1"/>
  <c r="G208" i="1" l="1"/>
  <c r="H208" i="1"/>
  <c r="F208" i="1" s="1"/>
  <c r="C444" i="1"/>
  <c r="D444" i="1" s="1"/>
  <c r="B445" i="1"/>
  <c r="I208" i="1" l="1"/>
  <c r="C445" i="1"/>
  <c r="D445" i="1" s="1"/>
  <c r="B446" i="1"/>
  <c r="E209" i="1" l="1"/>
  <c r="H209" i="1" s="1"/>
  <c r="F209" i="1" s="1"/>
  <c r="C446" i="1"/>
  <c r="D446" i="1" s="1"/>
  <c r="B447" i="1"/>
  <c r="G209" i="1" l="1"/>
  <c r="I209" i="1"/>
  <c r="E210" i="1" s="1"/>
  <c r="C447" i="1"/>
  <c r="D447" i="1" s="1"/>
  <c r="B448" i="1"/>
  <c r="H210" i="1" l="1"/>
  <c r="F210" i="1" s="1"/>
  <c r="G210" i="1"/>
  <c r="C448" i="1"/>
  <c r="D448" i="1" s="1"/>
  <c r="B449" i="1"/>
  <c r="I210" i="1" l="1"/>
  <c r="E211" i="1" s="1"/>
  <c r="C449" i="1"/>
  <c r="D449" i="1" s="1"/>
  <c r="B450" i="1"/>
  <c r="H211" i="1" l="1"/>
  <c r="F211" i="1" s="1"/>
  <c r="G211" i="1"/>
  <c r="C450" i="1"/>
  <c r="D450" i="1" s="1"/>
  <c r="B451" i="1"/>
  <c r="I211" i="1" l="1"/>
  <c r="B452" i="1"/>
  <c r="C451" i="1"/>
  <c r="D451" i="1" s="1"/>
  <c r="E212" i="1" l="1"/>
  <c r="G212" i="1" s="1"/>
  <c r="C452" i="1"/>
  <c r="D452" i="1" s="1"/>
  <c r="B453" i="1"/>
  <c r="H212" i="1" l="1"/>
  <c r="F212" i="1" s="1"/>
  <c r="C453" i="1"/>
  <c r="D453" i="1" s="1"/>
  <c r="B454" i="1"/>
  <c r="I212" i="1" l="1"/>
  <c r="E213" i="1" s="1"/>
  <c r="H213" i="1" s="1"/>
  <c r="C454" i="1"/>
  <c r="D454" i="1" s="1"/>
  <c r="B455" i="1"/>
  <c r="G213" i="1" l="1"/>
  <c r="F213" i="1"/>
  <c r="I213" i="1" s="1"/>
  <c r="E214" i="1" s="1"/>
  <c r="C455" i="1"/>
  <c r="D455" i="1" s="1"/>
  <c r="B456" i="1"/>
  <c r="C456" i="1" l="1"/>
  <c r="D456" i="1" s="1"/>
  <c r="B457" i="1"/>
  <c r="G214" i="1" l="1"/>
  <c r="H214" i="1"/>
  <c r="B458" i="1"/>
  <c r="C457" i="1"/>
  <c r="D457" i="1" s="1"/>
  <c r="F214" i="1" l="1"/>
  <c r="I214" i="1" s="1"/>
  <c r="E215" i="1" s="1"/>
  <c r="B459" i="1"/>
  <c r="C458" i="1"/>
  <c r="D458" i="1" s="1"/>
  <c r="H215" i="1" l="1"/>
  <c r="F215" i="1" s="1"/>
  <c r="G215" i="1"/>
  <c r="B460" i="1"/>
  <c r="C459" i="1"/>
  <c r="D459" i="1" s="1"/>
  <c r="I215" i="1" l="1"/>
  <c r="E216" i="1" s="1"/>
  <c r="B461" i="1"/>
  <c r="C460" i="1"/>
  <c r="D460" i="1" s="1"/>
  <c r="H216" i="1" l="1"/>
  <c r="G216" i="1"/>
  <c r="C461" i="1"/>
  <c r="D461" i="1" s="1"/>
  <c r="B462" i="1"/>
  <c r="F216" i="1" l="1"/>
  <c r="I216" i="1" s="1"/>
  <c r="E217" i="1" s="1"/>
  <c r="B463" i="1"/>
  <c r="C462" i="1"/>
  <c r="D462" i="1" s="1"/>
  <c r="C463" i="1" l="1"/>
  <c r="D463" i="1" s="1"/>
  <c r="B464" i="1"/>
  <c r="G217" i="1" l="1"/>
  <c r="H217" i="1"/>
  <c r="B465" i="1"/>
  <c r="C464" i="1"/>
  <c r="D464" i="1" s="1"/>
  <c r="F217" i="1" l="1"/>
  <c r="I217" i="1" s="1"/>
  <c r="E218" i="1" s="1"/>
  <c r="C465" i="1"/>
  <c r="D465" i="1" s="1"/>
  <c r="B466" i="1"/>
  <c r="C466" i="1" l="1"/>
  <c r="D466" i="1" s="1"/>
  <c r="B467" i="1"/>
  <c r="H218" i="1" l="1"/>
  <c r="G218" i="1"/>
  <c r="C467" i="1"/>
  <c r="D467" i="1" s="1"/>
  <c r="B468" i="1"/>
  <c r="F218" i="1" l="1"/>
  <c r="I218" i="1" s="1"/>
  <c r="E219" i="1" s="1"/>
  <c r="B469" i="1"/>
  <c r="C468" i="1"/>
  <c r="D468" i="1" s="1"/>
  <c r="C469" i="1" l="1"/>
  <c r="D469" i="1" s="1"/>
  <c r="B470" i="1"/>
  <c r="H219" i="1" l="1"/>
  <c r="G219" i="1"/>
  <c r="C470" i="1"/>
  <c r="D470" i="1" s="1"/>
  <c r="B471" i="1"/>
  <c r="F219" i="1" l="1"/>
  <c r="I219" i="1" s="1"/>
  <c r="E220" i="1" s="1"/>
  <c r="C471" i="1"/>
  <c r="D471" i="1" s="1"/>
  <c r="B472" i="1"/>
  <c r="C472" i="1" l="1"/>
  <c r="D472" i="1" s="1"/>
  <c r="B473" i="1"/>
  <c r="H220" i="1" l="1"/>
  <c r="G220" i="1"/>
  <c r="C473" i="1"/>
  <c r="D473" i="1" s="1"/>
  <c r="B474" i="1"/>
  <c r="F220" i="1" l="1"/>
  <c r="B475" i="1"/>
  <c r="C474" i="1"/>
  <c r="D474" i="1" s="1"/>
  <c r="I220" i="1" l="1"/>
  <c r="E221" i="1" s="1"/>
  <c r="B476" i="1"/>
  <c r="C475" i="1"/>
  <c r="D475" i="1" s="1"/>
  <c r="H221" i="1" l="1"/>
  <c r="F221" i="1" s="1"/>
  <c r="G221" i="1"/>
  <c r="B477" i="1"/>
  <c r="C476" i="1"/>
  <c r="D476" i="1" s="1"/>
  <c r="I221" i="1" l="1"/>
  <c r="E222" i="1" s="1"/>
  <c r="C477" i="1"/>
  <c r="D477" i="1" s="1"/>
  <c r="B478" i="1"/>
  <c r="H222" i="1" l="1"/>
  <c r="G222" i="1"/>
  <c r="B479" i="1"/>
  <c r="C478" i="1"/>
  <c r="D478" i="1" s="1"/>
  <c r="F222" i="1" l="1"/>
  <c r="I222" i="1" s="1"/>
  <c r="E223" i="1" s="1"/>
  <c r="C479" i="1"/>
  <c r="D479" i="1" s="1"/>
  <c r="B480" i="1"/>
  <c r="B481" i="1" l="1"/>
  <c r="C480" i="1"/>
  <c r="D480" i="1" s="1"/>
  <c r="G223" i="1" l="1"/>
  <c r="H223" i="1"/>
  <c r="B482" i="1"/>
  <c r="C481" i="1"/>
  <c r="D481" i="1" s="1"/>
  <c r="F223" i="1" l="1"/>
  <c r="I223" i="1" s="1"/>
  <c r="E224" i="1" s="1"/>
  <c r="C482" i="1"/>
  <c r="D482" i="1" s="1"/>
  <c r="B483" i="1"/>
  <c r="C483" i="1" l="1"/>
  <c r="D483" i="1" s="1"/>
  <c r="B484" i="1"/>
  <c r="G224" i="1" l="1"/>
  <c r="H224" i="1"/>
  <c r="C484" i="1"/>
  <c r="D484" i="1" s="1"/>
  <c r="B485" i="1"/>
  <c r="F224" i="1" l="1"/>
  <c r="I224" i="1" s="1"/>
  <c r="E225" i="1" s="1"/>
  <c r="C485" i="1"/>
  <c r="D485" i="1" s="1"/>
  <c r="B486" i="1"/>
  <c r="B487" i="1" l="1"/>
  <c r="C486" i="1"/>
  <c r="D486" i="1" s="1"/>
  <c r="G225" i="1" l="1"/>
  <c r="H225" i="1"/>
  <c r="C487" i="1"/>
  <c r="D487" i="1" s="1"/>
  <c r="B488" i="1"/>
  <c r="F225" i="1" l="1"/>
  <c r="I225" i="1" s="1"/>
  <c r="E226" i="1" s="1"/>
  <c r="C488" i="1"/>
  <c r="D488" i="1" s="1"/>
  <c r="B489" i="1"/>
  <c r="B490" i="1" l="1"/>
  <c r="C489" i="1"/>
  <c r="D489" i="1" s="1"/>
  <c r="H226" i="1" l="1"/>
  <c r="G226" i="1"/>
  <c r="B491" i="1"/>
  <c r="C490" i="1"/>
  <c r="D490" i="1" s="1"/>
  <c r="F226" i="1" l="1"/>
  <c r="I226" i="1" s="1"/>
  <c r="E227" i="1" s="1"/>
  <c r="C491" i="1"/>
  <c r="D491" i="1" s="1"/>
  <c r="B492" i="1"/>
  <c r="B493" i="1" l="1"/>
  <c r="C492" i="1"/>
  <c r="D492" i="1" s="1"/>
  <c r="H227" i="1" l="1"/>
  <c r="G227" i="1"/>
  <c r="C493" i="1"/>
  <c r="D493" i="1" s="1"/>
  <c r="B494" i="1"/>
  <c r="F227" i="1" l="1"/>
  <c r="I227" i="1" s="1"/>
  <c r="E228" i="1" s="1"/>
  <c r="B495" i="1"/>
  <c r="C494" i="1"/>
  <c r="D494" i="1" s="1"/>
  <c r="B496" i="1" l="1"/>
  <c r="C495" i="1"/>
  <c r="D495" i="1" s="1"/>
  <c r="G228" i="1" l="1"/>
  <c r="H228" i="1"/>
  <c r="C496" i="1"/>
  <c r="D496" i="1" s="1"/>
  <c r="B497" i="1"/>
  <c r="F228" i="1" l="1"/>
  <c r="I228" i="1" s="1"/>
  <c r="E229" i="1" s="1"/>
  <c r="B498" i="1"/>
  <c r="C497" i="1"/>
  <c r="D497" i="1" s="1"/>
  <c r="B499" i="1" l="1"/>
  <c r="C498" i="1"/>
  <c r="D498" i="1" s="1"/>
  <c r="H229" i="1" l="1"/>
  <c r="G229" i="1"/>
  <c r="B500" i="1"/>
  <c r="C499" i="1"/>
  <c r="D499" i="1" s="1"/>
  <c r="F229" i="1" l="1"/>
  <c r="I229" i="1" s="1"/>
  <c r="E230" i="1" s="1"/>
  <c r="B501" i="1"/>
  <c r="C500" i="1"/>
  <c r="D500" i="1" s="1"/>
  <c r="C501" i="1" l="1"/>
  <c r="D501" i="1" s="1"/>
  <c r="B502" i="1"/>
  <c r="G230" i="1" l="1"/>
  <c r="H230" i="1"/>
  <c r="C502" i="1"/>
  <c r="D502" i="1" s="1"/>
  <c r="B503" i="1"/>
  <c r="F230" i="1" l="1"/>
  <c r="I230" i="1" s="1"/>
  <c r="E231" i="1" s="1"/>
  <c r="B504" i="1"/>
  <c r="C503" i="1"/>
  <c r="D503" i="1" s="1"/>
  <c r="B505" i="1" l="1"/>
  <c r="C504" i="1"/>
  <c r="D504" i="1" s="1"/>
  <c r="H231" i="1" l="1"/>
  <c r="G231" i="1"/>
  <c r="C505" i="1"/>
  <c r="D505" i="1" s="1"/>
  <c r="B506" i="1"/>
  <c r="F231" i="1" l="1"/>
  <c r="I231" i="1" s="1"/>
  <c r="E232" i="1" s="1"/>
  <c r="C506" i="1"/>
  <c r="D506" i="1" s="1"/>
  <c r="B507" i="1"/>
  <c r="B508" i="1" l="1"/>
  <c r="C507" i="1"/>
  <c r="D507" i="1" s="1"/>
  <c r="G232" i="1" l="1"/>
  <c r="H232" i="1"/>
  <c r="B509" i="1"/>
  <c r="C508" i="1"/>
  <c r="D508" i="1" s="1"/>
  <c r="F232" i="1" l="1"/>
  <c r="I232" i="1" s="1"/>
  <c r="E233" i="1" s="1"/>
  <c r="C509" i="1"/>
  <c r="D509" i="1" s="1"/>
  <c r="B510" i="1"/>
  <c r="B511" i="1" l="1"/>
  <c r="C510" i="1"/>
  <c r="D510" i="1" s="1"/>
  <c r="H233" i="1" l="1"/>
  <c r="G233" i="1"/>
  <c r="B512" i="1"/>
  <c r="C511" i="1"/>
  <c r="D511" i="1" s="1"/>
  <c r="F233" i="1" l="1"/>
  <c r="I233" i="1" s="1"/>
  <c r="E234" i="1" s="1"/>
  <c r="B513" i="1"/>
  <c r="C512" i="1"/>
  <c r="D512" i="1" s="1"/>
  <c r="C513" i="1" l="1"/>
  <c r="D513" i="1" s="1"/>
  <c r="B514" i="1"/>
  <c r="G234" i="1" l="1"/>
  <c r="H234" i="1"/>
  <c r="B515" i="1"/>
  <c r="C514" i="1"/>
  <c r="D514" i="1" s="1"/>
  <c r="F234" i="1" l="1"/>
  <c r="I234" i="1" s="1"/>
  <c r="E235" i="1" s="1"/>
  <c r="C515" i="1"/>
  <c r="D515" i="1" s="1"/>
  <c r="B516" i="1"/>
  <c r="C516" i="1" l="1"/>
  <c r="D516" i="1" s="1"/>
  <c r="B517" i="1"/>
  <c r="G235" i="1" l="1"/>
  <c r="H235" i="1"/>
  <c r="C517" i="1"/>
  <c r="D517" i="1" s="1"/>
  <c r="B518" i="1"/>
  <c r="F235" i="1" l="1"/>
  <c r="I235" i="1" s="1"/>
  <c r="E236" i="1" s="1"/>
  <c r="C518" i="1"/>
  <c r="D518" i="1" s="1"/>
  <c r="B519" i="1"/>
  <c r="C519" i="1" l="1"/>
  <c r="D519" i="1" s="1"/>
  <c r="B520" i="1"/>
  <c r="G236" i="1" l="1"/>
  <c r="H236" i="1"/>
  <c r="B521" i="1"/>
  <c r="C520" i="1"/>
  <c r="D520" i="1" s="1"/>
  <c r="F236" i="1" l="1"/>
  <c r="I236" i="1" s="1"/>
  <c r="E237" i="1" s="1"/>
  <c r="C521" i="1"/>
  <c r="D521" i="1" s="1"/>
  <c r="B522" i="1"/>
  <c r="C522" i="1" l="1"/>
  <c r="D522" i="1" s="1"/>
  <c r="B523" i="1"/>
  <c r="H237" i="1" l="1"/>
  <c r="G237" i="1"/>
  <c r="B524" i="1"/>
  <c r="C523" i="1"/>
  <c r="D523" i="1" s="1"/>
  <c r="F237" i="1" l="1"/>
  <c r="I237" i="1" s="1"/>
  <c r="E238" i="1" s="1"/>
  <c r="C524" i="1"/>
  <c r="D524" i="1" s="1"/>
  <c r="B525" i="1"/>
  <c r="B526" i="1" l="1"/>
  <c r="C525" i="1"/>
  <c r="D525" i="1" s="1"/>
  <c r="H238" i="1" l="1"/>
  <c r="G238" i="1"/>
  <c r="B527" i="1"/>
  <c r="C526" i="1"/>
  <c r="D526" i="1" s="1"/>
  <c r="F238" i="1" l="1"/>
  <c r="I238" i="1" s="1"/>
  <c r="E239" i="1" s="1"/>
  <c r="C527" i="1"/>
  <c r="D527" i="1" s="1"/>
  <c r="B528" i="1"/>
  <c r="C528" i="1" l="1"/>
  <c r="D528" i="1" s="1"/>
  <c r="B529" i="1"/>
  <c r="H239" i="1" l="1"/>
  <c r="G239" i="1"/>
  <c r="C529" i="1"/>
  <c r="D529" i="1" s="1"/>
  <c r="B530" i="1"/>
  <c r="F239" i="1" l="1"/>
  <c r="I239" i="1" s="1"/>
  <c r="E240" i="1" s="1"/>
  <c r="C530" i="1"/>
  <c r="D530" i="1" s="1"/>
  <c r="B531" i="1"/>
  <c r="B532" i="1" l="1"/>
  <c r="C531" i="1"/>
  <c r="D531" i="1" s="1"/>
  <c r="G240" i="1" l="1"/>
  <c r="H240" i="1"/>
  <c r="C532" i="1"/>
  <c r="D532" i="1" s="1"/>
  <c r="B533" i="1"/>
  <c r="F240" i="1" l="1"/>
  <c r="I240" i="1" s="1"/>
  <c r="E241" i="1" s="1"/>
  <c r="B534" i="1"/>
  <c r="C533" i="1"/>
  <c r="D533" i="1" s="1"/>
  <c r="C534" i="1" l="1"/>
  <c r="D534" i="1" s="1"/>
  <c r="B535" i="1"/>
  <c r="H241" i="1" l="1"/>
  <c r="G241" i="1"/>
  <c r="C535" i="1"/>
  <c r="D535" i="1" s="1"/>
  <c r="B536" i="1"/>
  <c r="F241" i="1" l="1"/>
  <c r="I241" i="1" s="1"/>
  <c r="E242" i="1" s="1"/>
  <c r="C536" i="1"/>
  <c r="D536" i="1" s="1"/>
  <c r="B537" i="1"/>
  <c r="B538" i="1" l="1"/>
  <c r="C537" i="1"/>
  <c r="D537" i="1" s="1"/>
  <c r="H242" i="1" l="1"/>
  <c r="G242" i="1"/>
  <c r="C538" i="1"/>
  <c r="D538" i="1" s="1"/>
  <c r="B539" i="1"/>
  <c r="F242" i="1" l="1"/>
  <c r="I242" i="1" s="1"/>
  <c r="E243" i="1" s="1"/>
  <c r="C539" i="1"/>
  <c r="D539" i="1" s="1"/>
  <c r="B540" i="1"/>
  <c r="C540" i="1" l="1"/>
  <c r="D540" i="1" s="1"/>
  <c r="B541" i="1"/>
  <c r="H243" i="1" l="1"/>
  <c r="G243" i="1"/>
  <c r="B542" i="1"/>
  <c r="C541" i="1"/>
  <c r="D541" i="1" s="1"/>
  <c r="F243" i="1" l="1"/>
  <c r="I243" i="1" s="1"/>
  <c r="E244" i="1" s="1"/>
  <c r="C542" i="1"/>
  <c r="D542" i="1" s="1"/>
  <c r="B543" i="1"/>
  <c r="B544" i="1" l="1"/>
  <c r="C543" i="1"/>
  <c r="D543" i="1" s="1"/>
  <c r="G244" i="1" l="1"/>
  <c r="H244" i="1"/>
  <c r="C544" i="1"/>
  <c r="D544" i="1" s="1"/>
  <c r="B545" i="1"/>
  <c r="F244" i="1" l="1"/>
  <c r="I244" i="1" s="1"/>
  <c r="E245" i="1" s="1"/>
  <c r="C545" i="1"/>
  <c r="D545" i="1" s="1"/>
  <c r="B546" i="1"/>
  <c r="B547" i="1" l="1"/>
  <c r="C546" i="1"/>
  <c r="D546" i="1" s="1"/>
  <c r="G245" i="1" l="1"/>
  <c r="H245" i="1"/>
  <c r="B548" i="1"/>
  <c r="C547" i="1"/>
  <c r="D547" i="1" s="1"/>
  <c r="F245" i="1" l="1"/>
  <c r="I245" i="1" s="1"/>
  <c r="E246" i="1" s="1"/>
  <c r="B549" i="1"/>
  <c r="C548" i="1"/>
  <c r="D548" i="1" s="1"/>
  <c r="C549" i="1" l="1"/>
  <c r="D549" i="1" s="1"/>
  <c r="B550" i="1"/>
  <c r="G246" i="1" l="1"/>
  <c r="H246" i="1"/>
  <c r="C550" i="1"/>
  <c r="D550" i="1" s="1"/>
  <c r="B551" i="1"/>
  <c r="F246" i="1" l="1"/>
  <c r="I246" i="1" s="1"/>
  <c r="E247" i="1" s="1"/>
  <c r="B552" i="1"/>
  <c r="C551" i="1"/>
  <c r="D551" i="1" s="1"/>
  <c r="C552" i="1" l="1"/>
  <c r="D552" i="1" s="1"/>
  <c r="B553" i="1"/>
  <c r="H247" i="1" l="1"/>
  <c r="G247" i="1"/>
  <c r="C553" i="1"/>
  <c r="D553" i="1" s="1"/>
  <c r="B554" i="1"/>
  <c r="F247" i="1" l="1"/>
  <c r="I247" i="1" s="1"/>
  <c r="E248" i="1" s="1"/>
  <c r="B555" i="1"/>
  <c r="C554" i="1"/>
  <c r="D554" i="1" s="1"/>
  <c r="B556" i="1" l="1"/>
  <c r="C555" i="1"/>
  <c r="D555" i="1" s="1"/>
  <c r="H248" i="1" l="1"/>
  <c r="G248" i="1"/>
  <c r="B557" i="1"/>
  <c r="C556" i="1"/>
  <c r="D556" i="1" s="1"/>
  <c r="F248" i="1" l="1"/>
  <c r="I248" i="1" s="1"/>
  <c r="E249" i="1" s="1"/>
  <c r="B558" i="1"/>
  <c r="C557" i="1"/>
  <c r="D557" i="1" s="1"/>
  <c r="B559" i="1" l="1"/>
  <c r="C558" i="1"/>
  <c r="D558" i="1" s="1"/>
  <c r="H249" i="1" l="1"/>
  <c r="G249" i="1"/>
  <c r="C559" i="1"/>
  <c r="D559" i="1" s="1"/>
  <c r="B560" i="1"/>
  <c r="F249" i="1" l="1"/>
  <c r="I249" i="1" s="1"/>
  <c r="E250" i="1" s="1"/>
  <c r="C560" i="1"/>
  <c r="D560" i="1" s="1"/>
  <c r="B561" i="1"/>
  <c r="C561" i="1" l="1"/>
  <c r="D561" i="1" s="1"/>
  <c r="B562" i="1"/>
  <c r="H250" i="1" l="1"/>
  <c r="G250" i="1"/>
  <c r="B563" i="1"/>
  <c r="C562" i="1"/>
  <c r="D562" i="1" s="1"/>
  <c r="F250" i="1" l="1"/>
  <c r="I250" i="1" s="1"/>
  <c r="E251" i="1" s="1"/>
  <c r="C563" i="1"/>
  <c r="D563" i="1" s="1"/>
  <c r="B564" i="1"/>
  <c r="B565" i="1" l="1"/>
  <c r="C564" i="1"/>
  <c r="D564" i="1" s="1"/>
  <c r="G251" i="1" l="1"/>
  <c r="H251" i="1"/>
  <c r="C565" i="1"/>
  <c r="D565" i="1" s="1"/>
  <c r="B566" i="1"/>
  <c r="F251" i="1" l="1"/>
  <c r="I251" i="1" s="1"/>
  <c r="E252" i="1" s="1"/>
  <c r="C566" i="1"/>
  <c r="D566" i="1" s="1"/>
  <c r="B567" i="1"/>
  <c r="B568" i="1" l="1"/>
  <c r="C567" i="1"/>
  <c r="D567" i="1" s="1"/>
  <c r="H252" i="1" l="1"/>
  <c r="G252" i="1"/>
  <c r="B569" i="1"/>
  <c r="C568" i="1"/>
  <c r="D568" i="1" s="1"/>
  <c r="F252" i="1" l="1"/>
  <c r="I252" i="1" s="1"/>
  <c r="E253" i="1" s="1"/>
  <c r="C569" i="1"/>
  <c r="D569" i="1" s="1"/>
  <c r="B570" i="1"/>
  <c r="C570" i="1" l="1"/>
  <c r="D570" i="1" s="1"/>
  <c r="B571" i="1"/>
  <c r="G253" i="1" l="1"/>
  <c r="H253" i="1"/>
  <c r="C571" i="1"/>
  <c r="D571" i="1" s="1"/>
  <c r="B572" i="1"/>
  <c r="F253" i="1" l="1"/>
  <c r="I253" i="1" s="1"/>
  <c r="E254" i="1" s="1"/>
  <c r="B573" i="1"/>
  <c r="C572" i="1"/>
  <c r="D572" i="1" s="1"/>
  <c r="B574" i="1" l="1"/>
  <c r="C573" i="1"/>
  <c r="D573" i="1" s="1"/>
  <c r="H254" i="1" l="1"/>
  <c r="G254" i="1"/>
  <c r="C574" i="1"/>
  <c r="D574" i="1" s="1"/>
  <c r="B575" i="1"/>
  <c r="F254" i="1" l="1"/>
  <c r="I254" i="1" s="1"/>
  <c r="E255" i="1" s="1"/>
  <c r="C575" i="1"/>
  <c r="D575" i="1" s="1"/>
  <c r="B576" i="1"/>
  <c r="B577" i="1" l="1"/>
  <c r="C576" i="1"/>
  <c r="D576" i="1" s="1"/>
  <c r="H255" i="1" l="1"/>
  <c r="G255" i="1"/>
  <c r="C577" i="1"/>
  <c r="D577" i="1" s="1"/>
  <c r="B578" i="1"/>
  <c r="F255" i="1" l="1"/>
  <c r="C578" i="1"/>
  <c r="D578" i="1" s="1"/>
  <c r="B579" i="1"/>
  <c r="I255" i="1" l="1"/>
  <c r="E256" i="1" s="1"/>
  <c r="B580" i="1"/>
  <c r="C579" i="1"/>
  <c r="D579" i="1" s="1"/>
  <c r="H256" i="1" l="1"/>
  <c r="G256" i="1"/>
  <c r="F256" i="1"/>
  <c r="B581" i="1"/>
  <c r="C580" i="1"/>
  <c r="D580" i="1" s="1"/>
  <c r="I256" i="1" l="1"/>
  <c r="E257" i="1" s="1"/>
  <c r="C581" i="1"/>
  <c r="D581" i="1" s="1"/>
  <c r="B582" i="1"/>
  <c r="H257" i="1" l="1"/>
  <c r="G257" i="1"/>
  <c r="C582" i="1"/>
  <c r="D582" i="1" s="1"/>
  <c r="B583" i="1"/>
  <c r="F257" i="1" l="1"/>
  <c r="I257" i="1" s="1"/>
  <c r="E258" i="1" s="1"/>
  <c r="C583" i="1"/>
  <c r="D583" i="1" s="1"/>
  <c r="B584" i="1"/>
  <c r="C584" i="1" l="1"/>
  <c r="D584" i="1" s="1"/>
  <c r="B585" i="1"/>
  <c r="G258" i="1" l="1"/>
  <c r="H258" i="1"/>
  <c r="C585" i="1"/>
  <c r="D585" i="1" s="1"/>
  <c r="B586" i="1"/>
  <c r="F258" i="1" l="1"/>
  <c r="I258" i="1" s="1"/>
  <c r="E259" i="1" s="1"/>
  <c r="C586" i="1"/>
  <c r="D586" i="1" s="1"/>
  <c r="B587" i="1"/>
  <c r="B588" i="1" l="1"/>
  <c r="C587" i="1"/>
  <c r="D587" i="1" s="1"/>
  <c r="G259" i="1" l="1"/>
  <c r="H259" i="1"/>
  <c r="C588" i="1"/>
  <c r="D588" i="1" s="1"/>
  <c r="B589" i="1"/>
  <c r="F259" i="1" l="1"/>
  <c r="I259" i="1" s="1"/>
  <c r="E260" i="1" s="1"/>
  <c r="C589" i="1"/>
  <c r="D589" i="1" s="1"/>
  <c r="B590" i="1"/>
  <c r="C590" i="1" l="1"/>
  <c r="D590" i="1" s="1"/>
  <c r="B591" i="1"/>
  <c r="H260" i="1" l="1"/>
  <c r="G260" i="1"/>
  <c r="B592" i="1"/>
  <c r="C591" i="1"/>
  <c r="D591" i="1" s="1"/>
  <c r="F260" i="1" l="1"/>
  <c r="I260" i="1" s="1"/>
  <c r="E261" i="1" s="1"/>
  <c r="B593" i="1"/>
  <c r="C592" i="1"/>
  <c r="D592" i="1" s="1"/>
  <c r="C593" i="1" l="1"/>
  <c r="D593" i="1" s="1"/>
  <c r="B594" i="1"/>
  <c r="H261" i="1" l="1"/>
  <c r="G261" i="1"/>
  <c r="C594" i="1"/>
  <c r="D594" i="1" s="1"/>
  <c r="B595" i="1"/>
  <c r="F261" i="1" l="1"/>
  <c r="B596" i="1"/>
  <c r="C595" i="1"/>
  <c r="D595" i="1" s="1"/>
  <c r="I261" i="1" l="1"/>
  <c r="E262" i="1" s="1"/>
  <c r="C596" i="1"/>
  <c r="D596" i="1" s="1"/>
  <c r="B597" i="1"/>
  <c r="G262" i="1" l="1"/>
  <c r="H262" i="1"/>
  <c r="C597" i="1"/>
  <c r="D597" i="1" s="1"/>
  <c r="B598" i="1"/>
  <c r="F262" i="1" l="1"/>
  <c r="I262" i="1" s="1"/>
  <c r="E263" i="1" s="1"/>
  <c r="B599" i="1"/>
  <c r="C598" i="1"/>
  <c r="D598" i="1" s="1"/>
  <c r="G263" i="1" l="1"/>
  <c r="H263" i="1"/>
  <c r="C599" i="1"/>
  <c r="D599" i="1" s="1"/>
  <c r="B600" i="1"/>
  <c r="F263" i="1" l="1"/>
  <c r="I263" i="1" s="1"/>
  <c r="E264" i="1" s="1"/>
  <c r="C600" i="1"/>
  <c r="D600" i="1" s="1"/>
  <c r="B601" i="1"/>
  <c r="B602" i="1" l="1"/>
  <c r="C601" i="1"/>
  <c r="D601" i="1" s="1"/>
  <c r="H264" i="1" l="1"/>
  <c r="G264" i="1"/>
  <c r="B603" i="1"/>
  <c r="C602" i="1"/>
  <c r="D602" i="1" s="1"/>
  <c r="F264" i="1" l="1"/>
  <c r="I264" i="1" s="1"/>
  <c r="E265" i="1" s="1"/>
  <c r="C603" i="1"/>
  <c r="D603" i="1" s="1"/>
  <c r="B604" i="1"/>
  <c r="B605" i="1" l="1"/>
  <c r="C604" i="1"/>
  <c r="D604" i="1" s="1"/>
  <c r="H265" i="1" l="1"/>
  <c r="G265" i="1"/>
  <c r="C605" i="1"/>
  <c r="D605" i="1" s="1"/>
  <c r="B606" i="1"/>
  <c r="F265" i="1" l="1"/>
  <c r="I265" i="1" s="1"/>
  <c r="E266" i="1" s="1"/>
  <c r="C606" i="1"/>
  <c r="D606" i="1" s="1"/>
  <c r="B607" i="1"/>
  <c r="C607" i="1" l="1"/>
  <c r="D607" i="1" s="1"/>
  <c r="B608" i="1"/>
  <c r="G266" i="1" l="1"/>
  <c r="H266" i="1"/>
  <c r="B609" i="1"/>
  <c r="C608" i="1"/>
  <c r="D608" i="1" s="1"/>
  <c r="F266" i="1" l="1"/>
  <c r="I266" i="1" s="1"/>
  <c r="E267" i="1" s="1"/>
  <c r="B610" i="1"/>
  <c r="C609" i="1"/>
  <c r="D609" i="1" s="1"/>
  <c r="C610" i="1" l="1"/>
  <c r="D610" i="1" s="1"/>
  <c r="B611" i="1"/>
  <c r="H267" i="1" l="1"/>
  <c r="G267" i="1"/>
  <c r="C611" i="1"/>
  <c r="D611" i="1" s="1"/>
  <c r="B612" i="1"/>
  <c r="F267" i="1" l="1"/>
  <c r="I267" i="1" s="1"/>
  <c r="E268" i="1" s="1"/>
  <c r="C612" i="1"/>
  <c r="D612" i="1" s="1"/>
  <c r="B613" i="1"/>
  <c r="C613" i="1" l="1"/>
  <c r="D613" i="1" s="1"/>
  <c r="B614" i="1"/>
  <c r="H268" i="1" l="1"/>
  <c r="G268" i="1"/>
  <c r="C614" i="1"/>
  <c r="D614" i="1" s="1"/>
  <c r="B615" i="1"/>
  <c r="F268" i="1" l="1"/>
  <c r="C615" i="1"/>
  <c r="D615" i="1" s="1"/>
  <c r="B616" i="1"/>
  <c r="I268" i="1" l="1"/>
  <c r="E269" i="1" s="1"/>
  <c r="B617" i="1"/>
  <c r="C616" i="1"/>
  <c r="D616" i="1" s="1"/>
  <c r="H269" i="1" l="1"/>
  <c r="F269" i="1" s="1"/>
  <c r="G269" i="1"/>
  <c r="B618" i="1"/>
  <c r="C617" i="1"/>
  <c r="D617" i="1" s="1"/>
  <c r="I269" i="1" l="1"/>
  <c r="E270" i="1" s="1"/>
  <c r="B619" i="1"/>
  <c r="C618" i="1"/>
  <c r="D618" i="1" s="1"/>
  <c r="H270" i="1" l="1"/>
  <c r="F270" i="1" s="1"/>
  <c r="G270" i="1"/>
  <c r="C619" i="1"/>
  <c r="D619" i="1" s="1"/>
  <c r="B620" i="1"/>
  <c r="I270" i="1" l="1"/>
  <c r="E271" i="1" s="1"/>
  <c r="C620" i="1"/>
  <c r="D620" i="1" s="1"/>
  <c r="B621" i="1"/>
  <c r="G271" i="1" l="1"/>
  <c r="H271" i="1"/>
  <c r="C621" i="1"/>
  <c r="D621" i="1" s="1"/>
  <c r="B622" i="1"/>
  <c r="F271" i="1" l="1"/>
  <c r="I271" i="1" s="1"/>
  <c r="E272" i="1" s="1"/>
  <c r="B623" i="1"/>
  <c r="C622" i="1"/>
  <c r="D622" i="1" s="1"/>
  <c r="B624" i="1" l="1"/>
  <c r="C623" i="1"/>
  <c r="D623" i="1" s="1"/>
  <c r="G272" i="1" l="1"/>
  <c r="H272" i="1"/>
  <c r="C624" i="1"/>
  <c r="D624" i="1" s="1"/>
  <c r="B625" i="1"/>
  <c r="F272" i="1" l="1"/>
  <c r="I272" i="1" s="1"/>
  <c r="E273" i="1" s="1"/>
  <c r="C625" i="1"/>
  <c r="D625" i="1" s="1"/>
  <c r="B626" i="1"/>
  <c r="B627" i="1" l="1"/>
  <c r="C626" i="1"/>
  <c r="D626" i="1" s="1"/>
  <c r="H273" i="1" l="1"/>
  <c r="G273" i="1"/>
  <c r="B628" i="1"/>
  <c r="C627" i="1"/>
  <c r="D627" i="1" s="1"/>
  <c r="F273" i="1" l="1"/>
  <c r="I273" i="1" s="1"/>
  <c r="E274" i="1" s="1"/>
  <c r="C628" i="1"/>
  <c r="D628" i="1" s="1"/>
  <c r="B629" i="1"/>
  <c r="B630" i="1" l="1"/>
  <c r="C629" i="1"/>
  <c r="D629" i="1" s="1"/>
  <c r="H274" i="1" l="1"/>
  <c r="G274" i="1"/>
  <c r="B631" i="1"/>
  <c r="C630" i="1"/>
  <c r="D630" i="1" s="1"/>
  <c r="F274" i="1" l="1"/>
  <c r="I274" i="1" s="1"/>
  <c r="E275" i="1" s="1"/>
  <c r="C631" i="1"/>
  <c r="D631" i="1" s="1"/>
  <c r="B632" i="1"/>
  <c r="C632" i="1" l="1"/>
  <c r="D632" i="1" s="1"/>
  <c r="B633" i="1"/>
  <c r="G275" i="1" l="1"/>
  <c r="H275" i="1"/>
  <c r="B634" i="1"/>
  <c r="C633" i="1"/>
  <c r="D633" i="1" s="1"/>
  <c r="F275" i="1" l="1"/>
  <c r="I275" i="1" s="1"/>
  <c r="E276" i="1" s="1"/>
  <c r="C634" i="1"/>
  <c r="D634" i="1" s="1"/>
  <c r="B635" i="1"/>
  <c r="B636" i="1" l="1"/>
  <c r="C635" i="1"/>
  <c r="D635" i="1" s="1"/>
  <c r="H276" i="1" l="1"/>
  <c r="G276" i="1"/>
  <c r="C636" i="1"/>
  <c r="D636" i="1" s="1"/>
  <c r="B637" i="1"/>
  <c r="F276" i="1" l="1"/>
  <c r="I276" i="1" s="1"/>
  <c r="E277" i="1" s="1"/>
  <c r="B638" i="1"/>
  <c r="C637" i="1"/>
  <c r="D637" i="1" s="1"/>
  <c r="C638" i="1" l="1"/>
  <c r="D638" i="1" s="1"/>
  <c r="B639" i="1"/>
  <c r="G277" i="1" l="1"/>
  <c r="H277" i="1"/>
  <c r="B640" i="1"/>
  <c r="C639" i="1"/>
  <c r="D639" i="1" s="1"/>
  <c r="F277" i="1" l="1"/>
  <c r="I277" i="1" s="1"/>
  <c r="E278" i="1" s="1"/>
  <c r="C640" i="1"/>
  <c r="D640" i="1" s="1"/>
  <c r="B641" i="1"/>
  <c r="B642" i="1" l="1"/>
  <c r="C641" i="1"/>
  <c r="D641" i="1" s="1"/>
  <c r="G278" i="1" l="1"/>
  <c r="H278" i="1"/>
  <c r="B643" i="1"/>
  <c r="C642" i="1"/>
  <c r="D642" i="1" s="1"/>
  <c r="F278" i="1" l="1"/>
  <c r="I278" i="1" s="1"/>
  <c r="E279" i="1" s="1"/>
  <c r="B644" i="1"/>
  <c r="C643" i="1"/>
  <c r="D643" i="1" s="1"/>
  <c r="B645" i="1" l="1"/>
  <c r="C644" i="1"/>
  <c r="D644" i="1" s="1"/>
  <c r="H279" i="1" l="1"/>
  <c r="G279" i="1"/>
  <c r="C645" i="1"/>
  <c r="D645" i="1" s="1"/>
  <c r="B646" i="1"/>
  <c r="F279" i="1" l="1"/>
  <c r="I279" i="1" s="1"/>
  <c r="E280" i="1" s="1"/>
  <c r="B647" i="1"/>
  <c r="C646" i="1"/>
  <c r="D646" i="1" s="1"/>
  <c r="B648" i="1" l="1"/>
  <c r="C647" i="1"/>
  <c r="D647" i="1" s="1"/>
  <c r="H280" i="1" l="1"/>
  <c r="G280" i="1"/>
  <c r="B649" i="1"/>
  <c r="C648" i="1"/>
  <c r="D648" i="1" s="1"/>
  <c r="F280" i="1" l="1"/>
  <c r="I280" i="1" s="1"/>
  <c r="E281" i="1" s="1"/>
  <c r="B650" i="1"/>
  <c r="C649" i="1"/>
  <c r="D649" i="1" s="1"/>
  <c r="B651" i="1" l="1"/>
  <c r="C650" i="1"/>
  <c r="D650" i="1" s="1"/>
  <c r="H281" i="1" l="1"/>
  <c r="G281" i="1"/>
  <c r="B652" i="1"/>
  <c r="C651" i="1"/>
  <c r="D651" i="1" s="1"/>
  <c r="F281" i="1" l="1"/>
  <c r="I281" i="1" s="1"/>
  <c r="E282" i="1" s="1"/>
  <c r="C652" i="1"/>
  <c r="D652" i="1" s="1"/>
  <c r="B653" i="1"/>
  <c r="C653" i="1" l="1"/>
  <c r="D653" i="1" s="1"/>
  <c r="B654" i="1"/>
  <c r="H282" i="1" l="1"/>
  <c r="G282" i="1"/>
  <c r="B655" i="1"/>
  <c r="C654" i="1"/>
  <c r="D654" i="1" s="1"/>
  <c r="F282" i="1" l="1"/>
  <c r="I282" i="1" s="1"/>
  <c r="E283" i="1" s="1"/>
  <c r="C655" i="1"/>
  <c r="D655" i="1" s="1"/>
  <c r="B656" i="1"/>
  <c r="C656" i="1" l="1"/>
  <c r="D656" i="1" s="1"/>
  <c r="B657" i="1"/>
  <c r="G283" i="1" l="1"/>
  <c r="H283" i="1"/>
  <c r="C657" i="1"/>
  <c r="D657" i="1" s="1"/>
  <c r="B658" i="1"/>
  <c r="F283" i="1" l="1"/>
  <c r="I283" i="1" s="1"/>
  <c r="E284" i="1" s="1"/>
  <c r="B659" i="1"/>
  <c r="C658" i="1"/>
  <c r="D658" i="1" s="1"/>
  <c r="B660" i="1" l="1"/>
  <c r="C659" i="1"/>
  <c r="D659" i="1" s="1"/>
  <c r="H284" i="1" l="1"/>
  <c r="G284" i="1"/>
  <c r="B661" i="1"/>
  <c r="C660" i="1"/>
  <c r="D660" i="1" s="1"/>
  <c r="F284" i="1" l="1"/>
  <c r="I284" i="1" s="1"/>
  <c r="E285" i="1" s="1"/>
  <c r="C661" i="1"/>
  <c r="D661" i="1" s="1"/>
  <c r="B662" i="1"/>
  <c r="C662" i="1" l="1"/>
  <c r="D662" i="1" s="1"/>
  <c r="B663" i="1"/>
  <c r="G285" i="1" l="1"/>
  <c r="H285" i="1"/>
  <c r="C663" i="1"/>
  <c r="D663" i="1" s="1"/>
  <c r="B664" i="1"/>
  <c r="F285" i="1" l="1"/>
  <c r="I285" i="1" s="1"/>
  <c r="E286" i="1" s="1"/>
  <c r="C664" i="1"/>
  <c r="D664" i="1" s="1"/>
  <c r="B665" i="1"/>
  <c r="B666" i="1" l="1"/>
  <c r="C665" i="1"/>
  <c r="D665" i="1" s="1"/>
  <c r="H286" i="1" l="1"/>
  <c r="G286" i="1"/>
  <c r="B667" i="1"/>
  <c r="C666" i="1"/>
  <c r="D666" i="1" s="1"/>
  <c r="F286" i="1" l="1"/>
  <c r="I286" i="1" s="1"/>
  <c r="E287" i="1" s="1"/>
  <c r="C667" i="1"/>
  <c r="D667" i="1" s="1"/>
  <c r="B668" i="1"/>
  <c r="B669" i="1" l="1"/>
  <c r="C668" i="1"/>
  <c r="D668" i="1" s="1"/>
  <c r="H287" i="1" l="1"/>
  <c r="G287" i="1"/>
  <c r="C669" i="1"/>
  <c r="D669" i="1" s="1"/>
  <c r="B670" i="1"/>
  <c r="F287" i="1" l="1"/>
  <c r="I287" i="1" s="1"/>
  <c r="E288" i="1" s="1"/>
  <c r="B671" i="1"/>
  <c r="C670" i="1"/>
  <c r="D670" i="1" s="1"/>
  <c r="B672" i="1" l="1"/>
  <c r="C671" i="1"/>
  <c r="D671" i="1" s="1"/>
  <c r="G288" i="1" l="1"/>
  <c r="H288" i="1"/>
  <c r="B673" i="1"/>
  <c r="C672" i="1"/>
  <c r="D672" i="1" s="1"/>
  <c r="F288" i="1" l="1"/>
  <c r="I288" i="1" s="1"/>
  <c r="E289" i="1" s="1"/>
  <c r="C673" i="1"/>
  <c r="D673" i="1" s="1"/>
  <c r="B674" i="1"/>
  <c r="C674" i="1" l="1"/>
  <c r="D674" i="1" s="1"/>
  <c r="B675" i="1"/>
  <c r="H289" i="1" l="1"/>
  <c r="G289" i="1"/>
  <c r="C675" i="1"/>
  <c r="D675" i="1" s="1"/>
  <c r="B676" i="1"/>
  <c r="F289" i="1" l="1"/>
  <c r="I289" i="1" s="1"/>
  <c r="E290" i="1" s="1"/>
  <c r="B677" i="1"/>
  <c r="C676" i="1"/>
  <c r="D676" i="1" s="1"/>
  <c r="C677" i="1" l="1"/>
  <c r="D677" i="1" s="1"/>
  <c r="B678" i="1"/>
  <c r="H290" i="1" l="1"/>
  <c r="G290" i="1"/>
  <c r="B679" i="1"/>
  <c r="C678" i="1"/>
  <c r="D678" i="1" s="1"/>
  <c r="F290" i="1" l="1"/>
  <c r="C679" i="1"/>
  <c r="D679" i="1" s="1"/>
  <c r="B680" i="1"/>
  <c r="I290" i="1" l="1"/>
  <c r="E291" i="1" s="1"/>
  <c r="B681" i="1"/>
  <c r="C680" i="1"/>
  <c r="D680" i="1" s="1"/>
  <c r="H291" i="1" l="1"/>
  <c r="F291" i="1" s="1"/>
  <c r="G291" i="1"/>
  <c r="C681" i="1"/>
  <c r="D681" i="1" s="1"/>
  <c r="B682" i="1"/>
  <c r="I291" i="1" l="1"/>
  <c r="E292" i="1" s="1"/>
  <c r="C682" i="1"/>
  <c r="D682" i="1" s="1"/>
  <c r="B683" i="1"/>
  <c r="G292" i="1" l="1"/>
  <c r="H292" i="1"/>
  <c r="B684" i="1"/>
  <c r="C683" i="1"/>
  <c r="D683" i="1" s="1"/>
  <c r="F292" i="1" l="1"/>
  <c r="I292" i="1" s="1"/>
  <c r="E293" i="1" s="1"/>
  <c r="C684" i="1"/>
  <c r="D684" i="1" s="1"/>
  <c r="B685" i="1"/>
  <c r="C685" i="1" l="1"/>
  <c r="D685" i="1" s="1"/>
  <c r="B686" i="1"/>
  <c r="G293" i="1" l="1"/>
  <c r="H293" i="1"/>
  <c r="B687" i="1"/>
  <c r="C686" i="1"/>
  <c r="D686" i="1" s="1"/>
  <c r="F293" i="1" l="1"/>
  <c r="I293" i="1" s="1"/>
  <c r="E294" i="1" s="1"/>
  <c r="C687" i="1"/>
  <c r="D687" i="1" s="1"/>
  <c r="B688" i="1"/>
  <c r="B689" i="1" l="1"/>
  <c r="C688" i="1"/>
  <c r="D688" i="1" s="1"/>
  <c r="G294" i="1" l="1"/>
  <c r="H294" i="1"/>
  <c r="B690" i="1"/>
  <c r="C689" i="1"/>
  <c r="D689" i="1" s="1"/>
  <c r="F294" i="1" l="1"/>
  <c r="I294" i="1" s="1"/>
  <c r="E295" i="1" s="1"/>
  <c r="B691" i="1"/>
  <c r="C690" i="1"/>
  <c r="D690" i="1" s="1"/>
  <c r="C691" i="1" l="1"/>
  <c r="D691" i="1" s="1"/>
  <c r="B692" i="1"/>
  <c r="H295" i="1" l="1"/>
  <c r="G295" i="1"/>
  <c r="C692" i="1"/>
  <c r="D692" i="1" s="1"/>
  <c r="B693" i="1"/>
  <c r="F295" i="1" l="1"/>
  <c r="I295" i="1" s="1"/>
  <c r="E296" i="1" s="1"/>
  <c r="C693" i="1"/>
  <c r="D693" i="1" s="1"/>
  <c r="B694" i="1"/>
  <c r="C694" i="1" l="1"/>
  <c r="D694" i="1" s="1"/>
  <c r="B695" i="1"/>
  <c r="H296" i="1" l="1"/>
  <c r="G296" i="1"/>
  <c r="C695" i="1"/>
  <c r="D695" i="1" s="1"/>
  <c r="B696" i="1"/>
  <c r="F296" i="1" l="1"/>
  <c r="I296" i="1" s="1"/>
  <c r="E297" i="1" s="1"/>
  <c r="B697" i="1"/>
  <c r="C696" i="1"/>
  <c r="D696" i="1" s="1"/>
  <c r="C697" i="1" l="1"/>
  <c r="D697" i="1" s="1"/>
  <c r="B698" i="1"/>
  <c r="G297" i="1" l="1"/>
  <c r="H297" i="1"/>
  <c r="C698" i="1"/>
  <c r="D698" i="1" s="1"/>
  <c r="B699" i="1"/>
  <c r="F297" i="1" l="1"/>
  <c r="I297" i="1" s="1"/>
  <c r="E298" i="1" s="1"/>
  <c r="B700" i="1"/>
  <c r="C699" i="1"/>
  <c r="D699" i="1" s="1"/>
  <c r="C700" i="1" l="1"/>
  <c r="D700" i="1" s="1"/>
  <c r="B701" i="1"/>
  <c r="G298" i="1" l="1"/>
  <c r="H298" i="1"/>
  <c r="B702" i="1"/>
  <c r="C701" i="1"/>
  <c r="D701" i="1" s="1"/>
  <c r="F298" i="1" l="1"/>
  <c r="I298" i="1" s="1"/>
  <c r="E299" i="1" s="1"/>
  <c r="B703" i="1"/>
  <c r="C702" i="1"/>
  <c r="D702" i="1" s="1"/>
  <c r="B704" i="1" l="1"/>
  <c r="C703" i="1"/>
  <c r="D703" i="1" s="1"/>
  <c r="H299" i="1" l="1"/>
  <c r="G299" i="1"/>
  <c r="C704" i="1"/>
  <c r="D704" i="1" s="1"/>
  <c r="B705" i="1"/>
  <c r="F299" i="1" l="1"/>
  <c r="I299" i="1" s="1"/>
  <c r="E300" i="1" s="1"/>
  <c r="C705" i="1"/>
  <c r="D705" i="1" s="1"/>
  <c r="B706" i="1"/>
  <c r="B707" i="1" l="1"/>
  <c r="C706" i="1"/>
  <c r="D706" i="1" s="1"/>
  <c r="G300" i="1" l="1"/>
  <c r="H300" i="1"/>
  <c r="B708" i="1"/>
  <c r="C707" i="1"/>
  <c r="D707" i="1" s="1"/>
  <c r="F300" i="1" l="1"/>
  <c r="I300" i="1" s="1"/>
  <c r="E301" i="1" s="1"/>
  <c r="C708" i="1"/>
  <c r="D708" i="1" s="1"/>
  <c r="B709" i="1"/>
  <c r="C709" i="1" l="1"/>
  <c r="D709" i="1" s="1"/>
  <c r="B710" i="1"/>
  <c r="G301" i="1" l="1"/>
  <c r="H301" i="1"/>
  <c r="B711" i="1"/>
  <c r="C710" i="1"/>
  <c r="D710" i="1" s="1"/>
  <c r="F301" i="1" l="1"/>
  <c r="I301" i="1" s="1"/>
  <c r="E302" i="1" s="1"/>
  <c r="C711" i="1"/>
  <c r="D711" i="1" s="1"/>
  <c r="B712" i="1"/>
  <c r="B713" i="1" l="1"/>
  <c r="C712" i="1"/>
  <c r="D712" i="1" s="1"/>
  <c r="G302" i="1" l="1"/>
  <c r="H302" i="1"/>
  <c r="B714" i="1"/>
  <c r="C713" i="1"/>
  <c r="D713" i="1" s="1"/>
  <c r="F302" i="1" l="1"/>
  <c r="I302" i="1" s="1"/>
  <c r="E303" i="1" s="1"/>
  <c r="C714" i="1"/>
  <c r="D714" i="1" s="1"/>
  <c r="B715" i="1"/>
  <c r="C715" i="1" l="1"/>
  <c r="D715" i="1" s="1"/>
  <c r="B716" i="1"/>
  <c r="G303" i="1" l="1"/>
  <c r="H303" i="1"/>
  <c r="B717" i="1"/>
  <c r="C716" i="1"/>
  <c r="D716" i="1" s="1"/>
  <c r="F303" i="1" l="1"/>
  <c r="I303" i="1" s="1"/>
  <c r="E304" i="1" s="1"/>
  <c r="B718" i="1"/>
  <c r="C717" i="1"/>
  <c r="D717" i="1" s="1"/>
  <c r="B719" i="1" l="1"/>
  <c r="C718" i="1"/>
  <c r="D718" i="1" s="1"/>
  <c r="G304" i="1" l="1"/>
  <c r="H304" i="1"/>
  <c r="C719" i="1"/>
  <c r="D719" i="1" s="1"/>
  <c r="B720" i="1"/>
  <c r="F304" i="1" l="1"/>
  <c r="I304" i="1" s="1"/>
  <c r="E305" i="1" s="1"/>
  <c r="C720" i="1"/>
  <c r="D720" i="1" s="1"/>
  <c r="B721" i="1"/>
  <c r="B722" i="1" l="1"/>
  <c r="C721" i="1"/>
  <c r="D721" i="1" s="1"/>
  <c r="H305" i="1" l="1"/>
  <c r="G305" i="1"/>
  <c r="B723" i="1"/>
  <c r="C722" i="1"/>
  <c r="D722" i="1" s="1"/>
  <c r="F305" i="1" l="1"/>
  <c r="I305" i="1" s="1"/>
  <c r="E306" i="1" s="1"/>
  <c r="B724" i="1"/>
  <c r="C723" i="1"/>
  <c r="D723" i="1" s="1"/>
  <c r="C724" i="1" l="1"/>
  <c r="D724" i="1" s="1"/>
  <c r="B725" i="1"/>
  <c r="G306" i="1" l="1"/>
  <c r="H306" i="1"/>
  <c r="B726" i="1"/>
  <c r="C725" i="1"/>
  <c r="D725" i="1" s="1"/>
  <c r="F306" i="1" l="1"/>
  <c r="I306" i="1" s="1"/>
  <c r="E307" i="1" s="1"/>
  <c r="C726" i="1"/>
  <c r="D726" i="1" s="1"/>
  <c r="B727" i="1"/>
  <c r="C727" i="1" l="1"/>
  <c r="D727" i="1" s="1"/>
  <c r="B728" i="1"/>
  <c r="H307" i="1" l="1"/>
  <c r="G307" i="1"/>
  <c r="C728" i="1"/>
  <c r="D728" i="1" s="1"/>
  <c r="B729" i="1"/>
  <c r="F307" i="1" l="1"/>
  <c r="I307" i="1" s="1"/>
  <c r="E308" i="1" s="1"/>
  <c r="C729" i="1"/>
  <c r="D729" i="1" s="1"/>
  <c r="B730" i="1"/>
  <c r="B731" i="1" l="1"/>
  <c r="C730" i="1"/>
  <c r="D730" i="1" s="1"/>
  <c r="G308" i="1" l="1"/>
  <c r="H308" i="1"/>
  <c r="C731" i="1"/>
  <c r="D731" i="1" s="1"/>
  <c r="B732" i="1"/>
  <c r="F308" i="1" l="1"/>
  <c r="I308" i="1" s="1"/>
  <c r="E309" i="1" s="1"/>
  <c r="B733" i="1"/>
  <c r="C732" i="1"/>
  <c r="D732" i="1" s="1"/>
  <c r="B734" i="1" l="1"/>
  <c r="C733" i="1"/>
  <c r="D733" i="1" s="1"/>
  <c r="G309" i="1" l="1"/>
  <c r="H309" i="1"/>
  <c r="C734" i="1"/>
  <c r="D734" i="1" s="1"/>
  <c r="B735" i="1"/>
  <c r="F309" i="1" l="1"/>
  <c r="C735" i="1"/>
  <c r="D735" i="1" s="1"/>
  <c r="B736" i="1"/>
  <c r="I309" i="1" l="1"/>
  <c r="E310" i="1" s="1"/>
  <c r="B737" i="1"/>
  <c r="C736" i="1"/>
  <c r="D736" i="1" s="1"/>
  <c r="G310" i="1" l="1"/>
  <c r="H310" i="1"/>
  <c r="C737" i="1"/>
  <c r="D737" i="1" s="1"/>
  <c r="B738" i="1"/>
  <c r="F310" i="1" l="1"/>
  <c r="I310" i="1" s="1"/>
  <c r="E311" i="1" s="1"/>
  <c r="C738" i="1"/>
  <c r="D738" i="1" s="1"/>
  <c r="B739" i="1"/>
  <c r="G311" i="1" l="1"/>
  <c r="H311" i="1"/>
  <c r="C739" i="1"/>
  <c r="D739" i="1" s="1"/>
  <c r="B740" i="1"/>
  <c r="F311" i="1" l="1"/>
  <c r="I311" i="1" s="1"/>
  <c r="E312" i="1" s="1"/>
  <c r="C740" i="1"/>
  <c r="D740" i="1" s="1"/>
  <c r="B741" i="1"/>
  <c r="C741" i="1" l="1"/>
  <c r="D741" i="1" s="1"/>
  <c r="B742" i="1"/>
  <c r="G312" i="1" l="1"/>
  <c r="H312" i="1"/>
  <c r="C742" i="1"/>
  <c r="D742" i="1" s="1"/>
  <c r="B743" i="1"/>
  <c r="F312" i="1" l="1"/>
  <c r="I312" i="1" s="1"/>
  <c r="E313" i="1" s="1"/>
  <c r="B744" i="1"/>
  <c r="C743" i="1"/>
  <c r="D743" i="1" s="1"/>
  <c r="B745" i="1" l="1"/>
  <c r="C744" i="1"/>
  <c r="D744" i="1" s="1"/>
  <c r="G313" i="1" l="1"/>
  <c r="H313" i="1"/>
  <c r="C745" i="1"/>
  <c r="D745" i="1" s="1"/>
  <c r="B746" i="1"/>
  <c r="F313" i="1" l="1"/>
  <c r="I313" i="1" s="1"/>
  <c r="E314" i="1" s="1"/>
  <c r="C746" i="1"/>
  <c r="D746" i="1" s="1"/>
  <c r="B747" i="1"/>
  <c r="C747" i="1" l="1"/>
  <c r="D747" i="1" s="1"/>
  <c r="B748" i="1"/>
  <c r="H314" i="1" l="1"/>
  <c r="G314" i="1"/>
  <c r="B749" i="1"/>
  <c r="C748" i="1"/>
  <c r="D748" i="1" s="1"/>
  <c r="F314" i="1" l="1"/>
  <c r="B750" i="1"/>
  <c r="C749" i="1"/>
  <c r="D749" i="1" s="1"/>
  <c r="I314" i="1" l="1"/>
  <c r="E315" i="1" s="1"/>
  <c r="B751" i="1"/>
  <c r="C750" i="1"/>
  <c r="D750" i="1" s="1"/>
  <c r="G315" i="1" l="1"/>
  <c r="H315" i="1"/>
  <c r="B752" i="1"/>
  <c r="C751" i="1"/>
  <c r="D751" i="1" s="1"/>
  <c r="F315" i="1" l="1"/>
  <c r="I315" i="1" s="1"/>
  <c r="E316" i="1" s="1"/>
  <c r="C752" i="1"/>
  <c r="D752" i="1" s="1"/>
  <c r="B753" i="1"/>
  <c r="G316" i="1" l="1"/>
  <c r="H316" i="1"/>
  <c r="B754" i="1"/>
  <c r="C753" i="1"/>
  <c r="D753" i="1" s="1"/>
  <c r="F316" i="1" l="1"/>
  <c r="C754" i="1"/>
  <c r="D754" i="1" s="1"/>
  <c r="B755" i="1"/>
  <c r="I316" i="1" l="1"/>
  <c r="E317" i="1" s="1"/>
  <c r="C755" i="1"/>
  <c r="D755" i="1" s="1"/>
  <c r="B756" i="1"/>
  <c r="H317" i="1" l="1"/>
  <c r="F317" i="1" s="1"/>
  <c r="G317" i="1"/>
  <c r="C756" i="1"/>
  <c r="D756" i="1" s="1"/>
  <c r="B757" i="1"/>
  <c r="C757" i="1" l="1"/>
  <c r="D757" i="1" s="1"/>
  <c r="B758" i="1"/>
  <c r="I317" i="1"/>
  <c r="E318" i="1" s="1"/>
  <c r="B759" i="1" l="1"/>
  <c r="C758" i="1"/>
  <c r="D758" i="1" s="1"/>
  <c r="G318" i="1"/>
  <c r="H318" i="1"/>
  <c r="B760" i="1" l="1"/>
  <c r="C759" i="1"/>
  <c r="D759" i="1" s="1"/>
  <c r="F318" i="1"/>
  <c r="C760" i="1" l="1"/>
  <c r="D760" i="1" s="1"/>
  <c r="B761" i="1"/>
  <c r="I318" i="1"/>
  <c r="E319" i="1" s="1"/>
  <c r="C761" i="1" l="1"/>
  <c r="D761" i="1" s="1"/>
  <c r="B762" i="1"/>
  <c r="H319" i="1"/>
  <c r="G319" i="1"/>
  <c r="C762" i="1" l="1"/>
  <c r="D762" i="1" s="1"/>
  <c r="B763" i="1"/>
  <c r="F319" i="1"/>
  <c r="B764" i="1" l="1"/>
  <c r="C763" i="1"/>
  <c r="D763" i="1" s="1"/>
  <c r="I319" i="1"/>
  <c r="E320" i="1" s="1"/>
  <c r="B765" i="1" l="1"/>
  <c r="C764" i="1"/>
  <c r="D764" i="1" s="1"/>
  <c r="G320" i="1"/>
  <c r="H320" i="1"/>
  <c r="B766" i="1" l="1"/>
  <c r="C765" i="1"/>
  <c r="D765" i="1" s="1"/>
  <c r="F320" i="1"/>
  <c r="I320" i="1" s="1"/>
  <c r="E321" i="1" s="1"/>
  <c r="B767" i="1" l="1"/>
  <c r="C766" i="1"/>
  <c r="D766" i="1" s="1"/>
  <c r="H321" i="1"/>
  <c r="G321" i="1"/>
  <c r="C767" i="1" l="1"/>
  <c r="D767" i="1" s="1"/>
  <c r="B768" i="1"/>
  <c r="F321" i="1"/>
  <c r="I321" i="1" s="1"/>
  <c r="E322" i="1" s="1"/>
  <c r="C768" i="1" l="1"/>
  <c r="D768" i="1" s="1"/>
  <c r="B769" i="1"/>
  <c r="G322" i="1"/>
  <c r="H322" i="1"/>
  <c r="F322" i="1" s="1"/>
  <c r="B770" i="1" l="1"/>
  <c r="C769" i="1"/>
  <c r="D769" i="1" s="1"/>
  <c r="I322" i="1"/>
  <c r="E323" i="1" s="1"/>
  <c r="C770" i="1" l="1"/>
  <c r="D770" i="1" s="1"/>
  <c r="B771" i="1"/>
  <c r="G323" i="1"/>
  <c r="H323" i="1"/>
  <c r="B772" i="1" l="1"/>
  <c r="C771" i="1"/>
  <c r="D771" i="1" s="1"/>
  <c r="F323" i="1"/>
  <c r="I323" i="1" s="1"/>
  <c r="E324" i="1" s="1"/>
  <c r="C772" i="1" l="1"/>
  <c r="D772" i="1" s="1"/>
  <c r="B773" i="1"/>
  <c r="C773" i="1" l="1"/>
  <c r="D773" i="1" s="1"/>
  <c r="B774" i="1"/>
  <c r="H324" i="1"/>
  <c r="G324" i="1"/>
  <c r="B775" i="1" l="1"/>
  <c r="C774" i="1"/>
  <c r="D774" i="1" s="1"/>
  <c r="F324" i="1"/>
  <c r="I324" i="1" s="1"/>
  <c r="E325" i="1" s="1"/>
  <c r="B776" i="1" l="1"/>
  <c r="C775" i="1"/>
  <c r="D775" i="1" s="1"/>
  <c r="C776" i="1" l="1"/>
  <c r="D776" i="1" s="1"/>
  <c r="B777" i="1"/>
  <c r="G325" i="1"/>
  <c r="H325" i="1"/>
  <c r="C777" i="1" l="1"/>
  <c r="D777" i="1" s="1"/>
  <c r="B778" i="1"/>
  <c r="F325" i="1"/>
  <c r="I325" i="1" s="1"/>
  <c r="E326" i="1" s="1"/>
  <c r="B779" i="1" l="1"/>
  <c r="C778" i="1"/>
  <c r="D778" i="1" s="1"/>
  <c r="C779" i="1" l="1"/>
  <c r="D779" i="1" s="1"/>
  <c r="B780" i="1"/>
  <c r="G326" i="1"/>
  <c r="H326" i="1"/>
  <c r="C780" i="1" l="1"/>
  <c r="D780" i="1" s="1"/>
  <c r="B781" i="1"/>
  <c r="F326" i="1"/>
  <c r="I326" i="1" s="1"/>
  <c r="E327" i="1" s="1"/>
  <c r="B782" i="1" l="1"/>
  <c r="C781" i="1"/>
  <c r="D781" i="1" s="1"/>
  <c r="B783" i="1" l="1"/>
  <c r="C782" i="1"/>
  <c r="D782" i="1" s="1"/>
  <c r="G327" i="1"/>
  <c r="H327" i="1"/>
  <c r="B784" i="1" l="1"/>
  <c r="C783" i="1"/>
  <c r="D783" i="1" s="1"/>
  <c r="F327" i="1"/>
  <c r="I327" i="1" s="1"/>
  <c r="E328" i="1" s="1"/>
  <c r="C784" i="1" l="1"/>
  <c r="D784" i="1" s="1"/>
  <c r="B785" i="1"/>
  <c r="C785" i="1" l="1"/>
  <c r="D785" i="1" s="1"/>
  <c r="B786" i="1"/>
  <c r="H328" i="1"/>
  <c r="G328" i="1"/>
  <c r="B787" i="1" l="1"/>
  <c r="C786" i="1"/>
  <c r="D786" i="1" s="1"/>
  <c r="F328" i="1"/>
  <c r="I328" i="1" s="1"/>
  <c r="E329" i="1" s="1"/>
  <c r="C787" i="1" l="1"/>
  <c r="D787" i="1" s="1"/>
  <c r="B788" i="1"/>
  <c r="B789" i="1" l="1"/>
  <c r="C788" i="1"/>
  <c r="D788" i="1" s="1"/>
  <c r="H329" i="1"/>
  <c r="G329" i="1"/>
  <c r="C789" i="1" l="1"/>
  <c r="D789" i="1" s="1"/>
  <c r="B790" i="1"/>
  <c r="F329" i="1"/>
  <c r="I329" i="1" s="1"/>
  <c r="E330" i="1" s="1"/>
  <c r="C790" i="1" l="1"/>
  <c r="D790" i="1" s="1"/>
  <c r="B791" i="1"/>
  <c r="C791" i="1" l="1"/>
  <c r="D791" i="1" s="1"/>
  <c r="B792" i="1"/>
  <c r="H330" i="1"/>
  <c r="G330" i="1"/>
  <c r="C792" i="1" l="1"/>
  <c r="D792" i="1" s="1"/>
  <c r="B793" i="1"/>
  <c r="F330" i="1"/>
  <c r="I330" i="1" s="1"/>
  <c r="E331" i="1" s="1"/>
  <c r="C793" i="1" l="1"/>
  <c r="D793" i="1" s="1"/>
  <c r="B794" i="1"/>
  <c r="B795" i="1" l="1"/>
  <c r="C794" i="1"/>
  <c r="D794" i="1" s="1"/>
  <c r="H331" i="1"/>
  <c r="G331" i="1"/>
  <c r="B796" i="1" l="1"/>
  <c r="C795" i="1"/>
  <c r="D795" i="1" s="1"/>
  <c r="F331" i="1"/>
  <c r="I331" i="1" s="1"/>
  <c r="E332" i="1" s="1"/>
  <c r="C796" i="1" l="1"/>
  <c r="D796" i="1" s="1"/>
  <c r="B797" i="1"/>
  <c r="C797" i="1" l="1"/>
  <c r="D797" i="1" s="1"/>
  <c r="B798" i="1"/>
  <c r="H332" i="1"/>
  <c r="G332" i="1"/>
  <c r="B799" i="1" l="1"/>
  <c r="C798" i="1"/>
  <c r="D798" i="1" s="1"/>
  <c r="F332" i="1"/>
  <c r="I332" i="1" s="1"/>
  <c r="E333" i="1" s="1"/>
  <c r="B800" i="1" l="1"/>
  <c r="C799" i="1"/>
  <c r="D799" i="1" s="1"/>
  <c r="B801" i="1" l="1"/>
  <c r="C800" i="1"/>
  <c r="D800" i="1" s="1"/>
  <c r="H333" i="1"/>
  <c r="G333" i="1"/>
  <c r="B802" i="1" l="1"/>
  <c r="C801" i="1"/>
  <c r="D801" i="1" s="1"/>
  <c r="F333" i="1"/>
  <c r="I333" i="1" s="1"/>
  <c r="E334" i="1" s="1"/>
  <c r="B803" i="1" l="1"/>
  <c r="C802" i="1"/>
  <c r="D802" i="1" s="1"/>
  <c r="C803" i="1" l="1"/>
  <c r="D803" i="1" s="1"/>
  <c r="B804" i="1"/>
  <c r="H334" i="1"/>
  <c r="G334" i="1"/>
  <c r="C804" i="1" l="1"/>
  <c r="D804" i="1" s="1"/>
  <c r="B805" i="1"/>
  <c r="F334" i="1"/>
  <c r="C805" i="1" l="1"/>
  <c r="D805" i="1" s="1"/>
  <c r="B806" i="1"/>
  <c r="I334" i="1"/>
  <c r="E335" i="1" s="1"/>
  <c r="B807" i="1" l="1"/>
  <c r="C806" i="1"/>
  <c r="D806" i="1" s="1"/>
  <c r="G335" i="1"/>
  <c r="H335" i="1"/>
  <c r="B808" i="1" l="1"/>
  <c r="C807" i="1"/>
  <c r="D807" i="1" s="1"/>
  <c r="F335" i="1"/>
  <c r="I335" i="1" s="1"/>
  <c r="E336" i="1" s="1"/>
  <c r="B809" i="1" l="1"/>
  <c r="C808" i="1"/>
  <c r="D808" i="1" s="1"/>
  <c r="H336" i="1"/>
  <c r="F336" i="1" s="1"/>
  <c r="G336" i="1"/>
  <c r="C809" i="1" l="1"/>
  <c r="D809" i="1" s="1"/>
  <c r="B810" i="1"/>
  <c r="I336" i="1"/>
  <c r="E337" i="1" s="1"/>
  <c r="B811" i="1" l="1"/>
  <c r="C810" i="1"/>
  <c r="D810" i="1" s="1"/>
  <c r="H337" i="1"/>
  <c r="F337" i="1" s="1"/>
  <c r="G337" i="1"/>
  <c r="C811" i="1" l="1"/>
  <c r="D811" i="1" s="1"/>
  <c r="B812" i="1"/>
  <c r="I337" i="1"/>
  <c r="E338" i="1" s="1"/>
  <c r="C812" i="1" l="1"/>
  <c r="D812" i="1" s="1"/>
  <c r="B813" i="1"/>
  <c r="H338" i="1"/>
  <c r="G338" i="1"/>
  <c r="B814" i="1" l="1"/>
  <c r="C813" i="1"/>
  <c r="D813" i="1" s="1"/>
  <c r="F338" i="1"/>
  <c r="I338" i="1" s="1"/>
  <c r="E339" i="1" s="1"/>
  <c r="B815" i="1" l="1"/>
  <c r="C814" i="1"/>
  <c r="D814" i="1" s="1"/>
  <c r="C815" i="1" l="1"/>
  <c r="D815" i="1" s="1"/>
  <c r="B816" i="1"/>
  <c r="G339" i="1"/>
  <c r="H339" i="1"/>
  <c r="C816" i="1" l="1"/>
  <c r="D816" i="1" s="1"/>
  <c r="B817" i="1"/>
  <c r="F339" i="1"/>
  <c r="I339" i="1" s="1"/>
  <c r="E340" i="1" s="1"/>
  <c r="C817" i="1" l="1"/>
  <c r="D817" i="1" s="1"/>
  <c r="B818" i="1"/>
  <c r="B819" i="1" l="1"/>
  <c r="C818" i="1"/>
  <c r="D818" i="1" s="1"/>
  <c r="G340" i="1"/>
  <c r="H340" i="1"/>
  <c r="C819" i="1" l="1"/>
  <c r="D819" i="1" s="1"/>
  <c r="B820" i="1"/>
  <c r="F340" i="1"/>
  <c r="I340" i="1" s="1"/>
  <c r="E341" i="1" s="1"/>
  <c r="B821" i="1" l="1"/>
  <c r="C820" i="1"/>
  <c r="D820" i="1" s="1"/>
  <c r="C821" i="1" l="1"/>
  <c r="D821" i="1" s="1"/>
  <c r="B822" i="1"/>
  <c r="G341" i="1"/>
  <c r="H341" i="1"/>
  <c r="C822" i="1" l="1"/>
  <c r="D822" i="1" s="1"/>
  <c r="B823" i="1"/>
  <c r="F341" i="1"/>
  <c r="I341" i="1" s="1"/>
  <c r="E342" i="1" s="1"/>
  <c r="C823" i="1" l="1"/>
  <c r="D823" i="1" s="1"/>
  <c r="B824" i="1"/>
  <c r="C824" i="1" l="1"/>
  <c r="D824" i="1" s="1"/>
  <c r="B825" i="1"/>
  <c r="G342" i="1"/>
  <c r="H342" i="1"/>
  <c r="C825" i="1" l="1"/>
  <c r="D825" i="1" s="1"/>
  <c r="B826" i="1"/>
  <c r="F342" i="1"/>
  <c r="I342" i="1" s="1"/>
  <c r="E343" i="1" s="1"/>
  <c r="B827" i="1" l="1"/>
  <c r="C826" i="1"/>
  <c r="D826" i="1" s="1"/>
  <c r="C827" i="1" l="1"/>
  <c r="D827" i="1" s="1"/>
  <c r="B828" i="1"/>
  <c r="H343" i="1"/>
  <c r="G343" i="1"/>
  <c r="C828" i="1" l="1"/>
  <c r="D828" i="1" s="1"/>
  <c r="B829" i="1"/>
  <c r="F343" i="1"/>
  <c r="I343" i="1" s="1"/>
  <c r="E344" i="1" s="1"/>
  <c r="B830" i="1" l="1"/>
  <c r="C829" i="1"/>
  <c r="D829" i="1" s="1"/>
  <c r="B831" i="1" l="1"/>
  <c r="C830" i="1"/>
  <c r="D830" i="1" s="1"/>
  <c r="H344" i="1"/>
  <c r="G344" i="1"/>
  <c r="B832" i="1" l="1"/>
  <c r="C831" i="1"/>
  <c r="D831" i="1" s="1"/>
  <c r="F344" i="1"/>
  <c r="I344" i="1" s="1"/>
  <c r="E345" i="1" s="1"/>
  <c r="C832" i="1" l="1"/>
  <c r="D832" i="1" s="1"/>
  <c r="B833" i="1"/>
  <c r="B834" i="1" l="1"/>
  <c r="C833" i="1"/>
  <c r="D833" i="1" s="1"/>
  <c r="H345" i="1"/>
  <c r="G345" i="1"/>
  <c r="C834" i="1" l="1"/>
  <c r="D834" i="1" s="1"/>
  <c r="B835" i="1"/>
  <c r="F345" i="1"/>
  <c r="I345" i="1" s="1"/>
  <c r="E346" i="1" s="1"/>
  <c r="C835" i="1" l="1"/>
  <c r="D835" i="1" s="1"/>
  <c r="B836" i="1"/>
  <c r="B837" i="1" l="1"/>
  <c r="C836" i="1"/>
  <c r="D836" i="1" s="1"/>
  <c r="H346" i="1"/>
  <c r="G346" i="1"/>
  <c r="C837" i="1" l="1"/>
  <c r="D837" i="1" s="1"/>
  <c r="B838" i="1"/>
  <c r="F346" i="1"/>
  <c r="I346" i="1" s="1"/>
  <c r="E347" i="1" s="1"/>
  <c r="C838" i="1" l="1"/>
  <c r="D838" i="1" s="1"/>
  <c r="B839" i="1"/>
  <c r="H347" i="1"/>
  <c r="C839" i="1" l="1"/>
  <c r="D839" i="1" s="1"/>
  <c r="B840" i="1"/>
  <c r="G347" i="1"/>
  <c r="F347" i="1"/>
  <c r="I347" i="1" s="1"/>
  <c r="E348" i="1" s="1"/>
  <c r="C840" i="1" l="1"/>
  <c r="D840" i="1" s="1"/>
  <c r="B841" i="1"/>
  <c r="C841" i="1" l="1"/>
  <c r="D841" i="1" s="1"/>
  <c r="B842" i="1"/>
  <c r="G348" i="1"/>
  <c r="H348" i="1"/>
  <c r="B843" i="1" l="1"/>
  <c r="C842" i="1"/>
  <c r="D842" i="1" s="1"/>
  <c r="F348" i="1"/>
  <c r="I348" i="1" s="1"/>
  <c r="E349" i="1" s="1"/>
  <c r="C843" i="1" l="1"/>
  <c r="D843" i="1" s="1"/>
  <c r="B844" i="1"/>
  <c r="B845" i="1" l="1"/>
  <c r="C844" i="1"/>
  <c r="D844" i="1" s="1"/>
  <c r="H349" i="1"/>
  <c r="G349" i="1"/>
  <c r="C845" i="1" l="1"/>
  <c r="D845" i="1" s="1"/>
  <c r="B846" i="1"/>
  <c r="F349" i="1"/>
  <c r="I349" i="1" s="1"/>
  <c r="E350" i="1" s="1"/>
  <c r="B847" i="1" l="1"/>
  <c r="C846" i="1"/>
  <c r="D846" i="1" s="1"/>
  <c r="C847" i="1" l="1"/>
  <c r="D847" i="1" s="1"/>
  <c r="B848" i="1"/>
  <c r="G350" i="1"/>
  <c r="H350" i="1"/>
  <c r="C848" i="1" l="1"/>
  <c r="D848" i="1" s="1"/>
  <c r="B849" i="1"/>
  <c r="F350" i="1"/>
  <c r="I350" i="1" s="1"/>
  <c r="E351" i="1" s="1"/>
  <c r="C849" i="1" l="1"/>
  <c r="D849" i="1" s="1"/>
  <c r="B850" i="1"/>
  <c r="B851" i="1" l="1"/>
  <c r="C850" i="1"/>
  <c r="D850" i="1" s="1"/>
  <c r="H351" i="1"/>
  <c r="G351" i="1"/>
  <c r="B852" i="1" l="1"/>
  <c r="C851" i="1"/>
  <c r="D851" i="1" s="1"/>
  <c r="F351" i="1"/>
  <c r="I351" i="1" s="1"/>
  <c r="E352" i="1" s="1"/>
  <c r="B853" i="1" l="1"/>
  <c r="C852" i="1"/>
  <c r="D852" i="1" s="1"/>
  <c r="B854" i="1" l="1"/>
  <c r="C853" i="1"/>
  <c r="D853" i="1" s="1"/>
  <c r="G352" i="1"/>
  <c r="H352" i="1"/>
  <c r="B855" i="1" l="1"/>
  <c r="C854" i="1"/>
  <c r="D854" i="1" s="1"/>
  <c r="F352" i="1"/>
  <c r="I352" i="1" s="1"/>
  <c r="E353" i="1" s="1"/>
  <c r="C855" i="1" l="1"/>
  <c r="D855" i="1" s="1"/>
  <c r="B856" i="1"/>
  <c r="C856" i="1" l="1"/>
  <c r="D856" i="1" s="1"/>
  <c r="B857" i="1"/>
  <c r="H353" i="1"/>
  <c r="G353" i="1"/>
  <c r="C857" i="1" l="1"/>
  <c r="D857" i="1" s="1"/>
  <c r="B858" i="1"/>
  <c r="F353" i="1"/>
  <c r="I353" i="1" s="1"/>
  <c r="E354" i="1" s="1"/>
  <c r="C858" i="1" l="1"/>
  <c r="D858" i="1" s="1"/>
  <c r="B859" i="1"/>
  <c r="C859" i="1" l="1"/>
  <c r="D859" i="1" s="1"/>
  <c r="B860" i="1"/>
  <c r="G354" i="1"/>
  <c r="H354" i="1"/>
  <c r="B861" i="1" l="1"/>
  <c r="C860" i="1"/>
  <c r="D860" i="1" s="1"/>
  <c r="F354" i="1"/>
  <c r="I354" i="1" s="1"/>
  <c r="E355" i="1" s="1"/>
  <c r="B862" i="1" l="1"/>
  <c r="C861" i="1"/>
  <c r="D861" i="1" s="1"/>
  <c r="C862" i="1" l="1"/>
  <c r="D862" i="1" s="1"/>
  <c r="B863" i="1"/>
  <c r="H355" i="1"/>
  <c r="G355" i="1"/>
  <c r="C863" i="1" l="1"/>
  <c r="D863" i="1" s="1"/>
  <c r="B864" i="1"/>
  <c r="F355" i="1"/>
  <c r="I355" i="1" s="1"/>
  <c r="E356" i="1" s="1"/>
  <c r="C864" i="1" l="1"/>
  <c r="D864" i="1" s="1"/>
  <c r="B865" i="1"/>
  <c r="B866" i="1" l="1"/>
  <c r="C865" i="1"/>
  <c r="D865" i="1" s="1"/>
  <c r="H356" i="1"/>
  <c r="G356" i="1"/>
  <c r="C866" i="1" l="1"/>
  <c r="D866" i="1" s="1"/>
  <c r="B867" i="1"/>
  <c r="F356" i="1"/>
  <c r="I356" i="1" s="1"/>
  <c r="E357" i="1" s="1"/>
  <c r="C867" i="1" l="1"/>
  <c r="D867" i="1" s="1"/>
  <c r="B868" i="1"/>
  <c r="B869" i="1" l="1"/>
  <c r="C868" i="1"/>
  <c r="D868" i="1" s="1"/>
  <c r="G357" i="1"/>
  <c r="H357" i="1"/>
  <c r="C869" i="1" l="1"/>
  <c r="D869" i="1" s="1"/>
  <c r="B870" i="1"/>
  <c r="F357" i="1"/>
  <c r="C870" i="1" l="1"/>
  <c r="D870" i="1" s="1"/>
  <c r="B871" i="1"/>
  <c r="I357" i="1"/>
  <c r="E358" i="1" s="1"/>
  <c r="C871" i="1" l="1"/>
  <c r="D871" i="1" s="1"/>
  <c r="B872" i="1"/>
  <c r="H358" i="1"/>
  <c r="F358" i="1" s="1"/>
  <c r="G358" i="1"/>
  <c r="C872" i="1" l="1"/>
  <c r="D872" i="1" s="1"/>
  <c r="B873" i="1"/>
  <c r="I358" i="1"/>
  <c r="E359" i="1" s="1"/>
  <c r="B874" i="1" l="1"/>
  <c r="C873" i="1"/>
  <c r="D873" i="1" s="1"/>
  <c r="H359" i="1"/>
  <c r="G359" i="1"/>
  <c r="B875" i="1" l="1"/>
  <c r="C874" i="1"/>
  <c r="D874" i="1" s="1"/>
  <c r="F359" i="1"/>
  <c r="I359" i="1" s="1"/>
  <c r="E360" i="1" s="1"/>
  <c r="C875" i="1" l="1"/>
  <c r="D875" i="1" s="1"/>
  <c r="B876" i="1"/>
  <c r="C876" i="1" l="1"/>
  <c r="D876" i="1" s="1"/>
  <c r="B877" i="1"/>
  <c r="G360" i="1"/>
  <c r="H360" i="1"/>
  <c r="B878" i="1" l="1"/>
  <c r="C877" i="1"/>
  <c r="D877" i="1" s="1"/>
  <c r="F360" i="1"/>
  <c r="C878" i="1" l="1"/>
  <c r="D878" i="1" s="1"/>
  <c r="B879" i="1"/>
  <c r="I360" i="1"/>
  <c r="E361" i="1" s="1"/>
  <c r="C879" i="1" l="1"/>
  <c r="D879" i="1" s="1"/>
  <c r="B880" i="1"/>
  <c r="G361" i="1"/>
  <c r="H361" i="1"/>
  <c r="F361" i="1" s="1"/>
  <c r="C880" i="1" l="1"/>
  <c r="D880" i="1" s="1"/>
  <c r="B881" i="1"/>
  <c r="I361" i="1"/>
  <c r="E362" i="1" s="1"/>
  <c r="C881" i="1" l="1"/>
  <c r="D881" i="1" s="1"/>
  <c r="B882" i="1"/>
  <c r="G362" i="1"/>
  <c r="H362" i="1"/>
  <c r="B883" i="1" l="1"/>
  <c r="C882" i="1"/>
  <c r="D882" i="1" s="1"/>
  <c r="F362" i="1"/>
  <c r="I362" i="1" s="1"/>
  <c r="E363" i="1" s="1"/>
  <c r="C883" i="1" l="1"/>
  <c r="D883" i="1" s="1"/>
  <c r="B884" i="1"/>
  <c r="C884" i="1" l="1"/>
  <c r="D884" i="1" s="1"/>
  <c r="B885" i="1"/>
  <c r="G363" i="1"/>
  <c r="H363" i="1"/>
  <c r="C885" i="1" l="1"/>
  <c r="D885" i="1" s="1"/>
  <c r="B886" i="1"/>
  <c r="F363" i="1"/>
  <c r="C886" i="1" l="1"/>
  <c r="D886" i="1" s="1"/>
  <c r="B887" i="1"/>
  <c r="I363" i="1"/>
  <c r="E364" i="1" s="1"/>
  <c r="C887" i="1" l="1"/>
  <c r="D887" i="1" s="1"/>
  <c r="B888" i="1"/>
  <c r="G364" i="1"/>
  <c r="H364" i="1"/>
  <c r="F364" i="1" s="1"/>
  <c r="C888" i="1" l="1"/>
  <c r="D888" i="1" s="1"/>
  <c r="B889" i="1"/>
  <c r="I364" i="1"/>
  <c r="E365" i="1" s="1"/>
  <c r="B890" i="1" l="1"/>
  <c r="C889" i="1"/>
  <c r="D889" i="1" s="1"/>
  <c r="H365" i="1"/>
  <c r="G365" i="1"/>
  <c r="B891" i="1" l="1"/>
  <c r="C890" i="1"/>
  <c r="D890" i="1" s="1"/>
  <c r="F365" i="1"/>
  <c r="I365" i="1" s="1"/>
  <c r="E366" i="1" s="1"/>
  <c r="C891" i="1" l="1"/>
  <c r="D891" i="1" s="1"/>
  <c r="B892" i="1"/>
  <c r="B893" i="1" l="1"/>
  <c r="C892" i="1"/>
  <c r="D892" i="1" s="1"/>
  <c r="G366" i="1"/>
  <c r="H366" i="1"/>
  <c r="B894" i="1" l="1"/>
  <c r="C893" i="1"/>
  <c r="D893" i="1" s="1"/>
  <c r="F366" i="1"/>
  <c r="I366" i="1" s="1"/>
  <c r="E367" i="1" s="1"/>
  <c r="C894" i="1" l="1"/>
  <c r="D894" i="1" s="1"/>
  <c r="B895" i="1"/>
  <c r="C895" i="1" l="1"/>
  <c r="D895" i="1" s="1"/>
  <c r="B896" i="1"/>
  <c r="H367" i="1"/>
  <c r="G367" i="1"/>
  <c r="B897" i="1" l="1"/>
  <c r="C896" i="1"/>
  <c r="D896" i="1" s="1"/>
  <c r="F367" i="1"/>
  <c r="I367" i="1" s="1"/>
  <c r="E368" i="1" s="1"/>
  <c r="C897" i="1" l="1"/>
  <c r="D897" i="1" s="1"/>
  <c r="B898" i="1"/>
  <c r="C898" i="1" l="1"/>
  <c r="D898" i="1" s="1"/>
  <c r="B899" i="1"/>
  <c r="H368" i="1"/>
  <c r="G368" i="1"/>
  <c r="C899" i="1" l="1"/>
  <c r="D899" i="1" s="1"/>
  <c r="B900" i="1"/>
  <c r="F368" i="1"/>
  <c r="I368" i="1" s="1"/>
  <c r="E369" i="1" s="1"/>
  <c r="C900" i="1" l="1"/>
  <c r="D900" i="1" s="1"/>
  <c r="B901" i="1"/>
  <c r="B902" i="1" l="1"/>
  <c r="C901" i="1"/>
  <c r="D901" i="1" s="1"/>
  <c r="G369" i="1"/>
  <c r="H369" i="1"/>
  <c r="C902" i="1" l="1"/>
  <c r="D902" i="1" s="1"/>
  <c r="B903" i="1"/>
  <c r="F369" i="1"/>
  <c r="I369" i="1" s="1"/>
  <c r="E370" i="1" s="1"/>
  <c r="C903" i="1" l="1"/>
  <c r="D903" i="1" s="1"/>
  <c r="B904" i="1"/>
  <c r="C904" i="1" l="1"/>
  <c r="D904" i="1" s="1"/>
  <c r="B905" i="1"/>
  <c r="H370" i="1"/>
  <c r="G370" i="1"/>
  <c r="C905" i="1" l="1"/>
  <c r="D905" i="1" s="1"/>
  <c r="B906" i="1"/>
  <c r="F370" i="1"/>
  <c r="I370" i="1" s="1"/>
  <c r="E371" i="1" s="1"/>
  <c r="C906" i="1" l="1"/>
  <c r="D906" i="1" s="1"/>
  <c r="B907" i="1"/>
  <c r="B908" i="1" l="1"/>
  <c r="C907" i="1"/>
  <c r="D907" i="1" s="1"/>
  <c r="H371" i="1"/>
  <c r="G371" i="1"/>
  <c r="B909" i="1" l="1"/>
  <c r="C908" i="1"/>
  <c r="D908" i="1" s="1"/>
  <c r="F371" i="1"/>
  <c r="B910" i="1" l="1"/>
  <c r="C909" i="1"/>
  <c r="D909" i="1" s="1"/>
  <c r="I371" i="1"/>
  <c r="E372" i="1" s="1"/>
  <c r="C910" i="1" l="1"/>
  <c r="D910" i="1" s="1"/>
  <c r="B911" i="1"/>
  <c r="H372" i="1"/>
  <c r="F372" i="1" s="1"/>
  <c r="G372" i="1"/>
  <c r="C911" i="1" l="1"/>
  <c r="D911" i="1" s="1"/>
  <c r="B912" i="1"/>
  <c r="I372" i="1"/>
  <c r="E373" i="1" s="1"/>
  <c r="B913" i="1" l="1"/>
  <c r="C912" i="1"/>
  <c r="D912" i="1" s="1"/>
  <c r="H373" i="1"/>
  <c r="F373" i="1" s="1"/>
  <c r="G373" i="1"/>
  <c r="C913" i="1" l="1"/>
  <c r="D913" i="1" s="1"/>
  <c r="B914" i="1"/>
  <c r="I373" i="1"/>
  <c r="E374" i="1" s="1"/>
  <c r="B915" i="1" l="1"/>
  <c r="C914" i="1"/>
  <c r="D914" i="1" s="1"/>
  <c r="H374" i="1"/>
  <c r="F374" i="1" s="1"/>
  <c r="G374" i="1"/>
  <c r="C915" i="1" l="1"/>
  <c r="D915" i="1" s="1"/>
  <c r="B916" i="1"/>
  <c r="I374" i="1"/>
  <c r="E375" i="1" s="1"/>
  <c r="C916" i="1" l="1"/>
  <c r="D916" i="1" s="1"/>
  <c r="B917" i="1"/>
  <c r="G375" i="1"/>
  <c r="H375" i="1"/>
  <c r="F375" i="1" s="1"/>
  <c r="C917" i="1" l="1"/>
  <c r="D917" i="1" s="1"/>
  <c r="B918" i="1"/>
  <c r="I375" i="1"/>
  <c r="E376" i="1" s="1"/>
  <c r="B919" i="1" l="1"/>
  <c r="C918" i="1"/>
  <c r="D918" i="1" s="1"/>
  <c r="G376" i="1"/>
  <c r="H376" i="1"/>
  <c r="B920" i="1" l="1"/>
  <c r="C919" i="1"/>
  <c r="D919" i="1" s="1"/>
  <c r="F376" i="1"/>
  <c r="I376" i="1" s="1"/>
  <c r="E377" i="1" s="1"/>
  <c r="C920" i="1" l="1"/>
  <c r="D920" i="1" s="1"/>
  <c r="B921" i="1"/>
  <c r="B922" i="1" l="1"/>
  <c r="C921" i="1"/>
  <c r="D921" i="1" s="1"/>
  <c r="H377" i="1"/>
  <c r="G377" i="1"/>
  <c r="C922" i="1" l="1"/>
  <c r="D922" i="1" s="1"/>
  <c r="B923" i="1"/>
  <c r="F377" i="1"/>
  <c r="C923" i="1" l="1"/>
  <c r="D923" i="1" s="1"/>
  <c r="B924" i="1"/>
  <c r="I377" i="1"/>
  <c r="E378" i="1" s="1"/>
  <c r="C924" i="1" l="1"/>
  <c r="D924" i="1" s="1"/>
  <c r="B925" i="1"/>
  <c r="H378" i="1"/>
  <c r="F378" i="1" s="1"/>
  <c r="G378" i="1"/>
  <c r="B926" i="1" l="1"/>
  <c r="C925" i="1"/>
  <c r="D925" i="1" s="1"/>
  <c r="I378" i="1"/>
  <c r="E379" i="1" s="1"/>
  <c r="B927" i="1" l="1"/>
  <c r="C926" i="1"/>
  <c r="D926" i="1" s="1"/>
  <c r="H379" i="1"/>
  <c r="G379" i="1"/>
  <c r="C927" i="1" l="1"/>
  <c r="D927" i="1" s="1"/>
  <c r="B928" i="1"/>
  <c r="F379" i="1"/>
  <c r="C928" i="1" l="1"/>
  <c r="D928" i="1" s="1"/>
  <c r="B929" i="1"/>
  <c r="I379" i="1"/>
  <c r="E380" i="1" s="1"/>
  <c r="C929" i="1" l="1"/>
  <c r="D929" i="1" s="1"/>
  <c r="B930" i="1"/>
  <c r="H380" i="1"/>
  <c r="G380" i="1"/>
  <c r="F380" i="1"/>
  <c r="F5" i="2"/>
  <c r="G5" i="2"/>
  <c r="C930" i="1" l="1"/>
  <c r="D930" i="1" s="1"/>
  <c r="B931" i="1"/>
  <c r="S5" i="2"/>
  <c r="T5" i="2" s="1"/>
  <c r="N5" i="2"/>
  <c r="O5" i="2" s="1"/>
  <c r="L5" i="2" s="1"/>
  <c r="M5" i="2" s="1"/>
  <c r="H5" i="2"/>
  <c r="I5" i="2" s="1"/>
  <c r="J5" i="2"/>
  <c r="K5" i="2" s="1"/>
  <c r="I380" i="1"/>
  <c r="E381" i="1" s="1"/>
  <c r="U5" i="2" l="1"/>
  <c r="P5" i="2" s="1"/>
  <c r="Q5" i="2" s="1"/>
  <c r="B932" i="1"/>
  <c r="C931" i="1"/>
  <c r="D931" i="1" s="1"/>
  <c r="G381" i="1"/>
  <c r="H381" i="1"/>
  <c r="B933" i="1" l="1"/>
  <c r="C932" i="1"/>
  <c r="D932" i="1" s="1"/>
  <c r="F381" i="1"/>
  <c r="I381" i="1" s="1"/>
  <c r="E382" i="1" s="1"/>
  <c r="C933" i="1" l="1"/>
  <c r="D933" i="1" s="1"/>
  <c r="B934" i="1"/>
  <c r="C934" i="1" l="1"/>
  <c r="D934" i="1" s="1"/>
  <c r="B935" i="1"/>
  <c r="G382" i="1"/>
  <c r="H382" i="1"/>
  <c r="B936" i="1" l="1"/>
  <c r="C935" i="1"/>
  <c r="D935" i="1" s="1"/>
  <c r="F382" i="1"/>
  <c r="I382" i="1" s="1"/>
  <c r="E383" i="1" s="1"/>
  <c r="C936" i="1" l="1"/>
  <c r="D936" i="1" s="1"/>
  <c r="B937" i="1"/>
  <c r="B938" i="1" l="1"/>
  <c r="C937" i="1"/>
  <c r="D937" i="1" s="1"/>
  <c r="H383" i="1"/>
  <c r="G383" i="1"/>
  <c r="C938" i="1" l="1"/>
  <c r="D938" i="1" s="1"/>
  <c r="B939" i="1"/>
  <c r="F383" i="1"/>
  <c r="C939" i="1" l="1"/>
  <c r="D939" i="1" s="1"/>
  <c r="B940" i="1"/>
  <c r="I383" i="1"/>
  <c r="E384" i="1" s="1"/>
  <c r="C940" i="1" l="1"/>
  <c r="D940" i="1" s="1"/>
  <c r="B941" i="1"/>
  <c r="G384" i="1"/>
  <c r="H384" i="1"/>
  <c r="F384" i="1" s="1"/>
  <c r="B942" i="1" l="1"/>
  <c r="C941" i="1"/>
  <c r="D941" i="1" s="1"/>
  <c r="I384" i="1"/>
  <c r="E385" i="1" s="1"/>
  <c r="B943" i="1" l="1"/>
  <c r="C942" i="1"/>
  <c r="D942" i="1" s="1"/>
  <c r="H385" i="1"/>
  <c r="G385" i="1"/>
  <c r="C943" i="1" l="1"/>
  <c r="D943" i="1" s="1"/>
  <c r="B944" i="1"/>
  <c r="F385" i="1"/>
  <c r="I385" i="1" s="1"/>
  <c r="E386" i="1" s="1"/>
  <c r="C944" i="1" l="1"/>
  <c r="D944" i="1" s="1"/>
  <c r="B945" i="1"/>
  <c r="B946" i="1" l="1"/>
  <c r="C945" i="1"/>
  <c r="D945" i="1" s="1"/>
  <c r="G386" i="1"/>
  <c r="H386" i="1"/>
  <c r="C946" i="1" l="1"/>
  <c r="D946" i="1" s="1"/>
  <c r="B947" i="1"/>
  <c r="F386" i="1"/>
  <c r="I386" i="1" s="1"/>
  <c r="E387" i="1" s="1"/>
  <c r="B948" i="1" l="1"/>
  <c r="C947" i="1"/>
  <c r="D947" i="1" s="1"/>
  <c r="C948" i="1" l="1"/>
  <c r="D948" i="1" s="1"/>
  <c r="B949" i="1"/>
  <c r="H387" i="1"/>
  <c r="G387" i="1"/>
  <c r="C949" i="1" l="1"/>
  <c r="D949" i="1" s="1"/>
  <c r="B950" i="1"/>
  <c r="F387" i="1"/>
  <c r="I387" i="1" s="1"/>
  <c r="E388" i="1" s="1"/>
  <c r="B951" i="1" l="1"/>
  <c r="C950" i="1"/>
  <c r="D950" i="1" s="1"/>
  <c r="B952" i="1" l="1"/>
  <c r="C951" i="1"/>
  <c r="D951" i="1" s="1"/>
  <c r="H388" i="1"/>
  <c r="G388" i="1"/>
  <c r="C952" i="1" l="1"/>
  <c r="D952" i="1" s="1"/>
  <c r="B953" i="1"/>
  <c r="F388" i="1"/>
  <c r="I388" i="1" s="1"/>
  <c r="E389" i="1" s="1"/>
  <c r="C953" i="1" l="1"/>
  <c r="D953" i="1" s="1"/>
  <c r="B954" i="1"/>
  <c r="C954" i="1" l="1"/>
  <c r="D954" i="1" s="1"/>
  <c r="B955" i="1"/>
  <c r="G389" i="1"/>
  <c r="H389" i="1"/>
  <c r="B956" i="1" l="1"/>
  <c r="C955" i="1"/>
  <c r="D955" i="1" s="1"/>
  <c r="F389" i="1"/>
  <c r="B957" i="1" l="1"/>
  <c r="C956" i="1"/>
  <c r="D956" i="1" s="1"/>
  <c r="I389" i="1"/>
  <c r="E390" i="1" s="1"/>
  <c r="C957" i="1" l="1"/>
  <c r="D957" i="1" s="1"/>
  <c r="B958" i="1"/>
  <c r="G390" i="1"/>
  <c r="H390" i="1"/>
  <c r="C958" i="1" l="1"/>
  <c r="D958" i="1" s="1"/>
  <c r="B959" i="1"/>
  <c r="F390" i="1"/>
  <c r="I390" i="1" s="1"/>
  <c r="E391" i="1" s="1"/>
  <c r="C959" i="1" l="1"/>
  <c r="D959" i="1" s="1"/>
  <c r="B960" i="1"/>
  <c r="H391" i="1"/>
  <c r="G391" i="1"/>
  <c r="B961" i="1" l="1"/>
  <c r="C960" i="1"/>
  <c r="D960" i="1" s="1"/>
  <c r="F391" i="1"/>
  <c r="I391" i="1" s="1"/>
  <c r="E392" i="1" s="1"/>
  <c r="C961" i="1" l="1"/>
  <c r="D961" i="1" s="1"/>
  <c r="B962" i="1"/>
  <c r="C962" i="1" l="1"/>
  <c r="D962" i="1" s="1"/>
  <c r="B963" i="1"/>
  <c r="H392" i="1"/>
  <c r="G392" i="1"/>
  <c r="C963" i="1" l="1"/>
  <c r="D963" i="1" s="1"/>
  <c r="B964" i="1"/>
  <c r="F392" i="1"/>
  <c r="I392" i="1" s="1"/>
  <c r="E393" i="1" s="1"/>
  <c r="C964" i="1" l="1"/>
  <c r="D964" i="1" s="1"/>
  <c r="B965" i="1"/>
  <c r="C965" i="1" l="1"/>
  <c r="D965" i="1" s="1"/>
  <c r="B966" i="1"/>
  <c r="H393" i="1"/>
  <c r="G393" i="1"/>
  <c r="B967" i="1" l="1"/>
  <c r="C966" i="1"/>
  <c r="D966" i="1" s="1"/>
  <c r="F393" i="1"/>
  <c r="I393" i="1" s="1"/>
  <c r="E394" i="1" s="1"/>
  <c r="C967" i="1" l="1"/>
  <c r="D967" i="1" s="1"/>
  <c r="B968" i="1"/>
  <c r="C968" i="1" l="1"/>
  <c r="D968" i="1" s="1"/>
  <c r="B969" i="1"/>
  <c r="H394" i="1"/>
  <c r="G394" i="1"/>
  <c r="C969" i="1" l="1"/>
  <c r="D969" i="1" s="1"/>
  <c r="B970" i="1"/>
  <c r="F394" i="1"/>
  <c r="I394" i="1" s="1"/>
  <c r="E395" i="1" s="1"/>
  <c r="C970" i="1" l="1"/>
  <c r="D970" i="1" s="1"/>
  <c r="B971" i="1"/>
  <c r="B972" i="1" l="1"/>
  <c r="C971" i="1"/>
  <c r="D971" i="1" s="1"/>
  <c r="G395" i="1"/>
  <c r="H395" i="1"/>
  <c r="C972" i="1" l="1"/>
  <c r="D972" i="1" s="1"/>
  <c r="B973" i="1"/>
  <c r="F395" i="1"/>
  <c r="I395" i="1" s="1"/>
  <c r="E396" i="1" s="1"/>
  <c r="C973" i="1" l="1"/>
  <c r="D973" i="1" s="1"/>
  <c r="B974" i="1"/>
  <c r="C974" i="1" l="1"/>
  <c r="D974" i="1" s="1"/>
  <c r="B975" i="1"/>
  <c r="G396" i="1"/>
  <c r="H396" i="1"/>
  <c r="C975" i="1" l="1"/>
  <c r="D975" i="1" s="1"/>
  <c r="B976" i="1"/>
  <c r="F396" i="1"/>
  <c r="I396" i="1" s="1"/>
  <c r="E397" i="1" s="1"/>
  <c r="B977" i="1" l="1"/>
  <c r="C976" i="1"/>
  <c r="D976" i="1" s="1"/>
  <c r="B978" i="1" l="1"/>
  <c r="C977" i="1"/>
  <c r="D977" i="1" s="1"/>
  <c r="H397" i="1"/>
  <c r="G397" i="1"/>
  <c r="C978" i="1" l="1"/>
  <c r="D978" i="1" s="1"/>
  <c r="B979" i="1"/>
  <c r="F397" i="1"/>
  <c r="I397" i="1" s="1"/>
  <c r="E398" i="1" s="1"/>
  <c r="B980" i="1" l="1"/>
  <c r="C979" i="1"/>
  <c r="D979" i="1" s="1"/>
  <c r="C980" i="1" l="1"/>
  <c r="D980" i="1" s="1"/>
  <c r="B981" i="1"/>
  <c r="G398" i="1"/>
  <c r="H398" i="1"/>
  <c r="C981" i="1" l="1"/>
  <c r="D981" i="1" s="1"/>
  <c r="B982" i="1"/>
  <c r="F398" i="1"/>
  <c r="I398" i="1" s="1"/>
  <c r="E399" i="1" s="1"/>
  <c r="C982" i="1" l="1"/>
  <c r="D982" i="1" s="1"/>
  <c r="B983" i="1"/>
  <c r="B984" i="1" l="1"/>
  <c r="C983" i="1"/>
  <c r="D983" i="1" s="1"/>
  <c r="H399" i="1"/>
  <c r="G399" i="1"/>
  <c r="C984" i="1" l="1"/>
  <c r="D984" i="1" s="1"/>
  <c r="B985" i="1"/>
  <c r="F399" i="1"/>
  <c r="I399" i="1" s="1"/>
  <c r="E400" i="1" s="1"/>
  <c r="C985" i="1" l="1"/>
  <c r="D985" i="1" s="1"/>
  <c r="B986" i="1"/>
  <c r="C986" i="1" l="1"/>
  <c r="D986" i="1" s="1"/>
  <c r="B987" i="1"/>
  <c r="G400" i="1"/>
  <c r="H400" i="1"/>
  <c r="B988" i="1" l="1"/>
  <c r="C987" i="1"/>
  <c r="D987" i="1" s="1"/>
  <c r="F400" i="1"/>
  <c r="I400" i="1" s="1"/>
  <c r="E401" i="1" s="1"/>
  <c r="C988" i="1" l="1"/>
  <c r="D988" i="1" s="1"/>
  <c r="B989" i="1"/>
  <c r="C989" i="1" l="1"/>
  <c r="D989" i="1" s="1"/>
  <c r="B990" i="1"/>
  <c r="H401" i="1"/>
  <c r="G401" i="1"/>
  <c r="C990" i="1" l="1"/>
  <c r="D990" i="1" s="1"/>
  <c r="B991" i="1"/>
  <c r="F401" i="1"/>
  <c r="I401" i="1" s="1"/>
  <c r="E402" i="1" s="1"/>
  <c r="C991" i="1" l="1"/>
  <c r="D991" i="1" s="1"/>
  <c r="B992" i="1"/>
  <c r="B993" i="1" l="1"/>
  <c r="C992" i="1"/>
  <c r="D992" i="1" s="1"/>
  <c r="H402" i="1"/>
  <c r="G402" i="1"/>
  <c r="B994" i="1" l="1"/>
  <c r="C993" i="1"/>
  <c r="D993" i="1" s="1"/>
  <c r="F402" i="1"/>
  <c r="C994" i="1" l="1"/>
  <c r="D994" i="1" s="1"/>
  <c r="B995" i="1"/>
  <c r="I402" i="1"/>
  <c r="E403" i="1" s="1"/>
  <c r="B996" i="1" l="1"/>
  <c r="C995" i="1"/>
  <c r="D995" i="1" s="1"/>
  <c r="G403" i="1"/>
  <c r="H403" i="1"/>
  <c r="F403" i="1" s="1"/>
  <c r="C996" i="1" l="1"/>
  <c r="D996" i="1" s="1"/>
  <c r="B997" i="1"/>
  <c r="I403" i="1"/>
  <c r="E404" i="1" s="1"/>
  <c r="G404" i="1" s="1"/>
  <c r="C997" i="1" l="1"/>
  <c r="D997" i="1" s="1"/>
  <c r="B998" i="1"/>
  <c r="H404" i="1"/>
  <c r="F404" i="1" s="1"/>
  <c r="I404" i="1" s="1"/>
  <c r="E405" i="1" s="1"/>
  <c r="C998" i="1" l="1"/>
  <c r="D998" i="1" s="1"/>
  <c r="B999" i="1"/>
  <c r="B1000" i="1" l="1"/>
  <c r="C999" i="1"/>
  <c r="D999" i="1" s="1"/>
  <c r="G405" i="1"/>
  <c r="H405" i="1"/>
  <c r="B1001" i="1" l="1"/>
  <c r="C1000" i="1"/>
  <c r="D1000" i="1" s="1"/>
  <c r="F405" i="1"/>
  <c r="I405" i="1" s="1"/>
  <c r="E406" i="1" s="1"/>
  <c r="B1002" i="1" l="1"/>
  <c r="C1001" i="1"/>
  <c r="D1001" i="1" s="1"/>
  <c r="C1002" i="1" l="1"/>
  <c r="D1002" i="1" s="1"/>
  <c r="B1003" i="1"/>
  <c r="H406" i="1"/>
  <c r="G406" i="1"/>
  <c r="C1003" i="1" l="1"/>
  <c r="D1003" i="1" s="1"/>
  <c r="B1004" i="1"/>
  <c r="F406" i="1"/>
  <c r="I406" i="1" s="1"/>
  <c r="E407" i="1" s="1"/>
  <c r="C1004" i="1" l="1"/>
  <c r="D1004" i="1" s="1"/>
  <c r="B1005" i="1"/>
  <c r="C1005" i="1" l="1"/>
  <c r="D1005" i="1" s="1"/>
  <c r="B1006" i="1"/>
  <c r="H407" i="1"/>
  <c r="G407" i="1"/>
  <c r="B1007" i="1" l="1"/>
  <c r="C1006" i="1"/>
  <c r="D1006" i="1" s="1"/>
  <c r="F407" i="1"/>
  <c r="I407" i="1" s="1"/>
  <c r="E408" i="1" s="1"/>
  <c r="C1007" i="1" l="1"/>
  <c r="D1007" i="1" s="1"/>
  <c r="B1008" i="1"/>
  <c r="C1008" i="1" l="1"/>
  <c r="D1008" i="1" s="1"/>
  <c r="B1009" i="1"/>
  <c r="G408" i="1"/>
  <c r="H408" i="1"/>
  <c r="C1009" i="1" l="1"/>
  <c r="D1009" i="1" s="1"/>
  <c r="B1010" i="1"/>
  <c r="F408" i="1"/>
  <c r="I408" i="1" s="1"/>
  <c r="E409" i="1" s="1"/>
  <c r="C1010" i="1" l="1"/>
  <c r="D1010" i="1" s="1"/>
  <c r="B1011" i="1"/>
  <c r="C1011" i="1" l="1"/>
  <c r="D1011" i="1" s="1"/>
  <c r="B1012" i="1"/>
  <c r="H409" i="1"/>
  <c r="G409" i="1"/>
  <c r="B1013" i="1" l="1"/>
  <c r="C1012" i="1"/>
  <c r="D1012" i="1" s="1"/>
  <c r="F409" i="1"/>
  <c r="I409" i="1" s="1"/>
  <c r="E410" i="1" s="1"/>
  <c r="C1013" i="1" l="1"/>
  <c r="D1013" i="1" s="1"/>
  <c r="B1014" i="1"/>
  <c r="H410" i="1"/>
  <c r="G410" i="1"/>
  <c r="B1015" i="1" l="1"/>
  <c r="C1014" i="1"/>
  <c r="D1014" i="1" s="1"/>
  <c r="F410" i="1"/>
  <c r="I410" i="1" s="1"/>
  <c r="E411" i="1" s="1"/>
  <c r="C1015" i="1" l="1"/>
  <c r="D1015" i="1" s="1"/>
  <c r="B1016" i="1"/>
  <c r="B1017" i="1" l="1"/>
  <c r="C1016" i="1"/>
  <c r="D1016" i="1" s="1"/>
  <c r="H411" i="1"/>
  <c r="G411" i="1"/>
  <c r="C1017" i="1" l="1"/>
  <c r="D1017" i="1" s="1"/>
  <c r="B1018" i="1"/>
  <c r="F411" i="1"/>
  <c r="I411" i="1" s="1"/>
  <c r="E412" i="1" s="1"/>
  <c r="C1018" i="1" l="1"/>
  <c r="D1018" i="1" s="1"/>
  <c r="B1019" i="1"/>
  <c r="B1020" i="1" l="1"/>
  <c r="C1019" i="1"/>
  <c r="D1019" i="1" s="1"/>
  <c r="G412" i="1"/>
  <c r="H412" i="1"/>
  <c r="B1021" i="1" l="1"/>
  <c r="C1020" i="1"/>
  <c r="D1020" i="1" s="1"/>
  <c r="F412" i="1"/>
  <c r="I412" i="1" s="1"/>
  <c r="E413" i="1" s="1"/>
  <c r="C1021" i="1" l="1"/>
  <c r="D1021" i="1" s="1"/>
  <c r="B1022" i="1"/>
  <c r="B1023" i="1" l="1"/>
  <c r="C1022" i="1"/>
  <c r="D1022" i="1" s="1"/>
  <c r="H413" i="1"/>
  <c r="G413" i="1"/>
  <c r="C1023" i="1" l="1"/>
  <c r="D1023" i="1" s="1"/>
  <c r="B1024" i="1"/>
  <c r="F413" i="1"/>
  <c r="I413" i="1" s="1"/>
  <c r="E414" i="1" s="1"/>
  <c r="C1024" i="1" l="1"/>
  <c r="D1024" i="1" s="1"/>
  <c r="B1025" i="1"/>
  <c r="H414" i="1"/>
  <c r="G414" i="1"/>
  <c r="B1026" i="1" l="1"/>
  <c r="C1025" i="1"/>
  <c r="D1025" i="1" s="1"/>
  <c r="F414" i="1"/>
  <c r="C1026" i="1" l="1"/>
  <c r="D1026" i="1" s="1"/>
  <c r="B1027" i="1"/>
  <c r="I414" i="1"/>
  <c r="E415" i="1" s="1"/>
  <c r="B1028" i="1" l="1"/>
  <c r="C1027" i="1"/>
  <c r="D1027" i="1" s="1"/>
  <c r="H415" i="1"/>
  <c r="F415" i="1" s="1"/>
  <c r="G415" i="1"/>
  <c r="B1029" i="1" l="1"/>
  <c r="C1028" i="1"/>
  <c r="D1028" i="1" s="1"/>
  <c r="I415" i="1"/>
  <c r="E416" i="1" s="1"/>
  <c r="B1030" i="1" l="1"/>
  <c r="C1029" i="1"/>
  <c r="D1029" i="1" s="1"/>
  <c r="H416" i="1"/>
  <c r="G416" i="1"/>
  <c r="B1031" i="1" l="1"/>
  <c r="C1030" i="1"/>
  <c r="D1030" i="1" s="1"/>
  <c r="F416" i="1"/>
  <c r="I416" i="1" s="1"/>
  <c r="E417" i="1" s="1"/>
  <c r="C1031" i="1" l="1"/>
  <c r="D1031" i="1" s="1"/>
  <c r="B1032" i="1"/>
  <c r="C1032" i="1" l="1"/>
  <c r="D1032" i="1" s="1"/>
  <c r="B1033" i="1"/>
  <c r="G417" i="1"/>
  <c r="H417" i="1"/>
  <c r="C1033" i="1" l="1"/>
  <c r="D1033" i="1" s="1"/>
  <c r="B1034" i="1"/>
  <c r="F417" i="1"/>
  <c r="I417" i="1" s="1"/>
  <c r="E418" i="1" s="1"/>
  <c r="B1035" i="1" l="1"/>
  <c r="C1034" i="1"/>
  <c r="D1034" i="1" s="1"/>
  <c r="C1035" i="1" l="1"/>
  <c r="D1035" i="1" s="1"/>
  <c r="B1036" i="1"/>
  <c r="G418" i="1"/>
  <c r="H418" i="1"/>
  <c r="C1036" i="1" l="1"/>
  <c r="D1036" i="1" s="1"/>
  <c r="B1037" i="1"/>
  <c r="F418" i="1"/>
  <c r="I418" i="1" s="1"/>
  <c r="E419" i="1" s="1"/>
  <c r="C1037" i="1" l="1"/>
  <c r="D1037" i="1" s="1"/>
  <c r="B1038" i="1"/>
  <c r="C1038" i="1" l="1"/>
  <c r="D1038" i="1" s="1"/>
  <c r="B1039" i="1"/>
  <c r="H419" i="1"/>
  <c r="G419" i="1"/>
  <c r="B1040" i="1" l="1"/>
  <c r="C1039" i="1"/>
  <c r="D1039" i="1" s="1"/>
  <c r="F419" i="1"/>
  <c r="I419" i="1" s="1"/>
  <c r="E420" i="1" s="1"/>
  <c r="B1041" i="1" l="1"/>
  <c r="C1040" i="1"/>
  <c r="D1040" i="1" s="1"/>
  <c r="B1042" i="1" l="1"/>
  <c r="C1041" i="1"/>
  <c r="D1041" i="1" s="1"/>
  <c r="H420" i="1"/>
  <c r="G420" i="1"/>
  <c r="B1043" i="1" l="1"/>
  <c r="C1042" i="1"/>
  <c r="D1042" i="1" s="1"/>
  <c r="F420" i="1"/>
  <c r="I420" i="1" s="1"/>
  <c r="E421" i="1" s="1"/>
  <c r="C1043" i="1" l="1"/>
  <c r="D1043" i="1" s="1"/>
  <c r="B1044" i="1"/>
  <c r="C1044" i="1" l="1"/>
  <c r="D1044" i="1" s="1"/>
  <c r="B1045" i="1"/>
  <c r="H421" i="1"/>
  <c r="G421" i="1"/>
  <c r="C1045" i="1" l="1"/>
  <c r="D1045" i="1" s="1"/>
  <c r="B1046" i="1"/>
  <c r="F421" i="1"/>
  <c r="I421" i="1" s="1"/>
  <c r="E422" i="1" s="1"/>
  <c r="B1047" i="1" l="1"/>
  <c r="C1046" i="1"/>
  <c r="D1046" i="1" s="1"/>
  <c r="G422" i="1"/>
  <c r="H422" i="1"/>
  <c r="C1047" i="1" l="1"/>
  <c r="D1047" i="1" s="1"/>
  <c r="B1048" i="1"/>
  <c r="F422" i="1"/>
  <c r="I422" i="1" s="1"/>
  <c r="E423" i="1" s="1"/>
  <c r="C1048" i="1" l="1"/>
  <c r="D1048" i="1" s="1"/>
  <c r="B1049" i="1"/>
  <c r="H423" i="1"/>
  <c r="G423" i="1"/>
  <c r="B1050" i="1" l="1"/>
  <c r="C1049" i="1"/>
  <c r="D1049" i="1" s="1"/>
  <c r="F423" i="1"/>
  <c r="C1050" i="1" l="1"/>
  <c r="D1050" i="1" s="1"/>
  <c r="B1051" i="1"/>
  <c r="I423" i="1"/>
  <c r="E424" i="1" s="1"/>
  <c r="C1051" i="1" l="1"/>
  <c r="D1051" i="1" s="1"/>
  <c r="B1052" i="1"/>
  <c r="H424" i="1"/>
  <c r="F424" i="1" s="1"/>
  <c r="G424" i="1"/>
  <c r="B1053" i="1" l="1"/>
  <c r="C1052" i="1"/>
  <c r="D1052" i="1" s="1"/>
  <c r="I424" i="1"/>
  <c r="E425" i="1" s="1"/>
  <c r="C1053" i="1" l="1"/>
  <c r="D1053" i="1" s="1"/>
  <c r="B1054" i="1"/>
  <c r="G425" i="1"/>
  <c r="H425" i="1"/>
  <c r="C1054" i="1" l="1"/>
  <c r="D1054" i="1" s="1"/>
  <c r="B1055" i="1"/>
  <c r="F425" i="1"/>
  <c r="I425" i="1" s="1"/>
  <c r="E426" i="1" s="1"/>
  <c r="C1055" i="1" l="1"/>
  <c r="D1055" i="1" s="1"/>
  <c r="B1056" i="1"/>
  <c r="H426" i="1"/>
  <c r="G426" i="1"/>
  <c r="C1056" i="1" l="1"/>
  <c r="D1056" i="1" s="1"/>
  <c r="B1057" i="1"/>
  <c r="F426" i="1"/>
  <c r="C1057" i="1" l="1"/>
  <c r="D1057" i="1" s="1"/>
  <c r="B1058" i="1"/>
  <c r="I426" i="1"/>
  <c r="E427" i="1" s="1"/>
  <c r="B1059" i="1" l="1"/>
  <c r="C1058" i="1"/>
  <c r="D1058" i="1" s="1"/>
  <c r="H427" i="1"/>
  <c r="G427" i="1"/>
  <c r="F427" i="1"/>
  <c r="C1059" i="1" l="1"/>
  <c r="D1059" i="1" s="1"/>
  <c r="B1060" i="1"/>
  <c r="I427" i="1"/>
  <c r="E428" i="1" s="1"/>
  <c r="B1061" i="1" l="1"/>
  <c r="C1060" i="1"/>
  <c r="D1060" i="1" s="1"/>
  <c r="H428" i="1"/>
  <c r="G428" i="1"/>
  <c r="C1061" i="1" l="1"/>
  <c r="D1061" i="1" s="1"/>
  <c r="B1062" i="1"/>
  <c r="F428" i="1"/>
  <c r="I428" i="1" s="1"/>
  <c r="E429" i="1" s="1"/>
  <c r="C1062" i="1" l="1"/>
  <c r="D1062" i="1" s="1"/>
  <c r="B1063" i="1"/>
  <c r="C1063" i="1" l="1"/>
  <c r="D1063" i="1" s="1"/>
  <c r="B1064" i="1"/>
  <c r="G429" i="1"/>
  <c r="H429" i="1"/>
  <c r="C1064" i="1" l="1"/>
  <c r="D1064" i="1" s="1"/>
  <c r="B1065" i="1"/>
  <c r="F429" i="1"/>
  <c r="I429" i="1" s="1"/>
  <c r="E430" i="1" s="1"/>
  <c r="C1065" i="1" l="1"/>
  <c r="D1065" i="1" s="1"/>
  <c r="B1066" i="1"/>
  <c r="B1067" i="1" l="1"/>
  <c r="C1066" i="1"/>
  <c r="D1066" i="1" s="1"/>
  <c r="H430" i="1"/>
  <c r="G430" i="1"/>
  <c r="C1067" i="1" l="1"/>
  <c r="D1067" i="1" s="1"/>
  <c r="B1068" i="1"/>
  <c r="F430" i="1"/>
  <c r="I430" i="1" s="1"/>
  <c r="E431" i="1" s="1"/>
  <c r="C1068" i="1" l="1"/>
  <c r="D1068" i="1" s="1"/>
  <c r="B1069" i="1"/>
  <c r="C1069" i="1" l="1"/>
  <c r="D1069" i="1" s="1"/>
  <c r="B1070" i="1"/>
  <c r="G431" i="1"/>
  <c r="H431" i="1"/>
  <c r="B1071" i="1" l="1"/>
  <c r="C1070" i="1"/>
  <c r="D1070" i="1" s="1"/>
  <c r="F431" i="1"/>
  <c r="I431" i="1" s="1"/>
  <c r="E432" i="1" s="1"/>
  <c r="C1071" i="1" l="1"/>
  <c r="D1071" i="1" s="1"/>
  <c r="B1072" i="1"/>
  <c r="C1072" i="1" l="1"/>
  <c r="D1072" i="1" s="1"/>
  <c r="B1073" i="1"/>
  <c r="H432" i="1"/>
  <c r="G432" i="1"/>
  <c r="C1073" i="1" l="1"/>
  <c r="D1073" i="1" s="1"/>
  <c r="B1074" i="1"/>
  <c r="F432" i="1"/>
  <c r="I432" i="1" s="1"/>
  <c r="E433" i="1" s="1"/>
  <c r="B1075" i="1" l="1"/>
  <c r="C1074" i="1"/>
  <c r="D1074" i="1" s="1"/>
  <c r="C1075" i="1" l="1"/>
  <c r="D1075" i="1" s="1"/>
  <c r="B1076" i="1"/>
  <c r="H433" i="1"/>
  <c r="G433" i="1"/>
  <c r="B1077" i="1" l="1"/>
  <c r="C1076" i="1"/>
  <c r="D1076" i="1" s="1"/>
  <c r="F433" i="1"/>
  <c r="I433" i="1" s="1"/>
  <c r="E434" i="1" s="1"/>
  <c r="B1078" i="1" l="1"/>
  <c r="C1077" i="1"/>
  <c r="D1077" i="1" s="1"/>
  <c r="C1078" i="1" l="1"/>
  <c r="D1078" i="1" s="1"/>
  <c r="B1079" i="1"/>
  <c r="G434" i="1"/>
  <c r="H434" i="1"/>
  <c r="C1079" i="1" l="1"/>
  <c r="D1079" i="1" s="1"/>
  <c r="B1080" i="1"/>
  <c r="F434" i="1"/>
  <c r="I434" i="1" s="1"/>
  <c r="E435" i="1" s="1"/>
  <c r="B1081" i="1" l="1"/>
  <c r="C1080" i="1"/>
  <c r="D1080" i="1" s="1"/>
  <c r="C1081" i="1" l="1"/>
  <c r="D1081" i="1" s="1"/>
  <c r="B1082" i="1"/>
  <c r="G435" i="1"/>
  <c r="H435" i="1"/>
  <c r="C1082" i="1" l="1"/>
  <c r="D1082" i="1" s="1"/>
  <c r="B1083" i="1"/>
  <c r="F435" i="1"/>
  <c r="C1083" i="1" l="1"/>
  <c r="D1083" i="1" s="1"/>
  <c r="B1084" i="1"/>
  <c r="I435" i="1"/>
  <c r="E436" i="1" s="1"/>
  <c r="B1085" i="1" l="1"/>
  <c r="C1084" i="1"/>
  <c r="D1084" i="1" s="1"/>
  <c r="G436" i="1"/>
  <c r="H436" i="1"/>
  <c r="F436" i="1" s="1"/>
  <c r="C1085" i="1" l="1"/>
  <c r="D1085" i="1" s="1"/>
  <c r="B1086" i="1"/>
  <c r="I436" i="1"/>
  <c r="E437" i="1" s="1"/>
  <c r="B1087" i="1" l="1"/>
  <c r="C1086" i="1"/>
  <c r="D1086" i="1" s="1"/>
  <c r="G437" i="1"/>
  <c r="H437" i="1"/>
  <c r="C1087" i="1" l="1"/>
  <c r="D1087" i="1" s="1"/>
  <c r="B1088" i="1"/>
  <c r="F437" i="1"/>
  <c r="I437" i="1" s="1"/>
  <c r="E438" i="1" s="1"/>
  <c r="C1088" i="1" l="1"/>
  <c r="D1088" i="1" s="1"/>
  <c r="B1089" i="1"/>
  <c r="B1090" i="1" l="1"/>
  <c r="C1089" i="1"/>
  <c r="D1089" i="1" s="1"/>
  <c r="G438" i="1"/>
  <c r="H438" i="1"/>
  <c r="B1091" i="1" l="1"/>
  <c r="C1090" i="1"/>
  <c r="D1090" i="1" s="1"/>
  <c r="F438" i="1"/>
  <c r="I438" i="1" s="1"/>
  <c r="E439" i="1" s="1"/>
  <c r="C1091" i="1" l="1"/>
  <c r="D1091" i="1" s="1"/>
  <c r="B1092" i="1"/>
  <c r="B1093" i="1" l="1"/>
  <c r="C1092" i="1"/>
  <c r="D1092" i="1" s="1"/>
  <c r="G439" i="1"/>
  <c r="H439" i="1"/>
  <c r="C1093" i="1" l="1"/>
  <c r="D1093" i="1" s="1"/>
  <c r="B1094" i="1"/>
  <c r="F439" i="1"/>
  <c r="I439" i="1" s="1"/>
  <c r="E440" i="1" s="1"/>
  <c r="B1095" i="1" l="1"/>
  <c r="C1094" i="1"/>
  <c r="D1094" i="1" s="1"/>
  <c r="B1096" i="1" l="1"/>
  <c r="C1095" i="1"/>
  <c r="D1095" i="1" s="1"/>
  <c r="H440" i="1"/>
  <c r="G440" i="1"/>
  <c r="B1097" i="1" l="1"/>
  <c r="C1096" i="1"/>
  <c r="D1096" i="1" s="1"/>
  <c r="F440" i="1"/>
  <c r="I440" i="1" s="1"/>
  <c r="E441" i="1" s="1"/>
  <c r="C1097" i="1" l="1"/>
  <c r="D1097" i="1" s="1"/>
  <c r="B1098" i="1"/>
  <c r="C1098" i="1" l="1"/>
  <c r="D1098" i="1" s="1"/>
  <c r="B1099" i="1"/>
  <c r="G441" i="1"/>
  <c r="H441" i="1"/>
  <c r="C1099" i="1" l="1"/>
  <c r="D1099" i="1" s="1"/>
  <c r="B1100" i="1"/>
  <c r="F441" i="1"/>
  <c r="I441" i="1" s="1"/>
  <c r="E442" i="1" s="1"/>
  <c r="B1101" i="1" l="1"/>
  <c r="C1100" i="1"/>
  <c r="D1100" i="1" s="1"/>
  <c r="B1102" i="1" l="1"/>
  <c r="C1101" i="1"/>
  <c r="D1101" i="1" s="1"/>
  <c r="H442" i="1"/>
  <c r="G442" i="1"/>
  <c r="B1103" i="1" l="1"/>
  <c r="C1102" i="1"/>
  <c r="D1102" i="1" s="1"/>
  <c r="F442" i="1"/>
  <c r="I442" i="1" s="1"/>
  <c r="E443" i="1" s="1"/>
  <c r="B1104" i="1" l="1"/>
  <c r="C1103" i="1"/>
  <c r="D1103" i="1" s="1"/>
  <c r="B1105" i="1" l="1"/>
  <c r="C1104" i="1"/>
  <c r="D1104" i="1" s="1"/>
  <c r="H443" i="1"/>
  <c r="G443" i="1"/>
  <c r="B1106" i="1" l="1"/>
  <c r="C1105" i="1"/>
  <c r="D1105" i="1" s="1"/>
  <c r="F443" i="1"/>
  <c r="I443" i="1" s="1"/>
  <c r="E444" i="1" s="1"/>
  <c r="C1106" i="1" l="1"/>
  <c r="D1106" i="1" s="1"/>
  <c r="B1107" i="1"/>
  <c r="C1107" i="1" l="1"/>
  <c r="D1107" i="1" s="1"/>
  <c r="B1108" i="1"/>
  <c r="H444" i="1"/>
  <c r="G444" i="1"/>
  <c r="C1108" i="1" l="1"/>
  <c r="D1108" i="1" s="1"/>
  <c r="B1109" i="1"/>
  <c r="F444" i="1"/>
  <c r="I444" i="1" s="1"/>
  <c r="E445" i="1" s="1"/>
  <c r="C1109" i="1" l="1"/>
  <c r="D1109" i="1" s="1"/>
  <c r="B1110" i="1"/>
  <c r="C1110" i="1" l="1"/>
  <c r="D1110" i="1" s="1"/>
  <c r="B1111" i="1"/>
  <c r="H445" i="1"/>
  <c r="G445" i="1"/>
  <c r="C1111" i="1" l="1"/>
  <c r="D1111" i="1" s="1"/>
  <c r="B1112" i="1"/>
  <c r="F445" i="1"/>
  <c r="I445" i="1" s="1"/>
  <c r="E446" i="1" s="1"/>
  <c r="C1112" i="1" l="1"/>
  <c r="D1112" i="1" s="1"/>
  <c r="B1113" i="1"/>
  <c r="C1113" i="1" l="1"/>
  <c r="D1113" i="1" s="1"/>
  <c r="B1114" i="1"/>
  <c r="H446" i="1"/>
  <c r="G446" i="1"/>
  <c r="C1114" i="1" l="1"/>
  <c r="D1114" i="1" s="1"/>
  <c r="B1115" i="1"/>
  <c r="F446" i="1"/>
  <c r="I446" i="1" s="1"/>
  <c r="E447" i="1" s="1"/>
  <c r="B1116" i="1" l="1"/>
  <c r="C1115" i="1"/>
  <c r="D1115" i="1" s="1"/>
  <c r="C1116" i="1" l="1"/>
  <c r="D1116" i="1" s="1"/>
  <c r="B1117" i="1"/>
  <c r="H447" i="1"/>
  <c r="G447" i="1"/>
  <c r="B1118" i="1" l="1"/>
  <c r="C1117" i="1"/>
  <c r="D1117" i="1" s="1"/>
  <c r="F447" i="1"/>
  <c r="I447" i="1" s="1"/>
  <c r="E448" i="1" s="1"/>
  <c r="C1118" i="1" l="1"/>
  <c r="D1118" i="1" s="1"/>
  <c r="B1119" i="1"/>
  <c r="C1119" i="1" l="1"/>
  <c r="D1119" i="1" s="1"/>
  <c r="B1120" i="1"/>
  <c r="G448" i="1"/>
  <c r="H448" i="1"/>
  <c r="B1121" i="1" l="1"/>
  <c r="C1120" i="1"/>
  <c r="D1120" i="1" s="1"/>
  <c r="F448" i="1"/>
  <c r="C1121" i="1" l="1"/>
  <c r="D1121" i="1" s="1"/>
  <c r="B1122" i="1"/>
  <c r="I448" i="1"/>
  <c r="E449" i="1" s="1"/>
  <c r="C1122" i="1" l="1"/>
  <c r="D1122" i="1" s="1"/>
  <c r="B1123" i="1"/>
  <c r="G449" i="1"/>
  <c r="H449" i="1"/>
  <c r="F449" i="1" s="1"/>
  <c r="C1123" i="1" l="1"/>
  <c r="D1123" i="1" s="1"/>
  <c r="B1124" i="1"/>
  <c r="I449" i="1"/>
  <c r="E450" i="1" s="1"/>
  <c r="B1125" i="1" l="1"/>
  <c r="C1124" i="1"/>
  <c r="D1124" i="1" s="1"/>
  <c r="G450" i="1"/>
  <c r="H450" i="1"/>
  <c r="C1125" i="1" l="1"/>
  <c r="D1125" i="1" s="1"/>
  <c r="B1126" i="1"/>
  <c r="F450" i="1"/>
  <c r="C1126" i="1" l="1"/>
  <c r="D1126" i="1" s="1"/>
  <c r="B1127" i="1"/>
  <c r="I450" i="1"/>
  <c r="E451" i="1" s="1"/>
  <c r="C1127" i="1" l="1"/>
  <c r="D1127" i="1" s="1"/>
  <c r="B1128" i="1"/>
  <c r="H451" i="1"/>
  <c r="F451" i="1" s="1"/>
  <c r="G451" i="1"/>
  <c r="C1128" i="1" l="1"/>
  <c r="D1128" i="1" s="1"/>
  <c r="B1129" i="1"/>
  <c r="I451" i="1"/>
  <c r="E452" i="1" s="1"/>
  <c r="C1129" i="1" l="1"/>
  <c r="D1129" i="1" s="1"/>
  <c r="B1130" i="1"/>
  <c r="H452" i="1"/>
  <c r="G452" i="1"/>
  <c r="F452" i="1"/>
  <c r="C1130" i="1" l="1"/>
  <c r="D1130" i="1" s="1"/>
  <c r="B1131" i="1"/>
  <c r="I452" i="1"/>
  <c r="E453" i="1" s="1"/>
  <c r="C1131" i="1" l="1"/>
  <c r="D1131" i="1" s="1"/>
  <c r="B1132" i="1"/>
  <c r="H453" i="1"/>
  <c r="F453" i="1" s="1"/>
  <c r="G453" i="1"/>
  <c r="C1132" i="1" l="1"/>
  <c r="D1132" i="1" s="1"/>
  <c r="B1133" i="1"/>
  <c r="I453" i="1"/>
  <c r="E454" i="1" s="1"/>
  <c r="C1133" i="1" l="1"/>
  <c r="D1133" i="1" s="1"/>
  <c r="B1134" i="1"/>
  <c r="H454" i="1"/>
  <c r="G454" i="1"/>
  <c r="C1134" i="1" l="1"/>
  <c r="D1134" i="1" s="1"/>
  <c r="B1135" i="1"/>
  <c r="F454" i="1"/>
  <c r="I454" i="1" s="1"/>
  <c r="E455" i="1" s="1"/>
  <c r="C1135" i="1" l="1"/>
  <c r="D1135" i="1" s="1"/>
  <c r="B1136" i="1"/>
  <c r="B1137" i="1" l="1"/>
  <c r="C1136" i="1"/>
  <c r="D1136" i="1" s="1"/>
  <c r="H455" i="1"/>
  <c r="G455" i="1"/>
  <c r="C1137" i="1" l="1"/>
  <c r="D1137" i="1" s="1"/>
  <c r="B1138" i="1"/>
  <c r="F455" i="1"/>
  <c r="I455" i="1" s="1"/>
  <c r="E456" i="1" s="1"/>
  <c r="B1139" i="1" l="1"/>
  <c r="C1138" i="1"/>
  <c r="D1138" i="1" s="1"/>
  <c r="C1139" i="1" l="1"/>
  <c r="D1139" i="1" s="1"/>
  <c r="B1140" i="1"/>
  <c r="H456" i="1"/>
  <c r="G456" i="1"/>
  <c r="B1141" i="1" l="1"/>
  <c r="C1140" i="1"/>
  <c r="D1140" i="1" s="1"/>
  <c r="F456" i="1"/>
  <c r="C1141" i="1" l="1"/>
  <c r="D1141" i="1" s="1"/>
  <c r="B1142" i="1"/>
  <c r="I456" i="1"/>
  <c r="E457" i="1" s="1"/>
  <c r="C1142" i="1" l="1"/>
  <c r="D1142" i="1" s="1"/>
  <c r="B1143" i="1"/>
  <c r="G457" i="1"/>
  <c r="H457" i="1"/>
  <c r="F457" i="1" s="1"/>
  <c r="B1144" i="1" l="1"/>
  <c r="C1143" i="1"/>
  <c r="D1143" i="1" s="1"/>
  <c r="I457" i="1"/>
  <c r="E458" i="1" s="1"/>
  <c r="B1145" i="1" l="1"/>
  <c r="C1144" i="1"/>
  <c r="D1144" i="1" s="1"/>
  <c r="H458" i="1"/>
  <c r="G458" i="1"/>
  <c r="C1145" i="1" l="1"/>
  <c r="D1145" i="1" s="1"/>
  <c r="B1146" i="1"/>
  <c r="F458" i="1"/>
  <c r="I458" i="1" s="1"/>
  <c r="E459" i="1" s="1"/>
  <c r="C1146" i="1" l="1"/>
  <c r="D1146" i="1" s="1"/>
  <c r="B1147" i="1"/>
  <c r="B1148" i="1" l="1"/>
  <c r="C1147" i="1"/>
  <c r="D1147" i="1" s="1"/>
  <c r="H459" i="1"/>
  <c r="G459" i="1"/>
  <c r="B1149" i="1" l="1"/>
  <c r="C1148" i="1"/>
  <c r="D1148" i="1" s="1"/>
  <c r="F459" i="1"/>
  <c r="I459" i="1" s="1"/>
  <c r="E460" i="1" s="1"/>
  <c r="C1149" i="1" l="1"/>
  <c r="D1149" i="1" s="1"/>
  <c r="B1150" i="1"/>
  <c r="B1151" i="1" l="1"/>
  <c r="C1150" i="1"/>
  <c r="D1150" i="1" s="1"/>
  <c r="H460" i="1"/>
  <c r="G460" i="1"/>
  <c r="B1152" i="1" l="1"/>
  <c r="C1151" i="1"/>
  <c r="D1151" i="1" s="1"/>
  <c r="F460" i="1"/>
  <c r="C1152" i="1" l="1"/>
  <c r="D1152" i="1" s="1"/>
  <c r="B1153" i="1"/>
  <c r="I460" i="1"/>
  <c r="E461" i="1" s="1"/>
  <c r="B1154" i="1" l="1"/>
  <c r="C1153" i="1"/>
  <c r="D1153" i="1" s="1"/>
  <c r="G461" i="1"/>
  <c r="H461" i="1"/>
  <c r="F461" i="1" s="1"/>
  <c r="B1155" i="1" l="1"/>
  <c r="C1154" i="1"/>
  <c r="D1154" i="1" s="1"/>
  <c r="I461" i="1"/>
  <c r="E462" i="1" s="1"/>
  <c r="C1155" i="1" l="1"/>
  <c r="D1155" i="1" s="1"/>
  <c r="B1156" i="1"/>
  <c r="H462" i="1"/>
  <c r="F462" i="1" s="1"/>
  <c r="G462" i="1"/>
  <c r="C1156" i="1" l="1"/>
  <c r="D1156" i="1" s="1"/>
  <c r="B1157" i="1"/>
  <c r="I462" i="1"/>
  <c r="E463" i="1" s="1"/>
  <c r="C1157" i="1" l="1"/>
  <c r="D1157" i="1" s="1"/>
  <c r="B1158" i="1"/>
  <c r="H463" i="1"/>
  <c r="G463" i="1"/>
  <c r="B1159" i="1" l="1"/>
  <c r="C1158" i="1"/>
  <c r="D1158" i="1" s="1"/>
  <c r="F463" i="1"/>
  <c r="I463" i="1" s="1"/>
  <c r="E464" i="1" s="1"/>
  <c r="C1159" i="1" l="1"/>
  <c r="D1159" i="1" s="1"/>
  <c r="B1160" i="1"/>
  <c r="B1161" i="1" l="1"/>
  <c r="C1160" i="1"/>
  <c r="D1160" i="1" s="1"/>
  <c r="G464" i="1"/>
  <c r="H464" i="1"/>
  <c r="C1161" i="1" l="1"/>
  <c r="D1161" i="1" s="1"/>
  <c r="B1162" i="1"/>
  <c r="F464" i="1"/>
  <c r="I464" i="1" s="1"/>
  <c r="E465" i="1" s="1"/>
  <c r="C1162" i="1" l="1"/>
  <c r="D1162" i="1" s="1"/>
  <c r="B1163" i="1"/>
  <c r="C1163" i="1" l="1"/>
  <c r="D1163" i="1" s="1"/>
  <c r="B1164" i="1"/>
  <c r="H465" i="1"/>
  <c r="G465" i="1"/>
  <c r="B1165" i="1" l="1"/>
  <c r="C1164" i="1"/>
  <c r="D1164" i="1" s="1"/>
  <c r="F465" i="1"/>
  <c r="I465" i="1" s="1"/>
  <c r="E466" i="1" s="1"/>
  <c r="C1165" i="1" l="1"/>
  <c r="D1165" i="1" s="1"/>
  <c r="B1166" i="1"/>
  <c r="B1167" i="1" l="1"/>
  <c r="C1166" i="1"/>
  <c r="D1166" i="1" s="1"/>
  <c r="G466" i="1"/>
  <c r="H466" i="1"/>
  <c r="C1167" i="1" l="1"/>
  <c r="D1167" i="1" s="1"/>
  <c r="B1168" i="1"/>
  <c r="F466" i="1"/>
  <c r="C1168" i="1" l="1"/>
  <c r="D1168" i="1" s="1"/>
  <c r="B1169" i="1"/>
  <c r="I466" i="1"/>
  <c r="E467" i="1" s="1"/>
  <c r="C1169" i="1" l="1"/>
  <c r="D1169" i="1" s="1"/>
  <c r="B1170" i="1"/>
  <c r="H467" i="1"/>
  <c r="F467" i="1" s="1"/>
  <c r="G467" i="1"/>
  <c r="B1171" i="1" l="1"/>
  <c r="C1170" i="1"/>
  <c r="D1170" i="1" s="1"/>
  <c r="I467" i="1"/>
  <c r="E468" i="1" s="1"/>
  <c r="B1172" i="1" l="1"/>
  <c r="C1171" i="1"/>
  <c r="D1171" i="1" s="1"/>
  <c r="G468" i="1"/>
  <c r="H468" i="1"/>
  <c r="C1172" i="1" l="1"/>
  <c r="D1172" i="1" s="1"/>
  <c r="B1173" i="1"/>
  <c r="F468" i="1"/>
  <c r="I468" i="1" s="1"/>
  <c r="E469" i="1" s="1"/>
  <c r="C1173" i="1" l="1"/>
  <c r="D1173" i="1" s="1"/>
  <c r="B1174" i="1"/>
  <c r="C1174" i="1" l="1"/>
  <c r="D1174" i="1" s="1"/>
  <c r="B1175" i="1"/>
  <c r="G469" i="1"/>
  <c r="H469" i="1"/>
  <c r="C1175" i="1" l="1"/>
  <c r="D1175" i="1" s="1"/>
  <c r="B1176" i="1"/>
  <c r="F469" i="1"/>
  <c r="I469" i="1" s="1"/>
  <c r="E470" i="1" s="1"/>
  <c r="B1177" i="1" l="1"/>
  <c r="C1176" i="1"/>
  <c r="D1176" i="1" s="1"/>
  <c r="C1177" i="1" l="1"/>
  <c r="D1177" i="1" s="1"/>
  <c r="B1178" i="1"/>
  <c r="H470" i="1"/>
  <c r="G470" i="1"/>
  <c r="C1178" i="1" l="1"/>
  <c r="D1178" i="1" s="1"/>
  <c r="B1179" i="1"/>
  <c r="F470" i="1"/>
  <c r="B1180" i="1" l="1"/>
  <c r="C1179" i="1"/>
  <c r="D1179" i="1" s="1"/>
  <c r="I470" i="1"/>
  <c r="E471" i="1" s="1"/>
  <c r="B1181" i="1" l="1"/>
  <c r="C1180" i="1"/>
  <c r="D1180" i="1" s="1"/>
  <c r="H471" i="1"/>
  <c r="G471" i="1"/>
  <c r="F471" i="1"/>
  <c r="C1181" i="1" l="1"/>
  <c r="D1181" i="1" s="1"/>
  <c r="B1182" i="1"/>
  <c r="I471" i="1"/>
  <c r="E472" i="1" s="1"/>
  <c r="C1182" i="1" l="1"/>
  <c r="D1182" i="1" s="1"/>
  <c r="B1183" i="1"/>
  <c r="G472" i="1"/>
  <c r="H472" i="1"/>
  <c r="B1184" i="1" l="1"/>
  <c r="C1183" i="1"/>
  <c r="D1183" i="1" s="1"/>
  <c r="F472" i="1"/>
  <c r="I472" i="1" s="1"/>
  <c r="E473" i="1" s="1"/>
  <c r="B1185" i="1" l="1"/>
  <c r="C1184" i="1"/>
  <c r="D1184" i="1" s="1"/>
  <c r="C1185" i="1" l="1"/>
  <c r="D1185" i="1" s="1"/>
  <c r="B1186" i="1"/>
  <c r="G473" i="1"/>
  <c r="H473" i="1"/>
  <c r="B1187" i="1" l="1"/>
  <c r="C1186" i="1"/>
  <c r="D1186" i="1" s="1"/>
  <c r="F473" i="1"/>
  <c r="C1187" i="1" l="1"/>
  <c r="D1187" i="1" s="1"/>
  <c r="B1188" i="1"/>
  <c r="I473" i="1"/>
  <c r="E474" i="1" s="1"/>
  <c r="B1189" i="1" l="1"/>
  <c r="C1188" i="1"/>
  <c r="D1188" i="1" s="1"/>
  <c r="H474" i="1"/>
  <c r="G474" i="1"/>
  <c r="F474" i="1"/>
  <c r="B1190" i="1" l="1"/>
  <c r="C1189" i="1"/>
  <c r="D1189" i="1" s="1"/>
  <c r="I474" i="1"/>
  <c r="E475" i="1" s="1"/>
  <c r="C1190" i="1" l="1"/>
  <c r="D1190" i="1" s="1"/>
  <c r="B1191" i="1"/>
  <c r="H475" i="1"/>
  <c r="F475" i="1" s="1"/>
  <c r="G475" i="1"/>
  <c r="C1191" i="1" l="1"/>
  <c r="D1191" i="1" s="1"/>
  <c r="B1192" i="1"/>
  <c r="I475" i="1"/>
  <c r="E476" i="1" s="1"/>
  <c r="C1192" i="1" l="1"/>
  <c r="D1192" i="1" s="1"/>
  <c r="B1193" i="1"/>
  <c r="G476" i="1"/>
  <c r="H476" i="1"/>
  <c r="F476" i="1" s="1"/>
  <c r="C1193" i="1" l="1"/>
  <c r="D1193" i="1" s="1"/>
  <c r="B1194" i="1"/>
  <c r="I476" i="1"/>
  <c r="E477" i="1" s="1"/>
  <c r="C1194" i="1" l="1"/>
  <c r="D1194" i="1" s="1"/>
  <c r="B1195" i="1"/>
  <c r="H477" i="1"/>
  <c r="G477" i="1"/>
  <c r="C1195" i="1" l="1"/>
  <c r="D1195" i="1" s="1"/>
  <c r="B1196" i="1"/>
  <c r="F477" i="1"/>
  <c r="I477" i="1" s="1"/>
  <c r="E478" i="1" s="1"/>
  <c r="C1196" i="1" l="1"/>
  <c r="D1196" i="1" s="1"/>
  <c r="B1197" i="1"/>
  <c r="H478" i="1"/>
  <c r="G478" i="1"/>
  <c r="B1198" i="1" l="1"/>
  <c r="C1197" i="1"/>
  <c r="D1197" i="1" s="1"/>
  <c r="F478" i="1"/>
  <c r="I478" i="1" s="1"/>
  <c r="E479" i="1" s="1"/>
  <c r="C1198" i="1" l="1"/>
  <c r="D1198" i="1" s="1"/>
  <c r="B1199" i="1"/>
  <c r="H479" i="1"/>
  <c r="G479" i="1"/>
  <c r="C1199" i="1" l="1"/>
  <c r="D1199" i="1" s="1"/>
  <c r="B1200" i="1"/>
  <c r="F479" i="1"/>
  <c r="B1201" i="1" l="1"/>
  <c r="C1200" i="1"/>
  <c r="D1200" i="1" s="1"/>
  <c r="I479" i="1"/>
  <c r="E480" i="1" s="1"/>
  <c r="B1202" i="1" l="1"/>
  <c r="C1201" i="1"/>
  <c r="D1201" i="1" s="1"/>
  <c r="G480" i="1"/>
  <c r="H480" i="1"/>
  <c r="F480" i="1" s="1"/>
  <c r="C1202" i="1" l="1"/>
  <c r="D1202" i="1" s="1"/>
  <c r="B1203" i="1"/>
  <c r="I480" i="1"/>
  <c r="E481" i="1" s="1"/>
  <c r="C1203" i="1" l="1"/>
  <c r="D1203" i="1" s="1"/>
  <c r="B1204" i="1"/>
  <c r="H481" i="1"/>
  <c r="F481" i="1" s="1"/>
  <c r="G481" i="1"/>
  <c r="C1204" i="1" l="1"/>
  <c r="D1204" i="1" s="1"/>
  <c r="B1205" i="1"/>
  <c r="I481" i="1"/>
  <c r="E482" i="1" s="1"/>
  <c r="C1205" i="1" l="1"/>
  <c r="D1205" i="1" s="1"/>
  <c r="B1206" i="1"/>
  <c r="G482" i="1"/>
  <c r="H482" i="1"/>
  <c r="F482" i="1" s="1"/>
  <c r="C1206" i="1" l="1"/>
  <c r="D1206" i="1" s="1"/>
  <c r="B1207" i="1"/>
  <c r="I482" i="1"/>
  <c r="E483" i="1" s="1"/>
  <c r="C1207" i="1" l="1"/>
  <c r="D1207" i="1" s="1"/>
  <c r="B1208" i="1"/>
  <c r="H483" i="1"/>
  <c r="G483" i="1"/>
  <c r="C1208" i="1" l="1"/>
  <c r="D1208" i="1" s="1"/>
  <c r="B1209" i="1"/>
  <c r="F483" i="1"/>
  <c r="B1210" i="1" l="1"/>
  <c r="C1209" i="1"/>
  <c r="D1209" i="1" s="1"/>
  <c r="I483" i="1"/>
  <c r="E484" i="1" s="1"/>
  <c r="C1210" i="1" l="1"/>
  <c r="D1210" i="1" s="1"/>
  <c r="B1211" i="1"/>
  <c r="G484" i="1"/>
  <c r="H484" i="1"/>
  <c r="F484" i="1" s="1"/>
  <c r="B1212" i="1" l="1"/>
  <c r="C1211" i="1"/>
  <c r="D1211" i="1" s="1"/>
  <c r="I484" i="1"/>
  <c r="E485" i="1" s="1"/>
  <c r="B1213" i="1" l="1"/>
  <c r="C1212" i="1"/>
  <c r="D1212" i="1" s="1"/>
  <c r="G485" i="1"/>
  <c r="H485" i="1"/>
  <c r="C1213" i="1" l="1"/>
  <c r="D1213" i="1" s="1"/>
  <c r="B1214" i="1"/>
  <c r="F485" i="1"/>
  <c r="I485" i="1" s="1"/>
  <c r="E486" i="1" s="1"/>
  <c r="C1214" i="1" l="1"/>
  <c r="D1214" i="1" s="1"/>
  <c r="B1215" i="1"/>
  <c r="G486" i="1"/>
  <c r="H486" i="1"/>
  <c r="C1215" i="1" l="1"/>
  <c r="D1215" i="1" s="1"/>
  <c r="B1216" i="1"/>
  <c r="F486" i="1"/>
  <c r="I486" i="1" s="1"/>
  <c r="E487" i="1" s="1"/>
  <c r="C1216" i="1" l="1"/>
  <c r="D1216" i="1" s="1"/>
  <c r="B1217" i="1"/>
  <c r="H487" i="1"/>
  <c r="G487" i="1"/>
  <c r="B1218" i="1" l="1"/>
  <c r="C1217" i="1"/>
  <c r="D1217" i="1" s="1"/>
  <c r="F487" i="1"/>
  <c r="I487" i="1" s="1"/>
  <c r="E488" i="1" s="1"/>
  <c r="C1218" i="1" l="1"/>
  <c r="D1218" i="1" s="1"/>
  <c r="B1219" i="1"/>
  <c r="G488" i="1"/>
  <c r="H488" i="1"/>
  <c r="C1219" i="1" l="1"/>
  <c r="D1219" i="1" s="1"/>
  <c r="B1220" i="1"/>
  <c r="F488" i="1"/>
  <c r="I488" i="1" s="1"/>
  <c r="E489" i="1" s="1"/>
  <c r="C1220" i="1" l="1"/>
  <c r="D1220" i="1" s="1"/>
  <c r="B1221" i="1"/>
  <c r="H489" i="1"/>
  <c r="G489" i="1"/>
  <c r="B1222" i="1" l="1"/>
  <c r="C1221" i="1"/>
  <c r="D1221" i="1" s="1"/>
  <c r="F489" i="1"/>
  <c r="I489" i="1" s="1"/>
  <c r="E490" i="1" s="1"/>
  <c r="C1222" i="1" l="1"/>
  <c r="D1222" i="1" s="1"/>
  <c r="B1223" i="1"/>
  <c r="G490" i="1"/>
  <c r="H490" i="1"/>
  <c r="C1223" i="1" l="1"/>
  <c r="D1223" i="1" s="1"/>
  <c r="B1224" i="1"/>
  <c r="F490" i="1"/>
  <c r="C1224" i="1" l="1"/>
  <c r="D1224" i="1" s="1"/>
  <c r="B1225" i="1"/>
  <c r="I490" i="1"/>
  <c r="E491" i="1" s="1"/>
  <c r="C1225" i="1" l="1"/>
  <c r="D1225" i="1" s="1"/>
  <c r="B1226" i="1"/>
  <c r="H491" i="1"/>
  <c r="G491" i="1"/>
  <c r="F491" i="1"/>
  <c r="C1226" i="1" l="1"/>
  <c r="D1226" i="1" s="1"/>
  <c r="B1227" i="1"/>
  <c r="I491" i="1"/>
  <c r="E492" i="1" s="1"/>
  <c r="B1228" i="1" l="1"/>
  <c r="C1227" i="1"/>
  <c r="D1227" i="1" s="1"/>
  <c r="H492" i="1"/>
  <c r="F492" i="1" s="1"/>
  <c r="I492" i="1" s="1"/>
  <c r="E493" i="1" s="1"/>
  <c r="G492" i="1"/>
  <c r="C1228" i="1" l="1"/>
  <c r="D1228" i="1" s="1"/>
  <c r="B1229" i="1"/>
  <c r="H493" i="1"/>
  <c r="G493" i="1"/>
  <c r="B1230" i="1" l="1"/>
  <c r="C1229" i="1"/>
  <c r="D1229" i="1" s="1"/>
  <c r="F493" i="1"/>
  <c r="C1230" i="1" l="1"/>
  <c r="D1230" i="1" s="1"/>
  <c r="B1231" i="1"/>
  <c r="I493" i="1"/>
  <c r="E494" i="1" s="1"/>
  <c r="C1231" i="1" l="1"/>
  <c r="D1231" i="1" s="1"/>
  <c r="B1232" i="1"/>
  <c r="G494" i="1"/>
  <c r="H494" i="1"/>
  <c r="B1233" i="1" l="1"/>
  <c r="C1232" i="1"/>
  <c r="D1232" i="1" s="1"/>
  <c r="F494" i="1"/>
  <c r="I494" i="1" s="1"/>
  <c r="E495" i="1" s="1"/>
  <c r="C1233" i="1" l="1"/>
  <c r="D1233" i="1" s="1"/>
  <c r="B1234" i="1"/>
  <c r="G495" i="1"/>
  <c r="H495" i="1"/>
  <c r="C1234" i="1" l="1"/>
  <c r="D1234" i="1" s="1"/>
  <c r="B1235" i="1"/>
  <c r="F495" i="1"/>
  <c r="C1235" i="1" l="1"/>
  <c r="D1235" i="1" s="1"/>
  <c r="B1236" i="1"/>
  <c r="I495" i="1"/>
  <c r="E496" i="1" s="1"/>
  <c r="C1236" i="1" l="1"/>
  <c r="D1236" i="1" s="1"/>
  <c r="B1237" i="1"/>
  <c r="H496" i="1"/>
  <c r="F496" i="1" s="1"/>
  <c r="G496" i="1"/>
  <c r="C1237" i="1" l="1"/>
  <c r="D1237" i="1" s="1"/>
  <c r="B1238" i="1"/>
  <c r="I496" i="1"/>
  <c r="E497" i="1" s="1"/>
  <c r="C1238" i="1" l="1"/>
  <c r="D1238" i="1" s="1"/>
  <c r="B1239" i="1"/>
  <c r="H497" i="1"/>
  <c r="G497" i="1"/>
  <c r="B1240" i="1" l="1"/>
  <c r="C1239" i="1"/>
  <c r="D1239" i="1" s="1"/>
  <c r="F497" i="1"/>
  <c r="I497" i="1" s="1"/>
  <c r="E498" i="1" s="1"/>
  <c r="C1240" i="1" l="1"/>
  <c r="D1240" i="1" s="1"/>
  <c r="B1241" i="1"/>
  <c r="H498" i="1"/>
  <c r="G498" i="1"/>
  <c r="B1242" i="1" l="1"/>
  <c r="C1241" i="1"/>
  <c r="D1241" i="1" s="1"/>
  <c r="F498" i="1"/>
  <c r="I498" i="1" s="1"/>
  <c r="E499" i="1" s="1"/>
  <c r="C1242" i="1" l="1"/>
  <c r="D1242" i="1" s="1"/>
  <c r="B1243" i="1"/>
  <c r="G499" i="1"/>
  <c r="H499" i="1"/>
  <c r="B1244" i="1" l="1"/>
  <c r="C1243" i="1"/>
  <c r="D1243" i="1" s="1"/>
  <c r="F499" i="1"/>
  <c r="I499" i="1" s="1"/>
  <c r="E500" i="1" s="1"/>
  <c r="B1245" i="1" l="1"/>
  <c r="C1244" i="1"/>
  <c r="D1244" i="1" s="1"/>
  <c r="G500" i="1"/>
  <c r="H500" i="1"/>
  <c r="C1245" i="1" l="1"/>
  <c r="D1245" i="1" s="1"/>
  <c r="B1246" i="1"/>
  <c r="F500" i="1"/>
  <c r="B1247" i="1" l="1"/>
  <c r="C1246" i="1"/>
  <c r="D1246" i="1" s="1"/>
  <c r="I500" i="1"/>
  <c r="E501" i="1" s="1"/>
  <c r="B1248" i="1" l="1"/>
  <c r="C1247" i="1"/>
  <c r="D1247" i="1" s="1"/>
  <c r="H501" i="1"/>
  <c r="F501" i="1" s="1"/>
  <c r="G501" i="1"/>
  <c r="C1248" i="1" l="1"/>
  <c r="D1248" i="1" s="1"/>
  <c r="B1249" i="1"/>
  <c r="I501" i="1"/>
  <c r="E502" i="1" s="1"/>
  <c r="B1250" i="1" l="1"/>
  <c r="C1249" i="1"/>
  <c r="D1249" i="1" s="1"/>
  <c r="G502" i="1"/>
  <c r="H502" i="1"/>
  <c r="F502" i="1" s="1"/>
  <c r="I502" i="1" s="1"/>
  <c r="E503" i="1" s="1"/>
  <c r="C1250" i="1" l="1"/>
  <c r="D1250" i="1" s="1"/>
  <c r="B1251" i="1"/>
  <c r="H503" i="1"/>
  <c r="G503" i="1"/>
  <c r="C1251" i="1" l="1"/>
  <c r="D1251" i="1" s="1"/>
  <c r="B1252" i="1"/>
  <c r="F503" i="1"/>
  <c r="C1252" i="1" l="1"/>
  <c r="D1252" i="1" s="1"/>
  <c r="B1253" i="1"/>
  <c r="I503" i="1"/>
  <c r="E504" i="1" s="1"/>
  <c r="C1253" i="1" l="1"/>
  <c r="D1253" i="1" s="1"/>
  <c r="B1254" i="1"/>
  <c r="H504" i="1"/>
  <c r="F504" i="1" s="1"/>
  <c r="G504" i="1"/>
  <c r="B1255" i="1" l="1"/>
  <c r="C1254" i="1"/>
  <c r="D1254" i="1" s="1"/>
  <c r="I504" i="1"/>
  <c r="E505" i="1" s="1"/>
  <c r="C1255" i="1" l="1"/>
  <c r="D1255" i="1" s="1"/>
  <c r="B1256" i="1"/>
  <c r="H505" i="1"/>
  <c r="F505" i="1" s="1"/>
  <c r="G505" i="1"/>
  <c r="B1257" i="1" l="1"/>
  <c r="C1256" i="1"/>
  <c r="D1256" i="1" s="1"/>
  <c r="I505" i="1"/>
  <c r="E506" i="1" s="1"/>
  <c r="B1258" i="1" l="1"/>
  <c r="C1257" i="1"/>
  <c r="D1257" i="1" s="1"/>
  <c r="H506" i="1"/>
  <c r="G506" i="1"/>
  <c r="B1259" i="1" l="1"/>
  <c r="C1258" i="1"/>
  <c r="D1258" i="1" s="1"/>
  <c r="F506" i="1"/>
  <c r="I506" i="1" s="1"/>
  <c r="E507" i="1" s="1"/>
  <c r="C1259" i="1" l="1"/>
  <c r="D1259" i="1" s="1"/>
  <c r="B1260" i="1"/>
  <c r="G507" i="1"/>
  <c r="H507" i="1"/>
  <c r="C1260" i="1" l="1"/>
  <c r="D1260" i="1" s="1"/>
  <c r="B1261" i="1"/>
  <c r="F507" i="1"/>
  <c r="I507" i="1" s="1"/>
  <c r="E508" i="1" s="1"/>
  <c r="C1261" i="1" l="1"/>
  <c r="D1261" i="1" s="1"/>
  <c r="B1262" i="1"/>
  <c r="G508" i="1"/>
  <c r="H508" i="1"/>
  <c r="C1262" i="1" l="1"/>
  <c r="D1262" i="1" s="1"/>
  <c r="B1263" i="1"/>
  <c r="F508" i="1"/>
  <c r="I508" i="1" s="1"/>
  <c r="E509" i="1" s="1"/>
  <c r="C1263" i="1" l="1"/>
  <c r="D1263" i="1" s="1"/>
  <c r="B1264" i="1"/>
  <c r="H509" i="1"/>
  <c r="G509" i="1"/>
  <c r="B1265" i="1" l="1"/>
  <c r="C1264" i="1"/>
  <c r="D1264" i="1" s="1"/>
  <c r="F509" i="1"/>
  <c r="C1265" i="1" l="1"/>
  <c r="D1265" i="1" s="1"/>
  <c r="B1266" i="1"/>
  <c r="I509" i="1"/>
  <c r="E510" i="1" s="1"/>
  <c r="C1266" i="1" l="1"/>
  <c r="D1266" i="1" s="1"/>
  <c r="B1267" i="1"/>
  <c r="H510" i="1"/>
  <c r="F510" i="1" s="1"/>
  <c r="G510" i="1"/>
  <c r="C1267" i="1" l="1"/>
  <c r="D1267" i="1" s="1"/>
  <c r="B1268" i="1"/>
  <c r="I510" i="1"/>
  <c r="E511" i="1" s="1"/>
  <c r="C1268" i="1" l="1"/>
  <c r="D1268" i="1" s="1"/>
  <c r="B1269" i="1"/>
  <c r="H511" i="1"/>
  <c r="G511" i="1"/>
  <c r="F511" i="1"/>
  <c r="C1269" i="1" l="1"/>
  <c r="D1269" i="1" s="1"/>
  <c r="B1270" i="1"/>
  <c r="I511" i="1"/>
  <c r="E512" i="1" s="1"/>
  <c r="B1271" i="1" l="1"/>
  <c r="C1270" i="1"/>
  <c r="D1270" i="1" s="1"/>
  <c r="G512" i="1"/>
  <c r="H512" i="1"/>
  <c r="C1271" i="1" l="1"/>
  <c r="D1271" i="1" s="1"/>
  <c r="B1272" i="1"/>
  <c r="F512" i="1"/>
  <c r="I512" i="1" s="1"/>
  <c r="E513" i="1" s="1"/>
  <c r="B1273" i="1" l="1"/>
  <c r="C1272" i="1"/>
  <c r="D1272" i="1" s="1"/>
  <c r="H513" i="1"/>
  <c r="G513" i="1"/>
  <c r="B1274" i="1" l="1"/>
  <c r="C1273" i="1"/>
  <c r="D1273" i="1" s="1"/>
  <c r="F513" i="1"/>
  <c r="I513" i="1" s="1"/>
  <c r="E514" i="1" s="1"/>
  <c r="C1274" i="1" l="1"/>
  <c r="D1274" i="1" s="1"/>
  <c r="B1275" i="1"/>
  <c r="H514" i="1"/>
  <c r="G514" i="1"/>
  <c r="B1276" i="1" l="1"/>
  <c r="C1275" i="1"/>
  <c r="D1275" i="1" s="1"/>
  <c r="F514" i="1"/>
  <c r="C1276" i="1" l="1"/>
  <c r="D1276" i="1" s="1"/>
  <c r="B1277" i="1"/>
  <c r="I514" i="1"/>
  <c r="E515" i="1" s="1"/>
  <c r="C1277" i="1" l="1"/>
  <c r="D1277" i="1" s="1"/>
  <c r="B1278" i="1"/>
  <c r="G515" i="1"/>
  <c r="H515" i="1"/>
  <c r="F515" i="1" s="1"/>
  <c r="C1278" i="1" l="1"/>
  <c r="D1278" i="1" s="1"/>
  <c r="B1279" i="1"/>
  <c r="I515" i="1"/>
  <c r="E516" i="1" s="1"/>
  <c r="C1279" i="1" l="1"/>
  <c r="D1279" i="1" s="1"/>
  <c r="B1280" i="1"/>
  <c r="H516" i="1"/>
  <c r="G516" i="1"/>
  <c r="C1280" i="1" l="1"/>
  <c r="D1280" i="1" s="1"/>
  <c r="B1281" i="1"/>
  <c r="F516" i="1"/>
  <c r="I516" i="1" s="1"/>
  <c r="E517" i="1" s="1"/>
  <c r="C1281" i="1" l="1"/>
  <c r="D1281" i="1" s="1"/>
  <c r="B1282" i="1"/>
  <c r="H517" i="1"/>
  <c r="G517" i="1"/>
  <c r="C1282" i="1" l="1"/>
  <c r="D1282" i="1" s="1"/>
  <c r="B1283" i="1"/>
  <c r="F517" i="1"/>
  <c r="C1283" i="1" l="1"/>
  <c r="D1283" i="1" s="1"/>
  <c r="B1284" i="1"/>
  <c r="I517" i="1"/>
  <c r="E518" i="1" s="1"/>
  <c r="B1285" i="1" l="1"/>
  <c r="C1284" i="1"/>
  <c r="D1284" i="1" s="1"/>
  <c r="G518" i="1"/>
  <c r="H518" i="1"/>
  <c r="C1285" i="1" l="1"/>
  <c r="D1285" i="1" s="1"/>
  <c r="B1286" i="1"/>
  <c r="F518" i="1"/>
  <c r="I518" i="1" s="1"/>
  <c r="E519" i="1" s="1"/>
  <c r="B1287" i="1" l="1"/>
  <c r="C1286" i="1"/>
  <c r="D1286" i="1" s="1"/>
  <c r="H519" i="1"/>
  <c r="G519" i="1"/>
  <c r="B1288" i="1" l="1"/>
  <c r="C1287" i="1"/>
  <c r="D1287" i="1" s="1"/>
  <c r="F519" i="1"/>
  <c r="I519" i="1" s="1"/>
  <c r="E520" i="1" s="1"/>
  <c r="B1289" i="1" l="1"/>
  <c r="C1288" i="1"/>
  <c r="D1288" i="1" s="1"/>
  <c r="H520" i="1"/>
  <c r="G520" i="1"/>
  <c r="C1289" i="1" l="1"/>
  <c r="D1289" i="1" s="1"/>
  <c r="B1290" i="1"/>
  <c r="F520" i="1"/>
  <c r="C1290" i="1" l="1"/>
  <c r="D1290" i="1" s="1"/>
  <c r="B1291" i="1"/>
  <c r="I520" i="1"/>
  <c r="E521" i="1" s="1"/>
  <c r="C1291" i="1" l="1"/>
  <c r="D1291" i="1" s="1"/>
  <c r="B1292" i="1"/>
  <c r="G521" i="1"/>
  <c r="H521" i="1"/>
  <c r="B1293" i="1" l="1"/>
  <c r="C1292" i="1"/>
  <c r="D1292" i="1" s="1"/>
  <c r="F521" i="1"/>
  <c r="I521" i="1" s="1"/>
  <c r="E522" i="1" s="1"/>
  <c r="C1293" i="1" l="1"/>
  <c r="D1293" i="1" s="1"/>
  <c r="B1294" i="1"/>
  <c r="G522" i="1"/>
  <c r="H522" i="1"/>
  <c r="B1295" i="1" l="1"/>
  <c r="C1294" i="1"/>
  <c r="D1294" i="1" s="1"/>
  <c r="F522" i="1"/>
  <c r="I522" i="1" s="1"/>
  <c r="E523" i="1" s="1"/>
  <c r="B1296" i="1" l="1"/>
  <c r="C1295" i="1"/>
  <c r="D1295" i="1" s="1"/>
  <c r="G523" i="1"/>
  <c r="H523" i="1"/>
  <c r="C1296" i="1" l="1"/>
  <c r="D1296" i="1" s="1"/>
  <c r="B1297" i="1"/>
  <c r="F523" i="1"/>
  <c r="I523" i="1" s="1"/>
  <c r="E524" i="1" s="1"/>
  <c r="C1297" i="1" l="1"/>
  <c r="D1297" i="1" s="1"/>
  <c r="B1298" i="1"/>
  <c r="H524" i="1"/>
  <c r="G524" i="1"/>
  <c r="B1299" i="1" l="1"/>
  <c r="C1298" i="1"/>
  <c r="D1298" i="1" s="1"/>
  <c r="F524" i="1"/>
  <c r="I524" i="1" s="1"/>
  <c r="E525" i="1" s="1"/>
  <c r="B1300" i="1" l="1"/>
  <c r="C1299" i="1"/>
  <c r="D1299" i="1" s="1"/>
  <c r="H525" i="1"/>
  <c r="G525" i="1"/>
  <c r="C1300" i="1" l="1"/>
  <c r="D1300" i="1" s="1"/>
  <c r="B1301" i="1"/>
  <c r="F525" i="1"/>
  <c r="I525" i="1" s="1"/>
  <c r="E526" i="1" s="1"/>
  <c r="B1302" i="1" l="1"/>
  <c r="C1301" i="1"/>
  <c r="D1301" i="1" s="1"/>
  <c r="H526" i="1"/>
  <c r="G526" i="1"/>
  <c r="B1303" i="1" l="1"/>
  <c r="C1302" i="1"/>
  <c r="D1302" i="1" s="1"/>
  <c r="F526" i="1"/>
  <c r="I526" i="1" s="1"/>
  <c r="E527" i="1" s="1"/>
  <c r="B1304" i="1" l="1"/>
  <c r="C1303" i="1"/>
  <c r="D1303" i="1" s="1"/>
  <c r="H527" i="1"/>
  <c r="G527" i="1"/>
  <c r="C1304" i="1" l="1"/>
  <c r="D1304" i="1" s="1"/>
  <c r="B1305" i="1"/>
  <c r="F527" i="1"/>
  <c r="B1306" i="1" l="1"/>
  <c r="C1305" i="1"/>
  <c r="D1305" i="1" s="1"/>
  <c r="I527" i="1"/>
  <c r="E528" i="1" s="1"/>
  <c r="C1306" i="1" l="1"/>
  <c r="D1306" i="1" s="1"/>
  <c r="B1307" i="1"/>
  <c r="H528" i="1"/>
  <c r="G528" i="1"/>
  <c r="C1307" i="1" l="1"/>
  <c r="D1307" i="1" s="1"/>
  <c r="B1308" i="1"/>
  <c r="F528" i="1"/>
  <c r="I528" i="1" s="1"/>
  <c r="E529" i="1" s="1"/>
  <c r="B1309" i="1" l="1"/>
  <c r="C1308" i="1"/>
  <c r="D1308" i="1" s="1"/>
  <c r="H529" i="1"/>
  <c r="G529" i="1"/>
  <c r="C1309" i="1" l="1"/>
  <c r="D1309" i="1" s="1"/>
  <c r="B1310" i="1"/>
  <c r="F529" i="1"/>
  <c r="C1310" i="1" l="1"/>
  <c r="D1310" i="1" s="1"/>
  <c r="B1311" i="1"/>
  <c r="I529" i="1"/>
  <c r="E530" i="1" s="1"/>
  <c r="B1312" i="1" l="1"/>
  <c r="C1311" i="1"/>
  <c r="D1311" i="1" s="1"/>
  <c r="H530" i="1"/>
  <c r="F530" i="1" s="1"/>
  <c r="G530" i="1"/>
  <c r="B1313" i="1" l="1"/>
  <c r="C1312" i="1"/>
  <c r="D1312" i="1" s="1"/>
  <c r="I530" i="1"/>
  <c r="E531" i="1" s="1"/>
  <c r="C1313" i="1" l="1"/>
  <c r="D1313" i="1" s="1"/>
  <c r="B1314" i="1"/>
  <c r="H531" i="1"/>
  <c r="F531" i="1" s="1"/>
  <c r="G531" i="1"/>
  <c r="B1315" i="1" l="1"/>
  <c r="C1314" i="1"/>
  <c r="D1314" i="1" s="1"/>
  <c r="I531" i="1"/>
  <c r="E532" i="1" s="1"/>
  <c r="C1315" i="1" l="1"/>
  <c r="D1315" i="1" s="1"/>
  <c r="B1316" i="1"/>
  <c r="G532" i="1"/>
  <c r="H532" i="1"/>
  <c r="B1317" i="1" l="1"/>
  <c r="C1316" i="1"/>
  <c r="D1316" i="1" s="1"/>
  <c r="F532" i="1"/>
  <c r="I532" i="1" s="1"/>
  <c r="E533" i="1" s="1"/>
  <c r="C1317" i="1" l="1"/>
  <c r="D1317" i="1" s="1"/>
  <c r="B1318" i="1"/>
  <c r="H533" i="1"/>
  <c r="G533" i="1"/>
  <c r="B1319" i="1" l="1"/>
  <c r="C1318" i="1"/>
  <c r="D1318" i="1" s="1"/>
  <c r="F533" i="1"/>
  <c r="I533" i="1" s="1"/>
  <c r="E534" i="1" s="1"/>
  <c r="B1320" i="1" l="1"/>
  <c r="C1319" i="1"/>
  <c r="D1319" i="1" s="1"/>
  <c r="H534" i="1"/>
  <c r="G534" i="1"/>
  <c r="B1321" i="1" l="1"/>
  <c r="C1320" i="1"/>
  <c r="D1320" i="1" s="1"/>
  <c r="F534" i="1"/>
  <c r="I534" i="1" s="1"/>
  <c r="E535" i="1" s="1"/>
  <c r="C1321" i="1" l="1"/>
  <c r="D1321" i="1" s="1"/>
  <c r="B1322" i="1"/>
  <c r="G535" i="1"/>
  <c r="H535" i="1"/>
  <c r="C1322" i="1" l="1"/>
  <c r="D1322" i="1" s="1"/>
  <c r="B1323" i="1"/>
  <c r="F535" i="1"/>
  <c r="C1323" i="1" l="1"/>
  <c r="D1323" i="1" s="1"/>
  <c r="B1324" i="1"/>
  <c r="I535" i="1"/>
  <c r="E536" i="1" s="1"/>
  <c r="B1325" i="1" l="1"/>
  <c r="C1324" i="1"/>
  <c r="D1324" i="1" s="1"/>
  <c r="G536" i="1"/>
  <c r="H536" i="1"/>
  <c r="F536" i="1" s="1"/>
  <c r="C1325" i="1" l="1"/>
  <c r="D1325" i="1" s="1"/>
  <c r="B1326" i="1"/>
  <c r="I536" i="1"/>
  <c r="E537" i="1" s="1"/>
  <c r="C1326" i="1" l="1"/>
  <c r="D1326" i="1" s="1"/>
  <c r="B1327" i="1"/>
  <c r="G537" i="1"/>
  <c r="H537" i="1"/>
  <c r="B1328" i="1" l="1"/>
  <c r="C1327" i="1"/>
  <c r="D1327" i="1" s="1"/>
  <c r="F537" i="1"/>
  <c r="I537" i="1" s="1"/>
  <c r="E538" i="1" s="1"/>
  <c r="B1329" i="1" l="1"/>
  <c r="C1328" i="1"/>
  <c r="D1328" i="1" s="1"/>
  <c r="H538" i="1"/>
  <c r="G538" i="1"/>
  <c r="B1330" i="1" l="1"/>
  <c r="C1329" i="1"/>
  <c r="D1329" i="1" s="1"/>
  <c r="F538" i="1"/>
  <c r="I538" i="1" s="1"/>
  <c r="E539" i="1" s="1"/>
  <c r="B1331" i="1" l="1"/>
  <c r="C1330" i="1"/>
  <c r="D1330" i="1" s="1"/>
  <c r="G539" i="1"/>
  <c r="H539" i="1"/>
  <c r="C1331" i="1" l="1"/>
  <c r="D1331" i="1" s="1"/>
  <c r="B1332" i="1"/>
  <c r="F539" i="1"/>
  <c r="C1332" i="1" l="1"/>
  <c r="D1332" i="1" s="1"/>
  <c r="B1333" i="1"/>
  <c r="I539" i="1"/>
  <c r="E540" i="1" s="1"/>
  <c r="B1334" i="1" l="1"/>
  <c r="C1333" i="1"/>
  <c r="D1333" i="1" s="1"/>
  <c r="H540" i="1"/>
  <c r="F540" i="1" s="1"/>
  <c r="G540" i="1"/>
  <c r="B1335" i="1" l="1"/>
  <c r="C1334" i="1"/>
  <c r="D1334" i="1" s="1"/>
  <c r="I540" i="1"/>
  <c r="E541" i="1" s="1"/>
  <c r="C1335" i="1" l="1"/>
  <c r="D1335" i="1" s="1"/>
  <c r="B1336" i="1"/>
  <c r="G541" i="1"/>
  <c r="H541" i="1"/>
  <c r="F541" i="1" s="1"/>
  <c r="C1336" i="1" l="1"/>
  <c r="D1336" i="1" s="1"/>
  <c r="B1337" i="1"/>
  <c r="I541" i="1"/>
  <c r="E542" i="1" s="1"/>
  <c r="C1337" i="1" l="1"/>
  <c r="D1337" i="1" s="1"/>
  <c r="B1338" i="1"/>
  <c r="G542" i="1"/>
  <c r="H542" i="1"/>
  <c r="C1338" i="1" l="1"/>
  <c r="D1338" i="1" s="1"/>
  <c r="B1339" i="1"/>
  <c r="F542" i="1"/>
  <c r="C1339" i="1" l="1"/>
  <c r="D1339" i="1" s="1"/>
  <c r="B1340" i="1"/>
  <c r="I542" i="1"/>
  <c r="E543" i="1" s="1"/>
  <c r="B1341" i="1" l="1"/>
  <c r="C1340" i="1"/>
  <c r="D1340" i="1" s="1"/>
  <c r="G543" i="1"/>
  <c r="H543" i="1"/>
  <c r="B1342" i="1" l="1"/>
  <c r="C1341" i="1"/>
  <c r="D1341" i="1" s="1"/>
  <c r="F543" i="1"/>
  <c r="C1342" i="1" l="1"/>
  <c r="D1342" i="1" s="1"/>
  <c r="B1343" i="1"/>
  <c r="I543" i="1"/>
  <c r="E544" i="1" s="1"/>
  <c r="B1344" i="1" l="1"/>
  <c r="C1343" i="1"/>
  <c r="D1343" i="1" s="1"/>
  <c r="H544" i="1"/>
  <c r="G544" i="1"/>
  <c r="B1345" i="1" l="1"/>
  <c r="C1344" i="1"/>
  <c r="D1344" i="1" s="1"/>
  <c r="F544" i="1"/>
  <c r="I544" i="1" s="1"/>
  <c r="E545" i="1" s="1"/>
  <c r="C1345" i="1" l="1"/>
  <c r="D1345" i="1" s="1"/>
  <c r="B1346" i="1"/>
  <c r="H545" i="1"/>
  <c r="G545" i="1"/>
  <c r="B1347" i="1" l="1"/>
  <c r="C1346" i="1"/>
  <c r="D1346" i="1" s="1"/>
  <c r="F545" i="1"/>
  <c r="B1348" i="1" l="1"/>
  <c r="C1347" i="1"/>
  <c r="D1347" i="1" s="1"/>
  <c r="I545" i="1"/>
  <c r="E546" i="1" s="1"/>
  <c r="B1349" i="1" l="1"/>
  <c r="C1348" i="1"/>
  <c r="D1348" i="1" s="1"/>
  <c r="H546" i="1"/>
  <c r="G546" i="1"/>
  <c r="C1349" i="1" l="1"/>
  <c r="D1349" i="1" s="1"/>
  <c r="B1350" i="1"/>
  <c r="F546" i="1"/>
  <c r="B1351" i="1" l="1"/>
  <c r="C1350" i="1"/>
  <c r="D1350" i="1" s="1"/>
  <c r="I546" i="1"/>
  <c r="E547" i="1" s="1"/>
  <c r="B1352" i="1" l="1"/>
  <c r="C1351" i="1"/>
  <c r="D1351" i="1" s="1"/>
  <c r="H547" i="1"/>
  <c r="G547" i="1"/>
  <c r="B1353" i="1" l="1"/>
  <c r="C1352" i="1"/>
  <c r="D1352" i="1" s="1"/>
  <c r="F547" i="1"/>
  <c r="I547" i="1" s="1"/>
  <c r="E548" i="1" s="1"/>
  <c r="C1353" i="1" l="1"/>
  <c r="D1353" i="1" s="1"/>
  <c r="B1354" i="1"/>
  <c r="H548" i="1"/>
  <c r="G548" i="1"/>
  <c r="C1354" i="1" l="1"/>
  <c r="D1354" i="1" s="1"/>
  <c r="B1355" i="1"/>
  <c r="F548" i="1"/>
  <c r="I548" i="1" s="1"/>
  <c r="E549" i="1" s="1"/>
  <c r="C1355" i="1" l="1"/>
  <c r="D1355" i="1" s="1"/>
  <c r="B1356" i="1"/>
  <c r="H549" i="1"/>
  <c r="G549" i="1"/>
  <c r="C1356" i="1" l="1"/>
  <c r="D1356" i="1" s="1"/>
  <c r="B1357" i="1"/>
  <c r="F549" i="1"/>
  <c r="I549" i="1" s="1"/>
  <c r="E550" i="1" s="1"/>
  <c r="C1357" i="1" l="1"/>
  <c r="D1357" i="1" s="1"/>
  <c r="B1358" i="1"/>
  <c r="H550" i="1"/>
  <c r="G550" i="1"/>
  <c r="F550" i="1"/>
  <c r="C1358" i="1" l="1"/>
  <c r="D1358" i="1" s="1"/>
  <c r="B1359" i="1"/>
  <c r="I550" i="1"/>
  <c r="E551" i="1" s="1"/>
  <c r="C1359" i="1" l="1"/>
  <c r="D1359" i="1" s="1"/>
  <c r="B1360" i="1"/>
  <c r="H551" i="1"/>
  <c r="G551" i="1"/>
  <c r="C1360" i="1" l="1"/>
  <c r="D1360" i="1" s="1"/>
  <c r="B1361" i="1"/>
  <c r="F551" i="1"/>
  <c r="I551" i="1" s="1"/>
  <c r="E552" i="1" s="1"/>
  <c r="C1361" i="1" l="1"/>
  <c r="D1361" i="1" s="1"/>
  <c r="B1362" i="1"/>
  <c r="H552" i="1"/>
  <c r="G552" i="1"/>
  <c r="C1362" i="1" l="1"/>
  <c r="D1362" i="1" s="1"/>
  <c r="B1363" i="1"/>
  <c r="F552" i="1"/>
  <c r="I552" i="1" s="1"/>
  <c r="E553" i="1" s="1"/>
  <c r="C1363" i="1" l="1"/>
  <c r="D1363" i="1" s="1"/>
  <c r="B1364" i="1"/>
  <c r="H553" i="1"/>
  <c r="G553" i="1"/>
  <c r="C1364" i="1" l="1"/>
  <c r="D1364" i="1" s="1"/>
  <c r="B1365" i="1"/>
  <c r="F553" i="1"/>
  <c r="I553" i="1" s="1"/>
  <c r="E554" i="1" s="1"/>
  <c r="C1365" i="1" l="1"/>
  <c r="D1365" i="1" s="1"/>
  <c r="B1366" i="1"/>
  <c r="H554" i="1"/>
  <c r="G554" i="1"/>
  <c r="C1366" i="1" l="1"/>
  <c r="D1366" i="1" s="1"/>
  <c r="B1367" i="1"/>
  <c r="F554" i="1"/>
  <c r="I554" i="1" s="1"/>
  <c r="E555" i="1" s="1"/>
  <c r="C1367" i="1" l="1"/>
  <c r="D1367" i="1" s="1"/>
  <c r="B1368" i="1"/>
  <c r="G555" i="1"/>
  <c r="H555" i="1"/>
  <c r="C1368" i="1" l="1"/>
  <c r="D1368" i="1" s="1"/>
  <c r="B1369" i="1"/>
  <c r="F555" i="1"/>
  <c r="I555" i="1" s="1"/>
  <c r="E556" i="1" s="1"/>
  <c r="B1370" i="1" l="1"/>
  <c r="C1369" i="1"/>
  <c r="D1369" i="1" s="1"/>
  <c r="H556" i="1"/>
  <c r="G556" i="1"/>
  <c r="C1370" i="1" l="1"/>
  <c r="D1370" i="1" s="1"/>
  <c r="B1371" i="1"/>
  <c r="F556" i="1"/>
  <c r="B1372" i="1" l="1"/>
  <c r="C1371" i="1"/>
  <c r="D1371" i="1" s="1"/>
  <c r="I556" i="1"/>
  <c r="E557" i="1" s="1"/>
  <c r="C1372" i="1" l="1"/>
  <c r="D1372" i="1" s="1"/>
  <c r="B1373" i="1"/>
  <c r="H557" i="1"/>
  <c r="F557" i="1" s="1"/>
  <c r="G557" i="1"/>
  <c r="C1373" i="1" l="1"/>
  <c r="D1373" i="1" s="1"/>
  <c r="B1374" i="1"/>
  <c r="I557" i="1"/>
  <c r="E558" i="1" s="1"/>
  <c r="B1375" i="1" l="1"/>
  <c r="C1374" i="1"/>
  <c r="D1374" i="1" s="1"/>
  <c r="H558" i="1"/>
  <c r="G558" i="1"/>
  <c r="B1376" i="1" l="1"/>
  <c r="C1375" i="1"/>
  <c r="D1375" i="1" s="1"/>
  <c r="F558" i="1"/>
  <c r="C1376" i="1" l="1"/>
  <c r="D1376" i="1" s="1"/>
  <c r="B1377" i="1"/>
  <c r="I558" i="1"/>
  <c r="E559" i="1" s="1"/>
  <c r="B1378" i="1" l="1"/>
  <c r="C1377" i="1"/>
  <c r="D1377" i="1" s="1"/>
  <c r="G559" i="1"/>
  <c r="H559" i="1"/>
  <c r="F559" i="1" s="1"/>
  <c r="C1378" i="1" l="1"/>
  <c r="D1378" i="1" s="1"/>
  <c r="B1379" i="1"/>
  <c r="I559" i="1"/>
  <c r="E560" i="1" s="1"/>
  <c r="B1380" i="1" l="1"/>
  <c r="C1379" i="1"/>
  <c r="D1379" i="1" s="1"/>
  <c r="H560" i="1"/>
  <c r="G560" i="1"/>
  <c r="C1380" i="1" l="1"/>
  <c r="D1380" i="1" s="1"/>
  <c r="B1381" i="1"/>
  <c r="F560" i="1"/>
  <c r="B1382" i="1" l="1"/>
  <c r="C1381" i="1"/>
  <c r="D1381" i="1" s="1"/>
  <c r="I560" i="1"/>
  <c r="E561" i="1" s="1"/>
  <c r="C1382" i="1" l="1"/>
  <c r="D1382" i="1" s="1"/>
  <c r="B1383" i="1"/>
  <c r="H561" i="1"/>
  <c r="F561" i="1" s="1"/>
  <c r="G561" i="1"/>
  <c r="C1383" i="1" l="1"/>
  <c r="D1383" i="1" s="1"/>
  <c r="B1384" i="1"/>
  <c r="I561" i="1"/>
  <c r="E562" i="1" s="1"/>
  <c r="C1384" i="1" l="1"/>
  <c r="D1384" i="1" s="1"/>
  <c r="B1385" i="1"/>
  <c r="H562" i="1"/>
  <c r="G562" i="1"/>
  <c r="C1385" i="1" l="1"/>
  <c r="D1385" i="1" s="1"/>
  <c r="B1386" i="1"/>
  <c r="F562" i="1"/>
  <c r="I562" i="1" s="1"/>
  <c r="E563" i="1" s="1"/>
  <c r="C1386" i="1" l="1"/>
  <c r="D1386" i="1" s="1"/>
  <c r="B1387" i="1"/>
  <c r="H563" i="1"/>
  <c r="G563" i="1"/>
  <c r="C1387" i="1" l="1"/>
  <c r="D1387" i="1" s="1"/>
  <c r="B1388" i="1"/>
  <c r="F563" i="1"/>
  <c r="I563" i="1" s="1"/>
  <c r="E564" i="1" s="1"/>
  <c r="B1389" i="1" l="1"/>
  <c r="C1388" i="1"/>
  <c r="D1388" i="1" s="1"/>
  <c r="H564" i="1"/>
  <c r="G564" i="1"/>
  <c r="C1389" i="1" l="1"/>
  <c r="D1389" i="1" s="1"/>
  <c r="B1390" i="1"/>
  <c r="F564" i="1"/>
  <c r="I564" i="1" s="1"/>
  <c r="E565" i="1" s="1"/>
  <c r="B1391" i="1" l="1"/>
  <c r="C1390" i="1"/>
  <c r="D1390" i="1" s="1"/>
  <c r="H565" i="1"/>
  <c r="G565" i="1"/>
  <c r="B1392" i="1" l="1"/>
  <c r="C1391" i="1"/>
  <c r="D1391" i="1" s="1"/>
  <c r="F565" i="1"/>
  <c r="I565" i="1" s="1"/>
  <c r="E566" i="1" s="1"/>
  <c r="C1392" i="1" l="1"/>
  <c r="D1392" i="1" s="1"/>
  <c r="B1393" i="1"/>
  <c r="H566" i="1"/>
  <c r="G566" i="1"/>
  <c r="C1393" i="1" l="1"/>
  <c r="D1393" i="1" s="1"/>
  <c r="B1394" i="1"/>
  <c r="F566" i="1"/>
  <c r="I566" i="1" s="1"/>
  <c r="E567" i="1" s="1"/>
  <c r="B1395" i="1" l="1"/>
  <c r="C1394" i="1"/>
  <c r="D1394" i="1" s="1"/>
  <c r="H567" i="1"/>
  <c r="G567" i="1"/>
  <c r="B1396" i="1" l="1"/>
  <c r="C1395" i="1"/>
  <c r="D1395" i="1" s="1"/>
  <c r="F567" i="1"/>
  <c r="I567" i="1" s="1"/>
  <c r="E568" i="1" s="1"/>
  <c r="B1397" i="1" l="1"/>
  <c r="C1396" i="1"/>
  <c r="D1396" i="1" s="1"/>
  <c r="G568" i="1"/>
  <c r="H568" i="1"/>
  <c r="B1398" i="1" l="1"/>
  <c r="C1397" i="1"/>
  <c r="D1397" i="1" s="1"/>
  <c r="F568" i="1"/>
  <c r="C1398" i="1" l="1"/>
  <c r="D1398" i="1" s="1"/>
  <c r="B1399" i="1"/>
  <c r="I568" i="1"/>
  <c r="E569" i="1" s="1"/>
  <c r="C1399" i="1" l="1"/>
  <c r="D1399" i="1" s="1"/>
  <c r="B1400" i="1"/>
  <c r="H569" i="1"/>
  <c r="F569" i="1" s="1"/>
  <c r="G569" i="1"/>
  <c r="C1400" i="1" l="1"/>
  <c r="D1400" i="1" s="1"/>
  <c r="B1401" i="1"/>
  <c r="I569" i="1"/>
  <c r="E570" i="1" s="1"/>
  <c r="B1402" i="1" l="1"/>
  <c r="C1401" i="1"/>
  <c r="D1401" i="1" s="1"/>
  <c r="G570" i="1"/>
  <c r="H570" i="1"/>
  <c r="C1402" i="1" l="1"/>
  <c r="D1402" i="1" s="1"/>
  <c r="B1403" i="1"/>
  <c r="F570" i="1"/>
  <c r="I570" i="1" s="1"/>
  <c r="E571" i="1" s="1"/>
  <c r="B1404" i="1" l="1"/>
  <c r="C1403" i="1"/>
  <c r="D1403" i="1" s="1"/>
  <c r="H571" i="1"/>
  <c r="G571" i="1"/>
  <c r="C1404" i="1" l="1"/>
  <c r="D1404" i="1" s="1"/>
  <c r="B1405" i="1"/>
  <c r="F571" i="1"/>
  <c r="I571" i="1" s="1"/>
  <c r="E572" i="1" s="1"/>
  <c r="C1405" i="1" l="1"/>
  <c r="D1405" i="1" s="1"/>
  <c r="B1406" i="1"/>
  <c r="G572" i="1"/>
  <c r="H572" i="1"/>
  <c r="B1407" i="1" l="1"/>
  <c r="C1406" i="1"/>
  <c r="D1406" i="1" s="1"/>
  <c r="F572" i="1"/>
  <c r="B1408" i="1" l="1"/>
  <c r="C1407" i="1"/>
  <c r="D1407" i="1" s="1"/>
  <c r="I572" i="1"/>
  <c r="E573" i="1" s="1"/>
  <c r="B1409" i="1" l="1"/>
  <c r="C1408" i="1"/>
  <c r="D1408" i="1" s="1"/>
  <c r="G573" i="1"/>
  <c r="H573" i="1"/>
  <c r="F573" i="1" s="1"/>
  <c r="C1409" i="1" l="1"/>
  <c r="D1409" i="1" s="1"/>
  <c r="B1410" i="1"/>
  <c r="I573" i="1"/>
  <c r="E574" i="1" s="1"/>
  <c r="B1411" i="1" l="1"/>
  <c r="C1410" i="1"/>
  <c r="D1410" i="1" s="1"/>
  <c r="H574" i="1"/>
  <c r="F574" i="1" s="1"/>
  <c r="G574" i="1"/>
  <c r="B1412" i="1" l="1"/>
  <c r="C1411" i="1"/>
  <c r="D1411" i="1" s="1"/>
  <c r="I574" i="1"/>
  <c r="E575" i="1" s="1"/>
  <c r="B1413" i="1" l="1"/>
  <c r="C1412" i="1"/>
  <c r="D1412" i="1" s="1"/>
  <c r="G575" i="1"/>
  <c r="H575" i="1"/>
  <c r="F575" i="1" s="1"/>
  <c r="C1413" i="1" l="1"/>
  <c r="D1413" i="1" s="1"/>
  <c r="B1414" i="1"/>
  <c r="I575" i="1"/>
  <c r="E576" i="1" s="1"/>
  <c r="C1414" i="1" l="1"/>
  <c r="D1414" i="1" s="1"/>
  <c r="B1415" i="1"/>
  <c r="G576" i="1"/>
  <c r="H576" i="1"/>
  <c r="B1416" i="1" l="1"/>
  <c r="C1415" i="1"/>
  <c r="D1415" i="1" s="1"/>
  <c r="F576" i="1"/>
  <c r="I576" i="1" s="1"/>
  <c r="E577" i="1" s="1"/>
  <c r="B1417" i="1" l="1"/>
  <c r="C1416" i="1"/>
  <c r="D1416" i="1" s="1"/>
  <c r="H577" i="1"/>
  <c r="G577" i="1"/>
  <c r="C1417" i="1" l="1"/>
  <c r="D1417" i="1" s="1"/>
  <c r="B1418" i="1"/>
  <c r="F577" i="1"/>
  <c r="I577" i="1" s="1"/>
  <c r="E578" i="1" s="1"/>
  <c r="C1418" i="1" l="1"/>
  <c r="D1418" i="1" s="1"/>
  <c r="B1419" i="1"/>
  <c r="H578" i="1"/>
  <c r="G578" i="1"/>
  <c r="B1420" i="1" l="1"/>
  <c r="C1419" i="1"/>
  <c r="D1419" i="1" s="1"/>
  <c r="F578" i="1"/>
  <c r="I578" i="1" s="1"/>
  <c r="E579" i="1" s="1"/>
  <c r="C1420" i="1" l="1"/>
  <c r="D1420" i="1" s="1"/>
  <c r="B1421" i="1"/>
  <c r="G579" i="1"/>
  <c r="H579" i="1"/>
  <c r="C1421" i="1" l="1"/>
  <c r="D1421" i="1" s="1"/>
  <c r="B1422" i="1"/>
  <c r="F579" i="1"/>
  <c r="I579" i="1" s="1"/>
  <c r="E580" i="1" s="1"/>
  <c r="B1423" i="1" l="1"/>
  <c r="C1422" i="1"/>
  <c r="D1422" i="1" s="1"/>
  <c r="G580" i="1"/>
  <c r="H580" i="1"/>
  <c r="C1423" i="1" l="1"/>
  <c r="D1423" i="1" s="1"/>
  <c r="B1424" i="1"/>
  <c r="F580" i="1"/>
  <c r="I580" i="1" s="1"/>
  <c r="E581" i="1" s="1"/>
  <c r="C1424" i="1" l="1"/>
  <c r="D1424" i="1" s="1"/>
  <c r="B1425" i="1"/>
  <c r="G581" i="1"/>
  <c r="H581" i="1"/>
  <c r="C1425" i="1" l="1"/>
  <c r="D1425" i="1" s="1"/>
  <c r="B1426" i="1"/>
  <c r="F581" i="1"/>
  <c r="I581" i="1" s="1"/>
  <c r="E582" i="1" s="1"/>
  <c r="C1426" i="1" l="1"/>
  <c r="D1426" i="1" s="1"/>
  <c r="B1427" i="1"/>
  <c r="H582" i="1"/>
  <c r="G582" i="1"/>
  <c r="C1427" i="1" l="1"/>
  <c r="D1427" i="1" s="1"/>
  <c r="B1428" i="1"/>
  <c r="F582" i="1"/>
  <c r="I582" i="1" s="1"/>
  <c r="E583" i="1" s="1"/>
  <c r="B1429" i="1" l="1"/>
  <c r="C1428" i="1"/>
  <c r="D1428" i="1" s="1"/>
  <c r="H583" i="1"/>
  <c r="G583" i="1"/>
  <c r="C1429" i="1" l="1"/>
  <c r="D1429" i="1" s="1"/>
  <c r="B1430" i="1"/>
  <c r="F583" i="1"/>
  <c r="I583" i="1" s="1"/>
  <c r="E584" i="1" s="1"/>
  <c r="C1430" i="1" l="1"/>
  <c r="D1430" i="1" s="1"/>
  <c r="B1431" i="1"/>
  <c r="G584" i="1"/>
  <c r="H584" i="1"/>
  <c r="C1431" i="1" l="1"/>
  <c r="D1431" i="1" s="1"/>
  <c r="B1432" i="1"/>
  <c r="F584" i="1"/>
  <c r="I584" i="1" s="1"/>
  <c r="E585" i="1" s="1"/>
  <c r="B1433" i="1" l="1"/>
  <c r="C1432" i="1"/>
  <c r="D1432" i="1" s="1"/>
  <c r="H585" i="1"/>
  <c r="G585" i="1"/>
  <c r="C1433" i="1" l="1"/>
  <c r="D1433" i="1" s="1"/>
  <c r="B1434" i="1"/>
  <c r="F585" i="1"/>
  <c r="C1434" i="1" l="1"/>
  <c r="D1434" i="1" s="1"/>
  <c r="B1435" i="1"/>
  <c r="I585" i="1"/>
  <c r="E586" i="1" s="1"/>
  <c r="B1436" i="1" l="1"/>
  <c r="C1435" i="1"/>
  <c r="D1435" i="1" s="1"/>
  <c r="H586" i="1"/>
  <c r="G586" i="1"/>
  <c r="F586" i="1"/>
  <c r="B1437" i="1" l="1"/>
  <c r="C1436" i="1"/>
  <c r="D1436" i="1" s="1"/>
  <c r="I586" i="1"/>
  <c r="E587" i="1" s="1"/>
  <c r="C1437" i="1" l="1"/>
  <c r="D1437" i="1" s="1"/>
  <c r="B1438" i="1"/>
  <c r="H587" i="1"/>
  <c r="G587" i="1"/>
  <c r="B1439" i="1" l="1"/>
  <c r="C1438" i="1"/>
  <c r="D1438" i="1" s="1"/>
  <c r="F587" i="1"/>
  <c r="I587" i="1" s="1"/>
  <c r="E588" i="1" s="1"/>
  <c r="B1440" i="1" l="1"/>
  <c r="C1439" i="1"/>
  <c r="D1439" i="1" s="1"/>
  <c r="G588" i="1"/>
  <c r="H588" i="1"/>
  <c r="B1441" i="1" l="1"/>
  <c r="C1440" i="1"/>
  <c r="D1440" i="1" s="1"/>
  <c r="F588" i="1"/>
  <c r="I588" i="1" s="1"/>
  <c r="E589" i="1" s="1"/>
  <c r="C1441" i="1" l="1"/>
  <c r="D1441" i="1" s="1"/>
  <c r="B1442" i="1"/>
  <c r="G589" i="1"/>
  <c r="H589" i="1"/>
  <c r="C1442" i="1" l="1"/>
  <c r="D1442" i="1" s="1"/>
  <c r="B1443" i="1"/>
  <c r="F589" i="1"/>
  <c r="B1444" i="1" l="1"/>
  <c r="C1443" i="1"/>
  <c r="D1443" i="1" s="1"/>
  <c r="I589" i="1"/>
  <c r="E590" i="1" s="1"/>
  <c r="B1445" i="1" l="1"/>
  <c r="C1444" i="1"/>
  <c r="D1444" i="1" s="1"/>
  <c r="G590" i="1"/>
  <c r="H590" i="1"/>
  <c r="F590" i="1" s="1"/>
  <c r="C1445" i="1" l="1"/>
  <c r="D1445" i="1" s="1"/>
  <c r="B1446" i="1"/>
  <c r="I590" i="1"/>
  <c r="E591" i="1" s="1"/>
  <c r="B1447" i="1" l="1"/>
  <c r="C1446" i="1"/>
  <c r="D1446" i="1" s="1"/>
  <c r="G591" i="1"/>
  <c r="H591" i="1"/>
  <c r="B1448" i="1" l="1"/>
  <c r="C1447" i="1"/>
  <c r="D1447" i="1" s="1"/>
  <c r="F591" i="1"/>
  <c r="I591" i="1" s="1"/>
  <c r="E592" i="1" s="1"/>
  <c r="B1449" i="1" l="1"/>
  <c r="C1448" i="1"/>
  <c r="D1448" i="1" s="1"/>
  <c r="G592" i="1"/>
  <c r="H592" i="1"/>
  <c r="B1450" i="1" l="1"/>
  <c r="C1449" i="1"/>
  <c r="D1449" i="1" s="1"/>
  <c r="F592" i="1"/>
  <c r="I592" i="1" s="1"/>
  <c r="E593" i="1" s="1"/>
  <c r="B1451" i="1" l="1"/>
  <c r="C1450" i="1"/>
  <c r="D1450" i="1" s="1"/>
  <c r="G593" i="1"/>
  <c r="H593" i="1"/>
  <c r="C1451" i="1" l="1"/>
  <c r="D1451" i="1" s="1"/>
  <c r="B1452" i="1"/>
  <c r="F593" i="1"/>
  <c r="I593" i="1" s="1"/>
  <c r="E594" i="1" s="1"/>
  <c r="C1452" i="1" l="1"/>
  <c r="D1452" i="1" s="1"/>
  <c r="B1453" i="1"/>
  <c r="H594" i="1"/>
  <c r="G594" i="1"/>
  <c r="C1453" i="1" l="1"/>
  <c r="D1453" i="1" s="1"/>
  <c r="B1454" i="1"/>
  <c r="F594" i="1"/>
  <c r="I594" i="1" s="1"/>
  <c r="E595" i="1" s="1"/>
  <c r="C1454" i="1" l="1"/>
  <c r="D1454" i="1" s="1"/>
  <c r="B1455" i="1"/>
  <c r="G595" i="1"/>
  <c r="H595" i="1"/>
  <c r="B1456" i="1" l="1"/>
  <c r="C1455" i="1"/>
  <c r="D1455" i="1" s="1"/>
  <c r="F595" i="1"/>
  <c r="I595" i="1" s="1"/>
  <c r="E596" i="1" s="1"/>
  <c r="C1456" i="1" l="1"/>
  <c r="D1456" i="1" s="1"/>
  <c r="B1457" i="1"/>
  <c r="H596" i="1"/>
  <c r="G596" i="1"/>
  <c r="C1457" i="1" l="1"/>
  <c r="D1457" i="1" s="1"/>
  <c r="B1458" i="1"/>
  <c r="F596" i="1"/>
  <c r="C1458" i="1" l="1"/>
  <c r="D1458" i="1" s="1"/>
  <c r="B1459" i="1"/>
  <c r="I596" i="1"/>
  <c r="E597" i="1" s="1"/>
  <c r="C1459" i="1" l="1"/>
  <c r="D1459" i="1" s="1"/>
  <c r="B1460" i="1"/>
  <c r="H597" i="1"/>
  <c r="F597" i="1" s="1"/>
  <c r="G597" i="1"/>
  <c r="C1460" i="1" l="1"/>
  <c r="D1460" i="1" s="1"/>
  <c r="B1461" i="1"/>
  <c r="I597" i="1"/>
  <c r="E598" i="1" s="1"/>
  <c r="B1462" i="1" l="1"/>
  <c r="C1461" i="1"/>
  <c r="D1461" i="1" s="1"/>
  <c r="G598" i="1"/>
  <c r="H598" i="1"/>
  <c r="C1462" i="1" l="1"/>
  <c r="D1462" i="1" s="1"/>
  <c r="B1463" i="1"/>
  <c r="F598" i="1"/>
  <c r="I598" i="1" s="1"/>
  <c r="E599" i="1" s="1"/>
  <c r="C1463" i="1" l="1"/>
  <c r="D1463" i="1" s="1"/>
  <c r="B1464" i="1"/>
  <c r="H599" i="1"/>
  <c r="G599" i="1"/>
  <c r="C1464" i="1" l="1"/>
  <c r="D1464" i="1" s="1"/>
  <c r="B1465" i="1"/>
  <c r="F599" i="1"/>
  <c r="B1466" i="1" l="1"/>
  <c r="C1465" i="1"/>
  <c r="D1465" i="1" s="1"/>
  <c r="I599" i="1"/>
  <c r="E600" i="1" s="1"/>
  <c r="B1467" i="1" l="1"/>
  <c r="C1466" i="1"/>
  <c r="D1466" i="1" s="1"/>
  <c r="H600" i="1"/>
  <c r="F600" i="1" s="1"/>
  <c r="G600" i="1"/>
  <c r="C1467" i="1" l="1"/>
  <c r="D1467" i="1" s="1"/>
  <c r="B1468" i="1"/>
  <c r="I600" i="1"/>
  <c r="E601" i="1" s="1"/>
  <c r="C1468" i="1" l="1"/>
  <c r="D1468" i="1" s="1"/>
  <c r="B1469" i="1"/>
  <c r="G601" i="1"/>
  <c r="H601" i="1"/>
  <c r="C1469" i="1" l="1"/>
  <c r="D1469" i="1" s="1"/>
  <c r="B1470" i="1"/>
  <c r="F601" i="1"/>
  <c r="I601" i="1" s="1"/>
  <c r="E602" i="1" s="1"/>
  <c r="C1470" i="1" l="1"/>
  <c r="D1470" i="1" s="1"/>
  <c r="B1471" i="1"/>
  <c r="H602" i="1"/>
  <c r="G602" i="1"/>
  <c r="B1472" i="1" l="1"/>
  <c r="C1471" i="1"/>
  <c r="F602" i="1"/>
  <c r="D1471" i="1" l="1"/>
  <c r="D6" i="2"/>
  <c r="D8" i="2"/>
  <c r="D7" i="2"/>
  <c r="D5" i="2"/>
  <c r="E5" i="2"/>
  <c r="B1473" i="1"/>
  <c r="C1472" i="1"/>
  <c r="D1472" i="1" s="1"/>
  <c r="I602" i="1"/>
  <c r="E603" i="1" s="1"/>
  <c r="B1474" i="1" l="1"/>
  <c r="C1473" i="1"/>
  <c r="D1473" i="1" s="1"/>
  <c r="H603" i="1"/>
  <c r="G603" i="1"/>
  <c r="F603" i="1"/>
  <c r="B1475" i="1" l="1"/>
  <c r="C1474" i="1"/>
  <c r="D1474" i="1" s="1"/>
  <c r="I603" i="1"/>
  <c r="E604" i="1" s="1"/>
  <c r="C1475" i="1" l="1"/>
  <c r="D1475" i="1" s="1"/>
  <c r="B1476" i="1"/>
  <c r="H604" i="1"/>
  <c r="G604" i="1"/>
  <c r="C1476" i="1" l="1"/>
  <c r="D1476" i="1" s="1"/>
  <c r="B1477" i="1"/>
  <c r="F604" i="1"/>
  <c r="B1478" i="1" l="1"/>
  <c r="C1477" i="1"/>
  <c r="D1477" i="1" s="1"/>
  <c r="I604" i="1"/>
  <c r="E605" i="1" s="1"/>
  <c r="C1478" i="1" l="1"/>
  <c r="D1478" i="1" s="1"/>
  <c r="B1479" i="1"/>
  <c r="G605" i="1"/>
  <c r="H605" i="1"/>
  <c r="B1480" i="1" l="1"/>
  <c r="C1479" i="1"/>
  <c r="D1479" i="1" s="1"/>
  <c r="F605" i="1"/>
  <c r="I605" i="1" s="1"/>
  <c r="E606" i="1" s="1"/>
  <c r="C1480" i="1" l="1"/>
  <c r="D1480" i="1" s="1"/>
  <c r="B1481" i="1"/>
  <c r="H606" i="1"/>
  <c r="G606" i="1"/>
  <c r="C1481" i="1" l="1"/>
  <c r="D1481" i="1" s="1"/>
  <c r="B1482" i="1"/>
  <c r="F606" i="1"/>
  <c r="I606" i="1" s="1"/>
  <c r="E607" i="1" s="1"/>
  <c r="B1483" i="1" l="1"/>
  <c r="C1482" i="1"/>
  <c r="D1482" i="1" s="1"/>
  <c r="H607" i="1"/>
  <c r="G607" i="1"/>
  <c r="C1483" i="1" l="1"/>
  <c r="D1483" i="1" s="1"/>
  <c r="B1484" i="1"/>
  <c r="F607" i="1"/>
  <c r="C1484" i="1" l="1"/>
  <c r="D1484" i="1" s="1"/>
  <c r="B1485" i="1"/>
  <c r="I607" i="1"/>
  <c r="E608" i="1" s="1"/>
  <c r="C1485" i="1" l="1"/>
  <c r="D1485" i="1" s="1"/>
  <c r="B1486" i="1"/>
  <c r="G608" i="1"/>
  <c r="H608" i="1"/>
  <c r="F608" i="1" s="1"/>
  <c r="C1486" i="1" l="1"/>
  <c r="D1486" i="1" s="1"/>
  <c r="B1487" i="1"/>
  <c r="I608" i="1"/>
  <c r="E609" i="1" s="1"/>
  <c r="B1488" i="1" l="1"/>
  <c r="C1487" i="1"/>
  <c r="D1487" i="1" s="1"/>
  <c r="H609" i="1"/>
  <c r="G609" i="1"/>
  <c r="C1488" i="1" l="1"/>
  <c r="D1488" i="1" s="1"/>
  <c r="B1489" i="1"/>
  <c r="F609" i="1"/>
  <c r="I609" i="1" s="1"/>
  <c r="E610" i="1" s="1"/>
  <c r="C1489" i="1" l="1"/>
  <c r="D1489" i="1" s="1"/>
  <c r="B1490" i="1"/>
  <c r="H610" i="1"/>
  <c r="G610" i="1"/>
  <c r="C1490" i="1" l="1"/>
  <c r="D1490" i="1" s="1"/>
  <c r="B1491" i="1"/>
  <c r="F610" i="1"/>
  <c r="I610" i="1" s="1"/>
  <c r="E611" i="1" s="1"/>
  <c r="B1492" i="1" l="1"/>
  <c r="C1491" i="1"/>
  <c r="D1491" i="1" s="1"/>
  <c r="H611" i="1"/>
  <c r="G611" i="1"/>
  <c r="C1492" i="1" l="1"/>
  <c r="D1492" i="1" s="1"/>
  <c r="B1493" i="1"/>
  <c r="F611" i="1"/>
  <c r="I611" i="1" s="1"/>
  <c r="E612" i="1" s="1"/>
  <c r="C1493" i="1" l="1"/>
  <c r="D1493" i="1" s="1"/>
  <c r="B1494" i="1"/>
  <c r="H612" i="1"/>
  <c r="G612" i="1"/>
  <c r="C1494" i="1" l="1"/>
  <c r="D1494" i="1" s="1"/>
  <c r="B1495" i="1"/>
  <c r="F612" i="1"/>
  <c r="B1496" i="1" l="1"/>
  <c r="C1495" i="1"/>
  <c r="D1495" i="1" s="1"/>
  <c r="I612" i="1"/>
  <c r="E613" i="1" s="1"/>
  <c r="C1496" i="1" l="1"/>
  <c r="D1496" i="1" s="1"/>
  <c r="B1497" i="1"/>
  <c r="G613" i="1"/>
  <c r="H613" i="1"/>
  <c r="F613" i="1" s="1"/>
  <c r="B1498" i="1" l="1"/>
  <c r="C1497" i="1"/>
  <c r="D1497" i="1" s="1"/>
  <c r="I613" i="1"/>
  <c r="E614" i="1" s="1"/>
  <c r="C1498" i="1" l="1"/>
  <c r="D1498" i="1" s="1"/>
  <c r="B1499" i="1"/>
  <c r="H614" i="1"/>
  <c r="G614" i="1"/>
  <c r="F614" i="1"/>
  <c r="I614" i="1" s="1"/>
  <c r="E615" i="1" s="1"/>
  <c r="C1499" i="1" l="1"/>
  <c r="D1499" i="1" s="1"/>
  <c r="B1500" i="1"/>
  <c r="G615" i="1"/>
  <c r="H615" i="1"/>
  <c r="C1500" i="1" l="1"/>
  <c r="D1500" i="1" s="1"/>
  <c r="B1501" i="1"/>
  <c r="F615" i="1"/>
  <c r="I615" i="1" s="1"/>
  <c r="E616" i="1" s="1"/>
  <c r="C1501" i="1" l="1"/>
  <c r="D1501" i="1" s="1"/>
  <c r="B1502" i="1"/>
  <c r="G616" i="1"/>
  <c r="H616" i="1"/>
  <c r="B1503" i="1" l="1"/>
  <c r="C1502" i="1"/>
  <c r="D1502" i="1" s="1"/>
  <c r="F616" i="1"/>
  <c r="B1504" i="1" l="1"/>
  <c r="C1503" i="1"/>
  <c r="D1503" i="1" s="1"/>
  <c r="I616" i="1"/>
  <c r="E617" i="1" s="1"/>
  <c r="B1505" i="1" l="1"/>
  <c r="C1504" i="1"/>
  <c r="D1504" i="1" s="1"/>
  <c r="G617" i="1"/>
  <c r="H617" i="1"/>
  <c r="B1506" i="1" l="1"/>
  <c r="C1505" i="1"/>
  <c r="D1505" i="1" s="1"/>
  <c r="F617" i="1"/>
  <c r="I617" i="1" s="1"/>
  <c r="E618" i="1" s="1"/>
  <c r="C1506" i="1" l="1"/>
  <c r="D1506" i="1" s="1"/>
  <c r="B1507" i="1"/>
  <c r="G618" i="1"/>
  <c r="H618" i="1"/>
  <c r="C1507" i="1" l="1"/>
  <c r="D1507" i="1" s="1"/>
  <c r="B1508" i="1"/>
  <c r="F618" i="1"/>
  <c r="I618" i="1" s="1"/>
  <c r="E619" i="1" s="1"/>
  <c r="B1509" i="1" l="1"/>
  <c r="C1508" i="1"/>
  <c r="D1508" i="1" s="1"/>
  <c r="H619" i="1"/>
  <c r="G619" i="1"/>
  <c r="C1509" i="1" l="1"/>
  <c r="D1509" i="1" s="1"/>
  <c r="B1510" i="1"/>
  <c r="F619" i="1"/>
  <c r="I619" i="1" s="1"/>
  <c r="E620" i="1" s="1"/>
  <c r="C1510" i="1" l="1"/>
  <c r="D1510" i="1" s="1"/>
  <c r="B1511" i="1"/>
  <c r="H620" i="1"/>
  <c r="G620" i="1"/>
  <c r="B1512" i="1" l="1"/>
  <c r="C1511" i="1"/>
  <c r="D1511" i="1" s="1"/>
  <c r="F620" i="1"/>
  <c r="B1513" i="1" l="1"/>
  <c r="C1512" i="1"/>
  <c r="D1512" i="1" s="1"/>
  <c r="I620" i="1"/>
  <c r="E621" i="1" s="1"/>
  <c r="B1514" i="1" l="1"/>
  <c r="C1513" i="1"/>
  <c r="D1513" i="1" s="1"/>
  <c r="H621" i="1"/>
  <c r="F621" i="1" s="1"/>
  <c r="G621" i="1"/>
  <c r="C1514" i="1" l="1"/>
  <c r="D1514" i="1" s="1"/>
  <c r="B1515" i="1"/>
  <c r="I621" i="1"/>
  <c r="E622" i="1" s="1"/>
  <c r="C1515" i="1" l="1"/>
  <c r="D1515" i="1" s="1"/>
  <c r="B1516" i="1"/>
  <c r="G622" i="1"/>
  <c r="H622" i="1"/>
  <c r="C1516" i="1" l="1"/>
  <c r="D1516" i="1" s="1"/>
  <c r="B1517" i="1"/>
  <c r="F622" i="1"/>
  <c r="B1518" i="1" l="1"/>
  <c r="C1517" i="1"/>
  <c r="D1517" i="1" s="1"/>
  <c r="I622" i="1"/>
  <c r="E623" i="1" s="1"/>
  <c r="C1518" i="1" l="1"/>
  <c r="D1518" i="1" s="1"/>
  <c r="B1519" i="1"/>
  <c r="H623" i="1"/>
  <c r="F623" i="1" s="1"/>
  <c r="G623" i="1"/>
  <c r="B1520" i="1" l="1"/>
  <c r="C1519" i="1"/>
  <c r="D1519" i="1" s="1"/>
  <c r="I623" i="1"/>
  <c r="E624" i="1" s="1"/>
  <c r="C1520" i="1" l="1"/>
  <c r="D1520" i="1" s="1"/>
  <c r="B1521" i="1"/>
  <c r="G624" i="1"/>
  <c r="H624" i="1"/>
  <c r="B1522" i="1" l="1"/>
  <c r="C1521" i="1"/>
  <c r="D1521" i="1" s="1"/>
  <c r="F624" i="1"/>
  <c r="I624" i="1" s="1"/>
  <c r="E625" i="1" s="1"/>
  <c r="C1522" i="1" l="1"/>
  <c r="D1522" i="1" s="1"/>
  <c r="B1523" i="1"/>
  <c r="H625" i="1"/>
  <c r="G625" i="1"/>
  <c r="C1523" i="1" l="1"/>
  <c r="D1523" i="1" s="1"/>
  <c r="B1524" i="1"/>
  <c r="F625" i="1"/>
  <c r="I625" i="1" s="1"/>
  <c r="E626" i="1" s="1"/>
  <c r="B1525" i="1" l="1"/>
  <c r="C1524" i="1"/>
  <c r="D1524" i="1" s="1"/>
  <c r="G626" i="1"/>
  <c r="H626" i="1"/>
  <c r="B1526" i="1" l="1"/>
  <c r="C1525" i="1"/>
  <c r="D1525" i="1" s="1"/>
  <c r="F626" i="1"/>
  <c r="I626" i="1" s="1"/>
  <c r="E627" i="1" s="1"/>
  <c r="C1526" i="1" l="1"/>
  <c r="D1526" i="1" s="1"/>
  <c r="B1527" i="1"/>
  <c r="G627" i="1"/>
  <c r="H627" i="1"/>
  <c r="C1527" i="1" l="1"/>
  <c r="D1527" i="1" s="1"/>
  <c r="B1528" i="1"/>
  <c r="F627" i="1"/>
  <c r="I627" i="1" s="1"/>
  <c r="E628" i="1" s="1"/>
  <c r="B1529" i="1" l="1"/>
  <c r="C1528" i="1"/>
  <c r="D1528" i="1" s="1"/>
  <c r="G628" i="1"/>
  <c r="H628" i="1"/>
  <c r="B1530" i="1" l="1"/>
  <c r="C1529" i="1"/>
  <c r="D1529" i="1" s="1"/>
  <c r="F628" i="1"/>
  <c r="I628" i="1" s="1"/>
  <c r="E629" i="1" s="1"/>
  <c r="B1531" i="1" l="1"/>
  <c r="C1530" i="1"/>
  <c r="D1530" i="1" s="1"/>
  <c r="H629" i="1"/>
  <c r="G629" i="1"/>
  <c r="B1532" i="1" l="1"/>
  <c r="C1531" i="1"/>
  <c r="D1531" i="1" s="1"/>
  <c r="F629" i="1"/>
  <c r="I629" i="1" s="1"/>
  <c r="E630" i="1" s="1"/>
  <c r="B1533" i="1" l="1"/>
  <c r="C1532" i="1"/>
  <c r="D1532" i="1" s="1"/>
  <c r="H630" i="1"/>
  <c r="G630" i="1"/>
  <c r="C1533" i="1" l="1"/>
  <c r="D1533" i="1" s="1"/>
  <c r="B1534" i="1"/>
  <c r="F630" i="1"/>
  <c r="I630" i="1" s="1"/>
  <c r="E631" i="1" s="1"/>
  <c r="C1534" i="1" l="1"/>
  <c r="D1534" i="1" s="1"/>
  <c r="B1535" i="1"/>
  <c r="G631" i="1"/>
  <c r="H631" i="1"/>
  <c r="B1536" i="1" l="1"/>
  <c r="C1535" i="1"/>
  <c r="D1535" i="1" s="1"/>
  <c r="F631" i="1"/>
  <c r="I631" i="1" s="1"/>
  <c r="E632" i="1" s="1"/>
  <c r="B1537" i="1" l="1"/>
  <c r="C1536" i="1"/>
  <c r="D1536" i="1" s="1"/>
  <c r="G632" i="1"/>
  <c r="H632" i="1"/>
  <c r="C1537" i="1" l="1"/>
  <c r="D1537" i="1" s="1"/>
  <c r="B1538" i="1"/>
  <c r="F632" i="1"/>
  <c r="I632" i="1" s="1"/>
  <c r="E633" i="1" s="1"/>
  <c r="C1538" i="1" l="1"/>
  <c r="D1538" i="1" s="1"/>
  <c r="B1539" i="1"/>
  <c r="G633" i="1"/>
  <c r="H633" i="1"/>
  <c r="C1539" i="1" l="1"/>
  <c r="D1539" i="1" s="1"/>
  <c r="B1540" i="1"/>
  <c r="F633" i="1"/>
  <c r="I633" i="1" s="1"/>
  <c r="E634" i="1" s="1"/>
  <c r="B1541" i="1" l="1"/>
  <c r="C1540" i="1"/>
  <c r="D1540" i="1" s="1"/>
  <c r="H634" i="1"/>
  <c r="G634" i="1"/>
  <c r="C1541" i="1" l="1"/>
  <c r="D1541" i="1" s="1"/>
  <c r="B1542" i="1"/>
  <c r="F634" i="1"/>
  <c r="I634" i="1" s="1"/>
  <c r="E635" i="1" s="1"/>
  <c r="C1542" i="1" l="1"/>
  <c r="D1542" i="1" s="1"/>
  <c r="B1543" i="1"/>
  <c r="G635" i="1"/>
  <c r="H635" i="1"/>
  <c r="C1543" i="1" l="1"/>
  <c r="D1543" i="1" s="1"/>
  <c r="B1544" i="1"/>
  <c r="F635" i="1"/>
  <c r="I635" i="1" s="1"/>
  <c r="E636" i="1" s="1"/>
  <c r="B1545" i="1" l="1"/>
  <c r="C1544" i="1"/>
  <c r="D1544" i="1" s="1"/>
  <c r="H636" i="1"/>
  <c r="G636" i="1"/>
  <c r="C1545" i="1" l="1"/>
  <c r="D1545" i="1" s="1"/>
  <c r="B1546" i="1"/>
  <c r="F636" i="1"/>
  <c r="I636" i="1" s="1"/>
  <c r="E637" i="1" s="1"/>
  <c r="C1546" i="1" l="1"/>
  <c r="D1546" i="1" s="1"/>
  <c r="B1547" i="1"/>
  <c r="G637" i="1"/>
  <c r="H637" i="1"/>
  <c r="C1547" i="1" l="1"/>
  <c r="D1547" i="1" s="1"/>
  <c r="B1548" i="1"/>
  <c r="F637" i="1"/>
  <c r="I637" i="1" s="1"/>
  <c r="E638" i="1" s="1"/>
  <c r="C1548" i="1" l="1"/>
  <c r="D1548" i="1" s="1"/>
  <c r="B1549" i="1"/>
  <c r="H638" i="1"/>
  <c r="G638" i="1"/>
  <c r="C1549" i="1" l="1"/>
  <c r="D1549" i="1" s="1"/>
  <c r="B1550" i="1"/>
  <c r="F638" i="1"/>
  <c r="I638" i="1" s="1"/>
  <c r="E639" i="1" s="1"/>
  <c r="B1551" i="1" l="1"/>
  <c r="C1550" i="1"/>
  <c r="D1550" i="1" s="1"/>
  <c r="G639" i="1"/>
  <c r="H639" i="1"/>
  <c r="C1551" i="1" l="1"/>
  <c r="D1551" i="1" s="1"/>
  <c r="B1552" i="1"/>
  <c r="F639" i="1"/>
  <c r="B1553" i="1" l="1"/>
  <c r="C1552" i="1"/>
  <c r="D1552" i="1" s="1"/>
  <c r="I639" i="1"/>
  <c r="E640" i="1" s="1"/>
  <c r="C1553" i="1" l="1"/>
  <c r="D1553" i="1" s="1"/>
  <c r="B1554" i="1"/>
  <c r="G640" i="1"/>
  <c r="H640" i="1"/>
  <c r="C1554" i="1" l="1"/>
  <c r="D1554" i="1" s="1"/>
  <c r="B1555" i="1"/>
  <c r="F640" i="1"/>
  <c r="I640" i="1" s="1"/>
  <c r="E641" i="1" s="1"/>
  <c r="C1555" i="1" l="1"/>
  <c r="D1555" i="1" s="1"/>
  <c r="B1556" i="1"/>
  <c r="G641" i="1"/>
  <c r="H641" i="1"/>
  <c r="B1557" i="1" l="1"/>
  <c r="C1556" i="1"/>
  <c r="D1556" i="1" s="1"/>
  <c r="F641" i="1"/>
  <c r="I641" i="1" s="1"/>
  <c r="E642" i="1" s="1"/>
  <c r="C1557" i="1" l="1"/>
  <c r="D1557" i="1" s="1"/>
  <c r="B1558" i="1"/>
  <c r="G642" i="1"/>
  <c r="H642" i="1"/>
  <c r="C1558" i="1" l="1"/>
  <c r="D1558" i="1" s="1"/>
  <c r="B1559" i="1"/>
  <c r="F642" i="1"/>
  <c r="I642" i="1" s="1"/>
  <c r="E643" i="1" s="1"/>
  <c r="B1560" i="1" l="1"/>
  <c r="C1559" i="1"/>
  <c r="D1559" i="1" s="1"/>
  <c r="G643" i="1"/>
  <c r="H643" i="1"/>
  <c r="C1560" i="1" l="1"/>
  <c r="D1560" i="1" s="1"/>
  <c r="B1561" i="1"/>
  <c r="F643" i="1"/>
  <c r="C1561" i="1" l="1"/>
  <c r="D1561" i="1" s="1"/>
  <c r="B1562" i="1"/>
  <c r="I643" i="1"/>
  <c r="E644" i="1" s="1"/>
  <c r="C1562" i="1" l="1"/>
  <c r="D1562" i="1" s="1"/>
  <c r="B1563" i="1"/>
  <c r="G644" i="1"/>
  <c r="H644" i="1"/>
  <c r="C1563" i="1" l="1"/>
  <c r="D1563" i="1" s="1"/>
  <c r="B1564" i="1"/>
  <c r="F644" i="1"/>
  <c r="I644" i="1" s="1"/>
  <c r="E645" i="1" s="1"/>
  <c r="C1564" i="1" l="1"/>
  <c r="D1564" i="1" s="1"/>
  <c r="B1565" i="1"/>
  <c r="G645" i="1"/>
  <c r="H645" i="1"/>
  <c r="C1565" i="1" l="1"/>
  <c r="D1565" i="1" s="1"/>
  <c r="B1566" i="1"/>
  <c r="F645" i="1"/>
  <c r="C1566" i="1" l="1"/>
  <c r="D1566" i="1" s="1"/>
  <c r="B1567" i="1"/>
  <c r="I645" i="1"/>
  <c r="E646" i="1" s="1"/>
  <c r="C1567" i="1" l="1"/>
  <c r="D1567" i="1" s="1"/>
  <c r="B1568" i="1"/>
  <c r="H646" i="1"/>
  <c r="F646" i="1" s="1"/>
  <c r="G646" i="1"/>
  <c r="C1568" i="1" l="1"/>
  <c r="D1568" i="1" s="1"/>
  <c r="B1569" i="1"/>
  <c r="I646" i="1"/>
  <c r="E647" i="1" s="1"/>
  <c r="C1569" i="1" l="1"/>
  <c r="D1569" i="1" s="1"/>
  <c r="B1570" i="1"/>
  <c r="H647" i="1"/>
  <c r="G647" i="1"/>
  <c r="C1570" i="1" l="1"/>
  <c r="D1570" i="1" s="1"/>
  <c r="B1571" i="1"/>
  <c r="F647" i="1"/>
  <c r="C1571" i="1" l="1"/>
  <c r="D1571" i="1" s="1"/>
  <c r="B1572" i="1"/>
  <c r="I647" i="1"/>
  <c r="E648" i="1" s="1"/>
  <c r="C1572" i="1" l="1"/>
  <c r="D1572" i="1" s="1"/>
  <c r="B1573" i="1"/>
  <c r="H648" i="1"/>
  <c r="F648" i="1" s="1"/>
  <c r="G648" i="1"/>
  <c r="C1573" i="1" l="1"/>
  <c r="D1573" i="1" s="1"/>
  <c r="B1574" i="1"/>
  <c r="I648" i="1"/>
  <c r="E649" i="1" s="1"/>
  <c r="B1575" i="1" l="1"/>
  <c r="C1574" i="1"/>
  <c r="D1574" i="1" s="1"/>
  <c r="H649" i="1"/>
  <c r="G649" i="1"/>
  <c r="C1575" i="1" l="1"/>
  <c r="D1575" i="1" s="1"/>
  <c r="B1576" i="1"/>
  <c r="F649" i="1"/>
  <c r="I649" i="1" s="1"/>
  <c r="E650" i="1" s="1"/>
  <c r="B1577" i="1" l="1"/>
  <c r="C1576" i="1"/>
  <c r="D1576" i="1" s="1"/>
  <c r="H650" i="1"/>
  <c r="G650" i="1"/>
  <c r="C1577" i="1" l="1"/>
  <c r="D1577" i="1" s="1"/>
  <c r="B1578" i="1"/>
  <c r="F650" i="1"/>
  <c r="I650" i="1" s="1"/>
  <c r="E651" i="1" s="1"/>
  <c r="C1578" i="1" l="1"/>
  <c r="D1578" i="1" s="1"/>
  <c r="B1579" i="1"/>
  <c r="G651" i="1"/>
  <c r="H651" i="1"/>
  <c r="C1579" i="1" l="1"/>
  <c r="D1579" i="1" s="1"/>
  <c r="B1580" i="1"/>
  <c r="F651" i="1"/>
  <c r="I651" i="1" s="1"/>
  <c r="E652" i="1" s="1"/>
  <c r="C1580" i="1" l="1"/>
  <c r="D1580" i="1" s="1"/>
  <c r="B1581" i="1"/>
  <c r="H652" i="1"/>
  <c r="G652" i="1"/>
  <c r="C1581" i="1" l="1"/>
  <c r="D1581" i="1" s="1"/>
  <c r="B1582" i="1"/>
  <c r="F652" i="1"/>
  <c r="C1582" i="1" l="1"/>
  <c r="D1582" i="1" s="1"/>
  <c r="B1583" i="1"/>
  <c r="I652" i="1"/>
  <c r="E653" i="1" s="1"/>
  <c r="C1583" i="1" l="1"/>
  <c r="D1583" i="1" s="1"/>
  <c r="B1584" i="1"/>
  <c r="G653" i="1"/>
  <c r="H653" i="1"/>
  <c r="B1585" i="1" l="1"/>
  <c r="C1584" i="1"/>
  <c r="D1584" i="1" s="1"/>
  <c r="F653" i="1"/>
  <c r="I653" i="1" s="1"/>
  <c r="E654" i="1" s="1"/>
  <c r="C1585" i="1" l="1"/>
  <c r="D1585" i="1" s="1"/>
  <c r="B1586" i="1"/>
  <c r="G654" i="1"/>
  <c r="H654" i="1"/>
  <c r="B1587" i="1" l="1"/>
  <c r="C1586" i="1"/>
  <c r="D1586" i="1" s="1"/>
  <c r="F654" i="1"/>
  <c r="I654" i="1" s="1"/>
  <c r="E655" i="1" s="1"/>
  <c r="C1587" i="1" l="1"/>
  <c r="D1587" i="1" s="1"/>
  <c r="B1588" i="1"/>
  <c r="G655" i="1"/>
  <c r="H655" i="1"/>
  <c r="C1588" i="1" l="1"/>
  <c r="D1588" i="1" s="1"/>
  <c r="B1589" i="1"/>
  <c r="F655" i="1"/>
  <c r="I655" i="1" s="1"/>
  <c r="E656" i="1" s="1"/>
  <c r="B1590" i="1" l="1"/>
  <c r="C1589" i="1"/>
  <c r="D1589" i="1" s="1"/>
  <c r="H656" i="1"/>
  <c r="G656" i="1"/>
  <c r="B1591" i="1" l="1"/>
  <c r="C1590" i="1"/>
  <c r="D1590" i="1" s="1"/>
  <c r="F656" i="1"/>
  <c r="I656" i="1" s="1"/>
  <c r="E657" i="1" s="1"/>
  <c r="B1592" i="1" l="1"/>
  <c r="C1591" i="1"/>
  <c r="D1591" i="1" s="1"/>
  <c r="H657" i="1"/>
  <c r="G657" i="1"/>
  <c r="B1593" i="1" l="1"/>
  <c r="C1592" i="1"/>
  <c r="D1592" i="1" s="1"/>
  <c r="F657" i="1"/>
  <c r="I657" i="1" s="1"/>
  <c r="E658" i="1" s="1"/>
  <c r="B1594" i="1" l="1"/>
  <c r="C1593" i="1"/>
  <c r="D1593" i="1" s="1"/>
  <c r="G658" i="1"/>
  <c r="H658" i="1"/>
  <c r="B1595" i="1" l="1"/>
  <c r="C1594" i="1"/>
  <c r="D1594" i="1" s="1"/>
  <c r="F658" i="1"/>
  <c r="I658" i="1" s="1"/>
  <c r="E659" i="1" s="1"/>
  <c r="B1596" i="1" l="1"/>
  <c r="C1595" i="1"/>
  <c r="D1595" i="1" s="1"/>
  <c r="G659" i="1"/>
  <c r="H659" i="1"/>
  <c r="B1597" i="1" l="1"/>
  <c r="C1596" i="1"/>
  <c r="D1596" i="1" s="1"/>
  <c r="F659" i="1"/>
  <c r="I659" i="1" s="1"/>
  <c r="E660" i="1" s="1"/>
  <c r="B1598" i="1" l="1"/>
  <c r="C1597" i="1"/>
  <c r="D1597" i="1" s="1"/>
  <c r="H660" i="1"/>
  <c r="G660" i="1"/>
  <c r="B1599" i="1" l="1"/>
  <c r="C1598" i="1"/>
  <c r="D1598" i="1" s="1"/>
  <c r="F660" i="1"/>
  <c r="I660" i="1" s="1"/>
  <c r="E661" i="1" s="1"/>
  <c r="C1599" i="1" l="1"/>
  <c r="D1599" i="1" s="1"/>
  <c r="B1600" i="1"/>
  <c r="H661" i="1"/>
  <c r="G661" i="1"/>
  <c r="C1600" i="1" l="1"/>
  <c r="D1600" i="1" s="1"/>
  <c r="B1601" i="1"/>
  <c r="F661" i="1"/>
  <c r="I661" i="1" s="1"/>
  <c r="E662" i="1" s="1"/>
  <c r="C1601" i="1" l="1"/>
  <c r="D1601" i="1" s="1"/>
  <c r="B1602" i="1"/>
  <c r="G662" i="1"/>
  <c r="H662" i="1"/>
  <c r="C1602" i="1" l="1"/>
  <c r="D1602" i="1" s="1"/>
  <c r="B1603" i="1"/>
  <c r="F662" i="1"/>
  <c r="B1604" i="1" l="1"/>
  <c r="C1603" i="1"/>
  <c r="D1603" i="1" s="1"/>
  <c r="I662" i="1"/>
  <c r="E663" i="1" s="1"/>
  <c r="C1604" i="1" l="1"/>
  <c r="D1604" i="1" s="1"/>
  <c r="B1605" i="1"/>
  <c r="G663" i="1"/>
  <c r="H663" i="1"/>
  <c r="C1605" i="1" l="1"/>
  <c r="D1605" i="1" s="1"/>
  <c r="B1606" i="1"/>
  <c r="F663" i="1"/>
  <c r="I663" i="1" s="1"/>
  <c r="E664" i="1" s="1"/>
  <c r="C1606" i="1" l="1"/>
  <c r="D1606" i="1" s="1"/>
  <c r="B1607" i="1"/>
  <c r="H664" i="1"/>
  <c r="G664" i="1"/>
  <c r="C1607" i="1" l="1"/>
  <c r="D1607" i="1" s="1"/>
  <c r="B1608" i="1"/>
  <c r="F664" i="1"/>
  <c r="I664" i="1" s="1"/>
  <c r="E665" i="1" s="1"/>
  <c r="B1609" i="1" l="1"/>
  <c r="C1608" i="1"/>
  <c r="D1608" i="1" s="1"/>
  <c r="H665" i="1"/>
  <c r="G665" i="1"/>
  <c r="C1609" i="1" l="1"/>
  <c r="D1609" i="1" s="1"/>
  <c r="B1610" i="1"/>
  <c r="F665" i="1"/>
  <c r="C1610" i="1" l="1"/>
  <c r="D1610" i="1" s="1"/>
  <c r="B1611" i="1"/>
  <c r="I665" i="1"/>
  <c r="E666" i="1" s="1"/>
  <c r="C1611" i="1" l="1"/>
  <c r="D1611" i="1" s="1"/>
  <c r="B1612" i="1"/>
  <c r="H666" i="1"/>
  <c r="G666" i="1"/>
  <c r="F666" i="1"/>
  <c r="B1613" i="1" l="1"/>
  <c r="C1612" i="1"/>
  <c r="D1612" i="1" s="1"/>
  <c r="I666" i="1"/>
  <c r="E667" i="1" s="1"/>
  <c r="B1614" i="1" l="1"/>
  <c r="C1613" i="1"/>
  <c r="D1613" i="1" s="1"/>
  <c r="H667" i="1"/>
  <c r="G667" i="1"/>
  <c r="C1614" i="1" l="1"/>
  <c r="D1614" i="1" s="1"/>
  <c r="B1615" i="1"/>
  <c r="F667" i="1"/>
  <c r="I667" i="1" s="1"/>
  <c r="E668" i="1" s="1"/>
  <c r="B1616" i="1" l="1"/>
  <c r="C1615" i="1"/>
  <c r="D1615" i="1" s="1"/>
  <c r="H668" i="1"/>
  <c r="G668" i="1"/>
  <c r="C1616" i="1" l="1"/>
  <c r="D1616" i="1" s="1"/>
  <c r="B1617" i="1"/>
  <c r="F668" i="1"/>
  <c r="I668" i="1" s="1"/>
  <c r="E669" i="1" s="1"/>
  <c r="C1617" i="1" l="1"/>
  <c r="D1617" i="1" s="1"/>
  <c r="B1618" i="1"/>
  <c r="H669" i="1"/>
  <c r="G669" i="1"/>
  <c r="C1618" i="1" l="1"/>
  <c r="D1618" i="1" s="1"/>
  <c r="B1619" i="1"/>
  <c r="F669" i="1"/>
  <c r="C1619" i="1" l="1"/>
  <c r="D1619" i="1" s="1"/>
  <c r="B1620" i="1"/>
  <c r="I669" i="1"/>
  <c r="E670" i="1" s="1"/>
  <c r="C1620" i="1" l="1"/>
  <c r="D1620" i="1" s="1"/>
  <c r="B1621" i="1"/>
  <c r="H670" i="1"/>
  <c r="F670" i="1" s="1"/>
  <c r="G670" i="1"/>
  <c r="C1621" i="1" l="1"/>
  <c r="D1621" i="1" s="1"/>
  <c r="B1622" i="1"/>
  <c r="I670" i="1"/>
  <c r="B1623" i="1" l="1"/>
  <c r="C1622" i="1"/>
  <c r="D1622" i="1" s="1"/>
  <c r="E671" i="1"/>
  <c r="G671" i="1" s="1"/>
  <c r="B1624" i="1" l="1"/>
  <c r="C1623" i="1"/>
  <c r="D1623" i="1" s="1"/>
  <c r="H671" i="1"/>
  <c r="F671" i="1" s="1"/>
  <c r="I671" i="1" s="1"/>
  <c r="E672" i="1" s="1"/>
  <c r="C1624" i="1" l="1"/>
  <c r="D1624" i="1" s="1"/>
  <c r="B1625" i="1"/>
  <c r="G672" i="1"/>
  <c r="H672" i="1"/>
  <c r="F672" i="1" s="1"/>
  <c r="C1625" i="1" l="1"/>
  <c r="D1625" i="1" s="1"/>
  <c r="B1626" i="1"/>
  <c r="I672" i="1"/>
  <c r="E673" i="1" s="1"/>
  <c r="C1626" i="1" l="1"/>
  <c r="D1626" i="1" s="1"/>
  <c r="B1627" i="1"/>
  <c r="H673" i="1"/>
  <c r="G673" i="1"/>
  <c r="F673" i="1"/>
  <c r="C1627" i="1" l="1"/>
  <c r="D1627" i="1" s="1"/>
  <c r="B1628" i="1"/>
  <c r="I673" i="1"/>
  <c r="E674" i="1" s="1"/>
  <c r="B1629" i="1" l="1"/>
  <c r="C1628" i="1"/>
  <c r="D1628" i="1" s="1"/>
  <c r="H674" i="1"/>
  <c r="G674" i="1"/>
  <c r="F674" i="1"/>
  <c r="I674" i="1" s="1"/>
  <c r="E675" i="1" s="1"/>
  <c r="C1629" i="1" l="1"/>
  <c r="D1629" i="1" s="1"/>
  <c r="B1630" i="1"/>
  <c r="H675" i="1"/>
  <c r="G675" i="1"/>
  <c r="B1631" i="1" l="1"/>
  <c r="C1630" i="1"/>
  <c r="D1630" i="1" s="1"/>
  <c r="F675" i="1"/>
  <c r="I675" i="1" s="1"/>
  <c r="E676" i="1" s="1"/>
  <c r="B1632" i="1" l="1"/>
  <c r="C1631" i="1"/>
  <c r="D1631" i="1" s="1"/>
  <c r="H676" i="1"/>
  <c r="G676" i="1"/>
  <c r="C1632" i="1" l="1"/>
  <c r="D1632" i="1" s="1"/>
  <c r="B1633" i="1"/>
  <c r="F676" i="1"/>
  <c r="B1634" i="1" l="1"/>
  <c r="C1633" i="1"/>
  <c r="D1633" i="1" s="1"/>
  <c r="I676" i="1"/>
  <c r="E677" i="1" s="1"/>
  <c r="C1634" i="1" l="1"/>
  <c r="D1634" i="1" s="1"/>
  <c r="B1635" i="1"/>
  <c r="H677" i="1"/>
  <c r="F677" i="1" s="1"/>
  <c r="G677" i="1"/>
  <c r="C1635" i="1" l="1"/>
  <c r="D1635" i="1" s="1"/>
  <c r="B1636" i="1"/>
  <c r="I677" i="1"/>
  <c r="E678" i="1" s="1"/>
  <c r="B1637" i="1" l="1"/>
  <c r="C1636" i="1"/>
  <c r="D1636" i="1" s="1"/>
  <c r="H678" i="1"/>
  <c r="G678" i="1"/>
  <c r="C1637" i="1" l="1"/>
  <c r="D1637" i="1" s="1"/>
  <c r="B1638" i="1"/>
  <c r="F678" i="1"/>
  <c r="B1639" i="1" l="1"/>
  <c r="C1638" i="1"/>
  <c r="D1638" i="1" s="1"/>
  <c r="I678" i="1"/>
  <c r="E679" i="1" s="1"/>
  <c r="C1639" i="1" l="1"/>
  <c r="D1639" i="1" s="1"/>
  <c r="B1640" i="1"/>
  <c r="H679" i="1"/>
  <c r="F679" i="1" s="1"/>
  <c r="G679" i="1"/>
  <c r="C1640" i="1" l="1"/>
  <c r="D1640" i="1" s="1"/>
  <c r="B1641" i="1"/>
  <c r="I679" i="1"/>
  <c r="E680" i="1" s="1"/>
  <c r="B1642" i="1" l="1"/>
  <c r="C1641" i="1"/>
  <c r="D1641" i="1" s="1"/>
  <c r="H680" i="1"/>
  <c r="G680" i="1"/>
  <c r="B1643" i="1" l="1"/>
  <c r="C1642" i="1"/>
  <c r="D1642" i="1" s="1"/>
  <c r="F680" i="1"/>
  <c r="I680" i="1" s="1"/>
  <c r="E681" i="1" s="1"/>
  <c r="C1643" i="1" l="1"/>
  <c r="D1643" i="1" s="1"/>
  <c r="B1644" i="1"/>
  <c r="H681" i="1"/>
  <c r="G681" i="1"/>
  <c r="C1644" i="1" l="1"/>
  <c r="D1644" i="1" s="1"/>
  <c r="B1645" i="1"/>
  <c r="F681" i="1"/>
  <c r="C1645" i="1" l="1"/>
  <c r="D1645" i="1" s="1"/>
  <c r="B1646" i="1"/>
  <c r="I681" i="1"/>
  <c r="E682" i="1" s="1"/>
  <c r="C1646" i="1" l="1"/>
  <c r="D1646" i="1" s="1"/>
  <c r="B1647" i="1"/>
  <c r="G682" i="1"/>
  <c r="H682" i="1"/>
  <c r="F682" i="1" s="1"/>
  <c r="C1647" i="1" l="1"/>
  <c r="D1647" i="1" s="1"/>
  <c r="B1648" i="1"/>
  <c r="I682" i="1"/>
  <c r="E683" i="1" s="1"/>
  <c r="C1648" i="1" l="1"/>
  <c r="D1648" i="1" s="1"/>
  <c r="B1649" i="1"/>
  <c r="H683" i="1"/>
  <c r="G683" i="1"/>
  <c r="C1649" i="1" l="1"/>
  <c r="D1649" i="1" s="1"/>
  <c r="B1650" i="1"/>
  <c r="F683" i="1"/>
  <c r="I683" i="1" s="1"/>
  <c r="E684" i="1" s="1"/>
  <c r="B1651" i="1" l="1"/>
  <c r="C1650" i="1"/>
  <c r="D1650" i="1" s="1"/>
  <c r="G684" i="1"/>
  <c r="H684" i="1"/>
  <c r="C1651" i="1" l="1"/>
  <c r="D1651" i="1" s="1"/>
  <c r="B1652" i="1"/>
  <c r="F684" i="1"/>
  <c r="I684" i="1" s="1"/>
  <c r="E685" i="1" s="1"/>
  <c r="C1652" i="1" l="1"/>
  <c r="D1652" i="1" s="1"/>
  <c r="B1653" i="1"/>
  <c r="H685" i="1"/>
  <c r="G685" i="1"/>
  <c r="C1653" i="1" l="1"/>
  <c r="D1653" i="1" s="1"/>
  <c r="B1654" i="1"/>
  <c r="F685" i="1"/>
  <c r="B1655" i="1" l="1"/>
  <c r="C1654" i="1"/>
  <c r="D1654" i="1" s="1"/>
  <c r="I685" i="1"/>
  <c r="E686" i="1" s="1"/>
  <c r="C1655" i="1" l="1"/>
  <c r="D1655" i="1" s="1"/>
  <c r="B1656" i="1"/>
  <c r="H686" i="1"/>
  <c r="G686" i="1"/>
  <c r="F686" i="1"/>
  <c r="B1657" i="1" l="1"/>
  <c r="C1656" i="1"/>
  <c r="D1656" i="1" s="1"/>
  <c r="I686" i="1"/>
  <c r="E687" i="1" s="1"/>
  <c r="C1657" i="1" l="1"/>
  <c r="D1657" i="1" s="1"/>
  <c r="B1658" i="1"/>
  <c r="H687" i="1"/>
  <c r="G687" i="1"/>
  <c r="B1659" i="1" l="1"/>
  <c r="C1658" i="1"/>
  <c r="D1658" i="1" s="1"/>
  <c r="F687" i="1"/>
  <c r="C1659" i="1" l="1"/>
  <c r="D1659" i="1" s="1"/>
  <c r="B1660" i="1"/>
  <c r="I687" i="1"/>
  <c r="E688" i="1" s="1"/>
  <c r="C1660" i="1" l="1"/>
  <c r="D1660" i="1" s="1"/>
  <c r="B1661" i="1"/>
  <c r="G688" i="1"/>
  <c r="H688" i="1"/>
  <c r="C1661" i="1" l="1"/>
  <c r="D1661" i="1" s="1"/>
  <c r="B1662" i="1"/>
  <c r="F688" i="1"/>
  <c r="I688" i="1" s="1"/>
  <c r="E689" i="1" s="1"/>
  <c r="C1662" i="1" l="1"/>
  <c r="D1662" i="1" s="1"/>
  <c r="B1663" i="1"/>
  <c r="H689" i="1"/>
  <c r="G689" i="1"/>
  <c r="C1663" i="1" l="1"/>
  <c r="D1663" i="1" s="1"/>
  <c r="B1664" i="1"/>
  <c r="F689" i="1"/>
  <c r="C1664" i="1" l="1"/>
  <c r="D1664" i="1" s="1"/>
  <c r="B1665" i="1"/>
  <c r="I689" i="1"/>
  <c r="E690" i="1" s="1"/>
  <c r="C1665" i="1" l="1"/>
  <c r="D1665" i="1" s="1"/>
  <c r="B1666" i="1"/>
  <c r="G690" i="1"/>
  <c r="H690" i="1"/>
  <c r="F690" i="1" s="1"/>
  <c r="C1666" i="1" l="1"/>
  <c r="D1666" i="1" s="1"/>
  <c r="B1667" i="1"/>
  <c r="I690" i="1"/>
  <c r="E691" i="1" s="1"/>
  <c r="C1667" i="1" l="1"/>
  <c r="D1667" i="1" s="1"/>
  <c r="B1668" i="1"/>
  <c r="G691" i="1"/>
  <c r="H691" i="1"/>
  <c r="C1668" i="1" l="1"/>
  <c r="D1668" i="1" s="1"/>
  <c r="B1669" i="1"/>
  <c r="F691" i="1"/>
  <c r="I691" i="1" s="1"/>
  <c r="E692" i="1" s="1"/>
  <c r="C1669" i="1" l="1"/>
  <c r="D1669" i="1" s="1"/>
  <c r="B1670" i="1"/>
  <c r="H692" i="1"/>
  <c r="G692" i="1"/>
  <c r="C1670" i="1" l="1"/>
  <c r="D1670" i="1" s="1"/>
  <c r="B1671" i="1"/>
  <c r="F692" i="1"/>
  <c r="I692" i="1" s="1"/>
  <c r="E693" i="1" s="1"/>
  <c r="C1671" i="1" l="1"/>
  <c r="D1671" i="1" s="1"/>
  <c r="B1672" i="1"/>
  <c r="H693" i="1"/>
  <c r="G693" i="1"/>
  <c r="C1672" i="1" l="1"/>
  <c r="D1672" i="1" s="1"/>
  <c r="B1673" i="1"/>
  <c r="F693" i="1"/>
  <c r="I693" i="1" s="1"/>
  <c r="E694" i="1" s="1"/>
  <c r="C1673" i="1" l="1"/>
  <c r="D1673" i="1" s="1"/>
  <c r="B1674" i="1"/>
  <c r="G694" i="1"/>
  <c r="H694" i="1"/>
  <c r="C1674" i="1" l="1"/>
  <c r="D1674" i="1" s="1"/>
  <c r="B1675" i="1"/>
  <c r="F694" i="1"/>
  <c r="I694" i="1" s="1"/>
  <c r="E695" i="1" s="1"/>
  <c r="C1675" i="1" l="1"/>
  <c r="D1675" i="1" s="1"/>
  <c r="B1676" i="1"/>
  <c r="H695" i="1"/>
  <c r="G695" i="1"/>
  <c r="C1676" i="1" l="1"/>
  <c r="D1676" i="1" s="1"/>
  <c r="B1677" i="1"/>
  <c r="F695" i="1"/>
  <c r="I695" i="1" s="1"/>
  <c r="E696" i="1" s="1"/>
  <c r="C1677" i="1" l="1"/>
  <c r="D1677" i="1" s="1"/>
  <c r="B1678" i="1"/>
  <c r="H696" i="1"/>
  <c r="G696" i="1"/>
  <c r="B1679" i="1" l="1"/>
  <c r="C1678" i="1"/>
  <c r="D1678" i="1" s="1"/>
  <c r="F696" i="1"/>
  <c r="I696" i="1" s="1"/>
  <c r="E697" i="1" s="1"/>
  <c r="C1679" i="1" l="1"/>
  <c r="D1679" i="1" s="1"/>
  <c r="B1680" i="1"/>
  <c r="G697" i="1"/>
  <c r="H697" i="1"/>
  <c r="C1680" i="1" l="1"/>
  <c r="D1680" i="1" s="1"/>
  <c r="B1681" i="1"/>
  <c r="F697" i="1"/>
  <c r="I697" i="1" s="1"/>
  <c r="E698" i="1" s="1"/>
  <c r="B1682" i="1" l="1"/>
  <c r="C1681" i="1"/>
  <c r="D1681" i="1" s="1"/>
  <c r="G698" i="1"/>
  <c r="H698" i="1"/>
  <c r="C1682" i="1" l="1"/>
  <c r="D1682" i="1" s="1"/>
  <c r="B1683" i="1"/>
  <c r="F698" i="1"/>
  <c r="I698" i="1" s="1"/>
  <c r="E699" i="1" s="1"/>
  <c r="C1683" i="1" l="1"/>
  <c r="D1683" i="1" s="1"/>
  <c r="B1684" i="1"/>
  <c r="G699" i="1"/>
  <c r="H699" i="1"/>
  <c r="C1684" i="1" l="1"/>
  <c r="D1684" i="1" s="1"/>
  <c r="B1685" i="1"/>
  <c r="F699" i="1"/>
  <c r="I699" i="1" s="1"/>
  <c r="E700" i="1" s="1"/>
  <c r="C1685" i="1" l="1"/>
  <c r="D1685" i="1" s="1"/>
  <c r="B1686" i="1"/>
  <c r="H700" i="1"/>
  <c r="G700" i="1"/>
  <c r="C1686" i="1" l="1"/>
  <c r="D1686" i="1" s="1"/>
  <c r="B1687" i="1"/>
  <c r="F700" i="1"/>
  <c r="I700" i="1" s="1"/>
  <c r="E701" i="1" s="1"/>
  <c r="C1687" i="1" l="1"/>
  <c r="D1687" i="1" s="1"/>
  <c r="B1688" i="1"/>
  <c r="H701" i="1"/>
  <c r="G701" i="1"/>
  <c r="C1688" i="1" l="1"/>
  <c r="D1688" i="1" s="1"/>
  <c r="B1689" i="1"/>
  <c r="F701" i="1"/>
  <c r="I701" i="1" s="1"/>
  <c r="E702" i="1" s="1"/>
  <c r="C1689" i="1" l="1"/>
  <c r="D1689" i="1" s="1"/>
  <c r="B1690" i="1"/>
  <c r="H702" i="1"/>
  <c r="G702" i="1"/>
  <c r="C1690" i="1" l="1"/>
  <c r="D1690" i="1" s="1"/>
  <c r="B1691" i="1"/>
  <c r="F702" i="1"/>
  <c r="I702" i="1" s="1"/>
  <c r="E703" i="1" s="1"/>
  <c r="C1691" i="1" l="1"/>
  <c r="D1691" i="1" s="1"/>
  <c r="B1692" i="1"/>
  <c r="H703" i="1"/>
  <c r="G703" i="1"/>
  <c r="B1693" i="1" l="1"/>
  <c r="C1692" i="1"/>
  <c r="D1692" i="1" s="1"/>
  <c r="F703" i="1"/>
  <c r="I703" i="1" s="1"/>
  <c r="E704" i="1" s="1"/>
  <c r="C1693" i="1" l="1"/>
  <c r="D1693" i="1" s="1"/>
  <c r="B1694" i="1"/>
  <c r="G704" i="1"/>
  <c r="H704" i="1"/>
  <c r="C1694" i="1" l="1"/>
  <c r="D1694" i="1" s="1"/>
  <c r="B1695" i="1"/>
  <c r="F704" i="1"/>
  <c r="I704" i="1" s="1"/>
  <c r="E705" i="1" s="1"/>
  <c r="C1695" i="1" l="1"/>
  <c r="D1695" i="1" s="1"/>
  <c r="B1696" i="1"/>
  <c r="H705" i="1"/>
  <c r="G705" i="1"/>
  <c r="B1697" i="1" l="1"/>
  <c r="C1696" i="1"/>
  <c r="D1696" i="1" s="1"/>
  <c r="F705" i="1"/>
  <c r="I705" i="1" s="1"/>
  <c r="E706" i="1" s="1"/>
  <c r="B1698" i="1" l="1"/>
  <c r="C1697" i="1"/>
  <c r="D1697" i="1" s="1"/>
  <c r="G706" i="1"/>
  <c r="H706" i="1"/>
  <c r="C1698" i="1" l="1"/>
  <c r="D1698" i="1" s="1"/>
  <c r="B1699" i="1"/>
  <c r="F706" i="1"/>
  <c r="I706" i="1" s="1"/>
  <c r="E707" i="1" s="1"/>
  <c r="C1699" i="1" l="1"/>
  <c r="D1699" i="1" s="1"/>
  <c r="B1700" i="1"/>
  <c r="H707" i="1"/>
  <c r="G707" i="1"/>
  <c r="B1701" i="1" l="1"/>
  <c r="C1700" i="1"/>
  <c r="D1700" i="1" s="1"/>
  <c r="F707" i="1"/>
  <c r="I707" i="1" s="1"/>
  <c r="E708" i="1" s="1"/>
  <c r="B1702" i="1" l="1"/>
  <c r="C1701" i="1"/>
  <c r="D1701" i="1" s="1"/>
  <c r="H708" i="1"/>
  <c r="G708" i="1"/>
  <c r="B1703" i="1" l="1"/>
  <c r="C1702" i="1"/>
  <c r="D1702" i="1" s="1"/>
  <c r="F708" i="1"/>
  <c r="I708" i="1" s="1"/>
  <c r="E709" i="1" s="1"/>
  <c r="C1703" i="1" l="1"/>
  <c r="D1703" i="1" s="1"/>
  <c r="B1704" i="1"/>
  <c r="G709" i="1"/>
  <c r="H709" i="1"/>
  <c r="C1704" i="1" l="1"/>
  <c r="D1704" i="1" s="1"/>
  <c r="B1705" i="1"/>
  <c r="F709" i="1"/>
  <c r="I709" i="1" s="1"/>
  <c r="E710" i="1" s="1"/>
  <c r="B1706" i="1" l="1"/>
  <c r="C1705" i="1"/>
  <c r="D1705" i="1" s="1"/>
  <c r="G710" i="1"/>
  <c r="H710" i="1"/>
  <c r="B1707" i="1" l="1"/>
  <c r="C1706" i="1"/>
  <c r="D1706" i="1" s="1"/>
  <c r="F710" i="1"/>
  <c r="I710" i="1" s="1"/>
  <c r="E711" i="1" s="1"/>
  <c r="C1707" i="1" l="1"/>
  <c r="D1707" i="1" s="1"/>
  <c r="B1708" i="1"/>
  <c r="H711" i="1"/>
  <c r="G711" i="1"/>
  <c r="B1709" i="1" l="1"/>
  <c r="C1708" i="1"/>
  <c r="D1708" i="1" s="1"/>
  <c r="F711" i="1"/>
  <c r="B1710" i="1" l="1"/>
  <c r="C1709" i="1"/>
  <c r="D1709" i="1" s="1"/>
  <c r="I711" i="1"/>
  <c r="E712" i="1" s="1"/>
  <c r="C1710" i="1" l="1"/>
  <c r="D1710" i="1" s="1"/>
  <c r="B1711" i="1"/>
  <c r="H712" i="1"/>
  <c r="F712" i="1" s="1"/>
  <c r="G712" i="1"/>
  <c r="C1711" i="1" l="1"/>
  <c r="D1711" i="1" s="1"/>
  <c r="B1712" i="1"/>
  <c r="I712" i="1"/>
  <c r="E713" i="1" s="1"/>
  <c r="C1712" i="1" l="1"/>
  <c r="D1712" i="1" s="1"/>
  <c r="B1713" i="1"/>
  <c r="H713" i="1"/>
  <c r="G713" i="1"/>
  <c r="B1714" i="1" l="1"/>
  <c r="C1713" i="1"/>
  <c r="D1713" i="1" s="1"/>
  <c r="F713" i="1"/>
  <c r="I713" i="1" s="1"/>
  <c r="E714" i="1" s="1"/>
  <c r="C1714" i="1" l="1"/>
  <c r="D1714" i="1" s="1"/>
  <c r="B1715" i="1"/>
  <c r="H714" i="1"/>
  <c r="G714" i="1"/>
  <c r="C1715" i="1" l="1"/>
  <c r="D1715" i="1" s="1"/>
  <c r="B1716" i="1"/>
  <c r="F714" i="1"/>
  <c r="I714" i="1" s="1"/>
  <c r="E715" i="1" s="1"/>
  <c r="B1717" i="1" l="1"/>
  <c r="C1716" i="1"/>
  <c r="D1716" i="1" s="1"/>
  <c r="G715" i="1"/>
  <c r="H715" i="1"/>
  <c r="C1717" i="1" l="1"/>
  <c r="D1717" i="1" s="1"/>
  <c r="B1718" i="1"/>
  <c r="F715" i="1"/>
  <c r="I715" i="1" s="1"/>
  <c r="E716" i="1" s="1"/>
  <c r="C1718" i="1" l="1"/>
  <c r="D1718" i="1" s="1"/>
  <c r="B1719" i="1"/>
  <c r="H716" i="1"/>
  <c r="G716" i="1"/>
  <c r="C1719" i="1" l="1"/>
  <c r="D1719" i="1" s="1"/>
  <c r="B1720" i="1"/>
  <c r="F716" i="1"/>
  <c r="I716" i="1" s="1"/>
  <c r="E717" i="1" s="1"/>
  <c r="C1720" i="1" l="1"/>
  <c r="D1720" i="1" s="1"/>
  <c r="B1721" i="1"/>
  <c r="G717" i="1"/>
  <c r="H717" i="1"/>
  <c r="C1721" i="1" l="1"/>
  <c r="D1721" i="1" s="1"/>
  <c r="B1722" i="1"/>
  <c r="F717" i="1"/>
  <c r="I717" i="1" s="1"/>
  <c r="E718" i="1" s="1"/>
  <c r="C1722" i="1" l="1"/>
  <c r="D1722" i="1" s="1"/>
  <c r="B1723" i="1"/>
  <c r="H718" i="1"/>
  <c r="G718" i="1"/>
  <c r="C1723" i="1" l="1"/>
  <c r="D1723" i="1" s="1"/>
  <c r="B1724" i="1"/>
  <c r="F718" i="1"/>
  <c r="I718" i="1" s="1"/>
  <c r="E719" i="1" s="1"/>
  <c r="C1724" i="1" l="1"/>
  <c r="D1724" i="1" s="1"/>
  <c r="B1725" i="1"/>
  <c r="H719" i="1"/>
  <c r="G719" i="1"/>
  <c r="B1726" i="1" l="1"/>
  <c r="C1725" i="1"/>
  <c r="D1725" i="1" s="1"/>
  <c r="F719" i="1"/>
  <c r="I719" i="1" s="1"/>
  <c r="E720" i="1" s="1"/>
  <c r="C1726" i="1" l="1"/>
  <c r="D1726" i="1" s="1"/>
  <c r="B1727" i="1"/>
  <c r="H720" i="1"/>
  <c r="G720" i="1"/>
  <c r="C1727" i="1" l="1"/>
  <c r="D1727" i="1" s="1"/>
  <c r="B1728" i="1"/>
  <c r="F720" i="1"/>
  <c r="I720" i="1" s="1"/>
  <c r="E721" i="1" s="1"/>
  <c r="C1728" i="1" l="1"/>
  <c r="D1728" i="1" s="1"/>
  <c r="B1729" i="1"/>
  <c r="H721" i="1"/>
  <c r="G721" i="1"/>
  <c r="C1729" i="1" l="1"/>
  <c r="D1729" i="1" s="1"/>
  <c r="B1730" i="1"/>
  <c r="F721" i="1"/>
  <c r="I721" i="1" s="1"/>
  <c r="E722" i="1" s="1"/>
  <c r="C1730" i="1" l="1"/>
  <c r="D1730" i="1" s="1"/>
  <c r="B1731" i="1"/>
  <c r="H722" i="1"/>
  <c r="G722" i="1"/>
  <c r="C1731" i="1" l="1"/>
  <c r="D1731" i="1" s="1"/>
  <c r="B1732" i="1"/>
  <c r="F722" i="1"/>
  <c r="I722" i="1" s="1"/>
  <c r="E723" i="1" s="1"/>
  <c r="C1732" i="1" l="1"/>
  <c r="D1732" i="1" s="1"/>
  <c r="B1733" i="1"/>
  <c r="H723" i="1"/>
  <c r="G723" i="1"/>
  <c r="C1733" i="1" l="1"/>
  <c r="D1733" i="1" s="1"/>
  <c r="B1734" i="1"/>
  <c r="F723" i="1"/>
  <c r="I723" i="1" s="1"/>
  <c r="E724" i="1" s="1"/>
  <c r="C1734" i="1" l="1"/>
  <c r="D1734" i="1" s="1"/>
  <c r="B1735" i="1"/>
  <c r="G724" i="1"/>
  <c r="H724" i="1"/>
  <c r="C1735" i="1" l="1"/>
  <c r="D1735" i="1" s="1"/>
  <c r="B1736" i="1"/>
  <c r="F724" i="1"/>
  <c r="I724" i="1" s="1"/>
  <c r="E725" i="1" s="1"/>
  <c r="C1736" i="1" l="1"/>
  <c r="D1736" i="1" s="1"/>
  <c r="B1737" i="1"/>
  <c r="H725" i="1"/>
  <c r="G725" i="1"/>
  <c r="C1737" i="1" l="1"/>
  <c r="D1737" i="1" s="1"/>
  <c r="B1738" i="1"/>
  <c r="F725" i="1"/>
  <c r="I725" i="1" s="1"/>
  <c r="E726" i="1" s="1"/>
  <c r="C1738" i="1" l="1"/>
  <c r="D1738" i="1" s="1"/>
  <c r="B1739" i="1"/>
  <c r="H726" i="1"/>
  <c r="G726" i="1"/>
  <c r="C1739" i="1" l="1"/>
  <c r="D1739" i="1" s="1"/>
  <c r="B1740" i="1"/>
  <c r="F726" i="1"/>
  <c r="I726" i="1" s="1"/>
  <c r="E727" i="1" s="1"/>
  <c r="C1740" i="1" l="1"/>
  <c r="D1740" i="1" s="1"/>
  <c r="B1741" i="1"/>
  <c r="H727" i="1"/>
  <c r="G727" i="1"/>
  <c r="C1741" i="1" l="1"/>
  <c r="D1741" i="1" s="1"/>
  <c r="B1742" i="1"/>
  <c r="F727" i="1"/>
  <c r="C1742" i="1" l="1"/>
  <c r="D1742" i="1" s="1"/>
  <c r="B1743" i="1"/>
  <c r="I727" i="1"/>
  <c r="E728" i="1" s="1"/>
  <c r="C1743" i="1" l="1"/>
  <c r="D1743" i="1" s="1"/>
  <c r="B1744" i="1"/>
  <c r="G728" i="1"/>
  <c r="H728" i="1"/>
  <c r="C1744" i="1" l="1"/>
  <c r="D1744" i="1" s="1"/>
  <c r="B1745" i="1"/>
  <c r="F728" i="1"/>
  <c r="I728" i="1" s="1"/>
  <c r="E729" i="1" s="1"/>
  <c r="C1745" i="1" l="1"/>
  <c r="D1745" i="1" s="1"/>
  <c r="B1746" i="1"/>
  <c r="G729" i="1"/>
  <c r="H729" i="1"/>
  <c r="C1746" i="1" l="1"/>
  <c r="D1746" i="1" s="1"/>
  <c r="B1747" i="1"/>
  <c r="F729" i="1"/>
  <c r="I729" i="1" s="1"/>
  <c r="E730" i="1" s="1"/>
  <c r="C1747" i="1" l="1"/>
  <c r="D1747" i="1" s="1"/>
  <c r="B1748" i="1"/>
  <c r="G730" i="1"/>
  <c r="H730" i="1"/>
  <c r="C1748" i="1" l="1"/>
  <c r="D1748" i="1" s="1"/>
  <c r="B1749" i="1"/>
  <c r="F730" i="1"/>
  <c r="I730" i="1" s="1"/>
  <c r="E731" i="1" s="1"/>
  <c r="C1749" i="1" l="1"/>
  <c r="D1749" i="1" s="1"/>
  <c r="B1750" i="1"/>
  <c r="H731" i="1"/>
  <c r="G731" i="1"/>
  <c r="C1750" i="1" l="1"/>
  <c r="D1750" i="1" s="1"/>
  <c r="B1751" i="1"/>
  <c r="F731" i="1"/>
  <c r="I731" i="1" s="1"/>
  <c r="E732" i="1" s="1"/>
  <c r="C1751" i="1" l="1"/>
  <c r="D1751" i="1" s="1"/>
  <c r="B1752" i="1"/>
  <c r="G732" i="1"/>
  <c r="H732" i="1"/>
  <c r="B1753" i="1" l="1"/>
  <c r="C1752" i="1"/>
  <c r="D1752" i="1" s="1"/>
  <c r="F732" i="1"/>
  <c r="I732" i="1" s="1"/>
  <c r="E733" i="1" s="1"/>
  <c r="C1753" i="1" l="1"/>
  <c r="D1753" i="1" s="1"/>
  <c r="B1754" i="1"/>
  <c r="G733" i="1"/>
  <c r="H733" i="1"/>
  <c r="C1754" i="1" l="1"/>
  <c r="D1754" i="1" s="1"/>
  <c r="B1755" i="1"/>
  <c r="F733" i="1"/>
  <c r="I733" i="1" s="1"/>
  <c r="E734" i="1" s="1"/>
  <c r="B1756" i="1" l="1"/>
  <c r="C1755" i="1"/>
  <c r="D1755" i="1" s="1"/>
  <c r="G734" i="1"/>
  <c r="H734" i="1"/>
  <c r="C1756" i="1" l="1"/>
  <c r="D1756" i="1" s="1"/>
  <c r="B1757" i="1"/>
  <c r="F734" i="1"/>
  <c r="I734" i="1" s="1"/>
  <c r="E735" i="1" s="1"/>
  <c r="C1757" i="1" l="1"/>
  <c r="D1757" i="1" s="1"/>
  <c r="B1758" i="1"/>
  <c r="H735" i="1"/>
  <c r="G735" i="1"/>
  <c r="C1758" i="1" l="1"/>
  <c r="D1758" i="1" s="1"/>
  <c r="B1759" i="1"/>
  <c r="F735" i="1"/>
  <c r="I735" i="1" s="1"/>
  <c r="E736" i="1" s="1"/>
  <c r="C1759" i="1" l="1"/>
  <c r="D1759" i="1" s="1"/>
  <c r="B1760" i="1"/>
  <c r="G736" i="1"/>
  <c r="H736" i="1"/>
  <c r="C1760" i="1" l="1"/>
  <c r="D1760" i="1" s="1"/>
  <c r="B1761" i="1"/>
  <c r="F736" i="1"/>
  <c r="I736" i="1" s="1"/>
  <c r="E737" i="1" s="1"/>
  <c r="C1761" i="1" l="1"/>
  <c r="D1761" i="1" s="1"/>
  <c r="B1762" i="1"/>
  <c r="H737" i="1"/>
  <c r="G737" i="1"/>
  <c r="C1762" i="1" l="1"/>
  <c r="D1762" i="1" s="1"/>
  <c r="B1763" i="1"/>
  <c r="F737" i="1"/>
  <c r="I737" i="1" s="1"/>
  <c r="E738" i="1" s="1"/>
  <c r="C1763" i="1" l="1"/>
  <c r="D1763" i="1" s="1"/>
  <c r="B1764" i="1"/>
  <c r="G738" i="1"/>
  <c r="H738" i="1"/>
  <c r="C1764" i="1" l="1"/>
  <c r="D1764" i="1" s="1"/>
  <c r="B1765" i="1"/>
  <c r="F738" i="1"/>
  <c r="I738" i="1" s="1"/>
  <c r="E739" i="1" s="1"/>
  <c r="C1765" i="1" l="1"/>
  <c r="D1765" i="1" s="1"/>
  <c r="B1766" i="1"/>
  <c r="H739" i="1"/>
  <c r="G739" i="1"/>
  <c r="C1766" i="1" l="1"/>
  <c r="D1766" i="1" s="1"/>
  <c r="B1767" i="1"/>
  <c r="F739" i="1"/>
  <c r="C1767" i="1" l="1"/>
  <c r="D1767" i="1" s="1"/>
  <c r="B1768" i="1"/>
  <c r="I739" i="1"/>
  <c r="E740" i="1" s="1"/>
  <c r="C1768" i="1" l="1"/>
  <c r="D1768" i="1" s="1"/>
  <c r="B1769" i="1"/>
  <c r="H740" i="1"/>
  <c r="F740" i="1" s="1"/>
  <c r="G740" i="1"/>
  <c r="E6" i="2"/>
  <c r="G6" i="2"/>
  <c r="F6" i="2"/>
  <c r="C1769" i="1" l="1"/>
  <c r="D1769" i="1" s="1"/>
  <c r="B1770" i="1"/>
  <c r="S6" i="2"/>
  <c r="T6" i="2" s="1"/>
  <c r="N6" i="2"/>
  <c r="O6" i="2" s="1"/>
  <c r="L6" i="2" s="1"/>
  <c r="M6" i="2" s="1"/>
  <c r="H6" i="2"/>
  <c r="I6" i="2" s="1"/>
  <c r="J6" i="2"/>
  <c r="K6" i="2" s="1"/>
  <c r="I740" i="1"/>
  <c r="E741" i="1" s="1"/>
  <c r="U6" i="2" l="1"/>
  <c r="P6" i="2" s="1"/>
  <c r="Q6" i="2" s="1"/>
  <c r="C1770" i="1"/>
  <c r="D1770" i="1" s="1"/>
  <c r="B1771" i="1"/>
  <c r="G741" i="1"/>
  <c r="H741" i="1"/>
  <c r="F741" i="1" s="1"/>
  <c r="C1771" i="1" l="1"/>
  <c r="D1771" i="1" s="1"/>
  <c r="B1772" i="1"/>
  <c r="I741" i="1"/>
  <c r="E742" i="1" s="1"/>
  <c r="C1772" i="1" l="1"/>
  <c r="D1772" i="1" s="1"/>
  <c r="B1773" i="1"/>
  <c r="H742" i="1"/>
  <c r="G742" i="1"/>
  <c r="C1773" i="1" l="1"/>
  <c r="D1773" i="1" s="1"/>
  <c r="B1774" i="1"/>
  <c r="F742" i="1"/>
  <c r="I742" i="1" s="1"/>
  <c r="E743" i="1" s="1"/>
  <c r="C1774" i="1" l="1"/>
  <c r="D1774" i="1" s="1"/>
  <c r="B1775" i="1"/>
  <c r="H743" i="1"/>
  <c r="G743" i="1"/>
  <c r="C1775" i="1" l="1"/>
  <c r="D1775" i="1" s="1"/>
  <c r="B1776" i="1"/>
  <c r="F743" i="1"/>
  <c r="I743" i="1" s="1"/>
  <c r="E744" i="1" s="1"/>
  <c r="C1776" i="1" l="1"/>
  <c r="D1776" i="1" s="1"/>
  <c r="B1777" i="1"/>
  <c r="H744" i="1"/>
  <c r="G744" i="1"/>
  <c r="B1778" i="1" l="1"/>
  <c r="C1777" i="1"/>
  <c r="D1777" i="1" s="1"/>
  <c r="F744" i="1"/>
  <c r="I744" i="1" s="1"/>
  <c r="E745" i="1" s="1"/>
  <c r="C1778" i="1" l="1"/>
  <c r="D1778" i="1" s="1"/>
  <c r="B1779" i="1"/>
  <c r="H745" i="1"/>
  <c r="G745" i="1"/>
  <c r="C1779" i="1" l="1"/>
  <c r="D1779" i="1" s="1"/>
  <c r="B1780" i="1"/>
  <c r="F745" i="1"/>
  <c r="C1780" i="1" l="1"/>
  <c r="D1780" i="1" s="1"/>
  <c r="B1781" i="1"/>
  <c r="I745" i="1"/>
  <c r="E746" i="1" s="1"/>
  <c r="C1781" i="1" l="1"/>
  <c r="D1781" i="1" s="1"/>
  <c r="B1782" i="1"/>
  <c r="G746" i="1"/>
  <c r="H746" i="1"/>
  <c r="F746" i="1" s="1"/>
  <c r="C1782" i="1" l="1"/>
  <c r="D1782" i="1" s="1"/>
  <c r="B1783" i="1"/>
  <c r="I746" i="1"/>
  <c r="E747" i="1" s="1"/>
  <c r="C1783" i="1" l="1"/>
  <c r="D1783" i="1" s="1"/>
  <c r="B1784" i="1"/>
  <c r="H747" i="1"/>
  <c r="G747" i="1"/>
  <c r="C1784" i="1" l="1"/>
  <c r="D1784" i="1" s="1"/>
  <c r="B1785" i="1"/>
  <c r="F747" i="1"/>
  <c r="C1785" i="1" l="1"/>
  <c r="D1785" i="1" s="1"/>
  <c r="B1786" i="1"/>
  <c r="I747" i="1"/>
  <c r="E748" i="1" s="1"/>
  <c r="C1786" i="1" l="1"/>
  <c r="D1786" i="1" s="1"/>
  <c r="B1787" i="1"/>
  <c r="H748" i="1"/>
  <c r="G748" i="1"/>
  <c r="F748" i="1"/>
  <c r="C1787" i="1" l="1"/>
  <c r="D1787" i="1" s="1"/>
  <c r="B1788" i="1"/>
  <c r="I748" i="1"/>
  <c r="E749" i="1" s="1"/>
  <c r="C1788" i="1" l="1"/>
  <c r="D1788" i="1" s="1"/>
  <c r="B1789" i="1"/>
  <c r="G749" i="1"/>
  <c r="H749" i="1"/>
  <c r="C1789" i="1" l="1"/>
  <c r="D1789" i="1" s="1"/>
  <c r="B1790" i="1"/>
  <c r="F749" i="1"/>
  <c r="I749" i="1" s="1"/>
  <c r="E750" i="1" s="1"/>
  <c r="C1790" i="1" l="1"/>
  <c r="D1790" i="1" s="1"/>
  <c r="B1791" i="1"/>
  <c r="G750" i="1"/>
  <c r="H750" i="1"/>
  <c r="C1791" i="1" l="1"/>
  <c r="D1791" i="1" s="1"/>
  <c r="B1792" i="1"/>
  <c r="F750" i="1"/>
  <c r="I750" i="1" s="1"/>
  <c r="E751" i="1" s="1"/>
  <c r="B1793" i="1" l="1"/>
  <c r="C1792" i="1"/>
  <c r="D1792" i="1" s="1"/>
  <c r="G751" i="1"/>
  <c r="H751" i="1"/>
  <c r="C1793" i="1" l="1"/>
  <c r="D1793" i="1" s="1"/>
  <c r="B1794" i="1"/>
  <c r="F751" i="1"/>
  <c r="I751" i="1" s="1"/>
  <c r="E752" i="1" s="1"/>
  <c r="C1794" i="1" l="1"/>
  <c r="D1794" i="1" s="1"/>
  <c r="B1795" i="1"/>
  <c r="G752" i="1"/>
  <c r="H752" i="1"/>
  <c r="C1795" i="1" l="1"/>
  <c r="D1795" i="1" s="1"/>
  <c r="B1796" i="1"/>
  <c r="F752" i="1"/>
  <c r="I752" i="1" s="1"/>
  <c r="E753" i="1" s="1"/>
  <c r="C1796" i="1" l="1"/>
  <c r="D1796" i="1" s="1"/>
  <c r="B1797" i="1"/>
  <c r="G753" i="1"/>
  <c r="H753" i="1"/>
  <c r="C1797" i="1" l="1"/>
  <c r="D1797" i="1" s="1"/>
  <c r="B1798" i="1"/>
  <c r="F753" i="1"/>
  <c r="C1798" i="1" l="1"/>
  <c r="D1798" i="1" s="1"/>
  <c r="B1799" i="1"/>
  <c r="I753" i="1"/>
  <c r="E754" i="1" s="1"/>
  <c r="C1799" i="1" l="1"/>
  <c r="D1799" i="1" s="1"/>
  <c r="B1800" i="1"/>
  <c r="H754" i="1"/>
  <c r="G754" i="1"/>
  <c r="F754" i="1"/>
  <c r="C1800" i="1" l="1"/>
  <c r="D1800" i="1" s="1"/>
  <c r="B1801" i="1"/>
  <c r="I754" i="1"/>
  <c r="E755" i="1" s="1"/>
  <c r="C1801" i="1" l="1"/>
  <c r="D1801" i="1" s="1"/>
  <c r="B1802" i="1"/>
  <c r="H755" i="1"/>
  <c r="F755" i="1" s="1"/>
  <c r="G755" i="1"/>
  <c r="C1802" i="1" l="1"/>
  <c r="D1802" i="1" s="1"/>
  <c r="B1803" i="1"/>
  <c r="I755" i="1"/>
  <c r="E756" i="1" s="1"/>
  <c r="B1804" i="1" l="1"/>
  <c r="C1803" i="1"/>
  <c r="D1803" i="1" s="1"/>
  <c r="H756" i="1"/>
  <c r="F756" i="1" s="1"/>
  <c r="G756" i="1"/>
  <c r="C1804" i="1" l="1"/>
  <c r="D1804" i="1" s="1"/>
  <c r="B1805" i="1"/>
  <c r="I756" i="1"/>
  <c r="E757" i="1" s="1"/>
  <c r="C1805" i="1" l="1"/>
  <c r="D1805" i="1" s="1"/>
  <c r="B1806" i="1"/>
  <c r="H757" i="1"/>
  <c r="G757" i="1"/>
  <c r="C1806" i="1" l="1"/>
  <c r="D1806" i="1" s="1"/>
  <c r="B1807" i="1"/>
  <c r="F757" i="1"/>
  <c r="I757" i="1" s="1"/>
  <c r="E758" i="1" s="1"/>
  <c r="C1807" i="1" l="1"/>
  <c r="D1807" i="1" s="1"/>
  <c r="B1808" i="1"/>
  <c r="H758" i="1"/>
  <c r="G758" i="1"/>
  <c r="B1809" i="1" l="1"/>
  <c r="C1808" i="1"/>
  <c r="D1808" i="1" s="1"/>
  <c r="F758" i="1"/>
  <c r="B1810" i="1" l="1"/>
  <c r="C1809" i="1"/>
  <c r="D1809" i="1" s="1"/>
  <c r="I758" i="1"/>
  <c r="E759" i="1" s="1"/>
  <c r="C1810" i="1" l="1"/>
  <c r="D1810" i="1" s="1"/>
  <c r="B1811" i="1"/>
  <c r="G759" i="1"/>
  <c r="H759" i="1"/>
  <c r="F759" i="1" s="1"/>
  <c r="C1811" i="1" l="1"/>
  <c r="D1811" i="1" s="1"/>
  <c r="B1812" i="1"/>
  <c r="I759" i="1"/>
  <c r="E760" i="1" s="1"/>
  <c r="C1812" i="1" l="1"/>
  <c r="D1812" i="1" s="1"/>
  <c r="B1813" i="1"/>
  <c r="H760" i="1"/>
  <c r="G760" i="1"/>
  <c r="C1813" i="1" l="1"/>
  <c r="D1813" i="1" s="1"/>
  <c r="B1814" i="1"/>
  <c r="F760" i="1"/>
  <c r="I760" i="1" s="1"/>
  <c r="E761" i="1" s="1"/>
  <c r="C1814" i="1" l="1"/>
  <c r="D1814" i="1" s="1"/>
  <c r="B1815" i="1"/>
  <c r="H761" i="1"/>
  <c r="G761" i="1"/>
  <c r="C1815" i="1" l="1"/>
  <c r="D1815" i="1" s="1"/>
  <c r="B1816" i="1"/>
  <c r="F761" i="1"/>
  <c r="B1817" i="1" l="1"/>
  <c r="C1816" i="1"/>
  <c r="D1816" i="1" s="1"/>
  <c r="I761" i="1"/>
  <c r="E762" i="1" s="1"/>
  <c r="B1818" i="1" l="1"/>
  <c r="C1817" i="1"/>
  <c r="D1817" i="1" s="1"/>
  <c r="G762" i="1"/>
  <c r="H762" i="1"/>
  <c r="F762" i="1" s="1"/>
  <c r="C1818" i="1" l="1"/>
  <c r="D1818" i="1" s="1"/>
  <c r="B1819" i="1"/>
  <c r="I762" i="1"/>
  <c r="E763" i="1" s="1"/>
  <c r="B1820" i="1" l="1"/>
  <c r="C1819" i="1"/>
  <c r="D1819" i="1" s="1"/>
  <c r="H763" i="1"/>
  <c r="F763" i="1" s="1"/>
  <c r="G763" i="1"/>
  <c r="B1821" i="1" l="1"/>
  <c r="C1820" i="1"/>
  <c r="D1820" i="1" s="1"/>
  <c r="I763" i="1"/>
  <c r="E764" i="1" s="1"/>
  <c r="C1821" i="1" l="1"/>
  <c r="D1821" i="1" s="1"/>
  <c r="B1822" i="1"/>
  <c r="G764" i="1"/>
  <c r="H764" i="1"/>
  <c r="F764" i="1" s="1"/>
  <c r="B1823" i="1" l="1"/>
  <c r="C1822" i="1"/>
  <c r="D1822" i="1" s="1"/>
  <c r="I764" i="1"/>
  <c r="E765" i="1" s="1"/>
  <c r="C1823" i="1" l="1"/>
  <c r="D1823" i="1" s="1"/>
  <c r="B1824" i="1"/>
  <c r="G765" i="1"/>
  <c r="H765" i="1"/>
  <c r="C1824" i="1" l="1"/>
  <c r="D1824" i="1" s="1"/>
  <c r="B1825" i="1"/>
  <c r="F765" i="1"/>
  <c r="I765" i="1" s="1"/>
  <c r="E766" i="1" s="1"/>
  <c r="C1825" i="1" l="1"/>
  <c r="D1825" i="1" s="1"/>
  <c r="B1826" i="1"/>
  <c r="G766" i="1"/>
  <c r="H766" i="1"/>
  <c r="C1826" i="1" l="1"/>
  <c r="D1826" i="1" s="1"/>
  <c r="B1827" i="1"/>
  <c r="F766" i="1"/>
  <c r="C1827" i="1" l="1"/>
  <c r="D1827" i="1" s="1"/>
  <c r="B1828" i="1"/>
  <c r="I766" i="1"/>
  <c r="E767" i="1" s="1"/>
  <c r="B1829" i="1" l="1"/>
  <c r="C1828" i="1"/>
  <c r="D1828" i="1" s="1"/>
  <c r="H767" i="1"/>
  <c r="F767" i="1" s="1"/>
  <c r="G767" i="1"/>
  <c r="C1829" i="1" l="1"/>
  <c r="D1829" i="1" s="1"/>
  <c r="B1830" i="1"/>
  <c r="I767" i="1"/>
  <c r="E768" i="1" s="1"/>
  <c r="C1830" i="1" l="1"/>
  <c r="D1830" i="1" s="1"/>
  <c r="B1831" i="1"/>
  <c r="G768" i="1"/>
  <c r="H768" i="1"/>
  <c r="B1832" i="1" l="1"/>
  <c r="C1831" i="1"/>
  <c r="D1831" i="1" s="1"/>
  <c r="F768" i="1"/>
  <c r="B1833" i="1" l="1"/>
  <c r="C1832" i="1"/>
  <c r="D1832" i="1" s="1"/>
  <c r="I768" i="1"/>
  <c r="E769" i="1" s="1"/>
  <c r="C1833" i="1" l="1"/>
  <c r="D1833" i="1" s="1"/>
  <c r="B1834" i="1"/>
  <c r="H769" i="1"/>
  <c r="F769" i="1" s="1"/>
  <c r="G769" i="1"/>
  <c r="C1834" i="1" l="1"/>
  <c r="D1834" i="1" s="1"/>
  <c r="B1835" i="1"/>
  <c r="I769" i="1"/>
  <c r="E770" i="1" s="1"/>
  <c r="C1835" i="1" l="1"/>
  <c r="D1835" i="1" s="1"/>
  <c r="B1836" i="1"/>
  <c r="H770" i="1"/>
  <c r="F770" i="1" s="1"/>
  <c r="G770" i="1"/>
  <c r="C1836" i="1" l="1"/>
  <c r="D1836" i="1" s="1"/>
  <c r="B1837" i="1"/>
  <c r="I770" i="1"/>
  <c r="E771" i="1" s="1"/>
  <c r="C1837" i="1" l="1"/>
  <c r="D1837" i="1" s="1"/>
  <c r="B1838" i="1"/>
  <c r="G771" i="1"/>
  <c r="H771" i="1"/>
  <c r="B1839" i="1" l="1"/>
  <c r="C1838" i="1"/>
  <c r="D1838" i="1" s="1"/>
  <c r="F771" i="1"/>
  <c r="I771" i="1" s="1"/>
  <c r="E772" i="1" s="1"/>
  <c r="C1839" i="1" l="1"/>
  <c r="D1839" i="1" s="1"/>
  <c r="B1840" i="1"/>
  <c r="H772" i="1"/>
  <c r="G772" i="1"/>
  <c r="C1840" i="1" l="1"/>
  <c r="D1840" i="1" s="1"/>
  <c r="B1841" i="1"/>
  <c r="F772" i="1"/>
  <c r="C1841" i="1" l="1"/>
  <c r="D1841" i="1" s="1"/>
  <c r="B1842" i="1"/>
  <c r="I772" i="1"/>
  <c r="E773" i="1" s="1"/>
  <c r="C1842" i="1" l="1"/>
  <c r="D1842" i="1" s="1"/>
  <c r="B1843" i="1"/>
  <c r="G773" i="1"/>
  <c r="H773" i="1"/>
  <c r="F773" i="1" s="1"/>
  <c r="C1843" i="1" l="1"/>
  <c r="D1843" i="1" s="1"/>
  <c r="B1844" i="1"/>
  <c r="I773" i="1"/>
  <c r="E774" i="1" s="1"/>
  <c r="B1845" i="1" l="1"/>
  <c r="C1844" i="1"/>
  <c r="D1844" i="1" s="1"/>
  <c r="H774" i="1"/>
  <c r="G774" i="1"/>
  <c r="C1845" i="1" l="1"/>
  <c r="D1845" i="1" s="1"/>
  <c r="B1846" i="1"/>
  <c r="F774" i="1"/>
  <c r="I774" i="1" s="1"/>
  <c r="E775" i="1" s="1"/>
  <c r="C1846" i="1" l="1"/>
  <c r="D1846" i="1" s="1"/>
  <c r="B1847" i="1"/>
  <c r="G775" i="1"/>
  <c r="H775" i="1"/>
  <c r="B1848" i="1" l="1"/>
  <c r="C1847" i="1"/>
  <c r="D1847" i="1" s="1"/>
  <c r="F775" i="1"/>
  <c r="C1848" i="1" l="1"/>
  <c r="D1848" i="1" s="1"/>
  <c r="B1849" i="1"/>
  <c r="I775" i="1"/>
  <c r="E776" i="1" s="1"/>
  <c r="C1849" i="1" l="1"/>
  <c r="D1849" i="1" s="1"/>
  <c r="B1850" i="1"/>
  <c r="G776" i="1"/>
  <c r="H776" i="1"/>
  <c r="F776" i="1" s="1"/>
  <c r="C1850" i="1" l="1"/>
  <c r="D1850" i="1" s="1"/>
  <c r="B1851" i="1"/>
  <c r="I776" i="1"/>
  <c r="E777" i="1" s="1"/>
  <c r="C1851" i="1" l="1"/>
  <c r="D1851" i="1" s="1"/>
  <c r="B1852" i="1"/>
  <c r="G777" i="1"/>
  <c r="H777" i="1"/>
  <c r="C1852" i="1" l="1"/>
  <c r="D1852" i="1" s="1"/>
  <c r="B1853" i="1"/>
  <c r="F777" i="1"/>
  <c r="I777" i="1" s="1"/>
  <c r="E778" i="1" s="1"/>
  <c r="C1853" i="1" l="1"/>
  <c r="D1853" i="1" s="1"/>
  <c r="B1854" i="1"/>
  <c r="H778" i="1"/>
  <c r="G778" i="1"/>
  <c r="C1854" i="1" l="1"/>
  <c r="D1854" i="1" s="1"/>
  <c r="B1855" i="1"/>
  <c r="F778" i="1"/>
  <c r="I778" i="1" s="1"/>
  <c r="E779" i="1" s="1"/>
  <c r="C1855" i="1" l="1"/>
  <c r="D1855" i="1" s="1"/>
  <c r="B1856" i="1"/>
  <c r="G779" i="1"/>
  <c r="H779" i="1"/>
  <c r="C1856" i="1" l="1"/>
  <c r="D1856" i="1" s="1"/>
  <c r="B1857" i="1"/>
  <c r="F779" i="1"/>
  <c r="C1857" i="1" l="1"/>
  <c r="D1857" i="1" s="1"/>
  <c r="B1858" i="1"/>
  <c r="I779" i="1"/>
  <c r="E780" i="1" s="1"/>
  <c r="C1858" i="1" l="1"/>
  <c r="D1858" i="1" s="1"/>
  <c r="B1859" i="1"/>
  <c r="G780" i="1"/>
  <c r="H780" i="1"/>
  <c r="F780" i="1" s="1"/>
  <c r="C1859" i="1" l="1"/>
  <c r="D1859" i="1" s="1"/>
  <c r="B1860" i="1"/>
  <c r="I780" i="1"/>
  <c r="E781" i="1" s="1"/>
  <c r="C1860" i="1" l="1"/>
  <c r="D1860" i="1" s="1"/>
  <c r="B1861" i="1"/>
  <c r="G781" i="1"/>
  <c r="H781" i="1"/>
  <c r="C1861" i="1" l="1"/>
  <c r="D1861" i="1" s="1"/>
  <c r="B1862" i="1"/>
  <c r="F781" i="1"/>
  <c r="B1863" i="1" l="1"/>
  <c r="C1862" i="1"/>
  <c r="D1862" i="1" s="1"/>
  <c r="I781" i="1"/>
  <c r="E782" i="1" s="1"/>
  <c r="C1863" i="1" l="1"/>
  <c r="D1863" i="1" s="1"/>
  <c r="B1864" i="1"/>
  <c r="G782" i="1"/>
  <c r="H782" i="1"/>
  <c r="F782" i="1" s="1"/>
  <c r="C1864" i="1" l="1"/>
  <c r="D1864" i="1" s="1"/>
  <c r="B1865" i="1"/>
  <c r="I782" i="1"/>
  <c r="E783" i="1" s="1"/>
  <c r="C1865" i="1" l="1"/>
  <c r="D1865" i="1" s="1"/>
  <c r="B1866" i="1"/>
  <c r="H783" i="1"/>
  <c r="G783" i="1"/>
  <c r="F783" i="1"/>
  <c r="C1866" i="1" l="1"/>
  <c r="D1866" i="1" s="1"/>
  <c r="B1867" i="1"/>
  <c r="I783" i="1"/>
  <c r="E784" i="1" s="1"/>
  <c r="C1867" i="1" l="1"/>
  <c r="D1867" i="1" s="1"/>
  <c r="B1868" i="1"/>
  <c r="G784" i="1"/>
  <c r="H784" i="1"/>
  <c r="C1868" i="1" l="1"/>
  <c r="D1868" i="1" s="1"/>
  <c r="B1869" i="1"/>
  <c r="F784" i="1"/>
  <c r="C1869" i="1" l="1"/>
  <c r="D1869" i="1" s="1"/>
  <c r="B1870" i="1"/>
  <c r="I784" i="1"/>
  <c r="E785" i="1" s="1"/>
  <c r="C1870" i="1" l="1"/>
  <c r="D1870" i="1" s="1"/>
  <c r="B1871" i="1"/>
  <c r="G785" i="1"/>
  <c r="H785" i="1"/>
  <c r="F785" i="1" s="1"/>
  <c r="C1871" i="1" l="1"/>
  <c r="D1871" i="1" s="1"/>
  <c r="B1872" i="1"/>
  <c r="I785" i="1"/>
  <c r="C1872" i="1" l="1"/>
  <c r="D1872" i="1" s="1"/>
  <c r="B1873" i="1"/>
  <c r="E786" i="1"/>
  <c r="H786" i="1" s="1"/>
  <c r="F786" i="1" s="1"/>
  <c r="C1873" i="1" l="1"/>
  <c r="D1873" i="1" s="1"/>
  <c r="B1874" i="1"/>
  <c r="G786" i="1"/>
  <c r="I786" i="1"/>
  <c r="E787" i="1" s="1"/>
  <c r="C1874" i="1" l="1"/>
  <c r="D1874" i="1" s="1"/>
  <c r="B1875" i="1"/>
  <c r="H787" i="1"/>
  <c r="G787" i="1"/>
  <c r="C1875" i="1" l="1"/>
  <c r="D1875" i="1" s="1"/>
  <c r="B1876" i="1"/>
  <c r="F787" i="1"/>
  <c r="C1876" i="1" l="1"/>
  <c r="D1876" i="1" s="1"/>
  <c r="B1877" i="1"/>
  <c r="I787" i="1"/>
  <c r="E788" i="1" s="1"/>
  <c r="C1877" i="1" l="1"/>
  <c r="D1877" i="1" s="1"/>
  <c r="B1878" i="1"/>
  <c r="H788" i="1"/>
  <c r="G788" i="1"/>
  <c r="F788" i="1"/>
  <c r="C1878" i="1" l="1"/>
  <c r="D1878" i="1" s="1"/>
  <c r="B1879" i="1"/>
  <c r="I788" i="1"/>
  <c r="E789" i="1" s="1"/>
  <c r="C1879" i="1" l="1"/>
  <c r="D1879" i="1" s="1"/>
  <c r="B1880" i="1"/>
  <c r="H789" i="1"/>
  <c r="G789" i="1"/>
  <c r="F789" i="1"/>
  <c r="C1880" i="1" l="1"/>
  <c r="D1880" i="1" s="1"/>
  <c r="B1881" i="1"/>
  <c r="I789" i="1"/>
  <c r="E790" i="1" s="1"/>
  <c r="C1881" i="1" l="1"/>
  <c r="D1881" i="1" s="1"/>
  <c r="B1882" i="1"/>
  <c r="H790" i="1"/>
  <c r="G790" i="1"/>
  <c r="F790" i="1"/>
  <c r="C1882" i="1" l="1"/>
  <c r="D1882" i="1" s="1"/>
  <c r="B1883" i="1"/>
  <c r="I790" i="1"/>
  <c r="E791" i="1" s="1"/>
  <c r="C1883" i="1" l="1"/>
  <c r="D1883" i="1" s="1"/>
  <c r="B1884" i="1"/>
  <c r="H791" i="1"/>
  <c r="F791" i="1" s="1"/>
  <c r="G791" i="1"/>
  <c r="B1885" i="1" l="1"/>
  <c r="C1884" i="1"/>
  <c r="D1884" i="1" s="1"/>
  <c r="I791" i="1"/>
  <c r="E792" i="1" s="1"/>
  <c r="C1885" i="1" l="1"/>
  <c r="D1885" i="1" s="1"/>
  <c r="B1886" i="1"/>
  <c r="H792" i="1"/>
  <c r="F792" i="1" s="1"/>
  <c r="G792" i="1"/>
  <c r="B1887" i="1" l="1"/>
  <c r="C1886" i="1"/>
  <c r="D1886" i="1" s="1"/>
  <c r="I792" i="1"/>
  <c r="E793" i="1" s="1"/>
  <c r="C1887" i="1" l="1"/>
  <c r="D1887" i="1" s="1"/>
  <c r="B1888" i="1"/>
  <c r="G793" i="1"/>
  <c r="H793" i="1"/>
  <c r="F793" i="1" s="1"/>
  <c r="C1888" i="1" l="1"/>
  <c r="D1888" i="1" s="1"/>
  <c r="B1889" i="1"/>
  <c r="I793" i="1"/>
  <c r="E794" i="1" s="1"/>
  <c r="B1890" i="1" l="1"/>
  <c r="C1889" i="1"/>
  <c r="D1889" i="1" s="1"/>
  <c r="G794" i="1"/>
  <c r="H794" i="1"/>
  <c r="C1890" i="1" l="1"/>
  <c r="D1890" i="1" s="1"/>
  <c r="B1891" i="1"/>
  <c r="F794" i="1"/>
  <c r="I794" i="1" s="1"/>
  <c r="E795" i="1" s="1"/>
  <c r="C1891" i="1" l="1"/>
  <c r="D1891" i="1" s="1"/>
  <c r="B1892" i="1"/>
  <c r="H795" i="1"/>
  <c r="F795" i="1" s="1"/>
  <c r="I795" i="1" s="1"/>
  <c r="E796" i="1" s="1"/>
  <c r="G795" i="1"/>
  <c r="B1893" i="1" l="1"/>
  <c r="C1892" i="1"/>
  <c r="D1892" i="1" s="1"/>
  <c r="H796" i="1"/>
  <c r="G796" i="1"/>
  <c r="C1893" i="1" l="1"/>
  <c r="D1893" i="1" s="1"/>
  <c r="B1894" i="1"/>
  <c r="F796" i="1"/>
  <c r="I796" i="1" s="1"/>
  <c r="E797" i="1" s="1"/>
  <c r="C1894" i="1" l="1"/>
  <c r="D1894" i="1" s="1"/>
  <c r="B1895" i="1"/>
  <c r="G797" i="1"/>
  <c r="H797" i="1"/>
  <c r="C1895" i="1" l="1"/>
  <c r="D1895" i="1" s="1"/>
  <c r="B1896" i="1"/>
  <c r="F797" i="1"/>
  <c r="I797" i="1" s="1"/>
  <c r="E798" i="1" s="1"/>
  <c r="C1896" i="1" l="1"/>
  <c r="D1896" i="1" s="1"/>
  <c r="B1897" i="1"/>
  <c r="G798" i="1"/>
  <c r="H798" i="1"/>
  <c r="C1897" i="1" l="1"/>
  <c r="D1897" i="1" s="1"/>
  <c r="B1898" i="1"/>
  <c r="F798" i="1"/>
  <c r="I798" i="1" s="1"/>
  <c r="E799" i="1" s="1"/>
  <c r="B1899" i="1" l="1"/>
  <c r="C1898" i="1"/>
  <c r="D1898" i="1" s="1"/>
  <c r="H799" i="1"/>
  <c r="G799" i="1"/>
  <c r="C1899" i="1" l="1"/>
  <c r="D1899" i="1" s="1"/>
  <c r="B1900" i="1"/>
  <c r="F799" i="1"/>
  <c r="C1900" i="1" l="1"/>
  <c r="D1900" i="1" s="1"/>
  <c r="B1901" i="1"/>
  <c r="I799" i="1"/>
  <c r="E800" i="1" s="1"/>
  <c r="C1901" i="1" l="1"/>
  <c r="D1901" i="1" s="1"/>
  <c r="B1902" i="1"/>
  <c r="G800" i="1"/>
  <c r="H800" i="1"/>
  <c r="F800" i="1" s="1"/>
  <c r="C1902" i="1" l="1"/>
  <c r="D1902" i="1" s="1"/>
  <c r="B1903" i="1"/>
  <c r="I800" i="1"/>
  <c r="E801" i="1" s="1"/>
  <c r="C1903" i="1" l="1"/>
  <c r="D1903" i="1" s="1"/>
  <c r="B1904" i="1"/>
  <c r="H801" i="1"/>
  <c r="F801" i="1" s="1"/>
  <c r="I801" i="1" s="1"/>
  <c r="E802" i="1" s="1"/>
  <c r="G801" i="1"/>
  <c r="C1904" i="1" l="1"/>
  <c r="D1904" i="1" s="1"/>
  <c r="B1905" i="1"/>
  <c r="G802" i="1"/>
  <c r="H802" i="1"/>
  <c r="C1905" i="1" l="1"/>
  <c r="D1905" i="1" s="1"/>
  <c r="B1906" i="1"/>
  <c r="F802" i="1"/>
  <c r="I802" i="1" s="1"/>
  <c r="E803" i="1" s="1"/>
  <c r="C1906" i="1" l="1"/>
  <c r="D1906" i="1" s="1"/>
  <c r="B1907" i="1"/>
  <c r="H803" i="1"/>
  <c r="G803" i="1"/>
  <c r="C1907" i="1" l="1"/>
  <c r="D1907" i="1" s="1"/>
  <c r="B1908" i="1"/>
  <c r="F803" i="1"/>
  <c r="I803" i="1" s="1"/>
  <c r="E804" i="1" s="1"/>
  <c r="C1908" i="1" l="1"/>
  <c r="D1908" i="1" s="1"/>
  <c r="B1909" i="1"/>
  <c r="H804" i="1"/>
  <c r="G804" i="1"/>
  <c r="C1909" i="1" l="1"/>
  <c r="D1909" i="1" s="1"/>
  <c r="B1910" i="1"/>
  <c r="F804" i="1"/>
  <c r="I804" i="1" s="1"/>
  <c r="E805" i="1" s="1"/>
  <c r="C1910" i="1" l="1"/>
  <c r="D1910" i="1" s="1"/>
  <c r="B1911" i="1"/>
  <c r="H805" i="1"/>
  <c r="G805" i="1"/>
  <c r="C1911" i="1" l="1"/>
  <c r="D1911" i="1" s="1"/>
  <c r="B1912" i="1"/>
  <c r="F805" i="1"/>
  <c r="C1912" i="1" l="1"/>
  <c r="D1912" i="1" s="1"/>
  <c r="B1913" i="1"/>
  <c r="I805" i="1"/>
  <c r="E806" i="1" s="1"/>
  <c r="B1914" i="1" l="1"/>
  <c r="C1913" i="1"/>
  <c r="D1913" i="1" s="1"/>
  <c r="H806" i="1"/>
  <c r="F806" i="1" s="1"/>
  <c r="G806" i="1"/>
  <c r="C1914" i="1" l="1"/>
  <c r="D1914" i="1" s="1"/>
  <c r="B1915" i="1"/>
  <c r="I806" i="1"/>
  <c r="E807" i="1" s="1"/>
  <c r="B1916" i="1" l="1"/>
  <c r="C1915" i="1"/>
  <c r="D1915" i="1" s="1"/>
  <c r="H807" i="1"/>
  <c r="G807" i="1"/>
  <c r="F807" i="1"/>
  <c r="C1916" i="1" l="1"/>
  <c r="D1916" i="1" s="1"/>
  <c r="B1917" i="1"/>
  <c r="I807" i="1"/>
  <c r="E808" i="1" s="1"/>
  <c r="C1917" i="1" l="1"/>
  <c r="D1917" i="1" s="1"/>
  <c r="B1918" i="1"/>
  <c r="H808" i="1"/>
  <c r="G808" i="1"/>
  <c r="B1919" i="1" l="1"/>
  <c r="C1918" i="1"/>
  <c r="D1918" i="1" s="1"/>
  <c r="F808" i="1"/>
  <c r="C1919" i="1" l="1"/>
  <c r="D1919" i="1" s="1"/>
  <c r="B1920" i="1"/>
  <c r="I808" i="1"/>
  <c r="E809" i="1" s="1"/>
  <c r="C1920" i="1" l="1"/>
  <c r="D1920" i="1" s="1"/>
  <c r="B1921" i="1"/>
  <c r="G809" i="1"/>
  <c r="H809" i="1"/>
  <c r="F809" i="1" s="1"/>
  <c r="C1921" i="1" l="1"/>
  <c r="D1921" i="1" s="1"/>
  <c r="B1922" i="1"/>
  <c r="I809" i="1"/>
  <c r="E810" i="1" s="1"/>
  <c r="C1922" i="1" l="1"/>
  <c r="D1922" i="1" s="1"/>
  <c r="B1923" i="1"/>
  <c r="G810" i="1"/>
  <c r="H810" i="1"/>
  <c r="C1923" i="1" l="1"/>
  <c r="D1923" i="1" s="1"/>
  <c r="B1924" i="1"/>
  <c r="F810" i="1"/>
  <c r="I810" i="1" s="1"/>
  <c r="E811" i="1" s="1"/>
  <c r="C1924" i="1" l="1"/>
  <c r="D1924" i="1" s="1"/>
  <c r="B1925" i="1"/>
  <c r="H811" i="1"/>
  <c r="G811" i="1"/>
  <c r="C1925" i="1" l="1"/>
  <c r="D1925" i="1" s="1"/>
  <c r="B1926" i="1"/>
  <c r="F811" i="1"/>
  <c r="C1926" i="1" l="1"/>
  <c r="D1926" i="1" s="1"/>
  <c r="B1927" i="1"/>
  <c r="I811" i="1"/>
  <c r="E812" i="1" s="1"/>
  <c r="C1927" i="1" l="1"/>
  <c r="D1927" i="1" s="1"/>
  <c r="B1928" i="1"/>
  <c r="H812" i="1"/>
  <c r="G812" i="1"/>
  <c r="F812" i="1"/>
  <c r="B1929" i="1" l="1"/>
  <c r="C1928" i="1"/>
  <c r="D1928" i="1" s="1"/>
  <c r="I812" i="1"/>
  <c r="E813" i="1" s="1"/>
  <c r="B1930" i="1" l="1"/>
  <c r="C1929" i="1"/>
  <c r="D1929" i="1" s="1"/>
  <c r="G813" i="1"/>
  <c r="H813" i="1"/>
  <c r="C1930" i="1" l="1"/>
  <c r="D1930" i="1" s="1"/>
  <c r="B1931" i="1"/>
  <c r="F813" i="1"/>
  <c r="I813" i="1" s="1"/>
  <c r="E814" i="1" s="1"/>
  <c r="B1932" i="1" l="1"/>
  <c r="C1931" i="1"/>
  <c r="D1931" i="1" s="1"/>
  <c r="H814" i="1"/>
  <c r="G814" i="1"/>
  <c r="C1932" i="1" l="1"/>
  <c r="D1932" i="1" s="1"/>
  <c r="B1933" i="1"/>
  <c r="F814" i="1"/>
  <c r="B1934" i="1" l="1"/>
  <c r="C1933" i="1"/>
  <c r="D1933" i="1" s="1"/>
  <c r="I814" i="1"/>
  <c r="E815" i="1" s="1"/>
  <c r="C1934" i="1" l="1"/>
  <c r="D1934" i="1" s="1"/>
  <c r="B1935" i="1"/>
  <c r="H815" i="1"/>
  <c r="G815" i="1"/>
  <c r="F815" i="1"/>
  <c r="C1935" i="1" l="1"/>
  <c r="D1935" i="1" s="1"/>
  <c r="B1936" i="1"/>
  <c r="I815" i="1"/>
  <c r="E816" i="1" s="1"/>
  <c r="C1936" i="1" l="1"/>
  <c r="D1936" i="1" s="1"/>
  <c r="B1937" i="1"/>
  <c r="G816" i="1"/>
  <c r="H816" i="1"/>
  <c r="F816" i="1" s="1"/>
  <c r="C1937" i="1" l="1"/>
  <c r="D1937" i="1" s="1"/>
  <c r="B1938" i="1"/>
  <c r="I816" i="1"/>
  <c r="E817" i="1" s="1"/>
  <c r="B1939" i="1" l="1"/>
  <c r="C1938" i="1"/>
  <c r="D1938" i="1" s="1"/>
  <c r="H817" i="1"/>
  <c r="G817" i="1"/>
  <c r="C1939" i="1" l="1"/>
  <c r="D1939" i="1" s="1"/>
  <c r="B1940" i="1"/>
  <c r="F817" i="1"/>
  <c r="I817" i="1" s="1"/>
  <c r="E818" i="1" s="1"/>
  <c r="C1940" i="1" l="1"/>
  <c r="D1940" i="1" s="1"/>
  <c r="B1941" i="1"/>
  <c r="G818" i="1"/>
  <c r="H818" i="1"/>
  <c r="C1941" i="1" l="1"/>
  <c r="D1941" i="1" s="1"/>
  <c r="B1942" i="1"/>
  <c r="F818" i="1"/>
  <c r="C1942" i="1" l="1"/>
  <c r="D1942" i="1" s="1"/>
  <c r="B1943" i="1"/>
  <c r="I818" i="1"/>
  <c r="E819" i="1" s="1"/>
  <c r="C1943" i="1" l="1"/>
  <c r="D1943" i="1" s="1"/>
  <c r="B1944" i="1"/>
  <c r="H819" i="1"/>
  <c r="F819" i="1" s="1"/>
  <c r="G819" i="1"/>
  <c r="C1944" i="1" l="1"/>
  <c r="D1944" i="1" s="1"/>
  <c r="B1945" i="1"/>
  <c r="I819" i="1"/>
  <c r="E820" i="1" s="1"/>
  <c r="C1945" i="1" l="1"/>
  <c r="D1945" i="1" s="1"/>
  <c r="B1946" i="1"/>
  <c r="G820" i="1"/>
  <c r="H820" i="1"/>
  <c r="C1946" i="1" l="1"/>
  <c r="D1946" i="1" s="1"/>
  <c r="B1947" i="1"/>
  <c r="F820" i="1"/>
  <c r="I820" i="1" s="1"/>
  <c r="E821" i="1" s="1"/>
  <c r="B1948" i="1" l="1"/>
  <c r="C1947" i="1"/>
  <c r="D1947" i="1" s="1"/>
  <c r="H821" i="1"/>
  <c r="G821" i="1"/>
  <c r="C1948" i="1" l="1"/>
  <c r="D1948" i="1" s="1"/>
  <c r="B1949" i="1"/>
  <c r="F821" i="1"/>
  <c r="C1949" i="1" l="1"/>
  <c r="D1949" i="1" s="1"/>
  <c r="B1950" i="1"/>
  <c r="I821" i="1"/>
  <c r="E822" i="1" s="1"/>
  <c r="B1951" i="1" l="1"/>
  <c r="C1950" i="1"/>
  <c r="D1950" i="1" s="1"/>
  <c r="G822" i="1"/>
  <c r="H822" i="1"/>
  <c r="F822" i="1" s="1"/>
  <c r="B1952" i="1" l="1"/>
  <c r="C1951" i="1"/>
  <c r="D1951" i="1" s="1"/>
  <c r="I822" i="1"/>
  <c r="E823" i="1" s="1"/>
  <c r="C1952" i="1" l="1"/>
  <c r="D1952" i="1" s="1"/>
  <c r="B1953" i="1"/>
  <c r="H823" i="1"/>
  <c r="F823" i="1" s="1"/>
  <c r="I823" i="1" s="1"/>
  <c r="E824" i="1" s="1"/>
  <c r="G823" i="1"/>
  <c r="B1954" i="1" l="1"/>
  <c r="C1953" i="1"/>
  <c r="D1953" i="1" s="1"/>
  <c r="H824" i="1"/>
  <c r="G824" i="1"/>
  <c r="C1954" i="1" l="1"/>
  <c r="D1954" i="1" s="1"/>
  <c r="B1955" i="1"/>
  <c r="F824" i="1"/>
  <c r="C1955" i="1" l="1"/>
  <c r="D1955" i="1" s="1"/>
  <c r="B1956" i="1"/>
  <c r="I824" i="1"/>
  <c r="E825" i="1" s="1"/>
  <c r="C1956" i="1" l="1"/>
  <c r="D1956" i="1" s="1"/>
  <c r="B1957" i="1"/>
  <c r="H825" i="1"/>
  <c r="G825" i="1"/>
  <c r="F825" i="1"/>
  <c r="C1957" i="1" l="1"/>
  <c r="D1957" i="1" s="1"/>
  <c r="B1958" i="1"/>
  <c r="I825" i="1"/>
  <c r="E826" i="1" s="1"/>
  <c r="C1958" i="1" l="1"/>
  <c r="D1958" i="1" s="1"/>
  <c r="B1959" i="1"/>
  <c r="H826" i="1"/>
  <c r="F826" i="1" s="1"/>
  <c r="G826" i="1"/>
  <c r="B1960" i="1" l="1"/>
  <c r="C1959" i="1"/>
  <c r="D1959" i="1" s="1"/>
  <c r="I826" i="1"/>
  <c r="E827" i="1" s="1"/>
  <c r="C1960" i="1" l="1"/>
  <c r="D1960" i="1" s="1"/>
  <c r="B1961" i="1"/>
  <c r="H827" i="1"/>
  <c r="F827" i="1" s="1"/>
  <c r="G827" i="1"/>
  <c r="C1961" i="1" l="1"/>
  <c r="D1961" i="1" s="1"/>
  <c r="B1962" i="1"/>
  <c r="I827" i="1"/>
  <c r="E828" i="1" s="1"/>
  <c r="C1962" i="1" l="1"/>
  <c r="D1962" i="1" s="1"/>
  <c r="B1963" i="1"/>
  <c r="H828" i="1"/>
  <c r="G828" i="1"/>
  <c r="F828" i="1"/>
  <c r="C1963" i="1" l="1"/>
  <c r="D1963" i="1" s="1"/>
  <c r="B1964" i="1"/>
  <c r="I828" i="1"/>
  <c r="E829" i="1" s="1"/>
  <c r="C1964" i="1" l="1"/>
  <c r="D1964" i="1" s="1"/>
  <c r="B1965" i="1"/>
  <c r="H829" i="1"/>
  <c r="G829" i="1"/>
  <c r="C1965" i="1" l="1"/>
  <c r="D1965" i="1" s="1"/>
  <c r="B1966" i="1"/>
  <c r="F829" i="1"/>
  <c r="C1966" i="1" l="1"/>
  <c r="D1966" i="1" s="1"/>
  <c r="B1967" i="1"/>
  <c r="I829" i="1"/>
  <c r="E830" i="1" s="1"/>
  <c r="B1968" i="1" l="1"/>
  <c r="C1967" i="1"/>
  <c r="D1967" i="1" s="1"/>
  <c r="H830" i="1"/>
  <c r="G830" i="1"/>
  <c r="F830" i="1"/>
  <c r="C1968" i="1" l="1"/>
  <c r="D1968" i="1" s="1"/>
  <c r="B1969" i="1"/>
  <c r="I830" i="1"/>
  <c r="E831" i="1" s="1"/>
  <c r="C1969" i="1" l="1"/>
  <c r="D1969" i="1" s="1"/>
  <c r="B1970" i="1"/>
  <c r="H831" i="1"/>
  <c r="F831" i="1" s="1"/>
  <c r="G831" i="1"/>
  <c r="B1971" i="1" l="1"/>
  <c r="C1970" i="1"/>
  <c r="D1970" i="1" s="1"/>
  <c r="I831" i="1"/>
  <c r="E832" i="1" s="1"/>
  <c r="C1971" i="1" l="1"/>
  <c r="D1971" i="1" s="1"/>
  <c r="B1972" i="1"/>
  <c r="H832" i="1"/>
  <c r="F832" i="1" s="1"/>
  <c r="G832" i="1"/>
  <c r="B1973" i="1" l="1"/>
  <c r="C1972" i="1"/>
  <c r="D1972" i="1" s="1"/>
  <c r="I832" i="1"/>
  <c r="E833" i="1" s="1"/>
  <c r="C1973" i="1" l="1"/>
  <c r="D1973" i="1" s="1"/>
  <c r="B1974" i="1"/>
  <c r="H833" i="1"/>
  <c r="F833" i="1" s="1"/>
  <c r="G833" i="1"/>
  <c r="C1974" i="1" l="1"/>
  <c r="D1974" i="1" s="1"/>
  <c r="B1975" i="1"/>
  <c r="I833" i="1"/>
  <c r="E834" i="1" s="1"/>
  <c r="C1975" i="1" l="1"/>
  <c r="D1975" i="1" s="1"/>
  <c r="B1976" i="1"/>
  <c r="H834" i="1"/>
  <c r="F834" i="1" s="1"/>
  <c r="G834" i="1"/>
  <c r="C1976" i="1" l="1"/>
  <c r="D1976" i="1" s="1"/>
  <c r="B1977" i="1"/>
  <c r="I834" i="1"/>
  <c r="E835" i="1" s="1"/>
  <c r="B1978" i="1" l="1"/>
  <c r="C1977" i="1"/>
  <c r="D1977" i="1" s="1"/>
  <c r="H835" i="1"/>
  <c r="F835" i="1" s="1"/>
  <c r="G835" i="1"/>
  <c r="C1978" i="1" l="1"/>
  <c r="D1978" i="1" s="1"/>
  <c r="B1979" i="1"/>
  <c r="I835" i="1"/>
  <c r="E836" i="1" s="1"/>
  <c r="C1979" i="1" l="1"/>
  <c r="D1979" i="1" s="1"/>
  <c r="B1980" i="1"/>
  <c r="G836" i="1"/>
  <c r="H836" i="1"/>
  <c r="C1980" i="1" l="1"/>
  <c r="D1980" i="1" s="1"/>
  <c r="B1981" i="1"/>
  <c r="F836" i="1"/>
  <c r="I836" i="1" s="1"/>
  <c r="E837" i="1" s="1"/>
  <c r="C1981" i="1" l="1"/>
  <c r="D1981" i="1" s="1"/>
  <c r="B1982" i="1"/>
  <c r="H837" i="1"/>
  <c r="G837" i="1"/>
  <c r="B1983" i="1" l="1"/>
  <c r="C1982" i="1"/>
  <c r="D1982" i="1" s="1"/>
  <c r="F837" i="1"/>
  <c r="I837" i="1" s="1"/>
  <c r="E838" i="1" s="1"/>
  <c r="C1983" i="1" l="1"/>
  <c r="D1983" i="1" s="1"/>
  <c r="B1984" i="1"/>
  <c r="H838" i="1"/>
  <c r="G838" i="1"/>
  <c r="C1984" i="1" l="1"/>
  <c r="D1984" i="1" s="1"/>
  <c r="B1985" i="1"/>
  <c r="F838" i="1"/>
  <c r="C1985" i="1" l="1"/>
  <c r="D1985" i="1" s="1"/>
  <c r="B1986" i="1"/>
  <c r="I838" i="1"/>
  <c r="E839" i="1" s="1"/>
  <c r="C1986" i="1" l="1"/>
  <c r="D1986" i="1" s="1"/>
  <c r="B1987" i="1"/>
  <c r="H839" i="1"/>
  <c r="G839" i="1"/>
  <c r="F839" i="1"/>
  <c r="C1987" i="1" l="1"/>
  <c r="D1987" i="1" s="1"/>
  <c r="B1988" i="1"/>
  <c r="I839" i="1"/>
  <c r="B1989" i="1" l="1"/>
  <c r="C1988" i="1"/>
  <c r="D1988" i="1" s="1"/>
  <c r="E840" i="1"/>
  <c r="G840" i="1" s="1"/>
  <c r="C1989" i="1" l="1"/>
  <c r="D1989" i="1" s="1"/>
  <c r="B1990" i="1"/>
  <c r="H840" i="1"/>
  <c r="F840" i="1" s="1"/>
  <c r="I840" i="1" s="1"/>
  <c r="E841" i="1" s="1"/>
  <c r="C1990" i="1" l="1"/>
  <c r="D1990" i="1" s="1"/>
  <c r="B1991" i="1"/>
  <c r="H841" i="1"/>
  <c r="G841" i="1"/>
  <c r="F841" i="1"/>
  <c r="C1991" i="1" l="1"/>
  <c r="D1991" i="1" s="1"/>
  <c r="B1992" i="1"/>
  <c r="I841" i="1"/>
  <c r="E842" i="1" s="1"/>
  <c r="B1993" i="1" l="1"/>
  <c r="C1992" i="1"/>
  <c r="D1992" i="1" s="1"/>
  <c r="G842" i="1"/>
  <c r="H842" i="1"/>
  <c r="C1993" i="1" l="1"/>
  <c r="D1993" i="1" s="1"/>
  <c r="B1994" i="1"/>
  <c r="F842" i="1"/>
  <c r="C1994" i="1" l="1"/>
  <c r="D1994" i="1" s="1"/>
  <c r="B1995" i="1"/>
  <c r="I842" i="1"/>
  <c r="E843" i="1" s="1"/>
  <c r="C1995" i="1" l="1"/>
  <c r="D1995" i="1" s="1"/>
  <c r="B1996" i="1"/>
  <c r="H843" i="1"/>
  <c r="G843" i="1"/>
  <c r="C1996" i="1" l="1"/>
  <c r="D1996" i="1" s="1"/>
  <c r="B1997" i="1"/>
  <c r="F843" i="1"/>
  <c r="I843" i="1" s="1"/>
  <c r="E844" i="1" s="1"/>
  <c r="C1997" i="1" l="1"/>
  <c r="D1997" i="1" s="1"/>
  <c r="B1998" i="1"/>
  <c r="H844" i="1"/>
  <c r="F844" i="1" s="1"/>
  <c r="G844" i="1"/>
  <c r="C1998" i="1" l="1"/>
  <c r="D1998" i="1" s="1"/>
  <c r="B1999" i="1"/>
  <c r="I844" i="1"/>
  <c r="E845" i="1" s="1"/>
  <c r="C1999" i="1" l="1"/>
  <c r="D1999" i="1" s="1"/>
  <c r="B2000" i="1"/>
  <c r="H845" i="1"/>
  <c r="G845" i="1"/>
  <c r="C2000" i="1" l="1"/>
  <c r="D2000" i="1" s="1"/>
  <c r="B2001" i="1"/>
  <c r="F845" i="1"/>
  <c r="I845" i="1" s="1"/>
  <c r="E846" i="1" s="1"/>
  <c r="C2001" i="1" l="1"/>
  <c r="D2001" i="1" s="1"/>
  <c r="B2002" i="1"/>
  <c r="G846" i="1"/>
  <c r="H846" i="1"/>
  <c r="C2002" i="1" l="1"/>
  <c r="D2002" i="1" s="1"/>
  <c r="B2003" i="1"/>
  <c r="F846" i="1"/>
  <c r="C2003" i="1" l="1"/>
  <c r="D2003" i="1" s="1"/>
  <c r="B2004" i="1"/>
  <c r="I846" i="1"/>
  <c r="E847" i="1" s="1"/>
  <c r="B2005" i="1" l="1"/>
  <c r="C2004" i="1"/>
  <c r="D2004" i="1" s="1"/>
  <c r="G847" i="1"/>
  <c r="H847" i="1"/>
  <c r="C2005" i="1" l="1"/>
  <c r="D2005" i="1" s="1"/>
  <c r="B2006" i="1"/>
  <c r="F847" i="1"/>
  <c r="I847" i="1" s="1"/>
  <c r="E848" i="1" s="1"/>
  <c r="C2006" i="1" l="1"/>
  <c r="D2006" i="1" s="1"/>
  <c r="B2007" i="1"/>
  <c r="G848" i="1"/>
  <c r="H848" i="1"/>
  <c r="C2007" i="1" l="1"/>
  <c r="D2007" i="1" s="1"/>
  <c r="B2008" i="1"/>
  <c r="F848" i="1"/>
  <c r="I848" i="1" s="1"/>
  <c r="E849" i="1" s="1"/>
  <c r="C2008" i="1" l="1"/>
  <c r="D2008" i="1" s="1"/>
  <c r="B2009" i="1"/>
  <c r="H849" i="1"/>
  <c r="G849" i="1"/>
  <c r="C2009" i="1" l="1"/>
  <c r="D2009" i="1" s="1"/>
  <c r="B2010" i="1"/>
  <c r="F849" i="1"/>
  <c r="I849" i="1" s="1"/>
  <c r="E850" i="1" s="1"/>
  <c r="B2011" i="1" l="1"/>
  <c r="C2010" i="1"/>
  <c r="D2010" i="1" s="1"/>
  <c r="H850" i="1"/>
  <c r="G850" i="1"/>
  <c r="C2011" i="1" l="1"/>
  <c r="D2011" i="1" s="1"/>
  <c r="B2012" i="1"/>
  <c r="F850" i="1"/>
  <c r="I850" i="1" s="1"/>
  <c r="E851" i="1" s="1"/>
  <c r="C2012" i="1" l="1"/>
  <c r="D2012" i="1" s="1"/>
  <c r="B2013" i="1"/>
  <c r="G851" i="1"/>
  <c r="H851" i="1"/>
  <c r="B2014" i="1" l="1"/>
  <c r="C2013" i="1"/>
  <c r="D2013" i="1" s="1"/>
  <c r="F851" i="1"/>
  <c r="I851" i="1" s="1"/>
  <c r="E852" i="1" s="1"/>
  <c r="C2014" i="1" l="1"/>
  <c r="D2014" i="1" s="1"/>
  <c r="B2015" i="1"/>
  <c r="H852" i="1"/>
  <c r="G852" i="1"/>
  <c r="C2015" i="1" l="1"/>
  <c r="D2015" i="1" s="1"/>
  <c r="B2016" i="1"/>
  <c r="F852" i="1"/>
  <c r="B2017" i="1" l="1"/>
  <c r="C2016" i="1"/>
  <c r="D2016" i="1" s="1"/>
  <c r="I852" i="1"/>
  <c r="E853" i="1" s="1"/>
  <c r="C2017" i="1" l="1"/>
  <c r="D2017" i="1" s="1"/>
  <c r="B2018" i="1"/>
  <c r="H853" i="1"/>
  <c r="G853" i="1"/>
  <c r="F853" i="1"/>
  <c r="C2018" i="1" l="1"/>
  <c r="D2018" i="1" s="1"/>
  <c r="B2019" i="1"/>
  <c r="I853" i="1"/>
  <c r="E854" i="1" s="1"/>
  <c r="C2019" i="1" l="1"/>
  <c r="D2019" i="1" s="1"/>
  <c r="B2020" i="1"/>
  <c r="H854" i="1"/>
  <c r="G854" i="1"/>
  <c r="F854" i="1"/>
  <c r="C2020" i="1" l="1"/>
  <c r="D2020" i="1" s="1"/>
  <c r="B2021" i="1"/>
  <c r="I854" i="1"/>
  <c r="E855" i="1" s="1"/>
  <c r="C2021" i="1" l="1"/>
  <c r="D2021" i="1" s="1"/>
  <c r="B2022" i="1"/>
  <c r="H855" i="1"/>
  <c r="G855" i="1"/>
  <c r="C2022" i="1" l="1"/>
  <c r="D2022" i="1" s="1"/>
  <c r="B2023" i="1"/>
  <c r="F855" i="1"/>
  <c r="I855" i="1" s="1"/>
  <c r="E856" i="1" s="1"/>
  <c r="C2023" i="1" l="1"/>
  <c r="D2023" i="1" s="1"/>
  <c r="B2024" i="1"/>
  <c r="G856" i="1"/>
  <c r="H856" i="1"/>
  <c r="B2025" i="1" l="1"/>
  <c r="C2024" i="1"/>
  <c r="D2024" i="1" s="1"/>
  <c r="F856" i="1"/>
  <c r="I856" i="1" s="1"/>
  <c r="E857" i="1" s="1"/>
  <c r="C2025" i="1" l="1"/>
  <c r="D2025" i="1" s="1"/>
  <c r="B2026" i="1"/>
  <c r="H857" i="1"/>
  <c r="G857" i="1"/>
  <c r="C2026" i="1" l="1"/>
  <c r="D2026" i="1" s="1"/>
  <c r="B2027" i="1"/>
  <c r="F857" i="1"/>
  <c r="I857" i="1" s="1"/>
  <c r="E858" i="1" s="1"/>
  <c r="C2027" i="1" l="1"/>
  <c r="D2027" i="1" s="1"/>
  <c r="B2028" i="1"/>
  <c r="G858" i="1"/>
  <c r="H858" i="1"/>
  <c r="C2028" i="1" l="1"/>
  <c r="D2028" i="1" s="1"/>
  <c r="B2029" i="1"/>
  <c r="F858" i="1"/>
  <c r="I858" i="1" s="1"/>
  <c r="E859" i="1" s="1"/>
  <c r="C2029" i="1" l="1"/>
  <c r="D2029" i="1" s="1"/>
  <c r="B2030" i="1"/>
  <c r="H859" i="1"/>
  <c r="G859" i="1"/>
  <c r="C2030" i="1" l="1"/>
  <c r="D2030" i="1" s="1"/>
  <c r="B2031" i="1"/>
  <c r="F859" i="1"/>
  <c r="B2032" i="1" l="1"/>
  <c r="C2031" i="1"/>
  <c r="D2031" i="1" s="1"/>
  <c r="I859" i="1"/>
  <c r="E860" i="1" s="1"/>
  <c r="C2032" i="1" l="1"/>
  <c r="D2032" i="1" s="1"/>
  <c r="B2033" i="1"/>
  <c r="H860" i="1"/>
  <c r="G860" i="1"/>
  <c r="F860" i="1"/>
  <c r="C2033" i="1" l="1"/>
  <c r="D2033" i="1" s="1"/>
  <c r="B2034" i="1"/>
  <c r="I860" i="1"/>
  <c r="E861" i="1" s="1"/>
  <c r="C2034" i="1" l="1"/>
  <c r="D2034" i="1" s="1"/>
  <c r="B2035" i="1"/>
  <c r="H861" i="1"/>
  <c r="G861" i="1"/>
  <c r="C2035" i="1" l="1"/>
  <c r="D2035" i="1" s="1"/>
  <c r="B2036" i="1"/>
  <c r="F861" i="1"/>
  <c r="C2036" i="1" l="1"/>
  <c r="D2036" i="1" s="1"/>
  <c r="B2037" i="1"/>
  <c r="I861" i="1"/>
  <c r="E862" i="1" s="1"/>
  <c r="C2037" i="1" l="1"/>
  <c r="D2037" i="1" s="1"/>
  <c r="B2038" i="1"/>
  <c r="H862" i="1"/>
  <c r="F862" i="1" s="1"/>
  <c r="G862" i="1"/>
  <c r="B2039" i="1" l="1"/>
  <c r="C2038" i="1"/>
  <c r="D2038" i="1" s="1"/>
  <c r="I862" i="1"/>
  <c r="E863" i="1" s="1"/>
  <c r="B2040" i="1" l="1"/>
  <c r="C2039" i="1"/>
  <c r="D2039" i="1" s="1"/>
  <c r="H863" i="1"/>
  <c r="G863" i="1"/>
  <c r="B2041" i="1" l="1"/>
  <c r="C2040" i="1"/>
  <c r="D2040" i="1" s="1"/>
  <c r="F863" i="1"/>
  <c r="I863" i="1" s="1"/>
  <c r="E864" i="1" s="1"/>
  <c r="B2042" i="1" l="1"/>
  <c r="C2041" i="1"/>
  <c r="D2041" i="1" s="1"/>
  <c r="H864" i="1"/>
  <c r="G864" i="1"/>
  <c r="B2043" i="1" l="1"/>
  <c r="C2042" i="1"/>
  <c r="D2042" i="1" s="1"/>
  <c r="F864" i="1"/>
  <c r="C2043" i="1" l="1"/>
  <c r="D2043" i="1" s="1"/>
  <c r="B2044" i="1"/>
  <c r="I864" i="1"/>
  <c r="E865" i="1" s="1"/>
  <c r="C2044" i="1" l="1"/>
  <c r="D2044" i="1" s="1"/>
  <c r="B2045" i="1"/>
  <c r="H865" i="1"/>
  <c r="F865" i="1" s="1"/>
  <c r="G865" i="1"/>
  <c r="C2045" i="1" l="1"/>
  <c r="D2045" i="1" s="1"/>
  <c r="B2046" i="1"/>
  <c r="I865" i="1"/>
  <c r="E866" i="1" s="1"/>
  <c r="C2046" i="1" l="1"/>
  <c r="D2046" i="1" s="1"/>
  <c r="B2047" i="1"/>
  <c r="H866" i="1"/>
  <c r="G866" i="1"/>
  <c r="C2047" i="1" l="1"/>
  <c r="D2047" i="1" s="1"/>
  <c r="B2048" i="1"/>
  <c r="F866" i="1"/>
  <c r="C2048" i="1" l="1"/>
  <c r="D2048" i="1" s="1"/>
  <c r="B2049" i="1"/>
  <c r="I866" i="1"/>
  <c r="E867" i="1" s="1"/>
  <c r="C2049" i="1" l="1"/>
  <c r="D2049" i="1" s="1"/>
  <c r="B2050" i="1"/>
  <c r="H867" i="1"/>
  <c r="F867" i="1" s="1"/>
  <c r="G867" i="1"/>
  <c r="B2051" i="1" l="1"/>
  <c r="C2050" i="1"/>
  <c r="D2050" i="1" s="1"/>
  <c r="I867" i="1"/>
  <c r="E868" i="1" s="1"/>
  <c r="C2051" i="1" l="1"/>
  <c r="D2051" i="1" s="1"/>
  <c r="B2052" i="1"/>
  <c r="H868" i="1"/>
  <c r="G868" i="1"/>
  <c r="F868" i="1"/>
  <c r="B2053" i="1" l="1"/>
  <c r="C2052" i="1"/>
  <c r="D2052" i="1" s="1"/>
  <c r="I868" i="1"/>
  <c r="E869" i="1" s="1"/>
  <c r="C2053" i="1" l="1"/>
  <c r="D2053" i="1" s="1"/>
  <c r="B2054" i="1"/>
  <c r="G869" i="1"/>
  <c r="H869" i="1"/>
  <c r="C2054" i="1" l="1"/>
  <c r="D2054" i="1" s="1"/>
  <c r="B2055" i="1"/>
  <c r="F869" i="1"/>
  <c r="C2055" i="1" l="1"/>
  <c r="D2055" i="1" s="1"/>
  <c r="B2056" i="1"/>
  <c r="I869" i="1"/>
  <c r="E870" i="1" s="1"/>
  <c r="C2056" i="1" l="1"/>
  <c r="D2056" i="1" s="1"/>
  <c r="B2057" i="1"/>
  <c r="H870" i="1"/>
  <c r="G870" i="1"/>
  <c r="F870" i="1"/>
  <c r="C2057" i="1" l="1"/>
  <c r="D2057" i="1" s="1"/>
  <c r="B2058" i="1"/>
  <c r="I870" i="1"/>
  <c r="E871" i="1" s="1"/>
  <c r="C2058" i="1" l="1"/>
  <c r="D2058" i="1" s="1"/>
  <c r="B2059" i="1"/>
  <c r="H871" i="1"/>
  <c r="G871" i="1"/>
  <c r="C2059" i="1" l="1"/>
  <c r="D2059" i="1" s="1"/>
  <c r="B2060" i="1"/>
  <c r="F871" i="1"/>
  <c r="I871" i="1" s="1"/>
  <c r="E872" i="1" s="1"/>
  <c r="C2060" i="1" l="1"/>
  <c r="D2060" i="1" s="1"/>
  <c r="B2061" i="1"/>
  <c r="H872" i="1"/>
  <c r="G872" i="1"/>
  <c r="C2061" i="1" l="1"/>
  <c r="D2061" i="1" s="1"/>
  <c r="B2062" i="1"/>
  <c r="F872" i="1"/>
  <c r="I872" i="1" s="1"/>
  <c r="E873" i="1" s="1"/>
  <c r="B2063" i="1" l="1"/>
  <c r="C2062" i="1"/>
  <c r="D2062" i="1" s="1"/>
  <c r="H873" i="1"/>
  <c r="G873" i="1"/>
  <c r="C2063" i="1" l="1"/>
  <c r="D2063" i="1" s="1"/>
  <c r="B2064" i="1"/>
  <c r="F873" i="1"/>
  <c r="C2064" i="1" l="1"/>
  <c r="D2064" i="1" s="1"/>
  <c r="B2065" i="1"/>
  <c r="I873" i="1"/>
  <c r="E874" i="1" s="1"/>
  <c r="B2066" i="1" l="1"/>
  <c r="C2065" i="1"/>
  <c r="D2065" i="1" s="1"/>
  <c r="G874" i="1"/>
  <c r="H874" i="1"/>
  <c r="F874" i="1" s="1"/>
  <c r="B2067" i="1" l="1"/>
  <c r="C2066" i="1"/>
  <c r="D2066" i="1" s="1"/>
  <c r="I874" i="1"/>
  <c r="E875" i="1" s="1"/>
  <c r="C2067" i="1" l="1"/>
  <c r="D2067" i="1" s="1"/>
  <c r="B2068" i="1"/>
  <c r="H875" i="1"/>
  <c r="F875" i="1" s="1"/>
  <c r="G875" i="1"/>
  <c r="C2068" i="1" l="1"/>
  <c r="D2068" i="1" s="1"/>
  <c r="B2069" i="1"/>
  <c r="I875" i="1"/>
  <c r="E876" i="1" s="1"/>
  <c r="B2070" i="1" l="1"/>
  <c r="C2069" i="1"/>
  <c r="D2069" i="1" s="1"/>
  <c r="G876" i="1"/>
  <c r="H876" i="1"/>
  <c r="F876" i="1" s="1"/>
  <c r="C2070" i="1" l="1"/>
  <c r="D2070" i="1" s="1"/>
  <c r="B2071" i="1"/>
  <c r="I876" i="1"/>
  <c r="E877" i="1" s="1"/>
  <c r="B2072" i="1" l="1"/>
  <c r="C2071" i="1"/>
  <c r="D2071" i="1" s="1"/>
  <c r="H877" i="1"/>
  <c r="G877" i="1"/>
  <c r="C2072" i="1" l="1"/>
  <c r="D2072" i="1" s="1"/>
  <c r="B2073" i="1"/>
  <c r="F877" i="1"/>
  <c r="I877" i="1" s="1"/>
  <c r="E878" i="1" s="1"/>
  <c r="B2074" i="1" l="1"/>
  <c r="C2073" i="1"/>
  <c r="D2073" i="1" s="1"/>
  <c r="H878" i="1"/>
  <c r="G878" i="1"/>
  <c r="C2074" i="1" l="1"/>
  <c r="D2074" i="1" s="1"/>
  <c r="B2075" i="1"/>
  <c r="F878" i="1"/>
  <c r="B2076" i="1" l="1"/>
  <c r="C2075" i="1"/>
  <c r="D2075" i="1" s="1"/>
  <c r="I878" i="1"/>
  <c r="E879" i="1" s="1"/>
  <c r="C2076" i="1" l="1"/>
  <c r="D2076" i="1" s="1"/>
  <c r="B2077" i="1"/>
  <c r="G879" i="1"/>
  <c r="H879" i="1"/>
  <c r="F879" i="1" s="1"/>
  <c r="C2077" i="1" l="1"/>
  <c r="D2077" i="1" s="1"/>
  <c r="B2078" i="1"/>
  <c r="I879" i="1"/>
  <c r="E880" i="1" s="1"/>
  <c r="B2079" i="1" l="1"/>
  <c r="C2078" i="1"/>
  <c r="D2078" i="1" s="1"/>
  <c r="H880" i="1"/>
  <c r="G880" i="1"/>
  <c r="C2079" i="1" l="1"/>
  <c r="D2079" i="1" s="1"/>
  <c r="B2080" i="1"/>
  <c r="F880" i="1"/>
  <c r="I880" i="1" s="1"/>
  <c r="E881" i="1" s="1"/>
  <c r="C2080" i="1" l="1"/>
  <c r="D2080" i="1" s="1"/>
  <c r="B2081" i="1"/>
  <c r="G881" i="1"/>
  <c r="H881" i="1"/>
  <c r="C2081" i="1" l="1"/>
  <c r="D2081" i="1" s="1"/>
  <c r="B2082" i="1"/>
  <c r="F881" i="1"/>
  <c r="I881" i="1" s="1"/>
  <c r="E882" i="1" s="1"/>
  <c r="C2082" i="1" l="1"/>
  <c r="D2082" i="1" s="1"/>
  <c r="B2083" i="1"/>
  <c r="G882" i="1"/>
  <c r="H882" i="1"/>
  <c r="B2084" i="1" l="1"/>
  <c r="C2083" i="1"/>
  <c r="D2083" i="1" s="1"/>
  <c r="F882" i="1"/>
  <c r="I882" i="1" s="1"/>
  <c r="E883" i="1" s="1"/>
  <c r="C2084" i="1" l="1"/>
  <c r="D2084" i="1" s="1"/>
  <c r="B2085" i="1"/>
  <c r="H883" i="1"/>
  <c r="G883" i="1"/>
  <c r="B2086" i="1" l="1"/>
  <c r="C2085" i="1"/>
  <c r="D2085" i="1" s="1"/>
  <c r="F883" i="1"/>
  <c r="C2086" i="1" l="1"/>
  <c r="D2086" i="1" s="1"/>
  <c r="B2087" i="1"/>
  <c r="I883" i="1"/>
  <c r="E884" i="1" s="1"/>
  <c r="C2087" i="1" l="1"/>
  <c r="D2087" i="1" s="1"/>
  <c r="B2088" i="1"/>
  <c r="H884" i="1"/>
  <c r="F884" i="1" s="1"/>
  <c r="G884" i="1"/>
  <c r="C2088" i="1" l="1"/>
  <c r="D2088" i="1" s="1"/>
  <c r="B2089" i="1"/>
  <c r="I884" i="1"/>
  <c r="E885" i="1" s="1"/>
  <c r="B2090" i="1" l="1"/>
  <c r="C2089" i="1"/>
  <c r="D2089" i="1" s="1"/>
  <c r="G885" i="1"/>
  <c r="H885" i="1"/>
  <c r="F885" i="1" s="1"/>
  <c r="C2090" i="1" l="1"/>
  <c r="D2090" i="1" s="1"/>
  <c r="B2091" i="1"/>
  <c r="I885" i="1"/>
  <c r="E886" i="1" s="1"/>
  <c r="C2091" i="1" l="1"/>
  <c r="D2091" i="1" s="1"/>
  <c r="B2092" i="1"/>
  <c r="H886" i="1"/>
  <c r="G886" i="1"/>
  <c r="C2092" i="1" l="1"/>
  <c r="D2092" i="1" s="1"/>
  <c r="B2093" i="1"/>
  <c r="F886" i="1"/>
  <c r="C2093" i="1" l="1"/>
  <c r="D2093" i="1" s="1"/>
  <c r="B2094" i="1"/>
  <c r="I886" i="1"/>
  <c r="E887" i="1" s="1"/>
  <c r="C2094" i="1" l="1"/>
  <c r="D2094" i="1" s="1"/>
  <c r="B2095" i="1"/>
  <c r="H887" i="1"/>
  <c r="G887" i="1"/>
  <c r="F887" i="1"/>
  <c r="C2095" i="1" l="1"/>
  <c r="D2095" i="1" s="1"/>
  <c r="B2096" i="1"/>
  <c r="I887" i="1"/>
  <c r="E888" i="1" s="1"/>
  <c r="C2096" i="1" l="1"/>
  <c r="D2096" i="1" s="1"/>
  <c r="B2097" i="1"/>
  <c r="G888" i="1"/>
  <c r="H888" i="1"/>
  <c r="F888" i="1" s="1"/>
  <c r="C2097" i="1" l="1"/>
  <c r="D2097" i="1" s="1"/>
  <c r="B2098" i="1"/>
  <c r="I888" i="1"/>
  <c r="E889" i="1" s="1"/>
  <c r="C2098" i="1" l="1"/>
  <c r="D2098" i="1" s="1"/>
  <c r="B2099" i="1"/>
  <c r="G889" i="1"/>
  <c r="H889" i="1"/>
  <c r="C2099" i="1" l="1"/>
  <c r="D2099" i="1" s="1"/>
  <c r="B2100" i="1"/>
  <c r="F889" i="1"/>
  <c r="I889" i="1" s="1"/>
  <c r="E890" i="1" s="1"/>
  <c r="C2100" i="1" l="1"/>
  <c r="D2100" i="1" s="1"/>
  <c r="B2101" i="1"/>
  <c r="G890" i="1"/>
  <c r="H890" i="1"/>
  <c r="B2102" i="1" l="1"/>
  <c r="C2101" i="1"/>
  <c r="D2101" i="1" s="1"/>
  <c r="F890" i="1"/>
  <c r="I890" i="1" s="1"/>
  <c r="E891" i="1" s="1"/>
  <c r="B2103" i="1" l="1"/>
  <c r="C2102" i="1"/>
  <c r="D2102" i="1" s="1"/>
  <c r="G891" i="1"/>
  <c r="H891" i="1"/>
  <c r="C2103" i="1" l="1"/>
  <c r="D2103" i="1" s="1"/>
  <c r="B2104" i="1"/>
  <c r="F891" i="1"/>
  <c r="C2104" i="1" l="1"/>
  <c r="D2104" i="1" s="1"/>
  <c r="B2105" i="1"/>
  <c r="I891" i="1"/>
  <c r="E892" i="1" s="1"/>
  <c r="C2105" i="1" l="1"/>
  <c r="D2105" i="1" s="1"/>
  <c r="B2106" i="1"/>
  <c r="G892" i="1"/>
  <c r="H892" i="1"/>
  <c r="F892" i="1" s="1"/>
  <c r="B2107" i="1" l="1"/>
  <c r="C2106" i="1"/>
  <c r="D2106" i="1" s="1"/>
  <c r="I892" i="1"/>
  <c r="E893" i="1" s="1"/>
  <c r="C2107" i="1" l="1"/>
  <c r="D2107" i="1" s="1"/>
  <c r="B2108" i="1"/>
  <c r="H893" i="1"/>
  <c r="G893" i="1"/>
  <c r="C2108" i="1" l="1"/>
  <c r="D2108" i="1" s="1"/>
  <c r="B2109" i="1"/>
  <c r="F893" i="1"/>
  <c r="I893" i="1" s="1"/>
  <c r="E894" i="1" s="1"/>
  <c r="C2109" i="1" l="1"/>
  <c r="D2109" i="1" s="1"/>
  <c r="B2110" i="1"/>
  <c r="H894" i="1"/>
  <c r="G894" i="1"/>
  <c r="C2110" i="1" l="1"/>
  <c r="D2110" i="1" s="1"/>
  <c r="B2111" i="1"/>
  <c r="F894" i="1"/>
  <c r="I894" i="1" s="1"/>
  <c r="E895" i="1" s="1"/>
  <c r="B2112" i="1" l="1"/>
  <c r="C2111" i="1"/>
  <c r="D2111" i="1" s="1"/>
  <c r="H895" i="1"/>
  <c r="G895" i="1"/>
  <c r="C2112" i="1" l="1"/>
  <c r="D2112" i="1" s="1"/>
  <c r="B2113" i="1"/>
  <c r="F895" i="1"/>
  <c r="B2114" i="1" l="1"/>
  <c r="C2113" i="1"/>
  <c r="D2113" i="1" s="1"/>
  <c r="I895" i="1"/>
  <c r="E896" i="1" s="1"/>
  <c r="C2114" i="1" l="1"/>
  <c r="D2114" i="1" s="1"/>
  <c r="B2115" i="1"/>
  <c r="G896" i="1"/>
  <c r="H896" i="1"/>
  <c r="F896" i="1" s="1"/>
  <c r="C2115" i="1" l="1"/>
  <c r="D2115" i="1" s="1"/>
  <c r="B2116" i="1"/>
  <c r="I896" i="1"/>
  <c r="E897" i="1" s="1"/>
  <c r="C2116" i="1" l="1"/>
  <c r="D2116" i="1" s="1"/>
  <c r="B2117" i="1"/>
  <c r="H897" i="1"/>
  <c r="G897" i="1"/>
  <c r="C2117" i="1" l="1"/>
  <c r="D2117" i="1" s="1"/>
  <c r="B2118" i="1"/>
  <c r="F897" i="1"/>
  <c r="I897" i="1" s="1"/>
  <c r="E898" i="1" s="1"/>
  <c r="C2118" i="1" l="1"/>
  <c r="D2118" i="1" s="1"/>
  <c r="B2119" i="1"/>
  <c r="G898" i="1"/>
  <c r="H898" i="1"/>
  <c r="C2119" i="1" l="1"/>
  <c r="D2119" i="1" s="1"/>
  <c r="B2120" i="1"/>
  <c r="F898" i="1"/>
  <c r="I898" i="1" s="1"/>
  <c r="E899" i="1" s="1"/>
  <c r="C2120" i="1" l="1"/>
  <c r="D2120" i="1" s="1"/>
  <c r="B2121" i="1"/>
  <c r="H899" i="1"/>
  <c r="G899" i="1"/>
  <c r="B2122" i="1" l="1"/>
  <c r="C2121" i="1"/>
  <c r="D2121" i="1" s="1"/>
  <c r="F899" i="1"/>
  <c r="I899" i="1" s="1"/>
  <c r="E900" i="1" s="1"/>
  <c r="C2122" i="1" l="1"/>
  <c r="D2122" i="1" s="1"/>
  <c r="B2123" i="1"/>
  <c r="H900" i="1"/>
  <c r="G900" i="1"/>
  <c r="C2123" i="1" l="1"/>
  <c r="D2123" i="1" s="1"/>
  <c r="B2124" i="1"/>
  <c r="F900" i="1"/>
  <c r="I900" i="1" s="1"/>
  <c r="E901" i="1" s="1"/>
  <c r="C2124" i="1" l="1"/>
  <c r="D2124" i="1" s="1"/>
  <c r="B2125" i="1"/>
  <c r="H901" i="1"/>
  <c r="G901" i="1"/>
  <c r="B2126" i="1" l="1"/>
  <c r="C2125" i="1"/>
  <c r="D2125" i="1" s="1"/>
  <c r="F901" i="1"/>
  <c r="I901" i="1" s="1"/>
  <c r="E902" i="1" s="1"/>
  <c r="C2126" i="1" l="1"/>
  <c r="D2126" i="1" s="1"/>
  <c r="B2127" i="1"/>
  <c r="H902" i="1"/>
  <c r="G902" i="1"/>
  <c r="C2127" i="1" l="1"/>
  <c r="D2127" i="1" s="1"/>
  <c r="B2128" i="1"/>
  <c r="F902" i="1"/>
  <c r="I902" i="1" s="1"/>
  <c r="E903" i="1" s="1"/>
  <c r="B2129" i="1" l="1"/>
  <c r="C2128" i="1"/>
  <c r="D2128" i="1" s="1"/>
  <c r="H903" i="1"/>
  <c r="G903" i="1"/>
  <c r="C2129" i="1" l="1"/>
  <c r="D2129" i="1" s="1"/>
  <c r="B2130" i="1"/>
  <c r="F903" i="1"/>
  <c r="I903" i="1" s="1"/>
  <c r="E904" i="1" s="1"/>
  <c r="C2130" i="1" l="1"/>
  <c r="D2130" i="1" s="1"/>
  <c r="B2131" i="1"/>
  <c r="H904" i="1"/>
  <c r="G904" i="1"/>
  <c r="C2131" i="1" l="1"/>
  <c r="D2131" i="1" s="1"/>
  <c r="B2132" i="1"/>
  <c r="F904" i="1"/>
  <c r="I904" i="1" s="1"/>
  <c r="E905" i="1" s="1"/>
  <c r="C2132" i="1" l="1"/>
  <c r="D2132" i="1" s="1"/>
  <c r="B2133" i="1"/>
  <c r="G905" i="1"/>
  <c r="H905" i="1"/>
  <c r="C2133" i="1" l="1"/>
  <c r="D2133" i="1" s="1"/>
  <c r="B2134" i="1"/>
  <c r="F905" i="1"/>
  <c r="C2134" i="1" l="1"/>
  <c r="D2134" i="1" s="1"/>
  <c r="B2135" i="1"/>
  <c r="I905" i="1"/>
  <c r="E906" i="1" s="1"/>
  <c r="C2135" i="1" l="1"/>
  <c r="D2135" i="1" s="1"/>
  <c r="B2136" i="1"/>
  <c r="H906" i="1"/>
  <c r="G906" i="1"/>
  <c r="F906" i="1"/>
  <c r="C2136" i="1" l="1"/>
  <c r="D2136" i="1" s="1"/>
  <c r="B2137" i="1"/>
  <c r="I906" i="1"/>
  <c r="E907" i="1" s="1"/>
  <c r="C2137" i="1" l="1"/>
  <c r="D2137" i="1" s="1"/>
  <c r="B2138" i="1"/>
  <c r="H907" i="1"/>
  <c r="G907" i="1"/>
  <c r="B2139" i="1" l="1"/>
  <c r="C2138" i="1"/>
  <c r="D2138" i="1" s="1"/>
  <c r="F907" i="1"/>
  <c r="I907" i="1" s="1"/>
  <c r="E908" i="1" s="1"/>
  <c r="B2140" i="1" l="1"/>
  <c r="C2139" i="1"/>
  <c r="D2139" i="1" s="1"/>
  <c r="H908" i="1"/>
  <c r="G908" i="1"/>
  <c r="C2140" i="1" l="1"/>
  <c r="D2140" i="1" s="1"/>
  <c r="B2141" i="1"/>
  <c r="F908" i="1"/>
  <c r="I908" i="1" s="1"/>
  <c r="E909" i="1" s="1"/>
  <c r="C2141" i="1" l="1"/>
  <c r="D2141" i="1" s="1"/>
  <c r="B2142" i="1"/>
  <c r="H909" i="1"/>
  <c r="G909" i="1"/>
  <c r="C2142" i="1" l="1"/>
  <c r="D2142" i="1" s="1"/>
  <c r="B2143" i="1"/>
  <c r="F909" i="1"/>
  <c r="I909" i="1" s="1"/>
  <c r="E910" i="1" s="1"/>
  <c r="B2144" i="1" l="1"/>
  <c r="C2143" i="1"/>
  <c r="D2143" i="1" s="1"/>
  <c r="H910" i="1"/>
  <c r="G910" i="1"/>
  <c r="C2144" i="1" l="1"/>
  <c r="D2144" i="1" s="1"/>
  <c r="B2145" i="1"/>
  <c r="F910" i="1"/>
  <c r="C2145" i="1" l="1"/>
  <c r="D2145" i="1" s="1"/>
  <c r="B2146" i="1"/>
  <c r="I910" i="1"/>
  <c r="E911" i="1" s="1"/>
  <c r="C2146" i="1" l="1"/>
  <c r="D2146" i="1" s="1"/>
  <c r="B2147" i="1"/>
  <c r="H911" i="1"/>
  <c r="F911" i="1" s="1"/>
  <c r="G911" i="1"/>
  <c r="C2147" i="1" l="1"/>
  <c r="D2147" i="1" s="1"/>
  <c r="B2148" i="1"/>
  <c r="I911" i="1"/>
  <c r="E912" i="1" s="1"/>
  <c r="C2148" i="1" l="1"/>
  <c r="D2148" i="1" s="1"/>
  <c r="B2149" i="1"/>
  <c r="H912" i="1"/>
  <c r="G912" i="1"/>
  <c r="C2149" i="1" l="1"/>
  <c r="D2149" i="1" s="1"/>
  <c r="B2150" i="1"/>
  <c r="F912" i="1"/>
  <c r="I912" i="1" s="1"/>
  <c r="E913" i="1" s="1"/>
  <c r="C2150" i="1" l="1"/>
  <c r="D2150" i="1" s="1"/>
  <c r="B2151" i="1"/>
  <c r="H913" i="1"/>
  <c r="G913" i="1"/>
  <c r="C2151" i="1" l="1"/>
  <c r="D2151" i="1" s="1"/>
  <c r="B2152" i="1"/>
  <c r="F913" i="1"/>
  <c r="I913" i="1" s="1"/>
  <c r="E914" i="1" s="1"/>
  <c r="C2152" i="1" l="1"/>
  <c r="D2152" i="1" s="1"/>
  <c r="B2153" i="1"/>
  <c r="H914" i="1"/>
  <c r="G914" i="1"/>
  <c r="B2154" i="1" l="1"/>
  <c r="C2153" i="1"/>
  <c r="D2153" i="1" s="1"/>
  <c r="F914" i="1"/>
  <c r="C2154" i="1" l="1"/>
  <c r="D2154" i="1" s="1"/>
  <c r="B2155" i="1"/>
  <c r="I914" i="1"/>
  <c r="E915" i="1" s="1"/>
  <c r="B2156" i="1" l="1"/>
  <c r="C2155" i="1"/>
  <c r="D2155" i="1" s="1"/>
  <c r="H915" i="1"/>
  <c r="G915" i="1"/>
  <c r="F915" i="1"/>
  <c r="C2156" i="1" l="1"/>
  <c r="D2156" i="1" s="1"/>
  <c r="B2157" i="1"/>
  <c r="I915" i="1"/>
  <c r="E916" i="1" s="1"/>
  <c r="C2157" i="1" l="1"/>
  <c r="D2157" i="1" s="1"/>
  <c r="B2158" i="1"/>
  <c r="H916" i="1"/>
  <c r="G916" i="1"/>
  <c r="B2159" i="1" l="1"/>
  <c r="C2158" i="1"/>
  <c r="D2158" i="1" s="1"/>
  <c r="F916" i="1"/>
  <c r="I916" i="1" s="1"/>
  <c r="E917" i="1" s="1"/>
  <c r="C2159" i="1" l="1"/>
  <c r="D2159" i="1" s="1"/>
  <c r="B2160" i="1"/>
  <c r="G917" i="1"/>
  <c r="H917" i="1"/>
  <c r="B2161" i="1" l="1"/>
  <c r="C2160" i="1"/>
  <c r="D2160" i="1" s="1"/>
  <c r="F917" i="1"/>
  <c r="C2161" i="1" l="1"/>
  <c r="D2161" i="1" s="1"/>
  <c r="B2162" i="1"/>
  <c r="I917" i="1"/>
  <c r="E918" i="1" s="1"/>
  <c r="B2163" i="1" l="1"/>
  <c r="C2162" i="1"/>
  <c r="D2162" i="1" s="1"/>
  <c r="G918" i="1"/>
  <c r="H918" i="1"/>
  <c r="C2163" i="1" l="1"/>
  <c r="D2163" i="1" s="1"/>
  <c r="B2164" i="1"/>
  <c r="F918" i="1"/>
  <c r="C2164" i="1" l="1"/>
  <c r="D2164" i="1" s="1"/>
  <c r="B2165" i="1"/>
  <c r="I918" i="1"/>
  <c r="E919" i="1" s="1"/>
  <c r="B2166" i="1" l="1"/>
  <c r="C2165" i="1"/>
  <c r="D2165" i="1" s="1"/>
  <c r="H919" i="1"/>
  <c r="G919" i="1"/>
  <c r="C2166" i="1" l="1"/>
  <c r="D2166" i="1" s="1"/>
  <c r="B2167" i="1"/>
  <c r="F919" i="1"/>
  <c r="I919" i="1" s="1"/>
  <c r="E920" i="1" s="1"/>
  <c r="C2167" i="1" l="1"/>
  <c r="D2167" i="1" s="1"/>
  <c r="B2168" i="1"/>
  <c r="H920" i="1"/>
  <c r="F920" i="1" s="1"/>
  <c r="G920" i="1"/>
  <c r="C2168" i="1" l="1"/>
  <c r="D2168" i="1" s="1"/>
  <c r="B2169" i="1"/>
  <c r="I920" i="1"/>
  <c r="E921" i="1" s="1"/>
  <c r="B2170" i="1" l="1"/>
  <c r="C2169" i="1"/>
  <c r="D2169" i="1" s="1"/>
  <c r="H921" i="1"/>
  <c r="G921" i="1"/>
  <c r="C2170" i="1" l="1"/>
  <c r="D2170" i="1" s="1"/>
  <c r="B2171" i="1"/>
  <c r="F921" i="1"/>
  <c r="I921" i="1" s="1"/>
  <c r="E922" i="1" s="1"/>
  <c r="C2171" i="1" l="1"/>
  <c r="D2171" i="1" s="1"/>
  <c r="B2172" i="1"/>
  <c r="G922" i="1"/>
  <c r="H922" i="1"/>
  <c r="C2172" i="1" l="1"/>
  <c r="D2172" i="1" s="1"/>
  <c r="B2173" i="1"/>
  <c r="F922" i="1"/>
  <c r="I922" i="1" s="1"/>
  <c r="E923" i="1" s="1"/>
  <c r="C2173" i="1" l="1"/>
  <c r="D2173" i="1" s="1"/>
  <c r="B2174" i="1"/>
  <c r="G923" i="1"/>
  <c r="H923" i="1"/>
  <c r="B2175" i="1" l="1"/>
  <c r="C2174" i="1"/>
  <c r="D2174" i="1" s="1"/>
  <c r="F923" i="1"/>
  <c r="C2175" i="1" l="1"/>
  <c r="D2175" i="1" s="1"/>
  <c r="B2176" i="1"/>
  <c r="I923" i="1"/>
  <c r="E924" i="1" s="1"/>
  <c r="C2176" i="1" l="1"/>
  <c r="D2176" i="1" s="1"/>
  <c r="B2177" i="1"/>
  <c r="H924" i="1"/>
  <c r="F924" i="1" s="1"/>
  <c r="G924" i="1"/>
  <c r="B2178" i="1" l="1"/>
  <c r="C2177" i="1"/>
  <c r="D2177" i="1" s="1"/>
  <c r="I924" i="1"/>
  <c r="E925" i="1" s="1"/>
  <c r="C2178" i="1" l="1"/>
  <c r="D2178" i="1" s="1"/>
  <c r="B2179" i="1"/>
  <c r="H925" i="1"/>
  <c r="G925" i="1"/>
  <c r="C2179" i="1" l="1"/>
  <c r="D2179" i="1" s="1"/>
  <c r="B2180" i="1"/>
  <c r="F925" i="1"/>
  <c r="I925" i="1" s="1"/>
  <c r="E926" i="1" s="1"/>
  <c r="C2180" i="1" l="1"/>
  <c r="D2180" i="1" s="1"/>
  <c r="B2181" i="1"/>
  <c r="H926" i="1"/>
  <c r="G926" i="1"/>
  <c r="C2181" i="1" l="1"/>
  <c r="D2181" i="1" s="1"/>
  <c r="B2182" i="1"/>
  <c r="F926" i="1"/>
  <c r="I926" i="1" s="1"/>
  <c r="E927" i="1" s="1"/>
  <c r="B2183" i="1" l="1"/>
  <c r="C2182" i="1"/>
  <c r="D2182" i="1" s="1"/>
  <c r="G927" i="1"/>
  <c r="H927" i="1"/>
  <c r="C2183" i="1" l="1"/>
  <c r="D2183" i="1" s="1"/>
  <c r="B2184" i="1"/>
  <c r="F927" i="1"/>
  <c r="I927" i="1" s="1"/>
  <c r="E928" i="1" s="1"/>
  <c r="C2184" i="1" l="1"/>
  <c r="D2184" i="1" s="1"/>
  <c r="B2185" i="1"/>
  <c r="G928" i="1"/>
  <c r="H928" i="1"/>
  <c r="B2186" i="1" l="1"/>
  <c r="C2185" i="1"/>
  <c r="D2185" i="1" s="1"/>
  <c r="F928" i="1"/>
  <c r="I928" i="1" s="1"/>
  <c r="E929" i="1" s="1"/>
  <c r="C2186" i="1" l="1"/>
  <c r="D2186" i="1" s="1"/>
  <c r="B2187" i="1"/>
  <c r="H929" i="1"/>
  <c r="G929" i="1"/>
  <c r="B2188" i="1" l="1"/>
  <c r="C2187" i="1"/>
  <c r="D2187" i="1" s="1"/>
  <c r="F929" i="1"/>
  <c r="C2188" i="1" l="1"/>
  <c r="D2188" i="1" s="1"/>
  <c r="B2189" i="1"/>
  <c r="I929" i="1"/>
  <c r="E930" i="1" s="1"/>
  <c r="C2189" i="1" l="1"/>
  <c r="D2189" i="1" s="1"/>
  <c r="B2190" i="1"/>
  <c r="G930" i="1"/>
  <c r="H930" i="1"/>
  <c r="F930" i="1" s="1"/>
  <c r="C2190" i="1" l="1"/>
  <c r="D2190" i="1" s="1"/>
  <c r="B2191" i="1"/>
  <c r="I930" i="1"/>
  <c r="E931" i="1" s="1"/>
  <c r="B2192" i="1" l="1"/>
  <c r="C2191" i="1"/>
  <c r="D2191" i="1" s="1"/>
  <c r="H931" i="1"/>
  <c r="G931" i="1"/>
  <c r="B2193" i="1" l="1"/>
  <c r="C2192" i="1"/>
  <c r="D2192" i="1" s="1"/>
  <c r="F931" i="1"/>
  <c r="I931" i="1" s="1"/>
  <c r="E932" i="1" s="1"/>
  <c r="C2193" i="1" l="1"/>
  <c r="D2193" i="1" s="1"/>
  <c r="B2194" i="1"/>
  <c r="H932" i="1"/>
  <c r="G932" i="1"/>
  <c r="C2194" i="1" l="1"/>
  <c r="D2194" i="1" s="1"/>
  <c r="B2195" i="1"/>
  <c r="F932" i="1"/>
  <c r="C2195" i="1" l="1"/>
  <c r="D2195" i="1" s="1"/>
  <c r="B2196" i="1"/>
  <c r="I932" i="1"/>
  <c r="E933" i="1" s="1"/>
  <c r="B2197" i="1" l="1"/>
  <c r="C2196" i="1"/>
  <c r="D2196" i="1" s="1"/>
  <c r="H933" i="1"/>
  <c r="G933" i="1"/>
  <c r="F933" i="1"/>
  <c r="C2197" i="1" l="1"/>
  <c r="B2198" i="1"/>
  <c r="I933" i="1"/>
  <c r="C2198" i="1" l="1"/>
  <c r="D2198" i="1" s="1"/>
  <c r="B2199" i="1"/>
  <c r="D2197" i="1"/>
  <c r="D9" i="2"/>
  <c r="E934" i="1"/>
  <c r="G934" i="1" s="1"/>
  <c r="C2199" i="1" l="1"/>
  <c r="D2199" i="1" s="1"/>
  <c r="B2200" i="1"/>
  <c r="H934" i="1"/>
  <c r="F934" i="1" s="1"/>
  <c r="I934" i="1" s="1"/>
  <c r="E935" i="1" s="1"/>
  <c r="C2200" i="1" l="1"/>
  <c r="D2200" i="1" s="1"/>
  <c r="B2201" i="1"/>
  <c r="H935" i="1"/>
  <c r="G935" i="1"/>
  <c r="F935" i="1"/>
  <c r="B2202" i="1" l="1"/>
  <c r="C2201" i="1"/>
  <c r="D2201" i="1" s="1"/>
  <c r="I935" i="1"/>
  <c r="E936" i="1" s="1"/>
  <c r="C2202" i="1" l="1"/>
  <c r="D2202" i="1" s="1"/>
  <c r="B2203" i="1"/>
  <c r="H936" i="1"/>
  <c r="G936" i="1"/>
  <c r="C2203" i="1" l="1"/>
  <c r="D2203" i="1" s="1"/>
  <c r="B2204" i="1"/>
  <c r="F936" i="1"/>
  <c r="I936" i="1" s="1"/>
  <c r="E937" i="1" s="1"/>
  <c r="C2204" i="1" l="1"/>
  <c r="D2204" i="1" s="1"/>
  <c r="B2205" i="1"/>
  <c r="G937" i="1"/>
  <c r="H937" i="1"/>
  <c r="C2205" i="1" l="1"/>
  <c r="D2205" i="1" s="1"/>
  <c r="B2206" i="1"/>
  <c r="F937" i="1"/>
  <c r="I937" i="1" s="1"/>
  <c r="E938" i="1" s="1"/>
  <c r="C2206" i="1" l="1"/>
  <c r="D2206" i="1" s="1"/>
  <c r="B2207" i="1"/>
  <c r="H938" i="1"/>
  <c r="G938" i="1"/>
  <c r="C2207" i="1" l="1"/>
  <c r="D2207" i="1" s="1"/>
  <c r="B2208" i="1"/>
  <c r="F938" i="1"/>
  <c r="I938" i="1" s="1"/>
  <c r="E939" i="1" s="1"/>
  <c r="C2208" i="1" l="1"/>
  <c r="D2208" i="1" s="1"/>
  <c r="B2209" i="1"/>
  <c r="H939" i="1"/>
  <c r="G939" i="1"/>
  <c r="C2209" i="1" l="1"/>
  <c r="D2209" i="1" s="1"/>
  <c r="B2210" i="1"/>
  <c r="F939" i="1"/>
  <c r="C2210" i="1" l="1"/>
  <c r="D2210" i="1" s="1"/>
  <c r="B2211" i="1"/>
  <c r="I939" i="1"/>
  <c r="E940" i="1" s="1"/>
  <c r="C2211" i="1" l="1"/>
  <c r="D2211" i="1" s="1"/>
  <c r="B2212" i="1"/>
  <c r="H940" i="1"/>
  <c r="G940" i="1"/>
  <c r="F940" i="1"/>
  <c r="C2212" i="1" l="1"/>
  <c r="D2212" i="1" s="1"/>
  <c r="B2213" i="1"/>
  <c r="I940" i="1"/>
  <c r="E941" i="1" s="1"/>
  <c r="C2213" i="1" l="1"/>
  <c r="D2213" i="1" s="1"/>
  <c r="B2214" i="1"/>
  <c r="G941" i="1"/>
  <c r="H941" i="1"/>
  <c r="F941" i="1" s="1"/>
  <c r="B2215" i="1" l="1"/>
  <c r="C2214" i="1"/>
  <c r="D2214" i="1" s="1"/>
  <c r="I941" i="1"/>
  <c r="E942" i="1" s="1"/>
  <c r="C2215" i="1" l="1"/>
  <c r="D2215" i="1" s="1"/>
  <c r="B2216" i="1"/>
  <c r="H942" i="1"/>
  <c r="G942" i="1"/>
  <c r="F942" i="1"/>
  <c r="I942" i="1" s="1"/>
  <c r="E943" i="1" s="1"/>
  <c r="C2216" i="1" l="1"/>
  <c r="D2216" i="1" s="1"/>
  <c r="B2217" i="1"/>
  <c r="G943" i="1"/>
  <c r="H943" i="1"/>
  <c r="C2217" i="1" l="1"/>
  <c r="D2217" i="1" s="1"/>
  <c r="B2218" i="1"/>
  <c r="F943" i="1"/>
  <c r="I943" i="1" s="1"/>
  <c r="E944" i="1" s="1"/>
  <c r="C2218" i="1" l="1"/>
  <c r="D2218" i="1" s="1"/>
  <c r="B2219" i="1"/>
  <c r="G944" i="1"/>
  <c r="H944" i="1"/>
  <c r="B2220" i="1" l="1"/>
  <c r="C2219" i="1"/>
  <c r="D2219" i="1" s="1"/>
  <c r="F944" i="1"/>
  <c r="I944" i="1" s="1"/>
  <c r="E945" i="1" s="1"/>
  <c r="B2221" i="1" l="1"/>
  <c r="C2220" i="1"/>
  <c r="D2220" i="1" s="1"/>
  <c r="H945" i="1"/>
  <c r="G945" i="1"/>
  <c r="C2221" i="1" l="1"/>
  <c r="D2221" i="1" s="1"/>
  <c r="B2222" i="1"/>
  <c r="F945" i="1"/>
  <c r="I945" i="1" s="1"/>
  <c r="E946" i="1" s="1"/>
  <c r="B2223" i="1" l="1"/>
  <c r="C2222" i="1"/>
  <c r="D2222" i="1" s="1"/>
  <c r="H946" i="1"/>
  <c r="G946" i="1"/>
  <c r="C2223" i="1" l="1"/>
  <c r="D2223" i="1" s="1"/>
  <c r="B2224" i="1"/>
  <c r="F946" i="1"/>
  <c r="I946" i="1" s="1"/>
  <c r="E947" i="1" s="1"/>
  <c r="C2224" i="1" l="1"/>
  <c r="D2224" i="1" s="1"/>
  <c r="B2225" i="1"/>
  <c r="H947" i="1"/>
  <c r="G947" i="1"/>
  <c r="C2225" i="1" l="1"/>
  <c r="D2225" i="1" s="1"/>
  <c r="B2226" i="1"/>
  <c r="F947" i="1"/>
  <c r="I947" i="1" s="1"/>
  <c r="E948" i="1" s="1"/>
  <c r="C2226" i="1" l="1"/>
  <c r="D2226" i="1" s="1"/>
  <c r="B2227" i="1"/>
  <c r="H948" i="1"/>
  <c r="G948" i="1"/>
  <c r="C2227" i="1" l="1"/>
  <c r="D2227" i="1" s="1"/>
  <c r="B2228" i="1"/>
  <c r="F948" i="1"/>
  <c r="B2229" i="1" l="1"/>
  <c r="C2228" i="1"/>
  <c r="D2228" i="1" s="1"/>
  <c r="I948" i="1"/>
  <c r="E949" i="1" s="1"/>
  <c r="B2230" i="1" l="1"/>
  <c r="C2229" i="1"/>
  <c r="D2229" i="1" s="1"/>
  <c r="H949" i="1"/>
  <c r="G949" i="1"/>
  <c r="F949" i="1"/>
  <c r="C2230" i="1" l="1"/>
  <c r="D2230" i="1" s="1"/>
  <c r="B2231" i="1"/>
  <c r="I949" i="1"/>
  <c r="E950" i="1" s="1"/>
  <c r="C2231" i="1" l="1"/>
  <c r="D2231" i="1" s="1"/>
  <c r="B2232" i="1"/>
  <c r="H950" i="1"/>
  <c r="G950" i="1"/>
  <c r="C2232" i="1" l="1"/>
  <c r="D2232" i="1" s="1"/>
  <c r="B2233" i="1"/>
  <c r="F950" i="1"/>
  <c r="I950" i="1" s="1"/>
  <c r="E951" i="1" s="1"/>
  <c r="C2233" i="1" l="1"/>
  <c r="D2233" i="1" s="1"/>
  <c r="B2234" i="1"/>
  <c r="H951" i="1"/>
  <c r="G951" i="1"/>
  <c r="C2234" i="1" l="1"/>
  <c r="D2234" i="1" s="1"/>
  <c r="B2235" i="1"/>
  <c r="F951" i="1"/>
  <c r="I951" i="1" s="1"/>
  <c r="E952" i="1" s="1"/>
  <c r="C2235" i="1" l="1"/>
  <c r="D2235" i="1" s="1"/>
  <c r="B2236" i="1"/>
  <c r="H952" i="1"/>
  <c r="G952" i="1"/>
  <c r="C2236" i="1" l="1"/>
  <c r="D2236" i="1" s="1"/>
  <c r="B2237" i="1"/>
  <c r="F952" i="1"/>
  <c r="I952" i="1" s="1"/>
  <c r="E953" i="1" s="1"/>
  <c r="B2238" i="1" l="1"/>
  <c r="C2237" i="1"/>
  <c r="D2237" i="1" s="1"/>
  <c r="H953" i="1"/>
  <c r="G953" i="1"/>
  <c r="C2238" i="1" l="1"/>
  <c r="D2238" i="1" s="1"/>
  <c r="B2239" i="1"/>
  <c r="F953" i="1"/>
  <c r="I953" i="1" s="1"/>
  <c r="E954" i="1" s="1"/>
  <c r="C2239" i="1" l="1"/>
  <c r="D2239" i="1" s="1"/>
  <c r="B2240" i="1"/>
  <c r="G954" i="1"/>
  <c r="H954" i="1"/>
  <c r="C2240" i="1" l="1"/>
  <c r="D2240" i="1" s="1"/>
  <c r="B2241" i="1"/>
  <c r="F954" i="1"/>
  <c r="I954" i="1" s="1"/>
  <c r="E955" i="1" s="1"/>
  <c r="C2241" i="1" l="1"/>
  <c r="D2241" i="1" s="1"/>
  <c r="B2242" i="1"/>
  <c r="H955" i="1"/>
  <c r="G955" i="1"/>
  <c r="C2242" i="1" l="1"/>
  <c r="D2242" i="1" s="1"/>
  <c r="B2243" i="1"/>
  <c r="F955" i="1"/>
  <c r="C2243" i="1" l="1"/>
  <c r="D2243" i="1" s="1"/>
  <c r="B2244" i="1"/>
  <c r="I955" i="1"/>
  <c r="E956" i="1" s="1"/>
  <c r="C2244" i="1" l="1"/>
  <c r="D2244" i="1" s="1"/>
  <c r="B2245" i="1"/>
  <c r="G956" i="1"/>
  <c r="H956" i="1"/>
  <c r="F956" i="1" s="1"/>
  <c r="C2245" i="1" l="1"/>
  <c r="D2245" i="1" s="1"/>
  <c r="B2246" i="1"/>
  <c r="I956" i="1"/>
  <c r="E957" i="1" s="1"/>
  <c r="C2246" i="1" l="1"/>
  <c r="D2246" i="1" s="1"/>
  <c r="B2247" i="1"/>
  <c r="G957" i="1"/>
  <c r="H957" i="1"/>
  <c r="C2247" i="1" l="1"/>
  <c r="D2247" i="1" s="1"/>
  <c r="B2248" i="1"/>
  <c r="F957" i="1"/>
  <c r="I957" i="1" s="1"/>
  <c r="E958" i="1" s="1"/>
  <c r="C2248" i="1" l="1"/>
  <c r="D2248" i="1" s="1"/>
  <c r="B2249" i="1"/>
  <c r="H958" i="1"/>
  <c r="G958" i="1"/>
  <c r="C2249" i="1" l="1"/>
  <c r="D2249" i="1" s="1"/>
  <c r="B2250" i="1"/>
  <c r="F958" i="1"/>
  <c r="C2250" i="1" l="1"/>
  <c r="D2250" i="1" s="1"/>
  <c r="B2251" i="1"/>
  <c r="I958" i="1"/>
  <c r="E959" i="1" s="1"/>
  <c r="B2252" i="1" l="1"/>
  <c r="C2251" i="1"/>
  <c r="D2251" i="1" s="1"/>
  <c r="H959" i="1"/>
  <c r="G959" i="1"/>
  <c r="F959" i="1"/>
  <c r="C2252" i="1" l="1"/>
  <c r="D2252" i="1" s="1"/>
  <c r="B2253" i="1"/>
  <c r="I959" i="1"/>
  <c r="E960" i="1" s="1"/>
  <c r="B2254" i="1" l="1"/>
  <c r="C2253" i="1"/>
  <c r="D2253" i="1" s="1"/>
  <c r="H960" i="1"/>
  <c r="F960" i="1" s="1"/>
  <c r="G960" i="1"/>
  <c r="C2254" i="1" l="1"/>
  <c r="D2254" i="1" s="1"/>
  <c r="B2255" i="1"/>
  <c r="I960" i="1"/>
  <c r="E961" i="1" s="1"/>
  <c r="C2255" i="1" l="1"/>
  <c r="D2255" i="1" s="1"/>
  <c r="B2256" i="1"/>
  <c r="H961" i="1"/>
  <c r="G961" i="1"/>
  <c r="B2257" i="1" l="1"/>
  <c r="C2256" i="1"/>
  <c r="D2256" i="1" s="1"/>
  <c r="F961" i="1"/>
  <c r="I961" i="1" s="1"/>
  <c r="E962" i="1" s="1"/>
  <c r="C2257" i="1" l="1"/>
  <c r="D2257" i="1" s="1"/>
  <c r="B2258" i="1"/>
  <c r="H962" i="1"/>
  <c r="G962" i="1"/>
  <c r="C2258" i="1" l="1"/>
  <c r="D2258" i="1" s="1"/>
  <c r="B2259" i="1"/>
  <c r="F962" i="1"/>
  <c r="I962" i="1" s="1"/>
  <c r="E963" i="1" s="1"/>
  <c r="C2259" i="1" l="1"/>
  <c r="D2259" i="1" s="1"/>
  <c r="B2260" i="1"/>
  <c r="H963" i="1"/>
  <c r="G963" i="1"/>
  <c r="B2261" i="1" l="1"/>
  <c r="C2260" i="1"/>
  <c r="D2260" i="1" s="1"/>
  <c r="F963" i="1"/>
  <c r="I963" i="1" s="1"/>
  <c r="E964" i="1" s="1"/>
  <c r="C2261" i="1" l="1"/>
  <c r="D2261" i="1" s="1"/>
  <c r="B2262" i="1"/>
  <c r="G964" i="1"/>
  <c r="H964" i="1"/>
  <c r="C2262" i="1" l="1"/>
  <c r="D2262" i="1" s="1"/>
  <c r="B2263" i="1"/>
  <c r="F964" i="1"/>
  <c r="B2264" i="1" l="1"/>
  <c r="C2263" i="1"/>
  <c r="D2263" i="1" s="1"/>
  <c r="I964" i="1"/>
  <c r="E965" i="1" s="1"/>
  <c r="C2264" i="1" l="1"/>
  <c r="D2264" i="1" s="1"/>
  <c r="B2265" i="1"/>
  <c r="G965" i="1"/>
  <c r="H965" i="1"/>
  <c r="F965" i="1" s="1"/>
  <c r="C2265" i="1" l="1"/>
  <c r="D2265" i="1" s="1"/>
  <c r="B2266" i="1"/>
  <c r="I965" i="1"/>
  <c r="E966" i="1" s="1"/>
  <c r="C2266" i="1" l="1"/>
  <c r="D2266" i="1" s="1"/>
  <c r="B2267" i="1"/>
  <c r="G966" i="1"/>
  <c r="H966" i="1"/>
  <c r="C2267" i="1" l="1"/>
  <c r="D2267" i="1" s="1"/>
  <c r="B2268" i="1"/>
  <c r="F966" i="1"/>
  <c r="I966" i="1" s="1"/>
  <c r="E967" i="1" s="1"/>
  <c r="C2268" i="1" l="1"/>
  <c r="D2268" i="1" s="1"/>
  <c r="B2269" i="1"/>
  <c r="H967" i="1"/>
  <c r="G967" i="1"/>
  <c r="C2269" i="1" l="1"/>
  <c r="D2269" i="1" s="1"/>
  <c r="B2270" i="1"/>
  <c r="F967" i="1"/>
  <c r="I967" i="1" s="1"/>
  <c r="E968" i="1" s="1"/>
  <c r="C2270" i="1" l="1"/>
  <c r="D2270" i="1" s="1"/>
  <c r="B2271" i="1"/>
  <c r="G968" i="1"/>
  <c r="H968" i="1"/>
  <c r="C2271" i="1" l="1"/>
  <c r="D2271" i="1" s="1"/>
  <c r="B2272" i="1"/>
  <c r="F968" i="1"/>
  <c r="I968" i="1" s="1"/>
  <c r="E969" i="1" s="1"/>
  <c r="B2273" i="1" l="1"/>
  <c r="C2272" i="1"/>
  <c r="D2272" i="1" s="1"/>
  <c r="H969" i="1"/>
  <c r="G969" i="1"/>
  <c r="C2273" i="1" l="1"/>
  <c r="D2273" i="1" s="1"/>
  <c r="B2274" i="1"/>
  <c r="F969" i="1"/>
  <c r="I969" i="1" s="1"/>
  <c r="E970" i="1" s="1"/>
  <c r="C2274" i="1" l="1"/>
  <c r="D2274" i="1" s="1"/>
  <c r="B2275" i="1"/>
  <c r="H970" i="1"/>
  <c r="G970" i="1"/>
  <c r="C2275" i="1" l="1"/>
  <c r="D2275" i="1" s="1"/>
  <c r="B2276" i="1"/>
  <c r="F970" i="1"/>
  <c r="C2276" i="1" l="1"/>
  <c r="D2276" i="1" s="1"/>
  <c r="B2277" i="1"/>
  <c r="I970" i="1"/>
  <c r="E971" i="1" s="1"/>
  <c r="C2277" i="1" l="1"/>
  <c r="D2277" i="1" s="1"/>
  <c r="B2278" i="1"/>
  <c r="H971" i="1"/>
  <c r="F971" i="1" s="1"/>
  <c r="G971" i="1"/>
  <c r="C2278" i="1" l="1"/>
  <c r="D2278" i="1" s="1"/>
  <c r="B2279" i="1"/>
  <c r="I971" i="1"/>
  <c r="E972" i="1" s="1"/>
  <c r="C2279" i="1" l="1"/>
  <c r="D2279" i="1" s="1"/>
  <c r="B2280" i="1"/>
  <c r="H972" i="1"/>
  <c r="G972" i="1"/>
  <c r="C2280" i="1" l="1"/>
  <c r="D2280" i="1" s="1"/>
  <c r="B2281" i="1"/>
  <c r="F972" i="1"/>
  <c r="I972" i="1" s="1"/>
  <c r="E973" i="1" s="1"/>
  <c r="B2282" i="1" l="1"/>
  <c r="C2281" i="1"/>
  <c r="D2281" i="1" s="1"/>
  <c r="H973" i="1"/>
  <c r="G973" i="1"/>
  <c r="C2282" i="1" l="1"/>
  <c r="D2282" i="1" s="1"/>
  <c r="B2283" i="1"/>
  <c r="F973" i="1"/>
  <c r="C2283" i="1" l="1"/>
  <c r="D2283" i="1" s="1"/>
  <c r="B2284" i="1"/>
  <c r="I973" i="1"/>
  <c r="E974" i="1" s="1"/>
  <c r="B2285" i="1" l="1"/>
  <c r="C2284" i="1"/>
  <c r="D2284" i="1" s="1"/>
  <c r="G974" i="1"/>
  <c r="H974" i="1"/>
  <c r="F974" i="1" s="1"/>
  <c r="C2285" i="1" l="1"/>
  <c r="D2285" i="1" s="1"/>
  <c r="B2286" i="1"/>
  <c r="I974" i="1"/>
  <c r="E975" i="1" s="1"/>
  <c r="B2287" i="1" l="1"/>
  <c r="C2286" i="1"/>
  <c r="D2286" i="1" s="1"/>
  <c r="H975" i="1"/>
  <c r="G975" i="1"/>
  <c r="C2287" i="1" l="1"/>
  <c r="D2287" i="1" s="1"/>
  <c r="B2288" i="1"/>
  <c r="F975" i="1"/>
  <c r="I975" i="1" s="1"/>
  <c r="E976" i="1" s="1"/>
  <c r="C2288" i="1" l="1"/>
  <c r="D2288" i="1" s="1"/>
  <c r="B2289" i="1"/>
  <c r="G976" i="1"/>
  <c r="H976" i="1"/>
  <c r="C2289" i="1" l="1"/>
  <c r="D2289" i="1" s="1"/>
  <c r="B2290" i="1"/>
  <c r="F976" i="1"/>
  <c r="B2291" i="1" l="1"/>
  <c r="C2290" i="1"/>
  <c r="D2290" i="1" s="1"/>
  <c r="I976" i="1"/>
  <c r="E977" i="1" s="1"/>
  <c r="C2291" i="1" l="1"/>
  <c r="D2291" i="1" s="1"/>
  <c r="B2292" i="1"/>
  <c r="G977" i="1"/>
  <c r="H977" i="1"/>
  <c r="F977" i="1" s="1"/>
  <c r="C2292" i="1" l="1"/>
  <c r="D2292" i="1" s="1"/>
  <c r="B2293" i="1"/>
  <c r="I977" i="1"/>
  <c r="E978" i="1" s="1"/>
  <c r="C2293" i="1" l="1"/>
  <c r="D2293" i="1" s="1"/>
  <c r="B2294" i="1"/>
  <c r="H978" i="1"/>
  <c r="G978" i="1"/>
  <c r="C2294" i="1" l="1"/>
  <c r="D2294" i="1" s="1"/>
  <c r="B2295" i="1"/>
  <c r="F978" i="1"/>
  <c r="I978" i="1" s="1"/>
  <c r="E979" i="1" s="1"/>
  <c r="C2295" i="1" l="1"/>
  <c r="D2295" i="1" s="1"/>
  <c r="B2296" i="1"/>
  <c r="H979" i="1"/>
  <c r="G979" i="1"/>
  <c r="C2296" i="1" l="1"/>
  <c r="D2296" i="1" s="1"/>
  <c r="B2297" i="1"/>
  <c r="F979" i="1"/>
  <c r="I979" i="1" s="1"/>
  <c r="E980" i="1" s="1"/>
  <c r="C2297" i="1" l="1"/>
  <c r="D2297" i="1" s="1"/>
  <c r="B2298" i="1"/>
  <c r="H980" i="1"/>
  <c r="G980" i="1"/>
  <c r="C2298" i="1" l="1"/>
  <c r="D2298" i="1" s="1"/>
  <c r="B2299" i="1"/>
  <c r="F980" i="1"/>
  <c r="I980" i="1" s="1"/>
  <c r="E981" i="1" s="1"/>
  <c r="C2299" i="1" l="1"/>
  <c r="D2299" i="1" s="1"/>
  <c r="B2300" i="1"/>
  <c r="G981" i="1"/>
  <c r="H981" i="1"/>
  <c r="B2301" i="1" l="1"/>
  <c r="C2300" i="1"/>
  <c r="D2300" i="1" s="1"/>
  <c r="F981" i="1"/>
  <c r="I981" i="1" s="1"/>
  <c r="E982" i="1" s="1"/>
  <c r="C2301" i="1" l="1"/>
  <c r="D2301" i="1" s="1"/>
  <c r="B2302" i="1"/>
  <c r="H982" i="1"/>
  <c r="G982" i="1"/>
  <c r="C2302" i="1" l="1"/>
  <c r="D2302" i="1" s="1"/>
  <c r="B2303" i="1"/>
  <c r="F982" i="1"/>
  <c r="I982" i="1" s="1"/>
  <c r="E983" i="1" s="1"/>
  <c r="C2303" i="1" l="1"/>
  <c r="D2303" i="1" s="1"/>
  <c r="B2304" i="1"/>
  <c r="H983" i="1"/>
  <c r="G983" i="1"/>
  <c r="B2305" i="1" l="1"/>
  <c r="C2304" i="1"/>
  <c r="D2304" i="1" s="1"/>
  <c r="F983" i="1"/>
  <c r="I983" i="1" s="1"/>
  <c r="E984" i="1" s="1"/>
  <c r="C2305" i="1" l="1"/>
  <c r="D2305" i="1" s="1"/>
  <c r="B2306" i="1"/>
  <c r="H984" i="1"/>
  <c r="G984" i="1"/>
  <c r="B2307" i="1" l="1"/>
  <c r="C2306" i="1"/>
  <c r="D2306" i="1" s="1"/>
  <c r="F984" i="1"/>
  <c r="I984" i="1" s="1"/>
  <c r="E985" i="1" s="1"/>
  <c r="B2308" i="1" l="1"/>
  <c r="C2307" i="1"/>
  <c r="D2307" i="1" s="1"/>
  <c r="H985" i="1"/>
  <c r="G985" i="1"/>
  <c r="B2309" i="1" l="1"/>
  <c r="C2308" i="1"/>
  <c r="D2308" i="1" s="1"/>
  <c r="F985" i="1"/>
  <c r="C2309" i="1" l="1"/>
  <c r="D2309" i="1" s="1"/>
  <c r="B2310" i="1"/>
  <c r="I985" i="1"/>
  <c r="E986" i="1" s="1"/>
  <c r="C2310" i="1" l="1"/>
  <c r="D2310" i="1" s="1"/>
  <c r="B2311" i="1"/>
  <c r="H986" i="1"/>
  <c r="G986" i="1"/>
  <c r="F986" i="1"/>
  <c r="B2312" i="1" l="1"/>
  <c r="C2311" i="1"/>
  <c r="D2311" i="1" s="1"/>
  <c r="I986" i="1"/>
  <c r="E987" i="1" s="1"/>
  <c r="C2312" i="1" l="1"/>
  <c r="D2312" i="1" s="1"/>
  <c r="B2313" i="1"/>
  <c r="H987" i="1"/>
  <c r="F987" i="1" s="1"/>
  <c r="I987" i="1" s="1"/>
  <c r="E988" i="1" s="1"/>
  <c r="G987" i="1"/>
  <c r="C2313" i="1" l="1"/>
  <c r="D2313" i="1" s="1"/>
  <c r="B2314" i="1"/>
  <c r="H988" i="1"/>
  <c r="G988" i="1"/>
  <c r="B2315" i="1" l="1"/>
  <c r="C2314" i="1"/>
  <c r="D2314" i="1" s="1"/>
  <c r="F988" i="1"/>
  <c r="I988" i="1" s="1"/>
  <c r="E989" i="1" s="1"/>
  <c r="C2315" i="1" l="1"/>
  <c r="D2315" i="1" s="1"/>
  <c r="B2316" i="1"/>
  <c r="H989" i="1"/>
  <c r="G989" i="1"/>
  <c r="C2316" i="1" l="1"/>
  <c r="D2316" i="1" s="1"/>
  <c r="B2317" i="1"/>
  <c r="F989" i="1"/>
  <c r="I989" i="1" s="1"/>
  <c r="E990" i="1" s="1"/>
  <c r="B2318" i="1" l="1"/>
  <c r="C2317" i="1"/>
  <c r="D2317" i="1" s="1"/>
  <c r="H990" i="1"/>
  <c r="G990" i="1"/>
  <c r="C2318" i="1" l="1"/>
  <c r="D2318" i="1" s="1"/>
  <c r="B2319" i="1"/>
  <c r="F990" i="1"/>
  <c r="C2319" i="1" l="1"/>
  <c r="D2319" i="1" s="1"/>
  <c r="B2320" i="1"/>
  <c r="I990" i="1"/>
  <c r="E991" i="1" s="1"/>
  <c r="B2321" i="1" l="1"/>
  <c r="C2320" i="1"/>
  <c r="D2320" i="1" s="1"/>
  <c r="H991" i="1"/>
  <c r="G991" i="1"/>
  <c r="F991" i="1"/>
  <c r="C2321" i="1" l="1"/>
  <c r="D2321" i="1" s="1"/>
  <c r="B2322" i="1"/>
  <c r="I991" i="1"/>
  <c r="E992" i="1" s="1"/>
  <c r="B2323" i="1" l="1"/>
  <c r="C2322" i="1"/>
  <c r="D2322" i="1" s="1"/>
  <c r="G992" i="1"/>
  <c r="H992" i="1"/>
  <c r="C2323" i="1" l="1"/>
  <c r="D2323" i="1" s="1"/>
  <c r="B2324" i="1"/>
  <c r="F992" i="1"/>
  <c r="I992" i="1" s="1"/>
  <c r="E993" i="1" s="1"/>
  <c r="B2325" i="1" l="1"/>
  <c r="C2324" i="1"/>
  <c r="D2324" i="1" s="1"/>
  <c r="G993" i="1"/>
  <c r="H993" i="1"/>
  <c r="C2325" i="1" l="1"/>
  <c r="D2325" i="1" s="1"/>
  <c r="B2326" i="1"/>
  <c r="F993" i="1"/>
  <c r="C2326" i="1" l="1"/>
  <c r="D2326" i="1" s="1"/>
  <c r="B2327" i="1"/>
  <c r="I993" i="1"/>
  <c r="E994" i="1" s="1"/>
  <c r="C2327" i="1" l="1"/>
  <c r="D2327" i="1" s="1"/>
  <c r="B2328" i="1"/>
  <c r="H994" i="1"/>
  <c r="G994" i="1"/>
  <c r="F994" i="1"/>
  <c r="C2328" i="1" l="1"/>
  <c r="D2328" i="1" s="1"/>
  <c r="B2329" i="1"/>
  <c r="I994" i="1"/>
  <c r="E995" i="1" s="1"/>
  <c r="C2329" i="1" l="1"/>
  <c r="D2329" i="1" s="1"/>
  <c r="B2330" i="1"/>
  <c r="H995" i="1"/>
  <c r="G995" i="1"/>
  <c r="C2330" i="1" l="1"/>
  <c r="D2330" i="1" s="1"/>
  <c r="B2331" i="1"/>
  <c r="F995" i="1"/>
  <c r="I995" i="1" s="1"/>
  <c r="E996" i="1" s="1"/>
  <c r="C2331" i="1" l="1"/>
  <c r="D2331" i="1" s="1"/>
  <c r="B2332" i="1"/>
  <c r="H996" i="1"/>
  <c r="G996" i="1"/>
  <c r="C2332" i="1" l="1"/>
  <c r="D2332" i="1" s="1"/>
  <c r="B2333" i="1"/>
  <c r="F996" i="1"/>
  <c r="I996" i="1" s="1"/>
  <c r="E997" i="1" s="1"/>
  <c r="B2334" i="1" l="1"/>
  <c r="C2333" i="1"/>
  <c r="D2333" i="1" s="1"/>
  <c r="H997" i="1"/>
  <c r="G997" i="1"/>
  <c r="B2335" i="1" l="1"/>
  <c r="C2334" i="1"/>
  <c r="D2334" i="1" s="1"/>
  <c r="F997" i="1"/>
  <c r="B2336" i="1" l="1"/>
  <c r="C2335" i="1"/>
  <c r="D2335" i="1" s="1"/>
  <c r="I997" i="1"/>
  <c r="E998" i="1" s="1"/>
  <c r="B2337" i="1" l="1"/>
  <c r="C2336" i="1"/>
  <c r="D2336" i="1" s="1"/>
  <c r="G998" i="1"/>
  <c r="H998" i="1"/>
  <c r="F998" i="1" s="1"/>
  <c r="C2337" i="1" l="1"/>
  <c r="D2337" i="1" s="1"/>
  <c r="B2338" i="1"/>
  <c r="I998" i="1"/>
  <c r="E999" i="1" s="1"/>
  <c r="C2338" i="1" l="1"/>
  <c r="D2338" i="1" s="1"/>
  <c r="B2339" i="1"/>
  <c r="G999" i="1"/>
  <c r="H999" i="1"/>
  <c r="F999" i="1" s="1"/>
  <c r="B2340" i="1" l="1"/>
  <c r="C2339" i="1"/>
  <c r="D2339" i="1" s="1"/>
  <c r="I999" i="1"/>
  <c r="E1000" i="1" s="1"/>
  <c r="B2341" i="1" l="1"/>
  <c r="C2340" i="1"/>
  <c r="D2340" i="1" s="1"/>
  <c r="G1000" i="1"/>
  <c r="H1000" i="1"/>
  <c r="C2341" i="1" l="1"/>
  <c r="D2341" i="1" s="1"/>
  <c r="B2342" i="1"/>
  <c r="F1000" i="1"/>
  <c r="I1000" i="1" s="1"/>
  <c r="E1001" i="1" s="1"/>
  <c r="C2342" i="1" l="1"/>
  <c r="D2342" i="1" s="1"/>
  <c r="B2343" i="1"/>
  <c r="H1001" i="1"/>
  <c r="G1001" i="1"/>
  <c r="C2343" i="1" l="1"/>
  <c r="D2343" i="1" s="1"/>
  <c r="B2344" i="1"/>
  <c r="F1001" i="1"/>
  <c r="C2344" i="1" l="1"/>
  <c r="D2344" i="1" s="1"/>
  <c r="B2345" i="1"/>
  <c r="I1001" i="1"/>
  <c r="E1002" i="1" s="1"/>
  <c r="B2346" i="1" l="1"/>
  <c r="C2345" i="1"/>
  <c r="D2345" i="1" s="1"/>
  <c r="H1002" i="1"/>
  <c r="F1002" i="1" s="1"/>
  <c r="G1002" i="1"/>
  <c r="C2346" i="1" l="1"/>
  <c r="D2346" i="1" s="1"/>
  <c r="B2347" i="1"/>
  <c r="I1002" i="1"/>
  <c r="E1003" i="1" s="1"/>
  <c r="B2348" i="1" l="1"/>
  <c r="C2347" i="1"/>
  <c r="D2347" i="1" s="1"/>
  <c r="G1003" i="1"/>
  <c r="H1003" i="1"/>
  <c r="B2349" i="1" l="1"/>
  <c r="C2348" i="1"/>
  <c r="D2348" i="1" s="1"/>
  <c r="F1003" i="1"/>
  <c r="I1003" i="1" s="1"/>
  <c r="E1004" i="1" s="1"/>
  <c r="B2350" i="1" l="1"/>
  <c r="C2349" i="1"/>
  <c r="D2349" i="1" s="1"/>
  <c r="H1004" i="1"/>
  <c r="G1004" i="1"/>
  <c r="C2350" i="1" l="1"/>
  <c r="D2350" i="1" s="1"/>
  <c r="B2351" i="1"/>
  <c r="F1004" i="1"/>
  <c r="I1004" i="1" s="1"/>
  <c r="E1005" i="1" s="1"/>
  <c r="C2351" i="1" l="1"/>
  <c r="D2351" i="1" s="1"/>
  <c r="B2352" i="1"/>
  <c r="H1005" i="1"/>
  <c r="G1005" i="1"/>
  <c r="C2352" i="1" l="1"/>
  <c r="D2352" i="1" s="1"/>
  <c r="B2353" i="1"/>
  <c r="F1005" i="1"/>
  <c r="I1005" i="1" s="1"/>
  <c r="E1006" i="1" s="1"/>
  <c r="C2353" i="1" l="1"/>
  <c r="D2353" i="1" s="1"/>
  <c r="B2354" i="1"/>
  <c r="G1006" i="1"/>
  <c r="H1006" i="1"/>
  <c r="C2354" i="1" l="1"/>
  <c r="D2354" i="1" s="1"/>
  <c r="B2355" i="1"/>
  <c r="F1006" i="1"/>
  <c r="B2356" i="1" l="1"/>
  <c r="C2355" i="1"/>
  <c r="D2355" i="1" s="1"/>
  <c r="I1006" i="1"/>
  <c r="E1007" i="1" s="1"/>
  <c r="B2357" i="1" l="1"/>
  <c r="C2356" i="1"/>
  <c r="D2356" i="1" s="1"/>
  <c r="G1007" i="1"/>
  <c r="H1007" i="1"/>
  <c r="F1007" i="1" s="1"/>
  <c r="C2357" i="1" l="1"/>
  <c r="D2357" i="1" s="1"/>
  <c r="B2358" i="1"/>
  <c r="I1007" i="1"/>
  <c r="E1008" i="1" s="1"/>
  <c r="C2358" i="1" l="1"/>
  <c r="D2358" i="1" s="1"/>
  <c r="B2359" i="1"/>
  <c r="H1008" i="1"/>
  <c r="G1008" i="1"/>
  <c r="C2359" i="1" l="1"/>
  <c r="D2359" i="1" s="1"/>
  <c r="B2360" i="1"/>
  <c r="F1008" i="1"/>
  <c r="I1008" i="1" s="1"/>
  <c r="E1009" i="1" s="1"/>
  <c r="C2360" i="1" l="1"/>
  <c r="D2360" i="1" s="1"/>
  <c r="B2361" i="1"/>
  <c r="H1009" i="1"/>
  <c r="G1009" i="1"/>
  <c r="B2362" i="1" l="1"/>
  <c r="C2361" i="1"/>
  <c r="D2361" i="1" s="1"/>
  <c r="F1009" i="1"/>
  <c r="I1009" i="1" s="1"/>
  <c r="E1010" i="1" s="1"/>
  <c r="C2362" i="1" l="1"/>
  <c r="D2362" i="1" s="1"/>
  <c r="B2363" i="1"/>
  <c r="H1010" i="1"/>
  <c r="G1010" i="1"/>
  <c r="C2363" i="1" l="1"/>
  <c r="D2363" i="1" s="1"/>
  <c r="B2364" i="1"/>
  <c r="F1010" i="1"/>
  <c r="C2364" i="1" l="1"/>
  <c r="D2364" i="1" s="1"/>
  <c r="B2365" i="1"/>
  <c r="I1010" i="1"/>
  <c r="E1011" i="1" s="1"/>
  <c r="B2366" i="1" l="1"/>
  <c r="C2365" i="1"/>
  <c r="D2365" i="1" s="1"/>
  <c r="H1011" i="1"/>
  <c r="F1011" i="1" s="1"/>
  <c r="G1011" i="1"/>
  <c r="C2366" i="1" l="1"/>
  <c r="D2366" i="1" s="1"/>
  <c r="B2367" i="1"/>
  <c r="I1011" i="1"/>
  <c r="E1012" i="1" s="1"/>
  <c r="C2367" i="1" l="1"/>
  <c r="D2367" i="1" s="1"/>
  <c r="B2368" i="1"/>
  <c r="G1012" i="1"/>
  <c r="H1012" i="1"/>
  <c r="B2369" i="1" l="1"/>
  <c r="C2368" i="1"/>
  <c r="D2368" i="1" s="1"/>
  <c r="F1012" i="1"/>
  <c r="I1012" i="1" s="1"/>
  <c r="E1013" i="1" s="1"/>
  <c r="C2369" i="1" l="1"/>
  <c r="D2369" i="1" s="1"/>
  <c r="B2370" i="1"/>
  <c r="H1013" i="1"/>
  <c r="G1013" i="1"/>
  <c r="B2371" i="1" l="1"/>
  <c r="C2370" i="1"/>
  <c r="D2370" i="1" s="1"/>
  <c r="F1013" i="1"/>
  <c r="I1013" i="1" s="1"/>
  <c r="E1014" i="1" s="1"/>
  <c r="B2372" i="1" l="1"/>
  <c r="C2371" i="1"/>
  <c r="D2371" i="1" s="1"/>
  <c r="G1014" i="1"/>
  <c r="H1014" i="1"/>
  <c r="C2372" i="1" l="1"/>
  <c r="D2372" i="1" s="1"/>
  <c r="B2373" i="1"/>
  <c r="F1014" i="1"/>
  <c r="I1014" i="1" s="1"/>
  <c r="E1015" i="1" s="1"/>
  <c r="C2373" i="1" l="1"/>
  <c r="D2373" i="1" s="1"/>
  <c r="B2374" i="1"/>
  <c r="H1015" i="1"/>
  <c r="G1015" i="1"/>
  <c r="B2375" i="1" l="1"/>
  <c r="C2374" i="1"/>
  <c r="D2374" i="1" s="1"/>
  <c r="F1015" i="1"/>
  <c r="I1015" i="1" s="1"/>
  <c r="E1016" i="1" s="1"/>
  <c r="C2375" i="1" l="1"/>
  <c r="D2375" i="1" s="1"/>
  <c r="B2376" i="1"/>
  <c r="G1016" i="1"/>
  <c r="H1016" i="1"/>
  <c r="B2377" i="1" l="1"/>
  <c r="C2376" i="1"/>
  <c r="D2376" i="1" s="1"/>
  <c r="F1016" i="1"/>
  <c r="I1016" i="1" s="1"/>
  <c r="E1017" i="1" s="1"/>
  <c r="C2377" i="1" l="1"/>
  <c r="D2377" i="1" s="1"/>
  <c r="B2378" i="1"/>
  <c r="G1017" i="1"/>
  <c r="H1017" i="1"/>
  <c r="C2378" i="1" l="1"/>
  <c r="D2378" i="1" s="1"/>
  <c r="B2379" i="1"/>
  <c r="F1017" i="1"/>
  <c r="I1017" i="1" s="1"/>
  <c r="E1018" i="1" s="1"/>
  <c r="C2379" i="1" l="1"/>
  <c r="D2379" i="1" s="1"/>
  <c r="B2380" i="1"/>
  <c r="H1018" i="1"/>
  <c r="G1018" i="1"/>
  <c r="C2380" i="1" l="1"/>
  <c r="D2380" i="1" s="1"/>
  <c r="B2381" i="1"/>
  <c r="F1018" i="1"/>
  <c r="B2382" i="1" l="1"/>
  <c r="C2381" i="1"/>
  <c r="D2381" i="1" s="1"/>
  <c r="I1018" i="1"/>
  <c r="E1019" i="1" s="1"/>
  <c r="C2382" i="1" l="1"/>
  <c r="D2382" i="1" s="1"/>
  <c r="B2383" i="1"/>
  <c r="H1019" i="1"/>
  <c r="G1019" i="1"/>
  <c r="F1019" i="1"/>
  <c r="C2383" i="1" l="1"/>
  <c r="D2383" i="1" s="1"/>
  <c r="B2384" i="1"/>
  <c r="I1019" i="1"/>
  <c r="E1020" i="1" s="1"/>
  <c r="C2384" i="1" l="1"/>
  <c r="D2384" i="1" s="1"/>
  <c r="B2385" i="1"/>
  <c r="H1020" i="1"/>
  <c r="G1020" i="1"/>
  <c r="F1020" i="1"/>
  <c r="B2386" i="1" l="1"/>
  <c r="C2385" i="1"/>
  <c r="D2385" i="1" s="1"/>
  <c r="I1020" i="1"/>
  <c r="E1021" i="1" s="1"/>
  <c r="B2387" i="1" l="1"/>
  <c r="C2386" i="1"/>
  <c r="D2386" i="1" s="1"/>
  <c r="G1021" i="1"/>
  <c r="H1021" i="1"/>
  <c r="B2388" i="1" l="1"/>
  <c r="C2387" i="1"/>
  <c r="D2387" i="1" s="1"/>
  <c r="F1021" i="1"/>
  <c r="I1021" i="1" s="1"/>
  <c r="E1022" i="1" s="1"/>
  <c r="B2389" i="1" l="1"/>
  <c r="C2388" i="1"/>
  <c r="D2388" i="1" s="1"/>
  <c r="G1022" i="1"/>
  <c r="H1022" i="1"/>
  <c r="C2389" i="1" l="1"/>
  <c r="D2389" i="1" s="1"/>
  <c r="B2390" i="1"/>
  <c r="F1022" i="1"/>
  <c r="I1022" i="1" s="1"/>
  <c r="E1023" i="1" s="1"/>
  <c r="B2391" i="1" l="1"/>
  <c r="C2390" i="1"/>
  <c r="D2390" i="1" s="1"/>
  <c r="H1023" i="1"/>
  <c r="G1023" i="1"/>
  <c r="C2391" i="1" l="1"/>
  <c r="D2391" i="1" s="1"/>
  <c r="B2392" i="1"/>
  <c r="F1023" i="1"/>
  <c r="C2392" i="1" l="1"/>
  <c r="D2392" i="1" s="1"/>
  <c r="B2393" i="1"/>
  <c r="I1023" i="1"/>
  <c r="E1024" i="1" s="1"/>
  <c r="C2393" i="1" l="1"/>
  <c r="D2393" i="1" s="1"/>
  <c r="B2394" i="1"/>
  <c r="H1024" i="1"/>
  <c r="G1024" i="1"/>
  <c r="F1024" i="1"/>
  <c r="C2394" i="1" l="1"/>
  <c r="D2394" i="1" s="1"/>
  <c r="B2395" i="1"/>
  <c r="I1024" i="1"/>
  <c r="E1025" i="1" s="1"/>
  <c r="B2396" i="1" l="1"/>
  <c r="C2395" i="1"/>
  <c r="D2395" i="1" s="1"/>
  <c r="G1025" i="1"/>
  <c r="H1025" i="1"/>
  <c r="F1025" i="1" s="1"/>
  <c r="I1025" i="1" s="1"/>
  <c r="E1026" i="1" s="1"/>
  <c r="C2396" i="1" l="1"/>
  <c r="D2396" i="1" s="1"/>
  <c r="B2397" i="1"/>
  <c r="H1026" i="1"/>
  <c r="G1026" i="1"/>
  <c r="C2397" i="1" l="1"/>
  <c r="D2397" i="1" s="1"/>
  <c r="B2398" i="1"/>
  <c r="F1026" i="1"/>
  <c r="I1026" i="1" s="1"/>
  <c r="E1027" i="1" s="1"/>
  <c r="C2398" i="1" l="1"/>
  <c r="D2398" i="1" s="1"/>
  <c r="B2399" i="1"/>
  <c r="H1027" i="1"/>
  <c r="G1027" i="1"/>
  <c r="C2399" i="1" l="1"/>
  <c r="D2399" i="1" s="1"/>
  <c r="B2400" i="1"/>
  <c r="F1027" i="1"/>
  <c r="I1027" i="1" s="1"/>
  <c r="E1028" i="1" s="1"/>
  <c r="C2400" i="1" l="1"/>
  <c r="D2400" i="1" s="1"/>
  <c r="B2401" i="1"/>
  <c r="H1028" i="1"/>
  <c r="G1028" i="1"/>
  <c r="C2401" i="1" l="1"/>
  <c r="D2401" i="1" s="1"/>
  <c r="B2402" i="1"/>
  <c r="F1028" i="1"/>
  <c r="C2402" i="1" l="1"/>
  <c r="D2402" i="1" s="1"/>
  <c r="B2403" i="1"/>
  <c r="I1028" i="1"/>
  <c r="E1029" i="1" s="1"/>
  <c r="C2403" i="1" l="1"/>
  <c r="D2403" i="1" s="1"/>
  <c r="B2404" i="1"/>
  <c r="H1029" i="1"/>
  <c r="G1029" i="1"/>
  <c r="F1029" i="1"/>
  <c r="C2404" i="1" l="1"/>
  <c r="D2404" i="1" s="1"/>
  <c r="B2405" i="1"/>
  <c r="I1029" i="1"/>
  <c r="E1030" i="1" s="1"/>
  <c r="C2405" i="1" l="1"/>
  <c r="D2405" i="1" s="1"/>
  <c r="B2406" i="1"/>
  <c r="H1030" i="1"/>
  <c r="G1030" i="1"/>
  <c r="B2407" i="1" l="1"/>
  <c r="C2406" i="1"/>
  <c r="D2406" i="1" s="1"/>
  <c r="F1030" i="1"/>
  <c r="I1030" i="1" s="1"/>
  <c r="E1031" i="1" s="1"/>
  <c r="C2407" i="1" l="1"/>
  <c r="D2407" i="1" s="1"/>
  <c r="B2408" i="1"/>
  <c r="G1031" i="1"/>
  <c r="H1031" i="1"/>
  <c r="B2409" i="1" l="1"/>
  <c r="C2408" i="1"/>
  <c r="D2408" i="1" s="1"/>
  <c r="F1031" i="1"/>
  <c r="I1031" i="1" s="1"/>
  <c r="E1032" i="1" s="1"/>
  <c r="C2409" i="1" l="1"/>
  <c r="D2409" i="1" s="1"/>
  <c r="B2410" i="1"/>
  <c r="G1032" i="1"/>
  <c r="H1032" i="1"/>
  <c r="B2411" i="1" l="1"/>
  <c r="C2410" i="1"/>
  <c r="D2410" i="1" s="1"/>
  <c r="F1032" i="1"/>
  <c r="I1032" i="1" s="1"/>
  <c r="E1033" i="1" s="1"/>
  <c r="C2411" i="1" l="1"/>
  <c r="D2411" i="1" s="1"/>
  <c r="B2412" i="1"/>
  <c r="H1033" i="1"/>
  <c r="G1033" i="1"/>
  <c r="B2413" i="1" l="1"/>
  <c r="C2412" i="1"/>
  <c r="D2412" i="1" s="1"/>
  <c r="F1033" i="1"/>
  <c r="I1033" i="1" s="1"/>
  <c r="E1034" i="1" s="1"/>
  <c r="B2414" i="1" l="1"/>
  <c r="C2413" i="1"/>
  <c r="D2413" i="1" s="1"/>
  <c r="G1034" i="1"/>
  <c r="H1034" i="1"/>
  <c r="C2414" i="1" l="1"/>
  <c r="D2414" i="1" s="1"/>
  <c r="B2415" i="1"/>
  <c r="F1034" i="1"/>
  <c r="I1034" i="1" s="1"/>
  <c r="E1035" i="1" s="1"/>
  <c r="C2415" i="1" l="1"/>
  <c r="D2415" i="1" s="1"/>
  <c r="B2416" i="1"/>
  <c r="H1035" i="1"/>
  <c r="G1035" i="1"/>
  <c r="C2416" i="1" l="1"/>
  <c r="D2416" i="1" s="1"/>
  <c r="B2417" i="1"/>
  <c r="F1035" i="1"/>
  <c r="I1035" i="1" s="1"/>
  <c r="E1036" i="1" s="1"/>
  <c r="B2418" i="1" l="1"/>
  <c r="C2417" i="1"/>
  <c r="D2417" i="1" s="1"/>
  <c r="G1036" i="1"/>
  <c r="H1036" i="1"/>
  <c r="C2418" i="1" l="1"/>
  <c r="D2418" i="1" s="1"/>
  <c r="B2419" i="1"/>
  <c r="F1036" i="1"/>
  <c r="I1036" i="1" s="1"/>
  <c r="E1037" i="1" s="1"/>
  <c r="B2420" i="1" l="1"/>
  <c r="C2419" i="1"/>
  <c r="D2419" i="1" s="1"/>
  <c r="H1037" i="1"/>
  <c r="G1037" i="1"/>
  <c r="C2420" i="1" l="1"/>
  <c r="D2420" i="1" s="1"/>
  <c r="B2421" i="1"/>
  <c r="F1037" i="1"/>
  <c r="I1037" i="1" s="1"/>
  <c r="E1038" i="1" s="1"/>
  <c r="C2421" i="1" l="1"/>
  <c r="D2421" i="1" s="1"/>
  <c r="B2422" i="1"/>
  <c r="H1038" i="1"/>
  <c r="G1038" i="1"/>
  <c r="C2422" i="1" l="1"/>
  <c r="D2422" i="1" s="1"/>
  <c r="B2423" i="1"/>
  <c r="F1038" i="1"/>
  <c r="I1038" i="1" s="1"/>
  <c r="E1039" i="1" s="1"/>
  <c r="C2423" i="1" l="1"/>
  <c r="D2423" i="1" s="1"/>
  <c r="B2424" i="1"/>
  <c r="H1039" i="1"/>
  <c r="G1039" i="1"/>
  <c r="C2424" i="1" l="1"/>
  <c r="D2424" i="1" s="1"/>
  <c r="B2425" i="1"/>
  <c r="F1039" i="1"/>
  <c r="I1039" i="1" s="1"/>
  <c r="E1040" i="1" s="1"/>
  <c r="C2425" i="1" l="1"/>
  <c r="D2425" i="1" s="1"/>
  <c r="B2426" i="1"/>
  <c r="H1040" i="1"/>
  <c r="G1040" i="1"/>
  <c r="B2427" i="1" l="1"/>
  <c r="C2426" i="1"/>
  <c r="D2426" i="1" s="1"/>
  <c r="F1040" i="1"/>
  <c r="I1040" i="1" s="1"/>
  <c r="E1041" i="1" s="1"/>
  <c r="C2427" i="1" l="1"/>
  <c r="D2427" i="1" s="1"/>
  <c r="B2428" i="1"/>
  <c r="G1041" i="1"/>
  <c r="H1041" i="1"/>
  <c r="C2428" i="1" l="1"/>
  <c r="D2428" i="1" s="1"/>
  <c r="B2429" i="1"/>
  <c r="F1041" i="1"/>
  <c r="I1041" i="1" s="1"/>
  <c r="E1042" i="1" s="1"/>
  <c r="C2429" i="1" l="1"/>
  <c r="D2429" i="1" s="1"/>
  <c r="B2430" i="1"/>
  <c r="G1042" i="1"/>
  <c r="H1042" i="1"/>
  <c r="C2430" i="1" l="1"/>
  <c r="D2430" i="1" s="1"/>
  <c r="B2431" i="1"/>
  <c r="F1042" i="1"/>
  <c r="I1042" i="1" s="1"/>
  <c r="E1043" i="1" s="1"/>
  <c r="B2432" i="1" l="1"/>
  <c r="C2431" i="1"/>
  <c r="D2431" i="1" s="1"/>
  <c r="H1043" i="1"/>
  <c r="G1043" i="1"/>
  <c r="C2432" i="1" l="1"/>
  <c r="D2432" i="1" s="1"/>
  <c r="B2433" i="1"/>
  <c r="F1043" i="1"/>
  <c r="I1043" i="1" s="1"/>
  <c r="E1044" i="1" s="1"/>
  <c r="C2433" i="1" l="1"/>
  <c r="D2433" i="1" s="1"/>
  <c r="B2434" i="1"/>
  <c r="H1044" i="1"/>
  <c r="G1044" i="1"/>
  <c r="C2434" i="1" l="1"/>
  <c r="D2434" i="1" s="1"/>
  <c r="B2435" i="1"/>
  <c r="F1044" i="1"/>
  <c r="I1044" i="1" s="1"/>
  <c r="E1045" i="1" s="1"/>
  <c r="C2435" i="1" l="1"/>
  <c r="D2435" i="1" s="1"/>
  <c r="B2436" i="1"/>
  <c r="H1045" i="1"/>
  <c r="G1045" i="1"/>
  <c r="B2437" i="1" l="1"/>
  <c r="C2436" i="1"/>
  <c r="D2436" i="1" s="1"/>
  <c r="F1045" i="1"/>
  <c r="I1045" i="1" s="1"/>
  <c r="E1046" i="1" s="1"/>
  <c r="C2437" i="1" l="1"/>
  <c r="D2437" i="1" s="1"/>
  <c r="B2438" i="1"/>
  <c r="H1046" i="1"/>
  <c r="G1046" i="1"/>
  <c r="C2438" i="1" l="1"/>
  <c r="D2438" i="1" s="1"/>
  <c r="B2439" i="1"/>
  <c r="F1046" i="1"/>
  <c r="I1046" i="1" s="1"/>
  <c r="E1047" i="1" s="1"/>
  <c r="C2439" i="1" l="1"/>
  <c r="D2439" i="1" s="1"/>
  <c r="B2440" i="1"/>
  <c r="H1047" i="1"/>
  <c r="G1047" i="1"/>
  <c r="C2440" i="1" l="1"/>
  <c r="D2440" i="1" s="1"/>
  <c r="B2441" i="1"/>
  <c r="F1047" i="1"/>
  <c r="I1047" i="1" s="1"/>
  <c r="E1048" i="1" s="1"/>
  <c r="C2441" i="1" l="1"/>
  <c r="D2441" i="1" s="1"/>
  <c r="B2442" i="1"/>
  <c r="G1048" i="1"/>
  <c r="H1048" i="1"/>
  <c r="C2442" i="1" l="1"/>
  <c r="D2442" i="1" s="1"/>
  <c r="B2443" i="1"/>
  <c r="F1048" i="1"/>
  <c r="I1048" i="1" s="1"/>
  <c r="E1049" i="1" s="1"/>
  <c r="C2443" i="1" l="1"/>
  <c r="D2443" i="1" s="1"/>
  <c r="B2444" i="1"/>
  <c r="G1049" i="1"/>
  <c r="H1049" i="1"/>
  <c r="B2445" i="1" l="1"/>
  <c r="C2444" i="1"/>
  <c r="D2444" i="1" s="1"/>
  <c r="F1049" i="1"/>
  <c r="I1049" i="1" s="1"/>
  <c r="E1050" i="1" s="1"/>
  <c r="C2445" i="1" l="1"/>
  <c r="D2445" i="1" s="1"/>
  <c r="B2446" i="1"/>
  <c r="H1050" i="1"/>
  <c r="G1050" i="1"/>
  <c r="C2446" i="1" l="1"/>
  <c r="D2446" i="1" s="1"/>
  <c r="B2447" i="1"/>
  <c r="F1050" i="1"/>
  <c r="I1050" i="1" s="1"/>
  <c r="E1051" i="1" s="1"/>
  <c r="B2448" i="1" l="1"/>
  <c r="C2447" i="1"/>
  <c r="D2447" i="1" s="1"/>
  <c r="G1051" i="1"/>
  <c r="H1051" i="1"/>
  <c r="C2448" i="1" l="1"/>
  <c r="D2448" i="1" s="1"/>
  <c r="B2449" i="1"/>
  <c r="F1051" i="1"/>
  <c r="I1051" i="1" s="1"/>
  <c r="E1052" i="1" s="1"/>
  <c r="B2450" i="1" l="1"/>
  <c r="C2449" i="1"/>
  <c r="D2449" i="1" s="1"/>
  <c r="G1052" i="1"/>
  <c r="H1052" i="1"/>
  <c r="C2450" i="1" l="1"/>
  <c r="D2450" i="1" s="1"/>
  <c r="B2451" i="1"/>
  <c r="F1052" i="1"/>
  <c r="I1052" i="1" s="1"/>
  <c r="E1053" i="1" s="1"/>
  <c r="C2451" i="1" l="1"/>
  <c r="D2451" i="1" s="1"/>
  <c r="B2452" i="1"/>
  <c r="H1053" i="1"/>
  <c r="G1053" i="1"/>
  <c r="B2453" i="1" l="1"/>
  <c r="C2452" i="1"/>
  <c r="D2452" i="1" s="1"/>
  <c r="F1053" i="1"/>
  <c r="I1053" i="1" s="1"/>
  <c r="E1054" i="1" s="1"/>
  <c r="C2453" i="1" l="1"/>
  <c r="D2453" i="1" s="1"/>
  <c r="B2454" i="1"/>
  <c r="G1054" i="1"/>
  <c r="H1054" i="1"/>
  <c r="C2454" i="1" l="1"/>
  <c r="D2454" i="1" s="1"/>
  <c r="B2455" i="1"/>
  <c r="F1054" i="1"/>
  <c r="I1054" i="1" s="1"/>
  <c r="E1055" i="1" s="1"/>
  <c r="C2455" i="1" l="1"/>
  <c r="D2455" i="1" s="1"/>
  <c r="B2456" i="1"/>
  <c r="G1055" i="1"/>
  <c r="H1055" i="1"/>
  <c r="B2457" i="1" l="1"/>
  <c r="C2456" i="1"/>
  <c r="D2456" i="1" s="1"/>
  <c r="F1055" i="1"/>
  <c r="I1055" i="1" s="1"/>
  <c r="E1056" i="1" s="1"/>
  <c r="C2457" i="1" l="1"/>
  <c r="D2457" i="1" s="1"/>
  <c r="B2458" i="1"/>
  <c r="H1056" i="1"/>
  <c r="G1056" i="1"/>
  <c r="C2458" i="1" l="1"/>
  <c r="D2458" i="1" s="1"/>
  <c r="B2459" i="1"/>
  <c r="F1056" i="1"/>
  <c r="I1056" i="1" s="1"/>
  <c r="E1057" i="1" s="1"/>
  <c r="C2459" i="1" l="1"/>
  <c r="D2459" i="1" s="1"/>
  <c r="B2460" i="1"/>
  <c r="G1057" i="1"/>
  <c r="H1057" i="1"/>
  <c r="B2461" i="1" l="1"/>
  <c r="C2460" i="1"/>
  <c r="D2460" i="1" s="1"/>
  <c r="F1057" i="1"/>
  <c r="C2461" i="1" l="1"/>
  <c r="D2461" i="1" s="1"/>
  <c r="B2462" i="1"/>
  <c r="I1057" i="1"/>
  <c r="E1058" i="1" s="1"/>
  <c r="C2462" i="1" l="1"/>
  <c r="D2462" i="1" s="1"/>
  <c r="B2463" i="1"/>
  <c r="G1058" i="1"/>
  <c r="H1058" i="1"/>
  <c r="F1058" i="1" s="1"/>
  <c r="B2464" i="1" l="1"/>
  <c r="C2463" i="1"/>
  <c r="D2463" i="1" s="1"/>
  <c r="I1058" i="1"/>
  <c r="E1059" i="1" s="1"/>
  <c r="C2464" i="1" l="1"/>
  <c r="D2464" i="1" s="1"/>
  <c r="B2465" i="1"/>
  <c r="H1059" i="1"/>
  <c r="G1059" i="1"/>
  <c r="C2465" i="1" l="1"/>
  <c r="D2465" i="1" s="1"/>
  <c r="B2466" i="1"/>
  <c r="F1059" i="1"/>
  <c r="C2466" i="1" l="1"/>
  <c r="D2466" i="1" s="1"/>
  <c r="B2467" i="1"/>
  <c r="I1059" i="1"/>
  <c r="E1060" i="1" s="1"/>
  <c r="C2467" i="1" l="1"/>
  <c r="D2467" i="1" s="1"/>
  <c r="B2468" i="1"/>
  <c r="H1060" i="1"/>
  <c r="F1060" i="1" s="1"/>
  <c r="G1060" i="1"/>
  <c r="C2468" i="1" l="1"/>
  <c r="D2468" i="1" s="1"/>
  <c r="B2469" i="1"/>
  <c r="I1060" i="1"/>
  <c r="E1061" i="1" s="1"/>
  <c r="C2469" i="1" l="1"/>
  <c r="D2469" i="1" s="1"/>
  <c r="B2470" i="1"/>
  <c r="G1061" i="1"/>
  <c r="H1061" i="1"/>
  <c r="C2470" i="1" l="1"/>
  <c r="D2470" i="1" s="1"/>
  <c r="B2471" i="1"/>
  <c r="F1061" i="1"/>
  <c r="I1061" i="1" s="1"/>
  <c r="E1062" i="1" s="1"/>
  <c r="C2471" i="1" l="1"/>
  <c r="D2471" i="1" s="1"/>
  <c r="B2472" i="1"/>
  <c r="G1062" i="1"/>
  <c r="H1062" i="1"/>
  <c r="B2473" i="1" l="1"/>
  <c r="C2472" i="1"/>
  <c r="D2472" i="1" s="1"/>
  <c r="F1062" i="1"/>
  <c r="I1062" i="1" s="1"/>
  <c r="E1063" i="1" s="1"/>
  <c r="B2474" i="1" l="1"/>
  <c r="C2473" i="1"/>
  <c r="D2473" i="1" s="1"/>
  <c r="H1063" i="1"/>
  <c r="G1063" i="1"/>
  <c r="C2474" i="1" l="1"/>
  <c r="D2474" i="1" s="1"/>
  <c r="B2475" i="1"/>
  <c r="F1063" i="1"/>
  <c r="I1063" i="1" s="1"/>
  <c r="E1064" i="1" s="1"/>
  <c r="C2475" i="1" l="1"/>
  <c r="D2475" i="1" s="1"/>
  <c r="B2476" i="1"/>
  <c r="H1064" i="1"/>
  <c r="G1064" i="1"/>
  <c r="C2476" i="1" l="1"/>
  <c r="D2476" i="1" s="1"/>
  <c r="B2477" i="1"/>
  <c r="F1064" i="1"/>
  <c r="I1064" i="1" s="1"/>
  <c r="E1065" i="1" s="1"/>
  <c r="B2478" i="1" l="1"/>
  <c r="C2477" i="1"/>
  <c r="D2477" i="1" s="1"/>
  <c r="G1065" i="1"/>
  <c r="H1065" i="1"/>
  <c r="C2478" i="1" l="1"/>
  <c r="D2478" i="1" s="1"/>
  <c r="B2479" i="1"/>
  <c r="F1065" i="1"/>
  <c r="I1065" i="1" s="1"/>
  <c r="E1066" i="1" s="1"/>
  <c r="C2479" i="1" l="1"/>
  <c r="D2479" i="1" s="1"/>
  <c r="B2480" i="1"/>
  <c r="G1066" i="1"/>
  <c r="H1066" i="1"/>
  <c r="B2481" i="1" l="1"/>
  <c r="C2480" i="1"/>
  <c r="D2480" i="1" s="1"/>
  <c r="F1066" i="1"/>
  <c r="I1066" i="1" s="1"/>
  <c r="E1067" i="1" s="1"/>
  <c r="C2481" i="1" l="1"/>
  <c r="D2481" i="1" s="1"/>
  <c r="B2482" i="1"/>
  <c r="H1067" i="1"/>
  <c r="G1067" i="1"/>
  <c r="B2483" i="1" l="1"/>
  <c r="C2482" i="1"/>
  <c r="D2482" i="1" s="1"/>
  <c r="F1067" i="1"/>
  <c r="B2484" i="1" l="1"/>
  <c r="C2483" i="1"/>
  <c r="D2483" i="1" s="1"/>
  <c r="I1067" i="1"/>
  <c r="E1068" i="1" s="1"/>
  <c r="C2484" i="1" l="1"/>
  <c r="D2484" i="1" s="1"/>
  <c r="B2485" i="1"/>
  <c r="H1068" i="1"/>
  <c r="F1068" i="1" s="1"/>
  <c r="G1068" i="1"/>
  <c r="B2486" i="1" l="1"/>
  <c r="C2485" i="1"/>
  <c r="D2485" i="1" s="1"/>
  <c r="I1068" i="1"/>
  <c r="E1069" i="1" s="1"/>
  <c r="B2487" i="1" l="1"/>
  <c r="C2486" i="1"/>
  <c r="D2486" i="1" s="1"/>
  <c r="G1069" i="1"/>
  <c r="H1069" i="1"/>
  <c r="F1069" i="1" s="1"/>
  <c r="B2488" i="1" l="1"/>
  <c r="C2487" i="1"/>
  <c r="D2487" i="1" s="1"/>
  <c r="I1069" i="1"/>
  <c r="E1070" i="1" s="1"/>
  <c r="C2488" i="1" l="1"/>
  <c r="D2488" i="1" s="1"/>
  <c r="B2489" i="1"/>
  <c r="H1070" i="1"/>
  <c r="G1070" i="1"/>
  <c r="C2489" i="1" l="1"/>
  <c r="D2489" i="1" s="1"/>
  <c r="B2490" i="1"/>
  <c r="F1070" i="1"/>
  <c r="I1070" i="1" s="1"/>
  <c r="E1071" i="1" s="1"/>
  <c r="B2491" i="1" l="1"/>
  <c r="C2490" i="1"/>
  <c r="D2490" i="1" s="1"/>
  <c r="G1071" i="1"/>
  <c r="H1071" i="1"/>
  <c r="C2491" i="1" l="1"/>
  <c r="D2491" i="1" s="1"/>
  <c r="B2492" i="1"/>
  <c r="F1071" i="1"/>
  <c r="I1071" i="1" s="1"/>
  <c r="E1072" i="1" s="1"/>
  <c r="C2492" i="1" l="1"/>
  <c r="D2492" i="1" s="1"/>
  <c r="B2493" i="1"/>
  <c r="H1072" i="1"/>
  <c r="G1072" i="1"/>
  <c r="C2493" i="1" l="1"/>
  <c r="D2493" i="1" s="1"/>
  <c r="B2494" i="1"/>
  <c r="F1072" i="1"/>
  <c r="I1072" i="1" s="1"/>
  <c r="E1073" i="1" s="1"/>
  <c r="B2495" i="1" l="1"/>
  <c r="C2494" i="1"/>
  <c r="D2494" i="1" s="1"/>
  <c r="H1073" i="1"/>
  <c r="G1073" i="1"/>
  <c r="B2496" i="1" l="1"/>
  <c r="C2495" i="1"/>
  <c r="D2495" i="1" s="1"/>
  <c r="F1073" i="1"/>
  <c r="I1073" i="1" s="1"/>
  <c r="E1074" i="1" s="1"/>
  <c r="C2496" i="1" l="1"/>
  <c r="D2496" i="1" s="1"/>
  <c r="B2497" i="1"/>
  <c r="G1074" i="1"/>
  <c r="H1074" i="1"/>
  <c r="C2497" i="1" l="1"/>
  <c r="D2497" i="1" s="1"/>
  <c r="B2498" i="1"/>
  <c r="F1074" i="1"/>
  <c r="I1074" i="1" s="1"/>
  <c r="E1075" i="1" s="1"/>
  <c r="B2499" i="1" l="1"/>
  <c r="C2498" i="1"/>
  <c r="D2498" i="1" s="1"/>
  <c r="H1075" i="1"/>
  <c r="G1075" i="1"/>
  <c r="B2500" i="1" l="1"/>
  <c r="C2499" i="1"/>
  <c r="D2499" i="1" s="1"/>
  <c r="F1075" i="1"/>
  <c r="I1075" i="1" s="1"/>
  <c r="E1076" i="1" s="1"/>
  <c r="B2501" i="1" l="1"/>
  <c r="C2500" i="1"/>
  <c r="D2500" i="1" s="1"/>
  <c r="H1076" i="1"/>
  <c r="G1076" i="1"/>
  <c r="C2501" i="1" l="1"/>
  <c r="D2501" i="1" s="1"/>
  <c r="B2502" i="1"/>
  <c r="F1076" i="1"/>
  <c r="I1076" i="1" s="1"/>
  <c r="E1077" i="1" s="1"/>
  <c r="C2502" i="1" l="1"/>
  <c r="D2502" i="1" s="1"/>
  <c r="B2503" i="1"/>
  <c r="G1077" i="1"/>
  <c r="H1077" i="1"/>
  <c r="C2503" i="1" l="1"/>
  <c r="D2503" i="1" s="1"/>
  <c r="B2504" i="1"/>
  <c r="F1077" i="1"/>
  <c r="I1077" i="1" s="1"/>
  <c r="E1078" i="1" s="1"/>
  <c r="C2504" i="1" l="1"/>
  <c r="D2504" i="1" s="1"/>
  <c r="B2505" i="1"/>
  <c r="H1078" i="1"/>
  <c r="G1078" i="1"/>
  <c r="C2505" i="1" l="1"/>
  <c r="D2505" i="1" s="1"/>
  <c r="B2506" i="1"/>
  <c r="F1078" i="1"/>
  <c r="I1078" i="1" s="1"/>
  <c r="E1079" i="1" s="1"/>
  <c r="C2506" i="1" l="1"/>
  <c r="D2506" i="1" s="1"/>
  <c r="B2507" i="1"/>
  <c r="G1079" i="1"/>
  <c r="H1079" i="1"/>
  <c r="C2507" i="1" l="1"/>
  <c r="D2507" i="1" s="1"/>
  <c r="B2508" i="1"/>
  <c r="F1079" i="1"/>
  <c r="I1079" i="1" s="1"/>
  <c r="E1080" i="1" s="1"/>
  <c r="B2509" i="1" l="1"/>
  <c r="C2508" i="1"/>
  <c r="D2508" i="1" s="1"/>
  <c r="H1080" i="1"/>
  <c r="G1080" i="1"/>
  <c r="C2509" i="1" l="1"/>
  <c r="D2509" i="1" s="1"/>
  <c r="B2510" i="1"/>
  <c r="F1080" i="1"/>
  <c r="I1080" i="1" s="1"/>
  <c r="E1081" i="1" s="1"/>
  <c r="C2510" i="1" l="1"/>
  <c r="D2510" i="1" s="1"/>
  <c r="B2511" i="1"/>
  <c r="H1081" i="1"/>
  <c r="G1081" i="1"/>
  <c r="C2511" i="1" l="1"/>
  <c r="D2511" i="1" s="1"/>
  <c r="B2512" i="1"/>
  <c r="F1081" i="1"/>
  <c r="I1081" i="1" s="1"/>
  <c r="E1082" i="1" s="1"/>
  <c r="C2512" i="1" l="1"/>
  <c r="D2512" i="1" s="1"/>
  <c r="B2513" i="1"/>
  <c r="H1082" i="1"/>
  <c r="G1082" i="1"/>
  <c r="B2514" i="1" l="1"/>
  <c r="C2513" i="1"/>
  <c r="D2513" i="1" s="1"/>
  <c r="F1082" i="1"/>
  <c r="I1082" i="1" s="1"/>
  <c r="E1083" i="1" s="1"/>
  <c r="C2514" i="1" l="1"/>
  <c r="D2514" i="1" s="1"/>
  <c r="B2515" i="1"/>
  <c r="G1083" i="1"/>
  <c r="H1083" i="1"/>
  <c r="B2516" i="1" l="1"/>
  <c r="C2515" i="1"/>
  <c r="D2515" i="1" s="1"/>
  <c r="F1083" i="1"/>
  <c r="I1083" i="1" s="1"/>
  <c r="E1084" i="1" s="1"/>
  <c r="C2516" i="1" l="1"/>
  <c r="D2516" i="1" s="1"/>
  <c r="B2517" i="1"/>
  <c r="H1084" i="1"/>
  <c r="G1084" i="1"/>
  <c r="B2518" i="1" l="1"/>
  <c r="C2517" i="1"/>
  <c r="D2517" i="1" s="1"/>
  <c r="F1084" i="1"/>
  <c r="I1084" i="1" s="1"/>
  <c r="E1085" i="1" s="1"/>
  <c r="C2518" i="1" l="1"/>
  <c r="D2518" i="1" s="1"/>
  <c r="B2519" i="1"/>
  <c r="H1085" i="1"/>
  <c r="G1085" i="1"/>
  <c r="B2520" i="1" l="1"/>
  <c r="C2519" i="1"/>
  <c r="D2519" i="1" s="1"/>
  <c r="F1085" i="1"/>
  <c r="I1085" i="1" s="1"/>
  <c r="E1086" i="1" s="1"/>
  <c r="C2520" i="1" l="1"/>
  <c r="D2520" i="1" s="1"/>
  <c r="B2521" i="1"/>
  <c r="H1086" i="1"/>
  <c r="G1086" i="1"/>
  <c r="C2521" i="1" l="1"/>
  <c r="D2521" i="1" s="1"/>
  <c r="B2522" i="1"/>
  <c r="F1086" i="1"/>
  <c r="I1086" i="1" s="1"/>
  <c r="E1087" i="1" s="1"/>
  <c r="B2523" i="1" l="1"/>
  <c r="C2522" i="1"/>
  <c r="D2522" i="1" s="1"/>
  <c r="H1087" i="1"/>
  <c r="G1087" i="1"/>
  <c r="B2524" i="1" l="1"/>
  <c r="C2523" i="1"/>
  <c r="D2523" i="1" s="1"/>
  <c r="F1087" i="1"/>
  <c r="I1087" i="1" s="1"/>
  <c r="E1088" i="1" s="1"/>
  <c r="C2524" i="1" l="1"/>
  <c r="D2524" i="1" s="1"/>
  <c r="B2525" i="1"/>
  <c r="H1088" i="1"/>
  <c r="G1088" i="1"/>
  <c r="C2525" i="1" l="1"/>
  <c r="D2525" i="1" s="1"/>
  <c r="B2526" i="1"/>
  <c r="F1088" i="1"/>
  <c r="I1088" i="1" s="1"/>
  <c r="E1089" i="1" s="1"/>
  <c r="B2527" i="1" l="1"/>
  <c r="C2526" i="1"/>
  <c r="D2526" i="1" s="1"/>
  <c r="H1089" i="1"/>
  <c r="G1089" i="1"/>
  <c r="B2528" i="1" l="1"/>
  <c r="C2527" i="1"/>
  <c r="D2527" i="1" s="1"/>
  <c r="F1089" i="1"/>
  <c r="I1089" i="1" s="1"/>
  <c r="E1090" i="1" s="1"/>
  <c r="C2528" i="1" l="1"/>
  <c r="D2528" i="1" s="1"/>
  <c r="B2529" i="1"/>
  <c r="H1090" i="1"/>
  <c r="G1090" i="1"/>
  <c r="C2529" i="1" l="1"/>
  <c r="D2529" i="1" s="1"/>
  <c r="B2530" i="1"/>
  <c r="F1090" i="1"/>
  <c r="I1090" i="1" s="1"/>
  <c r="E1091" i="1" s="1"/>
  <c r="B2531" i="1" l="1"/>
  <c r="C2530" i="1"/>
  <c r="D2530" i="1" s="1"/>
  <c r="H1091" i="1"/>
  <c r="G1091" i="1"/>
  <c r="C2531" i="1" l="1"/>
  <c r="D2531" i="1" s="1"/>
  <c r="B2532" i="1"/>
  <c r="F1091" i="1"/>
  <c r="I1091" i="1" s="1"/>
  <c r="E1092" i="1" s="1"/>
  <c r="C2532" i="1" l="1"/>
  <c r="D2532" i="1" s="1"/>
  <c r="B2533" i="1"/>
  <c r="H1092" i="1"/>
  <c r="G1092" i="1"/>
  <c r="C2533" i="1" l="1"/>
  <c r="D2533" i="1" s="1"/>
  <c r="B2534" i="1"/>
  <c r="F1092" i="1"/>
  <c r="I1092" i="1" s="1"/>
  <c r="E1093" i="1" s="1"/>
  <c r="C2534" i="1" l="1"/>
  <c r="D2534" i="1" s="1"/>
  <c r="B2535" i="1"/>
  <c r="H1093" i="1"/>
  <c r="G1093" i="1"/>
  <c r="C2535" i="1" l="1"/>
  <c r="D2535" i="1" s="1"/>
  <c r="B2536" i="1"/>
  <c r="F1093" i="1"/>
  <c r="I1093" i="1" s="1"/>
  <c r="E1094" i="1" s="1"/>
  <c r="C2536" i="1" l="1"/>
  <c r="D2536" i="1" s="1"/>
  <c r="B2537" i="1"/>
  <c r="H1094" i="1"/>
  <c r="G1094" i="1"/>
  <c r="C2537" i="1" l="1"/>
  <c r="D2537" i="1" s="1"/>
  <c r="B2538" i="1"/>
  <c r="F1094" i="1"/>
  <c r="B2539" i="1" l="1"/>
  <c r="C2538" i="1"/>
  <c r="D2538" i="1" s="1"/>
  <c r="I1094" i="1"/>
  <c r="E1095" i="1" s="1"/>
  <c r="B2540" i="1" l="1"/>
  <c r="C2539" i="1"/>
  <c r="D2539" i="1" s="1"/>
  <c r="H1095" i="1"/>
  <c r="G1095" i="1"/>
  <c r="F1095" i="1"/>
  <c r="C2540" i="1" l="1"/>
  <c r="D2540" i="1" s="1"/>
  <c r="B2541" i="1"/>
  <c r="I1095" i="1"/>
  <c r="E1096" i="1" s="1"/>
  <c r="C2541" i="1" l="1"/>
  <c r="D2541" i="1" s="1"/>
  <c r="B2542" i="1"/>
  <c r="H1096" i="1"/>
  <c r="G1096" i="1"/>
  <c r="F1096" i="1"/>
  <c r="C2542" i="1" l="1"/>
  <c r="D2542" i="1" s="1"/>
  <c r="B2543" i="1"/>
  <c r="I1096" i="1"/>
  <c r="E1097" i="1" s="1"/>
  <c r="C2543" i="1" l="1"/>
  <c r="D2543" i="1" s="1"/>
  <c r="B2544" i="1"/>
  <c r="H1097" i="1"/>
  <c r="G1097" i="1"/>
  <c r="C2544" i="1" l="1"/>
  <c r="D2544" i="1" s="1"/>
  <c r="B2545" i="1"/>
  <c r="F1097" i="1"/>
  <c r="I1097" i="1" s="1"/>
  <c r="E1098" i="1" s="1"/>
  <c r="C2545" i="1" l="1"/>
  <c r="D2545" i="1" s="1"/>
  <c r="B2546" i="1"/>
  <c r="H1098" i="1"/>
  <c r="G1098" i="1"/>
  <c r="C2546" i="1" l="1"/>
  <c r="D2546" i="1" s="1"/>
  <c r="B2547" i="1"/>
  <c r="F1098" i="1"/>
  <c r="C2547" i="1" l="1"/>
  <c r="D2547" i="1" s="1"/>
  <c r="B2548" i="1"/>
  <c r="I1098" i="1"/>
  <c r="E1099" i="1" s="1"/>
  <c r="C2548" i="1" l="1"/>
  <c r="D2548" i="1" s="1"/>
  <c r="B2549" i="1"/>
  <c r="H1099" i="1"/>
  <c r="G1099" i="1"/>
  <c r="F1099" i="1"/>
  <c r="C2549" i="1" l="1"/>
  <c r="D2549" i="1" s="1"/>
  <c r="B2550" i="1"/>
  <c r="I1099" i="1"/>
  <c r="E1100" i="1" s="1"/>
  <c r="C2550" i="1" l="1"/>
  <c r="D2550" i="1" s="1"/>
  <c r="B2551" i="1"/>
  <c r="E7" i="2"/>
  <c r="H1100" i="1"/>
  <c r="G1100" i="1"/>
  <c r="G7" i="2"/>
  <c r="F7" i="2"/>
  <c r="C2551" i="1" l="1"/>
  <c r="D2551" i="1" s="1"/>
  <c r="B2552" i="1"/>
  <c r="H7" i="2"/>
  <c r="I7" i="2" s="1"/>
  <c r="S7" i="2"/>
  <c r="T7" i="2" s="1"/>
  <c r="N7" i="2"/>
  <c r="O7" i="2" s="1"/>
  <c r="L7" i="2" s="1"/>
  <c r="M7" i="2" s="1"/>
  <c r="J7" i="2"/>
  <c r="K7" i="2" s="1"/>
  <c r="F1100" i="1"/>
  <c r="I1100" i="1" s="1"/>
  <c r="E1101" i="1" s="1"/>
  <c r="U7" i="2" l="1"/>
  <c r="P7" i="2" s="1"/>
  <c r="Q7" i="2" s="1"/>
  <c r="C2552" i="1"/>
  <c r="D2552" i="1" s="1"/>
  <c r="B2553" i="1"/>
  <c r="H1101" i="1"/>
  <c r="G1101" i="1"/>
  <c r="B2554" i="1" l="1"/>
  <c r="C2553" i="1"/>
  <c r="D2553" i="1" s="1"/>
  <c r="F1101" i="1"/>
  <c r="I1101" i="1" s="1"/>
  <c r="E1102" i="1" s="1"/>
  <c r="C2554" i="1" l="1"/>
  <c r="D2554" i="1" s="1"/>
  <c r="B2555" i="1"/>
  <c r="H1102" i="1"/>
  <c r="G1102" i="1"/>
  <c r="C2555" i="1" l="1"/>
  <c r="D2555" i="1" s="1"/>
  <c r="B2556" i="1"/>
  <c r="F1102" i="1"/>
  <c r="I1102" i="1" s="1"/>
  <c r="E1103" i="1" s="1"/>
  <c r="B2557" i="1" l="1"/>
  <c r="C2556" i="1"/>
  <c r="D2556" i="1" s="1"/>
  <c r="H1103" i="1"/>
  <c r="G1103" i="1"/>
  <c r="C2557" i="1" l="1"/>
  <c r="D2557" i="1" s="1"/>
  <c r="B2558" i="1"/>
  <c r="F1103" i="1"/>
  <c r="I1103" i="1" s="1"/>
  <c r="E1104" i="1" s="1"/>
  <c r="C2558" i="1" l="1"/>
  <c r="D2558" i="1" s="1"/>
  <c r="B2559" i="1"/>
  <c r="G1104" i="1"/>
  <c r="H1104" i="1"/>
  <c r="B2560" i="1" l="1"/>
  <c r="C2559" i="1"/>
  <c r="D2559" i="1" s="1"/>
  <c r="F1104" i="1"/>
  <c r="I1104" i="1" s="1"/>
  <c r="E1105" i="1" s="1"/>
  <c r="C2560" i="1" l="1"/>
  <c r="B2561" i="1"/>
  <c r="G1105" i="1"/>
  <c r="H1105" i="1"/>
  <c r="B2562" i="1" l="1"/>
  <c r="C2561" i="1"/>
  <c r="D2561" i="1" s="1"/>
  <c r="D2560" i="1"/>
  <c r="F1105" i="1"/>
  <c r="I1105" i="1" s="1"/>
  <c r="E1106" i="1" s="1"/>
  <c r="C2562" i="1" l="1"/>
  <c r="D2562" i="1" s="1"/>
  <c r="B2563" i="1"/>
  <c r="G1106" i="1"/>
  <c r="H1106" i="1"/>
  <c r="C2563" i="1" l="1"/>
  <c r="D2563" i="1" s="1"/>
  <c r="B2564" i="1"/>
  <c r="F1106" i="1"/>
  <c r="I1106" i="1" s="1"/>
  <c r="E1107" i="1" s="1"/>
  <c r="C2564" i="1" l="1"/>
  <c r="D2564" i="1" s="1"/>
  <c r="B2565" i="1"/>
  <c r="G1107" i="1"/>
  <c r="H1107" i="1"/>
  <c r="C2565" i="1" l="1"/>
  <c r="D2565" i="1" s="1"/>
  <c r="B2566" i="1"/>
  <c r="F1107" i="1"/>
  <c r="I1107" i="1" s="1"/>
  <c r="E1108" i="1" s="1"/>
  <c r="C2566" i="1" l="1"/>
  <c r="D2566" i="1" s="1"/>
  <c r="B2567" i="1"/>
  <c r="H1108" i="1"/>
  <c r="G1108" i="1"/>
  <c r="C2567" i="1" l="1"/>
  <c r="D2567" i="1" s="1"/>
  <c r="B2568" i="1"/>
  <c r="F1108" i="1"/>
  <c r="I1108" i="1" s="1"/>
  <c r="E1109" i="1" s="1"/>
  <c r="C2568" i="1" l="1"/>
  <c r="D2568" i="1" s="1"/>
  <c r="B2569" i="1"/>
  <c r="H1109" i="1"/>
  <c r="G1109" i="1"/>
  <c r="B2570" i="1" l="1"/>
  <c r="C2569" i="1"/>
  <c r="D2569" i="1" s="1"/>
  <c r="F1109" i="1"/>
  <c r="I1109" i="1" s="1"/>
  <c r="E1110" i="1" s="1"/>
  <c r="B2571" i="1" l="1"/>
  <c r="C2570" i="1"/>
  <c r="D2570" i="1" s="1"/>
  <c r="G1110" i="1"/>
  <c r="H1110" i="1"/>
  <c r="C2571" i="1" l="1"/>
  <c r="D2571" i="1" s="1"/>
  <c r="B2572" i="1"/>
  <c r="F1110" i="1"/>
  <c r="I1110" i="1" s="1"/>
  <c r="E1111" i="1" s="1"/>
  <c r="C2572" i="1" l="1"/>
  <c r="D2572" i="1" s="1"/>
  <c r="B2573" i="1"/>
  <c r="H1111" i="1"/>
  <c r="G1111" i="1"/>
  <c r="C2573" i="1" l="1"/>
  <c r="D2573" i="1" s="1"/>
  <c r="B2574" i="1"/>
  <c r="F1111" i="1"/>
  <c r="I1111" i="1" s="1"/>
  <c r="E1112" i="1" s="1"/>
  <c r="B2575" i="1" l="1"/>
  <c r="C2574" i="1"/>
  <c r="D2574" i="1" s="1"/>
  <c r="H1112" i="1"/>
  <c r="G1112" i="1"/>
  <c r="C2575" i="1" l="1"/>
  <c r="D2575" i="1" s="1"/>
  <c r="B2576" i="1"/>
  <c r="F1112" i="1"/>
  <c r="I1112" i="1" s="1"/>
  <c r="E1113" i="1" s="1"/>
  <c r="B2577" i="1" l="1"/>
  <c r="C2576" i="1"/>
  <c r="D2576" i="1" s="1"/>
  <c r="H1113" i="1"/>
  <c r="G1113" i="1"/>
  <c r="B2578" i="1" l="1"/>
  <c r="C2577" i="1"/>
  <c r="D2577" i="1" s="1"/>
  <c r="F1113" i="1"/>
  <c r="I1113" i="1" s="1"/>
  <c r="E1114" i="1" s="1"/>
  <c r="C2578" i="1" l="1"/>
  <c r="D2578" i="1" s="1"/>
  <c r="B2579" i="1"/>
  <c r="H1114" i="1"/>
  <c r="G1114" i="1"/>
  <c r="B2580" i="1" l="1"/>
  <c r="C2579" i="1"/>
  <c r="D2579" i="1" s="1"/>
  <c r="F1114" i="1"/>
  <c r="I1114" i="1" s="1"/>
  <c r="E1115" i="1" s="1"/>
  <c r="B2581" i="1" l="1"/>
  <c r="C2580" i="1"/>
  <c r="D2580" i="1" s="1"/>
  <c r="H1115" i="1"/>
  <c r="G1115" i="1"/>
  <c r="B2582" i="1" l="1"/>
  <c r="C2581" i="1"/>
  <c r="D2581" i="1" s="1"/>
  <c r="F1115" i="1"/>
  <c r="I1115" i="1" s="1"/>
  <c r="E1116" i="1" s="1"/>
  <c r="B2583" i="1" l="1"/>
  <c r="C2582" i="1"/>
  <c r="D2582" i="1" s="1"/>
  <c r="G1116" i="1"/>
  <c r="H1116" i="1"/>
  <c r="C2583" i="1" l="1"/>
  <c r="D2583" i="1" s="1"/>
  <c r="B2584" i="1"/>
  <c r="F1116" i="1"/>
  <c r="I1116" i="1" s="1"/>
  <c r="E1117" i="1" s="1"/>
  <c r="B2585" i="1" l="1"/>
  <c r="C2584" i="1"/>
  <c r="D2584" i="1" s="1"/>
  <c r="H1117" i="1"/>
  <c r="G1117" i="1"/>
  <c r="C2585" i="1" l="1"/>
  <c r="D2585" i="1" s="1"/>
  <c r="B2586" i="1"/>
  <c r="F1117" i="1"/>
  <c r="I1117" i="1" s="1"/>
  <c r="E1118" i="1" s="1"/>
  <c r="B2587" i="1" l="1"/>
  <c r="C2586" i="1"/>
  <c r="D2586" i="1" s="1"/>
  <c r="H1118" i="1"/>
  <c r="G1118" i="1"/>
  <c r="C2587" i="1" l="1"/>
  <c r="D2587" i="1" s="1"/>
  <c r="B2588" i="1"/>
  <c r="F1118" i="1"/>
  <c r="I1118" i="1" s="1"/>
  <c r="E1119" i="1" s="1"/>
  <c r="C2588" i="1" l="1"/>
  <c r="D2588" i="1" s="1"/>
  <c r="B2589" i="1"/>
  <c r="G1119" i="1"/>
  <c r="H1119" i="1"/>
  <c r="B2590" i="1" l="1"/>
  <c r="C2589" i="1"/>
  <c r="D2589" i="1" s="1"/>
  <c r="F1119" i="1"/>
  <c r="I1119" i="1" s="1"/>
  <c r="E1120" i="1" s="1"/>
  <c r="C2590" i="1" l="1"/>
  <c r="D2590" i="1" s="1"/>
  <c r="B2591" i="1"/>
  <c r="H1120" i="1"/>
  <c r="G1120" i="1"/>
  <c r="C2591" i="1" l="1"/>
  <c r="D2591" i="1" s="1"/>
  <c r="B2592" i="1"/>
  <c r="F1120" i="1"/>
  <c r="I1120" i="1" s="1"/>
  <c r="E1121" i="1" s="1"/>
  <c r="C2592" i="1" l="1"/>
  <c r="D2592" i="1" s="1"/>
  <c r="B2593" i="1"/>
  <c r="G1121" i="1"/>
  <c r="H1121" i="1"/>
  <c r="C2593" i="1" l="1"/>
  <c r="D2593" i="1" s="1"/>
  <c r="B2594" i="1"/>
  <c r="F1121" i="1"/>
  <c r="I1121" i="1" s="1"/>
  <c r="E1122" i="1" s="1"/>
  <c r="C2594" i="1" l="1"/>
  <c r="D2594" i="1" s="1"/>
  <c r="B2595" i="1"/>
  <c r="H1122" i="1"/>
  <c r="G1122" i="1"/>
  <c r="B2596" i="1" l="1"/>
  <c r="C2595" i="1"/>
  <c r="D2595" i="1" s="1"/>
  <c r="F1122" i="1"/>
  <c r="I1122" i="1" s="1"/>
  <c r="E1123" i="1" s="1"/>
  <c r="C2596" i="1" l="1"/>
  <c r="D2596" i="1" s="1"/>
  <c r="B2597" i="1"/>
  <c r="H1123" i="1"/>
  <c r="G1123" i="1"/>
  <c r="C2597" i="1" l="1"/>
  <c r="D2597" i="1" s="1"/>
  <c r="B2598" i="1"/>
  <c r="F1123" i="1"/>
  <c r="I1123" i="1" s="1"/>
  <c r="E1124" i="1" s="1"/>
  <c r="C2598" i="1" l="1"/>
  <c r="D2598" i="1" s="1"/>
  <c r="B2599" i="1"/>
  <c r="G1124" i="1"/>
  <c r="H1124" i="1"/>
  <c r="C2599" i="1" l="1"/>
  <c r="D2599" i="1" s="1"/>
  <c r="B2600" i="1"/>
  <c r="F1124" i="1"/>
  <c r="C2600" i="1" l="1"/>
  <c r="D2600" i="1" s="1"/>
  <c r="B2601" i="1"/>
  <c r="I1124" i="1"/>
  <c r="E1125" i="1" s="1"/>
  <c r="C2601" i="1" l="1"/>
  <c r="D2601" i="1" s="1"/>
  <c r="B2602" i="1"/>
  <c r="G1125" i="1"/>
  <c r="H1125" i="1"/>
  <c r="C2602" i="1" l="1"/>
  <c r="D2602" i="1" s="1"/>
  <c r="B2603" i="1"/>
  <c r="F1125" i="1"/>
  <c r="I1125" i="1" s="1"/>
  <c r="E1126" i="1" s="1"/>
  <c r="C2603" i="1" l="1"/>
  <c r="D2603" i="1" s="1"/>
  <c r="B2604" i="1"/>
  <c r="H1126" i="1"/>
  <c r="G1126" i="1"/>
  <c r="C2604" i="1" l="1"/>
  <c r="D2604" i="1" s="1"/>
  <c r="B2605" i="1"/>
  <c r="F1126" i="1"/>
  <c r="I1126" i="1" s="1"/>
  <c r="E1127" i="1" s="1"/>
  <c r="B2606" i="1" l="1"/>
  <c r="C2605" i="1"/>
  <c r="D2605" i="1" s="1"/>
  <c r="H1127" i="1"/>
  <c r="G1127" i="1"/>
  <c r="B2607" i="1" l="1"/>
  <c r="C2606" i="1"/>
  <c r="D2606" i="1" s="1"/>
  <c r="F1127" i="1"/>
  <c r="C2607" i="1" l="1"/>
  <c r="D2607" i="1" s="1"/>
  <c r="B2608" i="1"/>
  <c r="I1127" i="1"/>
  <c r="E1128" i="1" s="1"/>
  <c r="C2608" i="1" l="1"/>
  <c r="D2608" i="1" s="1"/>
  <c r="B2609" i="1"/>
  <c r="G1128" i="1"/>
  <c r="H1128" i="1"/>
  <c r="C2609" i="1" l="1"/>
  <c r="D2609" i="1" s="1"/>
  <c r="B2610" i="1"/>
  <c r="F1128" i="1"/>
  <c r="I1128" i="1" s="1"/>
  <c r="E1129" i="1" s="1"/>
  <c r="C2610" i="1" l="1"/>
  <c r="D2610" i="1" s="1"/>
  <c r="B2611" i="1"/>
  <c r="G1129" i="1"/>
  <c r="H1129" i="1"/>
  <c r="C2611" i="1" l="1"/>
  <c r="D2611" i="1" s="1"/>
  <c r="B2612" i="1"/>
  <c r="F1129" i="1"/>
  <c r="I1129" i="1" s="1"/>
  <c r="E1130" i="1" s="1"/>
  <c r="C2612" i="1" l="1"/>
  <c r="D2612" i="1" s="1"/>
  <c r="B2613" i="1"/>
  <c r="G1130" i="1"/>
  <c r="H1130" i="1"/>
  <c r="C2613" i="1" l="1"/>
  <c r="D2613" i="1" s="1"/>
  <c r="B2614" i="1"/>
  <c r="F1130" i="1"/>
  <c r="I1130" i="1" s="1"/>
  <c r="E1131" i="1" s="1"/>
  <c r="C2614" i="1" l="1"/>
  <c r="D2614" i="1" s="1"/>
  <c r="B2615" i="1"/>
  <c r="H1131" i="1"/>
  <c r="G1131" i="1"/>
  <c r="C2615" i="1" l="1"/>
  <c r="D2615" i="1" s="1"/>
  <c r="B2616" i="1"/>
  <c r="F1131" i="1"/>
  <c r="I1131" i="1" s="1"/>
  <c r="E1132" i="1" s="1"/>
  <c r="C2616" i="1" l="1"/>
  <c r="D2616" i="1" s="1"/>
  <c r="B2617" i="1"/>
  <c r="G1132" i="1"/>
  <c r="H1132" i="1"/>
  <c r="C2617" i="1" l="1"/>
  <c r="D2617" i="1" s="1"/>
  <c r="B2618" i="1"/>
  <c r="F1132" i="1"/>
  <c r="I1132" i="1" s="1"/>
  <c r="E1133" i="1" s="1"/>
  <c r="B2619" i="1" l="1"/>
  <c r="C2618" i="1"/>
  <c r="D2618" i="1" s="1"/>
  <c r="H1133" i="1"/>
  <c r="G1133" i="1"/>
  <c r="C2619" i="1" l="1"/>
  <c r="D2619" i="1" s="1"/>
  <c r="B2620" i="1"/>
  <c r="F1133" i="1"/>
  <c r="C2620" i="1" l="1"/>
  <c r="D2620" i="1" s="1"/>
  <c r="B2621" i="1"/>
  <c r="I1133" i="1"/>
  <c r="E1134" i="1" s="1"/>
  <c r="B2622" i="1" l="1"/>
  <c r="C2621" i="1"/>
  <c r="D2621" i="1" s="1"/>
  <c r="H1134" i="1"/>
  <c r="G1134" i="1"/>
  <c r="F1134" i="1"/>
  <c r="B2623" i="1" l="1"/>
  <c r="C2622" i="1"/>
  <c r="D2622" i="1" s="1"/>
  <c r="I1134" i="1"/>
  <c r="E1135" i="1" s="1"/>
  <c r="C2623" i="1" l="1"/>
  <c r="D2623" i="1" s="1"/>
  <c r="B2624" i="1"/>
  <c r="G1135" i="1"/>
  <c r="H1135" i="1"/>
  <c r="C2624" i="1" l="1"/>
  <c r="D2624" i="1" s="1"/>
  <c r="B2625" i="1"/>
  <c r="F1135" i="1"/>
  <c r="I1135" i="1" s="1"/>
  <c r="E1136" i="1" s="1"/>
  <c r="B2626" i="1" l="1"/>
  <c r="C2625" i="1"/>
  <c r="D2625" i="1" s="1"/>
  <c r="G1136" i="1"/>
  <c r="H1136" i="1"/>
  <c r="B2627" i="1" l="1"/>
  <c r="C2626" i="1"/>
  <c r="D2626" i="1" s="1"/>
  <c r="F1136" i="1"/>
  <c r="I1136" i="1" s="1"/>
  <c r="E1137" i="1" s="1"/>
  <c r="C2627" i="1" l="1"/>
  <c r="D2627" i="1" s="1"/>
  <c r="B2628" i="1"/>
  <c r="H1137" i="1"/>
  <c r="G1137" i="1"/>
  <c r="C2628" i="1" l="1"/>
  <c r="D2628" i="1" s="1"/>
  <c r="B2629" i="1"/>
  <c r="F1137" i="1"/>
  <c r="B2630" i="1" l="1"/>
  <c r="C2629" i="1"/>
  <c r="D2629" i="1" s="1"/>
  <c r="I1137" i="1"/>
  <c r="E1138" i="1" s="1"/>
  <c r="C2630" i="1" l="1"/>
  <c r="D2630" i="1" s="1"/>
  <c r="B2631" i="1"/>
  <c r="G1138" i="1"/>
  <c r="H1138" i="1"/>
  <c r="C2631" i="1" l="1"/>
  <c r="D2631" i="1" s="1"/>
  <c r="B2632" i="1"/>
  <c r="F1138" i="1"/>
  <c r="I1138" i="1" s="1"/>
  <c r="E1139" i="1" s="1"/>
  <c r="B2633" i="1" l="1"/>
  <c r="C2632" i="1"/>
  <c r="D2632" i="1" s="1"/>
  <c r="G1139" i="1"/>
  <c r="H1139" i="1"/>
  <c r="C2633" i="1" l="1"/>
  <c r="D2633" i="1" s="1"/>
  <c r="B2634" i="1"/>
  <c r="F1139" i="1"/>
  <c r="I1139" i="1" s="1"/>
  <c r="E1140" i="1" s="1"/>
  <c r="C2634" i="1" l="1"/>
  <c r="D2634" i="1" s="1"/>
  <c r="B2635" i="1"/>
  <c r="H1140" i="1"/>
  <c r="G1140" i="1"/>
  <c r="B2636" i="1" l="1"/>
  <c r="C2635" i="1"/>
  <c r="D2635" i="1" s="1"/>
  <c r="F1140" i="1"/>
  <c r="I1140" i="1" s="1"/>
  <c r="E1141" i="1" s="1"/>
  <c r="B2637" i="1" l="1"/>
  <c r="C2636" i="1"/>
  <c r="D2636" i="1" s="1"/>
  <c r="H1141" i="1"/>
  <c r="G1141" i="1"/>
  <c r="C2637" i="1" l="1"/>
  <c r="D2637" i="1" s="1"/>
  <c r="B2638" i="1"/>
  <c r="F1141" i="1"/>
  <c r="I1141" i="1" s="1"/>
  <c r="E1142" i="1" s="1"/>
  <c r="C2638" i="1" l="1"/>
  <c r="D2638" i="1" s="1"/>
  <c r="B2639" i="1"/>
  <c r="H1142" i="1"/>
  <c r="G1142" i="1"/>
  <c r="C2639" i="1" l="1"/>
  <c r="D2639" i="1" s="1"/>
  <c r="B2640" i="1"/>
  <c r="F1142" i="1"/>
  <c r="I1142" i="1" s="1"/>
  <c r="E1143" i="1" s="1"/>
  <c r="C2640" i="1" l="1"/>
  <c r="D2640" i="1" s="1"/>
  <c r="B2641" i="1"/>
  <c r="H1143" i="1"/>
  <c r="G1143" i="1"/>
  <c r="B2642" i="1" l="1"/>
  <c r="C2641" i="1"/>
  <c r="D2641" i="1" s="1"/>
  <c r="F1143" i="1"/>
  <c r="I1143" i="1" s="1"/>
  <c r="E1144" i="1" s="1"/>
  <c r="B2643" i="1" l="1"/>
  <c r="C2642" i="1"/>
  <c r="D2642" i="1" s="1"/>
  <c r="G1144" i="1"/>
  <c r="H1144" i="1"/>
  <c r="B2644" i="1" l="1"/>
  <c r="C2643" i="1"/>
  <c r="D2643" i="1" s="1"/>
  <c r="F1144" i="1"/>
  <c r="I1144" i="1" s="1"/>
  <c r="E1145" i="1" s="1"/>
  <c r="B2645" i="1" l="1"/>
  <c r="C2644" i="1"/>
  <c r="D2644" i="1" s="1"/>
  <c r="H1145" i="1"/>
  <c r="G1145" i="1"/>
  <c r="B2646" i="1" l="1"/>
  <c r="C2645" i="1"/>
  <c r="D2645" i="1" s="1"/>
  <c r="F1145" i="1"/>
  <c r="C2646" i="1" l="1"/>
  <c r="D2646" i="1" s="1"/>
  <c r="B2647" i="1"/>
  <c r="I1145" i="1"/>
  <c r="E1146" i="1" s="1"/>
  <c r="C2647" i="1" l="1"/>
  <c r="D2647" i="1" s="1"/>
  <c r="B2648" i="1"/>
  <c r="G1146" i="1"/>
  <c r="H1146" i="1"/>
  <c r="F1146" i="1" s="1"/>
  <c r="B2649" i="1" l="1"/>
  <c r="C2648" i="1"/>
  <c r="D2648" i="1" s="1"/>
  <c r="I1146" i="1"/>
  <c r="E1147" i="1" s="1"/>
  <c r="C2649" i="1" l="1"/>
  <c r="D2649" i="1" s="1"/>
  <c r="B2650" i="1"/>
  <c r="H1147" i="1"/>
  <c r="G1147" i="1"/>
  <c r="C2650" i="1" l="1"/>
  <c r="D2650" i="1" s="1"/>
  <c r="B2651" i="1"/>
  <c r="F1147" i="1"/>
  <c r="I1147" i="1" s="1"/>
  <c r="E1148" i="1" s="1"/>
  <c r="B2652" i="1" l="1"/>
  <c r="C2651" i="1"/>
  <c r="D2651" i="1" s="1"/>
  <c r="H1148" i="1"/>
  <c r="G1148" i="1"/>
  <c r="C2652" i="1" l="1"/>
  <c r="D2652" i="1" s="1"/>
  <c r="B2653" i="1"/>
  <c r="F1148" i="1"/>
  <c r="I1148" i="1" s="1"/>
  <c r="E1149" i="1" s="1"/>
  <c r="C2653" i="1" l="1"/>
  <c r="D2653" i="1" s="1"/>
  <c r="B2654" i="1"/>
  <c r="H1149" i="1"/>
  <c r="G1149" i="1"/>
  <c r="C2654" i="1" l="1"/>
  <c r="D2654" i="1" s="1"/>
  <c r="B2655" i="1"/>
  <c r="F1149" i="1"/>
  <c r="I1149" i="1" s="1"/>
  <c r="E1150" i="1" s="1"/>
  <c r="C2655" i="1" l="1"/>
  <c r="D2655" i="1" s="1"/>
  <c r="B2656" i="1"/>
  <c r="H1150" i="1"/>
  <c r="G1150" i="1"/>
  <c r="B2657" i="1" l="1"/>
  <c r="C2656" i="1"/>
  <c r="D2656" i="1" s="1"/>
  <c r="F1150" i="1"/>
  <c r="I1150" i="1" s="1"/>
  <c r="E1151" i="1" s="1"/>
  <c r="C2657" i="1" l="1"/>
  <c r="D2657" i="1" s="1"/>
  <c r="B2658" i="1"/>
  <c r="G1151" i="1"/>
  <c r="H1151" i="1"/>
  <c r="C2658" i="1" l="1"/>
  <c r="D2658" i="1" s="1"/>
  <c r="B2659" i="1"/>
  <c r="F1151" i="1"/>
  <c r="I1151" i="1" s="1"/>
  <c r="E1152" i="1" s="1"/>
  <c r="C2659" i="1" l="1"/>
  <c r="D2659" i="1" s="1"/>
  <c r="B2660" i="1"/>
  <c r="G1152" i="1"/>
  <c r="H1152" i="1"/>
  <c r="C2660" i="1" l="1"/>
  <c r="D2660" i="1" s="1"/>
  <c r="B2661" i="1"/>
  <c r="F1152" i="1"/>
  <c r="C2661" i="1" l="1"/>
  <c r="D2661" i="1" s="1"/>
  <c r="B2662" i="1"/>
  <c r="I1152" i="1"/>
  <c r="E1153" i="1" s="1"/>
  <c r="B2663" i="1" l="1"/>
  <c r="C2662" i="1"/>
  <c r="D2662" i="1" s="1"/>
  <c r="G1153" i="1"/>
  <c r="H1153" i="1"/>
  <c r="C2663" i="1" l="1"/>
  <c r="D2663" i="1" s="1"/>
  <c r="B2664" i="1"/>
  <c r="F1153" i="1"/>
  <c r="I1153" i="1" s="1"/>
  <c r="E1154" i="1" s="1"/>
  <c r="C2664" i="1" l="1"/>
  <c r="D2664" i="1" s="1"/>
  <c r="B2665" i="1"/>
  <c r="H1154" i="1"/>
  <c r="G1154" i="1"/>
  <c r="C2665" i="1" l="1"/>
  <c r="D2665" i="1" s="1"/>
  <c r="B2666" i="1"/>
  <c r="F1154" i="1"/>
  <c r="I1154" i="1" s="1"/>
  <c r="E1155" i="1" s="1"/>
  <c r="B2667" i="1" l="1"/>
  <c r="C2666" i="1"/>
  <c r="D2666" i="1" s="1"/>
  <c r="G1155" i="1"/>
  <c r="H1155" i="1"/>
  <c r="C2667" i="1" l="1"/>
  <c r="D2667" i="1" s="1"/>
  <c r="B2668" i="1"/>
  <c r="F1155" i="1"/>
  <c r="I1155" i="1" s="1"/>
  <c r="E1156" i="1" s="1"/>
  <c r="C2668" i="1" l="1"/>
  <c r="D2668" i="1" s="1"/>
  <c r="B2669" i="1"/>
  <c r="H1156" i="1"/>
  <c r="G1156" i="1"/>
  <c r="C2669" i="1" l="1"/>
  <c r="D2669" i="1" s="1"/>
  <c r="B2670" i="1"/>
  <c r="F1156" i="1"/>
  <c r="I1156" i="1" s="1"/>
  <c r="E1157" i="1" s="1"/>
  <c r="C2670" i="1" l="1"/>
  <c r="D2670" i="1" s="1"/>
  <c r="B2671" i="1"/>
  <c r="H1157" i="1"/>
  <c r="G1157" i="1"/>
  <c r="C2671" i="1" l="1"/>
  <c r="D2671" i="1" s="1"/>
  <c r="B2672" i="1"/>
  <c r="F1157" i="1"/>
  <c r="I1157" i="1" s="1"/>
  <c r="E1158" i="1" s="1"/>
  <c r="C2672" i="1" l="1"/>
  <c r="D2672" i="1" s="1"/>
  <c r="B2673" i="1"/>
  <c r="H1158" i="1"/>
  <c r="G1158" i="1"/>
  <c r="C2673" i="1" l="1"/>
  <c r="D2673" i="1" s="1"/>
  <c r="B2674" i="1"/>
  <c r="F1158" i="1"/>
  <c r="I1158" i="1" s="1"/>
  <c r="E1159" i="1" s="1"/>
  <c r="B2675" i="1" l="1"/>
  <c r="C2674" i="1"/>
  <c r="D2674" i="1" s="1"/>
  <c r="H1159" i="1"/>
  <c r="G1159" i="1"/>
  <c r="C2675" i="1" l="1"/>
  <c r="D2675" i="1" s="1"/>
  <c r="B2676" i="1"/>
  <c r="F1159" i="1"/>
  <c r="I1159" i="1" s="1"/>
  <c r="E1160" i="1" s="1"/>
  <c r="C2676" i="1" l="1"/>
  <c r="D2676" i="1" s="1"/>
  <c r="B2677" i="1"/>
  <c r="H1160" i="1"/>
  <c r="G1160" i="1"/>
  <c r="C2677" i="1" l="1"/>
  <c r="D2677" i="1" s="1"/>
  <c r="B2678" i="1"/>
  <c r="F1160" i="1"/>
  <c r="I1160" i="1" s="1"/>
  <c r="E1161" i="1" s="1"/>
  <c r="C2678" i="1" l="1"/>
  <c r="D2678" i="1" s="1"/>
  <c r="B2679" i="1"/>
  <c r="G1161" i="1"/>
  <c r="H1161" i="1"/>
  <c r="B2680" i="1" l="1"/>
  <c r="C2679" i="1"/>
  <c r="D2679" i="1" s="1"/>
  <c r="F1161" i="1"/>
  <c r="I1161" i="1" s="1"/>
  <c r="E1162" i="1" s="1"/>
  <c r="C2680" i="1" l="1"/>
  <c r="D2680" i="1" s="1"/>
  <c r="B2681" i="1"/>
  <c r="H1162" i="1"/>
  <c r="G1162" i="1"/>
  <c r="B2682" i="1" l="1"/>
  <c r="C2681" i="1"/>
  <c r="D2681" i="1" s="1"/>
  <c r="F1162" i="1"/>
  <c r="B2683" i="1" l="1"/>
  <c r="C2682" i="1"/>
  <c r="D2682" i="1" s="1"/>
  <c r="I1162" i="1"/>
  <c r="E1163" i="1" s="1"/>
  <c r="C2683" i="1" l="1"/>
  <c r="D2683" i="1" s="1"/>
  <c r="B2684" i="1"/>
  <c r="H1163" i="1"/>
  <c r="F1163" i="1" s="1"/>
  <c r="G1163" i="1"/>
  <c r="C2684" i="1" l="1"/>
  <c r="D2684" i="1" s="1"/>
  <c r="B2685" i="1"/>
  <c r="I1163" i="1"/>
  <c r="E1164" i="1" s="1"/>
  <c r="C2685" i="1" l="1"/>
  <c r="D2685" i="1" s="1"/>
  <c r="B2686" i="1"/>
  <c r="H1164" i="1"/>
  <c r="G1164" i="1"/>
  <c r="B2687" i="1" l="1"/>
  <c r="C2686" i="1"/>
  <c r="D2686" i="1" s="1"/>
  <c r="F1164" i="1"/>
  <c r="I1164" i="1" s="1"/>
  <c r="E1165" i="1" s="1"/>
  <c r="C2687" i="1" l="1"/>
  <c r="D2687" i="1" s="1"/>
  <c r="B2688" i="1"/>
  <c r="H1165" i="1"/>
  <c r="G1165" i="1"/>
  <c r="B2689" i="1" l="1"/>
  <c r="C2688" i="1"/>
  <c r="D2688" i="1" s="1"/>
  <c r="F1165" i="1"/>
  <c r="I1165" i="1" s="1"/>
  <c r="E1166" i="1" s="1"/>
  <c r="C2689" i="1" l="1"/>
  <c r="D2689" i="1" s="1"/>
  <c r="B2690" i="1"/>
  <c r="H1166" i="1"/>
  <c r="G1166" i="1"/>
  <c r="C2690" i="1" l="1"/>
  <c r="D2690" i="1" s="1"/>
  <c r="B2691" i="1"/>
  <c r="F1166" i="1"/>
  <c r="I1166" i="1" s="1"/>
  <c r="E1167" i="1" s="1"/>
  <c r="B2692" i="1" l="1"/>
  <c r="C2691" i="1"/>
  <c r="D2691" i="1" s="1"/>
  <c r="G1167" i="1"/>
  <c r="H1167" i="1"/>
  <c r="B2693" i="1" l="1"/>
  <c r="C2692" i="1"/>
  <c r="D2692" i="1" s="1"/>
  <c r="F1167" i="1"/>
  <c r="I1167" i="1" s="1"/>
  <c r="E1168" i="1" s="1"/>
  <c r="B2694" i="1" l="1"/>
  <c r="C2693" i="1"/>
  <c r="D2693" i="1" s="1"/>
  <c r="H1168" i="1"/>
  <c r="G1168" i="1"/>
  <c r="C2694" i="1" l="1"/>
  <c r="D2694" i="1" s="1"/>
  <c r="B2695" i="1"/>
  <c r="F1168" i="1"/>
  <c r="I1168" i="1" s="1"/>
  <c r="E1169" i="1" s="1"/>
  <c r="C2695" i="1" l="1"/>
  <c r="D2695" i="1" s="1"/>
  <c r="B2696" i="1"/>
  <c r="H1169" i="1"/>
  <c r="G1169" i="1"/>
  <c r="B2697" i="1" l="1"/>
  <c r="C2696" i="1"/>
  <c r="D2696" i="1" s="1"/>
  <c r="F1169" i="1"/>
  <c r="I1169" i="1" s="1"/>
  <c r="E1170" i="1" s="1"/>
  <c r="C2697" i="1" l="1"/>
  <c r="D2697" i="1" s="1"/>
  <c r="B2698" i="1"/>
  <c r="G1170" i="1"/>
  <c r="H1170" i="1"/>
  <c r="B2699" i="1" l="1"/>
  <c r="C2698" i="1"/>
  <c r="D2698" i="1" s="1"/>
  <c r="F1170" i="1"/>
  <c r="I1170" i="1" s="1"/>
  <c r="E1171" i="1" s="1"/>
  <c r="B2700" i="1" l="1"/>
  <c r="C2699" i="1"/>
  <c r="D2699" i="1" s="1"/>
  <c r="H1171" i="1"/>
  <c r="G1171" i="1"/>
  <c r="B2701" i="1" l="1"/>
  <c r="C2700" i="1"/>
  <c r="D2700" i="1" s="1"/>
  <c r="F1171" i="1"/>
  <c r="I1171" i="1" s="1"/>
  <c r="E1172" i="1" s="1"/>
  <c r="C2701" i="1" l="1"/>
  <c r="D2701" i="1" s="1"/>
  <c r="B2702" i="1"/>
  <c r="H1172" i="1"/>
  <c r="G1172" i="1"/>
  <c r="C2702" i="1" l="1"/>
  <c r="D2702" i="1" s="1"/>
  <c r="B2703" i="1"/>
  <c r="F1172" i="1"/>
  <c r="I1172" i="1" s="1"/>
  <c r="E1173" i="1" s="1"/>
  <c r="B2704" i="1" l="1"/>
  <c r="C2703" i="1"/>
  <c r="D2703" i="1" s="1"/>
  <c r="G1173" i="1"/>
  <c r="H1173" i="1"/>
  <c r="C2704" i="1" l="1"/>
  <c r="D2704" i="1" s="1"/>
  <c r="B2705" i="1"/>
  <c r="F1173" i="1"/>
  <c r="I1173" i="1" s="1"/>
  <c r="E1174" i="1" s="1"/>
  <c r="B2706" i="1" l="1"/>
  <c r="C2705" i="1"/>
  <c r="D2705" i="1" s="1"/>
  <c r="H1174" i="1"/>
  <c r="G1174" i="1"/>
  <c r="C2706" i="1" l="1"/>
  <c r="D2706" i="1" s="1"/>
  <c r="B2707" i="1"/>
  <c r="F1174" i="1"/>
  <c r="I1174" i="1" s="1"/>
  <c r="E1175" i="1" s="1"/>
  <c r="C2707" i="1" l="1"/>
  <c r="D2707" i="1" s="1"/>
  <c r="B2708" i="1"/>
  <c r="H1175" i="1"/>
  <c r="G1175" i="1"/>
  <c r="C2708" i="1" l="1"/>
  <c r="D2708" i="1" s="1"/>
  <c r="B2709" i="1"/>
  <c r="F1175" i="1"/>
  <c r="I1175" i="1" s="1"/>
  <c r="E1176" i="1" s="1"/>
  <c r="C2709" i="1" l="1"/>
  <c r="D2709" i="1" s="1"/>
  <c r="B2710" i="1"/>
  <c r="H1176" i="1"/>
  <c r="G1176" i="1"/>
  <c r="B2711" i="1" l="1"/>
  <c r="C2710" i="1"/>
  <c r="D2710" i="1" s="1"/>
  <c r="F1176" i="1"/>
  <c r="I1176" i="1" s="1"/>
  <c r="E1177" i="1" s="1"/>
  <c r="C2711" i="1" l="1"/>
  <c r="D2711" i="1" s="1"/>
  <c r="B2712" i="1"/>
  <c r="H1177" i="1"/>
  <c r="G1177" i="1"/>
  <c r="C2712" i="1" l="1"/>
  <c r="D2712" i="1" s="1"/>
  <c r="B2713" i="1"/>
  <c r="F1177" i="1"/>
  <c r="I1177" i="1" s="1"/>
  <c r="E1178" i="1" s="1"/>
  <c r="C2713" i="1" l="1"/>
  <c r="D2713" i="1" s="1"/>
  <c r="B2714" i="1"/>
  <c r="G1178" i="1"/>
  <c r="H1178" i="1"/>
  <c r="C2714" i="1" l="1"/>
  <c r="D2714" i="1" s="1"/>
  <c r="B2715" i="1"/>
  <c r="F1178" i="1"/>
  <c r="I1178" i="1" s="1"/>
  <c r="E1179" i="1" s="1"/>
  <c r="C2715" i="1" l="1"/>
  <c r="D2715" i="1" s="1"/>
  <c r="B2716" i="1"/>
  <c r="G1179" i="1"/>
  <c r="H1179" i="1"/>
  <c r="C2716" i="1" l="1"/>
  <c r="D2716" i="1" s="1"/>
  <c r="B2717" i="1"/>
  <c r="F1179" i="1"/>
  <c r="I1179" i="1" s="1"/>
  <c r="E1180" i="1" s="1"/>
  <c r="C2717" i="1" l="1"/>
  <c r="D2717" i="1" s="1"/>
  <c r="B2718" i="1"/>
  <c r="H1180" i="1"/>
  <c r="G1180" i="1"/>
  <c r="C2718" i="1" l="1"/>
  <c r="D2718" i="1" s="1"/>
  <c r="B2719" i="1"/>
  <c r="F1180" i="1"/>
  <c r="I1180" i="1" s="1"/>
  <c r="E1181" i="1" s="1"/>
  <c r="B2720" i="1" l="1"/>
  <c r="C2719" i="1"/>
  <c r="D2719" i="1" s="1"/>
  <c r="H1181" i="1"/>
  <c r="G1181" i="1"/>
  <c r="C2720" i="1" l="1"/>
  <c r="D2720" i="1" s="1"/>
  <c r="B2721" i="1"/>
  <c r="F1181" i="1"/>
  <c r="I1181" i="1" s="1"/>
  <c r="E1182" i="1" s="1"/>
  <c r="C2721" i="1" l="1"/>
  <c r="D2721" i="1" s="1"/>
  <c r="B2722" i="1"/>
  <c r="H1182" i="1"/>
  <c r="G1182" i="1"/>
  <c r="C2722" i="1" l="1"/>
  <c r="D2722" i="1" s="1"/>
  <c r="B2723" i="1"/>
  <c r="F1182" i="1"/>
  <c r="I1182" i="1" s="1"/>
  <c r="E1183" i="1" s="1"/>
  <c r="C2723" i="1" l="1"/>
  <c r="D2723" i="1" s="1"/>
  <c r="B2724" i="1"/>
  <c r="H1183" i="1"/>
  <c r="G1183" i="1"/>
  <c r="C2724" i="1" l="1"/>
  <c r="D2724" i="1" s="1"/>
  <c r="B2725" i="1"/>
  <c r="F1183" i="1"/>
  <c r="I1183" i="1" s="1"/>
  <c r="E1184" i="1" s="1"/>
  <c r="C2725" i="1" l="1"/>
  <c r="D2725" i="1" s="1"/>
  <c r="B2726" i="1"/>
  <c r="H1184" i="1"/>
  <c r="G1184" i="1"/>
  <c r="B2727" i="1" l="1"/>
  <c r="C2726" i="1"/>
  <c r="D2726" i="1" s="1"/>
  <c r="F1184" i="1"/>
  <c r="I1184" i="1" s="1"/>
  <c r="E1185" i="1" s="1"/>
  <c r="B2728" i="1" l="1"/>
  <c r="C2727" i="1"/>
  <c r="D2727" i="1" s="1"/>
  <c r="H1185" i="1"/>
  <c r="G1185" i="1"/>
  <c r="C2728" i="1" l="1"/>
  <c r="D2728" i="1" s="1"/>
  <c r="B2729" i="1"/>
  <c r="F1185" i="1"/>
  <c r="I1185" i="1" s="1"/>
  <c r="E1186" i="1" s="1"/>
  <c r="C2729" i="1" l="1"/>
  <c r="D2729" i="1" s="1"/>
  <c r="B2730" i="1"/>
  <c r="G1186" i="1"/>
  <c r="H1186" i="1"/>
  <c r="C2730" i="1" l="1"/>
  <c r="D2730" i="1" s="1"/>
  <c r="B2731" i="1"/>
  <c r="F1186" i="1"/>
  <c r="I1186" i="1" s="1"/>
  <c r="E1187" i="1" s="1"/>
  <c r="B2732" i="1" l="1"/>
  <c r="C2731" i="1"/>
  <c r="D2731" i="1" s="1"/>
  <c r="H1187" i="1"/>
  <c r="G1187" i="1"/>
  <c r="C2732" i="1" l="1"/>
  <c r="D2732" i="1" s="1"/>
  <c r="B2733" i="1"/>
  <c r="F1187" i="1"/>
  <c r="I1187" i="1" s="1"/>
  <c r="E1188" i="1" s="1"/>
  <c r="C2733" i="1" l="1"/>
  <c r="D2733" i="1" s="1"/>
  <c r="B2734" i="1"/>
  <c r="G1188" i="1"/>
  <c r="H1188" i="1"/>
  <c r="C2734" i="1" l="1"/>
  <c r="D2734" i="1" s="1"/>
  <c r="B2735" i="1"/>
  <c r="F1188" i="1"/>
  <c r="I1188" i="1" s="1"/>
  <c r="E1189" i="1" s="1"/>
  <c r="C2735" i="1" l="1"/>
  <c r="D2735" i="1" s="1"/>
  <c r="B2736" i="1"/>
  <c r="H1189" i="1"/>
  <c r="G1189" i="1"/>
  <c r="C2736" i="1" l="1"/>
  <c r="D2736" i="1" s="1"/>
  <c r="B2737" i="1"/>
  <c r="F1189" i="1"/>
  <c r="I1189" i="1" s="1"/>
  <c r="E1190" i="1" s="1"/>
  <c r="C2737" i="1" l="1"/>
  <c r="D2737" i="1" s="1"/>
  <c r="B2738" i="1"/>
  <c r="H1190" i="1"/>
  <c r="G1190" i="1"/>
  <c r="B2739" i="1" l="1"/>
  <c r="C2738" i="1"/>
  <c r="D2738" i="1" s="1"/>
  <c r="F1190" i="1"/>
  <c r="I1190" i="1" s="1"/>
  <c r="E1191" i="1" s="1"/>
  <c r="C2739" i="1" l="1"/>
  <c r="D2739" i="1" s="1"/>
  <c r="B2740" i="1"/>
  <c r="G1191" i="1"/>
  <c r="H1191" i="1"/>
  <c r="C2740" i="1" l="1"/>
  <c r="D2740" i="1" s="1"/>
  <c r="B2741" i="1"/>
  <c r="F1191" i="1"/>
  <c r="I1191" i="1" s="1"/>
  <c r="E1192" i="1" s="1"/>
  <c r="B2742" i="1" l="1"/>
  <c r="C2741" i="1"/>
  <c r="D2741" i="1" s="1"/>
  <c r="G1192" i="1"/>
  <c r="H1192" i="1"/>
  <c r="C2742" i="1" l="1"/>
  <c r="B2743" i="1"/>
  <c r="F1192" i="1"/>
  <c r="I1192" i="1" s="1"/>
  <c r="E1193" i="1" s="1"/>
  <c r="B2744" i="1" l="1"/>
  <c r="C2743" i="1"/>
  <c r="D2743" i="1" s="1"/>
  <c r="D2742" i="1"/>
  <c r="H1193" i="1"/>
  <c r="G1193" i="1"/>
  <c r="C2744" i="1" l="1"/>
  <c r="D2744" i="1" s="1"/>
  <c r="B2745" i="1"/>
  <c r="F1193" i="1"/>
  <c r="I1193" i="1" s="1"/>
  <c r="E1194" i="1" s="1"/>
  <c r="C2745" i="1" l="1"/>
  <c r="D2745" i="1" s="1"/>
  <c r="B2746" i="1"/>
  <c r="G1194" i="1"/>
  <c r="H1194" i="1"/>
  <c r="B2747" i="1" l="1"/>
  <c r="C2746" i="1"/>
  <c r="D2746" i="1" s="1"/>
  <c r="F1194" i="1"/>
  <c r="C2747" i="1" l="1"/>
  <c r="D2747" i="1" s="1"/>
  <c r="B2748" i="1"/>
  <c r="I1194" i="1"/>
  <c r="E1195" i="1" s="1"/>
  <c r="B2749" i="1" l="1"/>
  <c r="C2748" i="1"/>
  <c r="D2748" i="1" s="1"/>
  <c r="H1195" i="1"/>
  <c r="G1195" i="1"/>
  <c r="F1195" i="1"/>
  <c r="C2749" i="1" l="1"/>
  <c r="D2749" i="1" s="1"/>
  <c r="B2750" i="1"/>
  <c r="I1195" i="1"/>
  <c r="E1196" i="1" s="1"/>
  <c r="C2750" i="1" l="1"/>
  <c r="D2750" i="1" s="1"/>
  <c r="B2751" i="1"/>
  <c r="H1196" i="1"/>
  <c r="G1196" i="1"/>
  <c r="C2751" i="1" l="1"/>
  <c r="D2751" i="1" s="1"/>
  <c r="B2752" i="1"/>
  <c r="F1196" i="1"/>
  <c r="I1196" i="1" s="1"/>
  <c r="E1197" i="1" s="1"/>
  <c r="C2752" i="1" l="1"/>
  <c r="D2752" i="1" s="1"/>
  <c r="B2753" i="1"/>
  <c r="G1197" i="1"/>
  <c r="H1197" i="1"/>
  <c r="C2753" i="1" l="1"/>
  <c r="D2753" i="1" s="1"/>
  <c r="B2754" i="1"/>
  <c r="F1197" i="1"/>
  <c r="I1197" i="1" s="1"/>
  <c r="E1198" i="1" s="1"/>
  <c r="C2754" i="1" l="1"/>
  <c r="D2754" i="1" s="1"/>
  <c r="B2755" i="1"/>
  <c r="G1198" i="1"/>
  <c r="H1198" i="1"/>
  <c r="C2755" i="1" l="1"/>
  <c r="D2755" i="1" s="1"/>
  <c r="B2756" i="1"/>
  <c r="F1198" i="1"/>
  <c r="C2756" i="1" l="1"/>
  <c r="D2756" i="1" s="1"/>
  <c r="B2757" i="1"/>
  <c r="I1198" i="1"/>
  <c r="E1199" i="1" s="1"/>
  <c r="C2757" i="1" l="1"/>
  <c r="D2757" i="1" s="1"/>
  <c r="B2758" i="1"/>
  <c r="H1199" i="1"/>
  <c r="G1199" i="1"/>
  <c r="F1199" i="1"/>
  <c r="C2758" i="1" l="1"/>
  <c r="D2758" i="1" s="1"/>
  <c r="B2759" i="1"/>
  <c r="I1199" i="1"/>
  <c r="E1200" i="1" s="1"/>
  <c r="C2759" i="1" l="1"/>
  <c r="D2759" i="1" s="1"/>
  <c r="B2760" i="1"/>
  <c r="H1200" i="1"/>
  <c r="G1200" i="1"/>
  <c r="B2761" i="1" l="1"/>
  <c r="C2760" i="1"/>
  <c r="D2760" i="1" s="1"/>
  <c r="F1200" i="1"/>
  <c r="I1200" i="1" s="1"/>
  <c r="E1201" i="1" s="1"/>
  <c r="B2762" i="1" l="1"/>
  <c r="C2761" i="1"/>
  <c r="D2761" i="1" s="1"/>
  <c r="G1201" i="1"/>
  <c r="H1201" i="1"/>
  <c r="B2763" i="1" l="1"/>
  <c r="C2762" i="1"/>
  <c r="D2762" i="1" s="1"/>
  <c r="F1201" i="1"/>
  <c r="I1201" i="1" s="1"/>
  <c r="E1202" i="1" s="1"/>
  <c r="B2764" i="1" l="1"/>
  <c r="C2763" i="1"/>
  <c r="D2763" i="1" s="1"/>
  <c r="H1202" i="1"/>
  <c r="G1202" i="1"/>
  <c r="B2765" i="1" l="1"/>
  <c r="C2764" i="1"/>
  <c r="D2764" i="1" s="1"/>
  <c r="F1202" i="1"/>
  <c r="I1202" i="1" s="1"/>
  <c r="E1203" i="1" s="1"/>
  <c r="C2765" i="1" l="1"/>
  <c r="D2765" i="1" s="1"/>
  <c r="B2766" i="1"/>
  <c r="G1203" i="1"/>
  <c r="H1203" i="1"/>
  <c r="C2766" i="1" l="1"/>
  <c r="D2766" i="1" s="1"/>
  <c r="B2767" i="1"/>
  <c r="F1203" i="1"/>
  <c r="I1203" i="1" s="1"/>
  <c r="E1204" i="1" s="1"/>
  <c r="C2767" i="1" l="1"/>
  <c r="D2767" i="1" s="1"/>
  <c r="B2768" i="1"/>
  <c r="G1204" i="1"/>
  <c r="H1204" i="1"/>
  <c r="C2768" i="1" l="1"/>
  <c r="D2768" i="1" s="1"/>
  <c r="B2769" i="1"/>
  <c r="F1204" i="1"/>
  <c r="I1204" i="1" s="1"/>
  <c r="E1205" i="1" s="1"/>
  <c r="C2769" i="1" l="1"/>
  <c r="D2769" i="1" s="1"/>
  <c r="B2770" i="1"/>
  <c r="H1205" i="1"/>
  <c r="G1205" i="1"/>
  <c r="C2770" i="1" l="1"/>
  <c r="D2770" i="1" s="1"/>
  <c r="B2771" i="1"/>
  <c r="F1205" i="1"/>
  <c r="I1205" i="1" s="1"/>
  <c r="E1206" i="1" s="1"/>
  <c r="B2772" i="1" l="1"/>
  <c r="C2771" i="1"/>
  <c r="D2771" i="1" s="1"/>
  <c r="H1206" i="1"/>
  <c r="G1206" i="1"/>
  <c r="C2772" i="1" l="1"/>
  <c r="D2772" i="1" s="1"/>
  <c r="B2773" i="1"/>
  <c r="F1206" i="1"/>
  <c r="I1206" i="1" s="1"/>
  <c r="E1207" i="1" s="1"/>
  <c r="C2773" i="1" l="1"/>
  <c r="D2773" i="1" s="1"/>
  <c r="B2774" i="1"/>
  <c r="G1207" i="1"/>
  <c r="H1207" i="1"/>
  <c r="C2774" i="1" l="1"/>
  <c r="D2774" i="1" s="1"/>
  <c r="B2775" i="1"/>
  <c r="F1207" i="1"/>
  <c r="I1207" i="1" s="1"/>
  <c r="E1208" i="1" s="1"/>
  <c r="C2775" i="1" l="1"/>
  <c r="D2775" i="1" s="1"/>
  <c r="B2776" i="1"/>
  <c r="H1208" i="1"/>
  <c r="G1208" i="1"/>
  <c r="C2776" i="1" l="1"/>
  <c r="D2776" i="1" s="1"/>
  <c r="B2777" i="1"/>
  <c r="F1208" i="1"/>
  <c r="B2778" i="1" l="1"/>
  <c r="C2777" i="1"/>
  <c r="D2777" i="1" s="1"/>
  <c r="I1208" i="1"/>
  <c r="E1209" i="1" s="1"/>
  <c r="C2778" i="1" l="1"/>
  <c r="D2778" i="1" s="1"/>
  <c r="B2779" i="1"/>
  <c r="G1209" i="1"/>
  <c r="H1209" i="1"/>
  <c r="C2779" i="1" l="1"/>
  <c r="D2779" i="1" s="1"/>
  <c r="B2780" i="1"/>
  <c r="F1209" i="1"/>
  <c r="I1209" i="1" s="1"/>
  <c r="E1210" i="1" s="1"/>
  <c r="C2780" i="1" l="1"/>
  <c r="D2780" i="1" s="1"/>
  <c r="B2781" i="1"/>
  <c r="H1210" i="1"/>
  <c r="G1210" i="1"/>
  <c r="B2782" i="1" l="1"/>
  <c r="C2781" i="1"/>
  <c r="D2781" i="1" s="1"/>
  <c r="F1210" i="1"/>
  <c r="C2782" i="1" l="1"/>
  <c r="D2782" i="1" s="1"/>
  <c r="B2783" i="1"/>
  <c r="I1210" i="1"/>
  <c r="E1211" i="1" s="1"/>
  <c r="C2783" i="1" l="1"/>
  <c r="D2783" i="1" s="1"/>
  <c r="B2784" i="1"/>
  <c r="H1211" i="1"/>
  <c r="G1211" i="1"/>
  <c r="F1211" i="1"/>
  <c r="C2784" i="1" l="1"/>
  <c r="D2784" i="1" s="1"/>
  <c r="B2785" i="1"/>
  <c r="I1211" i="1"/>
  <c r="E1212" i="1" s="1"/>
  <c r="C2785" i="1" l="1"/>
  <c r="D2785" i="1" s="1"/>
  <c r="B2786" i="1"/>
  <c r="H1212" i="1"/>
  <c r="G1212" i="1"/>
  <c r="F1212" i="1"/>
  <c r="C2786" i="1" l="1"/>
  <c r="D2786" i="1" s="1"/>
  <c r="B2787" i="1"/>
  <c r="I1212" i="1"/>
  <c r="E1213" i="1" s="1"/>
  <c r="B2788" i="1" l="1"/>
  <c r="C2787" i="1"/>
  <c r="D2787" i="1" s="1"/>
  <c r="H1213" i="1"/>
  <c r="F1213" i="1" s="1"/>
  <c r="G1213" i="1"/>
  <c r="B2789" i="1" l="1"/>
  <c r="C2788" i="1"/>
  <c r="D2788" i="1" s="1"/>
  <c r="I1213" i="1"/>
  <c r="E1214" i="1" s="1"/>
  <c r="B2790" i="1" l="1"/>
  <c r="C2789" i="1"/>
  <c r="D2789" i="1" s="1"/>
  <c r="G1214" i="1"/>
  <c r="H1214" i="1"/>
  <c r="C2790" i="1" l="1"/>
  <c r="D2790" i="1" s="1"/>
  <c r="B2791" i="1"/>
  <c r="F1214" i="1"/>
  <c r="I1214" i="1" s="1"/>
  <c r="E1215" i="1" s="1"/>
  <c r="C2791" i="1" l="1"/>
  <c r="D2791" i="1" s="1"/>
  <c r="B2792" i="1"/>
  <c r="G1215" i="1"/>
  <c r="H1215" i="1"/>
  <c r="C2792" i="1" l="1"/>
  <c r="D2792" i="1" s="1"/>
  <c r="B2793" i="1"/>
  <c r="F1215" i="1"/>
  <c r="I1215" i="1" s="1"/>
  <c r="E1216" i="1" s="1"/>
  <c r="C2793" i="1" l="1"/>
  <c r="D2793" i="1" s="1"/>
  <c r="B2794" i="1"/>
  <c r="G1216" i="1"/>
  <c r="H1216" i="1"/>
  <c r="C2794" i="1" l="1"/>
  <c r="D2794" i="1" s="1"/>
  <c r="B2795" i="1"/>
  <c r="F1216" i="1"/>
  <c r="I1216" i="1" s="1"/>
  <c r="E1217" i="1" s="1"/>
  <c r="C2795" i="1" l="1"/>
  <c r="D2795" i="1" s="1"/>
  <c r="B2796" i="1"/>
  <c r="G1217" i="1"/>
  <c r="H1217" i="1"/>
  <c r="C2796" i="1" l="1"/>
  <c r="D2796" i="1" s="1"/>
  <c r="B2797" i="1"/>
  <c r="F1217" i="1"/>
  <c r="C2797" i="1" l="1"/>
  <c r="D2797" i="1" s="1"/>
  <c r="B2798" i="1"/>
  <c r="I1217" i="1"/>
  <c r="E1218" i="1" s="1"/>
  <c r="C2798" i="1" l="1"/>
  <c r="D2798" i="1" s="1"/>
  <c r="B2799" i="1"/>
  <c r="H1218" i="1"/>
  <c r="G1218" i="1"/>
  <c r="F1218" i="1"/>
  <c r="B2800" i="1" l="1"/>
  <c r="C2799" i="1"/>
  <c r="D2799" i="1" s="1"/>
  <c r="I1218" i="1"/>
  <c r="E1219" i="1" s="1"/>
  <c r="C2800" i="1" l="1"/>
  <c r="D2800" i="1" s="1"/>
  <c r="B2801" i="1"/>
  <c r="H1219" i="1"/>
  <c r="F1219" i="1" s="1"/>
  <c r="I1219" i="1" s="1"/>
  <c r="E1220" i="1" s="1"/>
  <c r="G1219" i="1"/>
  <c r="C2801" i="1" l="1"/>
  <c r="D2801" i="1" s="1"/>
  <c r="B2802" i="1"/>
  <c r="H1220" i="1"/>
  <c r="G1220" i="1"/>
  <c r="B2803" i="1" l="1"/>
  <c r="C2802" i="1"/>
  <c r="D2802" i="1" s="1"/>
  <c r="F1220" i="1"/>
  <c r="C2803" i="1" l="1"/>
  <c r="D2803" i="1" s="1"/>
  <c r="B2804" i="1"/>
  <c r="I1220" i="1"/>
  <c r="E1221" i="1" s="1"/>
  <c r="C2804" i="1" l="1"/>
  <c r="D2804" i="1" s="1"/>
  <c r="B2805" i="1"/>
  <c r="H1221" i="1"/>
  <c r="G1221" i="1"/>
  <c r="F1221" i="1"/>
  <c r="B2806" i="1" l="1"/>
  <c r="C2805" i="1"/>
  <c r="D2805" i="1" s="1"/>
  <c r="I1221" i="1"/>
  <c r="E1222" i="1" s="1"/>
  <c r="B2807" i="1" l="1"/>
  <c r="C2806" i="1"/>
  <c r="D2806" i="1" s="1"/>
  <c r="G1222" i="1"/>
  <c r="H1222" i="1"/>
  <c r="C2807" i="1" l="1"/>
  <c r="D2807" i="1" s="1"/>
  <c r="B2808" i="1"/>
  <c r="F1222" i="1"/>
  <c r="I1222" i="1" s="1"/>
  <c r="E1223" i="1" s="1"/>
  <c r="C2808" i="1" l="1"/>
  <c r="D2808" i="1" s="1"/>
  <c r="B2809" i="1"/>
  <c r="G1223" i="1"/>
  <c r="H1223" i="1"/>
  <c r="B2810" i="1" l="1"/>
  <c r="C2809" i="1"/>
  <c r="D2809" i="1" s="1"/>
  <c r="F1223" i="1"/>
  <c r="I1223" i="1" s="1"/>
  <c r="E1224" i="1" s="1"/>
  <c r="C2810" i="1" l="1"/>
  <c r="D2810" i="1" s="1"/>
  <c r="B2811" i="1"/>
  <c r="H1224" i="1"/>
  <c r="G1224" i="1"/>
  <c r="C2811" i="1" l="1"/>
  <c r="D2811" i="1" s="1"/>
  <c r="B2812" i="1"/>
  <c r="F1224" i="1"/>
  <c r="I1224" i="1" s="1"/>
  <c r="E1225" i="1" s="1"/>
  <c r="B2813" i="1" l="1"/>
  <c r="C2812" i="1"/>
  <c r="D2812" i="1" s="1"/>
  <c r="G1225" i="1"/>
  <c r="H1225" i="1"/>
  <c r="B2814" i="1" l="1"/>
  <c r="C2813" i="1"/>
  <c r="D2813" i="1" s="1"/>
  <c r="F1225" i="1"/>
  <c r="I1225" i="1" s="1"/>
  <c r="E1226" i="1" s="1"/>
  <c r="B2815" i="1" l="1"/>
  <c r="C2814" i="1"/>
  <c r="D2814" i="1" s="1"/>
  <c r="H1226" i="1"/>
  <c r="G1226" i="1"/>
  <c r="B2816" i="1" l="1"/>
  <c r="C2815" i="1"/>
  <c r="D2815" i="1" s="1"/>
  <c r="F1226" i="1"/>
  <c r="I1226" i="1" s="1"/>
  <c r="E1227" i="1" s="1"/>
  <c r="B2817" i="1" l="1"/>
  <c r="C2816" i="1"/>
  <c r="D2816" i="1" s="1"/>
  <c r="G1227" i="1"/>
  <c r="H1227" i="1"/>
  <c r="C2817" i="1" l="1"/>
  <c r="D2817" i="1" s="1"/>
  <c r="B2818" i="1"/>
  <c r="F1227" i="1"/>
  <c r="I1227" i="1" s="1"/>
  <c r="E1228" i="1" s="1"/>
  <c r="C2818" i="1" l="1"/>
  <c r="D2818" i="1" s="1"/>
  <c r="B2819" i="1"/>
  <c r="H1228" i="1"/>
  <c r="G1228" i="1"/>
  <c r="C2819" i="1" l="1"/>
  <c r="D2819" i="1" s="1"/>
  <c r="B2820" i="1"/>
  <c r="F1228" i="1"/>
  <c r="C2820" i="1" l="1"/>
  <c r="D2820" i="1" s="1"/>
  <c r="B2821" i="1"/>
  <c r="I1228" i="1"/>
  <c r="E1229" i="1" s="1"/>
  <c r="C2821" i="1" l="1"/>
  <c r="D2821" i="1" s="1"/>
  <c r="B2822" i="1"/>
  <c r="H1229" i="1"/>
  <c r="G1229" i="1"/>
  <c r="F1229" i="1"/>
  <c r="B2823" i="1" l="1"/>
  <c r="C2822" i="1"/>
  <c r="D2822" i="1" s="1"/>
  <c r="I1229" i="1"/>
  <c r="E1230" i="1" s="1"/>
  <c r="C2823" i="1" l="1"/>
  <c r="D2823" i="1" s="1"/>
  <c r="B2824" i="1"/>
  <c r="G1230" i="1"/>
  <c r="H1230" i="1"/>
  <c r="C2824" i="1" l="1"/>
  <c r="D2824" i="1" s="1"/>
  <c r="B2825" i="1"/>
  <c r="F1230" i="1"/>
  <c r="I1230" i="1" s="1"/>
  <c r="E1231" i="1" s="1"/>
  <c r="C2825" i="1" l="1"/>
  <c r="D2825" i="1" s="1"/>
  <c r="B2826" i="1"/>
  <c r="H1231" i="1"/>
  <c r="G1231" i="1"/>
  <c r="C2826" i="1" l="1"/>
  <c r="D2826" i="1" s="1"/>
  <c r="B2827" i="1"/>
  <c r="F1231" i="1"/>
  <c r="I1231" i="1" s="1"/>
  <c r="E1232" i="1" s="1"/>
  <c r="C2827" i="1" l="1"/>
  <c r="D2827" i="1" s="1"/>
  <c r="B2828" i="1"/>
  <c r="H1232" i="1"/>
  <c r="G1232" i="1"/>
  <c r="C2828" i="1" l="1"/>
  <c r="D2828" i="1" s="1"/>
  <c r="B2829" i="1"/>
  <c r="F1232" i="1"/>
  <c r="I1232" i="1" s="1"/>
  <c r="E1233" i="1" s="1"/>
  <c r="C2829" i="1" l="1"/>
  <c r="D2829" i="1" s="1"/>
  <c r="B2830" i="1"/>
  <c r="H1233" i="1"/>
  <c r="G1233" i="1"/>
  <c r="C2830" i="1" l="1"/>
  <c r="D2830" i="1" s="1"/>
  <c r="B2831" i="1"/>
  <c r="F1233" i="1"/>
  <c r="I1233" i="1" s="1"/>
  <c r="E1234" i="1" s="1"/>
  <c r="C2831" i="1" l="1"/>
  <c r="D2831" i="1" s="1"/>
  <c r="B2832" i="1"/>
  <c r="H1234" i="1"/>
  <c r="G1234" i="1"/>
  <c r="C2832" i="1" l="1"/>
  <c r="D2832" i="1" s="1"/>
  <c r="B2833" i="1"/>
  <c r="F1234" i="1"/>
  <c r="I1234" i="1" s="1"/>
  <c r="E1235" i="1" s="1"/>
  <c r="C2833" i="1" l="1"/>
  <c r="B2834" i="1"/>
  <c r="G1235" i="1"/>
  <c r="H1235" i="1"/>
  <c r="C2834" i="1" l="1"/>
  <c r="D2834" i="1" s="1"/>
  <c r="B2835" i="1"/>
  <c r="D2833" i="1"/>
  <c r="F1235" i="1"/>
  <c r="I1235" i="1" s="1"/>
  <c r="E1236" i="1" s="1"/>
  <c r="C2835" i="1" l="1"/>
  <c r="D2835" i="1" s="1"/>
  <c r="B2836" i="1"/>
  <c r="G1236" i="1"/>
  <c r="H1236" i="1"/>
  <c r="C2836" i="1" l="1"/>
  <c r="D2836" i="1" s="1"/>
  <c r="B2837" i="1"/>
  <c r="F1236" i="1"/>
  <c r="I1236" i="1" s="1"/>
  <c r="E1237" i="1" s="1"/>
  <c r="C2837" i="1" l="1"/>
  <c r="D2837" i="1" s="1"/>
  <c r="B2838" i="1"/>
  <c r="H1237" i="1"/>
  <c r="G1237" i="1"/>
  <c r="C2838" i="1" l="1"/>
  <c r="D2838" i="1" s="1"/>
  <c r="B2839" i="1"/>
  <c r="F1237" i="1"/>
  <c r="C2839" i="1" l="1"/>
  <c r="D2839" i="1" s="1"/>
  <c r="B2840" i="1"/>
  <c r="I1237" i="1"/>
  <c r="E1238" i="1" s="1"/>
  <c r="C2840" i="1" l="1"/>
  <c r="D2840" i="1" s="1"/>
  <c r="B2841" i="1"/>
  <c r="H1238" i="1"/>
  <c r="G1238" i="1"/>
  <c r="F1238" i="1"/>
  <c r="C2841" i="1" l="1"/>
  <c r="D2841" i="1" s="1"/>
  <c r="B2842" i="1"/>
  <c r="I1238" i="1"/>
  <c r="E1239" i="1" s="1"/>
  <c r="C2842" i="1" l="1"/>
  <c r="D2842" i="1" s="1"/>
  <c r="B2843" i="1"/>
  <c r="G1239" i="1"/>
  <c r="H1239" i="1"/>
  <c r="C2843" i="1" l="1"/>
  <c r="D2843" i="1" s="1"/>
  <c r="B2844" i="1"/>
  <c r="F1239" i="1"/>
  <c r="I1239" i="1" s="1"/>
  <c r="E1240" i="1" s="1"/>
  <c r="C2844" i="1" l="1"/>
  <c r="D2844" i="1" s="1"/>
  <c r="B2845" i="1"/>
  <c r="H1240" i="1"/>
  <c r="G1240" i="1"/>
  <c r="C2845" i="1" l="1"/>
  <c r="D2845" i="1" s="1"/>
  <c r="B2846" i="1"/>
  <c r="F1240" i="1"/>
  <c r="I1240" i="1" s="1"/>
  <c r="E1241" i="1" s="1"/>
  <c r="C2846" i="1" l="1"/>
  <c r="D2846" i="1" s="1"/>
  <c r="B2847" i="1"/>
  <c r="H1241" i="1"/>
  <c r="G1241" i="1"/>
  <c r="C2847" i="1" l="1"/>
  <c r="D2847" i="1" s="1"/>
  <c r="B2848" i="1"/>
  <c r="F1241" i="1"/>
  <c r="I1241" i="1" s="1"/>
  <c r="E1242" i="1" s="1"/>
  <c r="B2849" i="1" l="1"/>
  <c r="C2848" i="1"/>
  <c r="D2848" i="1" s="1"/>
  <c r="H1242" i="1"/>
  <c r="G1242" i="1"/>
  <c r="C2849" i="1" l="1"/>
  <c r="D2849" i="1" s="1"/>
  <c r="B2850" i="1"/>
  <c r="F1242" i="1"/>
  <c r="I1242" i="1" s="1"/>
  <c r="E1243" i="1" s="1"/>
  <c r="C2850" i="1" l="1"/>
  <c r="D2850" i="1" s="1"/>
  <c r="B2851" i="1"/>
  <c r="H1243" i="1"/>
  <c r="G1243" i="1"/>
  <c r="C2851" i="1" l="1"/>
  <c r="D2851" i="1" s="1"/>
  <c r="B2852" i="1"/>
  <c r="F1243" i="1"/>
  <c r="I1243" i="1" s="1"/>
  <c r="E1244" i="1" s="1"/>
  <c r="B2853" i="1" l="1"/>
  <c r="C2852" i="1"/>
  <c r="D2852" i="1" s="1"/>
  <c r="H1244" i="1"/>
  <c r="G1244" i="1"/>
  <c r="C2853" i="1" l="1"/>
  <c r="D2853" i="1" s="1"/>
  <c r="B2854" i="1"/>
  <c r="F1244" i="1"/>
  <c r="I1244" i="1" s="1"/>
  <c r="E1245" i="1" s="1"/>
  <c r="C2854" i="1" l="1"/>
  <c r="D2854" i="1" s="1"/>
  <c r="B2855" i="1"/>
  <c r="G1245" i="1"/>
  <c r="H1245" i="1"/>
  <c r="C2855" i="1" l="1"/>
  <c r="D2855" i="1" s="1"/>
  <c r="B2856" i="1"/>
  <c r="F1245" i="1"/>
  <c r="C2856" i="1" l="1"/>
  <c r="D2856" i="1" s="1"/>
  <c r="B2857" i="1"/>
  <c r="I1245" i="1"/>
  <c r="E1246" i="1" s="1"/>
  <c r="B2858" i="1" l="1"/>
  <c r="C2857" i="1"/>
  <c r="D2857" i="1" s="1"/>
  <c r="H1246" i="1"/>
  <c r="G1246" i="1"/>
  <c r="F1246" i="1"/>
  <c r="B2859" i="1" l="1"/>
  <c r="C2858" i="1"/>
  <c r="D2858" i="1" s="1"/>
  <c r="I1246" i="1"/>
  <c r="C2859" i="1" l="1"/>
  <c r="D2859" i="1" s="1"/>
  <c r="B2860" i="1"/>
  <c r="E1247" i="1"/>
  <c r="G1247" i="1" s="1"/>
  <c r="C2860" i="1" l="1"/>
  <c r="D2860" i="1" s="1"/>
  <c r="B2861" i="1"/>
  <c r="H1247" i="1"/>
  <c r="F1247" i="1" s="1"/>
  <c r="I1247" i="1" s="1"/>
  <c r="E1248" i="1" s="1"/>
  <c r="C2861" i="1" l="1"/>
  <c r="D2861" i="1" s="1"/>
  <c r="B2862" i="1"/>
  <c r="H1248" i="1"/>
  <c r="G1248" i="1"/>
  <c r="F1248" i="1"/>
  <c r="I1248" i="1" s="1"/>
  <c r="E1249" i="1" s="1"/>
  <c r="C2862" i="1" l="1"/>
  <c r="D2862" i="1" s="1"/>
  <c r="B2863" i="1"/>
  <c r="H1249" i="1"/>
  <c r="G1249" i="1"/>
  <c r="B2864" i="1" l="1"/>
  <c r="C2863" i="1"/>
  <c r="D2863" i="1" s="1"/>
  <c r="F1249" i="1"/>
  <c r="I1249" i="1" s="1"/>
  <c r="E1250" i="1" s="1"/>
  <c r="C2864" i="1" l="1"/>
  <c r="D2864" i="1" s="1"/>
  <c r="B2865" i="1"/>
  <c r="G1250" i="1"/>
  <c r="H1250" i="1"/>
  <c r="C2865" i="1" l="1"/>
  <c r="D2865" i="1" s="1"/>
  <c r="B2866" i="1"/>
  <c r="F1250" i="1"/>
  <c r="I1250" i="1" s="1"/>
  <c r="E1251" i="1" s="1"/>
  <c r="C2866" i="1" l="1"/>
  <c r="D2866" i="1" s="1"/>
  <c r="B2867" i="1"/>
  <c r="G1251" i="1"/>
  <c r="H1251" i="1"/>
  <c r="C2867" i="1" l="1"/>
  <c r="D2867" i="1" s="1"/>
  <c r="B2868" i="1"/>
  <c r="F1251" i="1"/>
  <c r="I1251" i="1" s="1"/>
  <c r="E1252" i="1" s="1"/>
  <c r="C2868" i="1" l="1"/>
  <c r="D2868" i="1" s="1"/>
  <c r="B2869" i="1"/>
  <c r="G1252" i="1"/>
  <c r="H1252" i="1"/>
  <c r="C2869" i="1" l="1"/>
  <c r="D2869" i="1" s="1"/>
  <c r="B2870" i="1"/>
  <c r="F1252" i="1"/>
  <c r="I1252" i="1" s="1"/>
  <c r="E1253" i="1" s="1"/>
  <c r="C2870" i="1" l="1"/>
  <c r="D2870" i="1" s="1"/>
  <c r="B2871" i="1"/>
  <c r="H1253" i="1"/>
  <c r="G1253" i="1"/>
  <c r="C2871" i="1" l="1"/>
  <c r="D2871" i="1" s="1"/>
  <c r="B2872" i="1"/>
  <c r="F1253" i="1"/>
  <c r="I1253" i="1" s="1"/>
  <c r="E1254" i="1" s="1"/>
  <c r="B2873" i="1" l="1"/>
  <c r="C2872" i="1"/>
  <c r="D2872" i="1" s="1"/>
  <c r="H1254" i="1"/>
  <c r="G1254" i="1"/>
  <c r="C2873" i="1" l="1"/>
  <c r="D2873" i="1" s="1"/>
  <c r="B2874" i="1"/>
  <c r="F1254" i="1"/>
  <c r="I1254" i="1" s="1"/>
  <c r="E1255" i="1" s="1"/>
  <c r="C2874" i="1" l="1"/>
  <c r="D2874" i="1" s="1"/>
  <c r="B2875" i="1"/>
  <c r="H1255" i="1"/>
  <c r="G1255" i="1"/>
  <c r="B2876" i="1" l="1"/>
  <c r="C2875" i="1"/>
  <c r="D2875" i="1" s="1"/>
  <c r="F1255" i="1"/>
  <c r="C2876" i="1" l="1"/>
  <c r="D2876" i="1" s="1"/>
  <c r="B2877" i="1"/>
  <c r="I1255" i="1"/>
  <c r="E1256" i="1" s="1"/>
  <c r="C2877" i="1" l="1"/>
  <c r="D2877" i="1" s="1"/>
  <c r="B2878" i="1"/>
  <c r="G1256" i="1"/>
  <c r="H1256" i="1"/>
  <c r="B2879" i="1" l="1"/>
  <c r="C2878" i="1"/>
  <c r="D2878" i="1" s="1"/>
  <c r="F1256" i="1"/>
  <c r="I1256" i="1" s="1"/>
  <c r="E1257" i="1" s="1"/>
  <c r="C2879" i="1" l="1"/>
  <c r="D2879" i="1" s="1"/>
  <c r="B2880" i="1"/>
  <c r="H1257" i="1"/>
  <c r="G1257" i="1"/>
  <c r="B2881" i="1" l="1"/>
  <c r="C2880" i="1"/>
  <c r="D2880" i="1" s="1"/>
  <c r="F1257" i="1"/>
  <c r="I1257" i="1" s="1"/>
  <c r="E1258" i="1" s="1"/>
  <c r="B2882" i="1" l="1"/>
  <c r="C2881" i="1"/>
  <c r="D2881" i="1" s="1"/>
  <c r="H1258" i="1"/>
  <c r="G1258" i="1"/>
  <c r="B2883" i="1" l="1"/>
  <c r="C2882" i="1"/>
  <c r="D2882" i="1" s="1"/>
  <c r="F1258" i="1"/>
  <c r="I1258" i="1" s="1"/>
  <c r="E1259" i="1" s="1"/>
  <c r="C2883" i="1" l="1"/>
  <c r="D2883" i="1" s="1"/>
  <c r="B2884" i="1"/>
  <c r="H1259" i="1"/>
  <c r="G1259" i="1"/>
  <c r="C2884" i="1" l="1"/>
  <c r="D2884" i="1" s="1"/>
  <c r="B2885" i="1"/>
  <c r="F1259" i="1"/>
  <c r="C2885" i="1" l="1"/>
  <c r="D2885" i="1" s="1"/>
  <c r="B2886" i="1"/>
  <c r="I1259" i="1"/>
  <c r="E1260" i="1" s="1"/>
  <c r="B2887" i="1" l="1"/>
  <c r="C2886" i="1"/>
  <c r="D2886" i="1" s="1"/>
  <c r="G1260" i="1"/>
  <c r="H1260" i="1"/>
  <c r="C2887" i="1" l="1"/>
  <c r="D2887" i="1" s="1"/>
  <c r="B2888" i="1"/>
  <c r="F1260" i="1"/>
  <c r="C2888" i="1" l="1"/>
  <c r="D2888" i="1" s="1"/>
  <c r="B2889" i="1"/>
  <c r="I1260" i="1"/>
  <c r="E1261" i="1" s="1"/>
  <c r="C2889" i="1" l="1"/>
  <c r="D2889" i="1" s="1"/>
  <c r="B2890" i="1"/>
  <c r="H1261" i="1"/>
  <c r="G1261" i="1"/>
  <c r="C2890" i="1" l="1"/>
  <c r="D2890" i="1" s="1"/>
  <c r="B2891" i="1"/>
  <c r="F1261" i="1"/>
  <c r="I1261" i="1" s="1"/>
  <c r="E1262" i="1" s="1"/>
  <c r="C2891" i="1" l="1"/>
  <c r="D2891" i="1" s="1"/>
  <c r="B2892" i="1"/>
  <c r="G1262" i="1"/>
  <c r="H1262" i="1"/>
  <c r="B2893" i="1" l="1"/>
  <c r="C2892" i="1"/>
  <c r="D2892" i="1" s="1"/>
  <c r="F1262" i="1"/>
  <c r="I1262" i="1" s="1"/>
  <c r="E1263" i="1" s="1"/>
  <c r="C2893" i="1" l="1"/>
  <c r="D2893" i="1" s="1"/>
  <c r="B2894" i="1"/>
  <c r="G1263" i="1"/>
  <c r="H1263" i="1"/>
  <c r="B2895" i="1" l="1"/>
  <c r="C2894" i="1"/>
  <c r="D2894" i="1" s="1"/>
  <c r="F1263" i="1"/>
  <c r="I1263" i="1" s="1"/>
  <c r="E1264" i="1" s="1"/>
  <c r="C2895" i="1" l="1"/>
  <c r="D2895" i="1" s="1"/>
  <c r="B2896" i="1"/>
  <c r="H1264" i="1"/>
  <c r="G1264" i="1"/>
  <c r="B2897" i="1" l="1"/>
  <c r="C2896" i="1"/>
  <c r="D2896" i="1" s="1"/>
  <c r="F1264" i="1"/>
  <c r="I1264" i="1" s="1"/>
  <c r="E1265" i="1" s="1"/>
  <c r="B2898" i="1" l="1"/>
  <c r="C2897" i="1"/>
  <c r="D2897" i="1" s="1"/>
  <c r="H1265" i="1"/>
  <c r="G1265" i="1"/>
  <c r="C2898" i="1" l="1"/>
  <c r="D2898" i="1" s="1"/>
  <c r="B2899" i="1"/>
  <c r="F1265" i="1"/>
  <c r="I1265" i="1" s="1"/>
  <c r="E1266" i="1" s="1"/>
  <c r="B2900" i="1" l="1"/>
  <c r="C2899" i="1"/>
  <c r="D2899" i="1" s="1"/>
  <c r="G1266" i="1"/>
  <c r="H1266" i="1"/>
  <c r="C2900" i="1" l="1"/>
  <c r="D2900" i="1" s="1"/>
  <c r="B2901" i="1"/>
  <c r="F1266" i="1"/>
  <c r="I1266" i="1" s="1"/>
  <c r="E1267" i="1" s="1"/>
  <c r="C2901" i="1" l="1"/>
  <c r="D2901" i="1" s="1"/>
  <c r="B2902" i="1"/>
  <c r="G1267" i="1"/>
  <c r="H1267" i="1"/>
  <c r="C2902" i="1" l="1"/>
  <c r="D2902" i="1" s="1"/>
  <c r="B2903" i="1"/>
  <c r="F1267" i="1"/>
  <c r="I1267" i="1" s="1"/>
  <c r="E1268" i="1" s="1"/>
  <c r="C2903" i="1" l="1"/>
  <c r="D2903" i="1" s="1"/>
  <c r="B2904" i="1"/>
  <c r="G1268" i="1"/>
  <c r="H1268" i="1"/>
  <c r="C2904" i="1" l="1"/>
  <c r="D2904" i="1" s="1"/>
  <c r="B2905" i="1"/>
  <c r="F1268" i="1"/>
  <c r="I1268" i="1" s="1"/>
  <c r="E1269" i="1" s="1"/>
  <c r="C2905" i="1" l="1"/>
  <c r="D2905" i="1" s="1"/>
  <c r="B2906" i="1"/>
  <c r="H1269" i="1"/>
  <c r="G1269" i="1"/>
  <c r="B2907" i="1" l="1"/>
  <c r="C2906" i="1"/>
  <c r="D2906" i="1" s="1"/>
  <c r="F1269" i="1"/>
  <c r="I1269" i="1" s="1"/>
  <c r="E1270" i="1" s="1"/>
  <c r="C2907" i="1" l="1"/>
  <c r="D2907" i="1" s="1"/>
  <c r="B2908" i="1"/>
  <c r="G1270" i="1"/>
  <c r="H1270" i="1"/>
  <c r="B2909" i="1" l="1"/>
  <c r="C2908" i="1"/>
  <c r="D2908" i="1" s="1"/>
  <c r="F1270" i="1"/>
  <c r="I1270" i="1" s="1"/>
  <c r="E1271" i="1" s="1"/>
  <c r="C2909" i="1" l="1"/>
  <c r="D2909" i="1" s="1"/>
  <c r="B2910" i="1"/>
  <c r="G1271" i="1"/>
  <c r="H1271" i="1"/>
  <c r="C2910" i="1" l="1"/>
  <c r="D2910" i="1" s="1"/>
  <c r="B2911" i="1"/>
  <c r="F1271" i="1"/>
  <c r="I1271" i="1" s="1"/>
  <c r="E1272" i="1" s="1"/>
  <c r="B2912" i="1" l="1"/>
  <c r="C2911" i="1"/>
  <c r="D2911" i="1" s="1"/>
  <c r="G1272" i="1"/>
  <c r="H1272" i="1"/>
  <c r="C2912" i="1" l="1"/>
  <c r="D2912" i="1" s="1"/>
  <c r="B2913" i="1"/>
  <c r="F1272" i="1"/>
  <c r="I1272" i="1" s="1"/>
  <c r="E1273" i="1" s="1"/>
  <c r="B2914" i="1" l="1"/>
  <c r="C2913" i="1"/>
  <c r="D2913" i="1" s="1"/>
  <c r="H1273" i="1"/>
  <c r="G1273" i="1"/>
  <c r="C2914" i="1" l="1"/>
  <c r="D2914" i="1" s="1"/>
  <c r="B2915" i="1"/>
  <c r="F1273" i="1"/>
  <c r="I1273" i="1" s="1"/>
  <c r="E1274" i="1" s="1"/>
  <c r="B2916" i="1" l="1"/>
  <c r="C2915" i="1"/>
  <c r="D2915" i="1" s="1"/>
  <c r="H1274" i="1"/>
  <c r="G1274" i="1"/>
  <c r="C2916" i="1" l="1"/>
  <c r="D2916" i="1" s="1"/>
  <c r="B2917" i="1"/>
  <c r="F1274" i="1"/>
  <c r="I1274" i="1" s="1"/>
  <c r="E1275" i="1" s="1"/>
  <c r="B2918" i="1" l="1"/>
  <c r="C2917" i="1"/>
  <c r="D2917" i="1" s="1"/>
  <c r="G1275" i="1"/>
  <c r="H1275" i="1"/>
  <c r="C2918" i="1" l="1"/>
  <c r="D2918" i="1" s="1"/>
  <c r="B2919" i="1"/>
  <c r="F1275" i="1"/>
  <c r="I1275" i="1" s="1"/>
  <c r="E1276" i="1" s="1"/>
  <c r="B2920" i="1" l="1"/>
  <c r="C2919" i="1"/>
  <c r="D2919" i="1" s="1"/>
  <c r="G1276" i="1"/>
  <c r="H1276" i="1"/>
  <c r="C2920" i="1" l="1"/>
  <c r="D2920" i="1" s="1"/>
  <c r="B2921" i="1"/>
  <c r="F1276" i="1"/>
  <c r="I1276" i="1" s="1"/>
  <c r="E1277" i="1" s="1"/>
  <c r="C2921" i="1" l="1"/>
  <c r="D2921" i="1" s="1"/>
  <c r="B2922" i="1"/>
  <c r="G1277" i="1"/>
  <c r="H1277" i="1"/>
  <c r="C2922" i="1" l="1"/>
  <c r="D2922" i="1" s="1"/>
  <c r="B2923" i="1"/>
  <c r="F1277" i="1"/>
  <c r="I1277" i="1" s="1"/>
  <c r="E1278" i="1" s="1"/>
  <c r="B2924" i="1" l="1"/>
  <c r="C2923" i="1"/>
  <c r="D2923" i="1" s="1"/>
  <c r="H1278" i="1"/>
  <c r="G1278" i="1"/>
  <c r="C2924" i="1" l="1"/>
  <c r="D2924" i="1" s="1"/>
  <c r="B2925" i="1"/>
  <c r="F1278" i="1"/>
  <c r="C2925" i="1" l="1"/>
  <c r="D2925" i="1" s="1"/>
  <c r="B2926" i="1"/>
  <c r="I1278" i="1"/>
  <c r="E1279" i="1" s="1"/>
  <c r="B2927" i="1" l="1"/>
  <c r="C2926" i="1"/>
  <c r="D2926" i="1" s="1"/>
  <c r="H1279" i="1"/>
  <c r="F1279" i="1" s="1"/>
  <c r="G1279" i="1"/>
  <c r="C2927" i="1" l="1"/>
  <c r="D2927" i="1" s="1"/>
  <c r="B2928" i="1"/>
  <c r="I1279" i="1"/>
  <c r="E1280" i="1" s="1"/>
  <c r="C2928" i="1" l="1"/>
  <c r="D2928" i="1" s="1"/>
  <c r="B2929" i="1"/>
  <c r="H1280" i="1"/>
  <c r="G1280" i="1"/>
  <c r="B2930" i="1" l="1"/>
  <c r="C2929" i="1"/>
  <c r="D2929" i="1" s="1"/>
  <c r="F1280" i="1"/>
  <c r="I1280" i="1" s="1"/>
  <c r="E1281" i="1" s="1"/>
  <c r="B2931" i="1" l="1"/>
  <c r="C2930" i="1"/>
  <c r="D2930" i="1" s="1"/>
  <c r="G1281" i="1"/>
  <c r="H1281" i="1"/>
  <c r="C2931" i="1" l="1"/>
  <c r="D2931" i="1" s="1"/>
  <c r="B2932" i="1"/>
  <c r="F1281" i="1"/>
  <c r="I1281" i="1" s="1"/>
  <c r="E1282" i="1" s="1"/>
  <c r="C2932" i="1" l="1"/>
  <c r="D2932" i="1" s="1"/>
  <c r="B2933" i="1"/>
  <c r="G1282" i="1"/>
  <c r="H1282" i="1"/>
  <c r="C2933" i="1" l="1"/>
  <c r="D2933" i="1" s="1"/>
  <c r="B2934" i="1"/>
  <c r="F1282" i="1"/>
  <c r="C2934" i="1" l="1"/>
  <c r="D2934" i="1" s="1"/>
  <c r="B2935" i="1"/>
  <c r="I1282" i="1"/>
  <c r="E1283" i="1" s="1"/>
  <c r="B2936" i="1" l="1"/>
  <c r="C2935" i="1"/>
  <c r="D2935" i="1" s="1"/>
  <c r="G1283" i="1"/>
  <c r="H1283" i="1"/>
  <c r="C2936" i="1" l="1"/>
  <c r="D2936" i="1" s="1"/>
  <c r="B2937" i="1"/>
  <c r="F1283" i="1"/>
  <c r="I1283" i="1" s="1"/>
  <c r="E1284" i="1" s="1"/>
  <c r="B2938" i="1" l="1"/>
  <c r="C2937" i="1"/>
  <c r="D2937" i="1" s="1"/>
  <c r="H1284" i="1"/>
  <c r="G1284" i="1"/>
  <c r="B2939" i="1" l="1"/>
  <c r="C2938" i="1"/>
  <c r="D2938" i="1" s="1"/>
  <c r="F1284" i="1"/>
  <c r="I1284" i="1" s="1"/>
  <c r="E1285" i="1" s="1"/>
  <c r="B2940" i="1" l="1"/>
  <c r="C2939" i="1"/>
  <c r="D2939" i="1" s="1"/>
  <c r="H1285" i="1"/>
  <c r="G1285" i="1"/>
  <c r="C2940" i="1" l="1"/>
  <c r="D2940" i="1" s="1"/>
  <c r="B2941" i="1"/>
  <c r="F1285" i="1"/>
  <c r="I1285" i="1" s="1"/>
  <c r="E1286" i="1" s="1"/>
  <c r="B2942" i="1" l="1"/>
  <c r="C2941" i="1"/>
  <c r="D2941" i="1" s="1"/>
  <c r="G1286" i="1"/>
  <c r="H1286" i="1"/>
  <c r="C2942" i="1" l="1"/>
  <c r="D2942" i="1" s="1"/>
  <c r="B2943" i="1"/>
  <c r="F1286" i="1"/>
  <c r="B2944" i="1" l="1"/>
  <c r="C2943" i="1"/>
  <c r="D2943" i="1" s="1"/>
  <c r="I1286" i="1"/>
  <c r="E1287" i="1" s="1"/>
  <c r="C2944" i="1" l="1"/>
  <c r="D2944" i="1" s="1"/>
  <c r="B2945" i="1"/>
  <c r="G1287" i="1"/>
  <c r="H1287" i="1"/>
  <c r="B2946" i="1" l="1"/>
  <c r="C2945" i="1"/>
  <c r="D2945" i="1" s="1"/>
  <c r="F1287" i="1"/>
  <c r="C2946" i="1" l="1"/>
  <c r="D2946" i="1" s="1"/>
  <c r="B2947" i="1"/>
  <c r="I1287" i="1"/>
  <c r="E1288" i="1" s="1"/>
  <c r="C2947" i="1" l="1"/>
  <c r="D2947" i="1" s="1"/>
  <c r="B2948" i="1"/>
  <c r="G1288" i="1"/>
  <c r="H1288" i="1"/>
  <c r="C2948" i="1" l="1"/>
  <c r="D2948" i="1" s="1"/>
  <c r="B2949" i="1"/>
  <c r="F1288" i="1"/>
  <c r="I1288" i="1" s="1"/>
  <c r="E1289" i="1" s="1"/>
  <c r="C2949" i="1" l="1"/>
  <c r="D2949" i="1" s="1"/>
  <c r="B2950" i="1"/>
  <c r="H1289" i="1"/>
  <c r="G1289" i="1"/>
  <c r="F1289" i="1"/>
  <c r="C2950" i="1" l="1"/>
  <c r="D2950" i="1" s="1"/>
  <c r="B2951" i="1"/>
  <c r="I1289" i="1"/>
  <c r="E1290" i="1" s="1"/>
  <c r="C2951" i="1" l="1"/>
  <c r="D2951" i="1" s="1"/>
  <c r="B2952" i="1"/>
  <c r="H1290" i="1"/>
  <c r="G1290" i="1"/>
  <c r="C2952" i="1" l="1"/>
  <c r="D2952" i="1" s="1"/>
  <c r="B2953" i="1"/>
  <c r="F1290" i="1"/>
  <c r="I1290" i="1" s="1"/>
  <c r="E1291" i="1" s="1"/>
  <c r="C2953" i="1" l="1"/>
  <c r="D2953" i="1" s="1"/>
  <c r="B2954" i="1"/>
  <c r="H1291" i="1"/>
  <c r="G1291" i="1"/>
  <c r="C2954" i="1" l="1"/>
  <c r="D2954" i="1" s="1"/>
  <c r="B2955" i="1"/>
  <c r="F1291" i="1"/>
  <c r="I1291" i="1" s="1"/>
  <c r="E1292" i="1" s="1"/>
  <c r="C2955" i="1" l="1"/>
  <c r="D2955" i="1" s="1"/>
  <c r="B2956" i="1"/>
  <c r="H1292" i="1"/>
  <c r="G1292" i="1"/>
  <c r="C2956" i="1" l="1"/>
  <c r="D2956" i="1" s="1"/>
  <c r="B2957" i="1"/>
  <c r="F1292" i="1"/>
  <c r="C2957" i="1" l="1"/>
  <c r="D2957" i="1" s="1"/>
  <c r="B2958" i="1"/>
  <c r="I1292" i="1"/>
  <c r="E1293" i="1" s="1"/>
  <c r="C2958" i="1" l="1"/>
  <c r="D2958" i="1" s="1"/>
  <c r="B2959" i="1"/>
  <c r="H1293" i="1"/>
  <c r="F1293" i="1" s="1"/>
  <c r="G1293" i="1"/>
  <c r="C2959" i="1" l="1"/>
  <c r="D2959" i="1" s="1"/>
  <c r="B2960" i="1"/>
  <c r="I1293" i="1"/>
  <c r="E1294" i="1" s="1"/>
  <c r="C2960" i="1" l="1"/>
  <c r="D2960" i="1" s="1"/>
  <c r="B2961" i="1"/>
  <c r="H1294" i="1"/>
  <c r="G1294" i="1"/>
  <c r="B2962" i="1" l="1"/>
  <c r="C2961" i="1"/>
  <c r="D2961" i="1" s="1"/>
  <c r="F1294" i="1"/>
  <c r="C2962" i="1" l="1"/>
  <c r="D2962" i="1" s="1"/>
  <c r="B2963" i="1"/>
  <c r="I1294" i="1"/>
  <c r="E1295" i="1" s="1"/>
  <c r="C2963" i="1" l="1"/>
  <c r="D2963" i="1" s="1"/>
  <c r="B2964" i="1"/>
  <c r="H1295" i="1"/>
  <c r="G1295" i="1"/>
  <c r="F1295" i="1"/>
  <c r="C2964" i="1" l="1"/>
  <c r="D2964" i="1" s="1"/>
  <c r="B2965" i="1"/>
  <c r="I1295" i="1"/>
  <c r="B2966" i="1" l="1"/>
  <c r="C2965" i="1"/>
  <c r="D2965" i="1" s="1"/>
  <c r="E1296" i="1"/>
  <c r="B2967" i="1" l="1"/>
  <c r="C2966" i="1"/>
  <c r="D2966" i="1" s="1"/>
  <c r="G1296" i="1"/>
  <c r="H1296" i="1"/>
  <c r="F1296" i="1" s="1"/>
  <c r="I1296" i="1" s="1"/>
  <c r="E1297" i="1" s="1"/>
  <c r="B2968" i="1" l="1"/>
  <c r="C2967" i="1"/>
  <c r="D2967" i="1" s="1"/>
  <c r="G1297" i="1"/>
  <c r="H1297" i="1"/>
  <c r="F1297" i="1" s="1"/>
  <c r="B2969" i="1" l="1"/>
  <c r="C2968" i="1"/>
  <c r="D2968" i="1" s="1"/>
  <c r="I1297" i="1"/>
  <c r="E1298" i="1" s="1"/>
  <c r="C2969" i="1" l="1"/>
  <c r="D2969" i="1" s="1"/>
  <c r="B2970" i="1"/>
  <c r="G1298" i="1"/>
  <c r="H1298" i="1"/>
  <c r="B2971" i="1" l="1"/>
  <c r="C2970" i="1"/>
  <c r="D2970" i="1" s="1"/>
  <c r="F1298" i="1"/>
  <c r="I1298" i="1" s="1"/>
  <c r="E1299" i="1" s="1"/>
  <c r="C2971" i="1" l="1"/>
  <c r="D2971" i="1" s="1"/>
  <c r="B2972" i="1"/>
  <c r="C2972" i="1" s="1"/>
  <c r="D2972" i="1" s="1"/>
  <c r="H1299" i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F1340" i="1" s="1"/>
  <c r="G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N8" i="2" l="1"/>
  <c r="O8" i="2" s="1"/>
  <c r="L8" i="2" s="1"/>
  <c r="M8" i="2" s="1"/>
  <c r="H8" i="2"/>
  <c r="I8" i="2" s="1"/>
  <c r="S8" i="2"/>
  <c r="T8" i="2" s="1"/>
  <c r="J8" i="2"/>
  <c r="K8" i="2" s="1"/>
  <c r="F1460" i="1"/>
  <c r="I1460" i="1" s="1"/>
  <c r="E1461" i="1" s="1"/>
  <c r="U8" i="2" l="1"/>
  <c r="P8" i="2" s="1"/>
  <c r="Q8" i="2" s="1"/>
  <c r="H1461" i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F1511" i="1" s="1"/>
  <c r="G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G1537" i="1"/>
  <c r="F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G1635" i="1"/>
  <c r="F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F1677" i="1" s="1"/>
  <c r="G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F1690" i="1" s="1"/>
  <c r="G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F1711" i="1" s="1"/>
  <c r="G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F1714" i="1" s="1"/>
  <c r="G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 s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F1783" i="1" s="1"/>
  <c r="G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F1802" i="1" s="1"/>
  <c r="G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F1827" i="1" s="1"/>
  <c r="G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F1862" i="1" s="1"/>
  <c r="G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F1870" i="1" s="1"/>
  <c r="G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F1899" i="1" s="1"/>
  <c r="G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F1903" i="1" s="1"/>
  <c r="G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F1971" i="1" s="1"/>
  <c r="G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F1982" i="1" s="1"/>
  <c r="G1982" i="1"/>
  <c r="I1982" i="1" l="1"/>
  <c r="E1983" i="1" s="1"/>
  <c r="H1983" i="1" l="1"/>
  <c r="G1983" i="1"/>
  <c r="F1983" i="1"/>
  <c r="I1983" i="1" l="1"/>
  <c r="E1984" i="1" s="1"/>
  <c r="H1984" i="1" l="1"/>
  <c r="F1984" i="1" s="1"/>
  <c r="G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G2015" i="1"/>
  <c r="F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G2078" i="1"/>
  <c r="F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F2082" i="1" s="1"/>
  <c r="G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F2099" i="1" s="1"/>
  <c r="G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F2108" i="1" s="1"/>
  <c r="G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F2148" i="1" s="1"/>
  <c r="G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 s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G2160" i="1"/>
  <c r="F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F2173" i="1" s="1"/>
  <c r="G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N9" i="2" l="1"/>
  <c r="O9" i="2" s="1"/>
  <c r="L9" i="2" s="1"/>
  <c r="M9" i="2" s="1"/>
  <c r="H9" i="2"/>
  <c r="I9" i="2" s="1"/>
  <c r="S9" i="2"/>
  <c r="T9" i="2" s="1"/>
  <c r="J9" i="2"/>
  <c r="K9" i="2" s="1"/>
  <c r="F2180" i="1"/>
  <c r="I2180" i="1" s="1"/>
  <c r="E2181" i="1" s="1"/>
  <c r="U9" i="2" l="1"/>
  <c r="P9" i="2" s="1"/>
  <c r="Q9" i="2" s="1"/>
  <c r="H2181" i="1"/>
  <c r="G2181" i="1"/>
  <c r="F2181" i="1" l="1"/>
  <c r="I2181" i="1" l="1"/>
  <c r="E2182" i="1" s="1"/>
  <c r="H2182" i="1" l="1"/>
  <c r="F2182" i="1" s="1"/>
  <c r="G2182" i="1"/>
  <c r="I2182" i="1" l="1"/>
  <c r="E2183" i="1" l="1"/>
  <c r="G2183" i="1" s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F2187" i="1" s="1"/>
  <c r="G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F2192" i="1" s="1"/>
  <c r="G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F2237" i="1" s="1"/>
  <c r="G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F2252" i="1" s="1"/>
  <c r="G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F2301" i="1" s="1"/>
  <c r="G2301" i="1"/>
  <c r="I2301" i="1" l="1"/>
  <c r="E2302" i="1" s="1"/>
  <c r="H2302" i="1" l="1"/>
  <c r="F2302" i="1" s="1"/>
  <c r="G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F2325" i="1" s="1"/>
  <c r="G2325" i="1"/>
  <c r="I2325" i="1" l="1"/>
  <c r="E2326" i="1" l="1"/>
  <c r="G2326" i="1" s="1"/>
  <c r="H2326" i="1" l="1"/>
  <c r="F2326" i="1" s="1"/>
  <c r="I2326" i="1" s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F2329" i="1" s="1"/>
  <c r="G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F2353" i="1" s="1"/>
  <c r="G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F2376" i="1" s="1"/>
  <c r="G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F2384" i="1" s="1"/>
  <c r="G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F2391" i="1" s="1"/>
  <c r="G2391" i="1"/>
  <c r="I2391" i="1" l="1"/>
  <c r="E2392" i="1" s="1"/>
  <c r="H2392" i="1" l="1"/>
  <c r="F2392" i="1" s="1"/>
  <c r="G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F2401" i="1" s="1"/>
  <c r="G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F2409" i="1" s="1"/>
  <c r="I2409" i="1" s="1"/>
  <c r="E2410" i="1" s="1"/>
  <c r="G2409" i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F2422" i="1" s="1"/>
  <c r="G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F2471" i="1" s="1"/>
  <c r="G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F2476" i="1" s="1"/>
  <c r="G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F2493" i="1" s="1"/>
  <c r="G2493" i="1"/>
  <c r="I2493" i="1" l="1"/>
  <c r="E2494" i="1" s="1"/>
  <c r="H2494" i="1" l="1"/>
  <c r="F2494" i="1" s="1"/>
  <c r="G2494" i="1"/>
  <c r="I2494" i="1" l="1"/>
  <c r="E2495" i="1" s="1"/>
  <c r="H2495" i="1" l="1"/>
  <c r="F2495" i="1" s="1"/>
  <c r="G2495" i="1"/>
  <c r="I2495" i="1" l="1"/>
  <c r="E2496" i="1" s="1"/>
  <c r="H2496" i="1" l="1"/>
  <c r="G2496" i="1"/>
  <c r="F2496" i="1"/>
  <c r="I2496" i="1" l="1"/>
  <c r="E2497" i="1" s="1"/>
  <c r="H2497" i="1" l="1"/>
  <c r="F2497" i="1" s="1"/>
  <c r="G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F2501" i="1" s="1"/>
  <c r="G2501" i="1"/>
  <c r="I2501" i="1" l="1"/>
  <c r="E2502" i="1" s="1"/>
  <c r="H2502" i="1" l="1"/>
  <c r="F2502" i="1" s="1"/>
  <c r="G2502" i="1"/>
  <c r="I2502" i="1" l="1"/>
  <c r="E2503" i="1" l="1"/>
  <c r="G2503" i="1" s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 s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 s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F2528" i="1" s="1"/>
  <c r="G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F2534" i="1" s="1"/>
  <c r="G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F2538" i="1" s="1"/>
  <c r="G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F2542" i="1" s="1"/>
  <c r="G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F2545" i="1" s="1"/>
  <c r="G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F2551" i="1" s="1"/>
  <c r="I2551" i="1" s="1"/>
  <c r="E2552" i="1" s="1"/>
  <c r="G2551" i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F2582" i="1" s="1"/>
  <c r="G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F2597" i="1" s="1"/>
  <c r="I2597" i="1" s="1"/>
  <c r="E2598" i="1" s="1"/>
  <c r="G2597" i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F2608" i="1" s="1"/>
  <c r="G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 s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F2626" i="1" s="1"/>
  <c r="G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 s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F2645" i="1" s="1"/>
  <c r="G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F2659" i="1" s="1"/>
  <c r="G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F2664" i="1" s="1"/>
  <c r="G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F2697" i="1" s="1"/>
  <c r="G2697" i="1"/>
  <c r="I2697" i="1" l="1"/>
  <c r="E2698" i="1" s="1"/>
  <c r="H2698" i="1" l="1"/>
  <c r="F2698" i="1" s="1"/>
  <c r="G2698" i="1"/>
  <c r="I2698" i="1" l="1"/>
  <c r="E2699" i="1" s="1"/>
  <c r="H2699" i="1" l="1"/>
  <c r="G2699" i="1"/>
  <c r="F2699" i="1" l="1"/>
  <c r="I2699" i="1" l="1"/>
  <c r="E2700" i="1" s="1"/>
  <c r="H2700" i="1" l="1"/>
  <c r="F2700" i="1" s="1"/>
  <c r="G2700" i="1"/>
  <c r="I2700" i="1" l="1"/>
  <c r="E2701" i="1" s="1"/>
  <c r="H2701" i="1" l="1"/>
  <c r="F2701" i="1" s="1"/>
  <c r="G2701" i="1"/>
  <c r="I2701" i="1" l="1"/>
  <c r="E2702" i="1" s="1"/>
  <c r="H2702" i="1" l="1"/>
  <c r="F2702" i="1" s="1"/>
  <c r="G2702" i="1"/>
  <c r="I2702" i="1" l="1"/>
  <c r="E2703" i="1" s="1"/>
  <c r="G2703" i="1" l="1"/>
  <c r="H2703" i="1"/>
  <c r="F2703" i="1" s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F2707" i="1" s="1"/>
  <c r="G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F2715" i="1" s="1"/>
  <c r="G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F2725" i="1" s="1"/>
  <c r="G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F2730" i="1" s="1"/>
  <c r="G2730" i="1"/>
  <c r="I2730" i="1" l="1"/>
  <c r="E2731" i="1" s="1"/>
  <c r="H2731" i="1" l="1"/>
  <c r="G2731" i="1"/>
  <c r="F2731" i="1" l="1"/>
  <c r="I2731" i="1" l="1"/>
  <c r="E2732" i="1" s="1"/>
  <c r="H2732" i="1" l="1"/>
  <c r="F2732" i="1" s="1"/>
  <c r="G2732" i="1"/>
  <c r="I2732" i="1" l="1"/>
  <c r="E2733" i="1" s="1"/>
  <c r="H2733" i="1" l="1"/>
  <c r="F2733" i="1" s="1"/>
  <c r="G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F2796" i="1" s="1"/>
  <c r="G2796" i="1"/>
  <c r="I2796" i="1" l="1"/>
  <c r="E2797" i="1" s="1"/>
  <c r="H2797" i="1" l="1"/>
  <c r="F2797" i="1" s="1"/>
  <c r="G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F2814" i="1" s="1"/>
  <c r="G2814" i="1"/>
  <c r="I2814" i="1" l="1"/>
  <c r="E2815" i="1" s="1"/>
  <c r="H2815" i="1" l="1"/>
  <c r="F2815" i="1" s="1"/>
  <c r="G2815" i="1"/>
  <c r="I2815" i="1" l="1"/>
  <c r="E2816" i="1" s="1"/>
  <c r="G2816" i="1" l="1"/>
  <c r="H2816" i="1"/>
  <c r="F2816" i="1" l="1"/>
  <c r="I2816" i="1" l="1"/>
  <c r="E2817" i="1" s="1"/>
  <c r="H2817" i="1" l="1"/>
  <c r="F2817" i="1" s="1"/>
  <c r="G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 s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 s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F2828" i="1" s="1"/>
  <c r="G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F2831" i="1" s="1"/>
  <c r="G2831" i="1"/>
  <c r="I2831" i="1" l="1"/>
  <c r="E2832" i="1" s="1"/>
  <c r="H2832" i="1" l="1"/>
  <c r="F2832" i="1" s="1"/>
  <c r="G2832" i="1"/>
  <c r="I2832" i="1" l="1"/>
  <c r="E2833" i="1" s="1"/>
  <c r="H2833" i="1" l="1"/>
  <c r="F2833" i="1" s="1"/>
  <c r="G2833" i="1"/>
  <c r="I2833" i="1" l="1"/>
  <c r="E2834" i="1" s="1"/>
  <c r="H2834" i="1" l="1"/>
  <c r="F2834" i="1" s="1"/>
  <c r="I2834" i="1" s="1"/>
  <c r="E2835" i="1" s="1"/>
  <c r="G2834" i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F2844" i="1" s="1"/>
  <c r="G2844" i="1"/>
  <c r="I2844" i="1" l="1"/>
  <c r="E2845" i="1" s="1"/>
  <c r="H2845" i="1" l="1"/>
  <c r="F2845" i="1" s="1"/>
  <c r="G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F2872" i="1" s="1"/>
  <c r="G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F2888" i="1" s="1"/>
  <c r="G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S10" i="2" l="1"/>
  <c r="T10" i="2" s="1"/>
  <c r="N10" i="2"/>
  <c r="O10" i="2" s="1"/>
  <c r="L10" i="2" s="1"/>
  <c r="M10" i="2" s="1"/>
  <c r="H10" i="2"/>
  <c r="I10" i="2" s="1"/>
  <c r="J10" i="2"/>
  <c r="K10" i="2" s="1"/>
  <c r="F2900" i="1"/>
  <c r="I2900" i="1" s="1"/>
  <c r="E2901" i="1" s="1"/>
  <c r="U10" i="2" l="1"/>
  <c r="P10" i="2" s="1"/>
  <c r="Q10" i="2" s="1"/>
  <c r="H2901" i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F2904" i="1" s="1"/>
  <c r="G2904" i="1"/>
  <c r="I2904" i="1" l="1"/>
  <c r="E2905" i="1" s="1"/>
  <c r="H2905" i="1" l="1"/>
  <c r="F2905" i="1" s="1"/>
  <c r="G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F2909" i="1" s="1"/>
  <c r="G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D10" i="2" s="1"/>
  <c r="G2923" i="1" l="1"/>
  <c r="H2923" i="1"/>
  <c r="F2923" i="1" l="1"/>
  <c r="I2923" i="1" l="1"/>
  <c r="E2924" i="1" s="1"/>
  <c r="H2924" i="1" l="1"/>
  <c r="F2924" i="1" s="1"/>
  <c r="G2924" i="1"/>
  <c r="I2924" i="1" l="1"/>
  <c r="E2925" i="1" s="1"/>
  <c r="H2925" i="1" l="1"/>
  <c r="F2925" i="1" s="1"/>
  <c r="G2925" i="1"/>
  <c r="I2925" i="1" l="1"/>
  <c r="E2926" i="1" s="1"/>
  <c r="H2926" i="1" l="1"/>
  <c r="F2926" i="1" s="1"/>
  <c r="G2926" i="1"/>
  <c r="I2926" i="1" l="1"/>
  <c r="E2927" i="1" s="1"/>
  <c r="H2927" i="1" l="1"/>
  <c r="F2927" i="1" s="1"/>
  <c r="G2927" i="1"/>
  <c r="I2927" i="1" l="1"/>
  <c r="E2928" i="1" s="1"/>
  <c r="H2928" i="1" l="1"/>
  <c r="F2928" i="1" s="1"/>
  <c r="G2928" i="1"/>
  <c r="I2928" i="1" l="1"/>
  <c r="E2929" i="1" s="1"/>
  <c r="H2929" i="1" l="1"/>
  <c r="F2929" i="1" s="1"/>
  <c r="G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F2932" i="1" s="1"/>
  <c r="G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F2935" i="1" s="1"/>
  <c r="G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<sst xmlns="http://schemas.openxmlformats.org/spreadsheetml/2006/main" count="153" uniqueCount="120">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</sst>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Q2972"/>
  <sheetViews>
    <sheetView workbookViewId="0">
      <pane ySplit="19" topLeftCell="A146" activePane="bottomLeft" state="frozen"/>
      <selection pane="bottomLeft" activeCell="G14" sqref="G14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46</v>
      </c>
      <c r="P2" s="38" t="s">
        <v>77</v>
      </c>
    </row>
    <row r="3" spans="2:17" x14ac:dyDescent="0.25">
      <c r="M3" s="25">
        <v>4</v>
      </c>
      <c r="N3" s="31" t="s">
        <v>47</v>
      </c>
      <c r="P3" s="38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8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" t="s">
        <v>32</v>
      </c>
      <c r="M6" s="26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" t="s">
        <v>33</v>
      </c>
      <c r="M7" s="26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" t="s">
        <v>34</v>
      </c>
      <c r="M8" s="28">
        <f>p/Aa*1000</f>
        <v>184.01486988847586</v>
      </c>
      <c r="N8" t="s">
        <v>37</v>
      </c>
      <c r="O8" s="2" t="s">
        <v>85</v>
      </c>
      <c r="P8" s="30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" t="s">
        <v>38</v>
      </c>
      <c r="M9" s="26">
        <f>2*(h+b)-IF(Expo=3,b,0)</f>
        <v>1200</v>
      </c>
      <c r="N9" t="s">
        <v>29</v>
      </c>
      <c r="O9" s="2" t="s">
        <v>33</v>
      </c>
      <c r="P9" s="30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7">
        <f>h-2*tf</f>
        <v>476</v>
      </c>
      <c r="J10" t="s">
        <v>29</v>
      </c>
      <c r="L10" s="2" t="s">
        <v>39</v>
      </c>
      <c r="M10" s="28">
        <f>pb/Aa*1000</f>
        <v>139.40520446096656</v>
      </c>
      <c r="N10" t="s">
        <v>37</v>
      </c>
      <c r="O10" s="2" t="s">
        <v>84</v>
      </c>
      <c r="P10" s="40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" t="s">
        <v>40</v>
      </c>
      <c r="M11" s="29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39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0</v>
      </c>
      <c r="N14" t="s">
        <v>22</v>
      </c>
    </row>
    <row r="15" spans="2:17" x14ac:dyDescent="0.25">
      <c r="C15" s="2"/>
      <c r="D15" s="3"/>
      <c r="L15" s="2" t="s">
        <v>80</v>
      </c>
      <c r="M15" s="4">
        <v>0.01</v>
      </c>
      <c r="N15" t="s">
        <v>82</v>
      </c>
    </row>
    <row r="16" spans="2:17" x14ac:dyDescent="0.25">
      <c r="C16" s="2"/>
      <c r="D16" s="3"/>
      <c r="L16" s="2" t="s">
        <v>81</v>
      </c>
      <c r="M16" s="4">
        <v>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" t="s">
        <v>86</v>
      </c>
      <c r="M17" s="4">
        <v>5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7">
        <f t="shared" ref="F20:F83" si="0">Cp*RhoP/(RhoA*H20)*dp/1000*MassivP</f>
        <v>0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7">
        <f t="shared" si="0"/>
        <v>0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 t="shared" ref="I21:I84" si="6">LambdaP*MassivP/(dp/1000)/(H21*RhoA)/(1+F21/3)*(D21-E21)*DeltaT-(EXP(F21/10)-1)*(D21-D20)</f>
        <v>4.0794571860089404E-2</v>
      </c>
      <c r="J21" s="3"/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20.04079457186009</v>
      </c>
      <c r="F22" s="37">
        <f t="shared" si="0"/>
        <v>0</v>
      </c>
      <c r="G22" s="14">
        <f t="shared" si="1"/>
        <v>0</v>
      </c>
      <c r="H22" s="24">
        <f t="shared" ref="H22:H29" si="7">IF(E22&lt;600,425+0.773*E22-1.69/1000*E22^2+2.22/1000^2*E22^3,IF(E22&lt;735,666+13002/(738-E22),IF(E22&lt;900,545+17820/(E22-731),650)))</f>
        <v>439.83064257705826</v>
      </c>
      <c r="I22" s="12">
        <f t="shared" si="6"/>
        <v>6.763908396543393E-2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20.108433655825525</v>
      </c>
      <c r="F23" s="37">
        <f t="shared" si="0"/>
        <v>0</v>
      </c>
      <c r="G23" s="14">
        <f t="shared" si="1"/>
        <v>0</v>
      </c>
      <c r="H23" s="24">
        <f t="shared" si="7"/>
        <v>439.87851966627591</v>
      </c>
      <c r="I23" s="12">
        <f t="shared" si="6"/>
        <v>8.7662163214894007E-2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20.196095819040419</v>
      </c>
      <c r="F24" s="37">
        <f t="shared" si="0"/>
        <v>0</v>
      </c>
      <c r="G24" s="14">
        <f t="shared" si="1"/>
        <v>0</v>
      </c>
      <c r="H24" s="24">
        <f t="shared" si="7"/>
        <v>439.94054854223504</v>
      </c>
      <c r="I24" s="12">
        <f t="shared" si="6"/>
        <v>0.10362361518338768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20.299719434223807</v>
      </c>
      <c r="F25" s="37">
        <f t="shared" si="0"/>
        <v>0</v>
      </c>
      <c r="G25" s="14">
        <f t="shared" si="1"/>
        <v>0</v>
      </c>
      <c r="H25" s="24">
        <f t="shared" si="7"/>
        <v>440.01384075119455</v>
      </c>
      <c r="I25" s="12">
        <f t="shared" si="6"/>
        <v>0.11688567147917922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20.416605105702985</v>
      </c>
      <c r="F26" s="37">
        <f t="shared" si="0"/>
        <v>0</v>
      </c>
      <c r="G26" s="14">
        <f t="shared" si="1"/>
        <v>0</v>
      </c>
      <c r="H26" s="24">
        <f t="shared" si="7"/>
        <v>440.09647304016499</v>
      </c>
      <c r="I26" s="12">
        <f t="shared" si="6"/>
        <v>0.12822185791063143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20.544826963613616</v>
      </c>
      <c r="F27" s="37">
        <f t="shared" si="0"/>
        <v>0</v>
      </c>
      <c r="G27" s="14">
        <f t="shared" si="1"/>
        <v>0</v>
      </c>
      <c r="H27" s="24">
        <f t="shared" si="7"/>
        <v>440.18707060325335</v>
      </c>
      <c r="I27" s="12">
        <f t="shared" si="6"/>
        <v>0.13811397387391336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20.68294093748753</v>
      </c>
      <c r="F28" s="37">
        <f t="shared" si="0"/>
        <v>0</v>
      </c>
      <c r="G28" s="14">
        <f t="shared" si="1"/>
        <v>0</v>
      </c>
      <c r="H28" s="24">
        <f t="shared" si="7"/>
        <v>440.28460049461734</v>
      </c>
      <c r="I28" s="12">
        <f t="shared" si="6"/>
        <v>0.14688259198227432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20.829823529469802</v>
      </c>
      <c r="F29" s="37">
        <f t="shared" si="0"/>
        <v>0</v>
      </c>
      <c r="G29" s="14">
        <f t="shared" si="1"/>
        <v>0</v>
      </c>
      <c r="H29" s="24">
        <f t="shared" si="7"/>
        <v>440.3882574126103</v>
      </c>
      <c r="I29" s="12">
        <f t="shared" si="6"/>
        <v>0.15475186324680665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20.984575392716611</v>
      </c>
      <c r="F30" s="37">
        <f t="shared" si="0"/>
        <v>0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440.49739536538272</v>
      </c>
      <c r="I30" s="12">
        <f t="shared" si="6"/>
        <v>0.16188470945460179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21.146460102171211</v>
      </c>
      <c r="F31" s="37">
        <f t="shared" si="0"/>
        <v>0</v>
      </c>
      <c r="G31" s="14">
        <f t="shared" si="1"/>
        <v>0</v>
      </c>
      <c r="H31" s="24">
        <f t="shared" si="8"/>
        <v>440.61148425863496</v>
      </c>
      <c r="I31" s="12">
        <f t="shared" si="6"/>
        <v>0.16840329058381204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21.314863392755022</v>
      </c>
      <c r="F32" s="37">
        <f t="shared" si="0"/>
        <v>0</v>
      </c>
      <c r="G32" s="14">
        <f t="shared" si="1"/>
        <v>0</v>
      </c>
      <c r="H32" s="24">
        <f t="shared" si="8"/>
        <v>440.73008098169458</v>
      </c>
      <c r="I32" s="12">
        <f t="shared" si="6"/>
        <v>0.1744015736680819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21.489264966423104</v>
      </c>
      <c r="F33" s="37">
        <f t="shared" si="0"/>
        <v>0</v>
      </c>
      <c r="G33" s="14">
        <f t="shared" si="1"/>
        <v>0</v>
      </c>
      <c r="H33" s="24">
        <f t="shared" si="8"/>
        <v>440.85280939946318</v>
      </c>
      <c r="I33" s="12">
        <f t="shared" si="6"/>
        <v>0.1799534005953918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21.669218367018495</v>
      </c>
      <c r="F34" s="37">
        <f t="shared" si="0"/>
        <v>0</v>
      </c>
      <c r="G34" s="14">
        <f t="shared" si="1"/>
        <v>0</v>
      </c>
      <c r="H34" s="24">
        <f t="shared" si="8"/>
        <v>440.97934606267643</v>
      </c>
      <c r="I34" s="12">
        <f t="shared" si="6"/>
        <v>0.1851178607389177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21.854336227757411</v>
      </c>
      <c r="F35" s="37">
        <f t="shared" si="0"/>
        <v>0</v>
      </c>
      <c r="G35" s="14">
        <f t="shared" si="1"/>
        <v>0</v>
      </c>
      <c r="H35" s="24">
        <f t="shared" si="8"/>
        <v>441.1094097274115</v>
      </c>
      <c r="I35" s="12">
        <f t="shared" si="6"/>
        <v>0.18994298167467655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22.044279209432087</v>
      </c>
      <c r="F36" s="37">
        <f t="shared" si="0"/>
        <v>0</v>
      </c>
      <c r="G36" s="14">
        <f t="shared" si="1"/>
        <v>0</v>
      </c>
      <c r="H36" s="24">
        <f t="shared" si="8"/>
        <v>441.2427534922237</v>
      </c>
      <c r="I36" s="12">
        <f t="shared" si="6"/>
        <v>0.19446833286679896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22.238747542298885</v>
      </c>
      <c r="F37" s="37">
        <f t="shared" si="0"/>
        <v>0</v>
      </c>
      <c r="G37" s="14">
        <f t="shared" si="1"/>
        <v>0</v>
      </c>
      <c r="H37" s="24">
        <f t="shared" si="8"/>
        <v>441.37915878258042</v>
      </c>
      <c r="I37" s="12">
        <f t="shared" si="6"/>
        <v>0.19872690531228648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22.437474447611173</v>
      </c>
      <c r="F38" s="37">
        <f t="shared" si="0"/>
        <v>0</v>
      </c>
      <c r="G38" s="14">
        <f t="shared" si="1"/>
        <v>0</v>
      </c>
      <c r="H38" s="24">
        <f t="shared" si="8"/>
        <v>441.51843066937312</v>
      </c>
      <c r="I38" s="12">
        <f t="shared" si="6"/>
        <v>0.20274649613182744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22.640220943743</v>
      </c>
      <c r="F39" s="37">
        <f t="shared" si="0"/>
        <v>0</v>
      </c>
      <c r="G39" s="14">
        <f t="shared" si="1"/>
        <v>0</v>
      </c>
      <c r="H39" s="24">
        <f t="shared" si="8"/>
        <v>441.66039417050627</v>
      </c>
      <c r="I39" s="12">
        <f t="shared" si="6"/>
        <v>0.20655074680786029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22.84677169055086</v>
      </c>
      <c r="F40" s="37">
        <f t="shared" si="0"/>
        <v>0</v>
      </c>
      <c r="G40" s="14">
        <f t="shared" si="1"/>
        <v>0</v>
      </c>
      <c r="H40" s="24">
        <f t="shared" si="8"/>
        <v>441.80489128993361</v>
      </c>
      <c r="I40" s="12">
        <f t="shared" si="6"/>
        <v>0.21015993412937661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23.056931624680235</v>
      </c>
      <c r="F41" s="37">
        <f t="shared" si="0"/>
        <v>0</v>
      </c>
      <c r="G41" s="14">
        <f t="shared" si="1"/>
        <v>0</v>
      </c>
      <c r="H41" s="24">
        <f t="shared" si="8"/>
        <v>441.95177861871281</v>
      </c>
      <c r="I41" s="12">
        <f t="shared" si="6"/>
        <v>0.21359158134320946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23.270523206023444</v>
      </c>
      <c r="F42" s="37">
        <f t="shared" si="0"/>
        <v>0</v>
      </c>
      <c r="G42" s="14">
        <f t="shared" si="1"/>
        <v>0</v>
      </c>
      <c r="H42" s="24">
        <f t="shared" si="8"/>
        <v>442.10092537050031</v>
      </c>
      <c r="I42" s="12">
        <f t="shared" si="6"/>
        <v>0.21686093644535245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23.487384142468798</v>
      </c>
      <c r="F43" s="37">
        <f t="shared" si="0"/>
        <v>0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442.25221175718281</v>
      </c>
      <c r="I43" s="12">
        <f t="shared" si="6"/>
        <v>0.21998135084396328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23.707365493312761</v>
      </c>
      <c r="F44" s="37">
        <f t="shared" si="0"/>
        <v>0</v>
      </c>
      <c r="G44" s="14">
        <f t="shared" si="1"/>
        <v>0</v>
      </c>
      <c r="H44" s="24">
        <f t="shared" si="9"/>
        <v>442.40552763390946</v>
      </c>
      <c r="I44" s="12">
        <f t="shared" si="6"/>
        <v>0.22296458231341915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23.930330075626181</v>
      </c>
      <c r="F45" s="37">
        <f t="shared" si="0"/>
        <v>0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442.56077135975534</v>
      </c>
      <c r="I45" s="12">
        <f t="shared" si="6"/>
        <v>0.22582103971467801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24.156151115340858</v>
      </c>
      <c r="F46" s="37">
        <f t="shared" si="0"/>
        <v>0</v>
      </c>
      <c r="G46" s="14">
        <f t="shared" si="1"/>
        <v>0</v>
      </c>
      <c r="H46" s="24">
        <f t="shared" si="10"/>
        <v>442.71784883264451</v>
      </c>
      <c r="I46" s="12">
        <f t="shared" si="6"/>
        <v>0.22855998242412065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24.384711097764978</v>
      </c>
      <c r="F47" s="37">
        <f t="shared" si="0"/>
        <v>0</v>
      </c>
      <c r="G47" s="14">
        <f t="shared" si="1"/>
        <v>0</v>
      </c>
      <c r="H47" s="24">
        <f t="shared" si="10"/>
        <v>442.87667266634696</v>
      </c>
      <c r="I47" s="12">
        <f t="shared" si="6"/>
        <v>0.23118968417610353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24.615900781941082</v>
      </c>
      <c r="F48" s="37">
        <f t="shared" si="0"/>
        <v>0</v>
      </c>
      <c r="G48" s="14">
        <f t="shared" si="1"/>
        <v>0</v>
      </c>
      <c r="H48" s="24">
        <f t="shared" si="10"/>
        <v>443.03716148424962</v>
      </c>
      <c r="I48" s="12">
        <f t="shared" si="6"/>
        <v>0.23371756868104177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24.849618350622123</v>
      </c>
      <c r="F49" s="37">
        <f t="shared" si="0"/>
        <v>0</v>
      </c>
      <c r="G49" s="14">
        <f t="shared" si="1"/>
        <v>0</v>
      </c>
      <c r="H49" s="24">
        <f t="shared" si="10"/>
        <v>443.19923930983322</v>
      </c>
      <c r="I49" s="12">
        <f t="shared" si="6"/>
        <v>0.23615032266268143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25.085768673284804</v>
      </c>
      <c r="F50" s="37">
        <f t="shared" si="0"/>
        <v>0</v>
      </c>
      <c r="G50" s="14">
        <f t="shared" si="1"/>
        <v>0</v>
      </c>
      <c r="H50" s="24">
        <f t="shared" si="10"/>
        <v>443.36283503778964</v>
      </c>
      <c r="I50" s="12">
        <f t="shared" si="6"/>
        <v>0.23849399068366284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25.324262663968465</v>
      </c>
      <c r="F51" s="37">
        <f t="shared" si="0"/>
        <v>0</v>
      </c>
      <c r="G51" s="14">
        <f t="shared" si="1"/>
        <v>0</v>
      </c>
      <c r="H51" s="24">
        <f t="shared" si="10"/>
        <v>443.52788197282166</v>
      </c>
      <c r="I51" s="12">
        <f t="shared" si="6"/>
        <v>0.24075405517267817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25.565016719141145</v>
      </c>
      <c r="F52" s="37">
        <f t="shared" si="0"/>
        <v>0</v>
      </c>
      <c r="G52" s="14">
        <f t="shared" si="1"/>
        <v>0</v>
      </c>
      <c r="H52" s="24">
        <f t="shared" si="10"/>
        <v>443.69431742559067</v>
      </c>
      <c r="I52" s="12">
        <f t="shared" si="6"/>
        <v>0.24293550434250563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25.80795222348365</v>
      </c>
      <c r="F53" s="37">
        <f t="shared" si="0"/>
        <v>0</v>
      </c>
      <c r="G53" s="14">
        <f t="shared" si="1"/>
        <v>0</v>
      </c>
      <c r="H53" s="24">
        <f t="shared" si="10"/>
        <v>443.86208235718948</v>
      </c>
      <c r="I53" s="12">
        <f t="shared" si="6"/>
        <v>0.24504289013458208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26.052995113618231</v>
      </c>
      <c r="F54" s="37">
        <f t="shared" si="0"/>
        <v>0</v>
      </c>
      <c r="G54" s="14">
        <f t="shared" si="1"/>
        <v>0</v>
      </c>
      <c r="H54" s="24">
        <f t="shared" si="10"/>
        <v>444.03112106503528</v>
      </c>
      <c r="I54" s="12">
        <f t="shared" si="6"/>
        <v>0.24708037789871012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26.300075491516942</v>
      </c>
      <c r="F55" s="37">
        <f t="shared" si="0"/>
        <v>0</v>
      </c>
      <c r="G55" s="14">
        <f t="shared" si="1"/>
        <v>0</v>
      </c>
      <c r="H55" s="24">
        <f t="shared" si="10"/>
        <v>444.20138090429447</v>
      </c>
      <c r="I55" s="12">
        <f t="shared" si="6"/>
        <v>0.2490517891843522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26.549127280701295</v>
      </c>
      <c r="F56" s="37">
        <f t="shared" si="0"/>
        <v>0</v>
      </c>
      <c r="G56" s="14">
        <f t="shared" si="1"/>
        <v>0</v>
      </c>
      <c r="H56" s="24">
        <f t="shared" si="10"/>
        <v>444.37281203992706</v>
      </c>
      <c r="I56" s="12">
        <f t="shared" si="6"/>
        <v>0.25096063875963009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26.800087919460925</v>
      </c>
      <c r="F57" s="37">
        <f t="shared" si="0"/>
        <v>0</v>
      </c>
      <c r="G57" s="14">
        <f t="shared" si="1"/>
        <v>0</v>
      </c>
      <c r="H57" s="24">
        <f t="shared" si="10"/>
        <v>444.54536722523602</v>
      </c>
      <c r="I57" s="12">
        <f t="shared" si="6"/>
        <v>0.25281016676862095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27.052898086229547</v>
      </c>
      <c r="F58" s="37">
        <f t="shared" si="0"/>
        <v>0</v>
      </c>
      <c r="G58" s="14">
        <f t="shared" si="1"/>
        <v>0</v>
      </c>
      <c r="H58" s="24">
        <f t="shared" si="10"/>
        <v>444.71900160345206</v>
      </c>
      <c r="I58" s="12">
        <f t="shared" si="6"/>
        <v>0.25460336677417672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27.307501453003724</v>
      </c>
      <c r="F59" s="37">
        <f t="shared" si="0"/>
        <v>0</v>
      </c>
      <c r="G59" s="14">
        <f t="shared" si="1"/>
        <v>0</v>
      </c>
      <c r="H59" s="24">
        <f t="shared" si="10"/>
        <v>444.89367252941798</v>
      </c>
      <c r="I59" s="12">
        <f t="shared" si="6"/>
        <v>0.25634301030278728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27.563844463306509</v>
      </c>
      <c r="F60" s="37">
        <f t="shared" si="0"/>
        <v>0</v>
      </c>
      <c r="G60" s="14">
        <f t="shared" si="1"/>
        <v>0</v>
      </c>
      <c r="H60" s="24">
        <f t="shared" si="10"/>
        <v>445.06933940887473</v>
      </c>
      <c r="I60" s="12">
        <f t="shared" si="6"/>
        <v>0.25803166840280867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27.821876131709317</v>
      </c>
      <c r="F61" s="37">
        <f t="shared" si="0"/>
        <v>0</v>
      </c>
      <c r="G61" s="14">
        <f t="shared" si="1"/>
        <v>0</v>
      </c>
      <c r="H61" s="24">
        <f t="shared" si="10"/>
        <v>445.24596355321745</v>
      </c>
      <c r="I61" s="12">
        <f t="shared" si="6"/>
        <v>0.259671730642208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28.081547862351524</v>
      </c>
      <c r="F62" s="37">
        <f t="shared" si="0"/>
        <v>0</v>
      </c>
      <c r="G62" s="14">
        <f t="shared" si="1"/>
        <v>0</v>
      </c>
      <c r="H62" s="24">
        <f t="shared" si="10"/>
        <v>445.42350804789015</v>
      </c>
      <c r="I62" s="12">
        <f t="shared" si="6"/>
        <v>0.26126542190264879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28.342813284254174</v>
      </c>
      <c r="F63" s="37">
        <f t="shared" si="0"/>
        <v>0</v>
      </c>
      <c r="G63" s="14">
        <f t="shared" si="1"/>
        <v>0</v>
      </c>
      <c r="H63" s="24">
        <f t="shared" si="10"/>
        <v>445.60193763284485</v>
      </c>
      <c r="I63" s="12">
        <f t="shared" si="6"/>
        <v>0.26281481727001338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28.605628101524186</v>
      </c>
      <c r="F64" s="37">
        <f t="shared" si="0"/>
        <v>0</v>
      </c>
      <c r="G64" s="14">
        <f t="shared" si="1"/>
        <v>0</v>
      </c>
      <c r="H64" s="24">
        <f t="shared" si="10"/>
        <v>445.78121859370464</v>
      </c>
      <c r="I64" s="12">
        <f t="shared" si="6"/>
        <v>0.26432185527481422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28.869949956799001</v>
      </c>
      <c r="F65" s="37">
        <f t="shared" si="0"/>
        <v>0</v>
      </c>
      <c r="G65" s="14">
        <f t="shared" si="1"/>
        <v>0</v>
      </c>
      <c r="H65" s="24">
        <f t="shared" si="10"/>
        <v>445.96131866244849</v>
      </c>
      <c r="I65" s="12">
        <f t="shared" si="6"/>
        <v>0.2657883496974055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29.135738306496407</v>
      </c>
      <c r="F66" s="37">
        <f t="shared" si="0"/>
        <v>0</v>
      </c>
      <c r="G66" s="14">
        <f t="shared" si="1"/>
        <v>0</v>
      </c>
      <c r="H66" s="24">
        <f t="shared" si="10"/>
        <v>446.14220692659245</v>
      </c>
      <c r="I66" s="12">
        <f t="shared" si="6"/>
        <v>0.26721600012093205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29.402954306617339</v>
      </c>
      <c r="F67" s="37">
        <f t="shared" si="0"/>
        <v>0</v>
      </c>
      <c r="G67" s="14">
        <f t="shared" si="1"/>
        <v>0</v>
      </c>
      <c r="H67" s="24">
        <f t="shared" si="10"/>
        <v>446.32385374596936</v>
      </c>
      <c r="I67" s="12">
        <f t="shared" si="6"/>
        <v>0.26860640138829112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29.671560708005629</v>
      </c>
      <c r="F68" s="37">
        <f t="shared" si="0"/>
        <v>0</v>
      </c>
      <c r="G68" s="14">
        <f t="shared" si="1"/>
        <v>0</v>
      </c>
      <c r="H68" s="24">
        <f t="shared" si="10"/>
        <v>446.50623067632324</v>
      </c>
      <c r="I68" s="12">
        <f t="shared" si="6"/>
        <v>0.26996105209708737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29.941521760102717</v>
      </c>
      <c r="F69" s="37">
        <f t="shared" si="0"/>
        <v>0</v>
      </c>
      <c r="G69" s="14">
        <f t="shared" si="1"/>
        <v>0</v>
      </c>
      <c r="H69" s="24">
        <f t="shared" si="10"/>
        <v>446.68931039902736</v>
      </c>
      <c r="I69" s="12">
        <f t="shared" si="6"/>
        <v>0.27128136224781596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30.212803122350532</v>
      </c>
      <c r="F70" s="37">
        <f t="shared" si="0"/>
        <v>0</v>
      </c>
      <c r="G70" s="14">
        <f t="shared" si="1"/>
        <v>0</v>
      </c>
      <c r="H70" s="24">
        <f t="shared" si="10"/>
        <v>446.8730666563211</v>
      </c>
      <c r="I70" s="12">
        <f t="shared" si="6"/>
        <v>0.2725686601447152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30.485371782495246</v>
      </c>
      <c r="F71" s="37">
        <f t="shared" si="0"/>
        <v>0</v>
      </c>
      <c r="G71" s="14">
        <f t="shared" si="1"/>
        <v>0</v>
      </c>
      <c r="H71" s="24">
        <f t="shared" si="10"/>
        <v>447.05747419152738</v>
      </c>
      <c r="I71" s="12">
        <f t="shared" si="6"/>
        <v>0.27382419863535407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30.759195981130599</v>
      </c>
      <c r="F72" s="37">
        <f t="shared" si="0"/>
        <v>0</v>
      </c>
      <c r="G72" s="14">
        <f t="shared" si="1"/>
        <v>0</v>
      </c>
      <c r="H72" s="24">
        <f t="shared" si="10"/>
        <v>447.24250869377835</v>
      </c>
      <c r="I72" s="12">
        <f t="shared" si="6"/>
        <v>0.27504916076366825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31.034245141894267</v>
      </c>
      <c r="F73" s="37">
        <f t="shared" si="0"/>
        <v>0</v>
      </c>
      <c r="G73" s="14">
        <f t="shared" si="1"/>
        <v>0</v>
      </c>
      <c r="H73" s="24">
        <f t="shared" si="10"/>
        <v>447.42814674682609</v>
      </c>
      <c r="I73" s="12">
        <f t="shared" si="6"/>
        <v>0.27624466490148747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31.310489806795754</v>
      </c>
      <c r="F74" s="37">
        <f t="shared" si="0"/>
        <v>0</v>
      </c>
      <c r="G74" s="14">
        <f t="shared" si="1"/>
        <v>0</v>
      </c>
      <c r="H74" s="24">
        <f t="shared" si="10"/>
        <v>447.61436578156628</v>
      </c>
      <c r="I74" s="12">
        <f t="shared" si="6"/>
        <v>0.27741176941532142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31.587901576211074</v>
      </c>
      <c r="F75" s="37">
        <f t="shared" si="0"/>
        <v>0</v>
      </c>
      <c r="G75" s="14">
        <f t="shared" si="1"/>
        <v>0</v>
      </c>
      <c r="H75" s="24">
        <f t="shared" si="10"/>
        <v>447.80114403193795</v>
      </c>
      <c r="I75" s="12">
        <f t="shared" si="6"/>
        <v>0.27855147691809656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31.86645305312917</v>
      </c>
      <c r="F76" s="37">
        <f t="shared" si="0"/>
        <v>0</v>
      </c>
      <c r="G76" s="14">
        <f t="shared" si="1"/>
        <v>0</v>
      </c>
      <c r="H76" s="24">
        <f t="shared" si="10"/>
        <v>447.98846049390443</v>
      </c>
      <c r="I76" s="12">
        <f t="shared" si="6"/>
        <v>0.2796647381494296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32.146117791278598</v>
      </c>
      <c r="F77" s="37">
        <f t="shared" si="0"/>
        <v>0</v>
      </c>
      <c r="G77" s="14">
        <f t="shared" si="1"/>
        <v>0</v>
      </c>
      <c r="H77" s="24">
        <f t="shared" si="10"/>
        <v>448.17629488724509</v>
      </c>
      <c r="I77" s="12">
        <f t="shared" si="6"/>
        <v>0.28075245552278022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32.426870246801379</v>
      </c>
      <c r="F78" s="37">
        <f t="shared" si="0"/>
        <v>0</v>
      </c>
      <c r="G78" s="14">
        <f t="shared" si="1"/>
        <v>0</v>
      </c>
      <c r="H78" s="24">
        <f t="shared" si="10"/>
        <v>448.36462761992038</v>
      </c>
      <c r="I78" s="12">
        <f t="shared" si="6"/>
        <v>0.28181548637327763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32.708685733174654</v>
      </c>
      <c r="F79" s="37">
        <f t="shared" si="0"/>
        <v>0</v>
      </c>
      <c r="G79" s="14">
        <f t="shared" si="1"/>
        <v>0</v>
      </c>
      <c r="H79" s="24">
        <f t="shared" si="10"/>
        <v>448.55343975479394</v>
      </c>
      <c r="I79" s="12">
        <f t="shared" si="6"/>
        <v>0.2828546459360804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32.991540379110738</v>
      </c>
      <c r="F80" s="37">
        <f t="shared" si="0"/>
        <v>0</v>
      </c>
      <c r="G80" s="14">
        <f t="shared" si="1"/>
        <v>0</v>
      </c>
      <c r="H80" s="24">
        <f t="shared" si="10"/>
        <v>448.74271297851789</v>
      </c>
      <c r="I80" s="12">
        <f t="shared" si="6"/>
        <v>0.28387071008170833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33.275411089192446</v>
      </c>
      <c r="F81" s="37">
        <f t="shared" si="0"/>
        <v>0</v>
      </c>
      <c r="G81" s="14">
        <f t="shared" si="1"/>
        <v>0</v>
      </c>
      <c r="H81" s="24">
        <f t="shared" si="10"/>
        <v>448.9324295724054</v>
      </c>
      <c r="I81" s="12">
        <f t="shared" si="6"/>
        <v>0.284864417831804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33.560275507024251</v>
      </c>
      <c r="F82" s="37">
        <f t="shared" si="0"/>
        <v>0</v>
      </c>
      <c r="G82" s="14">
        <f t="shared" si="1"/>
        <v>0</v>
      </c>
      <c r="H82" s="24">
        <f t="shared" si="10"/>
        <v>449.12257238513405</v>
      </c>
      <c r="I82" s="12">
        <f t="shared" si="6"/>
        <v>0.28583647367618015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33.846111980700428</v>
      </c>
      <c r="F83" s="37">
        <f t="shared" si="0"/>
        <v>0</v>
      </c>
      <c r="G83" s="14">
        <f t="shared" si="1"/>
        <v>0</v>
      </c>
      <c r="H83" s="24">
        <f t="shared" si="10"/>
        <v>449.3131248071349</v>
      </c>
      <c r="I83" s="12">
        <f t="shared" si="6"/>
        <v>0.28678754970973075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34.132899530410157</v>
      </c>
      <c r="F84" s="37">
        <f t="shared" ref="F84:F147" si="11">Cp*RhoP/(RhoA*H84)*dp/1000*MassivP</f>
        <v>0</v>
      </c>
      <c r="G84" s="14">
        <f t="shared" ref="G84:G147" si="12">Phi*EpsilonF*Botzman/10^8*J84*((D84+273)^4-(E84+273)^4)</f>
        <v>0</v>
      </c>
      <c r="H84" s="24">
        <f t="shared" si="10"/>
        <v>449.50407074653793</v>
      </c>
      <c r="I84" s="12">
        <f t="shared" si="6"/>
        <v>0.28771828760578866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34.420617818015948</v>
      </c>
      <c r="F85" s="37">
        <f t="shared" si="11"/>
        <v>0</v>
      </c>
      <c r="G85" s="14">
        <f t="shared" si="12"/>
        <v>0</v>
      </c>
      <c r="H85" s="24">
        <f t="shared" si="10"/>
        <v>449.69539460655619</v>
      </c>
      <c r="I85" s="12">
        <f t="shared" ref="I85:I148" si="17">LambdaP*MassivP/(dp/1000)/(H85*RhoA)/(1+F85/3)*(D85-E85)*DeltaT-(EXP(F85/10)-1)*(D85-D84)</f>
        <v>0.28862930044075386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34.709247118456702</v>
      </c>
      <c r="F86" s="37">
        <f t="shared" si="11"/>
        <v>0</v>
      </c>
      <c r="G86" s="14">
        <f t="shared" si="12"/>
        <v>0</v>
      </c>
      <c r="H86" s="24">
        <f t="shared" si="10"/>
        <v>449.88708126420096</v>
      </c>
      <c r="I86" s="12">
        <f t="shared" si="17"/>
        <v>0.28952117438327285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34.998768292839976</v>
      </c>
      <c r="F87" s="37">
        <f t="shared" si="11"/>
        <v>0</v>
      </c>
      <c r="G87" s="14">
        <f t="shared" si="12"/>
        <v>0</v>
      </c>
      <c r="H87" s="24">
        <f t="shared" si="10"/>
        <v>450.07911605022923</v>
      </c>
      <c r="I87" s="12">
        <f t="shared" si="17"/>
        <v>0.29039447025988546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35.28916276309986</v>
      </c>
      <c r="F88" s="37">
        <f t="shared" si="11"/>
        <v>0</v>
      </c>
      <c r="G88" s="14">
        <f t="shared" si="12"/>
        <v>0</v>
      </c>
      <c r="H88" s="24">
        <f t="shared" si="10"/>
        <v>450.2714847302359</v>
      </c>
      <c r="I88" s="12">
        <f t="shared" si="17"/>
        <v>0.29124972500784585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35.580412488107704</v>
      </c>
      <c r="F89" s="37">
        <f t="shared" si="11"/>
        <v>0</v>
      </c>
      <c r="G89" s="14">
        <f t="shared" si="12"/>
        <v>0</v>
      </c>
      <c r="H89" s="24">
        <f t="shared" si="10"/>
        <v>450.46417348680728</v>
      </c>
      <c r="I89" s="12">
        <f t="shared" si="17"/>
        <v>0.29208745302475941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35.87249994113246</v>
      </c>
      <c r="F90" s="37">
        <f t="shared" si="11"/>
        <v>0</v>
      </c>
      <c r="G90" s="14">
        <f t="shared" si="12"/>
        <v>0</v>
      </c>
      <c r="H90" s="24">
        <f t="shared" si="10"/>
        <v>450.65716890266316</v>
      </c>
      <c r="I90" s="12">
        <f t="shared" si="17"/>
        <v>0.29290814742372573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36.165408088556184</v>
      </c>
      <c r="F91" s="37">
        <f t="shared" si="11"/>
        <v>0</v>
      </c>
      <c r="G91" s="14">
        <f t="shared" si="12"/>
        <v>0</v>
      </c>
      <c r="H91" s="24">
        <f t="shared" si="10"/>
        <v>450.85045794471614</v>
      </c>
      <c r="I91" s="12">
        <f t="shared" si="17"/>
        <v>0.29371228120183807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36.459120369758026</v>
      </c>
      <c r="F92" s="37">
        <f t="shared" si="11"/>
        <v>0</v>
      </c>
      <c r="G92" s="14">
        <f t="shared" si="12"/>
        <v>0</v>
      </c>
      <c r="H92" s="24">
        <f t="shared" si="10"/>
        <v>451.04402794898903</v>
      </c>
      <c r="I92" s="12">
        <f t="shared" si="17"/>
        <v>0.29450030832913382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36.753620678087159</v>
      </c>
      <c r="F93" s="37">
        <f t="shared" si="11"/>
        <v>0</v>
      </c>
      <c r="G93" s="14">
        <f t="shared" si="12"/>
        <v>0</v>
      </c>
      <c r="H93" s="24">
        <f t="shared" si="10"/>
        <v>451.23786660632987</v>
      </c>
      <c r="I93" s="12">
        <f t="shared" si="17"/>
        <v>0.29527266476442565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37.048893342851585</v>
      </c>
      <c r="F94" s="37">
        <f t="shared" si="11"/>
        <v>0</v>
      </c>
      <c r="G94" s="14">
        <f t="shared" si="12"/>
        <v>0</v>
      </c>
      <c r="H94" s="24">
        <f t="shared" si="10"/>
        <v>451.43196194887281</v>
      </c>
      <c r="I94" s="12">
        <f t="shared" si="17"/>
        <v>0.29602976940384068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37.344923112255422</v>
      </c>
      <c r="F95" s="37">
        <f t="shared" si="11"/>
        <v>0</v>
      </c>
      <c r="G95" s="14">
        <f t="shared" si="12"/>
        <v>0</v>
      </c>
      <c r="H95" s="24">
        <f t="shared" si="10"/>
        <v>451.62630233719557</v>
      </c>
      <c r="I95" s="12">
        <f t="shared" si="17"/>
        <v>0.29677202496736232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37.641695137222783</v>
      </c>
      <c r="F96" s="37">
        <f t="shared" si="11"/>
        <v>0</v>
      </c>
      <c r="G96" s="14">
        <f t="shared" si="12"/>
        <v>0</v>
      </c>
      <c r="H96" s="24">
        <f t="shared" si="10"/>
        <v>451.8208764481289</v>
      </c>
      <c r="I96" s="12">
        <f t="shared" si="17"/>
        <v>0.29749981882818655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37.939194956050969</v>
      </c>
      <c r="F97" s="37">
        <f t="shared" si="11"/>
        <v>0</v>
      </c>
      <c r="G97" s="14">
        <f t="shared" si="12"/>
        <v>0</v>
      </c>
      <c r="H97" s="24">
        <f t="shared" si="10"/>
        <v>452.01567326317593</v>
      </c>
      <c r="I97" s="12">
        <f t="shared" si="17"/>
        <v>0.29821352378927507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38.237408479840241</v>
      </c>
      <c r="F98" s="37">
        <f t="shared" si="11"/>
        <v>0</v>
      </c>
      <c r="G98" s="14">
        <f t="shared" si="12"/>
        <v>0</v>
      </c>
      <c r="H98" s="24">
        <f t="shared" si="10"/>
        <v>452.21068205750373</v>
      </c>
      <c r="I98" s="12">
        <f t="shared" si="17"/>
        <v>0.29891349881110091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38.536321978651344</v>
      </c>
      <c r="F99" s="37">
        <f t="shared" si="11"/>
        <v>0</v>
      </c>
      <c r="G99" s="14">
        <f t="shared" si="12"/>
        <v>0</v>
      </c>
      <c r="H99" s="24">
        <f t="shared" si="10"/>
        <v>452.40589238947064</v>
      </c>
      <c r="I99" s="12">
        <f t="shared" si="17"/>
        <v>0.2996000896942323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38.835922068345575</v>
      </c>
      <c r="F100" s="37">
        <f t="shared" si="11"/>
        <v>0</v>
      </c>
      <c r="G100" s="14">
        <f t="shared" si="12"/>
        <v>0</v>
      </c>
      <c r="H100" s="24">
        <f t="shared" si="10"/>
        <v>452.60129409065746</v>
      </c>
      <c r="I100" s="12">
        <f t="shared" si="17"/>
        <v>0.30027362972008592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39.136195698065663</v>
      </c>
      <c r="F101" s="37">
        <f t="shared" si="11"/>
        <v>0</v>
      </c>
      <c r="G101" s="14">
        <f t="shared" si="12"/>
        <v>0</v>
      </c>
      <c r="H101" s="24">
        <f t="shared" si="10"/>
        <v>452.79687725637189</v>
      </c>
      <c r="I101" s="12">
        <f t="shared" si="17"/>
        <v>0.30093444025289856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39.437130138318558</v>
      </c>
      <c r="F102" s="37">
        <f t="shared" si="11"/>
        <v>0</v>
      </c>
      <c r="G102" s="14">
        <f t="shared" si="12"/>
        <v>0</v>
      </c>
      <c r="H102" s="24">
        <f t="shared" si="10"/>
        <v>452.99263223659705</v>
      </c>
      <c r="I102" s="12">
        <f t="shared" si="17"/>
        <v>0.30158283130570834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39.738712969624267</v>
      </c>
      <c r="F103" s="37">
        <f t="shared" si="11"/>
        <v>0</v>
      </c>
      <c r="G103" s="14">
        <f t="shared" si="12"/>
        <v>0</v>
      </c>
      <c r="H103" s="24">
        <f t="shared" si="10"/>
        <v>453.18854962735901</v>
      </c>
      <c r="I103" s="12">
        <f t="shared" si="17"/>
        <v>0.30221910207290648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40.040932071697171</v>
      </c>
      <c r="F104" s="37">
        <f t="shared" si="11"/>
        <v>0</v>
      </c>
      <c r="G104" s="14">
        <f t="shared" si="12"/>
        <v>0</v>
      </c>
      <c r="H104" s="24">
        <f t="shared" si="10"/>
        <v>453.38462026248817</v>
      </c>
      <c r="I104" s="12">
        <f t="shared" si="17"/>
        <v>0.30284354143170655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40.343775613128877</v>
      </c>
      <c r="F105" s="37">
        <f t="shared" si="11"/>
        <v>0</v>
      </c>
      <c r="G105" s="14">
        <f t="shared" si="12"/>
        <v>0</v>
      </c>
      <c r="H105" s="24">
        <f t="shared" si="10"/>
        <v>453.58083520575269</v>
      </c>
      <c r="I105" s="12">
        <f t="shared" si="17"/>
        <v>0.30345642841469295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40.647232041543568</v>
      </c>
      <c r="F106" s="37">
        <f t="shared" si="11"/>
        <v>0</v>
      </c>
      <c r="G106" s="14">
        <f t="shared" si="12"/>
        <v>0</v>
      </c>
      <c r="H106" s="24">
        <f t="shared" si="10"/>
        <v>453.77718574334153</v>
      </c>
      <c r="I106" s="12">
        <f t="shared" si="17"/>
        <v>0.30405803265543152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40.951290074199001</v>
      </c>
      <c r="F107" s="37">
        <f t="shared" si="11"/>
        <v>0</v>
      </c>
      <c r="G107" s="14">
        <f t="shared" si="12"/>
        <v>0</v>
      </c>
      <c r="H107" s="24">
        <f t="shared" si="10"/>
        <v>453.97366337667842</v>
      </c>
      <c r="I107" s="12">
        <f t="shared" si="17"/>
        <v>0.30464861480897359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41.255938689007976</v>
      </c>
      <c r="F108" s="37">
        <f t="shared" si="11"/>
        <v>0</v>
      </c>
      <c r="G108" s="14">
        <f t="shared" si="12"/>
        <v>0</v>
      </c>
      <c r="H108" s="24">
        <f t="shared" si="10"/>
        <v>454.17025981554866</v>
      </c>
      <c r="I108" s="12">
        <f t="shared" si="17"/>
        <v>0.30522842694893376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41.561167115956913</v>
      </c>
      <c r="F109" s="37">
        <f t="shared" si="11"/>
        <v>0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454.36696697152024</v>
      </c>
      <c r="I109" s="12">
        <f t="shared" si="17"/>
        <v>0.30579771294269992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41.866964828899611</v>
      </c>
      <c r="F110" s="37">
        <f t="shared" si="11"/>
        <v>0</v>
      </c>
      <c r="G110" s="14">
        <f t="shared" si="12"/>
        <v>0</v>
      </c>
      <c r="H110" s="24">
        <f t="shared" si="18"/>
        <v>454.56377695164468</v>
      </c>
      <c r="I110" s="12">
        <f t="shared" si="17"/>
        <v>0.30635670880620797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42.173321537705817</v>
      </c>
      <c r="F111" s="37">
        <f t="shared" si="11"/>
        <v>0</v>
      </c>
      <c r="G111" s="14">
        <f t="shared" si="12"/>
        <v>0</v>
      </c>
      <c r="H111" s="24">
        <f t="shared" si="18"/>
        <v>454.76068205242234</v>
      </c>
      <c r="I111" s="12">
        <f t="shared" si="17"/>
        <v>0.3069056430396071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42.480227180745423</v>
      </c>
      <c r="F112" s="37">
        <f t="shared" si="11"/>
        <v>0</v>
      </c>
      <c r="G112" s="14">
        <f t="shared" si="12"/>
        <v>0</v>
      </c>
      <c r="H112" s="24">
        <f t="shared" si="18"/>
        <v>454.95767475401681</v>
      </c>
      <c r="I112" s="12">
        <f t="shared" si="17"/>
        <v>0.30744473694504443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42.787671917690467</v>
      </c>
      <c r="F113" s="37">
        <f t="shared" si="11"/>
        <v>0</v>
      </c>
      <c r="G113" s="14">
        <f t="shared" si="12"/>
        <v>0</v>
      </c>
      <c r="H113" s="24">
        <f t="shared" si="18"/>
        <v>455.15474771470815</v>
      </c>
      <c r="I113" s="12">
        <f t="shared" si="17"/>
        <v>0.30797420492770117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43.09564612261817</v>
      </c>
      <c r="F114" s="37">
        <f t="shared" si="11"/>
        <v>0</v>
      </c>
      <c r="G114" s="14">
        <f t="shared" si="12"/>
        <v>0</v>
      </c>
      <c r="H114" s="24">
        <f t="shared" si="18"/>
        <v>455.35189376556912</v>
      </c>
      <c r="I114" s="12">
        <f t="shared" si="17"/>
        <v>0.30849425478113596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43.404140377399308</v>
      </c>
      <c r="F115" s="37">
        <f t="shared" si="11"/>
        <v>0</v>
      </c>
      <c r="G115" s="14">
        <f t="shared" si="12"/>
        <v>0</v>
      </c>
      <c r="H115" s="24">
        <f t="shared" si="18"/>
        <v>455.54910590535616</v>
      </c>
      <c r="I115" s="12">
        <f t="shared" si="17"/>
        <v>0.30900508795790815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43.713145465357215</v>
      </c>
      <c r="F116" s="37">
        <f t="shared" si="11"/>
        <v>0</v>
      </c>
      <c r="G116" s="14">
        <f t="shared" si="12"/>
        <v>0</v>
      </c>
      <c r="H116" s="24">
        <f t="shared" si="18"/>
        <v>455.74637729560214</v>
      </c>
      <c r="I116" s="12">
        <f t="shared" si="17"/>
        <v>0.30950689982638846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44.022652365183603</v>
      </c>
      <c r="F117" s="37">
        <f t="shared" si="11"/>
        <v>0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455.94370125590109</v>
      </c>
      <c r="I117" s="12">
        <f t="shared" si="17"/>
        <v>0.30999987991459693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44.332652245098203</v>
      </c>
      <c r="F118" s="37">
        <f t="shared" si="11"/>
        <v>0</v>
      </c>
      <c r="G118" s="14">
        <f t="shared" si="12"/>
        <v>0</v>
      </c>
      <c r="H118" s="24">
        <f t="shared" si="19"/>
        <v>456.14107125937716</v>
      </c>
      <c r="I118" s="12">
        <f t="shared" si="17"/>
        <v>0.31048421214184996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44.643136457240054</v>
      </c>
      <c r="F119" s="37">
        <f t="shared" si="11"/>
        <v>0</v>
      </c>
      <c r="G119" s="14">
        <f t="shared" si="12"/>
        <v>0</v>
      </c>
      <c r="H119" s="24">
        <f t="shared" si="19"/>
        <v>456.33848092832528</v>
      </c>
      <c r="I119" s="12">
        <f t="shared" si="17"/>
        <v>0.31096007503894524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44.954096532278996</v>
      </c>
      <c r="F120" s="37">
        <f t="shared" si="11"/>
        <v>0</v>
      </c>
      <c r="G120" s="14">
        <f t="shared" si="12"/>
        <v>0</v>
      </c>
      <c r="H120" s="24">
        <f t="shared" si="19"/>
        <v>456.53592403001932</v>
      </c>
      <c r="I120" s="12">
        <f t="shared" si="17"/>
        <v>0.31142764195755906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45.265524174236553</v>
      </c>
      <c r="F121" s="37">
        <f t="shared" si="11"/>
        <v>0</v>
      </c>
      <c r="G121" s="14">
        <f t="shared" si="12"/>
        <v>0</v>
      </c>
      <c r="H121" s="24">
        <f t="shared" si="19"/>
        <v>456.73339447267637</v>
      </c>
      <c r="I121" s="12">
        <f t="shared" si="17"/>
        <v>0.31188708126948805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45.577411255506043</v>
      </c>
      <c r="F122" s="37">
        <f t="shared" si="11"/>
        <v>0</v>
      </c>
      <c r="G122" s="14">
        <f t="shared" si="12"/>
        <v>0</v>
      </c>
      <c r="H122" s="24">
        <f t="shared" si="19"/>
        <v>456.93088630157092</v>
      </c>
      <c r="I122" s="12">
        <f t="shared" si="17"/>
        <v>0.31233855655632548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45.889749812062369</v>
      </c>
      <c r="F123" s="37">
        <f t="shared" si="11"/>
        <v>0</v>
      </c>
      <c r="G123" s="14">
        <f t="shared" si="12"/>
        <v>0</v>
      </c>
      <c r="H123" s="24">
        <f t="shared" si="19"/>
        <v>457.1283936952932</v>
      </c>
      <c r="I123" s="12">
        <f t="shared" si="17"/>
        <v>0.31278222679011453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46.202532038852482</v>
      </c>
      <c r="F124" s="37">
        <f t="shared" si="11"/>
        <v>0</v>
      </c>
      <c r="G124" s="14">
        <f t="shared" si="12"/>
        <v>0</v>
      </c>
      <c r="H124" s="24">
        <f t="shared" si="19"/>
        <v>457.32591096214185</v>
      </c>
      <c r="I124" s="12">
        <f t="shared" si="17"/>
        <v>0.31321824650549934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46.515750285357981</v>
      </c>
      <c r="F125" s="37">
        <f t="shared" si="11"/>
        <v>0</v>
      </c>
      <c r="G125" s="14">
        <f t="shared" si="12"/>
        <v>0</v>
      </c>
      <c r="H125" s="24">
        <f t="shared" si="19"/>
        <v>457.52343253664822</v>
      </c>
      <c r="I125" s="12">
        <f t="shared" si="17"/>
        <v>0.313646765963844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46.829397051321827</v>
      </c>
      <c r="F126" s="37">
        <f t="shared" si="11"/>
        <v>0</v>
      </c>
      <c r="G126" s="14">
        <f t="shared" si="12"/>
        <v>0</v>
      </c>
      <c r="H126" s="24">
        <f t="shared" si="19"/>
        <v>457.72095297622366</v>
      </c>
      <c r="I126" s="12">
        <f t="shared" si="17"/>
        <v>0.31406793130977279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47.143464982631599</v>
      </c>
      <c r="F127" s="37">
        <f t="shared" si="11"/>
        <v>0</v>
      </c>
      <c r="G127" s="14">
        <f t="shared" si="12"/>
        <v>0</v>
      </c>
      <c r="H127" s="24">
        <f t="shared" si="19"/>
        <v>457.91846695792572</v>
      </c>
      <c r="I127" s="12">
        <f t="shared" si="17"/>
        <v>0.31448188472054617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47.457946867352142</v>
      </c>
      <c r="F128" s="37">
        <f t="shared" si="11"/>
        <v>0</v>
      </c>
      <c r="G128" s="14">
        <f t="shared" si="12"/>
        <v>0</v>
      </c>
      <c r="H128" s="24">
        <f t="shared" si="19"/>
        <v>458.11596927533708</v>
      </c>
      <c r="I128" s="12">
        <f t="shared" si="17"/>
        <v>0.31488876454866727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47.772835631900811</v>
      </c>
      <c r="F129" s="37">
        <f t="shared" si="11"/>
        <v>0</v>
      </c>
      <c r="G129" s="14">
        <f t="shared" si="12"/>
        <v>0</v>
      </c>
      <c r="H129" s="24">
        <f t="shared" si="19"/>
        <v>458.31345483555259</v>
      </c>
      <c r="I129" s="12">
        <f t="shared" si="17"/>
        <v>0.31528870545808302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48.088124337358892</v>
      </c>
      <c r="F130" s="37">
        <f t="shared" si="11"/>
        <v>0</v>
      </c>
      <c r="G130" s="14">
        <f t="shared" si="12"/>
        <v>0</v>
      </c>
      <c r="H130" s="24">
        <f t="shared" si="19"/>
        <v>458.51091865627012</v>
      </c>
      <c r="I130" s="12">
        <f t="shared" si="17"/>
        <v>0.31568183855432524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48.403806175913218</v>
      </c>
      <c r="F131" s="37">
        <f t="shared" si="11"/>
        <v>0</v>
      </c>
      <c r="G131" s="14">
        <f t="shared" si="12"/>
        <v>0</v>
      </c>
      <c r="H131" s="24">
        <f t="shared" si="19"/>
        <v>458.70835586297954</v>
      </c>
      <c r="I131" s="12">
        <f t="shared" si="17"/>
        <v>0.31606829150891402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48.71987446742213</v>
      </c>
      <c r="F132" s="37">
        <f t="shared" si="11"/>
        <v>0</v>
      </c>
      <c r="G132" s="14">
        <f t="shared" si="12"/>
        <v>0</v>
      </c>
      <c r="H132" s="24">
        <f t="shared" si="19"/>
        <v>458.90576168624665</v>
      </c>
      <c r="I132" s="12">
        <f t="shared" si="17"/>
        <v>0.31644818867832553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49.036322656100452</v>
      </c>
      <c r="F133" s="37">
        <f t="shared" si="11"/>
        <v>0</v>
      </c>
      <c r="G133" s="14">
        <f t="shared" si="12"/>
        <v>0</v>
      </c>
      <c r="H133" s="24">
        <f t="shared" si="19"/>
        <v>459.10313145908788</v>
      </c>
      <c r="I133" s="12">
        <f t="shared" si="17"/>
        <v>0.31682165121780786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49.35314430731826</v>
      </c>
      <c r="F134" s="37">
        <f t="shared" si="11"/>
        <v>0</v>
      </c>
      <c r="G134" s="14">
        <f t="shared" si="12"/>
        <v>0</v>
      </c>
      <c r="H134" s="24">
        <f t="shared" si="19"/>
        <v>459.30046061443079</v>
      </c>
      <c r="I134" s="12">
        <f t="shared" si="17"/>
        <v>0.31718879719031312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49.670333104508572</v>
      </c>
      <c r="F135" s="37">
        <f t="shared" si="11"/>
        <v>0</v>
      </c>
      <c r="G135" s="14">
        <f t="shared" si="12"/>
        <v>0</v>
      </c>
      <c r="H135" s="24">
        <f t="shared" si="19"/>
        <v>459.49774468265895</v>
      </c>
      <c r="I135" s="12">
        <f t="shared" si="17"/>
        <v>0.31754974167079497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49.987882846179367</v>
      </c>
      <c r="F136" s="37">
        <f t="shared" si="11"/>
        <v>0</v>
      </c>
      <c r="G136" s="14">
        <f t="shared" si="12"/>
        <v>0</v>
      </c>
      <c r="H136" s="24">
        <f t="shared" si="19"/>
        <v>459.69497928923516</v>
      </c>
      <c r="I136" s="12">
        <f t="shared" si="17"/>
        <v>0.31790459684610828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50.305787443025473</v>
      </c>
      <c r="F137" s="37">
        <f t="shared" si="11"/>
        <v>0</v>
      </c>
      <c r="G137" s="14">
        <f t="shared" si="12"/>
        <v>0</v>
      </c>
      <c r="H137" s="24">
        <f t="shared" si="19"/>
        <v>459.89216015240197</v>
      </c>
      <c r="I137" s="12">
        <f t="shared" si="17"/>
        <v>0.31825347211073307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50.624040915136206</v>
      </c>
      <c r="F138" s="37">
        <f t="shared" si="11"/>
        <v>0</v>
      </c>
      <c r="G138" s="14">
        <f t="shared" si="12"/>
        <v>0</v>
      </c>
      <c r="H138" s="24">
        <f t="shared" si="19"/>
        <v>460.08928308095466</v>
      </c>
      <c r="I138" s="12">
        <f t="shared" si="17"/>
        <v>0.31859647415853087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50.942637389294738</v>
      </c>
      <c r="F139" s="37">
        <f t="shared" si="11"/>
        <v>0</v>
      </c>
      <c r="G139" s="14">
        <f t="shared" si="12"/>
        <v>0</v>
      </c>
      <c r="H139" s="24">
        <f t="shared" si="19"/>
        <v>460.28634397208515</v>
      </c>
      <c r="I139" s="12">
        <f t="shared" si="17"/>
        <v>0.31893370707073077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51.261571096365472</v>
      </c>
      <c r="F140" s="37">
        <f t="shared" si="11"/>
        <v>0</v>
      </c>
      <c r="G140" s="14">
        <f t="shared" si="12"/>
        <v>0</v>
      </c>
      <c r="H140" s="24">
        <f t="shared" si="19"/>
        <v>460.483338809293</v>
      </c>
      <c r="I140" s="12">
        <f t="shared" si="17"/>
        <v>0.31926527240033065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51.580836368765802</v>
      </c>
      <c r="F141" s="37">
        <f t="shared" si="11"/>
        <v>0</v>
      </c>
      <c r="G141" s="14">
        <f t="shared" si="12"/>
        <v>0</v>
      </c>
      <c r="H141" s="24">
        <f t="shared" si="19"/>
        <v>460.68026366036111</v>
      </c>
      <c r="I141" s="12">
        <f t="shared" si="17"/>
        <v>0.31959126925308878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51.90042763801889</v>
      </c>
      <c r="F142" s="37">
        <f t="shared" si="11"/>
        <v>0</v>
      </c>
      <c r="G142" s="14">
        <f t="shared" si="12"/>
        <v>0</v>
      </c>
      <c r="H142" s="24">
        <f t="shared" si="19"/>
        <v>460.8771146753939</v>
      </c>
      <c r="I142" s="12">
        <f t="shared" si="17"/>
        <v>0.31991179436526906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52.220339432384158</v>
      </c>
      <c r="F143" s="37">
        <f t="shared" si="11"/>
        <v>0</v>
      </c>
      <c r="G143" s="14">
        <f t="shared" si="12"/>
        <v>0</v>
      </c>
      <c r="H143" s="24">
        <f t="shared" si="19"/>
        <v>461.0738880849151</v>
      </c>
      <c r="I143" s="12">
        <f t="shared" si="17"/>
        <v>0.32022694217829911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52.540566374562459</v>
      </c>
      <c r="F144" s="37">
        <f t="shared" si="11"/>
        <v>0</v>
      </c>
      <c r="G144" s="14">
        <f t="shared" si="12"/>
        <v>0</v>
      </c>
      <c r="H144" s="24">
        <f t="shared" si="19"/>
        <v>461.27058019802314</v>
      </c>
      <c r="I144" s="12">
        <f t="shared" si="17"/>
        <v>0.32053680491048353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52.861103179472941</v>
      </c>
      <c r="F145" s="37">
        <f t="shared" si="11"/>
        <v>0</v>
      </c>
      <c r="G145" s="14">
        <f t="shared" si="12"/>
        <v>0</v>
      </c>
      <c r="H145" s="24">
        <f t="shared" si="19"/>
        <v>461.46718740060169</v>
      </c>
      <c r="I145" s="12">
        <f t="shared" si="17"/>
        <v>0.32084147262591595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53.181944652098856</v>
      </c>
      <c r="F146" s="37">
        <f t="shared" si="11"/>
        <v>0</v>
      </c>
      <c r="G146" s="14">
        <f t="shared" si="12"/>
        <v>0</v>
      </c>
      <c r="H146" s="24">
        <f t="shared" si="19"/>
        <v>461.66370615358329</v>
      </c>
      <c r="I146" s="12">
        <f t="shared" si="17"/>
        <v>0.32114103330071758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53.503085685399576</v>
      </c>
      <c r="F147" s="37">
        <f t="shared" si="11"/>
        <v>0</v>
      </c>
      <c r="G147" s="14">
        <f t="shared" si="12"/>
        <v>0</v>
      </c>
      <c r="H147" s="24">
        <f t="shared" si="19"/>
        <v>461.86013299126466</v>
      </c>
      <c r="I147" s="12">
        <f t="shared" si="17"/>
        <v>0.32143557288672842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53.824521258286303</v>
      </c>
      <c r="F148" s="37">
        <f t="shared" ref="F148:F211" si="20">Cp*RhoP/(RhoA*H148)*dp/1000*MassivP</f>
        <v>0</v>
      </c>
      <c r="G148" s="14">
        <f t="shared" ref="G148:G211" si="21">Phi*EpsilonF*Botzman/10^8*J148*((D148+273)^4-(E148+273)^4)</f>
        <v>0</v>
      </c>
      <c r="H148" s="24">
        <f t="shared" si="19"/>
        <v>462.0564645196705</v>
      </c>
      <c r="I148" s="12">
        <f t="shared" si="17"/>
        <v>0.32172517537276757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54.146246433659073</v>
      </c>
      <c r="F149" s="37">
        <f t="shared" si="20"/>
        <v>0</v>
      </c>
      <c r="G149" s="14">
        <f t="shared" si="21"/>
        <v>0</v>
      </c>
      <c r="H149" s="24">
        <f t="shared" si="19"/>
        <v>462.25269741496527</v>
      </c>
      <c r="I149" s="12">
        <f t="shared" ref="I149:I212" si="26">LambdaP*MassivP/(dp/1000)/(H149*RhoA)/(1+F149/3)*(D149-E149)*DeltaT-(EXP(F149/10)-1)*(D149-D148)</f>
        <v>0.32200992284357499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54.46825635650265</v>
      </c>
      <c r="F150" s="37">
        <f t="shared" si="20"/>
        <v>0</v>
      </c>
      <c r="G150" s="14">
        <f t="shared" si="21"/>
        <v>0</v>
      </c>
      <c r="H150" s="24">
        <f t="shared" si="19"/>
        <v>462.44882842191032</v>
      </c>
      <c r="I150" s="12">
        <f t="shared" si="26"/>
        <v>0.32228989553653836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54.790546252039185</v>
      </c>
      <c r="F151" s="37">
        <f t="shared" si="20"/>
        <v>0</v>
      </c>
      <c r="G151" s="14">
        <f t="shared" si="21"/>
        <v>0</v>
      </c>
      <c r="H151" s="24">
        <f t="shared" si="19"/>
        <v>462.64485435236554</v>
      </c>
      <c r="I151" s="12">
        <f t="shared" si="26"/>
        <v>0.3225651718963054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55.113111423935493</v>
      </c>
      <c r="F152" s="37">
        <f t="shared" si="20"/>
        <v>0</v>
      </c>
      <c r="G152" s="14">
        <f t="shared" si="21"/>
        <v>0</v>
      </c>
      <c r="H152" s="24">
        <f t="shared" si="19"/>
        <v>462.84077208383269</v>
      </c>
      <c r="I152" s="12">
        <f t="shared" si="26"/>
        <v>0.32283582862737759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55.435947252562869</v>
      </c>
      <c r="F153" s="37">
        <f t="shared" si="20"/>
        <v>0</v>
      </c>
      <c r="G153" s="14">
        <f t="shared" si="21"/>
        <v>0</v>
      </c>
      <c r="H153" s="24">
        <f t="shared" si="19"/>
        <v>463.03657855804005</v>
      </c>
      <c r="I153" s="12">
        <f t="shared" si="26"/>
        <v>0.32310194074477211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55.759049193307639</v>
      </c>
      <c r="F154" s="37">
        <f t="shared" si="20"/>
        <v>0</v>
      </c>
      <c r="G154" s="14">
        <f t="shared" si="21"/>
        <v>0</v>
      </c>
      <c r="H154" s="24">
        <f t="shared" si="19"/>
        <v>463.23227077956676</v>
      </c>
      <c r="I154" s="12">
        <f t="shared" si="26"/>
        <v>0.32336358162283907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56.082412774930475</v>
      </c>
      <c r="F155" s="37">
        <f t="shared" si="20"/>
        <v>0</v>
      </c>
      <c r="G155" s="14">
        <f t="shared" si="21"/>
        <v>0</v>
      </c>
      <c r="H155" s="24">
        <f t="shared" si="19"/>
        <v>463.42784581450462</v>
      </c>
      <c r="I155" s="12">
        <f t="shared" si="26"/>
        <v>0.32362082304231382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56.406033597972787</v>
      </c>
      <c r="F156" s="37">
        <f t="shared" si="20"/>
        <v>0</v>
      </c>
      <c r="G156" s="14">
        <f t="shared" si="21"/>
        <v>0</v>
      </c>
      <c r="H156" s="24">
        <f t="shared" si="19"/>
        <v>463.62330078915687</v>
      </c>
      <c r="I156" s="12">
        <f t="shared" si="26"/>
        <v>0.32387373523568208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56.729907333208466</v>
      </c>
      <c r="F157" s="37">
        <f t="shared" si="20"/>
        <v>0</v>
      </c>
      <c r="G157" s="14">
        <f t="shared" si="21"/>
        <v>0</v>
      </c>
      <c r="H157" s="24">
        <f t="shared" si="19"/>
        <v>463.81863288877264</v>
      </c>
      <c r="I157" s="12">
        <f t="shared" si="26"/>
        <v>0.32412238693092699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57.05402972013939</v>
      </c>
      <c r="F158" s="37">
        <f t="shared" si="20"/>
        <v>0</v>
      </c>
      <c r="G158" s="14">
        <f t="shared" si="21"/>
        <v>0</v>
      </c>
      <c r="H158" s="24">
        <f t="shared" si="19"/>
        <v>464.01383935631503</v>
      </c>
      <c r="I158" s="12">
        <f t="shared" si="26"/>
        <v>0.32436684539373284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57.378396565533123</v>
      </c>
      <c r="F159" s="37">
        <f t="shared" si="20"/>
        <v>0</v>
      </c>
      <c r="G159" s="14">
        <f t="shared" si="21"/>
        <v>0</v>
      </c>
      <c r="H159" s="24">
        <f t="shared" si="19"/>
        <v>464.20891749126309</v>
      </c>
      <c r="I159" s="12">
        <f t="shared" si="26"/>
        <v>0.32460717646820508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57.703003742001329</v>
      </c>
      <c r="F160" s="37">
        <f t="shared" si="20"/>
        <v>0</v>
      </c>
      <c r="G160" s="14">
        <f t="shared" si="21"/>
        <v>0</v>
      </c>
      <c r="H160" s="24">
        <f t="shared" si="19"/>
        <v>464.4038646484446</v>
      </c>
      <c r="I160" s="12">
        <f t="shared" si="26"/>
        <v>0.3248434446161732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58.0278471866175</v>
      </c>
      <c r="F161" s="37">
        <f t="shared" si="20"/>
        <v>0</v>
      </c>
      <c r="G161" s="14">
        <f t="shared" si="21"/>
        <v>0</v>
      </c>
      <c r="H161" s="24">
        <f t="shared" si="19"/>
        <v>464.59867823690087</v>
      </c>
      <c r="I161" s="12">
        <f t="shared" si="26"/>
        <v>0.32507571295513465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58.352922899572633</v>
      </c>
      <c r="F162" s="37">
        <f t="shared" si="20"/>
        <v>0</v>
      </c>
      <c r="G162" s="14">
        <f t="shared" si="21"/>
        <v>0</v>
      </c>
      <c r="H162" s="24">
        <f t="shared" si="19"/>
        <v>464.79335571878011</v>
      </c>
      <c r="I162" s="12">
        <f t="shared" si="26"/>
        <v>0.32530404329489454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58.678226942867525</v>
      </c>
      <c r="F163" s="37">
        <f t="shared" si="20"/>
        <v>0</v>
      </c>
      <c r="G163" s="14">
        <f t="shared" si="21"/>
        <v>0</v>
      </c>
      <c r="H163" s="24">
        <f t="shared" si="19"/>
        <v>464.987894608261</v>
      </c>
      <c r="I163" s="12">
        <f t="shared" si="26"/>
        <v>0.32552849617295698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59.003755439040482</v>
      </c>
      <c r="F164" s="37">
        <f t="shared" si="20"/>
        <v>0</v>
      </c>
      <c r="G164" s="14">
        <f t="shared" si="21"/>
        <v>0</v>
      </c>
      <c r="H164" s="24">
        <f t="shared" si="19"/>
        <v>465.18229247050289</v>
      </c>
      <c r="I164" s="12">
        <f t="shared" si="26"/>
        <v>0.32574913088871865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59.329504569929199</v>
      </c>
      <c r="F165" s="37">
        <f t="shared" si="20"/>
        <v>0</v>
      </c>
      <c r="G165" s="14">
        <f t="shared" si="21"/>
        <v>0</v>
      </c>
      <c r="H165" s="24">
        <f t="shared" si="19"/>
        <v>465.37654692062341</v>
      </c>
      <c r="I165" s="12">
        <f t="shared" si="26"/>
        <v>0.32596600553651262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59.655470575465714</v>
      </c>
      <c r="F166" s="37">
        <f t="shared" si="20"/>
        <v>0</v>
      </c>
      <c r="G166" s="14">
        <f t="shared" si="21"/>
        <v>0</v>
      </c>
      <c r="H166" s="24">
        <f t="shared" si="19"/>
        <v>465.57065562270253</v>
      </c>
      <c r="I166" s="12">
        <f t="shared" si="26"/>
        <v>0.32617917703754906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59.981649752503266</v>
      </c>
      <c r="F167" s="37">
        <f t="shared" si="20"/>
        <v>0</v>
      </c>
      <c r="G167" s="14">
        <f t="shared" si="21"/>
        <v>0</v>
      </c>
      <c r="H167" s="24">
        <f t="shared" si="19"/>
        <v>465.76461628881123</v>
      </c>
      <c r="I167" s="12">
        <f t="shared" si="26"/>
        <v>0.32638870117079782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60.308038453674065</v>
      </c>
      <c r="F168" s="37">
        <f t="shared" si="20"/>
        <v>0</v>
      </c>
      <c r="G168" s="14">
        <f t="shared" si="21"/>
        <v>0</v>
      </c>
      <c r="H168" s="24">
        <f t="shared" si="19"/>
        <v>465.95842667806494</v>
      </c>
      <c r="I168" s="12">
        <f t="shared" si="26"/>
        <v>0.32659463260285349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60.634633086276921</v>
      </c>
      <c r="F169" s="37">
        <f t="shared" si="20"/>
        <v>0</v>
      </c>
      <c r="G169" s="14">
        <f t="shared" si="21"/>
        <v>0</v>
      </c>
      <c r="H169" s="24">
        <f t="shared" si="19"/>
        <v>466.15208459570061</v>
      </c>
      <c r="I169" s="12">
        <f t="shared" si="26"/>
        <v>0.32679702491682477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60.961430111193742</v>
      </c>
      <c r="F170" s="37">
        <f t="shared" si="20"/>
        <v>0</v>
      </c>
      <c r="G170" s="14">
        <f t="shared" si="21"/>
        <v>0</v>
      </c>
      <c r="H170" s="24">
        <f t="shared" si="19"/>
        <v>466.34558789217658</v>
      </c>
      <c r="I170" s="12">
        <f t="shared" si="26"/>
        <v>0.32699593064028537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61.288426041834029</v>
      </c>
      <c r="F171" s="37">
        <f t="shared" si="20"/>
        <v>0</v>
      </c>
      <c r="G171" s="14">
        <f t="shared" si="21"/>
        <v>0</v>
      </c>
      <c r="H171" s="24">
        <f t="shared" si="19"/>
        <v>466.53893446229478</v>
      </c>
      <c r="I171" s="12">
        <f t="shared" si="26"/>
        <v>0.32719140127232377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61.615617443106352</v>
      </c>
      <c r="F172" s="37">
        <f t="shared" si="20"/>
        <v>0</v>
      </c>
      <c r="G172" s="14">
        <f t="shared" si="21"/>
        <v>0</v>
      </c>
      <c r="H172" s="24">
        <f t="shared" si="19"/>
        <v>466.73212224434394</v>
      </c>
      <c r="I172" s="12">
        <f t="shared" si="26"/>
        <v>0.327383487309726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61.943000930416076</v>
      </c>
      <c r="F173" s="37">
        <f t="shared" si="20"/>
        <v>0</v>
      </c>
      <c r="G173" s="14">
        <f t="shared" si="21"/>
        <v>0</v>
      </c>
      <c r="H173" s="24">
        <f t="shared" si="19"/>
        <v>466.92514921926471</v>
      </c>
      <c r="I173" s="12">
        <f t="shared" si="26"/>
        <v>0.32757223827232529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62.270573168688401</v>
      </c>
      <c r="F174" s="37">
        <f t="shared" si="20"/>
        <v>0</v>
      </c>
      <c r="G174" s="14">
        <f t="shared" si="21"/>
        <v>0</v>
      </c>
      <c r="H174" s="24">
        <f t="shared" si="19"/>
        <v>467.11801340983345</v>
      </c>
      <c r="I174" s="12">
        <f t="shared" si="26"/>
        <v>0.32775770272755078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62.598330871415953</v>
      </c>
      <c r="F175" s="37">
        <f t="shared" si="20"/>
        <v>0</v>
      </c>
      <c r="G175" s="14">
        <f t="shared" si="21"/>
        <v>0</v>
      </c>
      <c r="H175" s="24">
        <f t="shared" si="19"/>
        <v>467.31071287986714</v>
      </c>
      <c r="I175" s="12">
        <f t="shared" si="26"/>
        <v>0.32793992831420421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62.926270799730155</v>
      </c>
      <c r="F176" s="37">
        <f t="shared" si="20"/>
        <v>0</v>
      </c>
      <c r="G176" s="14">
        <f t="shared" si="21"/>
        <v>0</v>
      </c>
      <c r="H176" s="24">
        <f t="shared" si="19"/>
        <v>467.50324573344591</v>
      </c>
      <c r="I176" s="12">
        <f t="shared" si="26"/>
        <v>0.32811896176549643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63.254389761495652</v>
      </c>
      <c r="F177" s="37">
        <f t="shared" si="20"/>
        <v>0</v>
      </c>
      <c r="G177" s="14">
        <f t="shared" si="21"/>
        <v>0</v>
      </c>
      <c r="H177" s="24">
        <f t="shared" si="19"/>
        <v>467.69561011415493</v>
      </c>
      <c r="I177" s="12">
        <f t="shared" si="26"/>
        <v>0.32829484893136829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63.582684610427023</v>
      </c>
      <c r="F178" s="37">
        <f t="shared" si="20"/>
        <v>0</v>
      </c>
      <c r="G178" s="14">
        <f t="shared" si="21"/>
        <v>0</v>
      </c>
      <c r="H178" s="24">
        <f t="shared" si="19"/>
        <v>467.88780420434392</v>
      </c>
      <c r="I178" s="12">
        <f t="shared" si="26"/>
        <v>0.32846763480012497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63.91115224522715</v>
      </c>
      <c r="F179" s="37">
        <f t="shared" si="20"/>
        <v>0</v>
      </c>
      <c r="G179" s="14">
        <f t="shared" si="21"/>
        <v>0</v>
      </c>
      <c r="H179" s="24">
        <f t="shared" si="19"/>
        <v>468.07982622440358</v>
      </c>
      <c r="I179" s="12">
        <f t="shared" si="26"/>
        <v>0.32863736351940814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64.239789608746563</v>
      </c>
      <c r="F180" s="37">
        <f t="shared" si="20"/>
        <v>0</v>
      </c>
      <c r="G180" s="14">
        <f t="shared" si="21"/>
        <v>0</v>
      </c>
      <c r="H180" s="24">
        <f t="shared" si="19"/>
        <v>468.27167443205929</v>
      </c>
      <c r="I180" s="12">
        <f t="shared" si="26"/>
        <v>0.32880407841653075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64.568593687163087</v>
      </c>
      <c r="F181" s="37">
        <f t="shared" si="20"/>
        <v>0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468.46334712168112</v>
      </c>
      <c r="I181" s="12">
        <f t="shared" si="26"/>
        <v>0.3289678220181963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64.897561509181287</v>
      </c>
      <c r="F182" s="37">
        <f t="shared" si="20"/>
        <v>0</v>
      </c>
      <c r="G182" s="14">
        <f t="shared" si="21"/>
        <v>0</v>
      </c>
      <c r="H182" s="24">
        <f t="shared" si="27"/>
        <v>468.65484262360934</v>
      </c>
      <c r="I182" s="12">
        <f t="shared" si="26"/>
        <v>0.32912863606962778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65.226690145250913</v>
      </c>
      <c r="F183" s="37">
        <f t="shared" si="20"/>
        <v>0</v>
      </c>
      <c r="G183" s="14">
        <f t="shared" si="21"/>
        <v>0</v>
      </c>
      <c r="H183" s="24">
        <f t="shared" si="27"/>
        <v>468.84615930349554</v>
      </c>
      <c r="I183" s="12">
        <f t="shared" si="26"/>
        <v>0.32928656155312491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65.555976706804032</v>
      </c>
      <c r="F184" s="37">
        <f t="shared" si="20"/>
        <v>0</v>
      </c>
      <c r="G184" s="14">
        <f t="shared" si="21"/>
        <v>0</v>
      </c>
      <c r="H184" s="24">
        <f t="shared" si="27"/>
        <v>469.03729556165899</v>
      </c>
      <c r="I184" s="12">
        <f t="shared" si="26"/>
        <v>0.32944163870607118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65.885418345510104</v>
      </c>
      <c r="F185" s="37">
        <f t="shared" si="20"/>
        <v>0</v>
      </c>
      <c r="G185" s="14">
        <f t="shared" si="21"/>
        <v>0</v>
      </c>
      <c r="H185" s="24">
        <f t="shared" si="27"/>
        <v>469.22824983245698</v>
      </c>
      <c r="I185" s="12">
        <f t="shared" si="26"/>
        <v>0.32959390703841052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66.215012252548519</v>
      </c>
      <c r="F186" s="37">
        <f t="shared" si="20"/>
        <v>0</v>
      </c>
      <c r="G186" s="14">
        <f t="shared" si="21"/>
        <v>0</v>
      </c>
      <c r="H186" s="24">
        <f t="shared" si="27"/>
        <v>469.41902058366941</v>
      </c>
      <c r="I186" s="12">
        <f t="shared" si="26"/>
        <v>0.32974340534961238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66.544755657898136</v>
      </c>
      <c r="F187" s="37">
        <f t="shared" si="20"/>
        <v>0</v>
      </c>
      <c r="G187" s="14">
        <f t="shared" si="21"/>
        <v>0</v>
      </c>
      <c r="H187" s="24">
        <f t="shared" si="27"/>
        <v>469.60960631589745</v>
      </c>
      <c r="I187" s="12">
        <f t="shared" si="26"/>
        <v>0.32989017174514274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66.874645829643285</v>
      </c>
      <c r="F188" s="37">
        <f t="shared" si="20"/>
        <v>0</v>
      </c>
      <c r="G188" s="14">
        <f t="shared" si="21"/>
        <v>0</v>
      </c>
      <c r="H188" s="24">
        <f t="shared" si="27"/>
        <v>469.80000556197524</v>
      </c>
      <c r="I188" s="12">
        <f t="shared" si="26"/>
        <v>0.33003424365245815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67.204680073295748</v>
      </c>
      <c r="F189" s="37">
        <f t="shared" si="20"/>
        <v>0</v>
      </c>
      <c r="G189" s="14">
        <f t="shared" si="21"/>
        <v>0</v>
      </c>
      <c r="H189" s="24">
        <f t="shared" si="27"/>
        <v>469.99021688639448</v>
      </c>
      <c r="I189" s="12">
        <f t="shared" si="26"/>
        <v>0.3301756578365414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67.534855731132296</v>
      </c>
      <c r="F190" s="37">
        <f t="shared" si="20"/>
        <v>0</v>
      </c>
      <c r="G190" s="14">
        <f t="shared" si="21"/>
        <v>0</v>
      </c>
      <c r="H190" s="24">
        <f t="shared" si="27"/>
        <v>470.18023888474175</v>
      </c>
      <c r="I190" s="12">
        <f t="shared" si="26"/>
        <v>0.33031445041499141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67.865170181547285</v>
      </c>
      <c r="F191" s="37">
        <f t="shared" si="20"/>
        <v>0</v>
      </c>
      <c r="G191" s="14">
        <f t="shared" si="21"/>
        <v>0</v>
      </c>
      <c r="H191" s="24">
        <f t="shared" si="27"/>
        <v>470.37007018314819</v>
      </c>
      <c r="I191" s="12">
        <f t="shared" si="26"/>
        <v>0.33045065687268499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68.19562083841997</v>
      </c>
      <c r="F192" s="37">
        <f t="shared" si="20"/>
        <v>0</v>
      </c>
      <c r="G192" s="14">
        <f t="shared" si="21"/>
        <v>0</v>
      </c>
      <c r="H192" s="24">
        <f t="shared" si="27"/>
        <v>470.5597094377506</v>
      </c>
      <c r="I192" s="12">
        <f t="shared" si="26"/>
        <v>0.33058431207602518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68.526205150495997</v>
      </c>
      <c r="F193" s="37">
        <f t="shared" si="20"/>
        <v>0</v>
      </c>
      <c r="G193" s="14">
        <f t="shared" si="21"/>
        <v>0</v>
      </c>
      <c r="H193" s="24">
        <f t="shared" si="27"/>
        <v>470.74915533416515</v>
      </c>
      <c r="I193" s="12">
        <f t="shared" si="26"/>
        <v>0.3307154502867885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68.856920600782786</v>
      </c>
      <c r="F194" s="37">
        <f t="shared" si="20"/>
        <v>0</v>
      </c>
      <c r="G194" s="14">
        <f t="shared" si="21"/>
        <v>0</v>
      </c>
      <c r="H194" s="24">
        <f t="shared" si="27"/>
        <v>470.93840658697115</v>
      </c>
      <c r="I194" s="12">
        <f t="shared" si="26"/>
        <v>0.33084410517558649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69.187764705958372</v>
      </c>
      <c r="F195" s="37">
        <f t="shared" si="20"/>
        <v>0</v>
      </c>
      <c r="G195" s="14">
        <f t="shared" si="21"/>
        <v>0</v>
      </c>
      <c r="H195" s="24">
        <f t="shared" si="27"/>
        <v>471.12746193920657</v>
      </c>
      <c r="I195" s="12">
        <f t="shared" si="26"/>
        <v>0.33097030983495301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69.518735015793325</v>
      </c>
      <c r="F196" s="37">
        <f t="shared" si="20"/>
        <v>0</v>
      </c>
      <c r="G196" s="14">
        <f t="shared" si="21"/>
        <v>0</v>
      </c>
      <c r="H196" s="24">
        <f t="shared" si="27"/>
        <v>471.3163201618741</v>
      </c>
      <c r="I196" s="12">
        <f t="shared" si="26"/>
        <v>0.33109409679207058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69.849829112585397</v>
      </c>
      <c r="F197" s="37">
        <f t="shared" si="20"/>
        <v>0</v>
      </c>
      <c r="G197" s="14">
        <f t="shared" si="21"/>
        <v>0</v>
      </c>
      <c r="H197" s="24">
        <f t="shared" si="27"/>
        <v>471.50498005345747</v>
      </c>
      <c r="I197" s="12">
        <f t="shared" si="26"/>
        <v>0.33121549802114858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70.181044610606548</v>
      </c>
      <c r="F198" s="37">
        <f t="shared" si="20"/>
        <v>0</v>
      </c>
      <c r="G198" s="14">
        <f t="shared" si="21"/>
        <v>0</v>
      </c>
      <c r="H198" s="24">
        <f t="shared" si="27"/>
        <v>471.69344043944824</v>
      </c>
      <c r="I198" s="12">
        <f t="shared" si="26"/>
        <v>0.3313345449554625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70.512379155562016</v>
      </c>
      <c r="F199" s="37">
        <f t="shared" si="20"/>
        <v>0</v>
      </c>
      <c r="G199" s="14">
        <f t="shared" si="21"/>
        <v>0</v>
      </c>
      <c r="H199" s="24">
        <f t="shared" si="27"/>
        <v>471.88170017188196</v>
      </c>
      <c r="I199" s="12">
        <f t="shared" si="26"/>
        <v>0.33145126849906675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70.843830424061082</v>
      </c>
      <c r="F200" s="37">
        <f t="shared" si="20"/>
        <v>0</v>
      </c>
      <c r="G200" s="14">
        <f t="shared" si="21"/>
        <v>0</v>
      </c>
      <c r="H200" s="24">
        <f t="shared" si="27"/>
        <v>472.06975812888419</v>
      </c>
      <c r="I200" s="12">
        <f t="shared" si="26"/>
        <v>0.33156569903819322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71.175396123099276</v>
      </c>
      <c r="F201" s="37">
        <f t="shared" si="20"/>
        <v>0</v>
      </c>
      <c r="G201" s="14">
        <f t="shared" si="21"/>
        <v>0</v>
      </c>
      <c r="H201" s="24">
        <f t="shared" si="27"/>
        <v>472.25761321422624</v>
      </c>
      <c r="I201" s="12">
        <f t="shared" si="26"/>
        <v>0.33167786645234226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71.507073989551614</v>
      </c>
      <c r="F202" s="37">
        <f t="shared" si="20"/>
        <v>0</v>
      </c>
      <c r="G202" s="14">
        <f t="shared" si="21"/>
        <v>0</v>
      </c>
      <c r="H202" s="24">
        <f t="shared" si="27"/>
        <v>472.44526435688914</v>
      </c>
      <c r="I202" s="12">
        <f t="shared" si="26"/>
        <v>0.33178780012507891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71.838861789676699</v>
      </c>
      <c r="F203" s="37">
        <f t="shared" si="20"/>
        <v>0</v>
      </c>
      <c r="G203" s="14">
        <f t="shared" si="21"/>
        <v>0</v>
      </c>
      <c r="H203" s="24">
        <f t="shared" si="27"/>
        <v>472.63271051063748</v>
      </c>
      <c r="I203" s="12">
        <f t="shared" si="26"/>
        <v>0.3318955289545425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72.170757318631246</v>
      </c>
      <c r="F204" s="37">
        <f t="shared" si="20"/>
        <v>0</v>
      </c>
      <c r="G204" s="14">
        <f t="shared" si="21"/>
        <v>0</v>
      </c>
      <c r="H204" s="24">
        <f t="shared" si="27"/>
        <v>472.81995065360132</v>
      </c>
      <c r="I204" s="12">
        <f t="shared" si="26"/>
        <v>0.33200108136367978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72.502758399994931</v>
      </c>
      <c r="F205" s="37">
        <f t="shared" si="20"/>
        <v>0</v>
      </c>
      <c r="G205" s="14">
        <f t="shared" si="21"/>
        <v>0</v>
      </c>
      <c r="H205" s="24">
        <f t="shared" si="27"/>
        <v>473.00698378786666</v>
      </c>
      <c r="I205" s="12">
        <f t="shared" si="26"/>
        <v>0.33210448531020842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72.834862885305142</v>
      </c>
      <c r="F206" s="37">
        <f t="shared" si="20"/>
        <v>0</v>
      </c>
      <c r="G206" s="14">
        <f t="shared" si="21"/>
        <v>0</v>
      </c>
      <c r="H206" s="24">
        <f t="shared" si="27"/>
        <v>473.19380893907402</v>
      </c>
      <c r="I206" s="12">
        <f t="shared" si="26"/>
        <v>0.33220576829632187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73.167068653601461</v>
      </c>
      <c r="F207" s="37">
        <f t="shared" si="20"/>
        <v>0</v>
      </c>
      <c r="G207" s="14">
        <f t="shared" si="21"/>
        <v>0</v>
      </c>
      <c r="H207" s="24">
        <f t="shared" si="27"/>
        <v>473.38042515602564</v>
      </c>
      <c r="I207" s="12">
        <f t="shared" si="26"/>
        <v>0.33230495737814181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73.499373610979603</v>
      </c>
      <c r="F208" s="37">
        <f t="shared" si="20"/>
        <v>0</v>
      </c>
      <c r="G208" s="14">
        <f t="shared" si="21"/>
        <v>0</v>
      </c>
      <c r="H208" s="24">
        <f t="shared" si="27"/>
        <v>473.56683151029938</v>
      </c>
      <c r="I208" s="12">
        <f t="shared" si="26"/>
        <v>0.33240207917492709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73.831775690154529</v>
      </c>
      <c r="F209" s="37">
        <f t="shared" si="20"/>
        <v>0</v>
      </c>
      <c r="G209" s="14">
        <f t="shared" si="21"/>
        <v>0</v>
      </c>
      <c r="H209" s="24">
        <f t="shared" si="27"/>
        <v>473.75302709587163</v>
      </c>
      <c r="I209" s="12">
        <f t="shared" si="26"/>
        <v>0.33249715987804568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74.164272850032575</v>
      </c>
      <c r="F210" s="37">
        <f t="shared" si="20"/>
        <v>0</v>
      </c>
      <c r="G210" s="14">
        <f t="shared" si="21"/>
        <v>0</v>
      </c>
      <c r="H210" s="24">
        <f t="shared" si="27"/>
        <v>473.93901102874651</v>
      </c>
      <c r="I210" s="12">
        <f t="shared" si="26"/>
        <v>0.33259022525971771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74.496863075292296</v>
      </c>
      <c r="F211" s="37">
        <f t="shared" si="20"/>
        <v>0</v>
      </c>
      <c r="G211" s="14">
        <f t="shared" si="21"/>
        <v>0</v>
      </c>
      <c r="H211" s="24">
        <f t="shared" si="27"/>
        <v>474.12478244659292</v>
      </c>
      <c r="I211" s="12">
        <f t="shared" si="26"/>
        <v>0.33268130068153845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74.829544375973839</v>
      </c>
      <c r="F212" s="37">
        <f t="shared" ref="F212:F275" si="28">Cp*RhoP/(RhoA*H212)*dp/1000*MassivP</f>
        <v>0</v>
      </c>
      <c r="G212" s="14">
        <f t="shared" ref="G212:G275" si="29">Phi*EpsilonF*Botzman/10^8*J212*((D212+273)^4-(E212+273)^4)</f>
        <v>0</v>
      </c>
      <c r="H212" s="24">
        <f t="shared" si="27"/>
        <v>474.31034050838844</v>
      </c>
      <c r="I212" s="12">
        <f t="shared" si="26"/>
        <v>0.33277041110278283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75.162314787076625</v>
      </c>
      <c r="F213" s="37">
        <f t="shared" si="28"/>
        <v>0</v>
      </c>
      <c r="G213" s="14">
        <f t="shared" si="29"/>
        <v>0</v>
      </c>
      <c r="H213" s="24">
        <f t="shared" si="27"/>
        <v>474.49568439407045</v>
      </c>
      <c r="I213" s="12">
        <f t="shared" ref="I213:I276" si="34">LambdaP*MassivP/(dp/1000)/(H213*RhoA)/(1+F213/3)*(D213-E213)*DeltaT-(EXP(F213/10)-1)*(D213-D212)</f>
        <v>0.33285758108850338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75.495172368165129</v>
      </c>
      <c r="F214" s="37">
        <f t="shared" si="28"/>
        <v>0</v>
      </c>
      <c r="G214" s="14">
        <f t="shared" si="29"/>
        <v>0</v>
      </c>
      <c r="H214" s="24">
        <f t="shared" si="27"/>
        <v>474.68081330419341</v>
      </c>
      <c r="I214" s="12">
        <f t="shared" si="34"/>
        <v>0.33294283481742604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75.828115202982559</v>
      </c>
      <c r="F215" s="37">
        <f t="shared" si="28"/>
        <v>0</v>
      </c>
      <c r="G215" s="14">
        <f t="shared" si="29"/>
        <v>0</v>
      </c>
      <c r="H215" s="24">
        <f t="shared" si="27"/>
        <v>474.86572645959353</v>
      </c>
      <c r="I215" s="12">
        <f t="shared" si="34"/>
        <v>0.33302619608964812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76.161141399072207</v>
      </c>
      <c r="F216" s="37">
        <f t="shared" si="28"/>
        <v>0</v>
      </c>
      <c r="G216" s="14">
        <f t="shared" si="29"/>
        <v>0</v>
      </c>
      <c r="H216" s="24">
        <f t="shared" si="27"/>
        <v>475.05042310105932</v>
      </c>
      <c r="I216" s="12">
        <f t="shared" si="34"/>
        <v>0.33310768833414695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76.494249087406359</v>
      </c>
      <c r="F217" s="37">
        <f t="shared" si="28"/>
        <v>0</v>
      </c>
      <c r="G217" s="14">
        <f t="shared" si="29"/>
        <v>0</v>
      </c>
      <c r="H217" s="24">
        <f t="shared" si="27"/>
        <v>475.23490248900805</v>
      </c>
      <c r="I217" s="12">
        <f t="shared" si="34"/>
        <v>0.33318733461610406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76.827436422022458</v>
      </c>
      <c r="F218" s="37">
        <f t="shared" si="28"/>
        <v>0</v>
      </c>
      <c r="G218" s="14">
        <f t="shared" si="29"/>
        <v>0</v>
      </c>
      <c r="H218" s="24">
        <f t="shared" si="27"/>
        <v>475.41916390316965</v>
      </c>
      <c r="I218" s="12">
        <f t="shared" si="34"/>
        <v>0.33326515764404874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77.160701579666508</v>
      </c>
      <c r="F219" s="37">
        <f t="shared" si="28"/>
        <v>0</v>
      </c>
      <c r="G219" s="14">
        <f t="shared" si="29"/>
        <v>0</v>
      </c>
      <c r="H219" s="24">
        <f t="shared" si="27"/>
        <v>475.60320664227521</v>
      </c>
      <c r="I219" s="12">
        <f t="shared" si="34"/>
        <v>0.33334117977682881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77.494042759443332</v>
      </c>
      <c r="F220" s="37">
        <f t="shared" si="28"/>
        <v>0</v>
      </c>
      <c r="G220" s="14">
        <f t="shared" si="29"/>
        <v>0</v>
      </c>
      <c r="H220" s="24">
        <f t="shared" si="27"/>
        <v>475.78703002375181</v>
      </c>
      <c r="I220" s="12">
        <f t="shared" si="34"/>
        <v>0.33341542303041255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77.827458182473748</v>
      </c>
      <c r="F221" s="37">
        <f t="shared" si="28"/>
        <v>0</v>
      </c>
      <c r="G221" s="14">
        <f t="shared" si="29"/>
        <v>0</v>
      </c>
      <c r="H221" s="24">
        <f t="shared" si="27"/>
        <v>475.97063338342366</v>
      </c>
      <c r="I221" s="12">
        <f t="shared" si="34"/>
        <v>0.33348790908452508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78.160946091558273</v>
      </c>
      <c r="F222" s="37">
        <f t="shared" si="28"/>
        <v>0</v>
      </c>
      <c r="G222" s="14">
        <f t="shared" si="29"/>
        <v>0</v>
      </c>
      <c r="H222" s="24">
        <f t="shared" si="27"/>
        <v>476.15401607521778</v>
      </c>
      <c r="I222" s="12">
        <f t="shared" si="34"/>
        <v>0.33355865928912765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78.494504750847398</v>
      </c>
      <c r="F223" s="37">
        <f t="shared" si="28"/>
        <v>0</v>
      </c>
      <c r="G223" s="14">
        <f t="shared" si="29"/>
        <v>0</v>
      </c>
      <c r="H223" s="24">
        <f t="shared" si="27"/>
        <v>476.33717747087587</v>
      </c>
      <c r="I223" s="12">
        <f t="shared" si="34"/>
        <v>0.33362769467074055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78.828132445518136</v>
      </c>
      <c r="F224" s="37">
        <f t="shared" si="28"/>
        <v>0</v>
      </c>
      <c r="G224" s="14">
        <f t="shared" si="29"/>
        <v>0</v>
      </c>
      <c r="H224" s="24">
        <f t="shared" si="27"/>
        <v>476.52011695967116</v>
      </c>
      <c r="I224" s="12">
        <f t="shared" si="34"/>
        <v>0.33369503593861694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79.161827481456754</v>
      </c>
      <c r="F225" s="37">
        <f t="shared" si="28"/>
        <v>0</v>
      </c>
      <c r="G225" s="14">
        <f t="shared" si="29"/>
        <v>0</v>
      </c>
      <c r="H225" s="24">
        <f t="shared" si="27"/>
        <v>476.70283394813083</v>
      </c>
      <c r="I225" s="12">
        <f t="shared" si="34"/>
        <v>0.33376070349076981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79.495588184947522</v>
      </c>
      <c r="F226" s="37">
        <f t="shared" si="28"/>
        <v>0</v>
      </c>
      <c r="G226" s="14">
        <f t="shared" si="29"/>
        <v>0</v>
      </c>
      <c r="H226" s="24">
        <f t="shared" si="27"/>
        <v>476.88532785976292</v>
      </c>
      <c r="I226" s="12">
        <f t="shared" si="34"/>
        <v>0.33382471741985825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79.82941290236738</v>
      </c>
      <c r="F227" s="37">
        <f t="shared" si="28"/>
        <v>0</v>
      </c>
      <c r="G227" s="14">
        <f t="shared" si="29"/>
        <v>0</v>
      </c>
      <c r="H227" s="24">
        <f t="shared" si="27"/>
        <v>477.06759813478885</v>
      </c>
      <c r="I227" s="12">
        <f t="shared" si="34"/>
        <v>0.33388709751893503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80.16329999988632</v>
      </c>
      <c r="F228" s="37">
        <f t="shared" si="28"/>
        <v>0</v>
      </c>
      <c r="G228" s="14">
        <f t="shared" si="29"/>
        <v>0</v>
      </c>
      <c r="H228" s="24">
        <f t="shared" si="27"/>
        <v>477.2496442298804</v>
      </c>
      <c r="I228" s="12">
        <f t="shared" si="34"/>
        <v>0.33394786328706078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80.497247863173385</v>
      </c>
      <c r="F229" s="37">
        <f t="shared" si="28"/>
        <v>0</v>
      </c>
      <c r="G229" s="14">
        <f t="shared" si="29"/>
        <v>0</v>
      </c>
      <c r="H229" s="24">
        <f t="shared" si="27"/>
        <v>477.43146561790149</v>
      </c>
      <c r="I229" s="12">
        <f t="shared" si="34"/>
        <v>0.33400703393478792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80.831254897108167</v>
      </c>
      <c r="F230" s="37">
        <f t="shared" si="28"/>
        <v>0</v>
      </c>
      <c r="G230" s="14">
        <f t="shared" si="29"/>
        <v>0</v>
      </c>
      <c r="H230" s="24">
        <f t="shared" si="27"/>
        <v>477.61306178765494</v>
      </c>
      <c r="I230" s="12">
        <f t="shared" si="34"/>
        <v>0.33406462838951817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81.165319525497679</v>
      </c>
      <c r="F231" s="37">
        <f t="shared" si="28"/>
        <v>0</v>
      </c>
      <c r="G231" s="14">
        <f t="shared" si="29"/>
        <v>0</v>
      </c>
      <c r="H231" s="24">
        <f t="shared" si="27"/>
        <v>477.79443224363291</v>
      </c>
      <c r="I231" s="12">
        <f t="shared" si="34"/>
        <v>0.33412066530073675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81.49944019079841</v>
      </c>
      <c r="F232" s="37">
        <f t="shared" si="28"/>
        <v>0</v>
      </c>
      <c r="G232" s="14">
        <f t="shared" si="29"/>
        <v>0</v>
      </c>
      <c r="H232" s="24">
        <f t="shared" si="27"/>
        <v>477.97557650577329</v>
      </c>
      <c r="I232" s="12">
        <f t="shared" si="34"/>
        <v>0.3341751630451274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81.833615353843541</v>
      </c>
      <c r="F233" s="37">
        <f t="shared" si="28"/>
        <v>0</v>
      </c>
      <c r="G233" s="14">
        <f t="shared" si="29"/>
        <v>0</v>
      </c>
      <c r="H233" s="24">
        <f t="shared" si="27"/>
        <v>478.15649410921861</v>
      </c>
      <c r="I233" s="12">
        <f t="shared" si="34"/>
        <v>0.33422813973157084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82.167843493575106</v>
      </c>
      <c r="F234" s="37">
        <f t="shared" si="28"/>
        <v>0</v>
      </c>
      <c r="G234" s="14">
        <f t="shared" si="29"/>
        <v>0</v>
      </c>
      <c r="H234" s="24">
        <f t="shared" si="27"/>
        <v>478.33718460408073</v>
      </c>
      <c r="I234" s="12">
        <f t="shared" si="34"/>
        <v>0.3342796132060305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82.502123106781141</v>
      </c>
      <c r="F235" s="37">
        <f t="shared" si="28"/>
        <v>0</v>
      </c>
      <c r="G235" s="14">
        <f t="shared" si="29"/>
        <v>0</v>
      </c>
      <c r="H235" s="24">
        <f t="shared" si="27"/>
        <v>478.51764755520901</v>
      </c>
      <c r="I235" s="12">
        <f t="shared" si="34"/>
        <v>0.3343296010563267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82.836452707837466</v>
      </c>
      <c r="F236" s="37">
        <f t="shared" si="28"/>
        <v>0</v>
      </c>
      <c r="G236" s="14">
        <f t="shared" si="29"/>
        <v>0</v>
      </c>
      <c r="H236" s="24">
        <f t="shared" si="27"/>
        <v>478.69788254196231</v>
      </c>
      <c r="I236" s="12">
        <f t="shared" si="34"/>
        <v>0.33437812061680605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83.170830828454271</v>
      </c>
      <c r="F237" s="37">
        <f t="shared" si="28"/>
        <v>0</v>
      </c>
      <c r="G237" s="14">
        <f t="shared" si="29"/>
        <v>0</v>
      </c>
      <c r="H237" s="24">
        <f t="shared" si="27"/>
        <v>478.87788915798563</v>
      </c>
      <c r="I237" s="12">
        <f t="shared" si="34"/>
        <v>0.33442518897290519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83.505256017427172</v>
      </c>
      <c r="F238" s="37">
        <f t="shared" si="28"/>
        <v>0</v>
      </c>
      <c r="G238" s="14">
        <f t="shared" si="29"/>
        <v>0</v>
      </c>
      <c r="H238" s="24">
        <f t="shared" si="27"/>
        <v>479.05766701099009</v>
      </c>
      <c r="I238" s="12">
        <f t="shared" si="34"/>
        <v>0.33447082296561315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83.839726840392785</v>
      </c>
      <c r="F239" s="37">
        <f t="shared" si="28"/>
        <v>0</v>
      </c>
      <c r="G239" s="14">
        <f t="shared" si="29"/>
        <v>0</v>
      </c>
      <c r="H239" s="24">
        <f t="shared" si="27"/>
        <v>479.23721572253726</v>
      </c>
      <c r="I239" s="12">
        <f t="shared" si="34"/>
        <v>0.33451503919583492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84.174241879588621</v>
      </c>
      <c r="F240" s="37">
        <f t="shared" si="28"/>
        <v>0</v>
      </c>
      <c r="G240" s="14">
        <f t="shared" si="29"/>
        <v>0</v>
      </c>
      <c r="H240" s="24">
        <f t="shared" si="27"/>
        <v>479.41653492782632</v>
      </c>
      <c r="I240" s="12">
        <f t="shared" si="34"/>
        <v>0.33455785402866089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84.50879973361728</v>
      </c>
      <c r="F241" s="37">
        <f t="shared" si="28"/>
        <v>0</v>
      </c>
      <c r="G241" s="14">
        <f t="shared" si="29"/>
        <v>0</v>
      </c>
      <c r="H241" s="24">
        <f t="shared" si="27"/>
        <v>479.59562427548622</v>
      </c>
      <c r="I241" s="12">
        <f t="shared" si="34"/>
        <v>0.33459928359753871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84.843399017214821</v>
      </c>
      <c r="F242" s="37">
        <f t="shared" si="28"/>
        <v>0</v>
      </c>
      <c r="G242" s="14">
        <f t="shared" si="29"/>
        <v>0</v>
      </c>
      <c r="H242" s="24">
        <f t="shared" si="27"/>
        <v>479.77448342737023</v>
      </c>
      <c r="I242" s="12">
        <f t="shared" si="34"/>
        <v>0.33463934380835869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85.178038361023184</v>
      </c>
      <c r="F243" s="37">
        <f t="shared" si="28"/>
        <v>0</v>
      </c>
      <c r="G243" s="14">
        <f t="shared" si="29"/>
        <v>0</v>
      </c>
      <c r="H243" s="24">
        <f t="shared" si="27"/>
        <v>479.95311205835435</v>
      </c>
      <c r="I243" s="12">
        <f t="shared" si="34"/>
        <v>0.33467805034344722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85.512716411366625</v>
      </c>
      <c r="F244" s="37">
        <f t="shared" si="28"/>
        <v>0</v>
      </c>
      <c r="G244" s="14">
        <f t="shared" si="29"/>
        <v>0</v>
      </c>
      <c r="H244" s="24">
        <f t="shared" si="27"/>
        <v>480.13150985613964</v>
      </c>
      <c r="I244" s="12">
        <f t="shared" si="34"/>
        <v>0.33471541866547538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85.847431830032107</v>
      </c>
      <c r="F245" s="37">
        <f t="shared" si="28"/>
        <v>0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480.30967652105704</v>
      </c>
      <c r="I245" s="12">
        <f t="shared" si="34"/>
        <v>0.33475146402128297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86.182183294053388</v>
      </c>
      <c r="F246" s="37">
        <f t="shared" si="28"/>
        <v>0</v>
      </c>
      <c r="G246" s="14">
        <f t="shared" si="29"/>
        <v>0</v>
      </c>
      <c r="H246" s="24">
        <f t="shared" si="35"/>
        <v>480.48761176587647</v>
      </c>
      <c r="I246" s="12">
        <f t="shared" si="34"/>
        <v>0.33478620144562021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86.516969495499012</v>
      </c>
      <c r="F247" s="37">
        <f t="shared" si="28"/>
        <v>0</v>
      </c>
      <c r="G247" s="14">
        <f t="shared" si="29"/>
        <v>0</v>
      </c>
      <c r="H247" s="24">
        <f t="shared" si="35"/>
        <v>480.66531531561805</v>
      </c>
      <c r="I247" s="12">
        <f t="shared" si="34"/>
        <v>0.33481964576481088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86.851789141263822</v>
      </c>
      <c r="F248" s="37">
        <f t="shared" si="28"/>
        <v>0</v>
      </c>
      <c r="G248" s="14">
        <f t="shared" si="29"/>
        <v>0</v>
      </c>
      <c r="H248" s="24">
        <f t="shared" si="35"/>
        <v>480.84278690736784</v>
      </c>
      <c r="I248" s="12">
        <f t="shared" si="34"/>
        <v>0.3348518116003355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87.186640952864153</v>
      </c>
      <c r="F249" s="37">
        <f t="shared" si="28"/>
        <v>0</v>
      </c>
      <c r="G249" s="14">
        <f t="shared" si="29"/>
        <v>0</v>
      </c>
      <c r="H249" s="24">
        <f t="shared" si="35"/>
        <v>481.0200262900949</v>
      </c>
      <c r="I249" s="12">
        <f t="shared" si="34"/>
        <v>0.33488271337234138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87.52152366623649</v>
      </c>
      <c r="F250" s="37">
        <f t="shared" si="28"/>
        <v>0</v>
      </c>
      <c r="G250" s="14">
        <f t="shared" si="29"/>
        <v>0</v>
      </c>
      <c r="H250" s="24">
        <f t="shared" si="35"/>
        <v>481.19703322447344</v>
      </c>
      <c r="I250" s="12">
        <f t="shared" si="34"/>
        <v>0.33491236530307639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87.856436031539573</v>
      </c>
      <c r="F251" s="37">
        <f t="shared" si="28"/>
        <v>0</v>
      </c>
      <c r="G251" s="14">
        <f t="shared" si="29"/>
        <v>0</v>
      </c>
      <c r="H251" s="24">
        <f t="shared" si="35"/>
        <v>481.37380748270624</v>
      </c>
      <c r="I251" s="12">
        <f t="shared" si="34"/>
        <v>0.33494078142025202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88.191376812959831</v>
      </c>
      <c r="F252" s="37">
        <f t="shared" si="28"/>
        <v>0</v>
      </c>
      <c r="G252" s="14">
        <f t="shared" si="29"/>
        <v>0</v>
      </c>
      <c r="H252" s="24">
        <f t="shared" si="35"/>
        <v>481.55034884835175</v>
      </c>
      <c r="I252" s="12">
        <f t="shared" si="34"/>
        <v>0.33496797556033603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88.526344788520163</v>
      </c>
      <c r="F253" s="37">
        <f t="shared" si="28"/>
        <v>0</v>
      </c>
      <c r="G253" s="14">
        <f t="shared" si="29"/>
        <v>0</v>
      </c>
      <c r="H253" s="24">
        <f t="shared" si="35"/>
        <v>481.72665711615394</v>
      </c>
      <c r="I253" s="12">
        <f t="shared" si="34"/>
        <v>0.33499396137177617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88.861338749891942</v>
      </c>
      <c r="F254" s="37">
        <f t="shared" si="28"/>
        <v>0</v>
      </c>
      <c r="G254" s="14">
        <f t="shared" si="29"/>
        <v>0</v>
      </c>
      <c r="H254" s="24">
        <f t="shared" si="35"/>
        <v>481.90273209187507</v>
      </c>
      <c r="I254" s="12">
        <f t="shared" si="34"/>
        <v>0.33501875231815803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89.196357502210105</v>
      </c>
      <c r="F255" s="37">
        <f t="shared" si="28"/>
        <v>0</v>
      </c>
      <c r="G255" s="14">
        <f t="shared" si="29"/>
        <v>0</v>
      </c>
      <c r="H255" s="24">
        <f t="shared" si="35"/>
        <v>482.07857359213091</v>
      </c>
      <c r="I255" s="12">
        <f t="shared" si="34"/>
        <v>0.33504236168129692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89.531399863891409</v>
      </c>
      <c r="F256" s="37">
        <f t="shared" si="28"/>
        <v>0</v>
      </c>
      <c r="G256" s="14">
        <f t="shared" si="29"/>
        <v>0</v>
      </c>
      <c r="H256" s="24">
        <f t="shared" si="35"/>
        <v>482.25418144422895</v>
      </c>
      <c r="I256" s="12">
        <f t="shared" si="34"/>
        <v>0.3350648025642663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89.86646466645567</v>
      </c>
      <c r="F257" s="37">
        <f t="shared" si="28"/>
        <v>0</v>
      </c>
      <c r="G257" s="14">
        <f t="shared" si="29"/>
        <v>0</v>
      </c>
      <c r="H257" s="24">
        <f t="shared" si="35"/>
        <v>482.42955548600884</v>
      </c>
      <c r="I257" s="12">
        <f t="shared" si="34"/>
        <v>0.335086087894366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90.201550754350038</v>
      </c>
      <c r="F258" s="37">
        <f t="shared" si="28"/>
        <v>0</v>
      </c>
      <c r="G258" s="14">
        <f t="shared" si="29"/>
        <v>0</v>
      </c>
      <c r="H258" s="24">
        <f t="shared" si="35"/>
        <v>482.60469556568603</v>
      </c>
      <c r="I258" s="12">
        <f t="shared" si="34"/>
        <v>0.33510623042602672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90.536656984776059</v>
      </c>
      <c r="F259" s="37">
        <f t="shared" si="28"/>
        <v>0</v>
      </c>
      <c r="G259" s="14">
        <f t="shared" si="29"/>
        <v>0</v>
      </c>
      <c r="H259" s="24">
        <f t="shared" si="35"/>
        <v>482.77960154169716</v>
      </c>
      <c r="I259" s="12">
        <f t="shared" si="34"/>
        <v>0.33512524274365962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90.871782227519716</v>
      </c>
      <c r="F260" s="37">
        <f t="shared" si="28"/>
        <v>0</v>
      </c>
      <c r="G260" s="14">
        <f t="shared" si="29"/>
        <v>0</v>
      </c>
      <c r="H260" s="24">
        <f t="shared" si="35"/>
        <v>482.95427328254874</v>
      </c>
      <c r="I260" s="12">
        <f t="shared" si="34"/>
        <v>0.33514313726444445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91.206925364784155</v>
      </c>
      <c r="F261" s="37">
        <f t="shared" si="28"/>
        <v>0</v>
      </c>
      <c r="G261" s="14">
        <f t="shared" si="29"/>
        <v>0</v>
      </c>
      <c r="H261" s="24">
        <f t="shared" si="35"/>
        <v>483.12871066666781</v>
      </c>
      <c r="I261" s="12">
        <f t="shared" si="34"/>
        <v>0.33515992624106489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91.542085291025217</v>
      </c>
      <c r="F262" s="37">
        <f t="shared" si="28"/>
        <v>0</v>
      </c>
      <c r="G262" s="14">
        <f t="shared" si="29"/>
        <v>0</v>
      </c>
      <c r="H262" s="24">
        <f t="shared" si="35"/>
        <v>483.3029135822548</v>
      </c>
      <c r="I262" s="12">
        <f t="shared" si="34"/>
        <v>0.33517562176438759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91.877260912789609</v>
      </c>
      <c r="F263" s="37">
        <f t="shared" si="28"/>
        <v>0</v>
      </c>
      <c r="G263" s="14">
        <f t="shared" si="29"/>
        <v>0</v>
      </c>
      <c r="H263" s="24">
        <f t="shared" si="35"/>
        <v>483.47688192713929</v>
      </c>
      <c r="I263" s="12">
        <f t="shared" si="34"/>
        <v>0.33519023576608709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92.212451148555701</v>
      </c>
      <c r="F264" s="37">
        <f t="shared" si="28"/>
        <v>0</v>
      </c>
      <c r="G264" s="14">
        <f t="shared" si="29"/>
        <v>0</v>
      </c>
      <c r="H264" s="24">
        <f t="shared" si="35"/>
        <v>483.65061560863757</v>
      </c>
      <c r="I264" s="12">
        <f t="shared" si="34"/>
        <v>0.33520378002122048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92.547654928576918</v>
      </c>
      <c r="F265" s="37">
        <f t="shared" si="28"/>
        <v>0</v>
      </c>
      <c r="G265" s="14">
        <f t="shared" si="29"/>
        <v>0</v>
      </c>
      <c r="H265" s="24">
        <f t="shared" si="35"/>
        <v>483.82411454341286</v>
      </c>
      <c r="I265" s="12">
        <f t="shared" si="34"/>
        <v>0.33521626615074984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92.88287119472767</v>
      </c>
      <c r="F266" s="37">
        <f t="shared" si="28"/>
        <v>0</v>
      </c>
      <c r="G266" s="14">
        <f t="shared" si="29"/>
        <v>0</v>
      </c>
      <c r="H266" s="24">
        <f t="shared" si="35"/>
        <v>483.99737865733749</v>
      </c>
      <c r="I266" s="12">
        <f t="shared" si="34"/>
        <v>0.3352277056240146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93.218098900351691</v>
      </c>
      <c r="F267" s="37">
        <f t="shared" si="28"/>
        <v>0</v>
      </c>
      <c r="G267" s="14">
        <f t="shared" si="29"/>
        <v>0</v>
      </c>
      <c r="H267" s="24">
        <f t="shared" si="35"/>
        <v>484.17040788535689</v>
      </c>
      <c r="I267" s="12">
        <f t="shared" si="34"/>
        <v>0.33523810976115725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93.553337010112855</v>
      </c>
      <c r="F268" s="37">
        <f t="shared" si="28"/>
        <v>0</v>
      </c>
      <c r="G268" s="14">
        <f t="shared" si="29"/>
        <v>0</v>
      </c>
      <c r="H268" s="24">
        <f t="shared" si="35"/>
        <v>484.34320217135695</v>
      </c>
      <c r="I268" s="12">
        <f t="shared" si="34"/>
        <v>0.33524748973549934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93.888584499848349</v>
      </c>
      <c r="F269" s="37">
        <f t="shared" si="28"/>
        <v>0</v>
      </c>
      <c r="G269" s="14">
        <f t="shared" si="29"/>
        <v>0</v>
      </c>
      <c r="H269" s="24">
        <f t="shared" si="35"/>
        <v>484.51576146803177</v>
      </c>
      <c r="I269" s="12">
        <f t="shared" si="34"/>
        <v>0.33525585657587298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94.223840356424219</v>
      </c>
      <c r="F270" s="37">
        <f t="shared" si="28"/>
        <v>0</v>
      </c>
      <c r="G270" s="14">
        <f t="shared" si="29"/>
        <v>0</v>
      </c>
      <c r="H270" s="24">
        <f t="shared" si="35"/>
        <v>484.68808573675494</v>
      </c>
      <c r="I270" s="12">
        <f t="shared" si="34"/>
        <v>0.33526322116890606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94.55910357759312</v>
      </c>
      <c r="F271" s="37">
        <f t="shared" si="28"/>
        <v>0</v>
      </c>
      <c r="G271" s="14">
        <f t="shared" si="29"/>
        <v>0</v>
      </c>
      <c r="H271" s="24">
        <f t="shared" si="35"/>
        <v>484.86017494745175</v>
      </c>
      <c r="I271" s="12">
        <f t="shared" si="34"/>
        <v>0.33526959426126435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94.894373171854383</v>
      </c>
      <c r="F272" s="37">
        <f t="shared" si="28"/>
        <v>0</v>
      </c>
      <c r="G272" s="14">
        <f t="shared" si="29"/>
        <v>0</v>
      </c>
      <c r="H272" s="24">
        <f t="shared" si="35"/>
        <v>485.03202907847441</v>
      </c>
      <c r="I272" s="12">
        <f t="shared" si="34"/>
        <v>0.33527498646184883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95.229648158316238</v>
      </c>
      <c r="F273" s="37">
        <f t="shared" si="28"/>
        <v>0</v>
      </c>
      <c r="G273" s="14">
        <f t="shared" si="29"/>
        <v>0</v>
      </c>
      <c r="H273" s="24">
        <f t="shared" si="35"/>
        <v>485.20364811647806</v>
      </c>
      <c r="I273" s="12">
        <f t="shared" si="34"/>
        <v>0.33527940824395297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95.564927566560186</v>
      </c>
      <c r="F274" s="37">
        <f t="shared" si="28"/>
        <v>0</v>
      </c>
      <c r="G274" s="14">
        <f t="shared" si="29"/>
        <v>0</v>
      </c>
      <c r="H274" s="24">
        <f t="shared" si="35"/>
        <v>485.37503205629969</v>
      </c>
      <c r="I274" s="12">
        <f t="shared" si="34"/>
        <v>0.3352828699473771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95.900210436507564</v>
      </c>
      <c r="F275" s="37">
        <f t="shared" si="28"/>
        <v>0</v>
      </c>
      <c r="G275" s="14">
        <f t="shared" si="29"/>
        <v>0</v>
      </c>
      <c r="H275" s="24">
        <f t="shared" si="35"/>
        <v>485.54618090083824</v>
      </c>
      <c r="I275" s="12">
        <f t="shared" si="34"/>
        <v>0.3352853817805036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96.235495818288072</v>
      </c>
      <c r="F276" s="37">
        <f t="shared" ref="F276:F339" si="36">Cp*RhoP/(RhoA*H276)*dp/1000*MassivP</f>
        <v>0</v>
      </c>
      <c r="G276" s="14">
        <f t="shared" ref="G276:G339" si="37">Phi*EpsilonF*Botzman/10^8*J276*((D276+273)^4-(E276+273)^4)</f>
        <v>0</v>
      </c>
      <c r="H276" s="24">
        <f t="shared" si="35"/>
        <v>485.71709466093699</v>
      </c>
      <c r="I276" s="12">
        <f t="shared" si="34"/>
        <v>0.33528695382233209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96.570782772110405</v>
      </c>
      <c r="F277" s="37">
        <f t="shared" si="36"/>
        <v>0</v>
      </c>
      <c r="G277" s="14">
        <f t="shared" si="37"/>
        <v>0</v>
      </c>
      <c r="H277" s="24">
        <f t="shared" si="35"/>
        <v>485.88777335526737</v>
      </c>
      <c r="I277" s="12">
        <f t="shared" ref="I277:I340" si="42">LambdaP*MassivP/(dp/1000)/(H277*RhoA)/(1+F277/3)*(D277-E277)*DeltaT-(EXP(F277/10)-1)*(D277-D276)</f>
        <v>0.335287596024477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96.906070368134877</v>
      </c>
      <c r="F278" s="37">
        <f t="shared" si="36"/>
        <v>0</v>
      </c>
      <c r="G278" s="14">
        <f t="shared" si="37"/>
        <v>0</v>
      </c>
      <c r="H278" s="24">
        <f t="shared" si="35"/>
        <v>486.058217010215</v>
      </c>
      <c r="I278" s="12">
        <f t="shared" si="42"/>
        <v>0.33528731821312635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97.24135768634801</v>
      </c>
      <c r="F279" s="37">
        <f t="shared" si="36"/>
        <v>0</v>
      </c>
      <c r="G279" s="14">
        <f t="shared" si="37"/>
        <v>0</v>
      </c>
      <c r="H279" s="24">
        <f t="shared" si="35"/>
        <v>486.22842565976674</v>
      </c>
      <c r="I279" s="12">
        <f t="shared" si="42"/>
        <v>0.33528613009096542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97.576643816438974</v>
      </c>
      <c r="F280" s="37">
        <f t="shared" si="36"/>
        <v>0</v>
      </c>
      <c r="G280" s="14">
        <f t="shared" si="37"/>
        <v>0</v>
      </c>
      <c r="H280" s="24">
        <f t="shared" si="35"/>
        <v>486.39839934540049</v>
      </c>
      <c r="I280" s="12">
        <f t="shared" si="42"/>
        <v>0.3352840412390633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97.911927857678037</v>
      </c>
      <c r="F281" s="37">
        <f t="shared" si="36"/>
        <v>0</v>
      </c>
      <c r="G281" s="14">
        <f t="shared" si="37"/>
        <v>0</v>
      </c>
      <c r="H281" s="24">
        <f t="shared" si="35"/>
        <v>486.56813811597556</v>
      </c>
      <c r="I281" s="12">
        <f t="shared" si="42"/>
        <v>0.3352810611187243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98.247208918796758</v>
      </c>
      <c r="F282" s="37">
        <f t="shared" si="36"/>
        <v>0</v>
      </c>
      <c r="G282" s="14">
        <f t="shared" si="37"/>
        <v>0</v>
      </c>
      <c r="H282" s="24">
        <f t="shared" si="35"/>
        <v>486.73764202762544</v>
      </c>
      <c r="I282" s="12">
        <f t="shared" si="42"/>
        <v>0.33527719907330666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98.582486117870062</v>
      </c>
      <c r="F283" s="37">
        <f t="shared" si="36"/>
        <v>0</v>
      </c>
      <c r="G283" s="14">
        <f t="shared" si="37"/>
        <v>0</v>
      </c>
      <c r="H283" s="24">
        <f t="shared" si="35"/>
        <v>486.90691114365194</v>
      </c>
      <c r="I283" s="12">
        <f t="shared" si="42"/>
        <v>0.33527246433000568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98.917758582200065</v>
      </c>
      <c r="F284" s="37">
        <f t="shared" si="36"/>
        <v>0</v>
      </c>
      <c r="G284" s="14">
        <f t="shared" si="37"/>
        <v>0</v>
      </c>
      <c r="H284" s="24">
        <f t="shared" si="35"/>
        <v>487.07594553442084</v>
      </c>
      <c r="I284" s="12">
        <f t="shared" si="42"/>
        <v>0.33526686600160494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99.253025448201669</v>
      </c>
      <c r="F285" s="37">
        <f t="shared" si="36"/>
        <v>0</v>
      </c>
      <c r="G285" s="14">
        <f t="shared" si="37"/>
        <v>0</v>
      </c>
      <c r="H285" s="24">
        <f t="shared" si="35"/>
        <v>487.24474527725931</v>
      </c>
      <c r="I285" s="12">
        <f t="shared" si="42"/>
        <v>0.33526041308819582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99.588285861289862</v>
      </c>
      <c r="F286" s="37">
        <f t="shared" si="36"/>
        <v>0</v>
      </c>
      <c r="G286" s="14">
        <f t="shared" si="37"/>
        <v>0</v>
      </c>
      <c r="H286" s="24">
        <f t="shared" si="35"/>
        <v>487.41331045635451</v>
      </c>
      <c r="I286" s="12">
        <f t="shared" si="42"/>
        <v>0.33525311447886502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99.923538975768722</v>
      </c>
      <c r="F287" s="37">
        <f t="shared" si="36"/>
        <v>0</v>
      </c>
      <c r="G287" s="14">
        <f t="shared" si="37"/>
        <v>0</v>
      </c>
      <c r="H287" s="24">
        <f t="shared" si="35"/>
        <v>487.58164116265408</v>
      </c>
      <c r="I287" s="12">
        <f t="shared" si="42"/>
        <v>0.33524497895335176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100.25878395472208</v>
      </c>
      <c r="F288" s="37">
        <f t="shared" si="36"/>
        <v>0</v>
      </c>
      <c r="G288" s="14">
        <f t="shared" si="37"/>
        <v>0</v>
      </c>
      <c r="H288" s="24">
        <f t="shared" si="35"/>
        <v>487.7497374937679</v>
      </c>
      <c r="I288" s="12">
        <f t="shared" si="42"/>
        <v>0.33523601518367463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100.59401996990574</v>
      </c>
      <c r="F289" s="37">
        <f t="shared" si="36"/>
        <v>0</v>
      </c>
      <c r="G289" s="14">
        <f t="shared" si="37"/>
        <v>0</v>
      </c>
      <c r="H289" s="24">
        <f t="shared" si="35"/>
        <v>487.91759955387141</v>
      </c>
      <c r="I289" s="12">
        <f t="shared" si="42"/>
        <v>0.3352262317357293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100.92924620164148</v>
      </c>
      <c r="F290" s="37">
        <f t="shared" si="36"/>
        <v>0</v>
      </c>
      <c r="G290" s="14">
        <f t="shared" si="37"/>
        <v>0</v>
      </c>
      <c r="H290" s="24">
        <f t="shared" si="35"/>
        <v>488.08522745361</v>
      </c>
      <c r="I290" s="12">
        <f t="shared" si="42"/>
        <v>0.335215637070858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101.26446183871234</v>
      </c>
      <c r="F291" s="37">
        <f t="shared" si="36"/>
        <v>0</v>
      </c>
      <c r="G291" s="14">
        <f t="shared" si="37"/>
        <v>0</v>
      </c>
      <c r="H291" s="24">
        <f t="shared" si="35"/>
        <v>488.25262131000562</v>
      </c>
      <c r="I291" s="12">
        <f t="shared" si="42"/>
        <v>0.33520423954738898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101.59966607825973</v>
      </c>
      <c r="F292" s="37">
        <f t="shared" si="36"/>
        <v>0</v>
      </c>
      <c r="G292" s="14">
        <f t="shared" si="37"/>
        <v>0</v>
      </c>
      <c r="H292" s="24">
        <f t="shared" si="35"/>
        <v>488.41978124636364</v>
      </c>
      <c r="I292" s="12">
        <f t="shared" si="42"/>
        <v>0.3351920474221512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101.93485812568188</v>
      </c>
      <c r="F293" s="37">
        <f t="shared" si="36"/>
        <v>0</v>
      </c>
      <c r="G293" s="14">
        <f t="shared" si="37"/>
        <v>0</v>
      </c>
      <c r="H293" s="24">
        <f t="shared" si="35"/>
        <v>488.58670739218206</v>
      </c>
      <c r="I293" s="12">
        <f t="shared" si="42"/>
        <v>0.3351790688519598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102.27003719453384</v>
      </c>
      <c r="F294" s="37">
        <f t="shared" si="36"/>
        <v>0</v>
      </c>
      <c r="G294" s="14">
        <f t="shared" si="37"/>
        <v>0</v>
      </c>
      <c r="H294" s="24">
        <f t="shared" si="35"/>
        <v>488.7533998830616</v>
      </c>
      <c r="I294" s="12">
        <f t="shared" si="42"/>
        <v>0.3351653118950762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102.60520250642892</v>
      </c>
      <c r="F295" s="37">
        <f t="shared" si="36"/>
        <v>0</v>
      </c>
      <c r="G295" s="14">
        <f t="shared" si="37"/>
        <v>0</v>
      </c>
      <c r="H295" s="24">
        <f t="shared" si="35"/>
        <v>488.91985886061701</v>
      </c>
      <c r="I295" s="12">
        <f t="shared" si="42"/>
        <v>0.33515078451264252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102.94035329094157</v>
      </c>
      <c r="F296" s="37">
        <f t="shared" si="36"/>
        <v>0</v>
      </c>
      <c r="G296" s="14">
        <f t="shared" si="37"/>
        <v>0</v>
      </c>
      <c r="H296" s="24">
        <f t="shared" si="35"/>
        <v>489.08608447238998</v>
      </c>
      <c r="I296" s="12">
        <f t="shared" si="42"/>
        <v>0.33513549457009018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103.27548878551167</v>
      </c>
      <c r="F297" s="37">
        <f t="shared" si="36"/>
        <v>0</v>
      </c>
      <c r="G297" s="14">
        <f t="shared" si="37"/>
        <v>0</v>
      </c>
      <c r="H297" s="24">
        <f t="shared" si="35"/>
        <v>489.25207687176282</v>
      </c>
      <c r="I297" s="12">
        <f t="shared" si="42"/>
        <v>0.33511944983852437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103.6106082353502</v>
      </c>
      <c r="F298" s="37">
        <f t="shared" si="36"/>
        <v>0</v>
      </c>
      <c r="G298" s="14">
        <f t="shared" si="37"/>
        <v>0</v>
      </c>
      <c r="H298" s="24">
        <f t="shared" si="35"/>
        <v>489.41783621787437</v>
      </c>
      <c r="I298" s="12">
        <f t="shared" si="42"/>
        <v>0.33510265799608341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103.94571089334629</v>
      </c>
      <c r="F299" s="37">
        <f t="shared" si="36"/>
        <v>0</v>
      </c>
      <c r="G299" s="14">
        <f t="shared" si="37"/>
        <v>0</v>
      </c>
      <c r="H299" s="24">
        <f t="shared" si="35"/>
        <v>489.58336267553557</v>
      </c>
      <c r="I299" s="12">
        <f t="shared" si="42"/>
        <v>0.33508512662927586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104.28079601997557</v>
      </c>
      <c r="F300" s="37">
        <f t="shared" si="36"/>
        <v>0</v>
      </c>
      <c r="G300" s="14">
        <f t="shared" si="37"/>
        <v>0</v>
      </c>
      <c r="H300" s="24">
        <f t="shared" si="35"/>
        <v>489.74865641514793</v>
      </c>
      <c r="I300" s="12">
        <f t="shared" si="42"/>
        <v>0.33506686323429247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104.61586288320986</v>
      </c>
      <c r="F301" s="37">
        <f t="shared" si="36"/>
        <v>0</v>
      </c>
      <c r="G301" s="14">
        <f t="shared" si="37"/>
        <v>0</v>
      </c>
      <c r="H301" s="24">
        <f t="shared" si="35"/>
        <v>489.91371761262184</v>
      </c>
      <c r="I301" s="12">
        <f t="shared" si="42"/>
        <v>0.33504787521829776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104.95091075842815</v>
      </c>
      <c r="F302" s="37">
        <f t="shared" si="36"/>
        <v>0</v>
      </c>
      <c r="G302" s="14">
        <f t="shared" si="37"/>
        <v>0</v>
      </c>
      <c r="H302" s="24">
        <f t="shared" si="35"/>
        <v>490.07854644929699</v>
      </c>
      <c r="I302" s="12">
        <f t="shared" si="42"/>
        <v>0.33502816990069684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105.28593892832885</v>
      </c>
      <c r="F303" s="37">
        <f t="shared" si="36"/>
        <v>0</v>
      </c>
      <c r="G303" s="14">
        <f t="shared" si="37"/>
        <v>0</v>
      </c>
      <c r="H303" s="24">
        <f t="shared" si="35"/>
        <v>490.24314311186311</v>
      </c>
      <c r="I303" s="12">
        <f t="shared" si="42"/>
        <v>0.33500775451438247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105.62094668284323</v>
      </c>
      <c r="F304" s="37">
        <f t="shared" si="36"/>
        <v>0</v>
      </c>
      <c r="G304" s="14">
        <f t="shared" si="37"/>
        <v>0</v>
      </c>
      <c r="H304" s="24">
        <f t="shared" si="35"/>
        <v>490.40750779228256</v>
      </c>
      <c r="I304" s="12">
        <f t="shared" si="42"/>
        <v>0.33498663620695934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105.95593331905019</v>
      </c>
      <c r="F305" s="37">
        <f t="shared" si="36"/>
        <v>0</v>
      </c>
      <c r="G305" s="14">
        <f t="shared" si="37"/>
        <v>0</v>
      </c>
      <c r="H305" s="24">
        <f t="shared" si="35"/>
        <v>490.57164068771363</v>
      </c>
      <c r="I305" s="12">
        <f t="shared" si="42"/>
        <v>0.33496482204194844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106.29089814109214</v>
      </c>
      <c r="F306" s="37">
        <f t="shared" si="36"/>
        <v>0</v>
      </c>
      <c r="G306" s="14">
        <f t="shared" si="37"/>
        <v>0</v>
      </c>
      <c r="H306" s="24">
        <f t="shared" si="35"/>
        <v>490.73554200043486</v>
      </c>
      <c r="I306" s="12">
        <f t="shared" si="42"/>
        <v>0.3349423189999704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106.62584046009211</v>
      </c>
      <c r="F307" s="37">
        <f t="shared" si="36"/>
        <v>0</v>
      </c>
      <c r="G307" s="14">
        <f t="shared" si="37"/>
        <v>0</v>
      </c>
      <c r="H307" s="24">
        <f t="shared" si="35"/>
        <v>490.89921193777093</v>
      </c>
      <c r="I307" s="12">
        <f t="shared" si="42"/>
        <v>0.33491913397990852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106.96075959407202</v>
      </c>
      <c r="F308" s="37">
        <f t="shared" si="36"/>
        <v>0</v>
      </c>
      <c r="G308" s="14">
        <f t="shared" si="37"/>
        <v>0</v>
      </c>
      <c r="H308" s="24">
        <f t="shared" si="35"/>
        <v>491.06265071201875</v>
      </c>
      <c r="I308" s="12">
        <f t="shared" si="42"/>
        <v>0.33489527380005313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107.29565486787207</v>
      </c>
      <c r="F309" s="37">
        <f t="shared" si="36"/>
        <v>0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491.2258585403755</v>
      </c>
      <c r="I309" s="12">
        <f t="shared" si="42"/>
        <v>0.33487074519922511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107.6305256130713</v>
      </c>
      <c r="F310" s="37">
        <f t="shared" si="36"/>
        <v>0</v>
      </c>
      <c r="G310" s="14">
        <f t="shared" si="37"/>
        <v>0</v>
      </c>
      <c r="H310" s="24">
        <f t="shared" si="43"/>
        <v>491.38883564486719</v>
      </c>
      <c r="I310" s="12">
        <f t="shared" si="42"/>
        <v>0.33484555483788231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107.96537116790918</v>
      </c>
      <c r="F311" s="37">
        <f t="shared" si="36"/>
        <v>0</v>
      </c>
      <c r="G311" s="14">
        <f t="shared" si="37"/>
        <v>0</v>
      </c>
      <c r="H311" s="24">
        <f t="shared" si="43"/>
        <v>491.55158225227797</v>
      </c>
      <c r="I311" s="12">
        <f t="shared" si="42"/>
        <v>0.3348197092992059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108.30019087720839</v>
      </c>
      <c r="F312" s="37">
        <f t="shared" si="36"/>
        <v>0</v>
      </c>
      <c r="G312" s="14">
        <f t="shared" si="37"/>
        <v>0</v>
      </c>
      <c r="H312" s="24">
        <f t="shared" si="43"/>
        <v>491.71409859408112</v>
      </c>
      <c r="I312" s="12">
        <f t="shared" si="42"/>
        <v>0.33479321509016957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108.63498409229857</v>
      </c>
      <c r="F313" s="37">
        <f t="shared" si="36"/>
        <v>0</v>
      </c>
      <c r="G313" s="14">
        <f t="shared" si="37"/>
        <v>0</v>
      </c>
      <c r="H313" s="24">
        <f t="shared" si="43"/>
        <v>491.87638490637079</v>
      </c>
      <c r="I313" s="12">
        <f t="shared" si="42"/>
        <v>0.33476607864259056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108.96975017094115</v>
      </c>
      <c r="F314" s="37">
        <f t="shared" si="36"/>
        <v>0</v>
      </c>
      <c r="G314" s="14">
        <f t="shared" si="37"/>
        <v>0</v>
      </c>
      <c r="H314" s="24">
        <f t="shared" si="43"/>
        <v>492.03844142979386</v>
      </c>
      <c r="I314" s="12">
        <f t="shared" si="42"/>
        <v>0.33473830631416279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109.30448847725532</v>
      </c>
      <c r="F315" s="37">
        <f t="shared" si="36"/>
        <v>0</v>
      </c>
      <c r="G315" s="14">
        <f t="shared" si="37"/>
        <v>0</v>
      </c>
      <c r="H315" s="24">
        <f t="shared" si="43"/>
        <v>492.20026840948407</v>
      </c>
      <c r="I315" s="12">
        <f t="shared" si="42"/>
        <v>0.33470990438947457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109.63919838164479</v>
      </c>
      <c r="F316" s="37">
        <f t="shared" si="36"/>
        <v>0</v>
      </c>
      <c r="G316" s="14">
        <f t="shared" si="37"/>
        <v>0</v>
      </c>
      <c r="H316" s="24">
        <f t="shared" si="43"/>
        <v>492.36186609499617</v>
      </c>
      <c r="I316" s="12">
        <f t="shared" si="42"/>
        <v>0.33468087908100697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109.97387926072579</v>
      </c>
      <c r="F317" s="37">
        <f t="shared" si="36"/>
        <v>0</v>
      </c>
      <c r="G317" s="14">
        <f t="shared" si="37"/>
        <v>0</v>
      </c>
      <c r="H317" s="24">
        <f t="shared" si="43"/>
        <v>492.52323474024115</v>
      </c>
      <c r="I317" s="12">
        <f t="shared" si="42"/>
        <v>0.33465123653011863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110.30853049725592</v>
      </c>
      <c r="F318" s="37">
        <f t="shared" si="36"/>
        <v>0</v>
      </c>
      <c r="G318" s="14">
        <f t="shared" si="37"/>
        <v>0</v>
      </c>
      <c r="H318" s="24">
        <f t="shared" si="43"/>
        <v>492.68437460342267</v>
      </c>
      <c r="I318" s="12">
        <f t="shared" si="42"/>
        <v>0.33462098280801167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110.64315148006392</v>
      </c>
      <c r="F319" s="37">
        <f t="shared" si="36"/>
        <v>0</v>
      </c>
      <c r="G319" s="14">
        <f t="shared" si="37"/>
        <v>0</v>
      </c>
      <c r="H319" s="24">
        <f t="shared" si="43"/>
        <v>492.84528594697383</v>
      </c>
      <c r="I319" s="12">
        <f t="shared" si="42"/>
        <v>0.33459012391668436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110.9777416039806</v>
      </c>
      <c r="F320" s="37">
        <f t="shared" si="36"/>
        <v>0</v>
      </c>
      <c r="G320" s="14">
        <f t="shared" si="37"/>
        <v>0</v>
      </c>
      <c r="H320" s="24">
        <f t="shared" si="43"/>
        <v>493.00596903749562</v>
      </c>
      <c r="I320" s="12">
        <f t="shared" si="42"/>
        <v>0.33455866578986626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111.31230026977047</v>
      </c>
      <c r="F321" s="37">
        <f t="shared" si="36"/>
        <v>0</v>
      </c>
      <c r="G321" s="14">
        <f t="shared" si="37"/>
        <v>0</v>
      </c>
      <c r="H321" s="24">
        <f t="shared" si="43"/>
        <v>493.16642414569526</v>
      </c>
      <c r="I321" s="12">
        <f t="shared" si="42"/>
        <v>0.33452661429393915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111.64682688406441</v>
      </c>
      <c r="F322" s="37">
        <f t="shared" si="36"/>
        <v>0</v>
      </c>
      <c r="G322" s="14">
        <f t="shared" si="37"/>
        <v>0</v>
      </c>
      <c r="H322" s="24">
        <f t="shared" si="43"/>
        <v>493.32665154632571</v>
      </c>
      <c r="I322" s="12">
        <f t="shared" si="42"/>
        <v>0.33449397522884383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111.98132085929325</v>
      </c>
      <c r="F323" s="37">
        <f t="shared" si="36"/>
        <v>0</v>
      </c>
      <c r="G323" s="14">
        <f t="shared" si="37"/>
        <v>0</v>
      </c>
      <c r="H323" s="24">
        <f t="shared" si="43"/>
        <v>493.48665151812668</v>
      </c>
      <c r="I323" s="12">
        <f t="shared" si="42"/>
        <v>0.33446075432897021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112.31578161362222</v>
      </c>
      <c r="F324" s="37">
        <f t="shared" si="36"/>
        <v>0</v>
      </c>
      <c r="G324" s="14">
        <f t="shared" si="37"/>
        <v>0</v>
      </c>
      <c r="H324" s="24">
        <f t="shared" si="43"/>
        <v>493.64642434376566</v>
      </c>
      <c r="I324" s="12">
        <f t="shared" si="42"/>
        <v>0.33442695726403521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112.65020857088625</v>
      </c>
      <c r="F325" s="37">
        <f t="shared" si="36"/>
        <v>0</v>
      </c>
      <c r="G325" s="14">
        <f t="shared" si="37"/>
        <v>0</v>
      </c>
      <c r="H325" s="24">
        <f t="shared" si="43"/>
        <v>493.80597030977987</v>
      </c>
      <c r="I325" s="12">
        <f t="shared" si="42"/>
        <v>0.33439258963994523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112.9846011605262</v>
      </c>
      <c r="F326" s="37">
        <f t="shared" si="36"/>
        <v>0</v>
      </c>
      <c r="G326" s="14">
        <f t="shared" si="37"/>
        <v>0</v>
      </c>
      <c r="H326" s="24">
        <f t="shared" si="43"/>
        <v>493.96528970651917</v>
      </c>
      <c r="I326" s="12">
        <f t="shared" si="42"/>
        <v>0.33435765699964537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113.31895881752584</v>
      </c>
      <c r="F327" s="37">
        <f t="shared" si="36"/>
        <v>0</v>
      </c>
      <c r="G327" s="14">
        <f t="shared" si="37"/>
        <v>0</v>
      </c>
      <c r="H327" s="24">
        <f t="shared" si="43"/>
        <v>494.12438282808972</v>
      </c>
      <c r="I327" s="12">
        <f t="shared" si="42"/>
        <v>0.33432216482395527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113.6532809823498</v>
      </c>
      <c r="F328" s="37">
        <f t="shared" si="36"/>
        <v>0</v>
      </c>
      <c r="G328" s="14">
        <f t="shared" si="37"/>
        <v>0</v>
      </c>
      <c r="H328" s="24">
        <f t="shared" si="43"/>
        <v>494.28324997229862</v>
      </c>
      <c r="I328" s="12">
        <f t="shared" si="42"/>
        <v>0.33428611853239132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113.98756710088219</v>
      </c>
      <c r="F329" s="37">
        <f t="shared" si="36"/>
        <v>0</v>
      </c>
      <c r="G329" s="14">
        <f t="shared" si="37"/>
        <v>0</v>
      </c>
      <c r="H329" s="24">
        <f t="shared" si="43"/>
        <v>494.44189144059845</v>
      </c>
      <c r="I329" s="12">
        <f t="shared" si="42"/>
        <v>0.33424952348397641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114.32181662436616</v>
      </c>
      <c r="F330" s="37">
        <f t="shared" si="36"/>
        <v>0</v>
      </c>
      <c r="G330" s="14">
        <f t="shared" si="37"/>
        <v>0</v>
      </c>
      <c r="H330" s="24">
        <f t="shared" si="43"/>
        <v>494.60030753803386</v>
      </c>
      <c r="I330" s="12">
        <f t="shared" si="42"/>
        <v>0.33421238497803535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114.65602900934419</v>
      </c>
      <c r="F331" s="37">
        <f t="shared" si="36"/>
        <v>0</v>
      </c>
      <c r="G331" s="14">
        <f t="shared" si="37"/>
        <v>0</v>
      </c>
      <c r="H331" s="24">
        <f t="shared" si="43"/>
        <v>494.75849857318775</v>
      </c>
      <c r="I331" s="12">
        <f t="shared" si="42"/>
        <v>0.33417470825498086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114.99020371759917</v>
      </c>
      <c r="F332" s="37">
        <f t="shared" si="36"/>
        <v>0</v>
      </c>
      <c r="G332" s="14">
        <f t="shared" si="37"/>
        <v>0</v>
      </c>
      <c r="H332" s="24">
        <f t="shared" si="43"/>
        <v>494.91646485812862</v>
      </c>
      <c r="I332" s="12">
        <f t="shared" si="42"/>
        <v>0.33413649849708299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115.32434021609626</v>
      </c>
      <c r="F333" s="37">
        <f t="shared" si="36"/>
        <v>0</v>
      </c>
      <c r="G333" s="14">
        <f t="shared" si="37"/>
        <v>0</v>
      </c>
      <c r="H333" s="24">
        <f t="shared" si="43"/>
        <v>495.07420670835882</v>
      </c>
      <c r="I333" s="12">
        <f t="shared" si="42"/>
        <v>0.33409776082923082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115.6584379769255</v>
      </c>
      <c r="F334" s="37">
        <f t="shared" si="36"/>
        <v>0</v>
      </c>
      <c r="G334" s="14">
        <f t="shared" si="37"/>
        <v>0</v>
      </c>
      <c r="H334" s="24">
        <f t="shared" si="43"/>
        <v>495.2317244427631</v>
      </c>
      <c r="I334" s="12">
        <f t="shared" si="42"/>
        <v>0.33405850031967921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115.99249647724518</v>
      </c>
      <c r="F335" s="37">
        <f t="shared" si="36"/>
        <v>0</v>
      </c>
      <c r="G335" s="14">
        <f t="shared" si="37"/>
        <v>0</v>
      </c>
      <c r="H335" s="24">
        <f t="shared" si="43"/>
        <v>495.38901838355821</v>
      </c>
      <c r="I335" s="12">
        <f t="shared" si="42"/>
        <v>0.33401872198078542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116.32651519922597</v>
      </c>
      <c r="F336" s="37">
        <f t="shared" si="36"/>
        <v>0</v>
      </c>
      <c r="G336" s="14">
        <f t="shared" si="37"/>
        <v>0</v>
      </c>
      <c r="H336" s="24">
        <f t="shared" si="43"/>
        <v>495.5460888562427</v>
      </c>
      <c r="I336" s="12">
        <f t="shared" si="42"/>
        <v>0.33397843076973327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116.6604936299957</v>
      </c>
      <c r="F337" s="37">
        <f t="shared" si="36"/>
        <v>0</v>
      </c>
      <c r="G337" s="14">
        <f t="shared" si="37"/>
        <v>0</v>
      </c>
      <c r="H337" s="24">
        <f t="shared" si="43"/>
        <v>495.7029361895481</v>
      </c>
      <c r="I337" s="12">
        <f t="shared" si="42"/>
        <v>0.33393763158924761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116.99443126158495</v>
      </c>
      <c r="F338" s="37">
        <f t="shared" si="36"/>
        <v>0</v>
      </c>
      <c r="G338" s="14">
        <f t="shared" si="37"/>
        <v>0</v>
      </c>
      <c r="H338" s="24">
        <f t="shared" si="43"/>
        <v>495.8595607153897</v>
      </c>
      <c r="I338" s="12">
        <f t="shared" si="42"/>
        <v>0.3338963292882966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117.32832759087324</v>
      </c>
      <c r="F339" s="37">
        <f t="shared" si="36"/>
        <v>0</v>
      </c>
      <c r="G339" s="14">
        <f t="shared" si="37"/>
        <v>0</v>
      </c>
      <c r="H339" s="24">
        <f t="shared" si="43"/>
        <v>496.01596276881918</v>
      </c>
      <c r="I339" s="12">
        <f t="shared" si="42"/>
        <v>0.33385452866278303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117.66218211953603</v>
      </c>
      <c r="F340" s="37">
        <f t="shared" ref="F340:F403" si="44">Cp*RhoP/(RhoA*H340)*dp/1000*MassivP</f>
        <v>0</v>
      </c>
      <c r="G340" s="14">
        <f t="shared" ref="G340:G403" si="45">Phi*EpsilonF*Botzman/10^8*J340*((D340+273)^4-(E340+273)^4)</f>
        <v>0</v>
      </c>
      <c r="H340" s="24">
        <f t="shared" si="43"/>
        <v>496.17214268797738</v>
      </c>
      <c r="I340" s="12">
        <f t="shared" si="42"/>
        <v>0.33381223445622604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117.99599435399226</v>
      </c>
      <c r="F341" s="37">
        <f t="shared" si="44"/>
        <v>0</v>
      </c>
      <c r="G341" s="14">
        <f t="shared" si="45"/>
        <v>0</v>
      </c>
      <c r="H341" s="24">
        <f t="shared" si="43"/>
        <v>496.32810081404682</v>
      </c>
      <c r="I341" s="12">
        <f t="shared" ref="I341:I404" si="50">LambdaP*MassivP/(dp/1000)/(H341*RhoA)/(1+F341/3)*(D341-E341)*DeltaT-(EXP(F341/10)-1)*(D341-D340)</f>
        <v>0.33376945136043173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118.32976380535268</v>
      </c>
      <c r="F342" s="37">
        <f t="shared" si="44"/>
        <v>0</v>
      </c>
      <c r="G342" s="14">
        <f t="shared" si="45"/>
        <v>0</v>
      </c>
      <c r="H342" s="24">
        <f t="shared" si="43"/>
        <v>496.48383749120654</v>
      </c>
      <c r="I342" s="12">
        <f t="shared" si="50"/>
        <v>0.33372618401615384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118.66348998936884</v>
      </c>
      <c r="F343" s="37">
        <f t="shared" si="44"/>
        <v>0</v>
      </c>
      <c r="G343" s="14">
        <f t="shared" si="45"/>
        <v>0</v>
      </c>
      <c r="H343" s="24">
        <f t="shared" si="43"/>
        <v>496.63935306658601</v>
      </c>
      <c r="I343" s="12">
        <f t="shared" si="50"/>
        <v>0.33368243701374367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118.99717242638259</v>
      </c>
      <c r="F344" s="37">
        <f t="shared" si="44"/>
        <v>0</v>
      </c>
      <c r="G344" s="14">
        <f t="shared" si="45"/>
        <v>0</v>
      </c>
      <c r="H344" s="24">
        <f t="shared" si="43"/>
        <v>496.79464789022057</v>
      </c>
      <c r="I344" s="12">
        <f t="shared" si="50"/>
        <v>0.33363821489379192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119.33081064127639</v>
      </c>
      <c r="F345" s="37">
        <f t="shared" si="44"/>
        <v>0</v>
      </c>
      <c r="G345" s="14">
        <f t="shared" si="45"/>
        <v>0</v>
      </c>
      <c r="H345" s="24">
        <f t="shared" si="43"/>
        <v>496.94972231500708</v>
      </c>
      <c r="I345" s="12">
        <f t="shared" si="50"/>
        <v>0.33359352214775828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119.66440416342414</v>
      </c>
      <c r="F346" s="37">
        <f t="shared" si="44"/>
        <v>0</v>
      </c>
      <c r="G346" s="14">
        <f t="shared" si="45"/>
        <v>0</v>
      </c>
      <c r="H346" s="24">
        <f t="shared" si="43"/>
        <v>497.10457669666027</v>
      </c>
      <c r="I346" s="12">
        <f t="shared" si="50"/>
        <v>0.33354836321859432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119.99795252664273</v>
      </c>
      <c r="F347" s="37">
        <f t="shared" si="44"/>
        <v>0</v>
      </c>
      <c r="G347" s="14">
        <f t="shared" si="45"/>
        <v>0</v>
      </c>
      <c r="H347" s="24">
        <f t="shared" si="43"/>
        <v>497.25921139366932</v>
      </c>
      <c r="I347" s="12">
        <f t="shared" si="50"/>
        <v>0.33350274250135425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120.33145526914409</v>
      </c>
      <c r="F348" s="37">
        <f t="shared" si="44"/>
        <v>0</v>
      </c>
      <c r="G348" s="14">
        <f t="shared" si="45"/>
        <v>0</v>
      </c>
      <c r="H348" s="24">
        <f t="shared" si="43"/>
        <v>497.41362676725583</v>
      </c>
      <c r="I348" s="12">
        <f t="shared" si="50"/>
        <v>0.33345666434379906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120.66491193348789</v>
      </c>
      <c r="F349" s="37">
        <f t="shared" si="44"/>
        <v>0</v>
      </c>
      <c r="G349" s="14">
        <f t="shared" si="45"/>
        <v>0</v>
      </c>
      <c r="H349" s="24">
        <f t="shared" si="43"/>
        <v>497.56782318133122</v>
      </c>
      <c r="I349" s="12">
        <f t="shared" si="50"/>
        <v>0.33341013304698969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120.99832206653488</v>
      </c>
      <c r="F350" s="37">
        <f t="shared" si="44"/>
        <v>0</v>
      </c>
      <c r="G350" s="14">
        <f t="shared" si="45"/>
        <v>0</v>
      </c>
      <c r="H350" s="24">
        <f t="shared" si="43"/>
        <v>497.72180100245578</v>
      </c>
      <c r="I350" s="12">
        <f t="shared" si="50"/>
        <v>0.33336315286587265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121.33168521940075</v>
      </c>
      <c r="F351" s="37">
        <f t="shared" si="44"/>
        <v>0</v>
      </c>
      <c r="G351" s="14">
        <f t="shared" si="45"/>
        <v>0</v>
      </c>
      <c r="H351" s="24">
        <f t="shared" si="43"/>
        <v>497.87556059979755</v>
      </c>
      <c r="I351" s="12">
        <f t="shared" si="50"/>
        <v>0.33331572800985615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121.6650009474106</v>
      </c>
      <c r="F352" s="37">
        <f t="shared" si="44"/>
        <v>0</v>
      </c>
      <c r="G352" s="14">
        <f t="shared" si="45"/>
        <v>0</v>
      </c>
      <c r="H352" s="24">
        <f t="shared" si="43"/>
        <v>498.02910234509147</v>
      </c>
      <c r="I352" s="12">
        <f t="shared" si="50"/>
        <v>0.33326786264337804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121.99826881005399</v>
      </c>
      <c r="F353" s="37">
        <f t="shared" si="44"/>
        <v>0</v>
      </c>
      <c r="G353" s="14">
        <f t="shared" si="45"/>
        <v>0</v>
      </c>
      <c r="H353" s="24">
        <f t="shared" si="43"/>
        <v>498.18242661260052</v>
      </c>
      <c r="I353" s="12">
        <f t="shared" si="50"/>
        <v>0.33321956088646543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122.33148837094045</v>
      </c>
      <c r="F354" s="37">
        <f t="shared" si="44"/>
        <v>0</v>
      </c>
      <c r="G354" s="14">
        <f t="shared" si="45"/>
        <v>0</v>
      </c>
      <c r="H354" s="24">
        <f t="shared" si="43"/>
        <v>498.33553377907532</v>
      </c>
      <c r="I354" s="12">
        <f t="shared" si="50"/>
        <v>0.33317082681528576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122.66465919775574</v>
      </c>
      <c r="F355" s="37">
        <f t="shared" si="44"/>
        <v>0</v>
      </c>
      <c r="G355" s="14">
        <f t="shared" si="45"/>
        <v>0</v>
      </c>
      <c r="H355" s="24">
        <f t="shared" si="43"/>
        <v>498.48842422371592</v>
      </c>
      <c r="I355" s="12">
        <f t="shared" si="50"/>
        <v>0.33312166446268987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122.99778086221843</v>
      </c>
      <c r="F356" s="37">
        <f t="shared" si="44"/>
        <v>0</v>
      </c>
      <c r="G356" s="14">
        <f t="shared" si="45"/>
        <v>0</v>
      </c>
      <c r="H356" s="24">
        <f t="shared" si="43"/>
        <v>498.64109832813341</v>
      </c>
      <c r="I356" s="12">
        <f t="shared" si="50"/>
        <v>0.33307207781874781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123.33085294003718</v>
      </c>
      <c r="F357" s="37">
        <f t="shared" si="44"/>
        <v>0</v>
      </c>
      <c r="G357" s="14">
        <f t="shared" si="45"/>
        <v>0</v>
      </c>
      <c r="H357" s="24">
        <f t="shared" si="43"/>
        <v>498.79355647631127</v>
      </c>
      <c r="I357" s="12">
        <f t="shared" si="50"/>
        <v>0.33302207083127533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123.66387501086845</v>
      </c>
      <c r="F358" s="37">
        <f t="shared" si="44"/>
        <v>0</v>
      </c>
      <c r="G358" s="14">
        <f t="shared" si="45"/>
        <v>0</v>
      </c>
      <c r="H358" s="24">
        <f t="shared" si="43"/>
        <v>498.94579905456976</v>
      </c>
      <c r="I358" s="12">
        <f t="shared" si="50"/>
        <v>0.33297164740635404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123.99684665827481</v>
      </c>
      <c r="F359" s="37">
        <f t="shared" si="44"/>
        <v>0</v>
      </c>
      <c r="G359" s="14">
        <f t="shared" si="45"/>
        <v>0</v>
      </c>
      <c r="H359" s="24">
        <f t="shared" si="43"/>
        <v>499.09782645152688</v>
      </c>
      <c r="I359" s="12">
        <f t="shared" si="50"/>
        <v>0.33292081140884333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124.32976746968365</v>
      </c>
      <c r="F360" s="37">
        <f t="shared" si="44"/>
        <v>0</v>
      </c>
      <c r="G360" s="14">
        <f t="shared" si="45"/>
        <v>0</v>
      </c>
      <c r="H360" s="24">
        <f t="shared" si="43"/>
        <v>499.24963905806351</v>
      </c>
      <c r="I360" s="12">
        <f t="shared" si="50"/>
        <v>0.33286956666288536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124.66263703634652</v>
      </c>
      <c r="F361" s="37">
        <f t="shared" si="44"/>
        <v>0</v>
      </c>
      <c r="G361" s="14">
        <f t="shared" si="45"/>
        <v>0</v>
      </c>
      <c r="H361" s="24">
        <f t="shared" si="43"/>
        <v>499.40123726728683</v>
      </c>
      <c r="I361" s="12">
        <f t="shared" si="50"/>
        <v>0.33281791695240248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124.99545495329893</v>
      </c>
      <c r="F362" s="37">
        <f t="shared" si="44"/>
        <v>0</v>
      </c>
      <c r="G362" s="14">
        <f t="shared" si="45"/>
        <v>0</v>
      </c>
      <c r="H362" s="24">
        <f t="shared" si="43"/>
        <v>499.55262147449497</v>
      </c>
      <c r="I362" s="12">
        <f t="shared" si="50"/>
        <v>0.33276586602158648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125.32822081932052</v>
      </c>
      <c r="F363" s="37">
        <f t="shared" si="44"/>
        <v>0</v>
      </c>
      <c r="G363" s="14">
        <f t="shared" si="45"/>
        <v>0</v>
      </c>
      <c r="H363" s="24">
        <f t="shared" si="43"/>
        <v>499.70379207714205</v>
      </c>
      <c r="I363" s="12">
        <f t="shared" si="50"/>
        <v>0.33271341757538297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125.6609342368959</v>
      </c>
      <c r="F364" s="37">
        <f t="shared" si="44"/>
        <v>0</v>
      </c>
      <c r="G364" s="14">
        <f t="shared" si="45"/>
        <v>0</v>
      </c>
      <c r="H364" s="24">
        <f t="shared" si="43"/>
        <v>499.85474947480316</v>
      </c>
      <c r="I364" s="12">
        <f t="shared" si="50"/>
        <v>0.33266057527996745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125.99359481217587</v>
      </c>
      <c r="F365" s="37">
        <f t="shared" si="44"/>
        <v>0</v>
      </c>
      <c r="G365" s="14">
        <f t="shared" si="45"/>
        <v>0</v>
      </c>
      <c r="H365" s="24">
        <f t="shared" si="43"/>
        <v>500.00549406914075</v>
      </c>
      <c r="I365" s="12">
        <f t="shared" si="50"/>
        <v>0.3326073427632138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126.32620215493908</v>
      </c>
      <c r="F366" s="37">
        <f t="shared" si="44"/>
        <v>0</v>
      </c>
      <c r="G366" s="14">
        <f t="shared" si="45"/>
        <v>0</v>
      </c>
      <c r="H366" s="24">
        <f t="shared" si="43"/>
        <v>500.15602626387079</v>
      </c>
      <c r="I366" s="12">
        <f t="shared" si="50"/>
        <v>0.332553723615158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126.65875587855425</v>
      </c>
      <c r="F367" s="37">
        <f t="shared" si="44"/>
        <v>0</v>
      </c>
      <c r="G367" s="14">
        <f t="shared" si="45"/>
        <v>0</v>
      </c>
      <c r="H367" s="24">
        <f t="shared" si="43"/>
        <v>500.30634646472919</v>
      </c>
      <c r="I367" s="12">
        <f t="shared" si="50"/>
        <v>0.33249972138845363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126.9912555999427</v>
      </c>
      <c r="F368" s="37">
        <f t="shared" si="44"/>
        <v>0</v>
      </c>
      <c r="G368" s="14">
        <f t="shared" si="45"/>
        <v>0</v>
      </c>
      <c r="H368" s="24">
        <f t="shared" si="43"/>
        <v>500.45645507943897</v>
      </c>
      <c r="I368" s="12">
        <f t="shared" si="50"/>
        <v>0.332445339598822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127.32370093954152</v>
      </c>
      <c r="F369" s="37">
        <f t="shared" si="44"/>
        <v>0</v>
      </c>
      <c r="G369" s="14">
        <f t="shared" si="45"/>
        <v>0</v>
      </c>
      <c r="H369" s="24">
        <f t="shared" si="43"/>
        <v>500.60635251767849</v>
      </c>
      <c r="I369" s="12">
        <f t="shared" si="50"/>
        <v>0.33239058172549518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127.65609152126702</v>
      </c>
      <c r="F370" s="37">
        <f t="shared" si="44"/>
        <v>0</v>
      </c>
      <c r="G370" s="14">
        <f t="shared" si="45"/>
        <v>0</v>
      </c>
      <c r="H370" s="24">
        <f t="shared" si="43"/>
        <v>500.75603919104816</v>
      </c>
      <c r="I370" s="12">
        <f t="shared" si="50"/>
        <v>0.3323354512116527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127.98842697247866</v>
      </c>
      <c r="F371" s="37">
        <f t="shared" si="44"/>
        <v>0</v>
      </c>
      <c r="G371" s="14">
        <f t="shared" si="45"/>
        <v>0</v>
      </c>
      <c r="H371" s="24">
        <f t="shared" si="43"/>
        <v>500.90551551303997</v>
      </c>
      <c r="I371" s="12">
        <f t="shared" si="50"/>
        <v>0.33227995146485284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128.3207069239435</v>
      </c>
      <c r="F372" s="37">
        <f t="shared" si="44"/>
        <v>0</v>
      </c>
      <c r="G372" s="14">
        <f t="shared" si="45"/>
        <v>0</v>
      </c>
      <c r="H372" s="24">
        <f t="shared" si="43"/>
        <v>501.05478189900566</v>
      </c>
      <c r="I372" s="12">
        <f t="shared" si="50"/>
        <v>0.33222408585745777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128.65293100980097</v>
      </c>
      <c r="F373" s="37">
        <f t="shared" si="44"/>
        <v>0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501.20383876612601</v>
      </c>
      <c r="I373" s="12">
        <f t="shared" si="50"/>
        <v>0.33216785772705121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128.98509886752802</v>
      </c>
      <c r="F374" s="37">
        <f t="shared" si="44"/>
        <v>0</v>
      </c>
      <c r="G374" s="14">
        <f t="shared" si="45"/>
        <v>0</v>
      </c>
      <c r="H374" s="24">
        <f t="shared" si="51"/>
        <v>501.35268653338017</v>
      </c>
      <c r="I374" s="12">
        <f t="shared" si="50"/>
        <v>0.33211127037685279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129.31721013790488</v>
      </c>
      <c r="F375" s="37">
        <f t="shared" si="44"/>
        <v>0</v>
      </c>
      <c r="G375" s="14">
        <f t="shared" si="45"/>
        <v>0</v>
      </c>
      <c r="H375" s="24">
        <f t="shared" si="51"/>
        <v>501.50132562151595</v>
      </c>
      <c r="I375" s="12">
        <f t="shared" si="50"/>
        <v>0.33205432707612415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129.649264464981</v>
      </c>
      <c r="F376" s="37">
        <f t="shared" si="44"/>
        <v>0</v>
      </c>
      <c r="G376" s="14">
        <f t="shared" si="45"/>
        <v>0</v>
      </c>
      <c r="H376" s="24">
        <f t="shared" si="51"/>
        <v>501.64975645301985</v>
      </c>
      <c r="I376" s="12">
        <f t="shared" si="50"/>
        <v>0.33199703106057143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129.98126149604158</v>
      </c>
      <c r="F377" s="37">
        <f t="shared" si="44"/>
        <v>0</v>
      </c>
      <c r="G377" s="14">
        <f t="shared" si="45"/>
        <v>0</v>
      </c>
      <c r="H377" s="24">
        <f t="shared" si="51"/>
        <v>501.79797945208782</v>
      </c>
      <c r="I377" s="12">
        <f t="shared" si="50"/>
        <v>0.33193938553274044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130.31320088157432</v>
      </c>
      <c r="F378" s="37">
        <f t="shared" si="44"/>
        <v>0</v>
      </c>
      <c r="G378" s="14">
        <f t="shared" si="45"/>
        <v>0</v>
      </c>
      <c r="H378" s="24">
        <f t="shared" si="51"/>
        <v>501.94599504459603</v>
      </c>
      <c r="I378" s="12">
        <f t="shared" si="50"/>
        <v>0.33188139366240788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130.64508227523672</v>
      </c>
      <c r="F379" s="37">
        <f t="shared" si="44"/>
        <v>0</v>
      </c>
      <c r="G379" s="14">
        <f t="shared" si="45"/>
        <v>0</v>
      </c>
      <c r="H379" s="24">
        <f t="shared" si="51"/>
        <v>502.09380365807311</v>
      </c>
      <c r="I379" s="12">
        <f t="shared" si="50"/>
        <v>0.33182305858696559</v>
      </c>
      <c r="J379" s="3"/>
    </row>
    <row r="380" spans="2:10" x14ac:dyDescent="0.25">
      <c r="B380" s="32">
        <f t="shared" si="46"/>
        <v>1800</v>
      </c>
      <c r="C380" s="33">
        <f t="shared" si="47"/>
        <v>30</v>
      </c>
      <c r="D380" s="34">
        <f t="shared" si="48"/>
        <v>841.79587968832948</v>
      </c>
      <c r="E380" s="24">
        <f t="shared" si="49"/>
        <v>130.97690533382368</v>
      </c>
      <c r="F380" s="37">
        <f t="shared" si="44"/>
        <v>0</v>
      </c>
      <c r="G380" s="14">
        <f t="shared" si="45"/>
        <v>0</v>
      </c>
      <c r="H380" s="35">
        <f t="shared" si="51"/>
        <v>502.24140572167062</v>
      </c>
      <c r="I380" s="12">
        <f t="shared" si="50"/>
        <v>0.33176438341180137</v>
      </c>
      <c r="J380" s="36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131.30866971723549</v>
      </c>
      <c r="F381" s="37">
        <f t="shared" si="44"/>
        <v>0</v>
      </c>
      <c r="G381" s="14">
        <f t="shared" si="45"/>
        <v>0</v>
      </c>
      <c r="H381" s="24">
        <f t="shared" si="51"/>
        <v>502.38880166613626</v>
      </c>
      <c r="I381" s="12">
        <f t="shared" si="50"/>
        <v>0.33170537121067267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131.64037508844615</v>
      </c>
      <c r="F382" s="37">
        <f t="shared" si="44"/>
        <v>0</v>
      </c>
      <c r="G382" s="14">
        <f t="shared" si="45"/>
        <v>0</v>
      </c>
      <c r="H382" s="24">
        <f t="shared" si="51"/>
        <v>502.53599192378556</v>
      </c>
      <c r="I382" s="12">
        <f t="shared" si="50"/>
        <v>0.33164602502607687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131.97202111347224</v>
      </c>
      <c r="F383" s="37">
        <f t="shared" si="44"/>
        <v>0</v>
      </c>
      <c r="G383" s="14">
        <f t="shared" si="45"/>
        <v>0</v>
      </c>
      <c r="H383" s="24">
        <f t="shared" si="51"/>
        <v>502.68297692847551</v>
      </c>
      <c r="I383" s="12">
        <f t="shared" si="50"/>
        <v>0.33158634786961416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132.30360746134184</v>
      </c>
      <c r="F384" s="37">
        <f t="shared" si="44"/>
        <v>0</v>
      </c>
      <c r="G384" s="14">
        <f t="shared" si="45"/>
        <v>0</v>
      </c>
      <c r="H384" s="24">
        <f t="shared" si="51"/>
        <v>502.82975711557668</v>
      </c>
      <c r="I384" s="12">
        <f t="shared" si="50"/>
        <v>0.33152634272234927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132.6351338040642</v>
      </c>
      <c r="F385" s="37">
        <f t="shared" si="44"/>
        <v>0</v>
      </c>
      <c r="G385" s="14">
        <f t="shared" si="45"/>
        <v>0</v>
      </c>
      <c r="H385" s="24">
        <f t="shared" si="51"/>
        <v>502.97633292194718</v>
      </c>
      <c r="I385" s="12">
        <f t="shared" si="50"/>
        <v>0.33146601253516422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132.96659981659937</v>
      </c>
      <c r="F386" s="37">
        <f t="shared" si="44"/>
        <v>0</v>
      </c>
      <c r="G386" s="14">
        <f t="shared" si="45"/>
        <v>0</v>
      </c>
      <c r="H386" s="24">
        <f t="shared" si="51"/>
        <v>503.12270478590682</v>
      </c>
      <c r="I386" s="12">
        <f t="shared" si="50"/>
        <v>0.33140536022910805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133.29800517682847</v>
      </c>
      <c r="F387" s="37">
        <f t="shared" si="44"/>
        <v>0</v>
      </c>
      <c r="G387" s="14">
        <f t="shared" si="45"/>
        <v>0</v>
      </c>
      <c r="H387" s="24">
        <f t="shared" si="51"/>
        <v>503.26887314721063</v>
      </c>
      <c r="I387" s="12">
        <f t="shared" si="50"/>
        <v>0.33134438869574256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133.62934956552422</v>
      </c>
      <c r="F388" s="37">
        <f t="shared" si="44"/>
        <v>0</v>
      </c>
      <c r="G388" s="14">
        <f t="shared" si="45"/>
        <v>0</v>
      </c>
      <c r="H388" s="24">
        <f t="shared" si="51"/>
        <v>503.41483844702339</v>
      </c>
      <c r="I388" s="12">
        <f t="shared" si="50"/>
        <v>0.33128310079748302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133.96063266632171</v>
      </c>
      <c r="F389" s="37">
        <f t="shared" si="44"/>
        <v>0</v>
      </c>
      <c r="G389" s="14">
        <f t="shared" si="45"/>
        <v>0</v>
      </c>
      <c r="H389" s="24">
        <f t="shared" si="51"/>
        <v>503.56060112789487</v>
      </c>
      <c r="I389" s="12">
        <f t="shared" si="50"/>
        <v>0.33122149936793183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134.29185416568964</v>
      </c>
      <c r="F390" s="37">
        <f t="shared" si="44"/>
        <v>0</v>
      </c>
      <c r="G390" s="14">
        <f t="shared" si="45"/>
        <v>0</v>
      </c>
      <c r="H390" s="24">
        <f t="shared" si="51"/>
        <v>503.70616163373398</v>
      </c>
      <c r="I390" s="12">
        <f t="shared" si="50"/>
        <v>0.33115958721221228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134.62301375290184</v>
      </c>
      <c r="F391" s="37">
        <f t="shared" si="44"/>
        <v>0</v>
      </c>
      <c r="G391" s="14">
        <f t="shared" si="45"/>
        <v>0</v>
      </c>
      <c r="H391" s="24">
        <f t="shared" si="51"/>
        <v>503.85152040978528</v>
      </c>
      <c r="I391" s="12">
        <f t="shared" si="50"/>
        <v>0.33109736710729354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134.95411112000914</v>
      </c>
      <c r="F392" s="37">
        <f t="shared" si="44"/>
        <v>0</v>
      </c>
      <c r="G392" s="14">
        <f t="shared" si="45"/>
        <v>0</v>
      </c>
      <c r="H392" s="24">
        <f t="shared" si="51"/>
        <v>503.99667790260366</v>
      </c>
      <c r="I392" s="12">
        <f t="shared" si="50"/>
        <v>0.33103484180231324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135.28514596181145</v>
      </c>
      <c r="F393" s="37">
        <f t="shared" si="44"/>
        <v>0</v>
      </c>
      <c r="G393" s="14">
        <f t="shared" si="45"/>
        <v>0</v>
      </c>
      <c r="H393" s="24">
        <f t="shared" si="51"/>
        <v>504.14163456003058</v>
      </c>
      <c r="I393" s="12">
        <f t="shared" si="50"/>
        <v>0.33097201401889703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135.61611797583035</v>
      </c>
      <c r="F394" s="37">
        <f t="shared" si="44"/>
        <v>0</v>
      </c>
      <c r="G394" s="14">
        <f t="shared" si="45"/>
        <v>0</v>
      </c>
      <c r="H394" s="24">
        <f t="shared" si="51"/>
        <v>504.28639083117093</v>
      </c>
      <c r="I394" s="12">
        <f t="shared" si="50"/>
        <v>0.3309088864514701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135.94702686228183</v>
      </c>
      <c r="F395" s="37">
        <f t="shared" si="44"/>
        <v>0</v>
      </c>
      <c r="G395" s="14">
        <f t="shared" si="45"/>
        <v>0</v>
      </c>
      <c r="H395" s="24">
        <f t="shared" si="51"/>
        <v>504.43094716636858</v>
      </c>
      <c r="I395" s="12">
        <f t="shared" si="50"/>
        <v>0.33084546176756852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136.27787232404941</v>
      </c>
      <c r="F396" s="37">
        <f t="shared" si="44"/>
        <v>0</v>
      </c>
      <c r="G396" s="14">
        <f t="shared" si="45"/>
        <v>0</v>
      </c>
      <c r="H396" s="24">
        <f t="shared" si="51"/>
        <v>504.57530401718401</v>
      </c>
      <c r="I396" s="12">
        <f t="shared" si="50"/>
        <v>0.33078174260814447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136.60865406665755</v>
      </c>
      <c r="F397" s="37">
        <f t="shared" si="44"/>
        <v>0</v>
      </c>
      <c r="G397" s="14">
        <f t="shared" si="45"/>
        <v>0</v>
      </c>
      <c r="H397" s="24">
        <f t="shared" si="51"/>
        <v>504.71946183637118</v>
      </c>
      <c r="I397" s="12">
        <f t="shared" si="50"/>
        <v>0.33071773158786738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136.93937179824542</v>
      </c>
      <c r="F398" s="37">
        <f t="shared" si="44"/>
        <v>0</v>
      </c>
      <c r="G398" s="14">
        <f t="shared" si="45"/>
        <v>0</v>
      </c>
      <c r="H398" s="24">
        <f t="shared" si="51"/>
        <v>504.86342107785458</v>
      </c>
      <c r="I398" s="12">
        <f t="shared" si="50"/>
        <v>0.33065343129542174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137.27002522954083</v>
      </c>
      <c r="F399" s="37">
        <f t="shared" si="44"/>
        <v>0</v>
      </c>
      <c r="G399" s="14">
        <f t="shared" si="45"/>
        <v>0</v>
      </c>
      <c r="H399" s="24">
        <f t="shared" si="51"/>
        <v>505.00718219670773</v>
      </c>
      <c r="I399" s="12">
        <f t="shared" si="50"/>
        <v>0.33058884429380064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137.60061407383463</v>
      </c>
      <c r="F400" s="37">
        <f t="shared" si="44"/>
        <v>0</v>
      </c>
      <c r="G400" s="14">
        <f t="shared" si="45"/>
        <v>0</v>
      </c>
      <c r="H400" s="24">
        <f t="shared" si="51"/>
        <v>505.15074564913016</v>
      </c>
      <c r="I400" s="12">
        <f t="shared" si="50"/>
        <v>0.33052397312059534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137.93113804695523</v>
      </c>
      <c r="F401" s="37">
        <f t="shared" si="44"/>
        <v>0</v>
      </c>
      <c r="G401" s="14">
        <f t="shared" si="45"/>
        <v>0</v>
      </c>
      <c r="H401" s="24">
        <f t="shared" si="51"/>
        <v>505.29411189242626</v>
      </c>
      <c r="I401" s="12">
        <f t="shared" si="50"/>
        <v>0.33045882028828161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138.2615968672435</v>
      </c>
      <c r="F402" s="37">
        <f t="shared" si="44"/>
        <v>0</v>
      </c>
      <c r="G402" s="14">
        <f t="shared" si="45"/>
        <v>0</v>
      </c>
      <c r="H402" s="24">
        <f t="shared" si="51"/>
        <v>505.43728138498386</v>
      </c>
      <c r="I402" s="12">
        <f t="shared" si="50"/>
        <v>0.33039338828450171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138.591990255528</v>
      </c>
      <c r="F403" s="37">
        <f t="shared" si="44"/>
        <v>0</v>
      </c>
      <c r="G403" s="14">
        <f t="shared" si="45"/>
        <v>0</v>
      </c>
      <c r="H403" s="24">
        <f t="shared" si="51"/>
        <v>505.58025458625224</v>
      </c>
      <c r="I403" s="12">
        <f t="shared" si="50"/>
        <v>0.33032767957234277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138.92231793510035</v>
      </c>
      <c r="F404" s="37">
        <f t="shared" ref="F404:F467" si="52">Cp*RhoP/(RhoA*H404)*dp/1000*MassivP</f>
        <v>0</v>
      </c>
      <c r="G404" s="14">
        <f t="shared" ref="G404:G467" si="53">Phi*EpsilonF*Botzman/10^8*J404*((D404+273)^4-(E404+273)^4)</f>
        <v>0</v>
      </c>
      <c r="H404" s="24">
        <f t="shared" si="51"/>
        <v>505.72303195672202</v>
      </c>
      <c r="I404" s="12">
        <f t="shared" si="50"/>
        <v>0.330261696590612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139.25257963169096</v>
      </c>
      <c r="F405" s="37">
        <f t="shared" si="52"/>
        <v>0</v>
      </c>
      <c r="G405" s="14">
        <f t="shared" si="53"/>
        <v>0</v>
      </c>
      <c r="H405" s="24">
        <f t="shared" si="51"/>
        <v>505.86561395790369</v>
      </c>
      <c r="I405" s="12">
        <f t="shared" ref="I405:I468" si="58">LambdaP*MassivP/(dp/1000)/(H405*RhoA)/(1+F405/3)*(D405-E405)*DeltaT-(EXP(F405/10)-1)*(D405-D404)</f>
        <v>0.33019544175410781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139.58277507344508</v>
      </c>
      <c r="F406" s="37">
        <f t="shared" si="52"/>
        <v>0</v>
      </c>
      <c r="G406" s="14">
        <f t="shared" si="53"/>
        <v>0</v>
      </c>
      <c r="H406" s="24">
        <f t="shared" si="51"/>
        <v>506.00800105230741</v>
      </c>
      <c r="I406" s="12">
        <f t="shared" si="58"/>
        <v>0.33012891745388773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139.91290399089897</v>
      </c>
      <c r="F407" s="37">
        <f t="shared" si="52"/>
        <v>0</v>
      </c>
      <c r="G407" s="14">
        <f t="shared" si="53"/>
        <v>0</v>
      </c>
      <c r="H407" s="24">
        <f t="shared" si="51"/>
        <v>506.15019370342327</v>
      </c>
      <c r="I407" s="12">
        <f t="shared" si="58"/>
        <v>0.33006212605753249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140.2429661169565</v>
      </c>
      <c r="F408" s="37">
        <f t="shared" si="52"/>
        <v>0</v>
      </c>
      <c r="G408" s="14">
        <f t="shared" si="53"/>
        <v>0</v>
      </c>
      <c r="H408" s="24">
        <f t="shared" si="51"/>
        <v>506.2921923757001</v>
      </c>
      <c r="I408" s="12">
        <f t="shared" si="58"/>
        <v>0.32999506990940741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140.57296118686591</v>
      </c>
      <c r="F409" s="37">
        <f t="shared" si="52"/>
        <v>0</v>
      </c>
      <c r="G409" s="14">
        <f t="shared" si="53"/>
        <v>0</v>
      </c>
      <c r="H409" s="24">
        <f t="shared" si="51"/>
        <v>506.43399753452684</v>
      </c>
      <c r="I409" s="12">
        <f t="shared" si="58"/>
        <v>0.32992775133091956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140.90288893819684</v>
      </c>
      <c r="F410" s="37">
        <f t="shared" si="52"/>
        <v>0</v>
      </c>
      <c r="G410" s="14">
        <f t="shared" si="53"/>
        <v>0</v>
      </c>
      <c r="H410" s="24">
        <f t="shared" si="51"/>
        <v>506.57560964621251</v>
      </c>
      <c r="I410" s="12">
        <f t="shared" si="58"/>
        <v>0.329860172620772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141.23274911081762</v>
      </c>
      <c r="F411" s="37">
        <f t="shared" si="52"/>
        <v>0</v>
      </c>
      <c r="G411" s="14">
        <f t="shared" si="53"/>
        <v>0</v>
      </c>
      <c r="H411" s="24">
        <f t="shared" si="51"/>
        <v>506.71702917796682</v>
      </c>
      <c r="I411" s="12">
        <f t="shared" si="58"/>
        <v>0.32979233605521524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141.56254144687284</v>
      </c>
      <c r="F412" s="37">
        <f t="shared" si="52"/>
        <v>0</v>
      </c>
      <c r="G412" s="14">
        <f t="shared" si="53"/>
        <v>0</v>
      </c>
      <c r="H412" s="24">
        <f t="shared" si="51"/>
        <v>506.85825659788162</v>
      </c>
      <c r="I412" s="12">
        <f t="shared" si="58"/>
        <v>0.32972424388829441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141.89226569076115</v>
      </c>
      <c r="F413" s="37">
        <f t="shared" si="52"/>
        <v>0</v>
      </c>
      <c r="G413" s="14">
        <f t="shared" si="53"/>
        <v>0</v>
      </c>
      <c r="H413" s="24">
        <f t="shared" si="51"/>
        <v>506.99929237491131</v>
      </c>
      <c r="I413" s="12">
        <f t="shared" si="58"/>
        <v>0.32965589835209452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142.22192158911324</v>
      </c>
      <c r="F414" s="37">
        <f t="shared" si="52"/>
        <v>0</v>
      </c>
      <c r="G414" s="14">
        <f t="shared" si="53"/>
        <v>0</v>
      </c>
      <c r="H414" s="24">
        <f t="shared" si="51"/>
        <v>507.14013697885508</v>
      </c>
      <c r="I414" s="12">
        <f t="shared" si="58"/>
        <v>0.32958730165698119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142.55150889077021</v>
      </c>
      <c r="F415" s="37">
        <f t="shared" si="52"/>
        <v>0</v>
      </c>
      <c r="G415" s="14">
        <f t="shared" si="53"/>
        <v>0</v>
      </c>
      <c r="H415" s="24">
        <f t="shared" si="51"/>
        <v>507.28079088033803</v>
      </c>
      <c r="I415" s="12">
        <f t="shared" si="58"/>
        <v>0.32951845599183971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142.88102734676204</v>
      </c>
      <c r="F416" s="37">
        <f t="shared" si="52"/>
        <v>0</v>
      </c>
      <c r="G416" s="14">
        <f t="shared" si="53"/>
        <v>0</v>
      </c>
      <c r="H416" s="24">
        <f t="shared" si="51"/>
        <v>507.42125455079292</v>
      </c>
      <c r="I416" s="12">
        <f t="shared" si="58"/>
        <v>0.32944936352431037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143.21047671028634</v>
      </c>
      <c r="F417" s="37">
        <f t="shared" si="52"/>
        <v>0</v>
      </c>
      <c r="G417" s="14">
        <f t="shared" si="53"/>
        <v>0</v>
      </c>
      <c r="H417" s="24">
        <f t="shared" si="51"/>
        <v>507.5615284624426</v>
      </c>
      <c r="I417" s="12">
        <f t="shared" si="58"/>
        <v>0.3293800264010206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143.53985673668737</v>
      </c>
      <c r="F418" s="37">
        <f t="shared" si="52"/>
        <v>0</v>
      </c>
      <c r="G418" s="14">
        <f t="shared" si="53"/>
        <v>0</v>
      </c>
      <c r="H418" s="24">
        <f t="shared" si="51"/>
        <v>507.70161308828222</v>
      </c>
      <c r="I418" s="12">
        <f t="shared" si="58"/>
        <v>0.3293104467478144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143.8691671834352</v>
      </c>
      <c r="F419" s="37">
        <f t="shared" si="52"/>
        <v>0</v>
      </c>
      <c r="G419" s="14">
        <f t="shared" si="53"/>
        <v>0</v>
      </c>
      <c r="H419" s="24">
        <f t="shared" si="51"/>
        <v>507.84150890206138</v>
      </c>
      <c r="I419" s="12">
        <f t="shared" si="58"/>
        <v>0.32924062666997955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144.19840781010518</v>
      </c>
      <c r="F420" s="37">
        <f t="shared" si="52"/>
        <v>0</v>
      </c>
      <c r="G420" s="14">
        <f t="shared" si="53"/>
        <v>0</v>
      </c>
      <c r="H420" s="24">
        <f t="shared" si="51"/>
        <v>507.98121637826728</v>
      </c>
      <c r="I420" s="12">
        <f t="shared" si="58"/>
        <v>0.32917056825247049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144.52757837835765</v>
      </c>
      <c r="F421" s="37">
        <f t="shared" si="52"/>
        <v>0</v>
      </c>
      <c r="G421" s="14">
        <f t="shared" si="53"/>
        <v>0</v>
      </c>
      <c r="H421" s="24">
        <f t="shared" si="51"/>
        <v>508.12073599210714</v>
      </c>
      <c r="I421" s="12">
        <f t="shared" si="58"/>
        <v>0.32910027356013033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144.85667865191778</v>
      </c>
      <c r="F422" s="37">
        <f t="shared" si="52"/>
        <v>0</v>
      </c>
      <c r="G422" s="14">
        <f t="shared" si="53"/>
        <v>0</v>
      </c>
      <c r="H422" s="24">
        <f t="shared" si="51"/>
        <v>508.26006821949204</v>
      </c>
      <c r="I422" s="12">
        <f t="shared" si="58"/>
        <v>0.32902974463790768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145.1857083965557</v>
      </c>
      <c r="F423" s="37">
        <f t="shared" si="52"/>
        <v>0</v>
      </c>
      <c r="G423" s="14">
        <f t="shared" si="53"/>
        <v>0</v>
      </c>
      <c r="H423" s="24">
        <f t="shared" si="51"/>
        <v>508.39921353701936</v>
      </c>
      <c r="I423" s="12">
        <f t="shared" si="58"/>
        <v>0.32895898351107344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145.51466738006678</v>
      </c>
      <c r="F424" s="37">
        <f t="shared" si="52"/>
        <v>0</v>
      </c>
      <c r="G424" s="14">
        <f t="shared" si="53"/>
        <v>0</v>
      </c>
      <c r="H424" s="24">
        <f t="shared" si="51"/>
        <v>508.53817242195686</v>
      </c>
      <c r="I424" s="12">
        <f t="shared" si="58"/>
        <v>0.32888799218543219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145.84355537225221</v>
      </c>
      <c r="F425" s="37">
        <f t="shared" si="52"/>
        <v>0</v>
      </c>
      <c r="G425" s="14">
        <f t="shared" si="53"/>
        <v>0</v>
      </c>
      <c r="H425" s="24">
        <f t="shared" si="51"/>
        <v>508.67694535222631</v>
      </c>
      <c r="I425" s="12">
        <f t="shared" si="58"/>
        <v>0.32881677264753384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146.17237214489975</v>
      </c>
      <c r="F426" s="37">
        <f t="shared" si="52"/>
        <v>0</v>
      </c>
      <c r="G426" s="14">
        <f t="shared" si="53"/>
        <v>0</v>
      </c>
      <c r="H426" s="24">
        <f t="shared" si="51"/>
        <v>508.8155328063873</v>
      </c>
      <c r="I426" s="12">
        <f t="shared" si="58"/>
        <v>0.32874532686487945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146.50111747176464</v>
      </c>
      <c r="F427" s="37">
        <f t="shared" si="52"/>
        <v>0</v>
      </c>
      <c r="G427" s="14">
        <f t="shared" si="53"/>
        <v>0</v>
      </c>
      <c r="H427" s="24">
        <f t="shared" si="51"/>
        <v>508.95393526362119</v>
      </c>
      <c r="I427" s="12">
        <f t="shared" si="58"/>
        <v>0.32867365678612781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146.82979112855077</v>
      </c>
      <c r="F428" s="37">
        <f t="shared" si="52"/>
        <v>0</v>
      </c>
      <c r="G428" s="14">
        <f t="shared" si="53"/>
        <v>0</v>
      </c>
      <c r="H428" s="24">
        <f t="shared" si="51"/>
        <v>509.09215320371572</v>
      </c>
      <c r="I428" s="12">
        <f t="shared" si="58"/>
        <v>0.3286017643412964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147.15839289289207</v>
      </c>
      <c r="F429" s="37">
        <f t="shared" si="52"/>
        <v>0</v>
      </c>
      <c r="G429" s="14">
        <f t="shared" si="53"/>
        <v>0</v>
      </c>
      <c r="H429" s="24">
        <f t="shared" si="51"/>
        <v>509.23018710704935</v>
      </c>
      <c r="I429" s="12">
        <f t="shared" si="58"/>
        <v>0.328529651441962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147.48692254433402</v>
      </c>
      <c r="F430" s="37">
        <f t="shared" si="52"/>
        <v>0</v>
      </c>
      <c r="G430" s="14">
        <f t="shared" si="53"/>
        <v>0</v>
      </c>
      <c r="H430" s="24">
        <f t="shared" si="51"/>
        <v>509.36803745457581</v>
      </c>
      <c r="I430" s="12">
        <f t="shared" si="58"/>
        <v>0.32845731998145811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147.81537986431547</v>
      </c>
      <c r="F431" s="37">
        <f t="shared" si="52"/>
        <v>0</v>
      </c>
      <c r="G431" s="14">
        <f t="shared" si="53"/>
        <v>0</v>
      </c>
      <c r="H431" s="24">
        <f t="shared" si="51"/>
        <v>509.50570472780873</v>
      </c>
      <c r="I431" s="12">
        <f t="shared" si="58"/>
        <v>0.32838477183507014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148.14376463615054</v>
      </c>
      <c r="F432" s="37">
        <f t="shared" si="52"/>
        <v>0</v>
      </c>
      <c r="G432" s="14">
        <f t="shared" si="53"/>
        <v>0</v>
      </c>
      <c r="H432" s="24">
        <f t="shared" si="51"/>
        <v>509.64318940880747</v>
      </c>
      <c r="I432" s="12">
        <f t="shared" si="58"/>
        <v>0.32831200886022693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148.47207664501076</v>
      </c>
      <c r="F433" s="37">
        <f t="shared" si="52"/>
        <v>0</v>
      </c>
      <c r="G433" s="14">
        <f t="shared" si="53"/>
        <v>0</v>
      </c>
      <c r="H433" s="24">
        <f t="shared" si="51"/>
        <v>509.78049198016151</v>
      </c>
      <c r="I433" s="12">
        <f t="shared" si="58"/>
        <v>0.32823903289669226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148.80031567790746</v>
      </c>
      <c r="F434" s="37">
        <f t="shared" si="52"/>
        <v>0</v>
      </c>
      <c r="G434" s="14">
        <f t="shared" si="53"/>
        <v>0</v>
      </c>
      <c r="H434" s="24">
        <f t="shared" si="51"/>
        <v>509.91761292497586</v>
      </c>
      <c r="I434" s="12">
        <f t="shared" si="58"/>
        <v>0.32816584576675245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149.12848152367422</v>
      </c>
      <c r="F435" s="37">
        <f t="shared" si="52"/>
        <v>0</v>
      </c>
      <c r="G435" s="14">
        <f t="shared" si="53"/>
        <v>0</v>
      </c>
      <c r="H435" s="24">
        <f t="shared" si="51"/>
        <v>510.05455272685725</v>
      </c>
      <c r="I435" s="12">
        <f t="shared" si="58"/>
        <v>0.32809244927540127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149.45657397294963</v>
      </c>
      <c r="F436" s="37">
        <f t="shared" si="52"/>
        <v>0</v>
      </c>
      <c r="G436" s="14">
        <f t="shared" si="53"/>
        <v>0</v>
      </c>
      <c r="H436" s="24">
        <f t="shared" si="51"/>
        <v>510.19131186989898</v>
      </c>
      <c r="I436" s="12">
        <f t="shared" si="58"/>
        <v>0.32801884521052438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149.78459281816015</v>
      </c>
      <c r="F437" s="37">
        <f t="shared" si="52"/>
        <v>0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510.32789083866766</v>
      </c>
      <c r="I437" s="12">
        <f t="shared" si="58"/>
        <v>0.32794503534307956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150.11253785350323</v>
      </c>
      <c r="F438" s="37">
        <f t="shared" si="52"/>
        <v>0</v>
      </c>
      <c r="G438" s="14">
        <f t="shared" si="53"/>
        <v>0</v>
      </c>
      <c r="H438" s="24">
        <f t="shared" si="59"/>
        <v>510.46429011818844</v>
      </c>
      <c r="I438" s="12">
        <f t="shared" si="58"/>
        <v>0.32787102142727609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150.44040887493051</v>
      </c>
      <c r="F439" s="37">
        <f t="shared" si="52"/>
        <v>0</v>
      </c>
      <c r="G439" s="14">
        <f t="shared" si="53"/>
        <v>0</v>
      </c>
      <c r="H439" s="24">
        <f t="shared" si="59"/>
        <v>510.60051019393188</v>
      </c>
      <c r="I439" s="12">
        <f t="shared" si="58"/>
        <v>0.32779680520075138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150.76820568013127</v>
      </c>
      <c r="F440" s="37">
        <f t="shared" si="52"/>
        <v>0</v>
      </c>
      <c r="G440" s="14">
        <f t="shared" si="53"/>
        <v>0</v>
      </c>
      <c r="H440" s="24">
        <f t="shared" si="59"/>
        <v>510.73655155179983</v>
      </c>
      <c r="I440" s="12">
        <f t="shared" si="58"/>
        <v>0.3277223883847461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151.09592806851603</v>
      </c>
      <c r="F441" s="37">
        <f t="shared" si="52"/>
        <v>0</v>
      </c>
      <c r="G441" s="14">
        <f t="shared" si="53"/>
        <v>0</v>
      </c>
      <c r="H441" s="24">
        <f t="shared" si="59"/>
        <v>510.8724146781127</v>
      </c>
      <c r="I441" s="12">
        <f t="shared" si="58"/>
        <v>0.3276477726842757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151.42357584120032</v>
      </c>
      <c r="F442" s="37">
        <f t="shared" si="52"/>
        <v>0</v>
      </c>
      <c r="G442" s="14">
        <f t="shared" si="53"/>
        <v>0</v>
      </c>
      <c r="H442" s="24">
        <f t="shared" si="59"/>
        <v>511.00810005959499</v>
      </c>
      <c r="I442" s="12">
        <f t="shared" si="58"/>
        <v>0.32757295978830198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151.75114880098863</v>
      </c>
      <c r="F443" s="37">
        <f t="shared" si="52"/>
        <v>0</v>
      </c>
      <c r="G443" s="14">
        <f t="shared" si="53"/>
        <v>0</v>
      </c>
      <c r="H443" s="24">
        <f t="shared" si="59"/>
        <v>511.14360818336314</v>
      </c>
      <c r="I443" s="12">
        <f t="shared" si="58"/>
        <v>0.32749795136990079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152.07864675235854</v>
      </c>
      <c r="F444" s="37">
        <f t="shared" si="52"/>
        <v>0</v>
      </c>
      <c r="G444" s="14">
        <f t="shared" si="53"/>
        <v>0</v>
      </c>
      <c r="H444" s="24">
        <f t="shared" si="59"/>
        <v>511.27893953691216</v>
      </c>
      <c r="I444" s="12">
        <f t="shared" si="58"/>
        <v>0.32742274908642849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152.40606950144496</v>
      </c>
      <c r="F445" s="37">
        <f t="shared" si="52"/>
        <v>0</v>
      </c>
      <c r="G445" s="14">
        <f t="shared" si="53"/>
        <v>0</v>
      </c>
      <c r="H445" s="24">
        <f t="shared" si="59"/>
        <v>511.41409460810291</v>
      </c>
      <c r="I445" s="12">
        <f t="shared" si="58"/>
        <v>0.32734735457968667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152.73341685602466</v>
      </c>
      <c r="F446" s="37">
        <f t="shared" si="52"/>
        <v>0</v>
      </c>
      <c r="G446" s="14">
        <f t="shared" si="53"/>
        <v>0</v>
      </c>
      <c r="H446" s="24">
        <f t="shared" si="59"/>
        <v>511.54907388514931</v>
      </c>
      <c r="I446" s="12">
        <f t="shared" si="58"/>
        <v>0.32727176947608455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153.06068862550075</v>
      </c>
      <c r="F447" s="37">
        <f t="shared" si="52"/>
        <v>0</v>
      </c>
      <c r="G447" s="14">
        <f t="shared" si="53"/>
        <v>0</v>
      </c>
      <c r="H447" s="24">
        <f t="shared" si="59"/>
        <v>511.68387785660565</v>
      </c>
      <c r="I447" s="12">
        <f t="shared" si="58"/>
        <v>0.32719599538679872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153.38788462088755</v>
      </c>
      <c r="F448" s="37">
        <f t="shared" si="52"/>
        <v>0</v>
      </c>
      <c r="G448" s="14">
        <f t="shared" si="53"/>
        <v>0</v>
      </c>
      <c r="H448" s="24">
        <f t="shared" si="59"/>
        <v>511.81850701135443</v>
      </c>
      <c r="I448" s="12">
        <f t="shared" si="58"/>
        <v>0.32712003390793343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153.71500465479548</v>
      </c>
      <c r="F449" s="37">
        <f t="shared" si="52"/>
        <v>0</v>
      </c>
      <c r="G449" s="14">
        <f t="shared" si="53"/>
        <v>0</v>
      </c>
      <c r="H449" s="24">
        <f t="shared" si="59"/>
        <v>511.95296183859415</v>
      </c>
      <c r="I449" s="12">
        <f t="shared" si="58"/>
        <v>0.32704388662067535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154.04204854141616</v>
      </c>
      <c r="F450" s="37">
        <f t="shared" si="52"/>
        <v>0</v>
      </c>
      <c r="G450" s="14">
        <f t="shared" si="53"/>
        <v>0</v>
      </c>
      <c r="H450" s="24">
        <f t="shared" si="59"/>
        <v>512.08724282782714</v>
      </c>
      <c r="I450" s="12">
        <f t="shared" si="58"/>
        <v>0.32696755509144948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154.36901609650761</v>
      </c>
      <c r="F451" s="37">
        <f t="shared" si="52"/>
        <v>0</v>
      </c>
      <c r="G451" s="14">
        <f t="shared" si="53"/>
        <v>0</v>
      </c>
      <c r="H451" s="24">
        <f t="shared" si="59"/>
        <v>512.22135046884728</v>
      </c>
      <c r="I451" s="12">
        <f t="shared" si="58"/>
        <v>0.32689104087207244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154.69590713737969</v>
      </c>
      <c r="F452" s="37">
        <f t="shared" si="52"/>
        <v>0</v>
      </c>
      <c r="G452" s="14">
        <f t="shared" si="53"/>
        <v>0</v>
      </c>
      <c r="H452" s="24">
        <f t="shared" si="59"/>
        <v>512.35528525172856</v>
      </c>
      <c r="I452" s="12">
        <f t="shared" si="58"/>
        <v>0.32681434549990296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155.0227214828796</v>
      </c>
      <c r="F453" s="37">
        <f t="shared" si="52"/>
        <v>0</v>
      </c>
      <c r="G453" s="14">
        <f t="shared" si="53"/>
        <v>0</v>
      </c>
      <c r="H453" s="24">
        <f t="shared" si="59"/>
        <v>512.48904766681369</v>
      </c>
      <c r="I453" s="12">
        <f t="shared" si="58"/>
        <v>0.32673747049799162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155.34945895337759</v>
      </c>
      <c r="F454" s="37">
        <f t="shared" si="52"/>
        <v>0</v>
      </c>
      <c r="G454" s="14">
        <f t="shared" si="53"/>
        <v>0</v>
      </c>
      <c r="H454" s="24">
        <f t="shared" si="59"/>
        <v>512.62263820470162</v>
      </c>
      <c r="I454" s="12">
        <f t="shared" si="58"/>
        <v>0.32666041737522877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155.67611937075282</v>
      </c>
      <c r="F455" s="37">
        <f t="shared" si="52"/>
        <v>0</v>
      </c>
      <c r="G455" s="14">
        <f t="shared" si="53"/>
        <v>0</v>
      </c>
      <c r="H455" s="24">
        <f t="shared" si="59"/>
        <v>512.75605735623697</v>
      </c>
      <c r="I455" s="12">
        <f t="shared" si="58"/>
        <v>0.32658318762649008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156.0027025583793</v>
      </c>
      <c r="F456" s="37">
        <f t="shared" si="52"/>
        <v>0</v>
      </c>
      <c r="G456" s="14">
        <f t="shared" si="53"/>
        <v>0</v>
      </c>
      <c r="H456" s="24">
        <f t="shared" si="59"/>
        <v>512.88930561249833</v>
      </c>
      <c r="I456" s="12">
        <f t="shared" si="58"/>
        <v>0.32650578273278086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156.32920834111206</v>
      </c>
      <c r="F457" s="37">
        <f t="shared" si="52"/>
        <v>0</v>
      </c>
      <c r="G457" s="14">
        <f t="shared" si="53"/>
        <v>0</v>
      </c>
      <c r="H457" s="24">
        <f t="shared" si="59"/>
        <v>513.02238346478725</v>
      </c>
      <c r="I457" s="12">
        <f t="shared" si="58"/>
        <v>0.32642820416137913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156.65563654527344</v>
      </c>
      <c r="F458" s="37">
        <f t="shared" si="52"/>
        <v>0</v>
      </c>
      <c r="G458" s="14">
        <f t="shared" si="53"/>
        <v>0</v>
      </c>
      <c r="H458" s="24">
        <f t="shared" si="59"/>
        <v>513.15529140461706</v>
      </c>
      <c r="I458" s="12">
        <f t="shared" si="58"/>
        <v>0.32635045336597601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156.98198699863943</v>
      </c>
      <c r="F459" s="37">
        <f t="shared" si="52"/>
        <v>0</v>
      </c>
      <c r="G459" s="14">
        <f t="shared" si="53"/>
        <v>0</v>
      </c>
      <c r="H459" s="24">
        <f t="shared" si="59"/>
        <v>513.28802992370265</v>
      </c>
      <c r="I459" s="12">
        <f t="shared" si="58"/>
        <v>0.32627253178681431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157.30825953042626</v>
      </c>
      <c r="F460" s="37">
        <f t="shared" si="52"/>
        <v>0</v>
      </c>
      <c r="G460" s="14">
        <f t="shared" si="53"/>
        <v>0</v>
      </c>
      <c r="H460" s="24">
        <f t="shared" si="59"/>
        <v>513.42059951394867</v>
      </c>
      <c r="I460" s="12">
        <f t="shared" si="58"/>
        <v>0.32619444085082822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157.63445397127708</v>
      </c>
      <c r="F461" s="37">
        <f t="shared" si="52"/>
        <v>0</v>
      </c>
      <c r="G461" s="14">
        <f t="shared" si="53"/>
        <v>0</v>
      </c>
      <c r="H461" s="24">
        <f t="shared" si="59"/>
        <v>513.55300066743951</v>
      </c>
      <c r="I461" s="12">
        <f t="shared" si="58"/>
        <v>0.326116181971777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157.96057015324885</v>
      </c>
      <c r="F462" s="37">
        <f t="shared" si="52"/>
        <v>0</v>
      </c>
      <c r="G462" s="14">
        <f t="shared" si="53"/>
        <v>0</v>
      </c>
      <c r="H462" s="24">
        <f t="shared" si="59"/>
        <v>513.68523387642881</v>
      </c>
      <c r="I462" s="12">
        <f t="shared" si="58"/>
        <v>0.32603775655038103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158.28660790979924</v>
      </c>
      <c r="F463" s="37">
        <f t="shared" si="52"/>
        <v>0</v>
      </c>
      <c r="G463" s="14">
        <f t="shared" si="53"/>
        <v>0</v>
      </c>
      <c r="H463" s="24">
        <f t="shared" si="59"/>
        <v>513.81729963332884</v>
      </c>
      <c r="I463" s="12">
        <f t="shared" si="58"/>
        <v>0.32595916597445407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158.61256707577371</v>
      </c>
      <c r="F464" s="37">
        <f t="shared" si="52"/>
        <v>0</v>
      </c>
      <c r="G464" s="14">
        <f t="shared" si="53"/>
        <v>0</v>
      </c>
      <c r="H464" s="24">
        <f t="shared" si="59"/>
        <v>513.94919843070079</v>
      </c>
      <c r="I464" s="12">
        <f t="shared" si="58"/>
        <v>0.32588041161903442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158.93844748739275</v>
      </c>
      <c r="F465" s="37">
        <f t="shared" si="52"/>
        <v>0</v>
      </c>
      <c r="G465" s="14">
        <f t="shared" si="53"/>
        <v>0</v>
      </c>
      <c r="H465" s="24">
        <f t="shared" si="59"/>
        <v>514.08093076124351</v>
      </c>
      <c r="I465" s="12">
        <f t="shared" si="58"/>
        <v>0.32580149484651555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159.26424898223925</v>
      </c>
      <c r="F466" s="37">
        <f t="shared" si="52"/>
        <v>0</v>
      </c>
      <c r="G466" s="14">
        <f t="shared" si="53"/>
        <v>0</v>
      </c>
      <c r="H466" s="24">
        <f t="shared" si="59"/>
        <v>514.21249711778444</v>
      </c>
      <c r="I466" s="12">
        <f t="shared" si="58"/>
        <v>0.32572241700677385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159.58997139924602</v>
      </c>
      <c r="F467" s="37">
        <f t="shared" si="52"/>
        <v>0</v>
      </c>
      <c r="G467" s="14">
        <f t="shared" si="53"/>
        <v>0</v>
      </c>
      <c r="H467" s="24">
        <f t="shared" si="59"/>
        <v>514.34389799326982</v>
      </c>
      <c r="I467" s="12">
        <f t="shared" si="58"/>
        <v>0.32564317943729537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159.91561457868332</v>
      </c>
      <c r="F468" s="37">
        <f t="shared" ref="F468:F531" si="60">Cp*RhoP/(RhoA*H468)*dp/1000*MassivP</f>
        <v>0</v>
      </c>
      <c r="G468" s="14">
        <f t="shared" ref="G468:G531" si="61">Phi*EpsilonF*Botzman/10^8*J468*((D468+273)^4-(E468+273)^4)</f>
        <v>0</v>
      </c>
      <c r="H468" s="24">
        <f t="shared" si="59"/>
        <v>514.4751338807539</v>
      </c>
      <c r="I468" s="12">
        <f t="shared" si="58"/>
        <v>0.32556378346330206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160.24117836214663</v>
      </c>
      <c r="F469" s="37">
        <f t="shared" si="60"/>
        <v>0</v>
      </c>
      <c r="G469" s="14">
        <f t="shared" si="61"/>
        <v>0</v>
      </c>
      <c r="H469" s="24">
        <f t="shared" si="59"/>
        <v>514.60620527339029</v>
      </c>
      <c r="I469" s="12">
        <f t="shared" ref="I469:I532" si="66">LambdaP*MassivP/(dp/1000)/(H469*RhoA)/(1+F469/3)*(D469-E469)*DeltaT-(EXP(F469/10)-1)*(D469-D468)</f>
        <v>0.32548423039787489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160.5666625925445</v>
      </c>
      <c r="F470" s="37">
        <f t="shared" si="60"/>
        <v>0</v>
      </c>
      <c r="G470" s="14">
        <f t="shared" si="61"/>
        <v>0</v>
      </c>
      <c r="H470" s="24">
        <f t="shared" si="59"/>
        <v>514.73711266442172</v>
      </c>
      <c r="I470" s="12">
        <f t="shared" si="66"/>
        <v>0.32540452154207689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160.89206711408659</v>
      </c>
      <c r="F471" s="37">
        <f t="shared" si="60"/>
        <v>0</v>
      </c>
      <c r="G471" s="14">
        <f t="shared" si="61"/>
        <v>0</v>
      </c>
      <c r="H471" s="24">
        <f t="shared" si="59"/>
        <v>514.86785654717073</v>
      </c>
      <c r="I471" s="12">
        <f t="shared" si="66"/>
        <v>0.32532465818507461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161.21739177227167</v>
      </c>
      <c r="F472" s="37">
        <f t="shared" si="60"/>
        <v>0</v>
      </c>
      <c r="G472" s="14">
        <f t="shared" si="61"/>
        <v>0</v>
      </c>
      <c r="H472" s="24">
        <f t="shared" si="59"/>
        <v>514.99843741503093</v>
      </c>
      <c r="I472" s="12">
        <f t="shared" si="66"/>
        <v>0.32524464160425703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161.54263641387593</v>
      </c>
      <c r="F473" s="37">
        <f t="shared" si="60"/>
        <v>0</v>
      </c>
      <c r="G473" s="14">
        <f t="shared" si="61"/>
        <v>0</v>
      </c>
      <c r="H473" s="24">
        <f t="shared" si="59"/>
        <v>515.12885576145675</v>
      </c>
      <c r="I473" s="12">
        <f t="shared" si="66"/>
        <v>0.32516447306535495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161.86780088694127</v>
      </c>
      <c r="F474" s="37">
        <f t="shared" si="60"/>
        <v>0</v>
      </c>
      <c r="G474" s="14">
        <f t="shared" si="61"/>
        <v>0</v>
      </c>
      <c r="H474" s="24">
        <f t="shared" si="59"/>
        <v>515.25911207995489</v>
      </c>
      <c r="I474" s="12">
        <f t="shared" si="66"/>
        <v>0.32508415382255762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162.19288504076383</v>
      </c>
      <c r="F475" s="37">
        <f t="shared" si="60"/>
        <v>0</v>
      </c>
      <c r="G475" s="14">
        <f t="shared" si="61"/>
        <v>0</v>
      </c>
      <c r="H475" s="24">
        <f t="shared" si="59"/>
        <v>515.38920686407562</v>
      </c>
      <c r="I475" s="12">
        <f t="shared" si="66"/>
        <v>0.32500368511862854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162.51788872588244</v>
      </c>
      <c r="F476" s="37">
        <f t="shared" si="60"/>
        <v>0</v>
      </c>
      <c r="G476" s="14">
        <f t="shared" si="61"/>
        <v>0</v>
      </c>
      <c r="H476" s="24">
        <f t="shared" si="59"/>
        <v>515.51914060740262</v>
      </c>
      <c r="I476" s="12">
        <f t="shared" si="66"/>
        <v>0.3249230681850202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162.84281179406747</v>
      </c>
      <c r="F477" s="37">
        <f t="shared" si="60"/>
        <v>0</v>
      </c>
      <c r="G477" s="14">
        <f t="shared" si="61"/>
        <v>0</v>
      </c>
      <c r="H477" s="24">
        <f t="shared" si="59"/>
        <v>515.64891380354618</v>
      </c>
      <c r="I477" s="12">
        <f t="shared" si="66"/>
        <v>0.32484230424198673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163.16765409830947</v>
      </c>
      <c r="F478" s="37">
        <f t="shared" si="60"/>
        <v>0</v>
      </c>
      <c r="G478" s="14">
        <f t="shared" si="61"/>
        <v>0</v>
      </c>
      <c r="H478" s="24">
        <f t="shared" si="59"/>
        <v>515.77852694613227</v>
      </c>
      <c r="I478" s="12">
        <f t="shared" si="66"/>
        <v>0.32476139449869634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163.49241549280816</v>
      </c>
      <c r="F479" s="37">
        <f t="shared" si="60"/>
        <v>0</v>
      </c>
      <c r="G479" s="14">
        <f t="shared" si="61"/>
        <v>0</v>
      </c>
      <c r="H479" s="24">
        <f t="shared" si="59"/>
        <v>515.90798052879541</v>
      </c>
      <c r="I479" s="12">
        <f t="shared" si="66"/>
        <v>0.32468034015334213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163.81709583296151</v>
      </c>
      <c r="F480" s="37">
        <f t="shared" si="60"/>
        <v>0</v>
      </c>
      <c r="G480" s="14">
        <f t="shared" si="61"/>
        <v>0</v>
      </c>
      <c r="H480" s="24">
        <f t="shared" si="59"/>
        <v>516.03727504516974</v>
      </c>
      <c r="I480" s="12">
        <f t="shared" si="66"/>
        <v>0.32459914239325061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164.14169497535477</v>
      </c>
      <c r="F481" s="37">
        <f t="shared" si="60"/>
        <v>0</v>
      </c>
      <c r="G481" s="14">
        <f t="shared" si="61"/>
        <v>0</v>
      </c>
      <c r="H481" s="24">
        <f t="shared" si="59"/>
        <v>516.16641098888078</v>
      </c>
      <c r="I481" s="12">
        <f t="shared" si="66"/>
        <v>0.3245178023949904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164.46621277774975</v>
      </c>
      <c r="F482" s="37">
        <f t="shared" si="60"/>
        <v>0</v>
      </c>
      <c r="G482" s="14">
        <f t="shared" si="61"/>
        <v>0</v>
      </c>
      <c r="H482" s="24">
        <f t="shared" si="59"/>
        <v>516.29538885353622</v>
      </c>
      <c r="I482" s="12">
        <f t="shared" si="66"/>
        <v>0.32443632132447986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164.79064909907422</v>
      </c>
      <c r="F483" s="37">
        <f t="shared" si="60"/>
        <v>0</v>
      </c>
      <c r="G483" s="14">
        <f t="shared" si="61"/>
        <v>0</v>
      </c>
      <c r="H483" s="24">
        <f t="shared" si="59"/>
        <v>516.4242091327194</v>
      </c>
      <c r="I483" s="12">
        <f t="shared" si="66"/>
        <v>0.32435470033709124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165.11500379941131</v>
      </c>
      <c r="F484" s="37">
        <f t="shared" si="60"/>
        <v>0</v>
      </c>
      <c r="G484" s="14">
        <f t="shared" si="61"/>
        <v>0</v>
      </c>
      <c r="H484" s="24">
        <f t="shared" si="59"/>
        <v>516.55287231997943</v>
      </c>
      <c r="I484" s="12">
        <f t="shared" si="66"/>
        <v>0.32427294057775718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165.43927673998908</v>
      </c>
      <c r="F485" s="37">
        <f t="shared" si="60"/>
        <v>0</v>
      </c>
      <c r="G485" s="14">
        <f t="shared" si="61"/>
        <v>0</v>
      </c>
      <c r="H485" s="24">
        <f t="shared" si="59"/>
        <v>516.6813789088244</v>
      </c>
      <c r="I485" s="12">
        <f t="shared" si="66"/>
        <v>0.32419104318107284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165.76346778317014</v>
      </c>
      <c r="F486" s="37">
        <f t="shared" si="60"/>
        <v>0</v>
      </c>
      <c r="G486" s="14">
        <f t="shared" si="61"/>
        <v>0</v>
      </c>
      <c r="H486" s="24">
        <f t="shared" si="59"/>
        <v>516.80972939271248</v>
      </c>
      <c r="I486" s="12">
        <f t="shared" si="66"/>
        <v>0.32410900927139863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166.08757679244155</v>
      </c>
      <c r="F487" s="37">
        <f t="shared" si="60"/>
        <v>0</v>
      </c>
      <c r="G487" s="14">
        <f t="shared" si="61"/>
        <v>0</v>
      </c>
      <c r="H487" s="24">
        <f t="shared" si="59"/>
        <v>516.93792426504524</v>
      </c>
      <c r="I487" s="12">
        <f t="shared" si="66"/>
        <v>0.32402683996296122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166.41160363240451</v>
      </c>
      <c r="F488" s="37">
        <f t="shared" si="60"/>
        <v>0</v>
      </c>
      <c r="G488" s="14">
        <f t="shared" si="61"/>
        <v>0</v>
      </c>
      <c r="H488" s="24">
        <f t="shared" si="59"/>
        <v>517.06596401915886</v>
      </c>
      <c r="I488" s="12">
        <f t="shared" si="66"/>
        <v>0.32394453635995363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166.73554816876447</v>
      </c>
      <c r="F489" s="37">
        <f t="shared" si="60"/>
        <v>0</v>
      </c>
      <c r="G489" s="14">
        <f t="shared" si="61"/>
        <v>0</v>
      </c>
      <c r="H489" s="24">
        <f t="shared" si="59"/>
        <v>517.19384914831653</v>
      </c>
      <c r="I489" s="12">
        <f t="shared" si="66"/>
        <v>0.32386209955663481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167.0594102683211</v>
      </c>
      <c r="F490" s="37">
        <f t="shared" si="60"/>
        <v>0</v>
      </c>
      <c r="G490" s="14">
        <f t="shared" si="61"/>
        <v>0</v>
      </c>
      <c r="H490" s="24">
        <f t="shared" si="59"/>
        <v>517.32158014570211</v>
      </c>
      <c r="I490" s="12">
        <f t="shared" si="66"/>
        <v>0.32377953063742587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167.38318979895854</v>
      </c>
      <c r="F491" s="37">
        <f t="shared" si="60"/>
        <v>0</v>
      </c>
      <c r="G491" s="14">
        <f t="shared" si="61"/>
        <v>0</v>
      </c>
      <c r="H491" s="24">
        <f t="shared" si="59"/>
        <v>517.44915750441078</v>
      </c>
      <c r="I491" s="12">
        <f t="shared" si="66"/>
        <v>0.32369683067700877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167.70688662963556</v>
      </c>
      <c r="F492" s="37">
        <f t="shared" si="60"/>
        <v>0</v>
      </c>
      <c r="G492" s="14">
        <f t="shared" si="61"/>
        <v>0</v>
      </c>
      <c r="H492" s="24">
        <f t="shared" si="59"/>
        <v>517.57658171744322</v>
      </c>
      <c r="I492" s="12">
        <f t="shared" si="66"/>
        <v>0.32361400074042035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168.030500630376</v>
      </c>
      <c r="F493" s="37">
        <f t="shared" si="60"/>
        <v>0</v>
      </c>
      <c r="G493" s="14">
        <f t="shared" si="61"/>
        <v>0</v>
      </c>
      <c r="H493" s="24">
        <f t="shared" si="59"/>
        <v>517.70385327769759</v>
      </c>
      <c r="I493" s="12">
        <f t="shared" si="66"/>
        <v>0.32353104188314824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168.35403167225914</v>
      </c>
      <c r="F494" s="37">
        <f t="shared" si="60"/>
        <v>0</v>
      </c>
      <c r="G494" s="14">
        <f t="shared" si="61"/>
        <v>0</v>
      </c>
      <c r="H494" s="24">
        <f t="shared" si="59"/>
        <v>517.830972677962</v>
      </c>
      <c r="I494" s="12">
        <f t="shared" si="66"/>
        <v>0.32344795515122376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168.67747962741038</v>
      </c>
      <c r="F495" s="37">
        <f t="shared" si="60"/>
        <v>0</v>
      </c>
      <c r="G495" s="14">
        <f t="shared" si="61"/>
        <v>0</v>
      </c>
      <c r="H495" s="24">
        <f t="shared" si="59"/>
        <v>517.95794041090835</v>
      </c>
      <c r="I495" s="12">
        <f t="shared" si="66"/>
        <v>0.32336474158131462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169.00084436899169</v>
      </c>
      <c r="F496" s="37">
        <f t="shared" si="60"/>
        <v>0</v>
      </c>
      <c r="G496" s="14">
        <f t="shared" si="61"/>
        <v>0</v>
      </c>
      <c r="H496" s="24">
        <f t="shared" si="59"/>
        <v>518.08475696908442</v>
      </c>
      <c r="I496" s="12">
        <f t="shared" si="66"/>
        <v>0.32328140220081653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169.32412577119251</v>
      </c>
      <c r="F497" s="37">
        <f t="shared" si="60"/>
        <v>0</v>
      </c>
      <c r="G497" s="14">
        <f t="shared" si="61"/>
        <v>0</v>
      </c>
      <c r="H497" s="24">
        <f t="shared" si="59"/>
        <v>518.21142284490702</v>
      </c>
      <c r="I497" s="12">
        <f t="shared" si="66"/>
        <v>0.32319793802794394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169.64732370922044</v>
      </c>
      <c r="F498" s="37">
        <f t="shared" si="60"/>
        <v>0</v>
      </c>
      <c r="G498" s="14">
        <f t="shared" si="61"/>
        <v>0</v>
      </c>
      <c r="H498" s="24">
        <f t="shared" si="59"/>
        <v>518.33793853065538</v>
      </c>
      <c r="I498" s="12">
        <f t="shared" si="66"/>
        <v>0.32311435007181949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169.97043805929226</v>
      </c>
      <c r="F499" s="37">
        <f t="shared" si="60"/>
        <v>0</v>
      </c>
      <c r="G499" s="14">
        <f t="shared" si="61"/>
        <v>0</v>
      </c>
      <c r="H499" s="24">
        <f t="shared" si="59"/>
        <v>518.46430451846436</v>
      </c>
      <c r="I499" s="12">
        <f t="shared" si="66"/>
        <v>0.3230306393325626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170.29346869862482</v>
      </c>
      <c r="F500" s="37">
        <f t="shared" si="60"/>
        <v>0</v>
      </c>
      <c r="G500" s="14">
        <f t="shared" si="61"/>
        <v>0</v>
      </c>
      <c r="H500" s="24">
        <f t="shared" si="59"/>
        <v>518.59052130031739</v>
      </c>
      <c r="I500" s="12">
        <f t="shared" si="66"/>
        <v>0.32294680680137711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170.6164155054262</v>
      </c>
      <c r="F501" s="37">
        <f t="shared" si="60"/>
        <v>0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518.71658936803999</v>
      </c>
      <c r="I501" s="12">
        <f t="shared" si="66"/>
        <v>0.32286285346063792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170.93927835888684</v>
      </c>
      <c r="F502" s="37">
        <f t="shared" si="60"/>
        <v>0</v>
      </c>
      <c r="G502" s="14">
        <f t="shared" si="61"/>
        <v>0</v>
      </c>
      <c r="H502" s="24">
        <f t="shared" si="67"/>
        <v>518.84250921329317</v>
      </c>
      <c r="I502" s="12">
        <f t="shared" si="66"/>
        <v>0.322778780283977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171.26205713917082</v>
      </c>
      <c r="F503" s="37">
        <f t="shared" si="60"/>
        <v>0</v>
      </c>
      <c r="G503" s="14">
        <f t="shared" si="61"/>
        <v>0</v>
      </c>
      <c r="H503" s="24">
        <f t="shared" si="67"/>
        <v>518.96828132756696</v>
      </c>
      <c r="I503" s="12">
        <f t="shared" si="66"/>
        <v>0.32269458823636843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171.58475172740719</v>
      </c>
      <c r="F504" s="37">
        <f t="shared" si="60"/>
        <v>0</v>
      </c>
      <c r="G504" s="14">
        <f t="shared" si="61"/>
        <v>0</v>
      </c>
      <c r="H504" s="24">
        <f t="shared" si="67"/>
        <v>519.09390620217403</v>
      </c>
      <c r="I504" s="12">
        <f t="shared" si="66"/>
        <v>0.32261027827421107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171.90736200568139</v>
      </c>
      <c r="F505" s="37">
        <f t="shared" si="60"/>
        <v>0</v>
      </c>
      <c r="G505" s="14">
        <f t="shared" si="61"/>
        <v>0</v>
      </c>
      <c r="H505" s="24">
        <f t="shared" si="67"/>
        <v>519.21938432824311</v>
      </c>
      <c r="I505" s="12">
        <f t="shared" si="66"/>
        <v>0.32252585134541345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172.2298878570268</v>
      </c>
      <c r="F506" s="37">
        <f t="shared" si="60"/>
        <v>0</v>
      </c>
      <c r="G506" s="14">
        <f t="shared" si="61"/>
        <v>0</v>
      </c>
      <c r="H506" s="24">
        <f t="shared" si="67"/>
        <v>519.34471619671319</v>
      </c>
      <c r="I506" s="12">
        <f t="shared" si="66"/>
        <v>0.32244130838947455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172.55232916541627</v>
      </c>
      <c r="F507" s="37">
        <f t="shared" si="60"/>
        <v>0</v>
      </c>
      <c r="G507" s="14">
        <f t="shared" si="61"/>
        <v>0</v>
      </c>
      <c r="H507" s="24">
        <f t="shared" si="67"/>
        <v>519.4699022983267</v>
      </c>
      <c r="I507" s="12">
        <f t="shared" si="66"/>
        <v>0.32235665033756522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172.87468581575382</v>
      </c>
      <c r="F508" s="37">
        <f t="shared" si="60"/>
        <v>0</v>
      </c>
      <c r="G508" s="14">
        <f t="shared" si="61"/>
        <v>0</v>
      </c>
      <c r="H508" s="24">
        <f t="shared" si="67"/>
        <v>519.59494312362358</v>
      </c>
      <c r="I508" s="12">
        <f t="shared" si="66"/>
        <v>0.32227187811260927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173.19695769386644</v>
      </c>
      <c r="F509" s="37">
        <f t="shared" si="60"/>
        <v>0</v>
      </c>
      <c r="G509" s="14">
        <f t="shared" si="61"/>
        <v>0</v>
      </c>
      <c r="H509" s="24">
        <f t="shared" si="67"/>
        <v>519.71983916293584</v>
      </c>
      <c r="I509" s="12">
        <f t="shared" si="66"/>
        <v>0.32218699262936196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173.51914468649579</v>
      </c>
      <c r="F510" s="37">
        <f t="shared" si="60"/>
        <v>0</v>
      </c>
      <c r="G510" s="14">
        <f t="shared" si="61"/>
        <v>0</v>
      </c>
      <c r="H510" s="24">
        <f t="shared" si="67"/>
        <v>519.84459090638052</v>
      </c>
      <c r="I510" s="12">
        <f t="shared" si="66"/>
        <v>0.32210199479448975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173.84124668129027</v>
      </c>
      <c r="F511" s="37">
        <f t="shared" si="60"/>
        <v>0</v>
      </c>
      <c r="G511" s="14">
        <f t="shared" si="61"/>
        <v>0</v>
      </c>
      <c r="H511" s="24">
        <f t="shared" si="67"/>
        <v>519.96919884385454</v>
      </c>
      <c r="I511" s="12">
        <f t="shared" si="66"/>
        <v>0.32201688550664709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174.16326356679693</v>
      </c>
      <c r="F512" s="37">
        <f t="shared" si="60"/>
        <v>0</v>
      </c>
      <c r="G512" s="14">
        <f t="shared" si="61"/>
        <v>0</v>
      </c>
      <c r="H512" s="24">
        <f t="shared" si="67"/>
        <v>520.09366346502861</v>
      </c>
      <c r="I512" s="12">
        <f t="shared" si="66"/>
        <v>0.32193166565655429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174.48519523245349</v>
      </c>
      <c r="F513" s="37">
        <f t="shared" si="60"/>
        <v>0</v>
      </c>
      <c r="G513" s="14">
        <f t="shared" si="61"/>
        <v>0</v>
      </c>
      <c r="H513" s="24">
        <f t="shared" si="67"/>
        <v>520.21798525934162</v>
      </c>
      <c r="I513" s="12">
        <f t="shared" si="66"/>
        <v>0.32184633612707281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174.80704156858056</v>
      </c>
      <c r="F514" s="37">
        <f t="shared" si="60"/>
        <v>0</v>
      </c>
      <c r="G514" s="14">
        <f t="shared" si="61"/>
        <v>0</v>
      </c>
      <c r="H514" s="24">
        <f t="shared" si="67"/>
        <v>520.34216471599393</v>
      </c>
      <c r="I514" s="12">
        <f t="shared" si="66"/>
        <v>0.32176089779328226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175.12880246637383</v>
      </c>
      <c r="F515" s="37">
        <f t="shared" si="60"/>
        <v>0</v>
      </c>
      <c r="G515" s="14">
        <f t="shared" si="61"/>
        <v>0</v>
      </c>
      <c r="H515" s="24">
        <f t="shared" si="67"/>
        <v>520.46620232394389</v>
      </c>
      <c r="I515" s="12">
        <f t="shared" si="66"/>
        <v>0.32167535152255233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175.45047781789637</v>
      </c>
      <c r="F516" s="37">
        <f t="shared" si="60"/>
        <v>0</v>
      </c>
      <c r="G516" s="14">
        <f t="shared" si="61"/>
        <v>0</v>
      </c>
      <c r="H516" s="24">
        <f t="shared" si="67"/>
        <v>520.59009857189983</v>
      </c>
      <c r="I516" s="12">
        <f t="shared" si="66"/>
        <v>0.32158969817461919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175.77206751607099</v>
      </c>
      <c r="F517" s="37">
        <f t="shared" si="60"/>
        <v>0</v>
      </c>
      <c r="G517" s="14">
        <f t="shared" si="61"/>
        <v>0</v>
      </c>
      <c r="H517" s="24">
        <f t="shared" si="67"/>
        <v>520.71385394831589</v>
      </c>
      <c r="I517" s="12">
        <f t="shared" si="66"/>
        <v>0.32150393860165727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176.09357145467266</v>
      </c>
      <c r="F518" s="37">
        <f t="shared" si="60"/>
        <v>0</v>
      </c>
      <c r="G518" s="14">
        <f t="shared" si="61"/>
        <v>0</v>
      </c>
      <c r="H518" s="24">
        <f t="shared" si="67"/>
        <v>520.83746894138676</v>
      </c>
      <c r="I518" s="12">
        <f t="shared" si="66"/>
        <v>0.32141807364835129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176.414989528321</v>
      </c>
      <c r="F519" s="37">
        <f t="shared" si="60"/>
        <v>0</v>
      </c>
      <c r="G519" s="14">
        <f t="shared" si="61"/>
        <v>0</v>
      </c>
      <c r="H519" s="24">
        <f t="shared" si="67"/>
        <v>520.96094403904124</v>
      </c>
      <c r="I519" s="12">
        <f t="shared" si="66"/>
        <v>0.32133210415196822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176.73632163247296</v>
      </c>
      <c r="F520" s="37">
        <f t="shared" si="60"/>
        <v>0</v>
      </c>
      <c r="G520" s="14">
        <f t="shared" si="61"/>
        <v>0</v>
      </c>
      <c r="H520" s="24">
        <f t="shared" si="67"/>
        <v>521.08427972893753</v>
      </c>
      <c r="I520" s="12">
        <f t="shared" si="66"/>
        <v>0.32124603094242804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177.0575676634154</v>
      </c>
      <c r="F521" s="37">
        <f t="shared" si="60"/>
        <v>0</v>
      </c>
      <c r="G521" s="14">
        <f t="shared" si="61"/>
        <v>0</v>
      </c>
      <c r="H521" s="24">
        <f t="shared" si="67"/>
        <v>521.20747649845862</v>
      </c>
      <c r="I521" s="12">
        <f t="shared" si="66"/>
        <v>0.32115985484237325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177.37872751825776</v>
      </c>
      <c r="F522" s="37">
        <f t="shared" si="60"/>
        <v>0</v>
      </c>
      <c r="G522" s="14">
        <f t="shared" si="61"/>
        <v>0</v>
      </c>
      <c r="H522" s="24">
        <f t="shared" si="67"/>
        <v>521.33053483470576</v>
      </c>
      <c r="I522" s="12">
        <f t="shared" si="66"/>
        <v>0.32107357666723879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177.69980109492499</v>
      </c>
      <c r="F523" s="37">
        <f t="shared" si="60"/>
        <v>0</v>
      </c>
      <c r="G523" s="14">
        <f t="shared" si="61"/>
        <v>0</v>
      </c>
      <c r="H523" s="24">
        <f t="shared" si="67"/>
        <v>521.45345522449418</v>
      </c>
      <c r="I523" s="12">
        <f t="shared" si="66"/>
        <v>0.32098719722531971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178.02078829215031</v>
      </c>
      <c r="F524" s="37">
        <f t="shared" si="60"/>
        <v>0</v>
      </c>
      <c r="G524" s="14">
        <f t="shared" si="61"/>
        <v>0</v>
      </c>
      <c r="H524" s="24">
        <f t="shared" si="67"/>
        <v>521.57623815434795</v>
      </c>
      <c r="I524" s="12">
        <f t="shared" si="66"/>
        <v>0.32090071731783965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178.34168900946815</v>
      </c>
      <c r="F525" s="37">
        <f t="shared" si="60"/>
        <v>0</v>
      </c>
      <c r="G525" s="14">
        <f t="shared" si="61"/>
        <v>0</v>
      </c>
      <c r="H525" s="24">
        <f t="shared" si="67"/>
        <v>521.69888411049453</v>
      </c>
      <c r="I525" s="12">
        <f t="shared" si="66"/>
        <v>0.32081413773901785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178.66250314720716</v>
      </c>
      <c r="F526" s="37">
        <f t="shared" si="60"/>
        <v>0</v>
      </c>
      <c r="G526" s="14">
        <f t="shared" si="61"/>
        <v>0</v>
      </c>
      <c r="H526" s="24">
        <f t="shared" si="67"/>
        <v>521.82139357886012</v>
      </c>
      <c r="I526" s="12">
        <f t="shared" si="66"/>
        <v>0.3207274592761355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178.98323060648329</v>
      </c>
      <c r="F527" s="37">
        <f t="shared" si="60"/>
        <v>0</v>
      </c>
      <c r="G527" s="14">
        <f t="shared" si="61"/>
        <v>0</v>
      </c>
      <c r="H527" s="24">
        <f t="shared" si="67"/>
        <v>521.94376704506521</v>
      </c>
      <c r="I527" s="12">
        <f t="shared" si="66"/>
        <v>0.32064068270960094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179.3038712891929</v>
      </c>
      <c r="F528" s="37">
        <f t="shared" si="60"/>
        <v>0</v>
      </c>
      <c r="G528" s="14">
        <f t="shared" si="61"/>
        <v>0</v>
      </c>
      <c r="H528" s="24">
        <f t="shared" si="67"/>
        <v>522.06600499441879</v>
      </c>
      <c r="I528" s="12">
        <f t="shared" si="66"/>
        <v>0.32055380881301559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179.6244250980059</v>
      </c>
      <c r="F529" s="37">
        <f t="shared" si="60"/>
        <v>0</v>
      </c>
      <c r="G529" s="14">
        <f t="shared" si="61"/>
        <v>0</v>
      </c>
      <c r="H529" s="24">
        <f t="shared" si="67"/>
        <v>522.18810791191413</v>
      </c>
      <c r="I529" s="12">
        <f t="shared" si="66"/>
        <v>0.32046683835323725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179.94489193635914</v>
      </c>
      <c r="F530" s="37">
        <f t="shared" si="60"/>
        <v>0</v>
      </c>
      <c r="G530" s="14">
        <f t="shared" si="61"/>
        <v>0</v>
      </c>
      <c r="H530" s="24">
        <f t="shared" si="67"/>
        <v>522.31007628222392</v>
      </c>
      <c r="I530" s="12">
        <f t="shared" si="66"/>
        <v>0.32037977209044499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180.26527170844957</v>
      </c>
      <c r="F531" s="37">
        <f t="shared" si="60"/>
        <v>0</v>
      </c>
      <c r="G531" s="14">
        <f t="shared" si="61"/>
        <v>0</v>
      </c>
      <c r="H531" s="24">
        <f t="shared" si="67"/>
        <v>522.4319105896958</v>
      </c>
      <c r="I531" s="12">
        <f t="shared" si="66"/>
        <v>0.32029261077820115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180.58556431922779</v>
      </c>
      <c r="F532" s="37">
        <f t="shared" ref="F532:F595" si="68">Cp*RhoP/(RhoA*H532)*dp/1000*MassivP</f>
        <v>0</v>
      </c>
      <c r="G532" s="14">
        <f t="shared" ref="G532:G595" si="69">Phi*EpsilonF*Botzman/10^8*J532*((D532+273)^4-(E532+273)^4)</f>
        <v>0</v>
      </c>
      <c r="H532" s="24">
        <f t="shared" si="67"/>
        <v>522.55361131834729</v>
      </c>
      <c r="I532" s="12">
        <f t="shared" si="66"/>
        <v>0.32020535516351423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180.90576967439131</v>
      </c>
      <c r="F533" s="37">
        <f t="shared" si="68"/>
        <v>0</v>
      </c>
      <c r="G533" s="14">
        <f t="shared" si="69"/>
        <v>0</v>
      </c>
      <c r="H533" s="24">
        <f t="shared" si="67"/>
        <v>522.67517895186177</v>
      </c>
      <c r="I533" s="12">
        <f t="shared" ref="I533:I596" si="74">LambdaP*MassivP/(dp/1000)/(H533*RhoA)/(1+F533/3)*(D533-E533)*DeltaT-(EXP(F533/10)-1)*(D533-D532)</f>
        <v>0.32011800598690027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181.22588768037821</v>
      </c>
      <c r="F534" s="37">
        <f t="shared" si="68"/>
        <v>0</v>
      </c>
      <c r="G534" s="14">
        <f t="shared" si="69"/>
        <v>0</v>
      </c>
      <c r="H534" s="24">
        <f t="shared" si="67"/>
        <v>522.79661397358359</v>
      </c>
      <c r="I534" s="12">
        <f t="shared" si="74"/>
        <v>0.32003056398244445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181.54591824436065</v>
      </c>
      <c r="F535" s="37">
        <f t="shared" si="68"/>
        <v>0</v>
      </c>
      <c r="G535" s="14">
        <f t="shared" si="69"/>
        <v>0</v>
      </c>
      <c r="H535" s="24">
        <f t="shared" si="67"/>
        <v>522.91791686651368</v>
      </c>
      <c r="I535" s="12">
        <f t="shared" si="74"/>
        <v>0.31994302987786105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181.86586127423851</v>
      </c>
      <c r="F536" s="37">
        <f t="shared" si="68"/>
        <v>0</v>
      </c>
      <c r="G536" s="14">
        <f t="shared" si="69"/>
        <v>0</v>
      </c>
      <c r="H536" s="24">
        <f t="shared" si="67"/>
        <v>523.03908811330507</v>
      </c>
      <c r="I536" s="12">
        <f t="shared" si="74"/>
        <v>0.31985540439455373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182.18571667863307</v>
      </c>
      <c r="F537" s="37">
        <f t="shared" si="68"/>
        <v>0</v>
      </c>
      <c r="G537" s="14">
        <f t="shared" si="69"/>
        <v>0</v>
      </c>
      <c r="H537" s="24">
        <f t="shared" si="67"/>
        <v>523.16012819625905</v>
      </c>
      <c r="I537" s="12">
        <f t="shared" si="74"/>
        <v>0.31976768824767399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182.50548436688075</v>
      </c>
      <c r="F538" s="37">
        <f t="shared" si="68"/>
        <v>0</v>
      </c>
      <c r="G538" s="14">
        <f t="shared" si="69"/>
        <v>0</v>
      </c>
      <c r="H538" s="24">
        <f t="shared" si="67"/>
        <v>523.28103759731994</v>
      </c>
      <c r="I538" s="12">
        <f t="shared" si="74"/>
        <v>0.31967988214618093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182.82516424902693</v>
      </c>
      <c r="F539" s="37">
        <f t="shared" si="68"/>
        <v>0</v>
      </c>
      <c r="G539" s="14">
        <f t="shared" si="69"/>
        <v>0</v>
      </c>
      <c r="H539" s="24">
        <f t="shared" si="67"/>
        <v>523.40181679807188</v>
      </c>
      <c r="I539" s="12">
        <f t="shared" si="74"/>
        <v>0.31959198679289824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183.14475623581981</v>
      </c>
      <c r="F540" s="37">
        <f t="shared" si="68"/>
        <v>0</v>
      </c>
      <c r="G540" s="14">
        <f t="shared" si="69"/>
        <v>0</v>
      </c>
      <c r="H540" s="24">
        <f t="shared" si="67"/>
        <v>523.52246627973329</v>
      </c>
      <c r="I540" s="12">
        <f t="shared" si="74"/>
        <v>0.31950400288457259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183.46426023870438</v>
      </c>
      <c r="F541" s="37">
        <f t="shared" si="68"/>
        <v>0</v>
      </c>
      <c r="G541" s="14">
        <f t="shared" si="69"/>
        <v>0</v>
      </c>
      <c r="H541" s="24">
        <f t="shared" si="67"/>
        <v>523.6429865231546</v>
      </c>
      <c r="I541" s="12">
        <f t="shared" si="74"/>
        <v>0.31941593111192929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183.78367616981632</v>
      </c>
      <c r="F542" s="37">
        <f t="shared" si="68"/>
        <v>0</v>
      </c>
      <c r="G542" s="14">
        <f t="shared" si="69"/>
        <v>0</v>
      </c>
      <c r="H542" s="24">
        <f t="shared" si="67"/>
        <v>523.76337800881231</v>
      </c>
      <c r="I542" s="12">
        <f t="shared" si="74"/>
        <v>0.31932777215972952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184.10300394197606</v>
      </c>
      <c r="F543" s="37">
        <f t="shared" si="68"/>
        <v>0</v>
      </c>
      <c r="G543" s="14">
        <f t="shared" si="69"/>
        <v>0</v>
      </c>
      <c r="H543" s="24">
        <f t="shared" si="67"/>
        <v>523.88364121680615</v>
      </c>
      <c r="I543" s="12">
        <f t="shared" si="74"/>
        <v>0.31923952670682543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184.42224346868289</v>
      </c>
      <c r="F544" s="37">
        <f t="shared" si="68"/>
        <v>0</v>
      </c>
      <c r="G544" s="14">
        <f t="shared" si="69"/>
        <v>0</v>
      </c>
      <c r="H544" s="24">
        <f t="shared" si="67"/>
        <v>524.00377662685423</v>
      </c>
      <c r="I544" s="12">
        <f t="shared" si="74"/>
        <v>0.31915119542621634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184.74139466410912</v>
      </c>
      <c r="F545" s="37">
        <f t="shared" si="68"/>
        <v>0</v>
      </c>
      <c r="G545" s="14">
        <f t="shared" si="69"/>
        <v>0</v>
      </c>
      <c r="H545" s="24">
        <f t="shared" si="67"/>
        <v>524.12378471828981</v>
      </c>
      <c r="I545" s="12">
        <f t="shared" si="74"/>
        <v>0.31906277898510138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185.06045744309424</v>
      </c>
      <c r="F546" s="37">
        <f t="shared" si="68"/>
        <v>0</v>
      </c>
      <c r="G546" s="14">
        <f t="shared" si="69"/>
        <v>0</v>
      </c>
      <c r="H546" s="24">
        <f t="shared" si="67"/>
        <v>524.2436659700569</v>
      </c>
      <c r="I546" s="12">
        <f t="shared" si="74"/>
        <v>0.31897427804493539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185.37943172113918</v>
      </c>
      <c r="F547" s="37">
        <f t="shared" si="68"/>
        <v>0</v>
      </c>
      <c r="G547" s="14">
        <f t="shared" si="69"/>
        <v>0</v>
      </c>
      <c r="H547" s="24">
        <f t="shared" si="67"/>
        <v>524.3634208607067</v>
      </c>
      <c r="I547" s="12">
        <f t="shared" si="74"/>
        <v>0.31888569326148142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185.69831741440066</v>
      </c>
      <c r="F548" s="37">
        <f t="shared" si="68"/>
        <v>0</v>
      </c>
      <c r="G548" s="14">
        <f t="shared" si="69"/>
        <v>0</v>
      </c>
      <c r="H548" s="24">
        <f t="shared" si="67"/>
        <v>524.48304986839355</v>
      </c>
      <c r="I548" s="12">
        <f t="shared" si="74"/>
        <v>0.31879702528486381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186.01711443968551</v>
      </c>
      <c r="F549" s="37">
        <f t="shared" si="68"/>
        <v>0</v>
      </c>
      <c r="G549" s="14">
        <f t="shared" si="69"/>
        <v>0</v>
      </c>
      <c r="H549" s="24">
        <f t="shared" si="67"/>
        <v>524.60255347087127</v>
      </c>
      <c r="I549" s="12">
        <f t="shared" si="74"/>
        <v>0.31870827475962071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186.33582271444513</v>
      </c>
      <c r="F550" s="37">
        <f t="shared" si="68"/>
        <v>0</v>
      </c>
      <c r="G550" s="14">
        <f t="shared" si="69"/>
        <v>0</v>
      </c>
      <c r="H550" s="24">
        <f t="shared" si="67"/>
        <v>524.72193214548929</v>
      </c>
      <c r="I550" s="12">
        <f t="shared" si="74"/>
        <v>0.31861944232475564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186.65444215676987</v>
      </c>
      <c r="F551" s="37">
        <f t="shared" si="68"/>
        <v>0</v>
      </c>
      <c r="G551" s="14">
        <f t="shared" si="69"/>
        <v>0</v>
      </c>
      <c r="H551" s="24">
        <f t="shared" si="67"/>
        <v>524.84118636918947</v>
      </c>
      <c r="I551" s="12">
        <f t="shared" si="74"/>
        <v>0.31853052861378955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186.97297268538367</v>
      </c>
      <c r="F552" s="37">
        <f t="shared" si="68"/>
        <v>0</v>
      </c>
      <c r="G552" s="14">
        <f t="shared" si="69"/>
        <v>0</v>
      </c>
      <c r="H552" s="24">
        <f t="shared" si="67"/>
        <v>524.96031661850157</v>
      </c>
      <c r="I552" s="12">
        <f t="shared" si="74"/>
        <v>0.3184415342548107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187.29141421963848</v>
      </c>
      <c r="F553" s="37">
        <f t="shared" si="68"/>
        <v>0</v>
      </c>
      <c r="G553" s="14">
        <f t="shared" si="69"/>
        <v>0</v>
      </c>
      <c r="H553" s="24">
        <f t="shared" si="67"/>
        <v>525.0793233695407</v>
      </c>
      <c r="I553" s="12">
        <f t="shared" si="74"/>
        <v>0.31835245987052552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187.60976667950902</v>
      </c>
      <c r="F554" s="37">
        <f t="shared" si="68"/>
        <v>0</v>
      </c>
      <c r="G554" s="14">
        <f t="shared" si="69"/>
        <v>0</v>
      </c>
      <c r="H554" s="24">
        <f t="shared" si="67"/>
        <v>525.19820709800263</v>
      </c>
      <c r="I554" s="12">
        <f t="shared" si="74"/>
        <v>0.31826330607830849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187.92802998558733</v>
      </c>
      <c r="F555" s="37">
        <f t="shared" si="68"/>
        <v>0</v>
      </c>
      <c r="G555" s="14">
        <f t="shared" si="69"/>
        <v>0</v>
      </c>
      <c r="H555" s="24">
        <f t="shared" si="67"/>
        <v>525.31696827916176</v>
      </c>
      <c r="I555" s="12">
        <f t="shared" si="74"/>
        <v>0.31817407349025112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188.24620405907757</v>
      </c>
      <c r="F556" s="37">
        <f t="shared" si="68"/>
        <v>0</v>
      </c>
      <c r="G556" s="14">
        <f t="shared" si="69"/>
        <v>0</v>
      </c>
      <c r="H556" s="24">
        <f t="shared" si="67"/>
        <v>525.43560738786562</v>
      </c>
      <c r="I556" s="12">
        <f t="shared" si="74"/>
        <v>0.31808476271321151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188.56428882179077</v>
      </c>
      <c r="F557" s="37">
        <f t="shared" si="68"/>
        <v>0</v>
      </c>
      <c r="G557" s="14">
        <f t="shared" si="69"/>
        <v>0</v>
      </c>
      <c r="H557" s="24">
        <f t="shared" si="67"/>
        <v>525.55412489853381</v>
      </c>
      <c r="I557" s="12">
        <f t="shared" si="74"/>
        <v>0.31799537434886094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188.88228419613964</v>
      </c>
      <c r="F558" s="37">
        <f t="shared" si="68"/>
        <v>0</v>
      </c>
      <c r="G558" s="14">
        <f t="shared" si="69"/>
        <v>0</v>
      </c>
      <c r="H558" s="24">
        <f t="shared" si="67"/>
        <v>525.6725212851527</v>
      </c>
      <c r="I558" s="12">
        <f t="shared" si="74"/>
        <v>0.31790590899373428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189.20019010513337</v>
      </c>
      <c r="F559" s="37">
        <f t="shared" si="68"/>
        <v>0</v>
      </c>
      <c r="G559" s="14">
        <f t="shared" si="69"/>
        <v>0</v>
      </c>
      <c r="H559" s="24">
        <f t="shared" si="67"/>
        <v>525.79079702127297</v>
      </c>
      <c r="I559" s="12">
        <f t="shared" si="74"/>
        <v>0.31781636723927503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189.51800647237266</v>
      </c>
      <c r="F560" s="37">
        <f t="shared" si="68"/>
        <v>0</v>
      </c>
      <c r="G560" s="14">
        <f t="shared" si="69"/>
        <v>0</v>
      </c>
      <c r="H560" s="24">
        <f t="shared" si="67"/>
        <v>525.90895258000592</v>
      </c>
      <c r="I560" s="12">
        <f t="shared" si="74"/>
        <v>0.31772674967188397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189.83573322204455</v>
      </c>
      <c r="F561" s="37">
        <f t="shared" si="68"/>
        <v>0</v>
      </c>
      <c r="G561" s="14">
        <f t="shared" si="69"/>
        <v>0</v>
      </c>
      <c r="H561" s="24">
        <f t="shared" si="67"/>
        <v>526.02698843402095</v>
      </c>
      <c r="I561" s="12">
        <f t="shared" si="74"/>
        <v>0.31763705687296412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190.15337027891752</v>
      </c>
      <c r="F562" s="37">
        <f t="shared" si="68"/>
        <v>0</v>
      </c>
      <c r="G562" s="14">
        <f t="shared" si="69"/>
        <v>0</v>
      </c>
      <c r="H562" s="24">
        <f t="shared" si="67"/>
        <v>526.14490505554136</v>
      </c>
      <c r="I562" s="12">
        <f t="shared" si="74"/>
        <v>0.3175472894189677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190.47091756833649</v>
      </c>
      <c r="F563" s="37">
        <f t="shared" si="68"/>
        <v>0</v>
      </c>
      <c r="G563" s="14">
        <f t="shared" si="69"/>
        <v>0</v>
      </c>
      <c r="H563" s="24">
        <f t="shared" si="67"/>
        <v>526.26270291634182</v>
      </c>
      <c r="I563" s="12">
        <f t="shared" si="74"/>
        <v>0.31745744788144153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190.78837501621794</v>
      </c>
      <c r="F564" s="37">
        <f t="shared" si="68"/>
        <v>0</v>
      </c>
      <c r="G564" s="14">
        <f t="shared" si="69"/>
        <v>0</v>
      </c>
      <c r="H564" s="24">
        <f t="shared" si="67"/>
        <v>526.38038248774512</v>
      </c>
      <c r="I564" s="12">
        <f t="shared" si="74"/>
        <v>0.31736753282707197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191.105742549045</v>
      </c>
      <c r="F565" s="37">
        <f t="shared" si="68"/>
        <v>0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526.49794424061884</v>
      </c>
      <c r="I565" s="12">
        <f t="shared" si="74"/>
        <v>0.31727754481772924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191.42302009386273</v>
      </c>
      <c r="F566" s="37">
        <f t="shared" si="68"/>
        <v>0</v>
      </c>
      <c r="G566" s="14">
        <f t="shared" si="69"/>
        <v>0</v>
      </c>
      <c r="H566" s="24">
        <f t="shared" si="75"/>
        <v>526.61538864537226</v>
      </c>
      <c r="I566" s="12">
        <f t="shared" si="74"/>
        <v>0.3171874844105122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191.74020757827324</v>
      </c>
      <c r="F567" s="37">
        <f t="shared" si="68"/>
        <v>0</v>
      </c>
      <c r="G567" s="14">
        <f t="shared" si="69"/>
        <v>0</v>
      </c>
      <c r="H567" s="24">
        <f t="shared" si="75"/>
        <v>526.73271617195383</v>
      </c>
      <c r="I567" s="12">
        <f t="shared" si="74"/>
        <v>0.31709735215779167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192.05730493043103</v>
      </c>
      <c r="F568" s="37">
        <f t="shared" si="68"/>
        <v>0</v>
      </c>
      <c r="G568" s="14">
        <f t="shared" si="69"/>
        <v>0</v>
      </c>
      <c r="H568" s="24">
        <f t="shared" si="75"/>
        <v>526.84992728984764</v>
      </c>
      <c r="I568" s="12">
        <f t="shared" si="74"/>
        <v>0.31700714860725399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192.37431207903828</v>
      </c>
      <c r="F569" s="37">
        <f t="shared" si="68"/>
        <v>0</v>
      </c>
      <c r="G569" s="14">
        <f t="shared" si="69"/>
        <v>0</v>
      </c>
      <c r="H569" s="24">
        <f t="shared" si="75"/>
        <v>526.96702246807047</v>
      </c>
      <c r="I569" s="12">
        <f t="shared" si="74"/>
        <v>0.31691687430194382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192.69122895334021</v>
      </c>
      <c r="F570" s="37">
        <f t="shared" si="68"/>
        <v>0</v>
      </c>
      <c r="G570" s="14">
        <f t="shared" si="69"/>
        <v>0</v>
      </c>
      <c r="H570" s="24">
        <f t="shared" si="75"/>
        <v>527.08400217516964</v>
      </c>
      <c r="I570" s="12">
        <f t="shared" si="74"/>
        <v>0.3168265297803064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193.00805548312053</v>
      </c>
      <c r="F571" s="37">
        <f t="shared" si="68"/>
        <v>0</v>
      </c>
      <c r="G571" s="14">
        <f t="shared" si="69"/>
        <v>0</v>
      </c>
      <c r="H571" s="24">
        <f t="shared" si="75"/>
        <v>527.20086687921889</v>
      </c>
      <c r="I571" s="12">
        <f t="shared" si="74"/>
        <v>0.31673611557623044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193.32479159869675</v>
      </c>
      <c r="F572" s="37">
        <f t="shared" si="68"/>
        <v>0</v>
      </c>
      <c r="G572" s="14">
        <f t="shared" si="69"/>
        <v>0</v>
      </c>
      <c r="H572" s="24">
        <f t="shared" si="75"/>
        <v>527.31761704781638</v>
      </c>
      <c r="I572" s="12">
        <f t="shared" si="74"/>
        <v>0.31664563221908837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193.64143723091584</v>
      </c>
      <c r="F573" s="37">
        <f t="shared" si="68"/>
        <v>0</v>
      </c>
      <c r="G573" s="14">
        <f t="shared" si="69"/>
        <v>0</v>
      </c>
      <c r="H573" s="24">
        <f t="shared" si="75"/>
        <v>527.43425314808212</v>
      </c>
      <c r="I573" s="12">
        <f t="shared" si="74"/>
        <v>0.31655508023377904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193.95799231114961</v>
      </c>
      <c r="F574" s="37">
        <f t="shared" si="68"/>
        <v>0</v>
      </c>
      <c r="G574" s="14">
        <f t="shared" si="69"/>
        <v>0</v>
      </c>
      <c r="H574" s="24">
        <f t="shared" si="75"/>
        <v>527.55077564665396</v>
      </c>
      <c r="I574" s="12">
        <f t="shared" si="74"/>
        <v>0.3164644601407674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194.27445677129037</v>
      </c>
      <c r="F575" s="37">
        <f t="shared" si="68"/>
        <v>0</v>
      </c>
      <c r="G575" s="14">
        <f t="shared" si="69"/>
        <v>0</v>
      </c>
      <c r="H575" s="24">
        <f t="shared" si="75"/>
        <v>527.66718500968625</v>
      </c>
      <c r="I575" s="12">
        <f t="shared" si="74"/>
        <v>0.31637377245612597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194.59083054374651</v>
      </c>
      <c r="F576" s="37">
        <f t="shared" si="68"/>
        <v>0</v>
      </c>
      <c r="G576" s="14">
        <f t="shared" si="69"/>
        <v>0</v>
      </c>
      <c r="H576" s="24">
        <f t="shared" si="75"/>
        <v>527.7834817028463</v>
      </c>
      <c r="I576" s="12">
        <f t="shared" si="74"/>
        <v>0.3162830176915738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194.90711356143808</v>
      </c>
      <c r="F577" s="37">
        <f t="shared" si="68"/>
        <v>0</v>
      </c>
      <c r="G577" s="14">
        <f t="shared" si="69"/>
        <v>0</v>
      </c>
      <c r="H577" s="24">
        <f t="shared" si="75"/>
        <v>527.89966619131189</v>
      </c>
      <c r="I577" s="12">
        <f t="shared" si="74"/>
        <v>0.31619219635451723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195.22330575779259</v>
      </c>
      <c r="F578" s="37">
        <f t="shared" si="68"/>
        <v>0</v>
      </c>
      <c r="G578" s="14">
        <f t="shared" si="69"/>
        <v>0</v>
      </c>
      <c r="H578" s="24">
        <f t="shared" si="75"/>
        <v>528.01573893976854</v>
      </c>
      <c r="I578" s="12">
        <f t="shared" si="74"/>
        <v>0.31610130894808824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195.53940706674067</v>
      </c>
      <c r="F579" s="37">
        <f t="shared" si="68"/>
        <v>0</v>
      </c>
      <c r="G579" s="14">
        <f t="shared" si="69"/>
        <v>0</v>
      </c>
      <c r="H579" s="24">
        <f t="shared" si="75"/>
        <v>528.13170041240733</v>
      </c>
      <c r="I579" s="12">
        <f t="shared" si="74"/>
        <v>0.31601035597118388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195.85541742271184</v>
      </c>
      <c r="F580" s="37">
        <f t="shared" si="68"/>
        <v>0</v>
      </c>
      <c r="G580" s="14">
        <f t="shared" si="69"/>
        <v>0</v>
      </c>
      <c r="H580" s="24">
        <f t="shared" si="75"/>
        <v>528.24755107292174</v>
      </c>
      <c r="I580" s="12">
        <f t="shared" si="74"/>
        <v>0.31591933791850457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196.17133676063034</v>
      </c>
      <c r="F581" s="37">
        <f t="shared" si="68"/>
        <v>0</v>
      </c>
      <c r="G581" s="14">
        <f t="shared" si="69"/>
        <v>0</v>
      </c>
      <c r="H581" s="24">
        <f t="shared" si="75"/>
        <v>528.36329138450515</v>
      </c>
      <c r="I581" s="12">
        <f t="shared" si="74"/>
        <v>0.3158282552805925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196.48716501591093</v>
      </c>
      <c r="F582" s="37">
        <f t="shared" si="68"/>
        <v>0</v>
      </c>
      <c r="G582" s="14">
        <f t="shared" si="69"/>
        <v>0</v>
      </c>
      <c r="H582" s="24">
        <f t="shared" si="75"/>
        <v>528.47892180984923</v>
      </c>
      <c r="I582" s="12">
        <f t="shared" si="74"/>
        <v>0.31573710854386883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196.80290212445479</v>
      </c>
      <c r="F583" s="37">
        <f t="shared" si="68"/>
        <v>0</v>
      </c>
      <c r="G583" s="14">
        <f t="shared" si="69"/>
        <v>0</v>
      </c>
      <c r="H583" s="24">
        <f t="shared" si="75"/>
        <v>528.59444281113997</v>
      </c>
      <c r="I583" s="12">
        <f t="shared" si="74"/>
        <v>0.31564589819067201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197.11854802264546</v>
      </c>
      <c r="F584" s="37">
        <f t="shared" si="68"/>
        <v>0</v>
      </c>
      <c r="G584" s="14">
        <f t="shared" si="69"/>
        <v>0</v>
      </c>
      <c r="H584" s="24">
        <f t="shared" si="75"/>
        <v>528.70985485005667</v>
      </c>
      <c r="I584" s="12">
        <f t="shared" si="74"/>
        <v>0.31555462469929374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197.43410264734476</v>
      </c>
      <c r="F585" s="37">
        <f t="shared" si="68"/>
        <v>0</v>
      </c>
      <c r="G585" s="14">
        <f t="shared" si="69"/>
        <v>0</v>
      </c>
      <c r="H585" s="24">
        <f t="shared" si="75"/>
        <v>528.82515838776817</v>
      </c>
      <c r="I585" s="12">
        <f t="shared" si="74"/>
        <v>0.31546328854401667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197.74956593588877</v>
      </c>
      <c r="F586" s="37">
        <f t="shared" si="68"/>
        <v>0</v>
      </c>
      <c r="G586" s="14">
        <f t="shared" si="69"/>
        <v>0</v>
      </c>
      <c r="H586" s="24">
        <f t="shared" si="75"/>
        <v>528.94035388493194</v>
      </c>
      <c r="I586" s="12">
        <f t="shared" si="74"/>
        <v>0.31537189019515011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198.06493782608391</v>
      </c>
      <c r="F587" s="37">
        <f t="shared" si="68"/>
        <v>0</v>
      </c>
      <c r="G587" s="14">
        <f t="shared" si="69"/>
        <v>0</v>
      </c>
      <c r="H587" s="24">
        <f t="shared" si="75"/>
        <v>529.05544180169022</v>
      </c>
      <c r="I587" s="12">
        <f t="shared" si="74"/>
        <v>0.31528043011906637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198.38021825620297</v>
      </c>
      <c r="F588" s="37">
        <f t="shared" si="68"/>
        <v>0</v>
      </c>
      <c r="G588" s="14">
        <f t="shared" si="69"/>
        <v>0</v>
      </c>
      <c r="H588" s="24">
        <f t="shared" si="75"/>
        <v>529.17042259766902</v>
      </c>
      <c r="I588" s="12">
        <f t="shared" si="74"/>
        <v>0.31518890877823569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198.69540716498119</v>
      </c>
      <c r="F589" s="37">
        <f t="shared" si="68"/>
        <v>0</v>
      </c>
      <c r="G589" s="14">
        <f t="shared" si="69"/>
        <v>0</v>
      </c>
      <c r="H589" s="24">
        <f t="shared" si="75"/>
        <v>529.28529673197465</v>
      </c>
      <c r="I589" s="12">
        <f t="shared" si="74"/>
        <v>0.31509732663126283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199.01050449161247</v>
      </c>
      <c r="F590" s="37">
        <f t="shared" si="68"/>
        <v>0</v>
      </c>
      <c r="G590" s="14">
        <f t="shared" si="69"/>
        <v>0</v>
      </c>
      <c r="H590" s="24">
        <f t="shared" si="75"/>
        <v>529.40006466319232</v>
      </c>
      <c r="I590" s="12">
        <f t="shared" si="74"/>
        <v>0.31500568413292085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199.32551017574539</v>
      </c>
      <c r="F591" s="37">
        <f t="shared" si="68"/>
        <v>0</v>
      </c>
      <c r="G591" s="14">
        <f t="shared" si="69"/>
        <v>0</v>
      </c>
      <c r="H591" s="24">
        <f t="shared" si="75"/>
        <v>529.51472684938346</v>
      </c>
      <c r="I591" s="12">
        <f t="shared" si="74"/>
        <v>0.3149139817341865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199.64042415747957</v>
      </c>
      <c r="F592" s="37">
        <f t="shared" si="68"/>
        <v>0</v>
      </c>
      <c r="G592" s="14">
        <f t="shared" si="69"/>
        <v>0</v>
      </c>
      <c r="H592" s="24">
        <f t="shared" si="75"/>
        <v>529.62928374808382</v>
      </c>
      <c r="I592" s="12">
        <f t="shared" si="74"/>
        <v>0.31482221988227388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199.95524637736185</v>
      </c>
      <c r="F593" s="37">
        <f t="shared" si="68"/>
        <v>0</v>
      </c>
      <c r="G593" s="14">
        <f t="shared" si="69"/>
        <v>0</v>
      </c>
      <c r="H593" s="24">
        <f t="shared" si="75"/>
        <v>529.74373581630084</v>
      </c>
      <c r="I593" s="12">
        <f t="shared" si="74"/>
        <v>0.31473039902066891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200.26997677638252</v>
      </c>
      <c r="F594" s="37">
        <f t="shared" si="68"/>
        <v>0</v>
      </c>
      <c r="G594" s="14">
        <f t="shared" si="69"/>
        <v>0</v>
      </c>
      <c r="H594" s="24">
        <f t="shared" si="75"/>
        <v>529.85808351051185</v>
      </c>
      <c r="I594" s="12">
        <f t="shared" si="74"/>
        <v>0.31463851958916267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200.58461529597167</v>
      </c>
      <c r="F595" s="37">
        <f t="shared" si="68"/>
        <v>0</v>
      </c>
      <c r="G595" s="14">
        <f t="shared" si="69"/>
        <v>0</v>
      </c>
      <c r="H595" s="24">
        <f t="shared" si="75"/>
        <v>529.97232728666154</v>
      </c>
      <c r="I595" s="12">
        <f t="shared" si="74"/>
        <v>0.31454658202388552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200.89916187799557</v>
      </c>
      <c r="F596" s="37">
        <f t="shared" ref="F596:F659" si="76">Cp*RhoP/(RhoA*H596)*dp/1000*MassivP</f>
        <v>0</v>
      </c>
      <c r="G596" s="14">
        <f t="shared" ref="G596:G659" si="77">Phi*EpsilonF*Botzman/10^8*J596*((D596+273)^4-(E596+273)^4)</f>
        <v>0</v>
      </c>
      <c r="H596" s="24">
        <f t="shared" si="75"/>
        <v>530.08646760016086</v>
      </c>
      <c r="I596" s="12">
        <f t="shared" si="74"/>
        <v>0.31445458675733839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201.2136164647529</v>
      </c>
      <c r="F597" s="37">
        <f t="shared" si="76"/>
        <v>0</v>
      </c>
      <c r="G597" s="14">
        <f t="shared" si="77"/>
        <v>0</v>
      </c>
      <c r="H597" s="24">
        <f t="shared" si="75"/>
        <v>530.20050490588335</v>
      </c>
      <c r="I597" s="12">
        <f t="shared" ref="I597:I660" si="82">LambdaP*MassivP/(dp/1000)/(H597*RhoA)/(1+F597/3)*(D597-E597)*DeltaT-(EXP(F597/10)-1)*(D597-D596)</f>
        <v>0.31436253421842747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201.52797899897132</v>
      </c>
      <c r="F598" s="37">
        <f t="shared" si="76"/>
        <v>0</v>
      </c>
      <c r="G598" s="14">
        <f t="shared" si="77"/>
        <v>0</v>
      </c>
      <c r="H598" s="24">
        <f t="shared" si="75"/>
        <v>530.31443965816447</v>
      </c>
      <c r="I598" s="12">
        <f t="shared" si="82"/>
        <v>0.31427042483249523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201.84224942380382</v>
      </c>
      <c r="F599" s="37">
        <f t="shared" si="76"/>
        <v>0</v>
      </c>
      <c r="G599" s="14">
        <f t="shared" si="77"/>
        <v>0</v>
      </c>
      <c r="H599" s="24">
        <f t="shared" si="75"/>
        <v>530.42827231079912</v>
      </c>
      <c r="I599" s="12">
        <f t="shared" si="82"/>
        <v>0.31417825902135343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202.15642768282518</v>
      </c>
      <c r="F600" s="37">
        <f t="shared" si="76"/>
        <v>0</v>
      </c>
      <c r="G600" s="14">
        <f t="shared" si="77"/>
        <v>0</v>
      </c>
      <c r="H600" s="24">
        <f t="shared" si="75"/>
        <v>530.5420033170393</v>
      </c>
      <c r="I600" s="12">
        <f t="shared" si="82"/>
        <v>0.31408603720331363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202.47051372002849</v>
      </c>
      <c r="F601" s="37">
        <f t="shared" si="76"/>
        <v>0</v>
      </c>
      <c r="G601" s="14">
        <f t="shared" si="77"/>
        <v>0</v>
      </c>
      <c r="H601" s="24">
        <f t="shared" si="75"/>
        <v>530.65563312959262</v>
      </c>
      <c r="I601" s="12">
        <f t="shared" si="82"/>
        <v>0.31399375979322031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202.78450747982171</v>
      </c>
      <c r="F602" s="37">
        <f t="shared" si="76"/>
        <v>0</v>
      </c>
      <c r="G602" s="14">
        <f t="shared" si="77"/>
        <v>0</v>
      </c>
      <c r="H602" s="24">
        <f t="shared" si="75"/>
        <v>530.76916220062014</v>
      </c>
      <c r="I602" s="12">
        <f t="shared" si="82"/>
        <v>0.31390142720248082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203.09840890702418</v>
      </c>
      <c r="F603" s="37">
        <f t="shared" si="76"/>
        <v>0</v>
      </c>
      <c r="G603" s="14">
        <f t="shared" si="77"/>
        <v>0</v>
      </c>
      <c r="H603" s="24">
        <f t="shared" si="75"/>
        <v>530.88259098173444</v>
      </c>
      <c r="I603" s="12">
        <f t="shared" si="82"/>
        <v>0.31380903983909664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203.41221794686328</v>
      </c>
      <c r="F604" s="37">
        <f t="shared" si="76"/>
        <v>0</v>
      </c>
      <c r="G604" s="14">
        <f t="shared" si="77"/>
        <v>0</v>
      </c>
      <c r="H604" s="24">
        <f t="shared" si="75"/>
        <v>530.9959199239978</v>
      </c>
      <c r="I604" s="12">
        <f t="shared" si="82"/>
        <v>0.31371659810769392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203.72593454497098</v>
      </c>
      <c r="F605" s="37">
        <f t="shared" si="76"/>
        <v>0</v>
      </c>
      <c r="G605" s="14">
        <f t="shared" si="77"/>
        <v>0</v>
      </c>
      <c r="H605" s="24">
        <f t="shared" si="75"/>
        <v>531.10914947792025</v>
      </c>
      <c r="I605" s="12">
        <f t="shared" si="82"/>
        <v>0.31362410240955435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204.03955864738055</v>
      </c>
      <c r="F606" s="37">
        <f t="shared" si="76"/>
        <v>0</v>
      </c>
      <c r="G606" s="14">
        <f t="shared" si="77"/>
        <v>0</v>
      </c>
      <c r="H606" s="24">
        <f t="shared" si="75"/>
        <v>531.22228009345804</v>
      </c>
      <c r="I606" s="12">
        <f t="shared" si="82"/>
        <v>0.31353155314264408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204.35309020052318</v>
      </c>
      <c r="F607" s="37">
        <f t="shared" si="76"/>
        <v>0</v>
      </c>
      <c r="G607" s="14">
        <f t="shared" si="77"/>
        <v>0</v>
      </c>
      <c r="H607" s="24">
        <f t="shared" si="75"/>
        <v>531.33531222001113</v>
      </c>
      <c r="I607" s="12">
        <f t="shared" si="82"/>
        <v>0.31343895070164451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204.66652915122484</v>
      </c>
      <c r="F608" s="37">
        <f t="shared" si="76"/>
        <v>0</v>
      </c>
      <c r="G608" s="14">
        <f t="shared" si="77"/>
        <v>0</v>
      </c>
      <c r="H608" s="24">
        <f t="shared" si="75"/>
        <v>531.44824630642199</v>
      </c>
      <c r="I608" s="12">
        <f t="shared" si="82"/>
        <v>0.31334629547798143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204.97987544670281</v>
      </c>
      <c r="F609" s="37">
        <f t="shared" si="76"/>
        <v>0</v>
      </c>
      <c r="G609" s="14">
        <f t="shared" si="77"/>
        <v>0</v>
      </c>
      <c r="H609" s="24">
        <f t="shared" si="75"/>
        <v>531.56108280097362</v>
      </c>
      <c r="I609" s="12">
        <f t="shared" si="82"/>
        <v>0.31325358785985363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205.29312903456267</v>
      </c>
      <c r="F610" s="37">
        <f t="shared" si="76"/>
        <v>0</v>
      </c>
      <c r="G610" s="14">
        <f t="shared" si="77"/>
        <v>0</v>
      </c>
      <c r="H610" s="24">
        <f t="shared" si="75"/>
        <v>531.67382215138809</v>
      </c>
      <c r="I610" s="12">
        <f t="shared" si="82"/>
        <v>0.31316082823226254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205.60628986279494</v>
      </c>
      <c r="F611" s="37">
        <f t="shared" si="76"/>
        <v>0</v>
      </c>
      <c r="G611" s="14">
        <f t="shared" si="77"/>
        <v>0</v>
      </c>
      <c r="H611" s="24">
        <f t="shared" si="75"/>
        <v>531.78646480482416</v>
      </c>
      <c r="I611" s="12">
        <f t="shared" si="82"/>
        <v>0.3130680169770409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205.91935787977198</v>
      </c>
      <c r="F612" s="37">
        <f t="shared" si="76"/>
        <v>0</v>
      </c>
      <c r="G612" s="14">
        <f t="shared" si="77"/>
        <v>0</v>
      </c>
      <c r="H612" s="24">
        <f t="shared" si="75"/>
        <v>531.89901120787624</v>
      </c>
      <c r="I612" s="12">
        <f t="shared" si="82"/>
        <v>0.31297515447288049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206.23233303424485</v>
      </c>
      <c r="F613" s="37">
        <f t="shared" si="76"/>
        <v>0</v>
      </c>
      <c r="G613" s="14">
        <f t="shared" si="77"/>
        <v>0</v>
      </c>
      <c r="H613" s="24">
        <f t="shared" si="75"/>
        <v>532.01146180657258</v>
      </c>
      <c r="I613" s="12">
        <f t="shared" si="82"/>
        <v>0.31288224109536056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206.54521527534021</v>
      </c>
      <c r="F614" s="37">
        <f t="shared" si="76"/>
        <v>0</v>
      </c>
      <c r="G614" s="14">
        <f t="shared" si="77"/>
        <v>0</v>
      </c>
      <c r="H614" s="24">
        <f t="shared" si="75"/>
        <v>532.12381704637289</v>
      </c>
      <c r="I614" s="12">
        <f t="shared" si="82"/>
        <v>0.31278927721697647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206.85800455255719</v>
      </c>
      <c r="F615" s="37">
        <f t="shared" si="76"/>
        <v>0</v>
      </c>
      <c r="G615" s="14">
        <f t="shared" si="77"/>
        <v>0</v>
      </c>
      <c r="H615" s="24">
        <f t="shared" si="75"/>
        <v>532.23607737216787</v>
      </c>
      <c r="I615" s="12">
        <f t="shared" si="82"/>
        <v>0.31269626320716559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207.17070081576435</v>
      </c>
      <c r="F616" s="37">
        <f t="shared" si="76"/>
        <v>0</v>
      </c>
      <c r="G616" s="14">
        <f t="shared" si="77"/>
        <v>0</v>
      </c>
      <c r="H616" s="24">
        <f t="shared" si="75"/>
        <v>532.34824322827694</v>
      </c>
      <c r="I616" s="12">
        <f t="shared" si="82"/>
        <v>0.31260319943233605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207.48330401519669</v>
      </c>
      <c r="F617" s="37">
        <f t="shared" si="76"/>
        <v>0</v>
      </c>
      <c r="G617" s="14">
        <f t="shared" si="77"/>
        <v>0</v>
      </c>
      <c r="H617" s="24">
        <f t="shared" si="75"/>
        <v>532.46031505844644</v>
      </c>
      <c r="I617" s="12">
        <f t="shared" si="82"/>
        <v>0.3125100862558936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207.79581410145258</v>
      </c>
      <c r="F618" s="37">
        <f t="shared" si="76"/>
        <v>0</v>
      </c>
      <c r="G618" s="14">
        <f t="shared" si="77"/>
        <v>0</v>
      </c>
      <c r="H618" s="24">
        <f t="shared" si="75"/>
        <v>532.57229330584869</v>
      </c>
      <c r="I618" s="12">
        <f t="shared" si="82"/>
        <v>0.31241692403826798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208.10823102549085</v>
      </c>
      <c r="F619" s="37">
        <f t="shared" si="76"/>
        <v>0</v>
      </c>
      <c r="G619" s="14">
        <f t="shared" si="77"/>
        <v>0</v>
      </c>
      <c r="H619" s="24">
        <f t="shared" si="75"/>
        <v>532.68417841307996</v>
      </c>
      <c r="I619" s="12">
        <f t="shared" si="82"/>
        <v>0.31232371313693963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208.4205547386278</v>
      </c>
      <c r="F620" s="37">
        <f t="shared" si="76"/>
        <v>0</v>
      </c>
      <c r="G620" s="14">
        <f t="shared" si="77"/>
        <v>0</v>
      </c>
      <c r="H620" s="24">
        <f t="shared" si="75"/>
        <v>532.79597082215889</v>
      </c>
      <c r="I620" s="12">
        <f t="shared" si="82"/>
        <v>0.31223045390646642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208.73278519253427</v>
      </c>
      <c r="F621" s="37">
        <f t="shared" si="76"/>
        <v>0</v>
      </c>
      <c r="G621" s="14">
        <f t="shared" si="77"/>
        <v>0</v>
      </c>
      <c r="H621" s="24">
        <f t="shared" si="75"/>
        <v>532.90767097452556</v>
      </c>
      <c r="I621" s="12">
        <f t="shared" si="82"/>
        <v>0.31213714669850912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209.04492233923278</v>
      </c>
      <c r="F622" s="37">
        <f t="shared" si="76"/>
        <v>0</v>
      </c>
      <c r="G622" s="14">
        <f t="shared" si="77"/>
        <v>0</v>
      </c>
      <c r="H622" s="24">
        <f t="shared" si="75"/>
        <v>533.01927931103955</v>
      </c>
      <c r="I622" s="12">
        <f t="shared" si="82"/>
        <v>0.31204379186185771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209.35696613109465</v>
      </c>
      <c r="F623" s="37">
        <f t="shared" si="76"/>
        <v>0</v>
      </c>
      <c r="G623" s="14">
        <f t="shared" si="77"/>
        <v>0</v>
      </c>
      <c r="H623" s="24">
        <f t="shared" si="75"/>
        <v>533.13079627197828</v>
      </c>
      <c r="I623" s="12">
        <f t="shared" si="82"/>
        <v>0.3119503897424572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209.66891652083712</v>
      </c>
      <c r="F624" s="37">
        <f t="shared" si="76"/>
        <v>0</v>
      </c>
      <c r="G624" s="14">
        <f t="shared" si="77"/>
        <v>0</v>
      </c>
      <c r="H624" s="24">
        <f t="shared" si="75"/>
        <v>533.24222229703628</v>
      </c>
      <c r="I624" s="12">
        <f t="shared" si="82"/>
        <v>0.31185694068343223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209.98077346152056</v>
      </c>
      <c r="F625" s="37">
        <f t="shared" si="76"/>
        <v>0</v>
      </c>
      <c r="G625" s="14">
        <f t="shared" si="77"/>
        <v>0</v>
      </c>
      <c r="H625" s="24">
        <f t="shared" si="75"/>
        <v>533.35355782532281</v>
      </c>
      <c r="I625" s="12">
        <f t="shared" si="82"/>
        <v>0.31176344502511283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210.29253690654568</v>
      </c>
      <c r="F626" s="37">
        <f t="shared" si="76"/>
        <v>0</v>
      </c>
      <c r="G626" s="14">
        <f t="shared" si="77"/>
        <v>0</v>
      </c>
      <c r="H626" s="24">
        <f t="shared" si="75"/>
        <v>533.46480329536155</v>
      </c>
      <c r="I626" s="12">
        <f t="shared" si="82"/>
        <v>0.31166990310505926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210.60420680965075</v>
      </c>
      <c r="F627" s="37">
        <f t="shared" si="76"/>
        <v>0</v>
      </c>
      <c r="G627" s="14">
        <f t="shared" si="77"/>
        <v>0</v>
      </c>
      <c r="H627" s="24">
        <f t="shared" si="75"/>
        <v>533.57595914508806</v>
      </c>
      <c r="I627" s="12">
        <f t="shared" si="82"/>
        <v>0.3115763152580866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210.91578312490884</v>
      </c>
      <c r="F628" s="37">
        <f t="shared" si="76"/>
        <v>0</v>
      </c>
      <c r="G628" s="14">
        <f t="shared" si="77"/>
        <v>0</v>
      </c>
      <c r="H628" s="24">
        <f t="shared" si="75"/>
        <v>533.68702581184971</v>
      </c>
      <c r="I628" s="12">
        <f t="shared" si="82"/>
        <v>0.31148268181628891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211.22726580672514</v>
      </c>
      <c r="F629" s="37">
        <f t="shared" si="76"/>
        <v>0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533.79800373240312</v>
      </c>
      <c r="I629" s="12">
        <f t="shared" si="82"/>
        <v>0.3113890031090642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211.53865480983421</v>
      </c>
      <c r="F630" s="37">
        <f t="shared" si="76"/>
        <v>0</v>
      </c>
      <c r="G630" s="14">
        <f t="shared" si="77"/>
        <v>0</v>
      </c>
      <c r="H630" s="24">
        <f t="shared" si="83"/>
        <v>533.90889334291319</v>
      </c>
      <c r="I630" s="12">
        <f t="shared" si="82"/>
        <v>0.31129527946313779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211.84995008929735</v>
      </c>
      <c r="F631" s="37">
        <f t="shared" si="76"/>
        <v>0</v>
      </c>
      <c r="G631" s="14">
        <f t="shared" si="77"/>
        <v>0</v>
      </c>
      <c r="H631" s="24">
        <f t="shared" si="83"/>
        <v>534.01969507895262</v>
      </c>
      <c r="I631" s="12">
        <f t="shared" si="82"/>
        <v>0.31120151120258621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212.16115160049995</v>
      </c>
      <c r="F632" s="37">
        <f t="shared" si="76"/>
        <v>0</v>
      </c>
      <c r="G632" s="14">
        <f t="shared" si="77"/>
        <v>0</v>
      </c>
      <c r="H632" s="24">
        <f t="shared" si="83"/>
        <v>534.13040937549931</v>
      </c>
      <c r="I632" s="12">
        <f t="shared" si="82"/>
        <v>0.31110769864886101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212.47225929914882</v>
      </c>
      <c r="F633" s="37">
        <f t="shared" si="76"/>
        <v>0</v>
      </c>
      <c r="G633" s="14">
        <f t="shared" si="77"/>
        <v>0</v>
      </c>
      <c r="H633" s="24">
        <f t="shared" si="83"/>
        <v>534.24103666693622</v>
      </c>
      <c r="I633" s="12">
        <f t="shared" si="82"/>
        <v>0.31101384212081196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212.78327314126963</v>
      </c>
      <c r="F634" s="37">
        <f t="shared" si="76"/>
        <v>0</v>
      </c>
      <c r="G634" s="14">
        <f t="shared" si="77"/>
        <v>0</v>
      </c>
      <c r="H634" s="24">
        <f t="shared" si="83"/>
        <v>534.35157738704913</v>
      </c>
      <c r="I634" s="12">
        <f t="shared" si="82"/>
        <v>0.31091994193471051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213.09419308320435</v>
      </c>
      <c r="F635" s="37">
        <f t="shared" si="76"/>
        <v>0</v>
      </c>
      <c r="G635" s="14">
        <f t="shared" si="77"/>
        <v>0</v>
      </c>
      <c r="H635" s="24">
        <f t="shared" si="83"/>
        <v>534.46203196902638</v>
      </c>
      <c r="I635" s="12">
        <f t="shared" si="82"/>
        <v>0.31082599840427183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213.40501908160863</v>
      </c>
      <c r="F636" s="37">
        <f t="shared" si="76"/>
        <v>0</v>
      </c>
      <c r="G636" s="14">
        <f t="shared" si="77"/>
        <v>0</v>
      </c>
      <c r="H636" s="24">
        <f t="shared" si="83"/>
        <v>534.57240084545708</v>
      </c>
      <c r="I636" s="12">
        <f t="shared" si="82"/>
        <v>0.3107320118406785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213.71575109344931</v>
      </c>
      <c r="F637" s="37">
        <f t="shared" si="76"/>
        <v>0</v>
      </c>
      <c r="G637" s="14">
        <f t="shared" si="77"/>
        <v>0</v>
      </c>
      <c r="H637" s="24">
        <f t="shared" si="83"/>
        <v>534.68268444832984</v>
      </c>
      <c r="I637" s="12">
        <f t="shared" si="82"/>
        <v>0.31063798255260294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214.02638907600192</v>
      </c>
      <c r="F638" s="37">
        <f t="shared" si="76"/>
        <v>0</v>
      </c>
      <c r="G638" s="14">
        <f t="shared" si="77"/>
        <v>0</v>
      </c>
      <c r="H638" s="24">
        <f t="shared" si="83"/>
        <v>534.79288320903197</v>
      </c>
      <c r="I638" s="12">
        <f t="shared" si="82"/>
        <v>0.3105439108462289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214.33693298684815</v>
      </c>
      <c r="F639" s="37">
        <f t="shared" si="76"/>
        <v>0</v>
      </c>
      <c r="G639" s="14">
        <f t="shared" si="77"/>
        <v>0</v>
      </c>
      <c r="H639" s="24">
        <f t="shared" si="83"/>
        <v>534.90299755834781</v>
      </c>
      <c r="I639" s="12">
        <f t="shared" si="82"/>
        <v>0.31044979702527464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214.64738278387344</v>
      </c>
      <c r="F640" s="37">
        <f t="shared" si="76"/>
        <v>0</v>
      </c>
      <c r="G640" s="14">
        <f t="shared" si="77"/>
        <v>0</v>
      </c>
      <c r="H640" s="24">
        <f t="shared" si="83"/>
        <v>535.01302792645822</v>
      </c>
      <c r="I640" s="12">
        <f t="shared" si="82"/>
        <v>0.31035564139101401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214.95773842526447</v>
      </c>
      <c r="F641" s="37">
        <f t="shared" si="76"/>
        <v>0</v>
      </c>
      <c r="G641" s="14">
        <f t="shared" si="77"/>
        <v>0</v>
      </c>
      <c r="H641" s="24">
        <f t="shared" si="83"/>
        <v>535.12297474293939</v>
      </c>
      <c r="I641" s="12">
        <f t="shared" si="82"/>
        <v>0.31026144424229857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215.26799986950675</v>
      </c>
      <c r="F642" s="37">
        <f t="shared" si="76"/>
        <v>0</v>
      </c>
      <c r="G642" s="14">
        <f t="shared" si="77"/>
        <v>0</v>
      </c>
      <c r="H642" s="24">
        <f t="shared" si="83"/>
        <v>535.23283843676074</v>
      </c>
      <c r="I642" s="12">
        <f t="shared" si="82"/>
        <v>0.31016720587557911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215.57816707538234</v>
      </c>
      <c r="F643" s="37">
        <f t="shared" si="76"/>
        <v>0</v>
      </c>
      <c r="G643" s="14">
        <f t="shared" si="77"/>
        <v>0</v>
      </c>
      <c r="H643" s="24">
        <f t="shared" si="83"/>
        <v>535.34261943628496</v>
      </c>
      <c r="I643" s="12">
        <f t="shared" si="82"/>
        <v>0.31007292658492691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215.88824000196726</v>
      </c>
      <c r="F644" s="37">
        <f t="shared" si="76"/>
        <v>0</v>
      </c>
      <c r="G644" s="14">
        <f t="shared" si="77"/>
        <v>0</v>
      </c>
      <c r="H644" s="24">
        <f t="shared" si="83"/>
        <v>535.45231816926685</v>
      </c>
      <c r="I644" s="12">
        <f t="shared" si="82"/>
        <v>0.30997860666205468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216.1982186086293</v>
      </c>
      <c r="F645" s="37">
        <f t="shared" si="76"/>
        <v>0</v>
      </c>
      <c r="G645" s="14">
        <f t="shared" si="77"/>
        <v>0</v>
      </c>
      <c r="H645" s="24">
        <f t="shared" si="83"/>
        <v>535.56193506285138</v>
      </c>
      <c r="I645" s="12">
        <f t="shared" si="82"/>
        <v>0.30988424639633788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216.50810285502564</v>
      </c>
      <c r="F646" s="37">
        <f t="shared" si="76"/>
        <v>0</v>
      </c>
      <c r="G646" s="14">
        <f t="shared" si="77"/>
        <v>0</v>
      </c>
      <c r="H646" s="24">
        <f t="shared" si="83"/>
        <v>535.67147054357349</v>
      </c>
      <c r="I646" s="12">
        <f t="shared" si="82"/>
        <v>0.30978984607483495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216.81789270110048</v>
      </c>
      <c r="F647" s="37">
        <f t="shared" si="76"/>
        <v>0</v>
      </c>
      <c r="G647" s="14">
        <f t="shared" si="77"/>
        <v>0</v>
      </c>
      <c r="H647" s="24">
        <f t="shared" si="83"/>
        <v>535.78092503735661</v>
      </c>
      <c r="I647" s="12">
        <f t="shared" si="82"/>
        <v>0.30969540598230855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217.12758810708277</v>
      </c>
      <c r="F648" s="37">
        <f t="shared" si="76"/>
        <v>0</v>
      </c>
      <c r="G648" s="14">
        <f t="shared" si="77"/>
        <v>0</v>
      </c>
      <c r="H648" s="24">
        <f t="shared" si="83"/>
        <v>535.89029896951217</v>
      </c>
      <c r="I648" s="12">
        <f t="shared" si="82"/>
        <v>0.30960092640124526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217.43718903348403</v>
      </c>
      <c r="F649" s="37">
        <f t="shared" si="76"/>
        <v>0</v>
      </c>
      <c r="G649" s="14">
        <f t="shared" si="77"/>
        <v>0</v>
      </c>
      <c r="H649" s="24">
        <f t="shared" si="83"/>
        <v>535.99959276473805</v>
      </c>
      <c r="I649" s="12">
        <f t="shared" si="82"/>
        <v>0.30950640761187648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217.74669544109591</v>
      </c>
      <c r="F650" s="37">
        <f t="shared" si="76"/>
        <v>0</v>
      </c>
      <c r="G650" s="14">
        <f t="shared" si="77"/>
        <v>0</v>
      </c>
      <c r="H650" s="24">
        <f t="shared" si="83"/>
        <v>536.10880684711765</v>
      </c>
      <c r="I650" s="12">
        <f t="shared" si="82"/>
        <v>0.30941184989219755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218.05610729098811</v>
      </c>
      <c r="F651" s="37">
        <f t="shared" si="76"/>
        <v>0</v>
      </c>
      <c r="G651" s="14">
        <f t="shared" si="77"/>
        <v>0</v>
      </c>
      <c r="H651" s="24">
        <f t="shared" si="83"/>
        <v>536.21794164011931</v>
      </c>
      <c r="I651" s="12">
        <f t="shared" si="82"/>
        <v>0.30931725351798844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218.36542454450608</v>
      </c>
      <c r="F652" s="37">
        <f t="shared" si="76"/>
        <v>0</v>
      </c>
      <c r="G652" s="14">
        <f t="shared" si="77"/>
        <v>0</v>
      </c>
      <c r="H652" s="24">
        <f t="shared" si="83"/>
        <v>536.32699756659497</v>
      </c>
      <c r="I652" s="12">
        <f t="shared" si="82"/>
        <v>0.30922261876283308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218.67464716326893</v>
      </c>
      <c r="F653" s="37">
        <f t="shared" si="76"/>
        <v>0</v>
      </c>
      <c r="G653" s="14">
        <f t="shared" si="77"/>
        <v>0</v>
      </c>
      <c r="H653" s="24">
        <f t="shared" si="83"/>
        <v>536.43597504877937</v>
      </c>
      <c r="I653" s="12">
        <f t="shared" si="82"/>
        <v>0.30912794589813836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218.98377510916706</v>
      </c>
      <c r="F654" s="37">
        <f t="shared" si="76"/>
        <v>0</v>
      </c>
      <c r="G654" s="14">
        <f t="shared" si="77"/>
        <v>0</v>
      </c>
      <c r="H654" s="24">
        <f t="shared" si="83"/>
        <v>536.54487450828947</v>
      </c>
      <c r="I654" s="12">
        <f t="shared" si="82"/>
        <v>0.30903323519315468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219.2928083443602</v>
      </c>
      <c r="F655" s="37">
        <f t="shared" si="76"/>
        <v>0</v>
      </c>
      <c r="G655" s="14">
        <f t="shared" si="77"/>
        <v>0</v>
      </c>
      <c r="H655" s="24">
        <f t="shared" si="83"/>
        <v>536.65369636612297</v>
      </c>
      <c r="I655" s="12">
        <f t="shared" si="82"/>
        <v>0.30893848691499348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219.60174683127519</v>
      </c>
      <c r="F656" s="37">
        <f t="shared" si="76"/>
        <v>0</v>
      </c>
      <c r="G656" s="14">
        <f t="shared" si="77"/>
        <v>0</v>
      </c>
      <c r="H656" s="24">
        <f t="shared" si="83"/>
        <v>536.76244104265754</v>
      </c>
      <c r="I656" s="12">
        <f t="shared" si="82"/>
        <v>0.30884370132864747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219.91059053260383</v>
      </c>
      <c r="F657" s="37">
        <f t="shared" si="76"/>
        <v>0</v>
      </c>
      <c r="G657" s="14">
        <f t="shared" si="77"/>
        <v>0</v>
      </c>
      <c r="H657" s="24">
        <f t="shared" si="83"/>
        <v>536.87110895765045</v>
      </c>
      <c r="I657" s="12">
        <f t="shared" si="82"/>
        <v>0.3087488786970089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220.21933941130084</v>
      </c>
      <c r="F658" s="37">
        <f t="shared" si="76"/>
        <v>0</v>
      </c>
      <c r="G658" s="14">
        <f t="shared" si="77"/>
        <v>0</v>
      </c>
      <c r="H658" s="24">
        <f t="shared" si="83"/>
        <v>536.97970053023687</v>
      </c>
      <c r="I658" s="12">
        <f t="shared" si="82"/>
        <v>0.30865401928088837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220.52799343058172</v>
      </c>
      <c r="F659" s="37">
        <f t="shared" si="76"/>
        <v>0</v>
      </c>
      <c r="G659" s="14">
        <f t="shared" si="77"/>
        <v>0</v>
      </c>
      <c r="H659" s="24">
        <f t="shared" si="83"/>
        <v>537.08821617893011</v>
      </c>
      <c r="I659" s="12">
        <f t="shared" si="82"/>
        <v>0.30855912333903274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220.83655255392074</v>
      </c>
      <c r="F660" s="37">
        <f t="shared" ref="F660:F723" si="84">Cp*RhoP/(RhoA*H660)*dp/1000*MassivP</f>
        <v>0</v>
      </c>
      <c r="G660" s="14">
        <f t="shared" ref="G660:G723" si="85">Phi*EpsilonF*Botzman/10^8*J660*((D660+273)^4-(E660+273)^4)</f>
        <v>0</v>
      </c>
      <c r="H660" s="24">
        <f t="shared" si="83"/>
        <v>537.19665632161957</v>
      </c>
      <c r="I660" s="12">
        <f t="shared" si="82"/>
        <v>0.30846419112814433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221.14501674504888</v>
      </c>
      <c r="F661" s="37">
        <f t="shared" si="84"/>
        <v>0</v>
      </c>
      <c r="G661" s="14">
        <f t="shared" si="85"/>
        <v>0</v>
      </c>
      <c r="H661" s="24">
        <f t="shared" si="83"/>
        <v>537.30502137557085</v>
      </c>
      <c r="I661" s="12">
        <f t="shared" ref="I661:I724" si="90">LambdaP*MassivP/(dp/1000)/(H661*RhoA)/(1+F661/3)*(D661-E661)*DeltaT-(EXP(F661/10)-1)*(D661-D660)</f>
        <v>0.30836922290289853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221.45338596795179</v>
      </c>
      <c r="F662" s="37">
        <f t="shared" si="84"/>
        <v>0</v>
      </c>
      <c r="G662" s="14">
        <f t="shared" si="85"/>
        <v>0</v>
      </c>
      <c r="H662" s="24">
        <f t="shared" si="83"/>
        <v>537.41331175742459</v>
      </c>
      <c r="I662" s="12">
        <f t="shared" si="90"/>
        <v>0.30827421891596157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221.76166018686774</v>
      </c>
      <c r="F663" s="37">
        <f t="shared" si="84"/>
        <v>0</v>
      </c>
      <c r="G663" s="14">
        <f t="shared" si="85"/>
        <v>0</v>
      </c>
      <c r="H663" s="24">
        <f t="shared" si="83"/>
        <v>537.5215278831954</v>
      </c>
      <c r="I663" s="12">
        <f t="shared" si="90"/>
        <v>0.30817917941800882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222.06983936628575</v>
      </c>
      <c r="F664" s="37">
        <f t="shared" si="84"/>
        <v>0</v>
      </c>
      <c r="G664" s="14">
        <f t="shared" si="85"/>
        <v>0</v>
      </c>
      <c r="H664" s="24">
        <f t="shared" si="83"/>
        <v>537.62967016827213</v>
      </c>
      <c r="I664" s="12">
        <f t="shared" si="90"/>
        <v>0.30808410465774183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222.3779234709435</v>
      </c>
      <c r="F665" s="37">
        <f t="shared" si="84"/>
        <v>0</v>
      </c>
      <c r="G665" s="14">
        <f t="shared" si="85"/>
        <v>0</v>
      </c>
      <c r="H665" s="24">
        <f t="shared" si="83"/>
        <v>537.73773902741527</v>
      </c>
      <c r="I665" s="12">
        <f t="shared" si="90"/>
        <v>0.30798899488190695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222.6859124658254</v>
      </c>
      <c r="F666" s="37">
        <f t="shared" si="84"/>
        <v>0</v>
      </c>
      <c r="G666" s="14">
        <f t="shared" si="85"/>
        <v>0</v>
      </c>
      <c r="H666" s="24">
        <f t="shared" si="83"/>
        <v>537.84573487475825</v>
      </c>
      <c r="I666" s="12">
        <f t="shared" si="90"/>
        <v>0.30789385033531147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222.99380631616071</v>
      </c>
      <c r="F667" s="37">
        <f t="shared" si="84"/>
        <v>0</v>
      </c>
      <c r="G667" s="14">
        <f t="shared" si="85"/>
        <v>0</v>
      </c>
      <c r="H667" s="24">
        <f t="shared" si="83"/>
        <v>537.95365812380521</v>
      </c>
      <c r="I667" s="12">
        <f t="shared" si="90"/>
        <v>0.30779867126084098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223.30160498742157</v>
      </c>
      <c r="F668" s="37">
        <f t="shared" si="84"/>
        <v>0</v>
      </c>
      <c r="G668" s="14">
        <f t="shared" si="85"/>
        <v>0</v>
      </c>
      <c r="H668" s="24">
        <f t="shared" si="83"/>
        <v>538.06150918743106</v>
      </c>
      <c r="I668" s="12">
        <f t="shared" si="90"/>
        <v>0.30770345789947728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223.60930844532103</v>
      </c>
      <c r="F669" s="37">
        <f t="shared" si="84"/>
        <v>0</v>
      </c>
      <c r="G669" s="14">
        <f t="shared" si="85"/>
        <v>0</v>
      </c>
      <c r="H669" s="24">
        <f t="shared" si="83"/>
        <v>538.16928847788017</v>
      </c>
      <c r="I669" s="12">
        <f t="shared" si="90"/>
        <v>0.30760821049031439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223.91691665581135</v>
      </c>
      <c r="F670" s="37">
        <f t="shared" si="84"/>
        <v>0</v>
      </c>
      <c r="G670" s="14">
        <f t="shared" si="85"/>
        <v>0</v>
      </c>
      <c r="H670" s="24">
        <f t="shared" si="83"/>
        <v>538.27699640676633</v>
      </c>
      <c r="I670" s="12">
        <f t="shared" si="90"/>
        <v>0.30751292927057572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224.22442958508194</v>
      </c>
      <c r="F671" s="37">
        <f t="shared" si="84"/>
        <v>0</v>
      </c>
      <c r="G671" s="14">
        <f t="shared" si="85"/>
        <v>0</v>
      </c>
      <c r="H671" s="24">
        <f t="shared" si="83"/>
        <v>538.38463338507177</v>
      </c>
      <c r="I671" s="12">
        <f t="shared" si="90"/>
        <v>0.30741761447563032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224.53184719955757</v>
      </c>
      <c r="F672" s="37">
        <f t="shared" si="84"/>
        <v>0</v>
      </c>
      <c r="G672" s="14">
        <f t="shared" si="85"/>
        <v>0</v>
      </c>
      <c r="H672" s="24">
        <f t="shared" si="83"/>
        <v>538.49219982314605</v>
      </c>
      <c r="I672" s="12">
        <f t="shared" si="90"/>
        <v>0.30732226633900989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224.83916946589659</v>
      </c>
      <c r="F673" s="37">
        <f t="shared" si="84"/>
        <v>0</v>
      </c>
      <c r="G673" s="14">
        <f t="shared" si="85"/>
        <v>0</v>
      </c>
      <c r="H673" s="24">
        <f t="shared" si="83"/>
        <v>538.59969613070643</v>
      </c>
      <c r="I673" s="12">
        <f t="shared" si="90"/>
        <v>0.30722688509242413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225.14639635098902</v>
      </c>
      <c r="F674" s="37">
        <f t="shared" si="84"/>
        <v>0</v>
      </c>
      <c r="G674" s="14">
        <f t="shared" si="85"/>
        <v>0</v>
      </c>
      <c r="H674" s="24">
        <f t="shared" si="83"/>
        <v>538.70712271683578</v>
      </c>
      <c r="I674" s="12">
        <f t="shared" si="90"/>
        <v>0.30713147096577831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225.45352782195479</v>
      </c>
      <c r="F675" s="37">
        <f t="shared" si="84"/>
        <v>0</v>
      </c>
      <c r="G675" s="14">
        <f t="shared" si="85"/>
        <v>0</v>
      </c>
      <c r="H675" s="24">
        <f t="shared" si="83"/>
        <v>538.81447998998351</v>
      </c>
      <c r="I675" s="12">
        <f t="shared" si="90"/>
        <v>0.30703602418718773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225.76056384614199</v>
      </c>
      <c r="F676" s="37">
        <f t="shared" si="84"/>
        <v>0</v>
      </c>
      <c r="G676" s="14">
        <f t="shared" si="85"/>
        <v>0</v>
      </c>
      <c r="H676" s="24">
        <f t="shared" si="83"/>
        <v>538.92176835796374</v>
      </c>
      <c r="I676" s="12">
        <f t="shared" si="90"/>
        <v>0.30694054498299472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226.067504391125</v>
      </c>
      <c r="F677" s="37">
        <f t="shared" si="84"/>
        <v>0</v>
      </c>
      <c r="G677" s="14">
        <f t="shared" si="85"/>
        <v>0</v>
      </c>
      <c r="H677" s="24">
        <f t="shared" si="83"/>
        <v>539.0289882279551</v>
      </c>
      <c r="I677" s="12">
        <f t="shared" si="90"/>
        <v>0.30684503357778403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226.37434942470279</v>
      </c>
      <c r="F678" s="37">
        <f t="shared" si="84"/>
        <v>0</v>
      </c>
      <c r="G678" s="14">
        <f t="shared" si="85"/>
        <v>0</v>
      </c>
      <c r="H678" s="24">
        <f t="shared" si="83"/>
        <v>539.13614000650068</v>
      </c>
      <c r="I678" s="12">
        <f t="shared" si="90"/>
        <v>0.3067494901943979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226.68109891489718</v>
      </c>
      <c r="F679" s="37">
        <f t="shared" si="84"/>
        <v>0</v>
      </c>
      <c r="G679" s="14">
        <f t="shared" si="85"/>
        <v>0</v>
      </c>
      <c r="H679" s="24">
        <f t="shared" si="83"/>
        <v>539.24322409950616</v>
      </c>
      <c r="I679" s="12">
        <f t="shared" si="90"/>
        <v>0.30665391505395262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226.98775282995112</v>
      </c>
      <c r="F680" s="37">
        <f t="shared" si="84"/>
        <v>0</v>
      </c>
      <c r="G680" s="14">
        <f t="shared" si="85"/>
        <v>0</v>
      </c>
      <c r="H680" s="24">
        <f t="shared" si="83"/>
        <v>539.35024091224057</v>
      </c>
      <c r="I680" s="12">
        <f t="shared" si="90"/>
        <v>0.30655830837585296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227.29431113832698</v>
      </c>
      <c r="F681" s="37">
        <f t="shared" si="84"/>
        <v>0</v>
      </c>
      <c r="G681" s="14">
        <f t="shared" si="85"/>
        <v>0</v>
      </c>
      <c r="H681" s="24">
        <f t="shared" si="83"/>
        <v>539.45719084933478</v>
      </c>
      <c r="I681" s="12">
        <f t="shared" si="90"/>
        <v>0.30646267037780744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227.60077380870479</v>
      </c>
      <c r="F682" s="37">
        <f t="shared" si="84"/>
        <v>0</v>
      </c>
      <c r="G682" s="14">
        <f t="shared" si="85"/>
        <v>0</v>
      </c>
      <c r="H682" s="24">
        <f t="shared" si="83"/>
        <v>539.56407431478135</v>
      </c>
      <c r="I682" s="12">
        <f t="shared" si="90"/>
        <v>0.30636700127584415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227.90714080998063</v>
      </c>
      <c r="F683" s="37">
        <f t="shared" si="84"/>
        <v>0</v>
      </c>
      <c r="G683" s="14">
        <f t="shared" si="85"/>
        <v>0</v>
      </c>
      <c r="H683" s="24">
        <f t="shared" si="83"/>
        <v>539.67089171193402</v>
      </c>
      <c r="I683" s="12">
        <f t="shared" si="90"/>
        <v>0.30627130128432445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228.21341211126494</v>
      </c>
      <c r="F684" s="37">
        <f t="shared" si="84"/>
        <v>0</v>
      </c>
      <c r="G684" s="14">
        <f t="shared" si="85"/>
        <v>0</v>
      </c>
      <c r="H684" s="24">
        <f t="shared" si="83"/>
        <v>539.77764344350715</v>
      </c>
      <c r="I684" s="12">
        <f t="shared" si="90"/>
        <v>0.30617557061595879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228.51958768188089</v>
      </c>
      <c r="F685" s="37">
        <f t="shared" si="84"/>
        <v>0</v>
      </c>
      <c r="G685" s="14">
        <f t="shared" si="85"/>
        <v>0</v>
      </c>
      <c r="H685" s="24">
        <f t="shared" si="83"/>
        <v>539.88432991157515</v>
      </c>
      <c r="I685" s="12">
        <f t="shared" si="90"/>
        <v>0.30607980948182073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228.82566749136271</v>
      </c>
      <c r="F686" s="37">
        <f t="shared" si="84"/>
        <v>0</v>
      </c>
      <c r="G686" s="14">
        <f t="shared" si="85"/>
        <v>0</v>
      </c>
      <c r="H686" s="24">
        <f t="shared" si="83"/>
        <v>539.99095151757149</v>
      </c>
      <c r="I686" s="12">
        <f t="shared" si="90"/>
        <v>0.30598401809136228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229.13165150945406</v>
      </c>
      <c r="F687" s="37">
        <f t="shared" si="84"/>
        <v>0</v>
      </c>
      <c r="G687" s="14">
        <f t="shared" si="85"/>
        <v>0</v>
      </c>
      <c r="H687" s="24">
        <f t="shared" si="83"/>
        <v>540.09750866228921</v>
      </c>
      <c r="I687" s="12">
        <f t="shared" si="90"/>
        <v>0.30588819665242745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229.43753970610649</v>
      </c>
      <c r="F688" s="37">
        <f t="shared" si="84"/>
        <v>0</v>
      </c>
      <c r="G688" s="14">
        <f t="shared" si="85"/>
        <v>0</v>
      </c>
      <c r="H688" s="24">
        <f t="shared" si="83"/>
        <v>540.2040017458794</v>
      </c>
      <c r="I688" s="12">
        <f t="shared" si="90"/>
        <v>0.30579234537126693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229.74333205147775</v>
      </c>
      <c r="F689" s="37">
        <f t="shared" si="84"/>
        <v>0</v>
      </c>
      <c r="G689" s="14">
        <f t="shared" si="85"/>
        <v>0</v>
      </c>
      <c r="H689" s="24">
        <f t="shared" si="83"/>
        <v>540.31043116785156</v>
      </c>
      <c r="I689" s="12">
        <f t="shared" si="90"/>
        <v>0.305696464452552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230.0490285159303</v>
      </c>
      <c r="F690" s="37">
        <f t="shared" si="84"/>
        <v>0</v>
      </c>
      <c r="G690" s="14">
        <f t="shared" si="85"/>
        <v>0</v>
      </c>
      <c r="H690" s="24">
        <f t="shared" si="83"/>
        <v>540.41679732707257</v>
      </c>
      <c r="I690" s="12">
        <f t="shared" si="90"/>
        <v>0.30560055409938924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230.35462907002969</v>
      </c>
      <c r="F691" s="37">
        <f t="shared" si="84"/>
        <v>0</v>
      </c>
      <c r="G691" s="14">
        <f t="shared" si="85"/>
        <v>0</v>
      </c>
      <c r="H691" s="24">
        <f t="shared" si="83"/>
        <v>540.5231006217665</v>
      </c>
      <c r="I691" s="12">
        <f t="shared" si="90"/>
        <v>0.30550461451333355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230.66013368454301</v>
      </c>
      <c r="F692" s="37">
        <f t="shared" si="84"/>
        <v>0</v>
      </c>
      <c r="G692" s="14">
        <f t="shared" si="85"/>
        <v>0</v>
      </c>
      <c r="H692" s="24">
        <f t="shared" si="83"/>
        <v>540.62934144951373</v>
      </c>
      <c r="I692" s="12">
        <f t="shared" si="90"/>
        <v>0.30540864589440281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230.96554233043742</v>
      </c>
      <c r="F693" s="37">
        <f t="shared" si="84"/>
        <v>0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540.73552020725151</v>
      </c>
      <c r="I693" s="12">
        <f t="shared" si="90"/>
        <v>0.30531264844109041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231.2708549788785</v>
      </c>
      <c r="F694" s="37">
        <f t="shared" si="84"/>
        <v>0</v>
      </c>
      <c r="G694" s="14">
        <f t="shared" si="85"/>
        <v>0</v>
      </c>
      <c r="H694" s="24">
        <f t="shared" si="91"/>
        <v>540.84163729127192</v>
      </c>
      <c r="I694" s="12">
        <f t="shared" si="90"/>
        <v>0.30521662235038044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231.57607160122888</v>
      </c>
      <c r="F695" s="37">
        <f t="shared" si="84"/>
        <v>0</v>
      </c>
      <c r="G695" s="14">
        <f t="shared" si="85"/>
        <v>0</v>
      </c>
      <c r="H695" s="24">
        <f t="shared" si="91"/>
        <v>540.94769309722346</v>
      </c>
      <c r="I695" s="12">
        <f t="shared" si="90"/>
        <v>0.30512056781775959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231.88119216904664</v>
      </c>
      <c r="F696" s="37">
        <f t="shared" si="84"/>
        <v>0</v>
      </c>
      <c r="G696" s="14">
        <f t="shared" si="85"/>
        <v>0</v>
      </c>
      <c r="H696" s="24">
        <f t="shared" si="91"/>
        <v>541.05368802010878</v>
      </c>
      <c r="I696" s="12">
        <f t="shared" si="90"/>
        <v>0.30502448503723134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232.18621665408386</v>
      </c>
      <c r="F697" s="37">
        <f t="shared" si="84"/>
        <v>0</v>
      </c>
      <c r="G697" s="14">
        <f t="shared" si="85"/>
        <v>0</v>
      </c>
      <c r="H697" s="24">
        <f t="shared" si="91"/>
        <v>541.15962245428534</v>
      </c>
      <c r="I697" s="12">
        <f t="shared" si="90"/>
        <v>0.30492837420132901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232.49114502828519</v>
      </c>
      <c r="F698" s="37">
        <f t="shared" si="84"/>
        <v>0</v>
      </c>
      <c r="G698" s="14">
        <f t="shared" si="85"/>
        <v>0</v>
      </c>
      <c r="H698" s="24">
        <f t="shared" si="91"/>
        <v>541.26549679346476</v>
      </c>
      <c r="I698" s="12">
        <f t="shared" si="90"/>
        <v>0.30483223550112842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232.79597726378631</v>
      </c>
      <c r="F699" s="37">
        <f t="shared" si="84"/>
        <v>0</v>
      </c>
      <c r="G699" s="14">
        <f t="shared" si="85"/>
        <v>0</v>
      </c>
      <c r="H699" s="24">
        <f t="shared" si="91"/>
        <v>541.37131143071224</v>
      </c>
      <c r="I699" s="12">
        <f t="shared" si="90"/>
        <v>0.30473606912626183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233.10071333291256</v>
      </c>
      <c r="F700" s="37">
        <f t="shared" si="84"/>
        <v>0</v>
      </c>
      <c r="G700" s="14">
        <f t="shared" si="85"/>
        <v>0</v>
      </c>
      <c r="H700" s="24">
        <f t="shared" si="91"/>
        <v>541.47706675844665</v>
      </c>
      <c r="I700" s="12">
        <f t="shared" si="90"/>
        <v>0.30463987526492953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233.4053532081775</v>
      </c>
      <c r="F701" s="37">
        <f t="shared" si="84"/>
        <v>0</v>
      </c>
      <c r="G701" s="14">
        <f t="shared" si="85"/>
        <v>0</v>
      </c>
      <c r="H701" s="24">
        <f t="shared" si="91"/>
        <v>541.58276316843967</v>
      </c>
      <c r="I701" s="12">
        <f t="shared" si="90"/>
        <v>0.30454365410391399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233.70989686228143</v>
      </c>
      <c r="F702" s="37">
        <f t="shared" si="84"/>
        <v>0</v>
      </c>
      <c r="G702" s="14">
        <f t="shared" si="85"/>
        <v>0</v>
      </c>
      <c r="H702" s="24">
        <f t="shared" si="91"/>
        <v>541.68840105181596</v>
      </c>
      <c r="I702" s="12">
        <f t="shared" si="90"/>
        <v>0.30444740582859109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234.01434426811002</v>
      </c>
      <c r="F703" s="37">
        <f t="shared" si="84"/>
        <v>0</v>
      </c>
      <c r="G703" s="14">
        <f t="shared" si="85"/>
        <v>0</v>
      </c>
      <c r="H703" s="24">
        <f t="shared" si="91"/>
        <v>541.79398079905184</v>
      </c>
      <c r="I703" s="12">
        <f t="shared" si="90"/>
        <v>0.30435113062294411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234.31869539873296</v>
      </c>
      <c r="F704" s="37">
        <f t="shared" si="84"/>
        <v>0</v>
      </c>
      <c r="G704" s="14">
        <f t="shared" si="85"/>
        <v>0</v>
      </c>
      <c r="H704" s="24">
        <f t="shared" si="91"/>
        <v>541.89950279997618</v>
      </c>
      <c r="I704" s="12">
        <f t="shared" si="90"/>
        <v>0.30425482866957493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234.62295022740253</v>
      </c>
      <c r="F705" s="37">
        <f t="shared" si="84"/>
        <v>0</v>
      </c>
      <c r="G705" s="14">
        <f t="shared" si="85"/>
        <v>0</v>
      </c>
      <c r="H705" s="24">
        <f t="shared" si="91"/>
        <v>542.00496744376937</v>
      </c>
      <c r="I705" s="12">
        <f t="shared" si="90"/>
        <v>0.30415850014971707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234.92710872755225</v>
      </c>
      <c r="F706" s="37">
        <f t="shared" si="84"/>
        <v>0</v>
      </c>
      <c r="G706" s="14">
        <f t="shared" si="85"/>
        <v>0</v>
      </c>
      <c r="H706" s="24">
        <f t="shared" si="91"/>
        <v>542.11037511896313</v>
      </c>
      <c r="I706" s="12">
        <f t="shared" si="90"/>
        <v>0.30406214524324748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235.2311708727955</v>
      </c>
      <c r="F707" s="37">
        <f t="shared" si="84"/>
        <v>0</v>
      </c>
      <c r="G707" s="14">
        <f t="shared" si="85"/>
        <v>0</v>
      </c>
      <c r="H707" s="24">
        <f t="shared" si="91"/>
        <v>542.21572621344012</v>
      </c>
      <c r="I707" s="12">
        <f t="shared" si="90"/>
        <v>0.30396576412869941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235.53513663692419</v>
      </c>
      <c r="F708" s="37">
        <f t="shared" si="84"/>
        <v>0</v>
      </c>
      <c r="G708" s="14">
        <f t="shared" si="85"/>
        <v>0</v>
      </c>
      <c r="H708" s="24">
        <f t="shared" si="91"/>
        <v>542.32102111443385</v>
      </c>
      <c r="I708" s="12">
        <f t="shared" si="90"/>
        <v>0.30386935698327322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235.83900599390748</v>
      </c>
      <c r="F709" s="37">
        <f t="shared" si="84"/>
        <v>0</v>
      </c>
      <c r="G709" s="14">
        <f t="shared" si="85"/>
        <v>0</v>
      </c>
      <c r="H709" s="24">
        <f t="shared" si="91"/>
        <v>542.42626020852811</v>
      </c>
      <c r="I709" s="12">
        <f t="shared" si="90"/>
        <v>0.3037729239828495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236.14277891789033</v>
      </c>
      <c r="F710" s="37">
        <f t="shared" si="84"/>
        <v>0</v>
      </c>
      <c r="G710" s="14">
        <f t="shared" si="85"/>
        <v>0</v>
      </c>
      <c r="H710" s="24">
        <f t="shared" si="91"/>
        <v>542.53144388165697</v>
      </c>
      <c r="I710" s="12">
        <f t="shared" si="90"/>
        <v>0.30367646530199993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236.44645538319233</v>
      </c>
      <c r="F711" s="37">
        <f t="shared" si="84"/>
        <v>0</v>
      </c>
      <c r="G711" s="14">
        <f t="shared" si="85"/>
        <v>0</v>
      </c>
      <c r="H711" s="24">
        <f t="shared" si="91"/>
        <v>542.63657251910422</v>
      </c>
      <c r="I711" s="12">
        <f t="shared" si="90"/>
        <v>0.3035799811139997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236.75003536430634</v>
      </c>
      <c r="F712" s="37">
        <f t="shared" si="84"/>
        <v>0</v>
      </c>
      <c r="G712" s="14">
        <f t="shared" si="85"/>
        <v>0</v>
      </c>
      <c r="H712" s="24">
        <f t="shared" si="91"/>
        <v>542.74164650550324</v>
      </c>
      <c r="I712" s="12">
        <f t="shared" si="90"/>
        <v>0.30348347159083872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237.05351883589719</v>
      </c>
      <c r="F713" s="37">
        <f t="shared" si="84"/>
        <v>0</v>
      </c>
      <c r="G713" s="14">
        <f t="shared" si="85"/>
        <v>0</v>
      </c>
      <c r="H713" s="24">
        <f t="shared" si="91"/>
        <v>542.84666622483701</v>
      </c>
      <c r="I713" s="12">
        <f t="shared" si="90"/>
        <v>0.30338693690323321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237.35690577280042</v>
      </c>
      <c r="F714" s="37">
        <f t="shared" si="84"/>
        <v>0</v>
      </c>
      <c r="G714" s="14">
        <f t="shared" si="85"/>
        <v>0</v>
      </c>
      <c r="H714" s="24">
        <f t="shared" si="91"/>
        <v>542.9516320604373</v>
      </c>
      <c r="I714" s="12">
        <f t="shared" si="90"/>
        <v>0.30329037722063695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237.66019615002105</v>
      </c>
      <c r="F715" s="37">
        <f t="shared" si="84"/>
        <v>0</v>
      </c>
      <c r="G715" s="14">
        <f t="shared" si="85"/>
        <v>0</v>
      </c>
      <c r="H715" s="24">
        <f t="shared" si="91"/>
        <v>543.05654439498505</v>
      </c>
      <c r="I715" s="12">
        <f t="shared" si="90"/>
        <v>0.30319379271125313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237.96338994273231</v>
      </c>
      <c r="F716" s="37">
        <f t="shared" si="84"/>
        <v>0</v>
      </c>
      <c r="G716" s="14">
        <f t="shared" si="85"/>
        <v>0</v>
      </c>
      <c r="H716" s="24">
        <f t="shared" si="91"/>
        <v>543.16140361050907</v>
      </c>
      <c r="I716" s="12">
        <f t="shared" si="90"/>
        <v>0.30309718354204496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238.26648712627434</v>
      </c>
      <c r="F717" s="37">
        <f t="shared" si="84"/>
        <v>0</v>
      </c>
      <c r="G717" s="14">
        <f t="shared" si="85"/>
        <v>0</v>
      </c>
      <c r="H717" s="24">
        <f t="shared" si="91"/>
        <v>543.26621008838754</v>
      </c>
      <c r="I717" s="12">
        <f t="shared" si="90"/>
        <v>0.30300054987874686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238.5694876761531</v>
      </c>
      <c r="F718" s="37">
        <f t="shared" si="84"/>
        <v>0</v>
      </c>
      <c r="G718" s="14">
        <f t="shared" si="85"/>
        <v>0</v>
      </c>
      <c r="H718" s="24">
        <f t="shared" si="91"/>
        <v>543.3709642093462</v>
      </c>
      <c r="I718" s="12">
        <f t="shared" si="90"/>
        <v>0.30290389188587591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238.87239156803898</v>
      </c>
      <c r="F719" s="37">
        <f t="shared" si="84"/>
        <v>0</v>
      </c>
      <c r="G719" s="14">
        <f t="shared" si="85"/>
        <v>0</v>
      </c>
      <c r="H719" s="24">
        <f t="shared" si="91"/>
        <v>543.47566635345856</v>
      </c>
      <c r="I719" s="12">
        <f t="shared" si="90"/>
        <v>0.30280720972674247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239.17519877776573</v>
      </c>
      <c r="F720" s="37">
        <f t="shared" si="84"/>
        <v>0</v>
      </c>
      <c r="G720" s="14">
        <f t="shared" si="85"/>
        <v>0</v>
      </c>
      <c r="H720" s="24">
        <f t="shared" si="91"/>
        <v>543.58031690014661</v>
      </c>
      <c r="I720" s="12">
        <f t="shared" si="90"/>
        <v>0.30271050356346096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239.4779092813292</v>
      </c>
      <c r="F721" s="37">
        <f t="shared" si="84"/>
        <v>0</v>
      </c>
      <c r="G721" s="14">
        <f t="shared" si="85"/>
        <v>0</v>
      </c>
      <c r="H721" s="24">
        <f t="shared" si="91"/>
        <v>543.68491622817908</v>
      </c>
      <c r="I721" s="12">
        <f t="shared" si="90"/>
        <v>0.30261377355696073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239.78052305488617</v>
      </c>
      <c r="F722" s="37">
        <f t="shared" si="84"/>
        <v>0</v>
      </c>
      <c r="G722" s="14">
        <f t="shared" si="85"/>
        <v>0</v>
      </c>
      <c r="H722" s="24">
        <f t="shared" si="91"/>
        <v>543.78946471567235</v>
      </c>
      <c r="I722" s="12">
        <f t="shared" si="90"/>
        <v>0.30251701986699686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240.08304007475317</v>
      </c>
      <c r="F723" s="37">
        <f t="shared" si="84"/>
        <v>0</v>
      </c>
      <c r="G723" s="14">
        <f t="shared" si="85"/>
        <v>0</v>
      </c>
      <c r="H723" s="24">
        <f t="shared" si="91"/>
        <v>543.89396274009027</v>
      </c>
      <c r="I723" s="12">
        <f t="shared" si="90"/>
        <v>0.30242024265216022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240.38546031740532</v>
      </c>
      <c r="F724" s="37">
        <f t="shared" ref="F724:F787" si="92">Cp*RhoP/(RhoA*H724)*dp/1000*MassivP</f>
        <v>0</v>
      </c>
      <c r="G724" s="14">
        <f t="shared" ref="G724:G787" si="93">Phi*EpsilonF*Botzman/10^8*J724*((D724+273)^4-(E724+273)^4)</f>
        <v>0</v>
      </c>
      <c r="H724" s="24">
        <f t="shared" si="91"/>
        <v>543.99841067824309</v>
      </c>
      <c r="I724" s="12">
        <f t="shared" si="90"/>
        <v>0.30232344206988859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240.6877837594752</v>
      </c>
      <c r="F725" s="37">
        <f t="shared" si="92"/>
        <v>0</v>
      </c>
      <c r="G725" s="14">
        <f t="shared" si="93"/>
        <v>0</v>
      </c>
      <c r="H725" s="24">
        <f t="shared" si="91"/>
        <v>544.10280890628871</v>
      </c>
      <c r="I725" s="12">
        <f t="shared" ref="I725:I788" si="98">LambdaP*MassivP/(dp/1000)/(H725*RhoA)/(1+F725/3)*(D725-E725)*DeltaT-(EXP(F725/10)-1)*(D725-D724)</f>
        <v>0.30222661827647629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240.99001037775167</v>
      </c>
      <c r="F726" s="37">
        <f t="shared" si="92"/>
        <v>0</v>
      </c>
      <c r="G726" s="14">
        <f t="shared" si="93"/>
        <v>0</v>
      </c>
      <c r="H726" s="24">
        <f t="shared" si="91"/>
        <v>544.20715779973091</v>
      </c>
      <c r="I726" s="12">
        <f t="shared" si="98"/>
        <v>0.30212977142708569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241.29214014917875</v>
      </c>
      <c r="F727" s="37">
        <f t="shared" si="92"/>
        <v>0</v>
      </c>
      <c r="G727" s="14">
        <f t="shared" si="93"/>
        <v>0</v>
      </c>
      <c r="H727" s="24">
        <f t="shared" si="91"/>
        <v>544.31145773342007</v>
      </c>
      <c r="I727" s="12">
        <f t="shared" si="98"/>
        <v>0.3020329016757558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241.59417305085449</v>
      </c>
      <c r="F728" s="37">
        <f t="shared" si="92"/>
        <v>0</v>
      </c>
      <c r="G728" s="14">
        <f t="shared" si="93"/>
        <v>0</v>
      </c>
      <c r="H728" s="24">
        <f t="shared" si="91"/>
        <v>544.41570908155336</v>
      </c>
      <c r="I728" s="12">
        <f t="shared" si="98"/>
        <v>0.30193600917541374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241.89610906002991</v>
      </c>
      <c r="F729" s="37">
        <f t="shared" si="92"/>
        <v>0</v>
      </c>
      <c r="G729" s="14">
        <f t="shared" si="93"/>
        <v>0</v>
      </c>
      <c r="H729" s="24">
        <f t="shared" si="91"/>
        <v>544.519912217674</v>
      </c>
      <c r="I729" s="12">
        <f t="shared" si="98"/>
        <v>0.30183909407788406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242.19794815410779</v>
      </c>
      <c r="F730" s="37">
        <f t="shared" si="92"/>
        <v>0</v>
      </c>
      <c r="G730" s="14">
        <f t="shared" si="93"/>
        <v>0</v>
      </c>
      <c r="H730" s="24">
        <f t="shared" si="91"/>
        <v>544.62406751467131</v>
      </c>
      <c r="I730" s="12">
        <f t="shared" si="98"/>
        <v>0.30174215653389902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242.49969031064168</v>
      </c>
      <c r="F731" s="37">
        <f t="shared" si="92"/>
        <v>0</v>
      </c>
      <c r="G731" s="14">
        <f t="shared" si="93"/>
        <v>0</v>
      </c>
      <c r="H731" s="24">
        <f t="shared" si="91"/>
        <v>544.72817534478031</v>
      </c>
      <c r="I731" s="12">
        <f t="shared" si="98"/>
        <v>0.30164519669310819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242.80133550733478</v>
      </c>
      <c r="F732" s="37">
        <f t="shared" si="92"/>
        <v>0</v>
      </c>
      <c r="G732" s="14">
        <f t="shared" si="93"/>
        <v>0</v>
      </c>
      <c r="H732" s="24">
        <f t="shared" si="91"/>
        <v>544.83223607958234</v>
      </c>
      <c r="I732" s="12">
        <f t="shared" si="98"/>
        <v>0.30154821470408838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243.10288372203888</v>
      </c>
      <c r="F733" s="37">
        <f t="shared" si="92"/>
        <v>0</v>
      </c>
      <c r="G733" s="14">
        <f t="shared" si="93"/>
        <v>0</v>
      </c>
      <c r="H733" s="24">
        <f t="shared" si="91"/>
        <v>544.93625009000425</v>
      </c>
      <c r="I733" s="12">
        <f t="shared" si="98"/>
        <v>0.30145121071435349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243.40433493275324</v>
      </c>
      <c r="F734" s="37">
        <f t="shared" si="92"/>
        <v>0</v>
      </c>
      <c r="G734" s="14">
        <f t="shared" si="93"/>
        <v>0</v>
      </c>
      <c r="H734" s="24">
        <f t="shared" si="91"/>
        <v>545.04021774631815</v>
      </c>
      <c r="I734" s="12">
        <f t="shared" si="98"/>
        <v>0.30135418487036414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243.70568911762362</v>
      </c>
      <c r="F735" s="37">
        <f t="shared" si="92"/>
        <v>0</v>
      </c>
      <c r="G735" s="14">
        <f t="shared" si="93"/>
        <v>0</v>
      </c>
      <c r="H735" s="24">
        <f t="shared" si="91"/>
        <v>545.14413941814234</v>
      </c>
      <c r="I735" s="12">
        <f t="shared" si="98"/>
        <v>0.30125713731753645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244.00694625494117</v>
      </c>
      <c r="F736" s="37">
        <f t="shared" si="92"/>
        <v>0</v>
      </c>
      <c r="G736" s="14">
        <f t="shared" si="93"/>
        <v>0</v>
      </c>
      <c r="H736" s="24">
        <f t="shared" si="91"/>
        <v>545.24801547444054</v>
      </c>
      <c r="I736" s="12">
        <f t="shared" si="98"/>
        <v>0.30116006820025254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244.30810632314143</v>
      </c>
      <c r="F737" s="37">
        <f t="shared" si="92"/>
        <v>0</v>
      </c>
      <c r="G737" s="14">
        <f t="shared" si="93"/>
        <v>0</v>
      </c>
      <c r="H737" s="24">
        <f t="shared" si="91"/>
        <v>545.35184628352113</v>
      </c>
      <c r="I737" s="12">
        <f t="shared" si="98"/>
        <v>0.30106297766186935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244.6091693008033</v>
      </c>
      <c r="F738" s="37">
        <f t="shared" si="92"/>
        <v>0</v>
      </c>
      <c r="G738" s="14">
        <f t="shared" si="93"/>
        <v>0</v>
      </c>
      <c r="H738" s="24">
        <f t="shared" si="91"/>
        <v>545.45563221303837</v>
      </c>
      <c r="I738" s="12">
        <f t="shared" si="98"/>
        <v>0.30096586584472795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244.91013516664802</v>
      </c>
      <c r="F739" s="37">
        <f t="shared" si="92"/>
        <v>0</v>
      </c>
      <c r="G739" s="14">
        <f t="shared" si="93"/>
        <v>0</v>
      </c>
      <c r="H739" s="24">
        <f t="shared" si="91"/>
        <v>545.5593736299918</v>
      </c>
      <c r="I739" s="12">
        <f t="shared" si="98"/>
        <v>0.30086873289016319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245.21100389953818</v>
      </c>
      <c r="F740" s="37">
        <f t="shared" si="92"/>
        <v>0</v>
      </c>
      <c r="G740" s="14">
        <f t="shared" si="93"/>
        <v>0</v>
      </c>
      <c r="H740" s="24">
        <f t="shared" si="91"/>
        <v>545.66307090072564</v>
      </c>
      <c r="I740" s="12">
        <f t="shared" si="98"/>
        <v>0.30077157893851203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245.51177547847669</v>
      </c>
      <c r="F741" s="37">
        <f t="shared" si="92"/>
        <v>0</v>
      </c>
      <c r="G741" s="14">
        <f t="shared" si="93"/>
        <v>0</v>
      </c>
      <c r="H741" s="24">
        <f t="shared" si="91"/>
        <v>545.76672439092965</v>
      </c>
      <c r="I741" s="12">
        <f t="shared" si="98"/>
        <v>0.30067440412912338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245.81244988260582</v>
      </c>
      <c r="F742" s="37">
        <f t="shared" si="92"/>
        <v>0</v>
      </c>
      <c r="G742" s="14">
        <f t="shared" si="93"/>
        <v>0</v>
      </c>
      <c r="H742" s="24">
        <f t="shared" si="91"/>
        <v>545.87033446563817</v>
      </c>
      <c r="I742" s="12">
        <f t="shared" si="98"/>
        <v>0.30057720860036685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246.11302709120619</v>
      </c>
      <c r="F743" s="37">
        <f t="shared" si="92"/>
        <v>0</v>
      </c>
      <c r="G743" s="14">
        <f t="shared" si="93"/>
        <v>0</v>
      </c>
      <c r="H743" s="24">
        <f t="shared" si="91"/>
        <v>545.97390148923103</v>
      </c>
      <c r="I743" s="12">
        <f t="shared" si="98"/>
        <v>0.30047999248964108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246.41350708369583</v>
      </c>
      <c r="F744" s="37">
        <f t="shared" si="92"/>
        <v>0</v>
      </c>
      <c r="G744" s="14">
        <f t="shared" si="93"/>
        <v>0</v>
      </c>
      <c r="H744" s="24">
        <f t="shared" si="91"/>
        <v>546.07742582543256</v>
      </c>
      <c r="I744" s="12">
        <f t="shared" si="98"/>
        <v>0.30038275593338376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246.71388983962922</v>
      </c>
      <c r="F745" s="37">
        <f t="shared" si="92"/>
        <v>0</v>
      </c>
      <c r="G745" s="14">
        <f t="shared" si="93"/>
        <v>0</v>
      </c>
      <c r="H745" s="24">
        <f t="shared" si="91"/>
        <v>546.18090783731247</v>
      </c>
      <c r="I745" s="12">
        <f t="shared" si="98"/>
        <v>0.30028549906707935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247.0141753386963</v>
      </c>
      <c r="F746" s="37">
        <f t="shared" si="92"/>
        <v>0</v>
      </c>
      <c r="G746" s="14">
        <f t="shared" si="93"/>
        <v>0</v>
      </c>
      <c r="H746" s="24">
        <f t="shared" si="91"/>
        <v>546.28434788728487</v>
      </c>
      <c r="I746" s="12">
        <f t="shared" si="98"/>
        <v>0.30018822202526829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247.31436356072157</v>
      </c>
      <c r="F747" s="37">
        <f t="shared" si="92"/>
        <v>0</v>
      </c>
      <c r="G747" s="14">
        <f t="shared" si="93"/>
        <v>0</v>
      </c>
      <c r="H747" s="24">
        <f t="shared" si="91"/>
        <v>546.38774633710898</v>
      </c>
      <c r="I747" s="12">
        <f t="shared" si="98"/>
        <v>0.30009092494155531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247.61445448566312</v>
      </c>
      <c r="F748" s="37">
        <f t="shared" si="92"/>
        <v>0</v>
      </c>
      <c r="G748" s="14">
        <f t="shared" si="93"/>
        <v>0</v>
      </c>
      <c r="H748" s="24">
        <f t="shared" si="91"/>
        <v>546.49110354788888</v>
      </c>
      <c r="I748" s="12">
        <f t="shared" si="98"/>
        <v>0.29999360794861829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247.91444809361172</v>
      </c>
      <c r="F749" s="37">
        <f t="shared" si="92"/>
        <v>0</v>
      </c>
      <c r="G749" s="14">
        <f t="shared" si="93"/>
        <v>0</v>
      </c>
      <c r="H749" s="24">
        <f t="shared" si="91"/>
        <v>546.59441988007336</v>
      </c>
      <c r="I749" s="12">
        <f t="shared" si="98"/>
        <v>0.29989627117821649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248.21434436478995</v>
      </c>
      <c r="F750" s="37">
        <f t="shared" si="92"/>
        <v>0</v>
      </c>
      <c r="G750" s="14">
        <f t="shared" si="93"/>
        <v>0</v>
      </c>
      <c r="H750" s="24">
        <f t="shared" si="91"/>
        <v>546.69769569345613</v>
      </c>
      <c r="I750" s="12">
        <f t="shared" si="98"/>
        <v>0.29979891476119908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248.51414327955115</v>
      </c>
      <c r="F751" s="37">
        <f t="shared" si="92"/>
        <v>0</v>
      </c>
      <c r="G751" s="14">
        <f t="shared" si="93"/>
        <v>0</v>
      </c>
      <c r="H751" s="24">
        <f t="shared" si="91"/>
        <v>546.80093134717561</v>
      </c>
      <c r="I751" s="12">
        <f t="shared" si="98"/>
        <v>0.29970153882751338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248.81384481837867</v>
      </c>
      <c r="F752" s="37">
        <f t="shared" si="92"/>
        <v>0</v>
      </c>
      <c r="G752" s="14">
        <f t="shared" si="93"/>
        <v>0</v>
      </c>
      <c r="H752" s="24">
        <f t="shared" si="91"/>
        <v>546.90412719971528</v>
      </c>
      <c r="I752" s="12">
        <f t="shared" si="98"/>
        <v>0.29960414350621328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249.11344896188487</v>
      </c>
      <c r="F753" s="37">
        <f t="shared" si="92"/>
        <v>0</v>
      </c>
      <c r="G753" s="14">
        <f t="shared" si="93"/>
        <v>0</v>
      </c>
      <c r="H753" s="24">
        <f t="shared" si="91"/>
        <v>547.00728360890332</v>
      </c>
      <c r="I753" s="12">
        <f t="shared" si="98"/>
        <v>0.29950672892546715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249.41295569081035</v>
      </c>
      <c r="F754" s="37">
        <f t="shared" si="92"/>
        <v>0</v>
      </c>
      <c r="G754" s="14">
        <f t="shared" si="93"/>
        <v>0</v>
      </c>
      <c r="H754" s="24">
        <f t="shared" si="91"/>
        <v>547.11040093191252</v>
      </c>
      <c r="I754" s="12">
        <f t="shared" si="98"/>
        <v>0.29940929521256637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249.71236498602292</v>
      </c>
      <c r="F755" s="37">
        <f t="shared" si="92"/>
        <v>0</v>
      </c>
      <c r="G755" s="14">
        <f t="shared" si="93"/>
        <v>0</v>
      </c>
      <c r="H755" s="24">
        <f t="shared" si="91"/>
        <v>547.21347952526116</v>
      </c>
      <c r="I755" s="12">
        <f t="shared" si="98"/>
        <v>0.29931184249393278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250.01167682851684</v>
      </c>
      <c r="F756" s="37">
        <f t="shared" si="92"/>
        <v>0</v>
      </c>
      <c r="G756" s="14">
        <f t="shared" si="93"/>
        <v>0</v>
      </c>
      <c r="H756" s="24">
        <f t="shared" si="91"/>
        <v>547.31651974481179</v>
      </c>
      <c r="I756" s="12">
        <f t="shared" si="98"/>
        <v>0.29921437089512737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250.31089119941197</v>
      </c>
      <c r="F757" s="37">
        <f t="shared" si="92"/>
        <v>0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547.4195219457722</v>
      </c>
      <c r="I757" s="12">
        <f t="shared" si="98"/>
        <v>0.29911688054085789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250.61000807995282</v>
      </c>
      <c r="F758" s="37">
        <f t="shared" si="92"/>
        <v>0</v>
      </c>
      <c r="G758" s="14">
        <f t="shared" si="93"/>
        <v>0</v>
      </c>
      <c r="H758" s="24">
        <f t="shared" si="99"/>
        <v>547.52248648269529</v>
      </c>
      <c r="I758" s="12">
        <f t="shared" si="98"/>
        <v>0.29901937155498642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250.9090274515078</v>
      </c>
      <c r="F759" s="37">
        <f t="shared" si="92"/>
        <v>0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547.62541370947849</v>
      </c>
      <c r="I759" s="12">
        <f t="shared" si="98"/>
        <v>0.29892184406053757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251.20794929556834</v>
      </c>
      <c r="F760" s="37">
        <f t="shared" si="92"/>
        <v>0</v>
      </c>
      <c r="G760" s="14">
        <f t="shared" si="93"/>
        <v>0</v>
      </c>
      <c r="H760" s="24">
        <f t="shared" si="100"/>
        <v>547.72830397936502</v>
      </c>
      <c r="I760" s="12">
        <f t="shared" si="98"/>
        <v>0.29882429817970596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251.50677359374805</v>
      </c>
      <c r="F761" s="37">
        <f t="shared" si="92"/>
        <v>0</v>
      </c>
      <c r="G761" s="14">
        <f t="shared" si="93"/>
        <v>0</v>
      </c>
      <c r="H761" s="24">
        <f t="shared" si="100"/>
        <v>547.83115764494255</v>
      </c>
      <c r="I761" s="12">
        <f t="shared" si="98"/>
        <v>0.29872673403386407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251.80550032778191</v>
      </c>
      <c r="F762" s="37">
        <f t="shared" si="92"/>
        <v>0</v>
      </c>
      <c r="G762" s="14">
        <f t="shared" si="93"/>
        <v>0</v>
      </c>
      <c r="H762" s="24">
        <f t="shared" si="100"/>
        <v>547.93397505814437</v>
      </c>
      <c r="I762" s="12">
        <f t="shared" si="98"/>
        <v>0.29862915174356958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252.10412947952548</v>
      </c>
      <c r="F763" s="37">
        <f t="shared" si="92"/>
        <v>0</v>
      </c>
      <c r="G763" s="14">
        <f t="shared" si="93"/>
        <v>0</v>
      </c>
      <c r="H763" s="24">
        <f t="shared" si="100"/>
        <v>548.03675657024894</v>
      </c>
      <c r="I763" s="12">
        <f t="shared" si="98"/>
        <v>0.29853155142857313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252.40266103095405</v>
      </c>
      <c r="F764" s="37">
        <f t="shared" si="92"/>
        <v>0</v>
      </c>
      <c r="G764" s="14">
        <f t="shared" si="93"/>
        <v>0</v>
      </c>
      <c r="H764" s="24">
        <f t="shared" si="100"/>
        <v>548.13950253187988</v>
      </c>
      <c r="I764" s="12">
        <f t="shared" si="98"/>
        <v>0.29843393320782596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252.70109496416188</v>
      </c>
      <c r="F765" s="37">
        <f t="shared" si="92"/>
        <v>0</v>
      </c>
      <c r="G765" s="14">
        <f t="shared" si="93"/>
        <v>0</v>
      </c>
      <c r="H765" s="24">
        <f t="shared" si="100"/>
        <v>548.24221329300633</v>
      </c>
      <c r="I765" s="12">
        <f t="shared" si="98"/>
        <v>0.29833629719948673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252.99943126136137</v>
      </c>
      <c r="F766" s="37">
        <f t="shared" si="92"/>
        <v>0</v>
      </c>
      <c r="G766" s="14">
        <f t="shared" si="93"/>
        <v>0</v>
      </c>
      <c r="H766" s="24">
        <f t="shared" si="100"/>
        <v>548.34488920294268</v>
      </c>
      <c r="I766" s="12">
        <f t="shared" si="98"/>
        <v>0.29823864352092921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253.2976699048823</v>
      </c>
      <c r="F767" s="37">
        <f t="shared" si="92"/>
        <v>0</v>
      </c>
      <c r="G767" s="14">
        <f t="shared" si="93"/>
        <v>0</v>
      </c>
      <c r="H767" s="24">
        <f t="shared" si="100"/>
        <v>548.4475306103493</v>
      </c>
      <c r="I767" s="12">
        <f t="shared" si="98"/>
        <v>0.29814097228874981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253.59581087717106</v>
      </c>
      <c r="F768" s="37">
        <f t="shared" si="92"/>
        <v>0</v>
      </c>
      <c r="G768" s="14">
        <f t="shared" si="93"/>
        <v>0</v>
      </c>
      <c r="H768" s="24">
        <f t="shared" si="100"/>
        <v>548.55013786323184</v>
      </c>
      <c r="I768" s="12">
        <f t="shared" si="98"/>
        <v>0.29804328361877441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253.89385416078983</v>
      </c>
      <c r="F769" s="37">
        <f t="shared" si="92"/>
        <v>0</v>
      </c>
      <c r="G769" s="14">
        <f t="shared" si="93"/>
        <v>0</v>
      </c>
      <c r="H769" s="24">
        <f t="shared" si="100"/>
        <v>548.65271130894189</v>
      </c>
      <c r="I769" s="12">
        <f t="shared" si="98"/>
        <v>0.29794557762606533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254.19179973841588</v>
      </c>
      <c r="F770" s="37">
        <f t="shared" si="92"/>
        <v>0</v>
      </c>
      <c r="G770" s="14">
        <f t="shared" si="93"/>
        <v>0</v>
      </c>
      <c r="H770" s="24">
        <f t="shared" si="100"/>
        <v>548.75525129417679</v>
      </c>
      <c r="I770" s="12">
        <f t="shared" si="98"/>
        <v>0.29784785442492928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254.48964759284081</v>
      </c>
      <c r="F771" s="37">
        <f t="shared" si="92"/>
        <v>0</v>
      </c>
      <c r="G771" s="14">
        <f t="shared" si="93"/>
        <v>0</v>
      </c>
      <c r="H771" s="24">
        <f t="shared" si="100"/>
        <v>548.85775816497983</v>
      </c>
      <c r="I771" s="12">
        <f t="shared" si="98"/>
        <v>0.29775011412892366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254.78739770696973</v>
      </c>
      <c r="F772" s="37">
        <f t="shared" si="92"/>
        <v>0</v>
      </c>
      <c r="G772" s="14">
        <f t="shared" si="93"/>
        <v>0</v>
      </c>
      <c r="H772" s="24">
        <f t="shared" si="100"/>
        <v>548.96023226674038</v>
      </c>
      <c r="I772" s="12">
        <f t="shared" si="98"/>
        <v>0.29765235685086355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255.0850500638206</v>
      </c>
      <c r="F773" s="37">
        <f t="shared" si="92"/>
        <v>0</v>
      </c>
      <c r="G773" s="14">
        <f t="shared" si="93"/>
        <v>0</v>
      </c>
      <c r="H773" s="24">
        <f t="shared" si="100"/>
        <v>549.06267394419388</v>
      </c>
      <c r="I773" s="12">
        <f t="shared" si="98"/>
        <v>0.29755458270282931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255.38260464652342</v>
      </c>
      <c r="F774" s="37">
        <f t="shared" si="92"/>
        <v>0</v>
      </c>
      <c r="G774" s="14">
        <f t="shared" si="93"/>
        <v>0</v>
      </c>
      <c r="H774" s="24">
        <f t="shared" si="100"/>
        <v>549.16508354142206</v>
      </c>
      <c r="I774" s="12">
        <f t="shared" si="98"/>
        <v>0.29745679179617274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255.6800614383196</v>
      </c>
      <c r="F775" s="37">
        <f t="shared" si="92"/>
        <v>0</v>
      </c>
      <c r="G775" s="14">
        <f t="shared" si="93"/>
        <v>0</v>
      </c>
      <c r="H775" s="24">
        <f t="shared" si="100"/>
        <v>549.26746140185321</v>
      </c>
      <c r="I775" s="12">
        <f t="shared" si="98"/>
        <v>0.29735898424152379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255.97742042256112</v>
      </c>
      <c r="F776" s="37">
        <f t="shared" si="92"/>
        <v>0</v>
      </c>
      <c r="G776" s="14">
        <f t="shared" si="93"/>
        <v>0</v>
      </c>
      <c r="H776" s="24">
        <f t="shared" si="100"/>
        <v>549.36980786826211</v>
      </c>
      <c r="I776" s="12">
        <f t="shared" si="98"/>
        <v>0.29726116014879828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256.27468158270995</v>
      </c>
      <c r="F777" s="37">
        <f t="shared" si="92"/>
        <v>0</v>
      </c>
      <c r="G777" s="14">
        <f t="shared" si="93"/>
        <v>0</v>
      </c>
      <c r="H777" s="24">
        <f t="shared" si="100"/>
        <v>549.47212328276987</v>
      </c>
      <c r="I777" s="12">
        <f t="shared" si="98"/>
        <v>0.29716331962720349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256.57184490233715</v>
      </c>
      <c r="F778" s="37">
        <f t="shared" si="92"/>
        <v>0</v>
      </c>
      <c r="G778" s="14">
        <f t="shared" si="93"/>
        <v>0</v>
      </c>
      <c r="H778" s="24">
        <f t="shared" si="100"/>
        <v>549.57440798684479</v>
      </c>
      <c r="I778" s="12">
        <f t="shared" si="98"/>
        <v>0.29706546278524565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256.86891036512242</v>
      </c>
      <c r="F779" s="37">
        <f t="shared" si="92"/>
        <v>0</v>
      </c>
      <c r="G779" s="14">
        <f t="shared" si="93"/>
        <v>0</v>
      </c>
      <c r="H779" s="24">
        <f t="shared" si="100"/>
        <v>549.67666232130182</v>
      </c>
      <c r="I779" s="12">
        <f t="shared" si="98"/>
        <v>0.29696758973073606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257.16587795485316</v>
      </c>
      <c r="F780" s="37">
        <f t="shared" si="92"/>
        <v>0</v>
      </c>
      <c r="G780" s="14">
        <f t="shared" si="93"/>
        <v>0</v>
      </c>
      <c r="H780" s="24">
        <f t="shared" si="100"/>
        <v>549.77888662630335</v>
      </c>
      <c r="I780" s="12">
        <f t="shared" si="98"/>
        <v>0.29686970057079731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257.46274765542398</v>
      </c>
      <c r="F781" s="37">
        <f t="shared" si="92"/>
        <v>0</v>
      </c>
      <c r="G781" s="14">
        <f t="shared" si="93"/>
        <v>0</v>
      </c>
      <c r="H781" s="24">
        <f t="shared" si="100"/>
        <v>549.88108124135863</v>
      </c>
      <c r="I781" s="12">
        <f t="shared" si="98"/>
        <v>0.29677179541187093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257.75951945083585</v>
      </c>
      <c r="F782" s="37">
        <f t="shared" si="92"/>
        <v>0</v>
      </c>
      <c r="G782" s="14">
        <f t="shared" si="93"/>
        <v>0</v>
      </c>
      <c r="H782" s="24">
        <f t="shared" si="100"/>
        <v>549.98324650532436</v>
      </c>
      <c r="I782" s="12">
        <f t="shared" si="98"/>
        <v>0.29667387435972237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258.05619332519558</v>
      </c>
      <c r="F783" s="37">
        <f t="shared" si="92"/>
        <v>0</v>
      </c>
      <c r="G783" s="14">
        <f t="shared" si="93"/>
        <v>0</v>
      </c>
      <c r="H783" s="24">
        <f t="shared" si="100"/>
        <v>550.0853827564049</v>
      </c>
      <c r="I783" s="12">
        <f t="shared" si="98"/>
        <v>0.2965759375194485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258.35276926271501</v>
      </c>
      <c r="F784" s="37">
        <f t="shared" si="92"/>
        <v>0</v>
      </c>
      <c r="G784" s="14">
        <f t="shared" si="93"/>
        <v>0</v>
      </c>
      <c r="H784" s="24">
        <f t="shared" si="100"/>
        <v>550.18749033215204</v>
      </c>
      <c r="I784" s="12">
        <f t="shared" si="98"/>
        <v>0.29647798499548333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258.64924724771049</v>
      </c>
      <c r="F785" s="37">
        <f t="shared" si="92"/>
        <v>0</v>
      </c>
      <c r="G785" s="14">
        <f t="shared" si="93"/>
        <v>0</v>
      </c>
      <c r="H785" s="24">
        <f t="shared" si="100"/>
        <v>550.28956956946581</v>
      </c>
      <c r="I785" s="12">
        <f t="shared" si="98"/>
        <v>0.29638001689160431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258.94562726460208</v>
      </c>
      <c r="F786" s="37">
        <f t="shared" si="92"/>
        <v>0</v>
      </c>
      <c r="G786" s="14">
        <f t="shared" si="93"/>
        <v>0</v>
      </c>
      <c r="H786" s="24">
        <f t="shared" si="100"/>
        <v>550.39162080459391</v>
      </c>
      <c r="I786" s="12">
        <f t="shared" si="98"/>
        <v>0.29628203331093889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259.24190929791303</v>
      </c>
      <c r="F787" s="37">
        <f t="shared" si="92"/>
        <v>0</v>
      </c>
      <c r="G787" s="14">
        <f t="shared" si="93"/>
        <v>0</v>
      </c>
      <c r="H787" s="24">
        <f t="shared" si="100"/>
        <v>550.49364437313261</v>
      </c>
      <c r="I787" s="12">
        <f t="shared" si="98"/>
        <v>0.29618403435597018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259.538093332269</v>
      </c>
      <c r="F788" s="37">
        <f t="shared" ref="F788:F851" si="101">Cp*RhoP/(RhoA*H788)*dp/1000*MassivP</f>
        <v>0</v>
      </c>
      <c r="G788" s="14">
        <f t="shared" ref="G788:G851" si="102">Phi*EpsilonF*Botzman/10^8*J788*((D788+273)^4-(E788+273)^4)</f>
        <v>0</v>
      </c>
      <c r="H788" s="24">
        <f t="shared" si="100"/>
        <v>550.59564061002595</v>
      </c>
      <c r="I788" s="12">
        <f t="shared" si="98"/>
        <v>0.29608602012854374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259.83417935239754</v>
      </c>
      <c r="F789" s="37">
        <f t="shared" si="101"/>
        <v>0</v>
      </c>
      <c r="G789" s="14">
        <f t="shared" si="102"/>
        <v>0</v>
      </c>
      <c r="H789" s="24">
        <f t="shared" si="100"/>
        <v>550.69760984956713</v>
      </c>
      <c r="I789" s="12">
        <f t="shared" ref="I789:I852" si="107">LambdaP*MassivP/(dp/1000)/(H789*RhoA)/(1+F789/3)*(D789-E789)*DeltaT-(EXP(F789/10)-1)*(D789-D788)</f>
        <v>0.29598799072987281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260.13016734312743</v>
      </c>
      <c r="F790" s="37">
        <f t="shared" si="101"/>
        <v>0</v>
      </c>
      <c r="G790" s="14">
        <f t="shared" si="102"/>
        <v>0</v>
      </c>
      <c r="H790" s="24">
        <f t="shared" si="100"/>
        <v>550.79955242539802</v>
      </c>
      <c r="I790" s="12">
        <f t="shared" si="107"/>
        <v>0.29588994626054477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260.42605728938798</v>
      </c>
      <c r="F791" s="37">
        <f t="shared" si="101"/>
        <v>0</v>
      </c>
      <c r="G791" s="14">
        <f t="shared" si="102"/>
        <v>0</v>
      </c>
      <c r="H791" s="24">
        <f t="shared" si="100"/>
        <v>550.90146867050885</v>
      </c>
      <c r="I791" s="12">
        <f t="shared" si="107"/>
        <v>0.29579188682052743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260.72184917620854</v>
      </c>
      <c r="F792" s="37">
        <f t="shared" si="101"/>
        <v>0</v>
      </c>
      <c r="G792" s="14">
        <f t="shared" si="102"/>
        <v>0</v>
      </c>
      <c r="H792" s="24">
        <f t="shared" si="100"/>
        <v>551.00335891723967</v>
      </c>
      <c r="I792" s="12">
        <f t="shared" si="107"/>
        <v>0.29569381250917426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261.01754298871771</v>
      </c>
      <c r="F793" s="37">
        <f t="shared" si="101"/>
        <v>0</v>
      </c>
      <c r="G793" s="14">
        <f t="shared" si="102"/>
        <v>0</v>
      </c>
      <c r="H793" s="24">
        <f t="shared" si="100"/>
        <v>551.10522349727944</v>
      </c>
      <c r="I793" s="12">
        <f t="shared" si="107"/>
        <v>0.29559572342523066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261.31313871214292</v>
      </c>
      <c r="F794" s="37">
        <f t="shared" si="101"/>
        <v>0</v>
      </c>
      <c r="G794" s="14">
        <f t="shared" si="102"/>
        <v>0</v>
      </c>
      <c r="H794" s="24">
        <f t="shared" si="100"/>
        <v>551.20706274166685</v>
      </c>
      <c r="I794" s="12">
        <f t="shared" si="107"/>
        <v>0.29549761966683968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261.60863633180975</v>
      </c>
      <c r="F795" s="37">
        <f t="shared" si="101"/>
        <v>0</v>
      </c>
      <c r="G795" s="14">
        <f t="shared" si="102"/>
        <v>0</v>
      </c>
      <c r="H795" s="24">
        <f t="shared" si="100"/>
        <v>551.30887698079005</v>
      </c>
      <c r="I795" s="12">
        <f t="shared" si="107"/>
        <v>0.29539950133154763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261.90403583314128</v>
      </c>
      <c r="F796" s="37">
        <f t="shared" si="101"/>
        <v>0</v>
      </c>
      <c r="G796" s="14">
        <f t="shared" si="102"/>
        <v>0</v>
      </c>
      <c r="H796" s="24">
        <f t="shared" si="100"/>
        <v>551.41066654438748</v>
      </c>
      <c r="I796" s="12">
        <f t="shared" si="107"/>
        <v>0.29530136851631023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262.19933720165761</v>
      </c>
      <c r="F797" s="37">
        <f t="shared" si="101"/>
        <v>0</v>
      </c>
      <c r="G797" s="14">
        <f t="shared" si="102"/>
        <v>0</v>
      </c>
      <c r="H797" s="24">
        <f t="shared" si="100"/>
        <v>551.51243176154742</v>
      </c>
      <c r="I797" s="12">
        <f t="shared" si="107"/>
        <v>0.29520322131749771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262.49454042297509</v>
      </c>
      <c r="F798" s="37">
        <f t="shared" si="101"/>
        <v>0</v>
      </c>
      <c r="G798" s="14">
        <f t="shared" si="102"/>
        <v>0</v>
      </c>
      <c r="H798" s="24">
        <f t="shared" si="100"/>
        <v>551.6141729607084</v>
      </c>
      <c r="I798" s="12">
        <f t="shared" si="107"/>
        <v>0.29510505983090107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262.78964548280601</v>
      </c>
      <c r="F799" s="37">
        <f t="shared" si="101"/>
        <v>0</v>
      </c>
      <c r="G799" s="14">
        <f t="shared" si="102"/>
        <v>0</v>
      </c>
      <c r="H799" s="24">
        <f t="shared" si="100"/>
        <v>551.71589046965994</v>
      </c>
      <c r="I799" s="12">
        <f t="shared" si="107"/>
        <v>0.29500688415173681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263.08465236695776</v>
      </c>
      <c r="F800" s="37">
        <f t="shared" si="101"/>
        <v>0</v>
      </c>
      <c r="G800" s="14">
        <f t="shared" si="102"/>
        <v>0</v>
      </c>
      <c r="H800" s="24">
        <f t="shared" si="100"/>
        <v>551.81758461554216</v>
      </c>
      <c r="I800" s="12">
        <f t="shared" si="107"/>
        <v>0.29490869437465322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263.37956106133242</v>
      </c>
      <c r="F801" s="37">
        <f t="shared" si="101"/>
        <v>0</v>
      </c>
      <c r="G801" s="14">
        <f t="shared" si="102"/>
        <v>0</v>
      </c>
      <c r="H801" s="24">
        <f t="shared" si="100"/>
        <v>551.91925572484615</v>
      </c>
      <c r="I801" s="12">
        <f t="shared" si="107"/>
        <v>0.29481049059373576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263.67437155192619</v>
      </c>
      <c r="F802" s="37">
        <f t="shared" si="101"/>
        <v>0</v>
      </c>
      <c r="G802" s="14">
        <f t="shared" si="102"/>
        <v>0</v>
      </c>
      <c r="H802" s="24">
        <f t="shared" si="100"/>
        <v>552.02090412341431</v>
      </c>
      <c r="I802" s="12">
        <f t="shared" si="107"/>
        <v>0.2947122729025119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263.96908382482872</v>
      </c>
      <c r="F803" s="37">
        <f t="shared" si="101"/>
        <v>0</v>
      </c>
      <c r="G803" s="14">
        <f t="shared" si="102"/>
        <v>0</v>
      </c>
      <c r="H803" s="24">
        <f t="shared" si="100"/>
        <v>552.12253013644033</v>
      </c>
      <c r="I803" s="12">
        <f t="shared" si="107"/>
        <v>0.29461404139395719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264.26369786622269</v>
      </c>
      <c r="F804" s="37">
        <f t="shared" si="101"/>
        <v>0</v>
      </c>
      <c r="G804" s="14">
        <f t="shared" si="102"/>
        <v>0</v>
      </c>
      <c r="H804" s="24">
        <f t="shared" si="100"/>
        <v>552.2241340884699</v>
      </c>
      <c r="I804" s="12">
        <f t="shared" si="107"/>
        <v>0.29451579616050039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264.5582136623832</v>
      </c>
      <c r="F805" s="37">
        <f t="shared" si="101"/>
        <v>0</v>
      </c>
      <c r="G805" s="14">
        <f t="shared" si="102"/>
        <v>0</v>
      </c>
      <c r="H805" s="24">
        <f t="shared" si="100"/>
        <v>552.32571630340067</v>
      </c>
      <c r="I805" s="12">
        <f t="shared" si="107"/>
        <v>0.29441753729402842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264.85263119967721</v>
      </c>
      <c r="F806" s="37">
        <f t="shared" si="101"/>
        <v>0</v>
      </c>
      <c r="G806" s="14">
        <f t="shared" si="102"/>
        <v>0</v>
      </c>
      <c r="H806" s="24">
        <f t="shared" si="100"/>
        <v>552.4272771044823</v>
      </c>
      <c r="I806" s="12">
        <f t="shared" si="107"/>
        <v>0.29431926488589244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265.14695046456308</v>
      </c>
      <c r="F807" s="37">
        <f t="shared" si="101"/>
        <v>0</v>
      </c>
      <c r="G807" s="14">
        <f t="shared" si="102"/>
        <v>0</v>
      </c>
      <c r="H807" s="24">
        <f t="shared" si="100"/>
        <v>552.52881681431688</v>
      </c>
      <c r="I807" s="12">
        <f t="shared" si="107"/>
        <v>0.29422097902691202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265.44117144359001</v>
      </c>
      <c r="F808" s="37">
        <f t="shared" si="101"/>
        <v>0</v>
      </c>
      <c r="G808" s="14">
        <f t="shared" si="102"/>
        <v>0</v>
      </c>
      <c r="H808" s="24">
        <f t="shared" si="100"/>
        <v>552.63033575485929</v>
      </c>
      <c r="I808" s="12">
        <f t="shared" si="107"/>
        <v>0.29412267980738138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265.73529412339741</v>
      </c>
      <c r="F809" s="37">
        <f t="shared" si="101"/>
        <v>0</v>
      </c>
      <c r="G809" s="14">
        <f t="shared" si="102"/>
        <v>0</v>
      </c>
      <c r="H809" s="24">
        <f t="shared" si="100"/>
        <v>552.73183424741762</v>
      </c>
      <c r="I809" s="12">
        <f t="shared" si="107"/>
        <v>0.29402436731707321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266.0293184907145</v>
      </c>
      <c r="F810" s="37">
        <f t="shared" si="101"/>
        <v>0</v>
      </c>
      <c r="G810" s="14">
        <f t="shared" si="102"/>
        <v>0</v>
      </c>
      <c r="H810" s="24">
        <f t="shared" si="100"/>
        <v>552.83331261265266</v>
      </c>
      <c r="I810" s="12">
        <f t="shared" si="107"/>
        <v>0.29392604164524533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266.32324453235975</v>
      </c>
      <c r="F811" s="37">
        <f t="shared" si="101"/>
        <v>0</v>
      </c>
      <c r="G811" s="14">
        <f t="shared" si="102"/>
        <v>0</v>
      </c>
      <c r="H811" s="24">
        <f t="shared" si="100"/>
        <v>552.9347711705791</v>
      </c>
      <c r="I811" s="12">
        <f t="shared" si="107"/>
        <v>0.29382770288064447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266.61707223524041</v>
      </c>
      <c r="F812" s="37">
        <f t="shared" si="101"/>
        <v>0</v>
      </c>
      <c r="G812" s="14">
        <f t="shared" si="102"/>
        <v>0</v>
      </c>
      <c r="H812" s="24">
        <f t="shared" si="100"/>
        <v>553.03621024056508</v>
      </c>
      <c r="I812" s="12">
        <f t="shared" si="107"/>
        <v>0.29372935111151172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266.91080158635191</v>
      </c>
      <c r="F813" s="37">
        <f t="shared" si="101"/>
        <v>0</v>
      </c>
      <c r="G813" s="14">
        <f t="shared" si="102"/>
        <v>0</v>
      </c>
      <c r="H813" s="24">
        <f t="shared" si="100"/>
        <v>553.13763014133281</v>
      </c>
      <c r="I813" s="12">
        <f t="shared" si="107"/>
        <v>0.29363098642558783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267.20443257277748</v>
      </c>
      <c r="F814" s="37">
        <f t="shared" si="101"/>
        <v>0</v>
      </c>
      <c r="G814" s="14">
        <f t="shared" si="102"/>
        <v>0</v>
      </c>
      <c r="H814" s="24">
        <f t="shared" si="100"/>
        <v>553.23903119095905</v>
      </c>
      <c r="I814" s="12">
        <f t="shared" si="107"/>
        <v>0.2935326089101174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267.49796518168762</v>
      </c>
      <c r="F815" s="37">
        <f t="shared" si="101"/>
        <v>0</v>
      </c>
      <c r="G815" s="14">
        <f t="shared" si="102"/>
        <v>0</v>
      </c>
      <c r="H815" s="24">
        <f t="shared" si="100"/>
        <v>553.34041370687476</v>
      </c>
      <c r="I815" s="12">
        <f t="shared" si="107"/>
        <v>0.29343421865185437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267.79139940033946</v>
      </c>
      <c r="F816" s="37">
        <f t="shared" si="101"/>
        <v>0</v>
      </c>
      <c r="G816" s="14">
        <f t="shared" si="102"/>
        <v>0</v>
      </c>
      <c r="H816" s="24">
        <f t="shared" si="100"/>
        <v>553.44177800586579</v>
      </c>
      <c r="I816" s="12">
        <f t="shared" si="107"/>
        <v>0.29333581573706641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268.08473521607652</v>
      </c>
      <c r="F817" s="37">
        <f t="shared" si="101"/>
        <v>0</v>
      </c>
      <c r="G817" s="14">
        <f t="shared" si="102"/>
        <v>0</v>
      </c>
      <c r="H817" s="24">
        <f t="shared" si="100"/>
        <v>553.54312440407307</v>
      </c>
      <c r="I817" s="12">
        <f t="shared" si="107"/>
        <v>0.29323740025154044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268.37797261632807</v>
      </c>
      <c r="F818" s="37">
        <f t="shared" si="101"/>
        <v>0</v>
      </c>
      <c r="G818" s="14">
        <f t="shared" si="102"/>
        <v>0</v>
      </c>
      <c r="H818" s="24">
        <f t="shared" si="100"/>
        <v>553.64445321699282</v>
      </c>
      <c r="I818" s="12">
        <f t="shared" si="107"/>
        <v>0.2931389722805865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268.67111158860865</v>
      </c>
      <c r="F819" s="37">
        <f t="shared" si="101"/>
        <v>0</v>
      </c>
      <c r="G819" s="14">
        <f t="shared" si="102"/>
        <v>0</v>
      </c>
      <c r="H819" s="24">
        <f t="shared" si="100"/>
        <v>553.74576475947765</v>
      </c>
      <c r="I819" s="12">
        <f t="shared" si="107"/>
        <v>0.29304053190904261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268.96415212051772</v>
      </c>
      <c r="F820" s="37">
        <f t="shared" si="101"/>
        <v>0</v>
      </c>
      <c r="G820" s="14">
        <f t="shared" si="102"/>
        <v>0</v>
      </c>
      <c r="H820" s="24">
        <f t="shared" si="100"/>
        <v>553.84705934573469</v>
      </c>
      <c r="I820" s="12">
        <f t="shared" si="107"/>
        <v>0.29294207922128035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269.25709419973902</v>
      </c>
      <c r="F821" s="37">
        <f t="shared" si="101"/>
        <v>0</v>
      </c>
      <c r="G821" s="14">
        <f t="shared" si="102"/>
        <v>0</v>
      </c>
      <c r="H821" s="24">
        <f t="shared" si="100"/>
        <v>553.94833728932895</v>
      </c>
      <c r="I821" s="12">
        <f t="shared" si="107"/>
        <v>0.29284361430120809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269.54993781404022</v>
      </c>
      <c r="F822" s="37">
        <f t="shared" si="101"/>
        <v>0</v>
      </c>
      <c r="G822" s="14">
        <f t="shared" si="102"/>
        <v>0</v>
      </c>
      <c r="H822" s="24">
        <f t="shared" si="100"/>
        <v>554.04959890318059</v>
      </c>
      <c r="I822" s="12">
        <f t="shared" si="107"/>
        <v>0.29274513723227735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269.84268295127248</v>
      </c>
      <c r="F823" s="37">
        <f t="shared" si="101"/>
        <v>0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554.15084449956748</v>
      </c>
      <c r="I823" s="12">
        <f t="shared" si="107"/>
        <v>0.29264664809748531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270.13532959936998</v>
      </c>
      <c r="F824" s="37">
        <f t="shared" si="101"/>
        <v>0</v>
      </c>
      <c r="G824" s="14">
        <f t="shared" si="102"/>
        <v>0</v>
      </c>
      <c r="H824" s="24">
        <f t="shared" si="108"/>
        <v>554.25207439012433</v>
      </c>
      <c r="I824" s="12">
        <f t="shared" si="107"/>
        <v>0.29254814697938086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270.42787774634934</v>
      </c>
      <c r="F825" s="37">
        <f t="shared" si="101"/>
        <v>0</v>
      </c>
      <c r="G825" s="14">
        <f t="shared" si="102"/>
        <v>0</v>
      </c>
      <c r="H825" s="24">
        <f t="shared" si="108"/>
        <v>554.35328888584309</v>
      </c>
      <c r="I825" s="12">
        <f t="shared" si="107"/>
        <v>0.29244963396006879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270.72032738030941</v>
      </c>
      <c r="F826" s="37">
        <f t="shared" si="101"/>
        <v>0</v>
      </c>
      <c r="G826" s="14">
        <f t="shared" si="102"/>
        <v>0</v>
      </c>
      <c r="H826" s="24">
        <f t="shared" si="108"/>
        <v>554.45448829707379</v>
      </c>
      <c r="I826" s="12">
        <f t="shared" si="107"/>
        <v>0.29235110912121354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271.01267848943064</v>
      </c>
      <c r="F827" s="37">
        <f t="shared" si="101"/>
        <v>0</v>
      </c>
      <c r="G827" s="14">
        <f t="shared" si="102"/>
        <v>0</v>
      </c>
      <c r="H827" s="24">
        <f t="shared" si="108"/>
        <v>554.55567293352442</v>
      </c>
      <c r="I827" s="12">
        <f t="shared" si="107"/>
        <v>0.29225257254404469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271.30493106197468</v>
      </c>
      <c r="F828" s="37">
        <f t="shared" si="101"/>
        <v>0</v>
      </c>
      <c r="G828" s="14">
        <f t="shared" si="102"/>
        <v>0</v>
      </c>
      <c r="H828" s="24">
        <f t="shared" si="108"/>
        <v>554.65684310426104</v>
      </c>
      <c r="I828" s="12">
        <f t="shared" si="107"/>
        <v>0.29215402430936033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271.59708508628404</v>
      </c>
      <c r="F829" s="37">
        <f t="shared" si="101"/>
        <v>0</v>
      </c>
      <c r="G829" s="14">
        <f t="shared" si="102"/>
        <v>0</v>
      </c>
      <c r="H829" s="24">
        <f t="shared" si="108"/>
        <v>554.75799911770889</v>
      </c>
      <c r="I829" s="12">
        <f t="shared" si="107"/>
        <v>0.292055464497532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271.88914055078158</v>
      </c>
      <c r="F830" s="37">
        <f t="shared" si="101"/>
        <v>0</v>
      </c>
      <c r="G830" s="14">
        <f t="shared" si="102"/>
        <v>0</v>
      </c>
      <c r="H830" s="24">
        <f t="shared" si="108"/>
        <v>554.85914128165177</v>
      </c>
      <c r="I830" s="12">
        <f t="shared" si="107"/>
        <v>0.29195689318850887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272.18109744397009</v>
      </c>
      <c r="F831" s="37">
        <f t="shared" si="101"/>
        <v>0</v>
      </c>
      <c r="G831" s="14">
        <f t="shared" si="102"/>
        <v>0</v>
      </c>
      <c r="H831" s="24">
        <f t="shared" si="108"/>
        <v>554.96026990323298</v>
      </c>
      <c r="I831" s="12">
        <f t="shared" si="107"/>
        <v>0.29185831046182209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272.47295575443189</v>
      </c>
      <c r="F832" s="37">
        <f t="shared" si="101"/>
        <v>0</v>
      </c>
      <c r="G832" s="14">
        <f t="shared" si="102"/>
        <v>0</v>
      </c>
      <c r="H832" s="24">
        <f t="shared" si="108"/>
        <v>555.06138528895531</v>
      </c>
      <c r="I832" s="12">
        <f t="shared" si="107"/>
        <v>0.2917597163965886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272.76471547082849</v>
      </c>
      <c r="F833" s="37">
        <f t="shared" si="101"/>
        <v>0</v>
      </c>
      <c r="G833" s="14">
        <f t="shared" si="102"/>
        <v>0</v>
      </c>
      <c r="H833" s="24">
        <f t="shared" si="108"/>
        <v>555.16248774468181</v>
      </c>
      <c r="I833" s="12">
        <f t="shared" si="107"/>
        <v>0.29166111107151582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273.0563765819</v>
      </c>
      <c r="F834" s="37">
        <f t="shared" si="101"/>
        <v>0</v>
      </c>
      <c r="G834" s="14">
        <f t="shared" si="102"/>
        <v>0</v>
      </c>
      <c r="H834" s="24">
        <f t="shared" si="108"/>
        <v>555.26357757563528</v>
      </c>
      <c r="I834" s="12">
        <f t="shared" si="107"/>
        <v>0.29156249456490563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273.34793907646491</v>
      </c>
      <c r="F835" s="37">
        <f t="shared" si="101"/>
        <v>0</v>
      </c>
      <c r="G835" s="14">
        <f t="shared" si="102"/>
        <v>0</v>
      </c>
      <c r="H835" s="24">
        <f t="shared" si="108"/>
        <v>555.36465508640003</v>
      </c>
      <c r="I835" s="12">
        <f t="shared" si="107"/>
        <v>0.29146386695465815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273.63940294341955</v>
      </c>
      <c r="F836" s="37">
        <f t="shared" si="101"/>
        <v>0</v>
      </c>
      <c r="G836" s="14">
        <f t="shared" si="102"/>
        <v>0</v>
      </c>
      <c r="H836" s="24">
        <f t="shared" si="108"/>
        <v>555.46572058092022</v>
      </c>
      <c r="I836" s="12">
        <f t="shared" si="107"/>
        <v>0.29136522831827677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273.93076817173784</v>
      </c>
      <c r="F837" s="37">
        <f t="shared" si="101"/>
        <v>0</v>
      </c>
      <c r="G837" s="14">
        <f t="shared" si="102"/>
        <v>0</v>
      </c>
      <c r="H837" s="24">
        <f t="shared" si="108"/>
        <v>555.56677436250197</v>
      </c>
      <c r="I837" s="12">
        <f t="shared" si="107"/>
        <v>0.29126657873287115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274.2220347504707</v>
      </c>
      <c r="F838" s="37">
        <f t="shared" si="101"/>
        <v>0</v>
      </c>
      <c r="G838" s="14">
        <f t="shared" si="102"/>
        <v>0</v>
      </c>
      <c r="H838" s="24">
        <f t="shared" si="108"/>
        <v>555.66781673381308</v>
      </c>
      <c r="I838" s="12">
        <f t="shared" si="107"/>
        <v>0.29116791827516181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274.51320266874586</v>
      </c>
      <c r="F839" s="37">
        <f t="shared" si="101"/>
        <v>0</v>
      </c>
      <c r="G839" s="14">
        <f t="shared" si="102"/>
        <v>0</v>
      </c>
      <c r="H839" s="24">
        <f t="shared" si="108"/>
        <v>555.76884799688287</v>
      </c>
      <c r="I839" s="12">
        <f t="shared" si="107"/>
        <v>0.29106924702148396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274.80427191576734</v>
      </c>
      <c r="F840" s="37">
        <f t="shared" si="101"/>
        <v>0</v>
      </c>
      <c r="G840" s="14">
        <f t="shared" si="102"/>
        <v>0</v>
      </c>
      <c r="H840" s="24">
        <f t="shared" si="108"/>
        <v>555.86986845310344</v>
      </c>
      <c r="I840" s="12">
        <f t="shared" si="107"/>
        <v>0.29097056504779162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275.09524248081516</v>
      </c>
      <c r="F841" s="37">
        <f t="shared" si="101"/>
        <v>0</v>
      </c>
      <c r="G841" s="14">
        <f t="shared" si="102"/>
        <v>0</v>
      </c>
      <c r="H841" s="24">
        <f t="shared" si="108"/>
        <v>555.97087840322899</v>
      </c>
      <c r="I841" s="12">
        <f t="shared" si="107"/>
        <v>0.29087187242966128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275.38611435324481</v>
      </c>
      <c r="F842" s="37">
        <f t="shared" si="101"/>
        <v>0</v>
      </c>
      <c r="G842" s="14">
        <f t="shared" si="102"/>
        <v>0</v>
      </c>
      <c r="H842" s="24">
        <f t="shared" si="108"/>
        <v>556.07187814737711</v>
      </c>
      <c r="I842" s="12">
        <f t="shared" si="107"/>
        <v>0.29077316924229618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275.67688752248711</v>
      </c>
      <c r="F843" s="37">
        <f t="shared" si="101"/>
        <v>0</v>
      </c>
      <c r="G843" s="14">
        <f t="shared" si="102"/>
        <v>0</v>
      </c>
      <c r="H843" s="24">
        <f t="shared" si="108"/>
        <v>556.1728679850288</v>
      </c>
      <c r="I843" s="12">
        <f t="shared" si="107"/>
        <v>0.29067445556052962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275.96756197804763</v>
      </c>
      <c r="F844" s="37">
        <f t="shared" si="101"/>
        <v>0</v>
      </c>
      <c r="G844" s="14">
        <f t="shared" si="102"/>
        <v>0</v>
      </c>
      <c r="H844" s="24">
        <f t="shared" si="108"/>
        <v>556.27384821502847</v>
      </c>
      <c r="I844" s="12">
        <f t="shared" si="107"/>
        <v>0.29057573145882942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276.25813770950646</v>
      </c>
      <c r="F845" s="37">
        <f t="shared" si="101"/>
        <v>0</v>
      </c>
      <c r="G845" s="14">
        <f t="shared" si="102"/>
        <v>0</v>
      </c>
      <c r="H845" s="24">
        <f t="shared" si="108"/>
        <v>556.37481913558474</v>
      </c>
      <c r="I845" s="12">
        <f t="shared" si="107"/>
        <v>0.29047699701130092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276.54861470651775</v>
      </c>
      <c r="F846" s="37">
        <f t="shared" si="101"/>
        <v>0</v>
      </c>
      <c r="G846" s="14">
        <f t="shared" si="102"/>
        <v>0</v>
      </c>
      <c r="H846" s="24">
        <f t="shared" si="108"/>
        <v>556.47578104427078</v>
      </c>
      <c r="I846" s="12">
        <f t="shared" si="107"/>
        <v>0.29037825229169151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276.83899295880946</v>
      </c>
      <c r="F847" s="37">
        <f t="shared" si="101"/>
        <v>0</v>
      </c>
      <c r="G847" s="14">
        <f t="shared" si="102"/>
        <v>0</v>
      </c>
      <c r="H847" s="24">
        <f t="shared" si="108"/>
        <v>556.57673423802419</v>
      </c>
      <c r="I847" s="12">
        <f t="shared" si="107"/>
        <v>0.2902794973733942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277.12927245618283</v>
      </c>
      <c r="F848" s="37">
        <f t="shared" si="101"/>
        <v>0</v>
      </c>
      <c r="G848" s="14">
        <f t="shared" si="102"/>
        <v>0</v>
      </c>
      <c r="H848" s="24">
        <f t="shared" si="108"/>
        <v>556.67767901314789</v>
      </c>
      <c r="I848" s="12">
        <f t="shared" si="107"/>
        <v>0.29018073232945091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277.41945318851231</v>
      </c>
      <c r="F849" s="37">
        <f t="shared" si="101"/>
        <v>0</v>
      </c>
      <c r="G849" s="14">
        <f t="shared" si="102"/>
        <v>0</v>
      </c>
      <c r="H849" s="24">
        <f t="shared" si="108"/>
        <v>556.77861566531055</v>
      </c>
      <c r="I849" s="12">
        <f t="shared" si="107"/>
        <v>0.29008195723255653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277.70953514574484</v>
      </c>
      <c r="F850" s="37">
        <f t="shared" si="101"/>
        <v>0</v>
      </c>
      <c r="G850" s="14">
        <f t="shared" si="102"/>
        <v>0</v>
      </c>
      <c r="H850" s="24">
        <f t="shared" si="108"/>
        <v>556.87954448954611</v>
      </c>
      <c r="I850" s="12">
        <f t="shared" si="107"/>
        <v>0.28998317215506242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277.99951831789991</v>
      </c>
      <c r="F851" s="37">
        <f t="shared" si="101"/>
        <v>0</v>
      </c>
      <c r="G851" s="14">
        <f t="shared" si="102"/>
        <v>0</v>
      </c>
      <c r="H851" s="24">
        <f t="shared" si="108"/>
        <v>556.98046578025537</v>
      </c>
      <c r="I851" s="12">
        <f t="shared" si="107"/>
        <v>0.28988437716897975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278.28940269506887</v>
      </c>
      <c r="F852" s="37">
        <f t="shared" ref="F852:F915" si="109">Cp*RhoP/(RhoA*H852)*dp/1000*MassivP</f>
        <v>0</v>
      </c>
      <c r="G852" s="14">
        <f t="shared" ref="G852:G915" si="110">Phi*EpsilonF*Botzman/10^8*J852*((D852+273)^4-(E852+273)^4)</f>
        <v>0</v>
      </c>
      <c r="H852" s="24">
        <f t="shared" si="108"/>
        <v>557.08137983120525</v>
      </c>
      <c r="I852" s="12">
        <f t="shared" si="107"/>
        <v>0.2897855723459839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278.57918826741485</v>
      </c>
      <c r="F853" s="37">
        <f t="shared" si="109"/>
        <v>0</v>
      </c>
      <c r="G853" s="14">
        <f t="shared" si="110"/>
        <v>0</v>
      </c>
      <c r="H853" s="24">
        <f t="shared" si="108"/>
        <v>557.18228693552999</v>
      </c>
      <c r="I853" s="12">
        <f t="shared" ref="I853:I916" si="115">LambdaP*MassivP/(dp/1000)/(H853*RhoA)/(1+F853/3)*(D853-E853)*DeltaT-(EXP(F853/10)-1)*(D853-D852)</f>
        <v>0.2896867577574172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278.86887502517226</v>
      </c>
      <c r="F854" s="37">
        <f t="shared" si="109"/>
        <v>0</v>
      </c>
      <c r="G854" s="14">
        <f t="shared" si="110"/>
        <v>0</v>
      </c>
      <c r="H854" s="24">
        <f t="shared" si="108"/>
        <v>557.28318738573114</v>
      </c>
      <c r="I854" s="12">
        <f t="shared" si="115"/>
        <v>0.28958793347429246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279.15846295864657</v>
      </c>
      <c r="F855" s="37">
        <f t="shared" si="109"/>
        <v>0</v>
      </c>
      <c r="G855" s="14">
        <f t="shared" si="110"/>
        <v>0</v>
      </c>
      <c r="H855" s="24">
        <f t="shared" si="108"/>
        <v>557.38408147367784</v>
      </c>
      <c r="I855" s="12">
        <f t="shared" si="115"/>
        <v>0.28948909956729685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279.44795205821384</v>
      </c>
      <c r="F856" s="37">
        <f t="shared" si="109"/>
        <v>0</v>
      </c>
      <c r="G856" s="14">
        <f t="shared" si="110"/>
        <v>0</v>
      </c>
      <c r="H856" s="24">
        <f t="shared" si="108"/>
        <v>557.48496949060734</v>
      </c>
      <c r="I856" s="12">
        <f t="shared" si="115"/>
        <v>0.2893902561067957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279.73734231432064</v>
      </c>
      <c r="F857" s="37">
        <f t="shared" si="109"/>
        <v>0</v>
      </c>
      <c r="G857" s="14">
        <f t="shared" si="110"/>
        <v>0</v>
      </c>
      <c r="H857" s="24">
        <f t="shared" si="108"/>
        <v>557.5858517271256</v>
      </c>
      <c r="I857" s="12">
        <f t="shared" si="115"/>
        <v>0.28929140316283442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280.02663371748349</v>
      </c>
      <c r="F858" s="37">
        <f t="shared" si="109"/>
        <v>0</v>
      </c>
      <c r="G858" s="14">
        <f t="shared" si="110"/>
        <v>0</v>
      </c>
      <c r="H858" s="24">
        <f t="shared" si="108"/>
        <v>557.68672847320727</v>
      </c>
      <c r="I858" s="12">
        <f t="shared" si="115"/>
        <v>0.289192540805144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280.31582625828861</v>
      </c>
      <c r="F859" s="37">
        <f t="shared" si="109"/>
        <v>0</v>
      </c>
      <c r="G859" s="14">
        <f t="shared" si="110"/>
        <v>0</v>
      </c>
      <c r="H859" s="24">
        <f t="shared" si="108"/>
        <v>557.78760001819637</v>
      </c>
      <c r="I859" s="12">
        <f t="shared" si="115"/>
        <v>0.28909366910314271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280.60491992739173</v>
      </c>
      <c r="F860" s="37">
        <f t="shared" si="109"/>
        <v>0</v>
      </c>
      <c r="G860" s="14">
        <f t="shared" si="110"/>
        <v>0</v>
      </c>
      <c r="H860" s="24">
        <f t="shared" si="108"/>
        <v>557.88846665080655</v>
      </c>
      <c r="I860" s="12">
        <f t="shared" si="115"/>
        <v>0.28899478812594004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280.89391471551767</v>
      </c>
      <c r="F861" s="37">
        <f t="shared" si="109"/>
        <v>0</v>
      </c>
      <c r="G861" s="14">
        <f t="shared" si="110"/>
        <v>0</v>
      </c>
      <c r="H861" s="24">
        <f t="shared" si="108"/>
        <v>557.98932865912127</v>
      </c>
      <c r="I861" s="12">
        <f t="shared" si="115"/>
        <v>0.28889589794234027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281.18281061345999</v>
      </c>
      <c r="F862" s="37">
        <f t="shared" si="109"/>
        <v>0</v>
      </c>
      <c r="G862" s="14">
        <f t="shared" si="110"/>
        <v>0</v>
      </c>
      <c r="H862" s="24">
        <f t="shared" si="108"/>
        <v>558.09018633059509</v>
      </c>
      <c r="I862" s="12">
        <f t="shared" si="115"/>
        <v>0.28879699862084535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281.47160761208085</v>
      </c>
      <c r="F863" s="37">
        <f t="shared" si="109"/>
        <v>0</v>
      </c>
      <c r="G863" s="14">
        <f t="shared" si="110"/>
        <v>0</v>
      </c>
      <c r="H863" s="24">
        <f t="shared" si="108"/>
        <v>558.19103995205285</v>
      </c>
      <c r="I863" s="12">
        <f t="shared" si="115"/>
        <v>0.28869809022965798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281.76030570231052</v>
      </c>
      <c r="F864" s="37">
        <f t="shared" si="109"/>
        <v>0</v>
      </c>
      <c r="G864" s="14">
        <f t="shared" si="110"/>
        <v>0</v>
      </c>
      <c r="H864" s="24">
        <f t="shared" si="108"/>
        <v>558.2918898096907</v>
      </c>
      <c r="I864" s="12">
        <f t="shared" si="115"/>
        <v>0.28859917283668568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282.04890487514723</v>
      </c>
      <c r="F865" s="37">
        <f t="shared" si="109"/>
        <v>0</v>
      </c>
      <c r="G865" s="14">
        <f t="shared" si="110"/>
        <v>0</v>
      </c>
      <c r="H865" s="24">
        <f t="shared" si="108"/>
        <v>558.39273618907669</v>
      </c>
      <c r="I865" s="12">
        <f t="shared" si="115"/>
        <v>0.28850024650954342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282.33740512165679</v>
      </c>
      <c r="F866" s="37">
        <f t="shared" si="109"/>
        <v>0</v>
      </c>
      <c r="G866" s="14">
        <f t="shared" si="110"/>
        <v>0</v>
      </c>
      <c r="H866" s="24">
        <f t="shared" si="108"/>
        <v>558.4935793751506</v>
      </c>
      <c r="I866" s="12">
        <f t="shared" si="115"/>
        <v>0.28840131131555652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282.62580643297235</v>
      </c>
      <c r="F867" s="37">
        <f t="shared" si="109"/>
        <v>0</v>
      </c>
      <c r="G867" s="14">
        <f t="shared" si="110"/>
        <v>0</v>
      </c>
      <c r="H867" s="24">
        <f t="shared" si="108"/>
        <v>558.5944196522247</v>
      </c>
      <c r="I867" s="12">
        <f t="shared" si="115"/>
        <v>0.28830236732176445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282.91410880029412</v>
      </c>
      <c r="F868" s="37">
        <f t="shared" si="109"/>
        <v>0</v>
      </c>
      <c r="G868" s="14">
        <f t="shared" si="110"/>
        <v>0</v>
      </c>
      <c r="H868" s="24">
        <f t="shared" si="108"/>
        <v>558.69525730398448</v>
      </c>
      <c r="I868" s="12">
        <f t="shared" si="115"/>
        <v>0.28820341459492332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283.20231221488905</v>
      </c>
      <c r="F869" s="37">
        <f t="shared" si="109"/>
        <v>0</v>
      </c>
      <c r="G869" s="14">
        <f t="shared" si="110"/>
        <v>0</v>
      </c>
      <c r="H869" s="24">
        <f t="shared" si="108"/>
        <v>558.7960926134881</v>
      </c>
      <c r="I869" s="12">
        <f t="shared" si="115"/>
        <v>0.28810445320150968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283.49041666809057</v>
      </c>
      <c r="F870" s="37">
        <f t="shared" si="109"/>
        <v>0</v>
      </c>
      <c r="G870" s="14">
        <f t="shared" si="110"/>
        <v>0</v>
      </c>
      <c r="H870" s="24">
        <f t="shared" si="108"/>
        <v>558.89692586316801</v>
      </c>
      <c r="I870" s="12">
        <f t="shared" si="115"/>
        <v>0.28800548320772285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283.77842215129829</v>
      </c>
      <c r="F871" s="37">
        <f t="shared" si="109"/>
        <v>0</v>
      </c>
      <c r="G871" s="14">
        <f t="shared" si="110"/>
        <v>0</v>
      </c>
      <c r="H871" s="24">
        <f t="shared" si="108"/>
        <v>558.99775733483023</v>
      </c>
      <c r="I871" s="12">
        <f t="shared" si="115"/>
        <v>0.2879065046794887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284.06632865597777</v>
      </c>
      <c r="F872" s="37">
        <f t="shared" si="109"/>
        <v>0</v>
      </c>
      <c r="G872" s="14">
        <f t="shared" si="110"/>
        <v>0</v>
      </c>
      <c r="H872" s="24">
        <f t="shared" si="108"/>
        <v>559.09858730965561</v>
      </c>
      <c r="I872" s="12">
        <f t="shared" si="115"/>
        <v>0.28780751768246188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284.35413617366021</v>
      </c>
      <c r="F873" s="37">
        <f t="shared" si="109"/>
        <v>0</v>
      </c>
      <c r="G873" s="14">
        <f t="shared" si="110"/>
        <v>0</v>
      </c>
      <c r="H873" s="24">
        <f t="shared" si="108"/>
        <v>559.19941606819975</v>
      </c>
      <c r="I873" s="12">
        <f t="shared" si="115"/>
        <v>0.28770852228202948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284.64184469594221</v>
      </c>
      <c r="F874" s="37">
        <f t="shared" si="109"/>
        <v>0</v>
      </c>
      <c r="G874" s="14">
        <f t="shared" si="110"/>
        <v>0</v>
      </c>
      <c r="H874" s="24">
        <f t="shared" si="108"/>
        <v>559.30024389039352</v>
      </c>
      <c r="I874" s="12">
        <f t="shared" si="115"/>
        <v>0.28760951854331351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284.92945421448553</v>
      </c>
      <c r="F875" s="37">
        <f t="shared" si="109"/>
        <v>0</v>
      </c>
      <c r="G875" s="14">
        <f t="shared" si="110"/>
        <v>0</v>
      </c>
      <c r="H875" s="24">
        <f t="shared" si="108"/>
        <v>559.40107105554375</v>
      </c>
      <c r="I875" s="12">
        <f t="shared" si="115"/>
        <v>0.28751050653117449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285.21696472101672</v>
      </c>
      <c r="F876" s="37">
        <f t="shared" si="109"/>
        <v>0</v>
      </c>
      <c r="G876" s="14">
        <f t="shared" si="110"/>
        <v>0</v>
      </c>
      <c r="H876" s="24">
        <f t="shared" si="108"/>
        <v>559.50189784233316</v>
      </c>
      <c r="I876" s="12">
        <f t="shared" si="115"/>
        <v>0.28741148631021352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285.50437620732691</v>
      </c>
      <c r="F877" s="37">
        <f t="shared" si="109"/>
        <v>0</v>
      </c>
      <c r="G877" s="14">
        <f t="shared" si="110"/>
        <v>0</v>
      </c>
      <c r="H877" s="24">
        <f t="shared" si="108"/>
        <v>559.60272452882145</v>
      </c>
      <c r="I877" s="12">
        <f t="shared" si="115"/>
        <v>0.28731245794477561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285.79168866527169</v>
      </c>
      <c r="F878" s="37">
        <f t="shared" si="109"/>
        <v>0</v>
      </c>
      <c r="G878" s="14">
        <f t="shared" si="110"/>
        <v>0</v>
      </c>
      <c r="H878" s="24">
        <f t="shared" si="108"/>
        <v>559.70355139244498</v>
      </c>
      <c r="I878" s="12">
        <f t="shared" si="115"/>
        <v>0.28721342149895296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286.07890208677065</v>
      </c>
      <c r="F879" s="37">
        <f t="shared" si="109"/>
        <v>0</v>
      </c>
      <c r="G879" s="14">
        <f t="shared" si="110"/>
        <v>0</v>
      </c>
      <c r="H879" s="24">
        <f t="shared" si="108"/>
        <v>559.80437871001755</v>
      </c>
      <c r="I879" s="12">
        <f t="shared" si="115"/>
        <v>0.28711437703658688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286.36601646380723</v>
      </c>
      <c r="F880" s="37">
        <f t="shared" si="109"/>
        <v>0</v>
      </c>
      <c r="G880" s="14">
        <f t="shared" si="110"/>
        <v>0</v>
      </c>
      <c r="H880" s="24">
        <f t="shared" si="108"/>
        <v>559.90520675773121</v>
      </c>
      <c r="I880" s="12">
        <f t="shared" si="115"/>
        <v>0.28701532462127149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286.65303178842851</v>
      </c>
      <c r="F881" s="37">
        <f t="shared" si="109"/>
        <v>0</v>
      </c>
      <c r="G881" s="14">
        <f t="shared" si="110"/>
        <v>0</v>
      </c>
      <c r="H881" s="24">
        <f t="shared" si="108"/>
        <v>560.00603581115604</v>
      </c>
      <c r="I881" s="12">
        <f t="shared" si="115"/>
        <v>0.28691626431635575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286.93994805274485</v>
      </c>
      <c r="F882" s="37">
        <f t="shared" si="109"/>
        <v>0</v>
      </c>
      <c r="G882" s="14">
        <f t="shared" si="110"/>
        <v>0</v>
      </c>
      <c r="H882" s="24">
        <f t="shared" si="108"/>
        <v>560.1068661452407</v>
      </c>
      <c r="I882" s="12">
        <f t="shared" si="115"/>
        <v>0.286817196184947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287.22676524892978</v>
      </c>
      <c r="F883" s="37">
        <f t="shared" si="109"/>
        <v>0</v>
      </c>
      <c r="G883" s="14">
        <f t="shared" si="110"/>
        <v>0</v>
      </c>
      <c r="H883" s="24">
        <f t="shared" si="108"/>
        <v>560.20769803431335</v>
      </c>
      <c r="I883" s="12">
        <f t="shared" si="115"/>
        <v>0.28671812028991295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287.51348336921967</v>
      </c>
      <c r="F884" s="37">
        <f t="shared" si="109"/>
        <v>0</v>
      </c>
      <c r="G884" s="14">
        <f t="shared" si="110"/>
        <v>0</v>
      </c>
      <c r="H884" s="24">
        <f t="shared" si="108"/>
        <v>560.30853175208176</v>
      </c>
      <c r="I884" s="12">
        <f t="shared" si="115"/>
        <v>0.28661903669388517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287.80010240591355</v>
      </c>
      <c r="F885" s="37">
        <f t="shared" si="109"/>
        <v>0</v>
      </c>
      <c r="G885" s="14">
        <f t="shared" si="110"/>
        <v>0</v>
      </c>
      <c r="H885" s="24">
        <f t="shared" si="108"/>
        <v>560.4093675716332</v>
      </c>
      <c r="I885" s="12">
        <f t="shared" si="115"/>
        <v>0.28651994545926096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288.0866223513728</v>
      </c>
      <c r="F886" s="37">
        <f t="shared" si="109"/>
        <v>0</v>
      </c>
      <c r="G886" s="14">
        <f t="shared" si="110"/>
        <v>0</v>
      </c>
      <c r="H886" s="24">
        <f t="shared" si="108"/>
        <v>560.51020576543624</v>
      </c>
      <c r="I886" s="12">
        <f t="shared" si="115"/>
        <v>0.28642084664820666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288.37304319802098</v>
      </c>
      <c r="F887" s="37">
        <f t="shared" si="109"/>
        <v>0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560.61104660533965</v>
      </c>
      <c r="I887" s="12">
        <f t="shared" si="115"/>
        <v>0.28632174032266028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288.65936493834363</v>
      </c>
      <c r="F888" s="37">
        <f t="shared" si="109"/>
        <v>0</v>
      </c>
      <c r="G888" s="14">
        <f t="shared" si="110"/>
        <v>0</v>
      </c>
      <c r="H888" s="24">
        <f t="shared" si="116"/>
        <v>560.71189036257385</v>
      </c>
      <c r="I888" s="12">
        <f t="shared" si="115"/>
        <v>0.28622262654433372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288.94558756488794</v>
      </c>
      <c r="F889" s="37">
        <f t="shared" si="109"/>
        <v>0</v>
      </c>
      <c r="G889" s="14">
        <f t="shared" si="110"/>
        <v>0</v>
      </c>
      <c r="H889" s="24">
        <f t="shared" si="116"/>
        <v>560.81273730775138</v>
      </c>
      <c r="I889" s="12">
        <f t="shared" si="115"/>
        <v>0.28612350537471548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289.23171107026263</v>
      </c>
      <c r="F890" s="37">
        <f t="shared" si="109"/>
        <v>0</v>
      </c>
      <c r="G890" s="14">
        <f t="shared" si="110"/>
        <v>0</v>
      </c>
      <c r="H890" s="24">
        <f t="shared" si="116"/>
        <v>560.91358771086652</v>
      </c>
      <c r="I890" s="12">
        <f t="shared" si="115"/>
        <v>0.28602437687507376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289.51773544713768</v>
      </c>
      <c r="F891" s="37">
        <f t="shared" si="109"/>
        <v>0</v>
      </c>
      <c r="G891" s="14">
        <f t="shared" si="110"/>
        <v>0</v>
      </c>
      <c r="H891" s="24">
        <f t="shared" si="116"/>
        <v>561.0144418412965</v>
      </c>
      <c r="I891" s="12">
        <f t="shared" si="115"/>
        <v>0.28592524110645839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289.80366068824412</v>
      </c>
      <c r="F892" s="37">
        <f t="shared" si="109"/>
        <v>0</v>
      </c>
      <c r="G892" s="14">
        <f t="shared" si="110"/>
        <v>0</v>
      </c>
      <c r="H892" s="24">
        <f t="shared" si="116"/>
        <v>561.11529996780189</v>
      </c>
      <c r="I892" s="12">
        <f t="shared" si="115"/>
        <v>0.2858260981297035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290.08948678637381</v>
      </c>
      <c r="F893" s="37">
        <f t="shared" si="109"/>
        <v>0</v>
      </c>
      <c r="G893" s="14">
        <f t="shared" si="110"/>
        <v>0</v>
      </c>
      <c r="H893" s="24">
        <f t="shared" si="116"/>
        <v>561.21616235852639</v>
      </c>
      <c r="I893" s="12">
        <f t="shared" si="115"/>
        <v>0.28572694800543053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290.37521373437926</v>
      </c>
      <c r="F894" s="37">
        <f t="shared" si="109"/>
        <v>0</v>
      </c>
      <c r="G894" s="14">
        <f t="shared" si="110"/>
        <v>0</v>
      </c>
      <c r="H894" s="24">
        <f t="shared" si="116"/>
        <v>561.31702928099821</v>
      </c>
      <c r="I894" s="12">
        <f t="shared" si="115"/>
        <v>0.28562779079404998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290.66084152517328</v>
      </c>
      <c r="F895" s="37">
        <f t="shared" si="109"/>
        <v>0</v>
      </c>
      <c r="G895" s="14">
        <f t="shared" si="110"/>
        <v>0</v>
      </c>
      <c r="H895" s="24">
        <f t="shared" si="116"/>
        <v>561.41790100212961</v>
      </c>
      <c r="I895" s="12">
        <f t="shared" si="115"/>
        <v>0.28552862655576433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290.94637015172907</v>
      </c>
      <c r="F896" s="37">
        <f t="shared" si="109"/>
        <v>0</v>
      </c>
      <c r="G896" s="14">
        <f t="shared" si="110"/>
        <v>0</v>
      </c>
      <c r="H896" s="24">
        <f t="shared" si="116"/>
        <v>561.51877778821847</v>
      </c>
      <c r="I896" s="12">
        <f t="shared" si="115"/>
        <v>0.28542945535057074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291.23179960707967</v>
      </c>
      <c r="F897" s="37">
        <f t="shared" si="109"/>
        <v>0</v>
      </c>
      <c r="G897" s="14">
        <f t="shared" si="110"/>
        <v>0</v>
      </c>
      <c r="H897" s="24">
        <f t="shared" si="116"/>
        <v>561.61965990494764</v>
      </c>
      <c r="I897" s="12">
        <f t="shared" si="115"/>
        <v>0.2853302772382626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291.51712988431791</v>
      </c>
      <c r="F898" s="37">
        <f t="shared" si="109"/>
        <v>0</v>
      </c>
      <c r="G898" s="14">
        <f t="shared" si="110"/>
        <v>0</v>
      </c>
      <c r="H898" s="24">
        <f t="shared" si="116"/>
        <v>561.72054761738593</v>
      </c>
      <c r="I898" s="12">
        <f t="shared" si="115"/>
        <v>0.28523109227843302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291.80236097659633</v>
      </c>
      <c r="F899" s="37">
        <f t="shared" si="109"/>
        <v>0</v>
      </c>
      <c r="G899" s="14">
        <f t="shared" si="110"/>
        <v>0</v>
      </c>
      <c r="H899" s="24">
        <f t="shared" si="116"/>
        <v>561.82144118998838</v>
      </c>
      <c r="I899" s="12">
        <f t="shared" si="115"/>
        <v>0.28513190053047655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292.08749287712681</v>
      </c>
      <c r="F900" s="37">
        <f t="shared" si="109"/>
        <v>0</v>
      </c>
      <c r="G900" s="14">
        <f t="shared" si="110"/>
        <v>0</v>
      </c>
      <c r="H900" s="24">
        <f t="shared" si="116"/>
        <v>561.92234088659711</v>
      </c>
      <c r="I900" s="12">
        <f t="shared" si="115"/>
        <v>0.28503270205359155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292.37252557918038</v>
      </c>
      <c r="F901" s="37">
        <f t="shared" si="109"/>
        <v>0</v>
      </c>
      <c r="G901" s="14">
        <f t="shared" si="110"/>
        <v>0</v>
      </c>
      <c r="H901" s="24">
        <f t="shared" si="116"/>
        <v>562.02324697044128</v>
      </c>
      <c r="I901" s="12">
        <f t="shared" si="115"/>
        <v>0.28493349690678299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292.65745907608715</v>
      </c>
      <c r="F902" s="37">
        <f t="shared" si="109"/>
        <v>0</v>
      </c>
      <c r="G902" s="14">
        <f t="shared" si="110"/>
        <v>0</v>
      </c>
      <c r="H902" s="24">
        <f t="shared" si="116"/>
        <v>562.12415970413804</v>
      </c>
      <c r="I902" s="12">
        <f t="shared" si="115"/>
        <v>0.28483428514886383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292.94229336123601</v>
      </c>
      <c r="F903" s="37">
        <f t="shared" si="109"/>
        <v>0</v>
      </c>
      <c r="G903" s="14">
        <f t="shared" si="110"/>
        <v>0</v>
      </c>
      <c r="H903" s="24">
        <f t="shared" si="116"/>
        <v>562.22507934969246</v>
      </c>
      <c r="I903" s="12">
        <f t="shared" si="115"/>
        <v>0.28473506683845901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293.22702842807445</v>
      </c>
      <c r="F904" s="37">
        <f t="shared" si="109"/>
        <v>0</v>
      </c>
      <c r="G904" s="14">
        <f t="shared" si="110"/>
        <v>0</v>
      </c>
      <c r="H904" s="24">
        <f t="shared" si="116"/>
        <v>562.32600616849822</v>
      </c>
      <c r="I904" s="12">
        <f t="shared" si="115"/>
        <v>0.28463584203400599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293.51166427010844</v>
      </c>
      <c r="F905" s="37">
        <f t="shared" si="109"/>
        <v>0</v>
      </c>
      <c r="G905" s="14">
        <f t="shared" si="110"/>
        <v>0</v>
      </c>
      <c r="H905" s="24">
        <f t="shared" si="116"/>
        <v>562.4269404213386</v>
      </c>
      <c r="I905" s="12">
        <f t="shared" si="115"/>
        <v>0.2845366107937578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293.79620088090218</v>
      </c>
      <c r="F906" s="37">
        <f t="shared" si="109"/>
        <v>0</v>
      </c>
      <c r="G906" s="14">
        <f t="shared" si="110"/>
        <v>0</v>
      </c>
      <c r="H906" s="24">
        <f t="shared" si="116"/>
        <v>562.52788236838637</v>
      </c>
      <c r="I906" s="12">
        <f t="shared" si="115"/>
        <v>0.28443737317578532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294.08063825407794</v>
      </c>
      <c r="F907" s="37">
        <f t="shared" si="109"/>
        <v>0</v>
      </c>
      <c r="G907" s="14">
        <f t="shared" si="110"/>
        <v>0</v>
      </c>
      <c r="H907" s="24">
        <f t="shared" si="116"/>
        <v>562.62883226920383</v>
      </c>
      <c r="I907" s="12">
        <f t="shared" si="115"/>
        <v>0.28433812923797946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294.36497638331593</v>
      </c>
      <c r="F908" s="37">
        <f t="shared" si="109"/>
        <v>0</v>
      </c>
      <c r="G908" s="14">
        <f t="shared" si="110"/>
        <v>0</v>
      </c>
      <c r="H908" s="24">
        <f t="shared" si="116"/>
        <v>562.72979038274468</v>
      </c>
      <c r="I908" s="12">
        <f t="shared" si="115"/>
        <v>0.28423887903805312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294.64921526235401</v>
      </c>
      <c r="F909" s="37">
        <f t="shared" si="109"/>
        <v>0</v>
      </c>
      <c r="G909" s="14">
        <f t="shared" si="110"/>
        <v>0</v>
      </c>
      <c r="H909" s="24">
        <f t="shared" si="116"/>
        <v>562.83075696735295</v>
      </c>
      <c r="I909" s="12">
        <f t="shared" si="115"/>
        <v>0.28413962263354403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294.93335488498752</v>
      </c>
      <c r="F910" s="37">
        <f t="shared" si="109"/>
        <v>0</v>
      </c>
      <c r="G910" s="14">
        <f t="shared" si="110"/>
        <v>0</v>
      </c>
      <c r="H910" s="24">
        <f t="shared" si="116"/>
        <v>562.93173228076466</v>
      </c>
      <c r="I910" s="12">
        <f t="shared" si="115"/>
        <v>0.28404036008181582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295.21739524506933</v>
      </c>
      <c r="F911" s="37">
        <f t="shared" si="109"/>
        <v>0</v>
      </c>
      <c r="G911" s="14">
        <f t="shared" si="110"/>
        <v>0</v>
      </c>
      <c r="H911" s="24">
        <f t="shared" si="116"/>
        <v>563.03271658010738</v>
      </c>
      <c r="I911" s="12">
        <f t="shared" si="115"/>
        <v>0.28394109144006158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295.50133633650938</v>
      </c>
      <c r="F912" s="37">
        <f t="shared" si="109"/>
        <v>0</v>
      </c>
      <c r="G912" s="14">
        <f t="shared" si="110"/>
        <v>0</v>
      </c>
      <c r="H912" s="24">
        <f t="shared" si="116"/>
        <v>563.13371012190169</v>
      </c>
      <c r="I912" s="12">
        <f t="shared" si="115"/>
        <v>0.2838418167653044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295.78517815327467</v>
      </c>
      <c r="F913" s="37">
        <f t="shared" si="109"/>
        <v>0</v>
      </c>
      <c r="G913" s="14">
        <f t="shared" si="110"/>
        <v>0</v>
      </c>
      <c r="H913" s="24">
        <f t="shared" si="116"/>
        <v>563.23471316206064</v>
      </c>
      <c r="I913" s="12">
        <f t="shared" si="115"/>
        <v>0.28374253611440103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296.06892068938907</v>
      </c>
      <c r="F914" s="37">
        <f t="shared" si="109"/>
        <v>0</v>
      </c>
      <c r="G914" s="14">
        <f t="shared" si="110"/>
        <v>0</v>
      </c>
      <c r="H914" s="24">
        <f t="shared" si="116"/>
        <v>563.33572595589112</v>
      </c>
      <c r="I914" s="12">
        <f t="shared" si="115"/>
        <v>0.28364324954404285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296.35256393893314</v>
      </c>
      <c r="F915" s="37">
        <f t="shared" si="109"/>
        <v>0</v>
      </c>
      <c r="G915" s="14">
        <f t="shared" si="110"/>
        <v>0</v>
      </c>
      <c r="H915" s="24">
        <f t="shared" si="116"/>
        <v>563.43674875809359</v>
      </c>
      <c r="I915" s="12">
        <f t="shared" si="115"/>
        <v>0.28354395711075853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296.63610789604388</v>
      </c>
      <c r="F916" s="37">
        <f t="shared" ref="F916:F979" si="117">Cp*RhoP/(RhoA*H916)*dp/1000*MassivP</f>
        <v>0</v>
      </c>
      <c r="G916" s="14">
        <f t="shared" ref="G916:G979" si="118">Phi*EpsilonF*Botzman/10^8*J916*((D916+273)^4-(E916+273)^4)</f>
        <v>0</v>
      </c>
      <c r="H916" s="24">
        <f t="shared" si="116"/>
        <v>563.53778182276312</v>
      </c>
      <c r="I916" s="12">
        <f t="shared" si="115"/>
        <v>0.2834446588709158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296.91955255491479</v>
      </c>
      <c r="F917" s="37">
        <f t="shared" si="117"/>
        <v>0</v>
      </c>
      <c r="G917" s="14">
        <f t="shared" si="118"/>
        <v>0</v>
      </c>
      <c r="H917" s="24">
        <f t="shared" si="116"/>
        <v>563.63882540338966</v>
      </c>
      <c r="I917" s="12">
        <f t="shared" ref="I917:I980" si="123">LambdaP*MassivP/(dp/1000)/(H917*RhoA)/(1+F917/3)*(D917-E917)*DeltaT-(EXP(F917/10)-1)*(D917-D916)</f>
        <v>0.2833453548807236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297.20289790979552</v>
      </c>
      <c r="F918" s="37">
        <f t="shared" si="117"/>
        <v>0</v>
      </c>
      <c r="G918" s="14">
        <f t="shared" si="118"/>
        <v>0</v>
      </c>
      <c r="H918" s="24">
        <f t="shared" si="116"/>
        <v>563.73987975285854</v>
      </c>
      <c r="I918" s="12">
        <f t="shared" si="123"/>
        <v>0.28324604519623425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297.48614395499175</v>
      </c>
      <c r="F919" s="37">
        <f t="shared" si="117"/>
        <v>0</v>
      </c>
      <c r="G919" s="14">
        <f t="shared" si="118"/>
        <v>0</v>
      </c>
      <c r="H919" s="24">
        <f t="shared" si="116"/>
        <v>563.84094512345087</v>
      </c>
      <c r="I919" s="12">
        <f t="shared" si="123"/>
        <v>0.2831467298733451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297.7692906848651</v>
      </c>
      <c r="F920" s="37">
        <f t="shared" si="117"/>
        <v>0</v>
      </c>
      <c r="G920" s="14">
        <f t="shared" si="118"/>
        <v>0</v>
      </c>
      <c r="H920" s="24">
        <f t="shared" si="116"/>
        <v>563.94202176684428</v>
      </c>
      <c r="I920" s="12">
        <f t="shared" si="123"/>
        <v>0.28304740896780095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298.05233809383287</v>
      </c>
      <c r="F921" s="37">
        <f t="shared" si="117"/>
        <v>0</v>
      </c>
      <c r="G921" s="14">
        <f t="shared" si="118"/>
        <v>0</v>
      </c>
      <c r="H921" s="24">
        <f t="shared" si="116"/>
        <v>564.04310993411309</v>
      </c>
      <c r="I921" s="12">
        <f t="shared" si="123"/>
        <v>0.2829480825351956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298.33528617636807</v>
      </c>
      <c r="F922" s="37">
        <f t="shared" si="117"/>
        <v>0</v>
      </c>
      <c r="G922" s="14">
        <f t="shared" si="118"/>
        <v>0</v>
      </c>
      <c r="H922" s="24">
        <f t="shared" si="116"/>
        <v>564.14420987572908</v>
      </c>
      <c r="I922" s="12">
        <f t="shared" si="123"/>
        <v>0.28284875063097398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298.61813492699906</v>
      </c>
      <c r="F923" s="37">
        <f t="shared" si="117"/>
        <v>0</v>
      </c>
      <c r="G923" s="14">
        <f t="shared" si="118"/>
        <v>0</v>
      </c>
      <c r="H923" s="24">
        <f t="shared" si="116"/>
        <v>564.24532184156192</v>
      </c>
      <c r="I923" s="12">
        <f t="shared" si="123"/>
        <v>0.28274941331043418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298.90088434030952</v>
      </c>
      <c r="F924" s="37">
        <f t="shared" si="117"/>
        <v>0</v>
      </c>
      <c r="G924" s="14">
        <f t="shared" si="118"/>
        <v>0</v>
      </c>
      <c r="H924" s="24">
        <f t="shared" si="116"/>
        <v>564.34644608087967</v>
      </c>
      <c r="I924" s="12">
        <f t="shared" si="123"/>
        <v>0.28265007062872916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299.18353441093825</v>
      </c>
      <c r="F925" s="37">
        <f t="shared" si="117"/>
        <v>0</v>
      </c>
      <c r="G925" s="14">
        <f t="shared" si="118"/>
        <v>0</v>
      </c>
      <c r="H925" s="24">
        <f t="shared" si="116"/>
        <v>564.44758284234888</v>
      </c>
      <c r="I925" s="12">
        <f t="shared" si="123"/>
        <v>0.28255072264086889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299.4660851335791</v>
      </c>
      <c r="F926" s="37">
        <f t="shared" si="117"/>
        <v>0</v>
      </c>
      <c r="G926" s="14">
        <f t="shared" si="118"/>
        <v>0</v>
      </c>
      <c r="H926" s="24">
        <f t="shared" si="116"/>
        <v>564.54873237403581</v>
      </c>
      <c r="I926" s="12">
        <f t="shared" si="123"/>
        <v>0.282451369401722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299.74853650298081</v>
      </c>
      <c r="F927" s="37">
        <f t="shared" si="117"/>
        <v>0</v>
      </c>
      <c r="G927" s="14">
        <f t="shared" si="118"/>
        <v>0</v>
      </c>
      <c r="H927" s="24">
        <f t="shared" si="116"/>
        <v>564.64989492340624</v>
      </c>
      <c r="I927" s="12">
        <f t="shared" si="123"/>
        <v>0.28235201096601792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300.03088851394682</v>
      </c>
      <c r="F928" s="37">
        <f t="shared" si="117"/>
        <v>0</v>
      </c>
      <c r="G928" s="14">
        <f t="shared" si="118"/>
        <v>0</v>
      </c>
      <c r="H928" s="24">
        <f t="shared" si="116"/>
        <v>564.75107073732681</v>
      </c>
      <c r="I928" s="12">
        <f t="shared" si="123"/>
        <v>0.2822526473883481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300.31314116133518</v>
      </c>
      <c r="F929" s="37">
        <f t="shared" si="117"/>
        <v>0</v>
      </c>
      <c r="G929" s="14">
        <f t="shared" si="118"/>
        <v>0</v>
      </c>
      <c r="H929" s="24">
        <f t="shared" si="116"/>
        <v>564.8522600620646</v>
      </c>
      <c r="I929" s="12">
        <f t="shared" si="123"/>
        <v>0.28215327872316887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300.59529444005835</v>
      </c>
      <c r="F930" s="37">
        <f t="shared" si="117"/>
        <v>0</v>
      </c>
      <c r="G930" s="14">
        <f t="shared" si="118"/>
        <v>0</v>
      </c>
      <c r="H930" s="24">
        <f t="shared" si="116"/>
        <v>564.95346314328799</v>
      </c>
      <c r="I930" s="12">
        <f t="shared" si="123"/>
        <v>0.28205390502480215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300.87734834508313</v>
      </c>
      <c r="F931" s="37">
        <f t="shared" si="117"/>
        <v>0</v>
      </c>
      <c r="G931" s="14">
        <f t="shared" si="118"/>
        <v>0</v>
      </c>
      <c r="H931" s="24">
        <f t="shared" si="116"/>
        <v>565.05468022606749</v>
      </c>
      <c r="I931" s="12">
        <f t="shared" si="123"/>
        <v>0.28195452634743806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301.15930287143055</v>
      </c>
      <c r="F932" s="37">
        <f t="shared" si="117"/>
        <v>0</v>
      </c>
      <c r="G932" s="14">
        <f t="shared" si="118"/>
        <v>0</v>
      </c>
      <c r="H932" s="24">
        <f t="shared" si="116"/>
        <v>565.15591155487562</v>
      </c>
      <c r="I932" s="12">
        <f t="shared" si="123"/>
        <v>0.28185514274513646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301.4411580141757</v>
      </c>
      <c r="F933" s="37">
        <f t="shared" si="117"/>
        <v>0</v>
      </c>
      <c r="G933" s="14">
        <f t="shared" si="118"/>
        <v>0</v>
      </c>
      <c r="H933" s="24">
        <f t="shared" si="116"/>
        <v>565.25715737358826</v>
      </c>
      <c r="I933" s="12">
        <f t="shared" si="123"/>
        <v>0.28175575427182825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301.72291376844754</v>
      </c>
      <c r="F934" s="37">
        <f t="shared" si="117"/>
        <v>0</v>
      </c>
      <c r="G934" s="14">
        <f t="shared" si="118"/>
        <v>0</v>
      </c>
      <c r="H934" s="24">
        <f t="shared" si="116"/>
        <v>565.35841792548422</v>
      </c>
      <c r="I934" s="12">
        <f t="shared" si="123"/>
        <v>0.28165636098131808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302.00457012942888</v>
      </c>
      <c r="F935" s="37">
        <f t="shared" si="117"/>
        <v>0</v>
      </c>
      <c r="G935" s="14">
        <f t="shared" si="118"/>
        <v>0</v>
      </c>
      <c r="H935" s="24">
        <f t="shared" si="116"/>
        <v>565.45969345324636</v>
      </c>
      <c r="I935" s="12">
        <f t="shared" si="123"/>
        <v>0.2815569629272851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302.2861270923562</v>
      </c>
      <c r="F936" s="37">
        <f t="shared" si="117"/>
        <v>0</v>
      </c>
      <c r="G936" s="14">
        <f t="shared" si="118"/>
        <v>0</v>
      </c>
      <c r="H936" s="24">
        <f t="shared" si="116"/>
        <v>565.56098419896216</v>
      </c>
      <c r="I936" s="12">
        <f t="shared" si="123"/>
        <v>0.28145756016328516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302.56758465251949</v>
      </c>
      <c r="F937" s="37">
        <f t="shared" si="117"/>
        <v>0</v>
      </c>
      <c r="G937" s="14">
        <f t="shared" si="118"/>
        <v>0</v>
      </c>
      <c r="H937" s="24">
        <f t="shared" si="116"/>
        <v>565.66229040412338</v>
      </c>
      <c r="I937" s="12">
        <f t="shared" si="123"/>
        <v>0.28135815274275283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302.84894280526225</v>
      </c>
      <c r="F938" s="37">
        <f t="shared" si="117"/>
        <v>0</v>
      </c>
      <c r="G938" s="14">
        <f t="shared" si="118"/>
        <v>0</v>
      </c>
      <c r="H938" s="24">
        <f t="shared" si="116"/>
        <v>565.76361230962812</v>
      </c>
      <c r="I938" s="12">
        <f t="shared" si="123"/>
        <v>0.28125874071900214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303.13020154598127</v>
      </c>
      <c r="F939" s="37">
        <f t="shared" si="117"/>
        <v>0</v>
      </c>
      <c r="G939" s="14">
        <f t="shared" si="118"/>
        <v>0</v>
      </c>
      <c r="H939" s="24">
        <f t="shared" si="116"/>
        <v>565.86495015577941</v>
      </c>
      <c r="I939" s="12">
        <f t="shared" si="123"/>
        <v>0.28115932414522932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303.41136087012649</v>
      </c>
      <c r="F940" s="37">
        <f t="shared" si="117"/>
        <v>0</v>
      </c>
      <c r="G940" s="14">
        <f t="shared" si="118"/>
        <v>0</v>
      </c>
      <c r="H940" s="24">
        <f t="shared" si="116"/>
        <v>565.9663041822879</v>
      </c>
      <c r="I940" s="12">
        <f t="shared" si="123"/>
        <v>0.28105990307451345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303.69242077320098</v>
      </c>
      <c r="F941" s="37">
        <f t="shared" si="117"/>
        <v>0</v>
      </c>
      <c r="G941" s="14">
        <f t="shared" si="118"/>
        <v>0</v>
      </c>
      <c r="H941" s="24">
        <f t="shared" si="116"/>
        <v>566.06767462827008</v>
      </c>
      <c r="I941" s="12">
        <f t="shared" si="123"/>
        <v>0.28096047755981907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303.97338125076078</v>
      </c>
      <c r="F942" s="37">
        <f t="shared" si="117"/>
        <v>0</v>
      </c>
      <c r="G942" s="14">
        <f t="shared" si="118"/>
        <v>0</v>
      </c>
      <c r="H942" s="24">
        <f t="shared" si="116"/>
        <v>566.16906173225061</v>
      </c>
      <c r="I942" s="12">
        <f t="shared" si="123"/>
        <v>0.28086104765399711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304.25424229841479</v>
      </c>
      <c r="F943" s="37">
        <f t="shared" si="117"/>
        <v>0</v>
      </c>
      <c r="G943" s="14">
        <f t="shared" si="118"/>
        <v>0</v>
      </c>
      <c r="H943" s="24">
        <f t="shared" si="116"/>
        <v>566.27046573216194</v>
      </c>
      <c r="I943" s="12">
        <f t="shared" si="123"/>
        <v>0.28076161340978684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304.53500391182456</v>
      </c>
      <c r="F944" s="37">
        <f t="shared" si="117"/>
        <v>0</v>
      </c>
      <c r="G944" s="14">
        <f t="shared" si="118"/>
        <v>0</v>
      </c>
      <c r="H944" s="24">
        <f t="shared" si="116"/>
        <v>566.37188686534512</v>
      </c>
      <c r="I944" s="12">
        <f t="shared" si="123"/>
        <v>0.28066217487981704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304.81566608670437</v>
      </c>
      <c r="F945" s="37">
        <f t="shared" si="117"/>
        <v>0</v>
      </c>
      <c r="G945" s="14">
        <f t="shared" si="118"/>
        <v>0</v>
      </c>
      <c r="H945" s="24">
        <f t="shared" si="116"/>
        <v>566.47332536855026</v>
      </c>
      <c r="I945" s="12">
        <f t="shared" si="123"/>
        <v>0.28056273211660809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305.09622881882098</v>
      </c>
      <c r="F946" s="37">
        <f t="shared" si="117"/>
        <v>0</v>
      </c>
      <c r="G946" s="14">
        <f t="shared" si="118"/>
        <v>0</v>
      </c>
      <c r="H946" s="24">
        <f t="shared" si="116"/>
        <v>566.57478147793711</v>
      </c>
      <c r="I946" s="12">
        <f t="shared" si="123"/>
        <v>0.28046328517257335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305.37669210399355</v>
      </c>
      <c r="F947" s="37">
        <f t="shared" si="117"/>
        <v>0</v>
      </c>
      <c r="G947" s="14">
        <f t="shared" si="118"/>
        <v>0</v>
      </c>
      <c r="H947" s="24">
        <f t="shared" si="116"/>
        <v>566.67625542907513</v>
      </c>
      <c r="I947" s="12">
        <f t="shared" si="123"/>
        <v>0.2803638341000208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305.65705593809355</v>
      </c>
      <c r="F948" s="37">
        <f t="shared" si="117"/>
        <v>0</v>
      </c>
      <c r="G948" s="14">
        <f t="shared" si="118"/>
        <v>0</v>
      </c>
      <c r="H948" s="24">
        <f t="shared" si="116"/>
        <v>566.77774745694512</v>
      </c>
      <c r="I948" s="12">
        <f t="shared" si="123"/>
        <v>0.28026437895115408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305.93732031704468</v>
      </c>
      <c r="F949" s="37">
        <f t="shared" si="117"/>
        <v>0</v>
      </c>
      <c r="G949" s="14">
        <f t="shared" si="118"/>
        <v>0</v>
      </c>
      <c r="H949" s="24">
        <f t="shared" si="116"/>
        <v>566.87925779593854</v>
      </c>
      <c r="I949" s="12">
        <f t="shared" si="123"/>
        <v>0.28016491977807467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306.21748523682277</v>
      </c>
      <c r="F950" s="37">
        <f t="shared" si="117"/>
        <v>0</v>
      </c>
      <c r="G950" s="14">
        <f t="shared" si="118"/>
        <v>0</v>
      </c>
      <c r="H950" s="24">
        <f t="shared" si="116"/>
        <v>566.98078667985828</v>
      </c>
      <c r="I950" s="12">
        <f t="shared" si="123"/>
        <v>0.28006545663278326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306.49755069345554</v>
      </c>
      <c r="F951" s="37">
        <f t="shared" si="117"/>
        <v>0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567.08233434192039</v>
      </c>
      <c r="I951" s="12">
        <f t="shared" si="123"/>
        <v>0.27996598956718061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306.77751668302272</v>
      </c>
      <c r="F952" s="37">
        <f t="shared" si="117"/>
        <v>0</v>
      </c>
      <c r="G952" s="14">
        <f t="shared" si="118"/>
        <v>0</v>
      </c>
      <c r="H952" s="24">
        <f t="shared" si="124"/>
        <v>567.18390101475256</v>
      </c>
      <c r="I952" s="12">
        <f t="shared" si="123"/>
        <v>0.27986651863306972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307.0573832016558</v>
      </c>
      <c r="F953" s="37">
        <f t="shared" si="117"/>
        <v>0</v>
      </c>
      <c r="G953" s="14">
        <f t="shared" si="118"/>
        <v>0</v>
      </c>
      <c r="H953" s="24">
        <f t="shared" si="124"/>
        <v>567.28548693039659</v>
      </c>
      <c r="I953" s="12">
        <f t="shared" si="123"/>
        <v>0.27976704388215745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307.33715024553794</v>
      </c>
      <c r="F954" s="37">
        <f t="shared" si="117"/>
        <v>0</v>
      </c>
      <c r="G954" s="14">
        <f t="shared" si="118"/>
        <v>0</v>
      </c>
      <c r="H954" s="24">
        <f t="shared" si="124"/>
        <v>567.38709232030737</v>
      </c>
      <c r="I954" s="12">
        <f t="shared" si="123"/>
        <v>0.27966756536605525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307.61681781090402</v>
      </c>
      <c r="F955" s="37">
        <f t="shared" si="117"/>
        <v>0</v>
      </c>
      <c r="G955" s="14">
        <f t="shared" si="118"/>
        <v>0</v>
      </c>
      <c r="H955" s="24">
        <f t="shared" si="124"/>
        <v>567.48871741535504</v>
      </c>
      <c r="I955" s="12">
        <f t="shared" si="123"/>
        <v>0.27956808313628062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307.89638589404029</v>
      </c>
      <c r="F956" s="37">
        <f t="shared" si="117"/>
        <v>0</v>
      </c>
      <c r="G956" s="14">
        <f t="shared" si="118"/>
        <v>0</v>
      </c>
      <c r="H956" s="24">
        <f t="shared" si="124"/>
        <v>567.59036244582364</v>
      </c>
      <c r="I956" s="12">
        <f t="shared" si="123"/>
        <v>0.27946859724425976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308.17585449128455</v>
      </c>
      <c r="F957" s="37">
        <f t="shared" si="117"/>
        <v>0</v>
      </c>
      <c r="G957" s="14">
        <f t="shared" si="118"/>
        <v>0</v>
      </c>
      <c r="H957" s="24">
        <f t="shared" si="124"/>
        <v>567.69202764141323</v>
      </c>
      <c r="I957" s="12">
        <f t="shared" si="123"/>
        <v>0.27936910774132728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308.45522359902589</v>
      </c>
      <c r="F958" s="37">
        <f t="shared" si="117"/>
        <v>0</v>
      </c>
      <c r="G958" s="14">
        <f t="shared" si="118"/>
        <v>0</v>
      </c>
      <c r="H958" s="24">
        <f t="shared" si="124"/>
        <v>567.79371323123974</v>
      </c>
      <c r="I958" s="12">
        <f t="shared" si="123"/>
        <v>0.27926961467872846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308.73449321370464</v>
      </c>
      <c r="F959" s="37">
        <f t="shared" si="117"/>
        <v>0</v>
      </c>
      <c r="G959" s="14">
        <f t="shared" si="118"/>
        <v>0</v>
      </c>
      <c r="H959" s="24">
        <f t="shared" si="124"/>
        <v>567.89541944383529</v>
      </c>
      <c r="I959" s="12">
        <f t="shared" si="123"/>
        <v>0.27917011810762127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309.01366333181227</v>
      </c>
      <c r="F960" s="37">
        <f t="shared" si="117"/>
        <v>0</v>
      </c>
      <c r="G960" s="14">
        <f t="shared" si="118"/>
        <v>0</v>
      </c>
      <c r="H960" s="24">
        <f t="shared" si="124"/>
        <v>567.99714650714918</v>
      </c>
      <c r="I960" s="12">
        <f t="shared" si="123"/>
        <v>0.27907061807907629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309.29273394989133</v>
      </c>
      <c r="F961" s="37">
        <f t="shared" si="117"/>
        <v>0</v>
      </c>
      <c r="G961" s="14">
        <f t="shared" si="118"/>
        <v>0</v>
      </c>
      <c r="H961" s="24">
        <f t="shared" si="124"/>
        <v>568.09889464854848</v>
      </c>
      <c r="I961" s="12">
        <f t="shared" si="123"/>
        <v>0.27897111464407898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309.57170506453542</v>
      </c>
      <c r="F962" s="37">
        <f t="shared" si="117"/>
        <v>0</v>
      </c>
      <c r="G962" s="14">
        <f t="shared" si="118"/>
        <v>0</v>
      </c>
      <c r="H962" s="24">
        <f t="shared" si="124"/>
        <v>568.20066409481808</v>
      </c>
      <c r="I962" s="12">
        <f t="shared" si="123"/>
        <v>0.27887160785353121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309.85057667238897</v>
      </c>
      <c r="F963" s="37">
        <f t="shared" si="117"/>
        <v>0</v>
      </c>
      <c r="G963" s="14">
        <f t="shared" si="118"/>
        <v>0</v>
      </c>
      <c r="H963" s="24">
        <f t="shared" si="124"/>
        <v>568.30245507216159</v>
      </c>
      <c r="I963" s="12">
        <f t="shared" si="123"/>
        <v>0.27877209775825174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310.1293487701472</v>
      </c>
      <c r="F964" s="37">
        <f t="shared" si="117"/>
        <v>0</v>
      </c>
      <c r="G964" s="14">
        <f t="shared" si="118"/>
        <v>0</v>
      </c>
      <c r="H964" s="24">
        <f t="shared" si="124"/>
        <v>568.4042678062018</v>
      </c>
      <c r="I964" s="12">
        <f t="shared" si="123"/>
        <v>0.27867258440897824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310.40802135455618</v>
      </c>
      <c r="F965" s="37">
        <f t="shared" si="117"/>
        <v>0</v>
      </c>
      <c r="G965" s="14">
        <f t="shared" si="118"/>
        <v>0</v>
      </c>
      <c r="H965" s="24">
        <f t="shared" si="124"/>
        <v>568.50610252198135</v>
      </c>
      <c r="I965" s="12">
        <f t="shared" si="123"/>
        <v>0.27857306785636837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310.68659442241255</v>
      </c>
      <c r="F966" s="37">
        <f t="shared" si="117"/>
        <v>0</v>
      </c>
      <c r="G966" s="14">
        <f t="shared" si="118"/>
        <v>0</v>
      </c>
      <c r="H966" s="24">
        <f t="shared" si="124"/>
        <v>568.60795944396284</v>
      </c>
      <c r="I966" s="12">
        <f t="shared" si="123"/>
        <v>0.27847354815100128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310.96506797056355</v>
      </c>
      <c r="F967" s="37">
        <f t="shared" si="117"/>
        <v>0</v>
      </c>
      <c r="G967" s="14">
        <f t="shared" si="118"/>
        <v>0</v>
      </c>
      <c r="H967" s="24">
        <f t="shared" si="124"/>
        <v>568.70983879603</v>
      </c>
      <c r="I967" s="12">
        <f t="shared" si="123"/>
        <v>0.27837402534337846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311.24344199590695</v>
      </c>
      <c r="F968" s="37">
        <f t="shared" si="117"/>
        <v>0</v>
      </c>
      <c r="G968" s="14">
        <f t="shared" si="118"/>
        <v>0</v>
      </c>
      <c r="H968" s="24">
        <f t="shared" si="124"/>
        <v>568.81174080148764</v>
      </c>
      <c r="I968" s="12">
        <f t="shared" si="123"/>
        <v>0.27827449948392513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311.52171649539088</v>
      </c>
      <c r="F969" s="37">
        <f t="shared" si="117"/>
        <v>0</v>
      </c>
      <c r="G969" s="14">
        <f t="shared" si="118"/>
        <v>0</v>
      </c>
      <c r="H969" s="24">
        <f t="shared" si="124"/>
        <v>568.91366568306262</v>
      </c>
      <c r="I969" s="12">
        <f t="shared" si="123"/>
        <v>0.27817497062299212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311.79989146601389</v>
      </c>
      <c r="F970" s="37">
        <f t="shared" si="117"/>
        <v>0</v>
      </c>
      <c r="G970" s="14">
        <f t="shared" si="118"/>
        <v>0</v>
      </c>
      <c r="H970" s="24">
        <f t="shared" si="124"/>
        <v>569.01561366290434</v>
      </c>
      <c r="I970" s="12">
        <f t="shared" si="123"/>
        <v>0.27807543881085578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312.07796690482473</v>
      </c>
      <c r="F971" s="37">
        <f t="shared" si="117"/>
        <v>0</v>
      </c>
      <c r="G971" s="14">
        <f t="shared" si="118"/>
        <v>0</v>
      </c>
      <c r="H971" s="24">
        <f t="shared" si="124"/>
        <v>569.11758496258517</v>
      </c>
      <c r="I971" s="12">
        <f t="shared" si="123"/>
        <v>0.27797590409772066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312.35594280892246</v>
      </c>
      <c r="F972" s="37">
        <f t="shared" si="117"/>
        <v>0</v>
      </c>
      <c r="G972" s="14">
        <f t="shared" si="118"/>
        <v>0</v>
      </c>
      <c r="H972" s="24">
        <f t="shared" si="124"/>
        <v>569.21957980310094</v>
      </c>
      <c r="I972" s="12">
        <f t="shared" si="123"/>
        <v>0.27787636653371994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312.63381917545621</v>
      </c>
      <c r="F973" s="37">
        <f t="shared" si="117"/>
        <v>0</v>
      </c>
      <c r="G973" s="14">
        <f t="shared" si="118"/>
        <v>0</v>
      </c>
      <c r="H973" s="24">
        <f t="shared" si="124"/>
        <v>569.32159840487145</v>
      </c>
      <c r="I973" s="12">
        <f t="shared" si="123"/>
        <v>0.27777682616891669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312.91159600162513</v>
      </c>
      <c r="F974" s="37">
        <f t="shared" si="117"/>
        <v>0</v>
      </c>
      <c r="G974" s="14">
        <f t="shared" si="118"/>
        <v>0</v>
      </c>
      <c r="H974" s="24">
        <f t="shared" si="124"/>
        <v>569.42364098774124</v>
      </c>
      <c r="I974" s="12">
        <f t="shared" si="123"/>
        <v>0.27767728305330519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313.18927328467845</v>
      </c>
      <c r="F975" s="37">
        <f t="shared" si="117"/>
        <v>0</v>
      </c>
      <c r="G975" s="14">
        <f t="shared" si="118"/>
        <v>0</v>
      </c>
      <c r="H975" s="24">
        <f t="shared" si="124"/>
        <v>569.5257077709806</v>
      </c>
      <c r="I975" s="12">
        <f t="shared" si="123"/>
        <v>0.27757773723681201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313.46685102191526</v>
      </c>
      <c r="F976" s="37">
        <f t="shared" si="117"/>
        <v>0</v>
      </c>
      <c r="G976" s="14">
        <f t="shared" si="118"/>
        <v>0</v>
      </c>
      <c r="H976" s="24">
        <f t="shared" si="124"/>
        <v>569.62779897328483</v>
      </c>
      <c r="I976" s="12">
        <f t="shared" si="123"/>
        <v>0.27747818876929742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313.74432921068455</v>
      </c>
      <c r="F977" s="37">
        <f t="shared" si="117"/>
        <v>0</v>
      </c>
      <c r="G977" s="14">
        <f t="shared" si="118"/>
        <v>0</v>
      </c>
      <c r="H977" s="24">
        <f t="shared" si="124"/>
        <v>569.72991481277563</v>
      </c>
      <c r="I977" s="12">
        <f t="shared" si="123"/>
        <v>0.27737863770055626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314.02170784838512</v>
      </c>
      <c r="F978" s="37">
        <f t="shared" si="117"/>
        <v>0</v>
      </c>
      <c r="G978" s="14">
        <f t="shared" si="118"/>
        <v>0</v>
      </c>
      <c r="H978" s="24">
        <f t="shared" si="124"/>
        <v>569.832055507002</v>
      </c>
      <c r="I978" s="12">
        <f t="shared" si="123"/>
        <v>0.27727908408031915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314.29898693246543</v>
      </c>
      <c r="F979" s="37">
        <f t="shared" si="117"/>
        <v>0</v>
      </c>
      <c r="G979" s="14">
        <f t="shared" si="118"/>
        <v>0</v>
      </c>
      <c r="H979" s="24">
        <f t="shared" si="124"/>
        <v>569.93422127294002</v>
      </c>
      <c r="I979" s="12">
        <f t="shared" si="123"/>
        <v>0.27717952795825362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314.57616646042368</v>
      </c>
      <c r="F980" s="37">
        <f t="shared" ref="F980:F1043" si="125">Cp*RhoP/(RhoA*H980)*dp/1000*MassivP</f>
        <v>0</v>
      </c>
      <c r="G980" s="14">
        <f t="shared" ref="G980:G1043" si="126">Phi*EpsilonF*Botzman/10^8*J980*((D980+273)^4-(E980+273)^4)</f>
        <v>0</v>
      </c>
      <c r="H980" s="24">
        <f t="shared" si="124"/>
        <v>570.03641232699397</v>
      </c>
      <c r="I980" s="12">
        <f t="shared" si="123"/>
        <v>0.27707996938396556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314.85324642980765</v>
      </c>
      <c r="F981" s="37">
        <f t="shared" si="125"/>
        <v>0</v>
      </c>
      <c r="G981" s="14">
        <f t="shared" si="126"/>
        <v>0</v>
      </c>
      <c r="H981" s="24">
        <f t="shared" si="124"/>
        <v>570.13862888499648</v>
      </c>
      <c r="I981" s="12">
        <f t="shared" ref="I981:I1044" si="131">LambdaP*MassivP/(dp/1000)/(H981*RhoA)/(1+F981/3)*(D981-E981)*DeltaT-(EXP(F981/10)-1)*(D981-D980)</f>
        <v>0.27698040840699967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315.13022683821464</v>
      </c>
      <c r="F982" s="37">
        <f t="shared" si="125"/>
        <v>0</v>
      </c>
      <c r="G982" s="14">
        <f t="shared" si="126"/>
        <v>0</v>
      </c>
      <c r="H982" s="24">
        <f t="shared" si="124"/>
        <v>570.24087116220937</v>
      </c>
      <c r="I982" s="12">
        <f t="shared" si="131"/>
        <v>0.27688084507684124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315.40710768329149</v>
      </c>
      <c r="F983" s="37">
        <f t="shared" si="125"/>
        <v>0</v>
      </c>
      <c r="G983" s="14">
        <f t="shared" si="126"/>
        <v>0</v>
      </c>
      <c r="H983" s="24">
        <f t="shared" si="124"/>
        <v>570.34313937332399</v>
      </c>
      <c r="I983" s="12">
        <f t="shared" si="131"/>
        <v>0.27678127944291692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315.68388896273439</v>
      </c>
      <c r="F984" s="37">
        <f t="shared" si="125"/>
        <v>0</v>
      </c>
      <c r="G984" s="14">
        <f t="shared" si="126"/>
        <v>0</v>
      </c>
      <c r="H984" s="24">
        <f t="shared" si="124"/>
        <v>570.44543373246222</v>
      </c>
      <c r="I984" s="12">
        <f t="shared" si="131"/>
        <v>0.27668171155459564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315.96057067428899</v>
      </c>
      <c r="F985" s="37">
        <f t="shared" si="125"/>
        <v>0</v>
      </c>
      <c r="G985" s="14">
        <f t="shared" si="126"/>
        <v>0</v>
      </c>
      <c r="H985" s="24">
        <f t="shared" si="124"/>
        <v>570.54775445317648</v>
      </c>
      <c r="I985" s="12">
        <f t="shared" si="131"/>
        <v>0.27658214146118987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316.23715281575016</v>
      </c>
      <c r="F986" s="37">
        <f t="shared" si="125"/>
        <v>0</v>
      </c>
      <c r="G986" s="14">
        <f t="shared" si="126"/>
        <v>0</v>
      </c>
      <c r="H986" s="24">
        <f t="shared" si="124"/>
        <v>570.65010174845042</v>
      </c>
      <c r="I986" s="12">
        <f t="shared" si="131"/>
        <v>0.27648256921195702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316.51363538496213</v>
      </c>
      <c r="F987" s="37">
        <f t="shared" si="125"/>
        <v>0</v>
      </c>
      <c r="G987" s="14">
        <f t="shared" si="126"/>
        <v>0</v>
      </c>
      <c r="H987" s="24">
        <f t="shared" si="124"/>
        <v>570.75247583070006</v>
      </c>
      <c r="I987" s="12">
        <f t="shared" si="131"/>
        <v>0.27638299485609952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316.79001837981821</v>
      </c>
      <c r="F988" s="37">
        <f t="shared" si="125"/>
        <v>0</v>
      </c>
      <c r="G988" s="14">
        <f t="shared" si="126"/>
        <v>0</v>
      </c>
      <c r="H988" s="24">
        <f t="shared" si="124"/>
        <v>570.8548769117732</v>
      </c>
      <c r="I988" s="12">
        <f t="shared" si="131"/>
        <v>0.27628341844276705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317.06630179826095</v>
      </c>
      <c r="F989" s="37">
        <f t="shared" si="125"/>
        <v>0</v>
      </c>
      <c r="G989" s="14">
        <f t="shared" si="126"/>
        <v>0</v>
      </c>
      <c r="H989" s="24">
        <f t="shared" si="124"/>
        <v>570.95730520295137</v>
      </c>
      <c r="I989" s="12">
        <f t="shared" si="131"/>
        <v>0.27618384002105656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317.34248563828203</v>
      </c>
      <c r="F990" s="37">
        <f t="shared" si="125"/>
        <v>0</v>
      </c>
      <c r="G990" s="14">
        <f t="shared" si="126"/>
        <v>0</v>
      </c>
      <c r="H990" s="24">
        <f t="shared" si="124"/>
        <v>571.05976091494927</v>
      </c>
      <c r="I990" s="12">
        <f t="shared" si="131"/>
        <v>0.27608425964001382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317.61856989792204</v>
      </c>
      <c r="F991" s="37">
        <f t="shared" si="125"/>
        <v>0</v>
      </c>
      <c r="G991" s="14">
        <f t="shared" si="126"/>
        <v>0</v>
      </c>
      <c r="H991" s="24">
        <f t="shared" si="124"/>
        <v>571.16224425791586</v>
      </c>
      <c r="I991" s="12">
        <f t="shared" si="131"/>
        <v>0.27598467734863441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317.89455457527066</v>
      </c>
      <c r="F992" s="37">
        <f t="shared" si="125"/>
        <v>0</v>
      </c>
      <c r="G992" s="14">
        <f t="shared" si="126"/>
        <v>0</v>
      </c>
      <c r="H992" s="24">
        <f t="shared" si="124"/>
        <v>571.264755441435</v>
      </c>
      <c r="I992" s="12">
        <f t="shared" si="131"/>
        <v>0.27588509319586457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318.17043966846654</v>
      </c>
      <c r="F993" s="37">
        <f t="shared" si="125"/>
        <v>0</v>
      </c>
      <c r="G993" s="14">
        <f t="shared" si="126"/>
        <v>0</v>
      </c>
      <c r="H993" s="24">
        <f t="shared" si="124"/>
        <v>571.36729467452551</v>
      </c>
      <c r="I993" s="12">
        <f t="shared" si="131"/>
        <v>0.27578550723060208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318.44622517569712</v>
      </c>
      <c r="F994" s="37">
        <f t="shared" si="125"/>
        <v>0</v>
      </c>
      <c r="G994" s="14">
        <f t="shared" si="126"/>
        <v>0</v>
      </c>
      <c r="H994" s="24">
        <f t="shared" si="124"/>
        <v>571.46986216564267</v>
      </c>
      <c r="I994" s="12">
        <f t="shared" si="131"/>
        <v>0.27568591950169735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318.72191109519883</v>
      </c>
      <c r="F995" s="37">
        <f t="shared" si="125"/>
        <v>0</v>
      </c>
      <c r="G995" s="14">
        <f t="shared" si="126"/>
        <v>0</v>
      </c>
      <c r="H995" s="24">
        <f t="shared" si="124"/>
        <v>571.5724581226774</v>
      </c>
      <c r="I995" s="12">
        <f t="shared" si="131"/>
        <v>0.27558633005795452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318.99749742525677</v>
      </c>
      <c r="F996" s="37">
        <f t="shared" si="125"/>
        <v>0</v>
      </c>
      <c r="G996" s="14">
        <f t="shared" si="126"/>
        <v>0</v>
      </c>
      <c r="H996" s="24">
        <f t="shared" si="124"/>
        <v>571.67508275295836</v>
      </c>
      <c r="I996" s="12">
        <f t="shared" si="131"/>
        <v>0.2754867389481323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319.2729841642049</v>
      </c>
      <c r="F997" s="37">
        <f t="shared" si="125"/>
        <v>0</v>
      </c>
      <c r="G997" s="14">
        <f t="shared" si="126"/>
        <v>0</v>
      </c>
      <c r="H997" s="24">
        <f t="shared" si="124"/>
        <v>571.77773626325143</v>
      </c>
      <c r="I997" s="12">
        <f t="shared" si="131"/>
        <v>0.2753871462209449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319.54837131042586</v>
      </c>
      <c r="F998" s="37">
        <f t="shared" si="125"/>
        <v>0</v>
      </c>
      <c r="G998" s="14">
        <f t="shared" si="126"/>
        <v>0</v>
      </c>
      <c r="H998" s="24">
        <f t="shared" si="124"/>
        <v>571.88041885976043</v>
      </c>
      <c r="I998" s="12">
        <f t="shared" si="131"/>
        <v>0.27528755192506282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319.82365886235095</v>
      </c>
      <c r="F999" s="37">
        <f t="shared" si="125"/>
        <v>0</v>
      </c>
      <c r="G999" s="14">
        <f t="shared" si="126"/>
        <v>0</v>
      </c>
      <c r="H999" s="24">
        <f t="shared" si="124"/>
        <v>571.9831307481287</v>
      </c>
      <c r="I999" s="12">
        <f t="shared" si="131"/>
        <v>0.27518795610911367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320.09884681846006</v>
      </c>
      <c r="F1000" s="37">
        <f t="shared" si="125"/>
        <v>0</v>
      </c>
      <c r="G1000" s="14">
        <f t="shared" si="126"/>
        <v>0</v>
      </c>
      <c r="H1000" s="24">
        <f t="shared" si="124"/>
        <v>572.08587213343799</v>
      </c>
      <c r="I1000" s="12">
        <f t="shared" si="131"/>
        <v>0.27508835882168409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320.37393517728174</v>
      </c>
      <c r="F1001" s="37">
        <f t="shared" si="125"/>
        <v>0</v>
      </c>
      <c r="G1001" s="14">
        <f t="shared" si="126"/>
        <v>0</v>
      </c>
      <c r="H1001" s="24">
        <f t="shared" si="124"/>
        <v>572.18864322021045</v>
      </c>
      <c r="I1001" s="12">
        <f t="shared" si="131"/>
        <v>0.27498876011131912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320.64892393739308</v>
      </c>
      <c r="F1002" s="37">
        <f t="shared" si="125"/>
        <v>0</v>
      </c>
      <c r="G1002" s="14">
        <f t="shared" si="126"/>
        <v>0</v>
      </c>
      <c r="H1002" s="24">
        <f t="shared" si="124"/>
        <v>572.29144421240858</v>
      </c>
      <c r="I1002" s="12">
        <f t="shared" si="131"/>
        <v>0.27488916002652408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320.92381309741961</v>
      </c>
      <c r="F1003" s="37">
        <f t="shared" si="125"/>
        <v>0</v>
      </c>
      <c r="G1003" s="14">
        <f t="shared" si="126"/>
        <v>0</v>
      </c>
      <c r="H1003" s="24">
        <f t="shared" si="124"/>
        <v>572.39427531343597</v>
      </c>
      <c r="I1003" s="12">
        <f t="shared" si="131"/>
        <v>0.27478955861576537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321.1986026560354</v>
      </c>
      <c r="F1004" s="37">
        <f t="shared" si="125"/>
        <v>0</v>
      </c>
      <c r="G1004" s="14">
        <f t="shared" si="126"/>
        <v>0</v>
      </c>
      <c r="H1004" s="24">
        <f t="shared" si="124"/>
        <v>572.49713672613746</v>
      </c>
      <c r="I1004" s="12">
        <f t="shared" si="131"/>
        <v>0.27468995592747097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321.4732926119629</v>
      </c>
      <c r="F1005" s="37">
        <f t="shared" si="125"/>
        <v>0</v>
      </c>
      <c r="G1005" s="14">
        <f t="shared" si="126"/>
        <v>0</v>
      </c>
      <c r="H1005" s="24">
        <f t="shared" si="124"/>
        <v>572.6000286528008</v>
      </c>
      <c r="I1005" s="12">
        <f t="shared" si="131"/>
        <v>0.27459035201003168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321.74788296397293</v>
      </c>
      <c r="F1006" s="37">
        <f t="shared" si="125"/>
        <v>0</v>
      </c>
      <c r="G1006" s="14">
        <f t="shared" si="126"/>
        <v>0</v>
      </c>
      <c r="H1006" s="24">
        <f t="shared" si="124"/>
        <v>572.70295129515569</v>
      </c>
      <c r="I1006" s="12">
        <f t="shared" si="131"/>
        <v>0.27449074691180175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322.02237371088472</v>
      </c>
      <c r="F1007" s="37">
        <f t="shared" si="125"/>
        <v>0</v>
      </c>
      <c r="G1007" s="14">
        <f t="shared" si="126"/>
        <v>0</v>
      </c>
      <c r="H1007" s="24">
        <f t="shared" si="124"/>
        <v>572.8059048543754</v>
      </c>
      <c r="I1007" s="12">
        <f t="shared" si="131"/>
        <v>0.27439114068109982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322.2967648515658</v>
      </c>
      <c r="F1008" s="37">
        <f t="shared" si="125"/>
        <v>0</v>
      </c>
      <c r="G1008" s="14">
        <f t="shared" si="126"/>
        <v>0</v>
      </c>
      <c r="H1008" s="24">
        <f t="shared" si="124"/>
        <v>572.90888953107776</v>
      </c>
      <c r="I1008" s="12">
        <f t="shared" si="131"/>
        <v>0.27429153336620959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322.57105638493198</v>
      </c>
      <c r="F1009" s="37">
        <f t="shared" si="125"/>
        <v>0</v>
      </c>
      <c r="G1009" s="14">
        <f t="shared" si="126"/>
        <v>0</v>
      </c>
      <c r="H1009" s="24">
        <f t="shared" si="124"/>
        <v>573.01190552532421</v>
      </c>
      <c r="I1009" s="12">
        <f t="shared" si="131"/>
        <v>0.27419192501538087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322.84524830994735</v>
      </c>
      <c r="F1010" s="37">
        <f t="shared" si="125"/>
        <v>0</v>
      </c>
      <c r="G1010" s="14">
        <f t="shared" si="126"/>
        <v>0</v>
      </c>
      <c r="H1010" s="24">
        <f t="shared" si="124"/>
        <v>573.11495303662196</v>
      </c>
      <c r="I1010" s="12">
        <f t="shared" si="131"/>
        <v>0.27409231567683029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323.1193406256242</v>
      </c>
      <c r="F1011" s="37">
        <f t="shared" si="125"/>
        <v>0</v>
      </c>
      <c r="G1011" s="14">
        <f t="shared" si="126"/>
        <v>0</v>
      </c>
      <c r="H1011" s="24">
        <f t="shared" si="124"/>
        <v>573.21803226392342</v>
      </c>
      <c r="I1011" s="12">
        <f t="shared" si="131"/>
        <v>0.27399270539874226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323.39333333102297</v>
      </c>
      <c r="F1012" s="37">
        <f t="shared" si="125"/>
        <v>0</v>
      </c>
      <c r="G1012" s="14">
        <f t="shared" si="126"/>
        <v>0</v>
      </c>
      <c r="H1012" s="24">
        <f t="shared" si="124"/>
        <v>573.32114340562748</v>
      </c>
      <c r="I1012" s="12">
        <f t="shared" si="131"/>
        <v>0.27389309422926922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323.66722642525224</v>
      </c>
      <c r="F1013" s="37">
        <f t="shared" si="125"/>
        <v>0</v>
      </c>
      <c r="G1013" s="14">
        <f t="shared" si="126"/>
        <v>0</v>
      </c>
      <c r="H1013" s="24">
        <f t="shared" si="124"/>
        <v>573.42428665958005</v>
      </c>
      <c r="I1013" s="12">
        <f t="shared" si="131"/>
        <v>0.27379348221653327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323.94101990746879</v>
      </c>
      <c r="F1014" s="37">
        <f t="shared" si="125"/>
        <v>0</v>
      </c>
      <c r="G1014" s="14">
        <f t="shared" si="126"/>
        <v>0</v>
      </c>
      <c r="H1014" s="24">
        <f t="shared" si="124"/>
        <v>573.52746222307394</v>
      </c>
      <c r="I1014" s="12">
        <f t="shared" si="131"/>
        <v>0.27369386940862628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324.21471377687743</v>
      </c>
      <c r="F1015" s="37">
        <f t="shared" si="125"/>
        <v>0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573.63067029285025</v>
      </c>
      <c r="I1015" s="12">
        <f t="shared" si="131"/>
        <v>0.27359425585361091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324.48830803273103</v>
      </c>
      <c r="F1016" s="37">
        <f t="shared" si="125"/>
        <v>0</v>
      </c>
      <c r="G1016" s="14">
        <f t="shared" si="126"/>
        <v>0</v>
      </c>
      <c r="H1016" s="24">
        <f t="shared" si="132"/>
        <v>573.73391106509882</v>
      </c>
      <c r="I1016" s="12">
        <f t="shared" si="131"/>
        <v>0.27349464159952158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324.76180267433057</v>
      </c>
      <c r="F1017" s="37">
        <f t="shared" si="125"/>
        <v>0</v>
      </c>
      <c r="G1017" s="14">
        <f t="shared" si="126"/>
        <v>0</v>
      </c>
      <c r="H1017" s="24">
        <f t="shared" si="132"/>
        <v>573.83718473545878</v>
      </c>
      <c r="I1017" s="12">
        <f t="shared" si="131"/>
        <v>0.27339502669436433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325.03519770102491</v>
      </c>
      <c r="F1018" s="37">
        <f t="shared" si="125"/>
        <v>0</v>
      </c>
      <c r="G1018" s="14">
        <f t="shared" si="126"/>
        <v>0</v>
      </c>
      <c r="H1018" s="24">
        <f t="shared" si="132"/>
        <v>573.94049149901821</v>
      </c>
      <c r="I1018" s="12">
        <f t="shared" si="131"/>
        <v>0.27329541118611927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325.30849311221101</v>
      </c>
      <c r="F1019" s="37">
        <f t="shared" si="125"/>
        <v>0</v>
      </c>
      <c r="G1019" s="14">
        <f t="shared" si="126"/>
        <v>0</v>
      </c>
      <c r="H1019" s="24">
        <f t="shared" si="132"/>
        <v>574.04383155031644</v>
      </c>
      <c r="I1019" s="12">
        <f t="shared" si="131"/>
        <v>0.27319579512273934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325.58168890733373</v>
      </c>
      <c r="F1020" s="37">
        <f t="shared" si="125"/>
        <v>0</v>
      </c>
      <c r="G1020" s="14">
        <f t="shared" si="126"/>
        <v>0</v>
      </c>
      <c r="H1020" s="24">
        <f t="shared" si="132"/>
        <v>574.14720508334358</v>
      </c>
      <c r="I1020" s="12">
        <f t="shared" si="131"/>
        <v>0.27309617855215235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325.85478508588591</v>
      </c>
      <c r="F1021" s="37">
        <f t="shared" si="125"/>
        <v>0</v>
      </c>
      <c r="G1021" s="14">
        <f t="shared" si="126"/>
        <v>0</v>
      </c>
      <c r="H1021" s="24">
        <f t="shared" si="132"/>
        <v>574.25061229154073</v>
      </c>
      <c r="I1021" s="12">
        <f t="shared" si="131"/>
        <v>0.27299656152226154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326.12778164740814</v>
      </c>
      <c r="F1022" s="37">
        <f t="shared" si="125"/>
        <v>0</v>
      </c>
      <c r="G1022" s="14">
        <f t="shared" si="126"/>
        <v>0</v>
      </c>
      <c r="H1022" s="24">
        <f t="shared" si="132"/>
        <v>574.35405336780207</v>
      </c>
      <c r="I1022" s="12">
        <f t="shared" si="131"/>
        <v>0.27289694408094545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326.40067859148911</v>
      </c>
      <c r="F1023" s="37">
        <f t="shared" si="125"/>
        <v>0</v>
      </c>
      <c r="G1023" s="14">
        <f t="shared" si="126"/>
        <v>0</v>
      </c>
      <c r="H1023" s="24">
        <f t="shared" si="132"/>
        <v>574.4575285044732</v>
      </c>
      <c r="I1023" s="12">
        <f t="shared" si="131"/>
        <v>0.27279732627606001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326.67347591776519</v>
      </c>
      <c r="F1024" s="37">
        <f t="shared" si="125"/>
        <v>0</v>
      </c>
      <c r="G1024" s="14">
        <f t="shared" si="126"/>
        <v>0</v>
      </c>
      <c r="H1024" s="24">
        <f t="shared" si="132"/>
        <v>574.56103789335441</v>
      </c>
      <c r="I1024" s="12">
        <f t="shared" si="131"/>
        <v>0.27269770815543776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326.94617362592061</v>
      </c>
      <c r="F1025" s="37">
        <f t="shared" si="125"/>
        <v>0</v>
      </c>
      <c r="G1025" s="14">
        <f t="shared" si="126"/>
        <v>0</v>
      </c>
      <c r="H1025" s="24">
        <f t="shared" si="132"/>
        <v>574.66458172569867</v>
      </c>
      <c r="I1025" s="12">
        <f t="shared" si="131"/>
        <v>0.27259808976688982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327.21877171568752</v>
      </c>
      <c r="F1026" s="37">
        <f t="shared" si="125"/>
        <v>0</v>
      </c>
      <c r="G1026" s="14">
        <f t="shared" si="126"/>
        <v>0</v>
      </c>
      <c r="H1026" s="24">
        <f t="shared" si="132"/>
        <v>574.7681601922144</v>
      </c>
      <c r="I1026" s="12">
        <f t="shared" si="131"/>
        <v>0.27249847115820564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327.49127018684572</v>
      </c>
      <c r="F1027" s="37">
        <f t="shared" si="125"/>
        <v>0</v>
      </c>
      <c r="G1027" s="14">
        <f t="shared" si="126"/>
        <v>0</v>
      </c>
      <c r="H1027" s="24">
        <f t="shared" si="132"/>
        <v>574.87177348306443</v>
      </c>
      <c r="I1027" s="12">
        <f t="shared" si="131"/>
        <v>0.27239885237715405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327.76366903922286</v>
      </c>
      <c r="F1028" s="37">
        <f t="shared" si="125"/>
        <v>0</v>
      </c>
      <c r="G1028" s="14">
        <f t="shared" si="126"/>
        <v>0</v>
      </c>
      <c r="H1028" s="24">
        <f t="shared" si="132"/>
        <v>574.97542178786762</v>
      </c>
      <c r="I1028" s="12">
        <f t="shared" si="131"/>
        <v>0.27229923347148416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328.03596827269433</v>
      </c>
      <c r="F1029" s="37">
        <f t="shared" si="125"/>
        <v>0</v>
      </c>
      <c r="G1029" s="14">
        <f t="shared" si="126"/>
        <v>0</v>
      </c>
      <c r="H1029" s="24">
        <f t="shared" si="132"/>
        <v>575.07910529569915</v>
      </c>
      <c r="I1029" s="12">
        <f t="shared" si="131"/>
        <v>0.27219961448892521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328.30816788718323</v>
      </c>
      <c r="F1030" s="37">
        <f t="shared" si="125"/>
        <v>0</v>
      </c>
      <c r="G1030" s="14">
        <f t="shared" si="126"/>
        <v>0</v>
      </c>
      <c r="H1030" s="24">
        <f t="shared" si="132"/>
        <v>575.18282419509092</v>
      </c>
      <c r="I1030" s="12">
        <f t="shared" si="131"/>
        <v>0.27209999547718827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328.58026788266039</v>
      </c>
      <c r="F1031" s="37">
        <f t="shared" si="125"/>
        <v>0</v>
      </c>
      <c r="G1031" s="14">
        <f t="shared" si="126"/>
        <v>0</v>
      </c>
      <c r="H1031" s="24">
        <f t="shared" si="132"/>
        <v>575.28657867403206</v>
      </c>
      <c r="I1031" s="12">
        <f t="shared" si="131"/>
        <v>0.27200037648396636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328.85226825914435</v>
      </c>
      <c r="F1032" s="37">
        <f t="shared" si="125"/>
        <v>0</v>
      </c>
      <c r="G1032" s="14">
        <f t="shared" si="126"/>
        <v>0</v>
      </c>
      <c r="H1032" s="24">
        <f t="shared" si="132"/>
        <v>575.39036891997034</v>
      </c>
      <c r="I1032" s="12">
        <f t="shared" si="131"/>
        <v>0.27190075755693438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329.12416901670127</v>
      </c>
      <c r="F1033" s="37">
        <f t="shared" si="125"/>
        <v>0</v>
      </c>
      <c r="G1033" s="14">
        <f t="shared" si="126"/>
        <v>0</v>
      </c>
      <c r="H1033" s="24">
        <f t="shared" si="132"/>
        <v>575.49419511981159</v>
      </c>
      <c r="I1033" s="12">
        <f t="shared" si="131"/>
        <v>0.2718011387437515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329.39597015544501</v>
      </c>
      <c r="F1034" s="37">
        <f t="shared" si="125"/>
        <v>0</v>
      </c>
      <c r="G1034" s="14">
        <f t="shared" si="126"/>
        <v>0</v>
      </c>
      <c r="H1034" s="24">
        <f t="shared" si="132"/>
        <v>575.59805745992139</v>
      </c>
      <c r="I1034" s="12">
        <f t="shared" si="131"/>
        <v>0.27170152009205961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329.66767167553706</v>
      </c>
      <c r="F1035" s="37">
        <f t="shared" si="125"/>
        <v>0</v>
      </c>
      <c r="G1035" s="14">
        <f t="shared" si="126"/>
        <v>0</v>
      </c>
      <c r="H1035" s="24">
        <f t="shared" si="132"/>
        <v>575.70195612612497</v>
      </c>
      <c r="I1035" s="12">
        <f t="shared" si="131"/>
        <v>0.27160190164948572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329.93927357718655</v>
      </c>
      <c r="F1036" s="37">
        <f t="shared" si="125"/>
        <v>0</v>
      </c>
      <c r="G1036" s="14">
        <f t="shared" si="126"/>
        <v>0</v>
      </c>
      <c r="H1036" s="24">
        <f t="shared" si="132"/>
        <v>575.80589130370788</v>
      </c>
      <c r="I1036" s="12">
        <f t="shared" si="131"/>
        <v>0.27150228346364175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330.21077586065019</v>
      </c>
      <c r="F1037" s="37">
        <f t="shared" si="125"/>
        <v>0</v>
      </c>
      <c r="G1037" s="14">
        <f t="shared" si="126"/>
        <v>0</v>
      </c>
      <c r="H1037" s="24">
        <f t="shared" si="132"/>
        <v>575.90986317741692</v>
      </c>
      <c r="I1037" s="12">
        <f t="shared" si="131"/>
        <v>0.27140266558212517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330.4821785262323</v>
      </c>
      <c r="F1038" s="37">
        <f t="shared" si="125"/>
        <v>0</v>
      </c>
      <c r="G1038" s="14">
        <f t="shared" si="126"/>
        <v>0</v>
      </c>
      <c r="H1038" s="24">
        <f t="shared" si="132"/>
        <v>576.01387193146047</v>
      </c>
      <c r="I1038" s="12">
        <f t="shared" si="131"/>
        <v>0.27130304805251948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330.75348157428482</v>
      </c>
      <c r="F1039" s="37">
        <f t="shared" si="125"/>
        <v>0</v>
      </c>
      <c r="G1039" s="14">
        <f t="shared" si="126"/>
        <v>0</v>
      </c>
      <c r="H1039" s="24">
        <f t="shared" si="132"/>
        <v>576.11791774950916</v>
      </c>
      <c r="I1039" s="12">
        <f t="shared" si="131"/>
        <v>0.27120343092239507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331.02468500520723</v>
      </c>
      <c r="F1040" s="37">
        <f t="shared" si="125"/>
        <v>0</v>
      </c>
      <c r="G1040" s="14">
        <f t="shared" si="126"/>
        <v>0</v>
      </c>
      <c r="H1040" s="24">
        <f t="shared" si="132"/>
        <v>576.22200081469646</v>
      </c>
      <c r="I1040" s="12">
        <f t="shared" si="131"/>
        <v>0.27110381423930985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331.29578881944656</v>
      </c>
      <c r="F1041" s="37">
        <f t="shared" si="125"/>
        <v>0</v>
      </c>
      <c r="G1041" s="14">
        <f t="shared" si="126"/>
        <v>0</v>
      </c>
      <c r="H1041" s="24">
        <f t="shared" si="132"/>
        <v>576.32612130961957</v>
      </c>
      <c r="I1041" s="12">
        <f t="shared" si="131"/>
        <v>0.27100419805080928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331.56679301749739</v>
      </c>
      <c r="F1042" s="37">
        <f t="shared" si="125"/>
        <v>0</v>
      </c>
      <c r="G1042" s="14">
        <f t="shared" si="126"/>
        <v>0</v>
      </c>
      <c r="H1042" s="24">
        <f t="shared" si="132"/>
        <v>576.43027941633932</v>
      </c>
      <c r="I1042" s="12">
        <f t="shared" si="131"/>
        <v>0.27090458240442766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331.83769759990184</v>
      </c>
      <c r="F1043" s="37">
        <f t="shared" si="125"/>
        <v>0</v>
      </c>
      <c r="G1043" s="14">
        <f t="shared" si="126"/>
        <v>0</v>
      </c>
      <c r="H1043" s="24">
        <f t="shared" si="132"/>
        <v>576.53447531638153</v>
      </c>
      <c r="I1043" s="12">
        <f t="shared" si="131"/>
        <v>0.27080496734768772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332.10850256724956</v>
      </c>
      <c r="F1044" s="37">
        <f t="shared" ref="F1044:F1107" si="133">Cp*RhoP/(RhoA*H1044)*dp/1000*MassivP</f>
        <v>0</v>
      </c>
      <c r="G1044" s="14">
        <f t="shared" ref="G1044:G1107" si="134">Phi*EpsilonF*Botzman/10^8*J1044*((D1044+273)^4-(E1044+273)^4)</f>
        <v>0</v>
      </c>
      <c r="H1044" s="24">
        <f t="shared" si="132"/>
        <v>576.63870919073702</v>
      </c>
      <c r="I1044" s="12">
        <f t="shared" si="131"/>
        <v>0.27070535292810255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332.37920792017763</v>
      </c>
      <c r="F1045" s="37">
        <f t="shared" si="133"/>
        <v>0</v>
      </c>
      <c r="G1045" s="14">
        <f t="shared" si="134"/>
        <v>0</v>
      </c>
      <c r="H1045" s="24">
        <f t="shared" si="132"/>
        <v>576.74298121986305</v>
      </c>
      <c r="I1045" s="12">
        <f t="shared" ref="I1045:I1108" si="139">LambdaP*MassivP/(dp/1000)/(H1045*RhoA)/(1+F1045/3)*(D1045-E1045)*DeltaT-(EXP(F1045/10)-1)*(D1045-D1044)</f>
        <v>0.27060573919317443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332.64981365937081</v>
      </c>
      <c r="F1046" s="37">
        <f t="shared" si="133"/>
        <v>0</v>
      </c>
      <c r="G1046" s="14">
        <f t="shared" si="134"/>
        <v>0</v>
      </c>
      <c r="H1046" s="24">
        <f t="shared" si="132"/>
        <v>576.84729158368259</v>
      </c>
      <c r="I1046" s="12">
        <f t="shared" si="139"/>
        <v>0.27050612619039699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332.92031978556122</v>
      </c>
      <c r="F1047" s="37">
        <f t="shared" si="133"/>
        <v>0</v>
      </c>
      <c r="G1047" s="14">
        <f t="shared" si="134"/>
        <v>0</v>
      </c>
      <c r="H1047" s="24">
        <f t="shared" si="132"/>
        <v>576.95164046158629</v>
      </c>
      <c r="I1047" s="12">
        <f t="shared" si="139"/>
        <v>0.27040651396725435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333.19072629952848</v>
      </c>
      <c r="F1048" s="37">
        <f t="shared" si="133"/>
        <v>0</v>
      </c>
      <c r="G1048" s="14">
        <f t="shared" si="134"/>
        <v>0</v>
      </c>
      <c r="H1048" s="24">
        <f t="shared" si="132"/>
        <v>577.0560280324321</v>
      </c>
      <c r="I1048" s="12">
        <f t="shared" si="139"/>
        <v>0.27030690257122297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333.46103320209971</v>
      </c>
      <c r="F1049" s="37">
        <f t="shared" si="133"/>
        <v>0</v>
      </c>
      <c r="G1049" s="14">
        <f t="shared" si="134"/>
        <v>0</v>
      </c>
      <c r="H1049" s="24">
        <f t="shared" si="132"/>
        <v>577.16045447454678</v>
      </c>
      <c r="I1049" s="12">
        <f t="shared" si="139"/>
        <v>0.27020729204977056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333.73124049414946</v>
      </c>
      <c r="F1050" s="37">
        <f t="shared" si="133"/>
        <v>0</v>
      </c>
      <c r="G1050" s="14">
        <f t="shared" si="134"/>
        <v>0</v>
      </c>
      <c r="H1050" s="24">
        <f t="shared" si="132"/>
        <v>577.26491996572554</v>
      </c>
      <c r="I1050" s="12">
        <f t="shared" si="139"/>
        <v>0.27010768245035838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334.00134817659983</v>
      </c>
      <c r="F1051" s="37">
        <f t="shared" si="133"/>
        <v>0</v>
      </c>
      <c r="G1051" s="14">
        <f t="shared" si="134"/>
        <v>0</v>
      </c>
      <c r="H1051" s="24">
        <f t="shared" si="132"/>
        <v>577.36942468323332</v>
      </c>
      <c r="I1051" s="12">
        <f t="shared" si="139"/>
        <v>0.2700080738204399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334.2713562504203</v>
      </c>
      <c r="F1052" s="37">
        <f t="shared" si="133"/>
        <v>0</v>
      </c>
      <c r="G1052" s="14">
        <f t="shared" si="134"/>
        <v>0</v>
      </c>
      <c r="H1052" s="24">
        <f t="shared" si="132"/>
        <v>577.47396880380484</v>
      </c>
      <c r="I1052" s="12">
        <f t="shared" si="139"/>
        <v>0.26990846620746323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334.54126471662778</v>
      </c>
      <c r="F1053" s="37">
        <f t="shared" si="133"/>
        <v>0</v>
      </c>
      <c r="G1053" s="14">
        <f t="shared" si="134"/>
        <v>0</v>
      </c>
      <c r="H1053" s="24">
        <f t="shared" si="132"/>
        <v>577.57855250364639</v>
      </c>
      <c r="I1053" s="12">
        <f t="shared" si="139"/>
        <v>0.26980885965886947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334.81107357628667</v>
      </c>
      <c r="F1054" s="37">
        <f t="shared" si="133"/>
        <v>0</v>
      </c>
      <c r="G1054" s="14">
        <f t="shared" si="134"/>
        <v>0</v>
      </c>
      <c r="H1054" s="24">
        <f t="shared" si="132"/>
        <v>577.68317595843473</v>
      </c>
      <c r="I1054" s="12">
        <f t="shared" si="139"/>
        <v>0.26970925422209535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335.08078283050878</v>
      </c>
      <c r="F1055" s="37">
        <f t="shared" si="133"/>
        <v>0</v>
      </c>
      <c r="G1055" s="14">
        <f t="shared" si="134"/>
        <v>0</v>
      </c>
      <c r="H1055" s="24">
        <f t="shared" si="132"/>
        <v>577.78783934331921</v>
      </c>
      <c r="I1055" s="12">
        <f t="shared" si="139"/>
        <v>0.26960964994457154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335.35039248045337</v>
      </c>
      <c r="F1056" s="37">
        <f t="shared" si="133"/>
        <v>0</v>
      </c>
      <c r="G1056" s="14">
        <f t="shared" si="134"/>
        <v>0</v>
      </c>
      <c r="H1056" s="24">
        <f t="shared" si="132"/>
        <v>577.89254283292121</v>
      </c>
      <c r="I1056" s="12">
        <f t="shared" si="139"/>
        <v>0.26951004687372526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335.6199025273271</v>
      </c>
      <c r="F1057" s="37">
        <f t="shared" si="133"/>
        <v>0</v>
      </c>
      <c r="G1057" s="14">
        <f t="shared" si="134"/>
        <v>0</v>
      </c>
      <c r="H1057" s="24">
        <f t="shared" si="132"/>
        <v>577.99728660133553</v>
      </c>
      <c r="I1057" s="12">
        <f t="shared" si="139"/>
        <v>0.26941044505697886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335.88931297238406</v>
      </c>
      <c r="F1058" s="37">
        <f t="shared" si="133"/>
        <v>0</v>
      </c>
      <c r="G1058" s="14">
        <f t="shared" si="134"/>
        <v>0</v>
      </c>
      <c r="H1058" s="24">
        <f t="shared" si="132"/>
        <v>578.10207082213105</v>
      </c>
      <c r="I1058" s="12">
        <f t="shared" si="139"/>
        <v>0.26931084454175142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336.1586238169258</v>
      </c>
      <c r="F1059" s="37">
        <f t="shared" si="133"/>
        <v>0</v>
      </c>
      <c r="G1059" s="14">
        <f t="shared" si="134"/>
        <v>0</v>
      </c>
      <c r="H1059" s="24">
        <f t="shared" si="132"/>
        <v>578.20689566835097</v>
      </c>
      <c r="I1059" s="12">
        <f t="shared" si="139"/>
        <v>0.26921124537545882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336.42783506230126</v>
      </c>
      <c r="F1060" s="37">
        <f t="shared" si="133"/>
        <v>0</v>
      </c>
      <c r="G1060" s="14">
        <f t="shared" si="134"/>
        <v>0</v>
      </c>
      <c r="H1060" s="24">
        <f t="shared" si="132"/>
        <v>578.311761312513</v>
      </c>
      <c r="I1060" s="12">
        <f t="shared" si="139"/>
        <v>0.26911164760551409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336.6969467099068</v>
      </c>
      <c r="F1061" s="37">
        <f t="shared" si="133"/>
        <v>0</v>
      </c>
      <c r="G1061" s="14">
        <f t="shared" si="134"/>
        <v>0</v>
      </c>
      <c r="H1061" s="24">
        <f t="shared" si="132"/>
        <v>578.41666792661113</v>
      </c>
      <c r="I1061" s="12">
        <f t="shared" si="139"/>
        <v>0.26901205127932809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336.96595876118613</v>
      </c>
      <c r="F1062" s="37">
        <f t="shared" si="133"/>
        <v>0</v>
      </c>
      <c r="G1062" s="14">
        <f t="shared" si="134"/>
        <v>0</v>
      </c>
      <c r="H1062" s="24">
        <f t="shared" si="132"/>
        <v>578.52161568211511</v>
      </c>
      <c r="I1062" s="12">
        <f t="shared" si="139"/>
        <v>0.26891245644430956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337.23487121763043</v>
      </c>
      <c r="F1063" s="37">
        <f t="shared" si="133"/>
        <v>0</v>
      </c>
      <c r="G1063" s="14">
        <f t="shared" si="134"/>
        <v>0</v>
      </c>
      <c r="H1063" s="24">
        <f t="shared" si="132"/>
        <v>578.6266047499721</v>
      </c>
      <c r="I1063" s="12">
        <f t="shared" si="139"/>
        <v>0.26881286314786595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337.50368408077827</v>
      </c>
      <c r="F1064" s="37">
        <f t="shared" si="133"/>
        <v>0</v>
      </c>
      <c r="G1064" s="14">
        <f t="shared" si="134"/>
        <v>0</v>
      </c>
      <c r="H1064" s="24">
        <f t="shared" si="132"/>
        <v>578.73163530060606</v>
      </c>
      <c r="I1064" s="12">
        <f t="shared" si="139"/>
        <v>0.26871327143740376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337.77239735221565</v>
      </c>
      <c r="F1065" s="37">
        <f t="shared" si="133"/>
        <v>0</v>
      </c>
      <c r="G1065" s="14">
        <f t="shared" si="134"/>
        <v>0</v>
      </c>
      <c r="H1065" s="24">
        <f t="shared" si="132"/>
        <v>578.8367075039198</v>
      </c>
      <c r="I1065" s="12">
        <f t="shared" si="139"/>
        <v>0.26861368136032826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338.04101103357596</v>
      </c>
      <c r="F1066" s="37">
        <f t="shared" si="133"/>
        <v>0</v>
      </c>
      <c r="G1066" s="14">
        <f t="shared" si="134"/>
        <v>0</v>
      </c>
      <c r="H1066" s="24">
        <f t="shared" si="132"/>
        <v>578.9418215292942</v>
      </c>
      <c r="I1066" s="12">
        <f t="shared" si="139"/>
        <v>0.26851409296404499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338.30952512654</v>
      </c>
      <c r="F1067" s="37">
        <f t="shared" si="133"/>
        <v>0</v>
      </c>
      <c r="G1067" s="14">
        <f t="shared" si="134"/>
        <v>0</v>
      </c>
      <c r="H1067" s="24">
        <f t="shared" si="132"/>
        <v>579.04697754559004</v>
      </c>
      <c r="I1067" s="12">
        <f t="shared" si="139"/>
        <v>0.26841450629595931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338.57793963283598</v>
      </c>
      <c r="F1068" s="37">
        <f t="shared" si="133"/>
        <v>0</v>
      </c>
      <c r="G1068" s="14">
        <f t="shared" si="134"/>
        <v>0</v>
      </c>
      <c r="H1068" s="24">
        <f t="shared" si="132"/>
        <v>579.1521757211475</v>
      </c>
      <c r="I1068" s="12">
        <f t="shared" si="139"/>
        <v>0.26831492140347718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338.84625455423947</v>
      </c>
      <c r="F1069" s="37">
        <f t="shared" si="133"/>
        <v>0</v>
      </c>
      <c r="G1069" s="14">
        <f t="shared" si="134"/>
        <v>0</v>
      </c>
      <c r="H1069" s="24">
        <f t="shared" si="132"/>
        <v>579.25741622378769</v>
      </c>
      <c r="I1069" s="12">
        <f t="shared" si="139"/>
        <v>0.26821533833400546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339.11446989257348</v>
      </c>
      <c r="F1070" s="37">
        <f t="shared" si="133"/>
        <v>0</v>
      </c>
      <c r="G1070" s="14">
        <f t="shared" si="134"/>
        <v>0</v>
      </c>
      <c r="H1070" s="24">
        <f t="shared" si="132"/>
        <v>579.36269922081283</v>
      </c>
      <c r="I1070" s="12">
        <f t="shared" si="139"/>
        <v>0.26811575713495206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339.38258564970846</v>
      </c>
      <c r="F1071" s="37">
        <f t="shared" si="133"/>
        <v>0</v>
      </c>
      <c r="G1071" s="14">
        <f t="shared" si="134"/>
        <v>0</v>
      </c>
      <c r="H1071" s="24">
        <f t="shared" si="132"/>
        <v>579.4680248790072</v>
      </c>
      <c r="I1071" s="12">
        <f t="shared" si="139"/>
        <v>0.26801617785372667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339.65060182756218</v>
      </c>
      <c r="F1072" s="37">
        <f t="shared" si="133"/>
        <v>0</v>
      </c>
      <c r="G1072" s="14">
        <f t="shared" si="134"/>
        <v>0</v>
      </c>
      <c r="H1072" s="24">
        <f t="shared" si="132"/>
        <v>579.5733933646369</v>
      </c>
      <c r="I1072" s="12">
        <f t="shared" si="139"/>
        <v>0.26791660053774097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339.9185184280999</v>
      </c>
      <c r="F1073" s="37">
        <f t="shared" si="133"/>
        <v>0</v>
      </c>
      <c r="G1073" s="14">
        <f t="shared" si="134"/>
        <v>0</v>
      </c>
      <c r="H1073" s="24">
        <f t="shared" si="132"/>
        <v>579.67880484345153</v>
      </c>
      <c r="I1073" s="12">
        <f t="shared" si="139"/>
        <v>0.26781702523440887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340.18633545333432</v>
      </c>
      <c r="F1074" s="37">
        <f t="shared" si="133"/>
        <v>0</v>
      </c>
      <c r="G1074" s="14">
        <f t="shared" si="134"/>
        <v>0</v>
      </c>
      <c r="H1074" s="24">
        <f t="shared" si="132"/>
        <v>579.78425948068434</v>
      </c>
      <c r="I1074" s="12">
        <f t="shared" si="139"/>
        <v>0.26771745199114688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340.45405290532545</v>
      </c>
      <c r="F1075" s="37">
        <f t="shared" si="133"/>
        <v>0</v>
      </c>
      <c r="G1075" s="14">
        <f t="shared" si="134"/>
        <v>0</v>
      </c>
      <c r="H1075" s="24">
        <f t="shared" si="132"/>
        <v>579.88975744105289</v>
      </c>
      <c r="I1075" s="12">
        <f t="shared" si="139"/>
        <v>0.26761788085537452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340.72167078618082</v>
      </c>
      <c r="F1076" s="37">
        <f t="shared" si="133"/>
        <v>0</v>
      </c>
      <c r="G1076" s="14">
        <f t="shared" si="134"/>
        <v>0</v>
      </c>
      <c r="H1076" s="24">
        <f t="shared" si="132"/>
        <v>579.99529888875952</v>
      </c>
      <c r="I1076" s="12">
        <f t="shared" si="139"/>
        <v>0.26751831187451497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340.98918909805536</v>
      </c>
      <c r="F1077" s="37">
        <f t="shared" si="133"/>
        <v>0</v>
      </c>
      <c r="G1077" s="14">
        <f t="shared" si="134"/>
        <v>0</v>
      </c>
      <c r="H1077" s="24">
        <f t="shared" si="132"/>
        <v>580.10088398749224</v>
      </c>
      <c r="I1077" s="12">
        <f t="shared" si="139"/>
        <v>0.26741874509599467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341.25660784315136</v>
      </c>
      <c r="F1078" s="37">
        <f t="shared" si="133"/>
        <v>0</v>
      </c>
      <c r="G1078" s="14">
        <f t="shared" si="134"/>
        <v>0</v>
      </c>
      <c r="H1078" s="24">
        <f t="shared" si="132"/>
        <v>580.20651290042508</v>
      </c>
      <c r="I1078" s="12">
        <f t="shared" si="139"/>
        <v>0.2673191805672443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341.52392702371861</v>
      </c>
      <c r="F1079" s="37">
        <f t="shared" si="133"/>
        <v>0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580.3121857902189</v>
      </c>
      <c r="I1079" s="12">
        <f t="shared" si="139"/>
        <v>0.26721961833569879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341.79114664205429</v>
      </c>
      <c r="F1080" s="37">
        <f t="shared" si="133"/>
        <v>0</v>
      </c>
      <c r="G1080" s="14">
        <f t="shared" si="134"/>
        <v>0</v>
      </c>
      <c r="H1080" s="24">
        <f t="shared" si="140"/>
        <v>580.41790281902183</v>
      </c>
      <c r="I1080" s="12">
        <f t="shared" si="139"/>
        <v>0.26712005844879805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342.05826670050311</v>
      </c>
      <c r="F1081" s="37">
        <f t="shared" si="133"/>
        <v>0</v>
      </c>
      <c r="G1081" s="14">
        <f t="shared" si="134"/>
        <v>0</v>
      </c>
      <c r="H1081" s="24">
        <f t="shared" si="140"/>
        <v>580.52366414847074</v>
      </c>
      <c r="I1081" s="12">
        <f t="shared" si="139"/>
        <v>0.267020500953986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342.32528720145712</v>
      </c>
      <c r="F1082" s="37">
        <f t="shared" si="133"/>
        <v>0</v>
      </c>
      <c r="G1082" s="14">
        <f t="shared" si="134"/>
        <v>0</v>
      </c>
      <c r="H1082" s="24">
        <f t="shared" si="140"/>
        <v>580.62946993969035</v>
      </c>
      <c r="I1082" s="12">
        <f t="shared" si="139"/>
        <v>0.26692094589871274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342.59220814735585</v>
      </c>
      <c r="F1083" s="37">
        <f t="shared" si="133"/>
        <v>0</v>
      </c>
      <c r="G1083" s="14">
        <f t="shared" si="134"/>
        <v>0</v>
      </c>
      <c r="H1083" s="24">
        <f t="shared" si="140"/>
        <v>580.73532035329481</v>
      </c>
      <c r="I1083" s="12">
        <f t="shared" si="139"/>
        <v>0.26682139333043386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342.85902954068627</v>
      </c>
      <c r="F1084" s="37">
        <f t="shared" si="133"/>
        <v>0</v>
      </c>
      <c r="G1084" s="14">
        <f t="shared" si="134"/>
        <v>0</v>
      </c>
      <c r="H1084" s="24">
        <f t="shared" si="140"/>
        <v>580.84121554938838</v>
      </c>
      <c r="I1084" s="12">
        <f t="shared" si="139"/>
        <v>0.26672184329661031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343.1257513839829</v>
      </c>
      <c r="F1085" s="37">
        <f t="shared" si="133"/>
        <v>0</v>
      </c>
      <c r="G1085" s="14">
        <f t="shared" si="134"/>
        <v>0</v>
      </c>
      <c r="H1085" s="24">
        <f t="shared" si="140"/>
        <v>580.94715568756578</v>
      </c>
      <c r="I1085" s="12">
        <f t="shared" si="139"/>
        <v>0.26662229584470959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343.39237367982759</v>
      </c>
      <c r="F1086" s="37">
        <f t="shared" si="133"/>
        <v>0</v>
      </c>
      <c r="G1086" s="14">
        <f t="shared" si="134"/>
        <v>0</v>
      </c>
      <c r="H1086" s="24">
        <f t="shared" si="140"/>
        <v>581.05314092691322</v>
      </c>
      <c r="I1086" s="12">
        <f t="shared" si="139"/>
        <v>0.26652275102220513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343.65889643084978</v>
      </c>
      <c r="F1087" s="37">
        <f t="shared" si="133"/>
        <v>0</v>
      </c>
      <c r="G1087" s="14">
        <f t="shared" si="134"/>
        <v>0</v>
      </c>
      <c r="H1087" s="24">
        <f t="shared" si="140"/>
        <v>581.1591714260079</v>
      </c>
      <c r="I1087" s="12">
        <f t="shared" si="139"/>
        <v>0.26642320887657767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343.92531963972635</v>
      </c>
      <c r="F1088" s="37">
        <f t="shared" si="133"/>
        <v>0</v>
      </c>
      <c r="G1088" s="14">
        <f t="shared" si="134"/>
        <v>0</v>
      </c>
      <c r="H1088" s="24">
        <f t="shared" si="140"/>
        <v>581.26524734292036</v>
      </c>
      <c r="I1088" s="12">
        <f t="shared" si="139"/>
        <v>0.26632366945531455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344.19164330918164</v>
      </c>
      <c r="F1089" s="37">
        <f t="shared" si="133"/>
        <v>0</v>
      </c>
      <c r="G1089" s="14">
        <f t="shared" si="134"/>
        <v>0</v>
      </c>
      <c r="H1089" s="24">
        <f t="shared" si="140"/>
        <v>581.37136883521339</v>
      </c>
      <c r="I1089" s="12">
        <f t="shared" si="139"/>
        <v>0.2662241328059104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344.45786744198756</v>
      </c>
      <c r="F1090" s="37">
        <f t="shared" si="133"/>
        <v>0</v>
      </c>
      <c r="G1090" s="14">
        <f t="shared" si="134"/>
        <v>0</v>
      </c>
      <c r="H1090" s="24">
        <f t="shared" si="140"/>
        <v>581.47753605994433</v>
      </c>
      <c r="I1090" s="12">
        <f t="shared" si="139"/>
        <v>0.26612459897586738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344.72399204096342</v>
      </c>
      <c r="F1091" s="37">
        <f t="shared" si="133"/>
        <v>0</v>
      </c>
      <c r="G1091" s="14">
        <f t="shared" si="134"/>
        <v>0</v>
      </c>
      <c r="H1091" s="24">
        <f t="shared" si="140"/>
        <v>581.58374917366382</v>
      </c>
      <c r="I1091" s="12">
        <f t="shared" si="139"/>
        <v>0.26602506801269532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344.99001710897613</v>
      </c>
      <c r="F1092" s="37">
        <f t="shared" si="133"/>
        <v>0</v>
      </c>
      <c r="G1092" s="14">
        <f t="shared" si="134"/>
        <v>0</v>
      </c>
      <c r="H1092" s="24">
        <f t="shared" si="140"/>
        <v>581.69000833241819</v>
      </c>
      <c r="I1092" s="12">
        <f t="shared" si="139"/>
        <v>0.26592553996391222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345.25594264894005</v>
      </c>
      <c r="F1093" s="37">
        <f t="shared" si="133"/>
        <v>0</v>
      </c>
      <c r="G1093" s="14">
        <f t="shared" si="134"/>
        <v>0</v>
      </c>
      <c r="H1093" s="24">
        <f t="shared" si="140"/>
        <v>581.79631369174888</v>
      </c>
      <c r="I1093" s="12">
        <f t="shared" si="139"/>
        <v>0.26582601487704449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345.52176866381711</v>
      </c>
      <c r="F1094" s="37">
        <f t="shared" si="133"/>
        <v>0</v>
      </c>
      <c r="G1094" s="14">
        <f t="shared" si="134"/>
        <v>0</v>
      </c>
      <c r="H1094" s="24">
        <f t="shared" si="140"/>
        <v>581.90266540669404</v>
      </c>
      <c r="I1094" s="12">
        <f t="shared" si="139"/>
        <v>0.26572649279962629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345.78749515661673</v>
      </c>
      <c r="F1095" s="37">
        <f t="shared" si="133"/>
        <v>0</v>
      </c>
      <c r="G1095" s="14">
        <f t="shared" si="134"/>
        <v>0</v>
      </c>
      <c r="H1095" s="24">
        <f t="shared" si="140"/>
        <v>582.00906363178819</v>
      </c>
      <c r="I1095" s="12">
        <f t="shared" si="139"/>
        <v>0.26562697377920153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346.05312213039593</v>
      </c>
      <c r="F1096" s="37">
        <f t="shared" si="133"/>
        <v>0</v>
      </c>
      <c r="G1096" s="14">
        <f t="shared" si="134"/>
        <v>0</v>
      </c>
      <c r="H1096" s="24">
        <f t="shared" si="140"/>
        <v>582.11550852106336</v>
      </c>
      <c r="I1096" s="12">
        <f t="shared" si="139"/>
        <v>0.26552745786332221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346.31864958825923</v>
      </c>
      <c r="F1097" s="37">
        <f t="shared" si="133"/>
        <v>0</v>
      </c>
      <c r="G1097" s="14">
        <f t="shared" si="134"/>
        <v>0</v>
      </c>
      <c r="H1097" s="24">
        <f t="shared" si="140"/>
        <v>582.22200022804986</v>
      </c>
      <c r="I1097" s="12">
        <f t="shared" si="139"/>
        <v>0.26542794509955026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346.58407753335877</v>
      </c>
      <c r="F1098" s="37">
        <f t="shared" si="133"/>
        <v>0</v>
      </c>
      <c r="G1098" s="14">
        <f t="shared" si="134"/>
        <v>0</v>
      </c>
      <c r="H1098" s="24">
        <f t="shared" si="140"/>
        <v>582.32853890577667</v>
      </c>
      <c r="I1098" s="12">
        <f t="shared" si="139"/>
        <v>0.26532843553545638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346.84940596889425</v>
      </c>
      <c r="F1099" s="37">
        <f t="shared" si="133"/>
        <v>0</v>
      </c>
      <c r="G1099" s="14">
        <f t="shared" si="134"/>
        <v>0</v>
      </c>
      <c r="H1099" s="24">
        <f t="shared" si="140"/>
        <v>582.43512470677206</v>
      </c>
      <c r="I1099" s="12">
        <f t="shared" si="139"/>
        <v>0.2652289292186214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347.11463489811285</v>
      </c>
      <c r="F1100" s="37">
        <f t="shared" si="133"/>
        <v>0</v>
      </c>
      <c r="G1100" s="14">
        <f t="shared" si="134"/>
        <v>0</v>
      </c>
      <c r="H1100" s="24">
        <f t="shared" si="140"/>
        <v>582.5417577830641</v>
      </c>
      <c r="I1100" s="12">
        <f t="shared" si="139"/>
        <v>0.26512942619663588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347.37976432430946</v>
      </c>
      <c r="F1101" s="37">
        <f t="shared" si="133"/>
        <v>0</v>
      </c>
      <c r="G1101" s="14">
        <f t="shared" si="134"/>
        <v>0</v>
      </c>
      <c r="H1101" s="24">
        <f t="shared" si="140"/>
        <v>582.648438286182</v>
      </c>
      <c r="I1101" s="12">
        <f t="shared" si="139"/>
        <v>0.26502992651710022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347.64479425082658</v>
      </c>
      <c r="F1102" s="37">
        <f t="shared" si="133"/>
        <v>0</v>
      </c>
      <c r="G1102" s="14">
        <f t="shared" si="134"/>
        <v>0</v>
      </c>
      <c r="H1102" s="24">
        <f t="shared" si="140"/>
        <v>582.75516636715588</v>
      </c>
      <c r="I1102" s="12">
        <f t="shared" si="139"/>
        <v>0.26493043022762541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347.90972468105423</v>
      </c>
      <c r="F1103" s="37">
        <f t="shared" si="133"/>
        <v>0</v>
      </c>
      <c r="G1103" s="14">
        <f t="shared" si="134"/>
        <v>0</v>
      </c>
      <c r="H1103" s="24">
        <f t="shared" si="140"/>
        <v>582.86194217651757</v>
      </c>
      <c r="I1103" s="12">
        <f t="shared" si="139"/>
        <v>0.26483093737583252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348.17455561843008</v>
      </c>
      <c r="F1104" s="37">
        <f t="shared" si="133"/>
        <v>0</v>
      </c>
      <c r="G1104" s="14">
        <f t="shared" si="134"/>
        <v>0</v>
      </c>
      <c r="H1104" s="24">
        <f t="shared" si="140"/>
        <v>582.96876586430199</v>
      </c>
      <c r="I1104" s="12">
        <f t="shared" si="139"/>
        <v>0.26473144800935383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348.43928706643942</v>
      </c>
      <c r="F1105" s="37">
        <f t="shared" si="133"/>
        <v>0</v>
      </c>
      <c r="G1105" s="14">
        <f t="shared" si="134"/>
        <v>0</v>
      </c>
      <c r="H1105" s="24">
        <f t="shared" si="140"/>
        <v>583.07563758004642</v>
      </c>
      <c r="I1105" s="12">
        <f t="shared" si="139"/>
        <v>0.26463196217583218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348.70391902861525</v>
      </c>
      <c r="F1106" s="37">
        <f t="shared" si="133"/>
        <v>0</v>
      </c>
      <c r="G1106" s="14">
        <f t="shared" si="134"/>
        <v>0</v>
      </c>
      <c r="H1106" s="24">
        <f t="shared" si="140"/>
        <v>583.18255747279284</v>
      </c>
      <c r="I1106" s="12">
        <f t="shared" si="139"/>
        <v>0.26453247992292117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348.96845150853818</v>
      </c>
      <c r="F1107" s="37">
        <f t="shared" si="133"/>
        <v>0</v>
      </c>
      <c r="G1107" s="14">
        <f t="shared" si="134"/>
        <v>0</v>
      </c>
      <c r="H1107" s="24">
        <f t="shared" si="140"/>
        <v>583.28952569108685</v>
      </c>
      <c r="I1107" s="12">
        <f t="shared" si="139"/>
        <v>0.26443300129828601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349.23288450983648</v>
      </c>
      <c r="F1108" s="37">
        <f t="shared" ref="F1108:F1171" si="141">Cp*RhoP/(RhoA*H1108)*dp/1000*MassivP</f>
        <v>0</v>
      </c>
      <c r="G1108" s="14">
        <f t="shared" ref="G1108:G1171" si="142">Phi*EpsilonF*Botzman/10^8*J1108*((D1108+273)^4-(E1108+273)^4)</f>
        <v>0</v>
      </c>
      <c r="H1108" s="24">
        <f t="shared" si="140"/>
        <v>583.39654238297976</v>
      </c>
      <c r="I1108" s="12">
        <f t="shared" si="139"/>
        <v>0.26433352634960339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349.4972180361861</v>
      </c>
      <c r="F1109" s="37">
        <f t="shared" si="141"/>
        <v>0</v>
      </c>
      <c r="G1109" s="14">
        <f t="shared" si="142"/>
        <v>0</v>
      </c>
      <c r="H1109" s="24">
        <f t="shared" si="140"/>
        <v>583.50360769602798</v>
      </c>
      <c r="I1109" s="12">
        <f t="shared" ref="I1109:I1172" si="147">LambdaP*MassivP/(dp/1000)/(H1109*RhoA)/(1+F1109/3)*(D1109-E1109)*DeltaT-(EXP(F1109/10)-1)*(D1109-D1108)</f>
        <v>0.26423405512456127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349.76145209131067</v>
      </c>
      <c r="F1110" s="37">
        <f t="shared" si="141"/>
        <v>0</v>
      </c>
      <c r="G1110" s="14">
        <f t="shared" si="142"/>
        <v>0</v>
      </c>
      <c r="H1110" s="24">
        <f t="shared" si="140"/>
        <v>583.610721777295</v>
      </c>
      <c r="I1110" s="12">
        <f t="shared" si="147"/>
        <v>0.2641345876708594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350.02558667898154</v>
      </c>
      <c r="F1111" s="37">
        <f t="shared" si="141"/>
        <v>0</v>
      </c>
      <c r="G1111" s="14">
        <f t="shared" si="142"/>
        <v>0</v>
      </c>
      <c r="H1111" s="24">
        <f t="shared" si="140"/>
        <v>583.71788477335053</v>
      </c>
      <c r="I1111" s="12">
        <f t="shared" si="147"/>
        <v>0.26403512403620966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350.28962180301772</v>
      </c>
      <c r="F1112" s="37">
        <f t="shared" si="141"/>
        <v>0</v>
      </c>
      <c r="G1112" s="14">
        <f t="shared" si="142"/>
        <v>0</v>
      </c>
      <c r="H1112" s="24">
        <f t="shared" si="140"/>
        <v>583.8250968302724</v>
      </c>
      <c r="I1112" s="12">
        <f t="shared" si="147"/>
        <v>0.26393566426833581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350.55355746728605</v>
      </c>
      <c r="F1113" s="37">
        <f t="shared" si="141"/>
        <v>0</v>
      </c>
      <c r="G1113" s="14">
        <f t="shared" si="142"/>
        <v>0</v>
      </c>
      <c r="H1113" s="24">
        <f t="shared" si="140"/>
        <v>583.93235809364649</v>
      </c>
      <c r="I1113" s="12">
        <f t="shared" si="147"/>
        <v>0.26383620841497391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350.81739367570106</v>
      </c>
      <c r="F1114" s="37">
        <f t="shared" si="141"/>
        <v>0</v>
      </c>
      <c r="G1114" s="14">
        <f t="shared" si="142"/>
        <v>0</v>
      </c>
      <c r="H1114" s="24">
        <f t="shared" si="140"/>
        <v>584.03966870856766</v>
      </c>
      <c r="I1114" s="12">
        <f t="shared" si="147"/>
        <v>0.26373675652387241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351.08113043222494</v>
      </c>
      <c r="F1115" s="37">
        <f t="shared" si="141"/>
        <v>0</v>
      </c>
      <c r="G1115" s="14">
        <f t="shared" si="142"/>
        <v>0</v>
      </c>
      <c r="H1115" s="24">
        <f t="shared" si="140"/>
        <v>584.14702881964013</v>
      </c>
      <c r="I1115" s="12">
        <f t="shared" si="147"/>
        <v>0.26363730864279217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351.34476774086772</v>
      </c>
      <c r="F1116" s="37">
        <f t="shared" si="141"/>
        <v>0</v>
      </c>
      <c r="G1116" s="14">
        <f t="shared" si="142"/>
        <v>0</v>
      </c>
      <c r="H1116" s="24">
        <f t="shared" si="140"/>
        <v>584.25443857097866</v>
      </c>
      <c r="I1116" s="12">
        <f t="shared" si="147"/>
        <v>0.26353786481950692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351.60830560568724</v>
      </c>
      <c r="F1117" s="37">
        <f t="shared" si="141"/>
        <v>0</v>
      </c>
      <c r="G1117" s="14">
        <f t="shared" si="142"/>
        <v>0</v>
      </c>
      <c r="H1117" s="24">
        <f t="shared" si="140"/>
        <v>584.3618981062084</v>
      </c>
      <c r="I1117" s="12">
        <f t="shared" si="147"/>
        <v>0.26343842510180315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351.87174403078905</v>
      </c>
      <c r="F1118" s="37">
        <f t="shared" si="141"/>
        <v>0</v>
      </c>
      <c r="G1118" s="14">
        <f t="shared" si="142"/>
        <v>0</v>
      </c>
      <c r="H1118" s="24">
        <f t="shared" si="140"/>
        <v>584.46940756846607</v>
      </c>
      <c r="I1118" s="12">
        <f t="shared" si="147"/>
        <v>0.26333898953748014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352.13508302032653</v>
      </c>
      <c r="F1119" s="37">
        <f t="shared" si="141"/>
        <v>0</v>
      </c>
      <c r="G1119" s="14">
        <f t="shared" si="142"/>
        <v>0</v>
      </c>
      <c r="H1119" s="24">
        <f t="shared" si="140"/>
        <v>584.57696710040079</v>
      </c>
      <c r="I1119" s="12">
        <f t="shared" si="147"/>
        <v>0.26323955817435024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352.39832257850088</v>
      </c>
      <c r="F1120" s="37">
        <f t="shared" si="141"/>
        <v>0</v>
      </c>
      <c r="G1120" s="14">
        <f t="shared" si="142"/>
        <v>0</v>
      </c>
      <c r="H1120" s="24">
        <f t="shared" si="140"/>
        <v>584.68457684417422</v>
      </c>
      <c r="I1120" s="12">
        <f t="shared" si="147"/>
        <v>0.26314013106023931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352.66146270956114</v>
      </c>
      <c r="F1121" s="37">
        <f t="shared" si="141"/>
        <v>0</v>
      </c>
      <c r="G1121" s="14">
        <f t="shared" si="142"/>
        <v>0</v>
      </c>
      <c r="H1121" s="24">
        <f t="shared" si="140"/>
        <v>584.79223694146094</v>
      </c>
      <c r="I1121" s="12">
        <f t="shared" si="147"/>
        <v>0.26304070824298648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352.92450341780415</v>
      </c>
      <c r="F1122" s="37">
        <f t="shared" si="141"/>
        <v>0</v>
      </c>
      <c r="G1122" s="14">
        <f t="shared" si="142"/>
        <v>0</v>
      </c>
      <c r="H1122" s="24">
        <f t="shared" si="140"/>
        <v>584.89994753345047</v>
      </c>
      <c r="I1122" s="12">
        <f t="shared" si="147"/>
        <v>0.26294128977044373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353.18744470757457</v>
      </c>
      <c r="F1123" s="37">
        <f t="shared" si="141"/>
        <v>0</v>
      </c>
      <c r="G1123" s="14">
        <f t="shared" si="142"/>
        <v>0</v>
      </c>
      <c r="H1123" s="24">
        <f t="shared" si="140"/>
        <v>585.00770876084607</v>
      </c>
      <c r="I1123" s="12">
        <f t="shared" si="147"/>
        <v>0.26284187569047773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353.45028658326504</v>
      </c>
      <c r="F1124" s="37">
        <f t="shared" si="141"/>
        <v>0</v>
      </c>
      <c r="G1124" s="14">
        <f t="shared" si="142"/>
        <v>0</v>
      </c>
      <c r="H1124" s="24">
        <f t="shared" si="140"/>
        <v>585.11552076386693</v>
      </c>
      <c r="I1124" s="12">
        <f t="shared" si="147"/>
        <v>0.26274246605096763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353.71302904931599</v>
      </c>
      <c r="F1125" s="37">
        <f t="shared" si="141"/>
        <v>0</v>
      </c>
      <c r="G1125" s="14">
        <f t="shared" si="142"/>
        <v>0</v>
      </c>
      <c r="H1125" s="24">
        <f t="shared" si="140"/>
        <v>585.22338368224791</v>
      </c>
      <c r="I1125" s="12">
        <f t="shared" si="147"/>
        <v>0.2626430608998071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353.97567211021578</v>
      </c>
      <c r="F1126" s="37">
        <f t="shared" si="141"/>
        <v>0</v>
      </c>
      <c r="G1126" s="14">
        <f t="shared" si="142"/>
        <v>0</v>
      </c>
      <c r="H1126" s="24">
        <f t="shared" si="140"/>
        <v>585.33129765524075</v>
      </c>
      <c r="I1126" s="12">
        <f t="shared" si="147"/>
        <v>0.26254366028490356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354.23821577050069</v>
      </c>
      <c r="F1127" s="37">
        <f t="shared" si="141"/>
        <v>0</v>
      </c>
      <c r="G1127" s="14">
        <f t="shared" si="142"/>
        <v>0</v>
      </c>
      <c r="H1127" s="24">
        <f t="shared" si="140"/>
        <v>585.43926282161362</v>
      </c>
      <c r="I1127" s="12">
        <f t="shared" si="147"/>
        <v>0.26244426425417844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354.50066003475484</v>
      </c>
      <c r="F1128" s="37">
        <f t="shared" si="141"/>
        <v>0</v>
      </c>
      <c r="G1128" s="14">
        <f t="shared" si="142"/>
        <v>0</v>
      </c>
      <c r="H1128" s="24">
        <f t="shared" si="140"/>
        <v>585.54727931965363</v>
      </c>
      <c r="I1128" s="12">
        <f t="shared" si="147"/>
        <v>0.26234487285556696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354.76300490761042</v>
      </c>
      <c r="F1129" s="37">
        <f t="shared" si="141"/>
        <v>0</v>
      </c>
      <c r="G1129" s="14">
        <f t="shared" si="142"/>
        <v>0</v>
      </c>
      <c r="H1129" s="24">
        <f t="shared" si="140"/>
        <v>585.6553472871658</v>
      </c>
      <c r="I1129" s="12">
        <f t="shared" si="147"/>
        <v>0.26224548613701887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355.02525039374746</v>
      </c>
      <c r="F1130" s="37">
        <f t="shared" si="141"/>
        <v>0</v>
      </c>
      <c r="G1130" s="14">
        <f t="shared" si="142"/>
        <v>0</v>
      </c>
      <c r="H1130" s="24">
        <f t="shared" si="140"/>
        <v>585.76346686147451</v>
      </c>
      <c r="I1130" s="12">
        <f t="shared" si="147"/>
        <v>0.26214610414649814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355.28739649789395</v>
      </c>
      <c r="F1131" s="37">
        <f t="shared" si="141"/>
        <v>0</v>
      </c>
      <c r="G1131" s="14">
        <f t="shared" si="142"/>
        <v>0</v>
      </c>
      <c r="H1131" s="24">
        <f t="shared" si="140"/>
        <v>585.8716381794236</v>
      </c>
      <c r="I1131" s="12">
        <f t="shared" si="147"/>
        <v>0.26204672693198294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355.54944322482595</v>
      </c>
      <c r="F1132" s="37">
        <f t="shared" si="141"/>
        <v>0</v>
      </c>
      <c r="G1132" s="14">
        <f t="shared" si="142"/>
        <v>0</v>
      </c>
      <c r="H1132" s="24">
        <f t="shared" si="140"/>
        <v>585.97986137737792</v>
      </c>
      <c r="I1132" s="12">
        <f t="shared" si="147"/>
        <v>0.26194735454146584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355.81139057936741</v>
      </c>
      <c r="F1133" s="37">
        <f t="shared" si="141"/>
        <v>0</v>
      </c>
      <c r="G1133" s="14">
        <f t="shared" si="142"/>
        <v>0</v>
      </c>
      <c r="H1133" s="24">
        <f t="shared" si="140"/>
        <v>586.08813659122279</v>
      </c>
      <c r="I1133" s="12">
        <f t="shared" si="147"/>
        <v>0.26184798702295431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356.07323856639039</v>
      </c>
      <c r="F1134" s="37">
        <f t="shared" si="141"/>
        <v>0</v>
      </c>
      <c r="G1134" s="14">
        <f t="shared" si="142"/>
        <v>0</v>
      </c>
      <c r="H1134" s="24">
        <f t="shared" si="140"/>
        <v>586.19646395636596</v>
      </c>
      <c r="I1134" s="12">
        <f t="shared" si="147"/>
        <v>0.26174862442446989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356.33498719081484</v>
      </c>
      <c r="F1135" s="37">
        <f t="shared" si="141"/>
        <v>0</v>
      </c>
      <c r="G1135" s="14">
        <f t="shared" si="142"/>
        <v>0</v>
      </c>
      <c r="H1135" s="24">
        <f t="shared" si="140"/>
        <v>586.30484360773698</v>
      </c>
      <c r="I1135" s="12">
        <f t="shared" si="147"/>
        <v>0.26164926679404921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356.59663645760889</v>
      </c>
      <c r="F1136" s="37">
        <f t="shared" si="141"/>
        <v>0</v>
      </c>
      <c r="G1136" s="14">
        <f t="shared" si="142"/>
        <v>0</v>
      </c>
      <c r="H1136" s="24">
        <f t="shared" si="140"/>
        <v>586.41327567978897</v>
      </c>
      <c r="I1136" s="12">
        <f t="shared" si="147"/>
        <v>0.26154991417974344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356.85818637178863</v>
      </c>
      <c r="F1137" s="37">
        <f t="shared" si="141"/>
        <v>0</v>
      </c>
      <c r="G1137" s="14">
        <f t="shared" si="142"/>
        <v>0</v>
      </c>
      <c r="H1137" s="24">
        <f t="shared" si="140"/>
        <v>586.52176030649809</v>
      </c>
      <c r="I1137" s="12">
        <f t="shared" si="147"/>
        <v>0.26145056662961835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357.11963693841824</v>
      </c>
      <c r="F1138" s="37">
        <f t="shared" si="141"/>
        <v>0</v>
      </c>
      <c r="G1138" s="14">
        <f t="shared" si="142"/>
        <v>0</v>
      </c>
      <c r="H1138" s="24">
        <f t="shared" si="140"/>
        <v>586.63029762136534</v>
      </c>
      <c r="I1138" s="12">
        <f t="shared" si="147"/>
        <v>0.2613512241917551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357.38098816260998</v>
      </c>
      <c r="F1139" s="37">
        <f t="shared" si="141"/>
        <v>0</v>
      </c>
      <c r="G1139" s="14">
        <f t="shared" si="142"/>
        <v>0</v>
      </c>
      <c r="H1139" s="24">
        <f t="shared" si="140"/>
        <v>586.73888775741671</v>
      </c>
      <c r="I1139" s="12">
        <f t="shared" si="147"/>
        <v>0.26125188691424905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357.64224004952422</v>
      </c>
      <c r="F1140" s="37">
        <f t="shared" si="141"/>
        <v>0</v>
      </c>
      <c r="G1140" s="14">
        <f t="shared" si="142"/>
        <v>0</v>
      </c>
      <c r="H1140" s="24">
        <f t="shared" si="140"/>
        <v>586.84753084720342</v>
      </c>
      <c r="I1140" s="12">
        <f t="shared" si="147"/>
        <v>0.26115255484521116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357.90339260436946</v>
      </c>
      <c r="F1141" s="37">
        <f t="shared" si="141"/>
        <v>0</v>
      </c>
      <c r="G1141" s="14">
        <f t="shared" si="142"/>
        <v>0</v>
      </c>
      <c r="H1141" s="24">
        <f t="shared" si="140"/>
        <v>586.95622702280343</v>
      </c>
      <c r="I1141" s="12">
        <f t="shared" si="147"/>
        <v>0.26105322803276687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358.16444583240224</v>
      </c>
      <c r="F1142" s="37">
        <f t="shared" si="141"/>
        <v>0</v>
      </c>
      <c r="G1142" s="14">
        <f t="shared" si="142"/>
        <v>0</v>
      </c>
      <c r="H1142" s="24">
        <f t="shared" si="140"/>
        <v>587.06497641582121</v>
      </c>
      <c r="I1142" s="12">
        <f t="shared" si="147"/>
        <v>0.26095390652505723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358.4253997389273</v>
      </c>
      <c r="F1143" s="37">
        <f t="shared" si="141"/>
        <v>0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587.17377915738894</v>
      </c>
      <c r="I1143" s="12">
        <f t="shared" si="147"/>
        <v>0.26085459037023806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358.68625432929753</v>
      </c>
      <c r="F1144" s="37">
        <f t="shared" si="141"/>
        <v>0</v>
      </c>
      <c r="G1144" s="14">
        <f t="shared" si="142"/>
        <v>0</v>
      </c>
      <c r="H1144" s="24">
        <f t="shared" si="148"/>
        <v>587.28263537816713</v>
      </c>
      <c r="I1144" s="12">
        <f t="shared" si="147"/>
        <v>0.26075527961648032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358.94700960891402</v>
      </c>
      <c r="F1145" s="37">
        <f t="shared" si="141"/>
        <v>0</v>
      </c>
      <c r="G1145" s="14">
        <f t="shared" si="142"/>
        <v>0</v>
      </c>
      <c r="H1145" s="24">
        <f t="shared" si="148"/>
        <v>587.39154520834541</v>
      </c>
      <c r="I1145" s="12">
        <f t="shared" si="147"/>
        <v>0.26065597431197007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359.207665583226</v>
      </c>
      <c r="F1146" s="37">
        <f t="shared" si="141"/>
        <v>0</v>
      </c>
      <c r="G1146" s="14">
        <f t="shared" si="142"/>
        <v>0</v>
      </c>
      <c r="H1146" s="24">
        <f t="shared" si="148"/>
        <v>587.50050877764215</v>
      </c>
      <c r="I1146" s="12">
        <f t="shared" si="147"/>
        <v>0.26055667450490894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359.46822225773093</v>
      </c>
      <c r="F1147" s="37">
        <f t="shared" si="141"/>
        <v>0</v>
      </c>
      <c r="G1147" s="14">
        <f t="shared" si="142"/>
        <v>0</v>
      </c>
      <c r="H1147" s="24">
        <f t="shared" si="148"/>
        <v>587.60952621530657</v>
      </c>
      <c r="I1147" s="12">
        <f t="shared" si="147"/>
        <v>0.26045738024351367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359.72867963797444</v>
      </c>
      <c r="F1148" s="37">
        <f t="shared" si="141"/>
        <v>0</v>
      </c>
      <c r="G1148" s="14">
        <f t="shared" si="142"/>
        <v>0</v>
      </c>
      <c r="H1148" s="24">
        <f t="shared" si="148"/>
        <v>587.71859765011845</v>
      </c>
      <c r="I1148" s="12">
        <f t="shared" si="147"/>
        <v>0.26035809157601586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359.98903772955043</v>
      </c>
      <c r="F1149" s="37">
        <f t="shared" si="141"/>
        <v>0</v>
      </c>
      <c r="G1149" s="14">
        <f t="shared" si="142"/>
        <v>0</v>
      </c>
      <c r="H1149" s="24">
        <f t="shared" si="148"/>
        <v>587.82772321038919</v>
      </c>
      <c r="I1149" s="12">
        <f t="shared" si="147"/>
        <v>0.26025880855066302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360.24929653810108</v>
      </c>
      <c r="F1150" s="37">
        <f t="shared" si="141"/>
        <v>0</v>
      </c>
      <c r="G1150" s="14">
        <f t="shared" si="142"/>
        <v>0</v>
      </c>
      <c r="H1150" s="24">
        <f t="shared" si="148"/>
        <v>587.93690302396203</v>
      </c>
      <c r="I1150" s="12">
        <f t="shared" si="147"/>
        <v>0.26015953121571767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360.5094560693168</v>
      </c>
      <c r="F1151" s="37">
        <f t="shared" si="141"/>
        <v>0</v>
      </c>
      <c r="G1151" s="14">
        <f t="shared" si="142"/>
        <v>0</v>
      </c>
      <c r="H1151" s="24">
        <f t="shared" si="148"/>
        <v>588.0461372182134</v>
      </c>
      <c r="I1151" s="12">
        <f t="shared" si="147"/>
        <v>0.26006025961945745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360.76951632893628</v>
      </c>
      <c r="F1152" s="37">
        <f t="shared" si="141"/>
        <v>0</v>
      </c>
      <c r="G1152" s="14">
        <f t="shared" si="142"/>
        <v>0</v>
      </c>
      <c r="H1152" s="24">
        <f t="shared" si="148"/>
        <v>588.15542592005272</v>
      </c>
      <c r="I1152" s="12">
        <f t="shared" si="147"/>
        <v>0.25996099381017601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361.02947732274646</v>
      </c>
      <c r="F1153" s="37">
        <f t="shared" si="141"/>
        <v>0</v>
      </c>
      <c r="G1153" s="14">
        <f t="shared" si="142"/>
        <v>0</v>
      </c>
      <c r="H1153" s="24">
        <f t="shared" si="148"/>
        <v>588.26476925592374</v>
      </c>
      <c r="I1153" s="12">
        <f t="shared" si="147"/>
        <v>0.25986173383618161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361.28933905658266</v>
      </c>
      <c r="F1154" s="37">
        <f t="shared" si="141"/>
        <v>0</v>
      </c>
      <c r="G1154" s="14">
        <f t="shared" si="142"/>
        <v>0</v>
      </c>
      <c r="H1154" s="24">
        <f t="shared" si="148"/>
        <v>588.37416735180489</v>
      </c>
      <c r="I1154" s="12">
        <f t="shared" si="147"/>
        <v>0.2597624797457983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361.54910153632846</v>
      </c>
      <c r="F1155" s="37">
        <f t="shared" si="141"/>
        <v>0</v>
      </c>
      <c r="G1155" s="14">
        <f t="shared" si="142"/>
        <v>0</v>
      </c>
      <c r="H1155" s="24">
        <f t="shared" si="148"/>
        <v>588.48362033320996</v>
      </c>
      <c r="I1155" s="12">
        <f t="shared" si="147"/>
        <v>0.25966323158736565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361.80876476791582</v>
      </c>
      <c r="F1156" s="37">
        <f t="shared" si="141"/>
        <v>0</v>
      </c>
      <c r="G1156" s="14">
        <f t="shared" si="142"/>
        <v>0</v>
      </c>
      <c r="H1156" s="24">
        <f t="shared" si="148"/>
        <v>588.59312832518879</v>
      </c>
      <c r="I1156" s="12">
        <f t="shared" si="147"/>
        <v>0.25956398940923819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362.06832875732505</v>
      </c>
      <c r="F1157" s="37">
        <f t="shared" si="141"/>
        <v>0</v>
      </c>
      <c r="G1157" s="14">
        <f t="shared" si="142"/>
        <v>0</v>
      </c>
      <c r="H1157" s="24">
        <f t="shared" si="148"/>
        <v>588.70269145232783</v>
      </c>
      <c r="I1157" s="12">
        <f t="shared" si="147"/>
        <v>0.25946475325978613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362.32779351058485</v>
      </c>
      <c r="F1158" s="37">
        <f t="shared" si="141"/>
        <v>0</v>
      </c>
      <c r="G1158" s="14">
        <f t="shared" si="142"/>
        <v>0</v>
      </c>
      <c r="H1158" s="24">
        <f t="shared" si="148"/>
        <v>588.81230983875093</v>
      </c>
      <c r="I1158" s="12">
        <f t="shared" si="147"/>
        <v>0.25936552318739492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362.58715903377225</v>
      </c>
      <c r="F1159" s="37">
        <f t="shared" si="141"/>
        <v>0</v>
      </c>
      <c r="G1159" s="14">
        <f t="shared" si="142"/>
        <v>0</v>
      </c>
      <c r="H1159" s="24">
        <f t="shared" si="148"/>
        <v>588.92198360812006</v>
      </c>
      <c r="I1159" s="12">
        <f t="shared" si="147"/>
        <v>0.25926629924046551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362.84642533301269</v>
      </c>
      <c r="F1160" s="37">
        <f t="shared" si="141"/>
        <v>0</v>
      </c>
      <c r="G1160" s="14">
        <f t="shared" si="142"/>
        <v>0</v>
      </c>
      <c r="H1160" s="24">
        <f t="shared" si="148"/>
        <v>589.03171288363558</v>
      </c>
      <c r="I1160" s="12">
        <f t="shared" si="147"/>
        <v>0.25916708146741407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363.1055924144801</v>
      </c>
      <c r="F1161" s="37">
        <f t="shared" si="141"/>
        <v>0</v>
      </c>
      <c r="G1161" s="14">
        <f t="shared" si="142"/>
        <v>0</v>
      </c>
      <c r="H1161" s="24">
        <f t="shared" si="148"/>
        <v>589.14149778803733</v>
      </c>
      <c r="I1161" s="12">
        <f t="shared" si="147"/>
        <v>0.25906786991667219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363.36466028439679</v>
      </c>
      <c r="F1162" s="37">
        <f t="shared" si="141"/>
        <v>0</v>
      </c>
      <c r="G1162" s="14">
        <f t="shared" si="142"/>
        <v>0</v>
      </c>
      <c r="H1162" s="24">
        <f t="shared" si="148"/>
        <v>589.25133844360505</v>
      </c>
      <c r="I1162" s="12">
        <f t="shared" si="147"/>
        <v>0.25896866463668666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363.6236289490335</v>
      </c>
      <c r="F1163" s="37">
        <f t="shared" si="141"/>
        <v>0</v>
      </c>
      <c r="G1163" s="14">
        <f t="shared" si="142"/>
        <v>0</v>
      </c>
      <c r="H1163" s="24">
        <f t="shared" si="148"/>
        <v>589.36123497215897</v>
      </c>
      <c r="I1163" s="12">
        <f t="shared" si="147"/>
        <v>0.25886946567592001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363.8824984147094</v>
      </c>
      <c r="F1164" s="37">
        <f t="shared" si="141"/>
        <v>0</v>
      </c>
      <c r="G1164" s="14">
        <f t="shared" si="142"/>
        <v>0</v>
      </c>
      <c r="H1164" s="24">
        <f t="shared" si="148"/>
        <v>589.47118749506069</v>
      </c>
      <c r="I1164" s="12">
        <f t="shared" si="147"/>
        <v>0.25877027308284961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364.14126868779226</v>
      </c>
      <c r="F1165" s="37">
        <f t="shared" si="141"/>
        <v>0</v>
      </c>
      <c r="G1165" s="14">
        <f t="shared" si="142"/>
        <v>0</v>
      </c>
      <c r="H1165" s="24">
        <f t="shared" si="148"/>
        <v>589.58119613321378</v>
      </c>
      <c r="I1165" s="12">
        <f t="shared" si="147"/>
        <v>0.25867108690596841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364.39993977469823</v>
      </c>
      <c r="F1166" s="37">
        <f t="shared" si="141"/>
        <v>0</v>
      </c>
      <c r="G1166" s="14">
        <f t="shared" si="142"/>
        <v>0</v>
      </c>
      <c r="H1166" s="24">
        <f t="shared" si="148"/>
        <v>589.69126100706467</v>
      </c>
      <c r="I1166" s="12">
        <f t="shared" si="147"/>
        <v>0.25857190719378426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364.65851168189204</v>
      </c>
      <c r="F1167" s="37">
        <f t="shared" si="141"/>
        <v>0</v>
      </c>
      <c r="G1167" s="14">
        <f t="shared" si="142"/>
        <v>0</v>
      </c>
      <c r="H1167" s="24">
        <f t="shared" si="148"/>
        <v>589.80138223660197</v>
      </c>
      <c r="I1167" s="12">
        <f t="shared" si="147"/>
        <v>0.25847273399482068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364.91698441588687</v>
      </c>
      <c r="F1168" s="37">
        <f t="shared" si="141"/>
        <v>0</v>
      </c>
      <c r="G1168" s="14">
        <f t="shared" si="142"/>
        <v>0</v>
      </c>
      <c r="H1168" s="24">
        <f t="shared" si="148"/>
        <v>589.91155994135931</v>
      </c>
      <c r="I1168" s="12">
        <f t="shared" si="147"/>
        <v>0.25837356735761602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365.17535798324451</v>
      </c>
      <c r="F1169" s="37">
        <f t="shared" si="141"/>
        <v>0</v>
      </c>
      <c r="G1169" s="14">
        <f t="shared" si="142"/>
        <v>0</v>
      </c>
      <c r="H1169" s="24">
        <f t="shared" si="148"/>
        <v>590.02179424041447</v>
      </c>
      <c r="I1169" s="12">
        <f t="shared" si="147"/>
        <v>0.25827440733072404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365.43363239057521</v>
      </c>
      <c r="F1170" s="37">
        <f t="shared" si="141"/>
        <v>0</v>
      </c>
      <c r="G1170" s="14">
        <f t="shared" si="142"/>
        <v>0</v>
      </c>
      <c r="H1170" s="24">
        <f t="shared" si="148"/>
        <v>590.13208525238997</v>
      </c>
      <c r="I1170" s="12">
        <f t="shared" si="147"/>
        <v>0.25817525396271346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365.6918076445379</v>
      </c>
      <c r="F1171" s="37">
        <f t="shared" si="141"/>
        <v>0</v>
      </c>
      <c r="G1171" s="14">
        <f t="shared" si="142"/>
        <v>0</v>
      </c>
      <c r="H1171" s="24">
        <f t="shared" si="148"/>
        <v>590.242433095455</v>
      </c>
      <c r="I1171" s="12">
        <f t="shared" si="147"/>
        <v>0.25807610730216807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365.94988375184005</v>
      </c>
      <c r="F1172" s="37">
        <f t="shared" ref="F1172:F1235" si="149">Cp*RhoP/(RhoA*H1172)*dp/1000*MassivP</f>
        <v>0</v>
      </c>
      <c r="G1172" s="14">
        <f t="shared" ref="G1172:G1235" si="150">Phi*EpsilonF*Botzman/10^8*J1172*((D1172+273)^4-(E1172+273)^4)</f>
        <v>0</v>
      </c>
      <c r="H1172" s="24">
        <f t="shared" si="148"/>
        <v>590.35283788732454</v>
      </c>
      <c r="I1172" s="12">
        <f t="shared" si="147"/>
        <v>0.25797696739768694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366.20786071923771</v>
      </c>
      <c r="F1173" s="37">
        <f t="shared" si="149"/>
        <v>0</v>
      </c>
      <c r="G1173" s="14">
        <f t="shared" si="150"/>
        <v>0</v>
      </c>
      <c r="H1173" s="24">
        <f t="shared" si="148"/>
        <v>590.46329974526122</v>
      </c>
      <c r="I1173" s="12">
        <f t="shared" ref="I1173:I1236" si="155">LambdaP*MassivP/(dp/1000)/(H1173*RhoA)/(1+F1173/3)*(D1173-E1173)*DeltaT-(EXP(F1173/10)-1)*(D1173-D1172)</f>
        <v>0.25787783429788375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366.46573855353557</v>
      </c>
      <c r="F1174" s="37">
        <f t="shared" si="149"/>
        <v>0</v>
      </c>
      <c r="G1174" s="14">
        <f t="shared" si="150"/>
        <v>0</v>
      </c>
      <c r="H1174" s="24">
        <f t="shared" si="148"/>
        <v>590.57381878607509</v>
      </c>
      <c r="I1174" s="12">
        <f t="shared" si="155"/>
        <v>0.25777870805138736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366.72351726158695</v>
      </c>
      <c r="F1175" s="37">
        <f t="shared" si="149"/>
        <v>0</v>
      </c>
      <c r="G1175" s="14">
        <f t="shared" si="150"/>
        <v>0</v>
      </c>
      <c r="H1175" s="24">
        <f t="shared" si="148"/>
        <v>590.68439512612497</v>
      </c>
      <c r="I1175" s="12">
        <f t="shared" si="155"/>
        <v>0.25767958870684177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366.98119685029377</v>
      </c>
      <c r="F1176" s="37">
        <f t="shared" si="149"/>
        <v>0</v>
      </c>
      <c r="G1176" s="14">
        <f t="shared" si="150"/>
        <v>0</v>
      </c>
      <c r="H1176" s="24">
        <f t="shared" si="148"/>
        <v>590.79502888131867</v>
      </c>
      <c r="I1176" s="12">
        <f t="shared" si="155"/>
        <v>0.25758047631290537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367.23877732660668</v>
      </c>
      <c r="F1177" s="37">
        <f t="shared" si="149"/>
        <v>0</v>
      </c>
      <c r="G1177" s="14">
        <f t="shared" si="150"/>
        <v>0</v>
      </c>
      <c r="H1177" s="24">
        <f t="shared" si="148"/>
        <v>590.90572016711417</v>
      </c>
      <c r="I1177" s="12">
        <f t="shared" si="155"/>
        <v>0.25748137091825141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367.49625869752492</v>
      </c>
      <c r="F1178" s="37">
        <f t="shared" si="149"/>
        <v>0</v>
      </c>
      <c r="G1178" s="14">
        <f t="shared" si="150"/>
        <v>0</v>
      </c>
      <c r="H1178" s="24">
        <f t="shared" si="148"/>
        <v>591.01646909851911</v>
      </c>
      <c r="I1178" s="12">
        <f t="shared" si="155"/>
        <v>0.25738227257156826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367.75364097009651</v>
      </c>
      <c r="F1179" s="37">
        <f t="shared" si="149"/>
        <v>0</v>
      </c>
      <c r="G1179" s="14">
        <f t="shared" si="150"/>
        <v>0</v>
      </c>
      <c r="H1179" s="24">
        <f t="shared" si="148"/>
        <v>591.12727579009265</v>
      </c>
      <c r="I1179" s="12">
        <f t="shared" si="155"/>
        <v>0.25728318132155864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368.01092415141807</v>
      </c>
      <c r="F1180" s="37">
        <f t="shared" si="149"/>
        <v>0</v>
      </c>
      <c r="G1180" s="14">
        <f t="shared" si="150"/>
        <v>0</v>
      </c>
      <c r="H1180" s="24">
        <f t="shared" si="148"/>
        <v>591.23814035594614</v>
      </c>
      <c r="I1180" s="12">
        <f t="shared" si="155"/>
        <v>0.25718409721694002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368.26810824863503</v>
      </c>
      <c r="F1181" s="37">
        <f t="shared" si="149"/>
        <v>0</v>
      </c>
      <c r="G1181" s="14">
        <f t="shared" si="150"/>
        <v>0</v>
      </c>
      <c r="H1181" s="24">
        <f t="shared" si="148"/>
        <v>591.34906290974277</v>
      </c>
      <c r="I1181" s="12">
        <f t="shared" si="155"/>
        <v>0.25708502030644431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368.52519326894145</v>
      </c>
      <c r="F1182" s="37">
        <f t="shared" si="149"/>
        <v>0</v>
      </c>
      <c r="G1182" s="14">
        <f t="shared" si="150"/>
        <v>0</v>
      </c>
      <c r="H1182" s="24">
        <f t="shared" si="148"/>
        <v>591.46004356469894</v>
      </c>
      <c r="I1182" s="12">
        <f t="shared" si="155"/>
        <v>0.25698595063881802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368.78217921958026</v>
      </c>
      <c r="F1183" s="37">
        <f t="shared" si="149"/>
        <v>0</v>
      </c>
      <c r="G1183" s="14">
        <f t="shared" si="150"/>
        <v>0</v>
      </c>
      <c r="H1183" s="24">
        <f t="shared" si="148"/>
        <v>591.57108243358493</v>
      </c>
      <c r="I1183" s="12">
        <f t="shared" si="155"/>
        <v>0.25688688826282202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369.0390661078431</v>
      </c>
      <c r="F1184" s="37">
        <f t="shared" si="149"/>
        <v>0</v>
      </c>
      <c r="G1184" s="14">
        <f t="shared" si="150"/>
        <v>0</v>
      </c>
      <c r="H1184" s="24">
        <f t="shared" si="148"/>
        <v>591.68217962872529</v>
      </c>
      <c r="I1184" s="12">
        <f t="shared" si="155"/>
        <v>0.25678783322723153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369.29585394107033</v>
      </c>
      <c r="F1185" s="37">
        <f t="shared" si="149"/>
        <v>0</v>
      </c>
      <c r="G1185" s="14">
        <f t="shared" si="150"/>
        <v>0</v>
      </c>
      <c r="H1185" s="24">
        <f t="shared" si="148"/>
        <v>591.79333526199969</v>
      </c>
      <c r="I1185" s="12">
        <f t="shared" si="155"/>
        <v>0.25668878558083613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369.55254272665115</v>
      </c>
      <c r="F1186" s="37">
        <f t="shared" si="149"/>
        <v>0</v>
      </c>
      <c r="G1186" s="14">
        <f t="shared" si="150"/>
        <v>0</v>
      </c>
      <c r="H1186" s="24">
        <f t="shared" si="148"/>
        <v>591.9045494448435</v>
      </c>
      <c r="I1186" s="12">
        <f t="shared" si="155"/>
        <v>0.25658974537243961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369.80913247202358</v>
      </c>
      <c r="F1187" s="37">
        <f t="shared" si="149"/>
        <v>0</v>
      </c>
      <c r="G1187" s="14">
        <f t="shared" si="150"/>
        <v>0</v>
      </c>
      <c r="H1187" s="24">
        <f t="shared" si="148"/>
        <v>592.0158222882485</v>
      </c>
      <c r="I1187" s="12">
        <f t="shared" si="155"/>
        <v>0.25649071265085954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370.06562318467445</v>
      </c>
      <c r="F1188" s="37">
        <f t="shared" si="149"/>
        <v>0</v>
      </c>
      <c r="G1188" s="14">
        <f t="shared" si="150"/>
        <v>0</v>
      </c>
      <c r="H1188" s="24">
        <f t="shared" si="148"/>
        <v>592.12715390276321</v>
      </c>
      <c r="I1188" s="12">
        <f t="shared" si="155"/>
        <v>0.25639168746492808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370.32201487213939</v>
      </c>
      <c r="F1189" s="37">
        <f t="shared" si="149"/>
        <v>0</v>
      </c>
      <c r="G1189" s="14">
        <f t="shared" si="150"/>
        <v>0</v>
      </c>
      <c r="H1189" s="24">
        <f t="shared" si="148"/>
        <v>592.2385443984947</v>
      </c>
      <c r="I1189" s="12">
        <f t="shared" si="155"/>
        <v>0.2562926698634907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370.5783075420029</v>
      </c>
      <c r="F1190" s="37">
        <f t="shared" si="149"/>
        <v>0</v>
      </c>
      <c r="G1190" s="14">
        <f t="shared" si="150"/>
        <v>0</v>
      </c>
      <c r="H1190" s="24">
        <f t="shared" si="148"/>
        <v>592.34999388510721</v>
      </c>
      <c r="I1190" s="12">
        <f t="shared" si="155"/>
        <v>0.25619365989540749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370.83450120189832</v>
      </c>
      <c r="F1191" s="37">
        <f t="shared" si="149"/>
        <v>0</v>
      </c>
      <c r="G1191" s="14">
        <f t="shared" si="150"/>
        <v>0</v>
      </c>
      <c r="H1191" s="24">
        <f t="shared" si="148"/>
        <v>592.46150247182482</v>
      </c>
      <c r="I1191" s="12">
        <f t="shared" si="155"/>
        <v>0.25609465760955175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371.09059585950786</v>
      </c>
      <c r="F1192" s="37">
        <f t="shared" si="149"/>
        <v>0</v>
      </c>
      <c r="G1192" s="14">
        <f t="shared" si="150"/>
        <v>0</v>
      </c>
      <c r="H1192" s="24">
        <f t="shared" si="148"/>
        <v>592.57307026743092</v>
      </c>
      <c r="I1192" s="12">
        <f t="shared" si="155"/>
        <v>0.25599566305481075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371.34659152256268</v>
      </c>
      <c r="F1193" s="37">
        <f t="shared" si="149"/>
        <v>0</v>
      </c>
      <c r="G1193" s="14">
        <f t="shared" si="150"/>
        <v>0</v>
      </c>
      <c r="H1193" s="24">
        <f t="shared" si="148"/>
        <v>592.68469738026977</v>
      </c>
      <c r="I1193" s="12">
        <f t="shared" si="155"/>
        <v>0.25589667628008522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371.60248819884276</v>
      </c>
      <c r="F1194" s="37">
        <f t="shared" si="149"/>
        <v>0</v>
      </c>
      <c r="G1194" s="14">
        <f t="shared" si="150"/>
        <v>0</v>
      </c>
      <c r="H1194" s="24">
        <f t="shared" si="148"/>
        <v>592.79638391824574</v>
      </c>
      <c r="I1194" s="12">
        <f t="shared" si="155"/>
        <v>0.25579769733428953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371.85828589617705</v>
      </c>
      <c r="F1195" s="37">
        <f t="shared" si="149"/>
        <v>0</v>
      </c>
      <c r="G1195" s="14">
        <f t="shared" si="150"/>
        <v>0</v>
      </c>
      <c r="H1195" s="24">
        <f t="shared" si="148"/>
        <v>592.90812998882564</v>
      </c>
      <c r="I1195" s="12">
        <f t="shared" si="155"/>
        <v>0.25569872626635132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372.11398462244341</v>
      </c>
      <c r="F1196" s="37">
        <f t="shared" si="149"/>
        <v>0</v>
      </c>
      <c r="G1196" s="14">
        <f t="shared" si="150"/>
        <v>0</v>
      </c>
      <c r="H1196" s="24">
        <f t="shared" si="148"/>
        <v>593.01993569903823</v>
      </c>
      <c r="I1196" s="12">
        <f t="shared" si="155"/>
        <v>0.25559976312521182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372.3695843855686</v>
      </c>
      <c r="F1197" s="37">
        <f t="shared" si="149"/>
        <v>0</v>
      </c>
      <c r="G1197" s="14">
        <f t="shared" si="150"/>
        <v>0</v>
      </c>
      <c r="H1197" s="24">
        <f t="shared" si="148"/>
        <v>593.13180115547516</v>
      </c>
      <c r="I1197" s="12">
        <f t="shared" si="155"/>
        <v>0.25550080795982516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372.62508519352843</v>
      </c>
      <c r="F1198" s="37">
        <f t="shared" si="149"/>
        <v>0</v>
      </c>
      <c r="G1198" s="14">
        <f t="shared" si="150"/>
        <v>0</v>
      </c>
      <c r="H1198" s="24">
        <f t="shared" si="148"/>
        <v>593.24372646429231</v>
      </c>
      <c r="I1198" s="12">
        <f t="shared" si="155"/>
        <v>0.25540186081915872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372.88048705434761</v>
      </c>
      <c r="F1199" s="37">
        <f t="shared" si="149"/>
        <v>0</v>
      </c>
      <c r="G1199" s="14">
        <f t="shared" si="150"/>
        <v>0</v>
      </c>
      <c r="H1199" s="24">
        <f t="shared" si="148"/>
        <v>593.35571173120888</v>
      </c>
      <c r="I1199" s="12">
        <f t="shared" si="155"/>
        <v>0.25530292175219327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373.13578997609983</v>
      </c>
      <c r="F1200" s="37">
        <f t="shared" si="149"/>
        <v>0</v>
      </c>
      <c r="G1200" s="14">
        <f t="shared" si="150"/>
        <v>0</v>
      </c>
      <c r="H1200" s="24">
        <f t="shared" si="148"/>
        <v>593.46775706150981</v>
      </c>
      <c r="I1200" s="12">
        <f t="shared" si="155"/>
        <v>0.25520399080792172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373.39099396690773</v>
      </c>
      <c r="F1201" s="37">
        <f t="shared" si="149"/>
        <v>0</v>
      </c>
      <c r="G1201" s="14">
        <f t="shared" si="150"/>
        <v>0</v>
      </c>
      <c r="H1201" s="24">
        <f t="shared" si="148"/>
        <v>593.57986256004585</v>
      </c>
      <c r="I1201" s="12">
        <f t="shared" si="155"/>
        <v>0.25510506803535027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373.64609903494306</v>
      </c>
      <c r="F1202" s="37">
        <f t="shared" si="149"/>
        <v>0</v>
      </c>
      <c r="G1202" s="14">
        <f t="shared" si="150"/>
        <v>0</v>
      </c>
      <c r="H1202" s="24">
        <f t="shared" si="148"/>
        <v>593.69202833123302</v>
      </c>
      <c r="I1202" s="12">
        <f t="shared" si="155"/>
        <v>0.25500615348349798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373.90110518842658</v>
      </c>
      <c r="F1203" s="37">
        <f t="shared" si="149"/>
        <v>0</v>
      </c>
      <c r="G1203" s="14">
        <f t="shared" si="150"/>
        <v>0</v>
      </c>
      <c r="H1203" s="24">
        <f t="shared" si="148"/>
        <v>593.80425447905532</v>
      </c>
      <c r="I1203" s="12">
        <f t="shared" si="155"/>
        <v>0.25490724720139613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374.15601243562799</v>
      </c>
      <c r="F1204" s="37">
        <f t="shared" si="149"/>
        <v>0</v>
      </c>
      <c r="G1204" s="14">
        <f t="shared" si="150"/>
        <v>0</v>
      </c>
      <c r="H1204" s="24">
        <f t="shared" si="148"/>
        <v>593.91654110706372</v>
      </c>
      <c r="I1204" s="12">
        <f t="shared" si="155"/>
        <v>0.25480834923808865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374.41082078486608</v>
      </c>
      <c r="F1205" s="37">
        <f t="shared" si="149"/>
        <v>0</v>
      </c>
      <c r="G1205" s="14">
        <f t="shared" si="150"/>
        <v>0</v>
      </c>
      <c r="H1205" s="24">
        <f t="shared" si="148"/>
        <v>594.02888831837799</v>
      </c>
      <c r="I1205" s="12">
        <f t="shared" si="155"/>
        <v>0.2547094596426317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374.66553024450872</v>
      </c>
      <c r="F1206" s="37">
        <f t="shared" si="149"/>
        <v>0</v>
      </c>
      <c r="G1206" s="14">
        <f t="shared" si="150"/>
        <v>0</v>
      </c>
      <c r="H1206" s="24">
        <f t="shared" si="148"/>
        <v>594.14129621568611</v>
      </c>
      <c r="I1206" s="12">
        <f t="shared" si="155"/>
        <v>0.25461057846409391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374.92014082297283</v>
      </c>
      <c r="F1207" s="37">
        <f t="shared" si="149"/>
        <v>0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594.25376490124643</v>
      </c>
      <c r="I1207" s="12">
        <f t="shared" si="155"/>
        <v>0.25451170575155579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375.17465252872438</v>
      </c>
      <c r="F1208" s="37">
        <f t="shared" si="149"/>
        <v>0</v>
      </c>
      <c r="G1208" s="14">
        <f t="shared" si="150"/>
        <v>0</v>
      </c>
      <c r="H1208" s="24">
        <f t="shared" si="156"/>
        <v>594.36629447688733</v>
      </c>
      <c r="I1208" s="12">
        <f t="shared" si="155"/>
        <v>0.25441284155410981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375.42906537027847</v>
      </c>
      <c r="F1209" s="37">
        <f t="shared" si="149"/>
        <v>0</v>
      </c>
      <c r="G1209" s="14">
        <f t="shared" si="150"/>
        <v>0</v>
      </c>
      <c r="H1209" s="24">
        <f t="shared" si="156"/>
        <v>594.47888504400771</v>
      </c>
      <c r="I1209" s="12">
        <f t="shared" si="155"/>
        <v>0.25431398592086085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375.68337935619934</v>
      </c>
      <c r="F1210" s="37">
        <f t="shared" si="149"/>
        <v>0</v>
      </c>
      <c r="G1210" s="14">
        <f t="shared" si="150"/>
        <v>0</v>
      </c>
      <c r="H1210" s="24">
        <f t="shared" si="156"/>
        <v>594.59153670357841</v>
      </c>
      <c r="I1210" s="12">
        <f t="shared" si="155"/>
        <v>0.25421513890092473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375.93759449510026</v>
      </c>
      <c r="F1211" s="37">
        <f t="shared" si="149"/>
        <v>0</v>
      </c>
      <c r="G1211" s="14">
        <f t="shared" si="150"/>
        <v>0</v>
      </c>
      <c r="H1211" s="24">
        <f t="shared" si="156"/>
        <v>594.70424955614283</v>
      </c>
      <c r="I1211" s="12">
        <f t="shared" si="155"/>
        <v>0.25411630054342949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376.1917107956437</v>
      </c>
      <c r="F1212" s="37">
        <f t="shared" si="149"/>
        <v>0</v>
      </c>
      <c r="G1212" s="14">
        <f t="shared" si="150"/>
        <v>0</v>
      </c>
      <c r="H1212" s="24">
        <f t="shared" si="156"/>
        <v>594.81702370181642</v>
      </c>
      <c r="I1212" s="12">
        <f t="shared" si="155"/>
        <v>0.25401747089751447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376.44572826654121</v>
      </c>
      <c r="F1213" s="37">
        <f t="shared" si="149"/>
        <v>0</v>
      </c>
      <c r="G1213" s="14">
        <f t="shared" si="150"/>
        <v>0</v>
      </c>
      <c r="H1213" s="24">
        <f t="shared" si="156"/>
        <v>594.92985924028915</v>
      </c>
      <c r="I1213" s="12">
        <f t="shared" si="155"/>
        <v>0.25391865001233038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376.69964691655355</v>
      </c>
      <c r="F1214" s="37">
        <f t="shared" si="149"/>
        <v>0</v>
      </c>
      <c r="G1214" s="14">
        <f t="shared" si="150"/>
        <v>0</v>
      </c>
      <c r="H1214" s="24">
        <f t="shared" si="156"/>
        <v>595.0427562708245</v>
      </c>
      <c r="I1214" s="12">
        <f t="shared" si="155"/>
        <v>0.25381983793703922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376.95346675449059</v>
      </c>
      <c r="F1215" s="37">
        <f t="shared" si="149"/>
        <v>0</v>
      </c>
      <c r="G1215" s="14">
        <f t="shared" si="150"/>
        <v>0</v>
      </c>
      <c r="H1215" s="24">
        <f t="shared" si="156"/>
        <v>595.15571489226147</v>
      </c>
      <c r="I1215" s="12">
        <f t="shared" si="155"/>
        <v>0.25372103472081403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377.20718778921139</v>
      </c>
      <c r="F1216" s="37">
        <f t="shared" si="149"/>
        <v>0</v>
      </c>
      <c r="G1216" s="14">
        <f t="shared" si="150"/>
        <v>0</v>
      </c>
      <c r="H1216" s="24">
        <f t="shared" si="156"/>
        <v>595.2687352030141</v>
      </c>
      <c r="I1216" s="12">
        <f t="shared" si="155"/>
        <v>0.25362224041283887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377.46081002962421</v>
      </c>
      <c r="F1217" s="37">
        <f t="shared" si="149"/>
        <v>0</v>
      </c>
      <c r="G1217" s="14">
        <f t="shared" si="150"/>
        <v>0</v>
      </c>
      <c r="H1217" s="24">
        <f t="shared" si="156"/>
        <v>595.38181730107306</v>
      </c>
      <c r="I1217" s="12">
        <f t="shared" si="155"/>
        <v>0.25352345506230856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377.71433348468651</v>
      </c>
      <c r="F1218" s="37">
        <f t="shared" si="149"/>
        <v>0</v>
      </c>
      <c r="G1218" s="14">
        <f t="shared" si="150"/>
        <v>0</v>
      </c>
      <c r="H1218" s="24">
        <f t="shared" si="156"/>
        <v>595.49496128400574</v>
      </c>
      <c r="I1218" s="12">
        <f t="shared" si="155"/>
        <v>0.2534246787184285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377.96775816340494</v>
      </c>
      <c r="F1219" s="37">
        <f t="shared" si="149"/>
        <v>0</v>
      </c>
      <c r="G1219" s="14">
        <f t="shared" si="150"/>
        <v>0</v>
      </c>
      <c r="H1219" s="24">
        <f t="shared" si="156"/>
        <v>595.6081672489571</v>
      </c>
      <c r="I1219" s="12">
        <f t="shared" si="155"/>
        <v>0.25332591143041505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378.22108407483535</v>
      </c>
      <c r="F1220" s="37">
        <f t="shared" si="149"/>
        <v>0</v>
      </c>
      <c r="G1220" s="14">
        <f t="shared" si="150"/>
        <v>0</v>
      </c>
      <c r="H1220" s="24">
        <f t="shared" si="156"/>
        <v>595.72143529265043</v>
      </c>
      <c r="I1220" s="12">
        <f t="shared" si="155"/>
        <v>0.25322715324749462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378.47431122808285</v>
      </c>
      <c r="F1221" s="37">
        <f t="shared" si="149"/>
        <v>0</v>
      </c>
      <c r="G1221" s="14">
        <f t="shared" si="150"/>
        <v>0</v>
      </c>
      <c r="H1221" s="24">
        <f t="shared" si="156"/>
        <v>595.83476551138745</v>
      </c>
      <c r="I1221" s="12">
        <f t="shared" si="155"/>
        <v>0.25312840421890409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378.72743963230175</v>
      </c>
      <c r="F1222" s="37">
        <f t="shared" si="149"/>
        <v>0</v>
      </c>
      <c r="G1222" s="14">
        <f t="shared" si="150"/>
        <v>0</v>
      </c>
      <c r="H1222" s="24">
        <f t="shared" si="156"/>
        <v>595.94815800105005</v>
      </c>
      <c r="I1222" s="12">
        <f t="shared" si="155"/>
        <v>0.2530296643938903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378.98046929669562</v>
      </c>
      <c r="F1223" s="37">
        <f t="shared" si="149"/>
        <v>0</v>
      </c>
      <c r="G1223" s="14">
        <f t="shared" si="150"/>
        <v>0</v>
      </c>
      <c r="H1223" s="24">
        <f t="shared" si="156"/>
        <v>596.06161285710027</v>
      </c>
      <c r="I1223" s="12">
        <f t="shared" si="155"/>
        <v>0.25293093382171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379.2334002305173</v>
      </c>
      <c r="F1224" s="37">
        <f t="shared" si="149"/>
        <v>0</v>
      </c>
      <c r="G1224" s="14">
        <f t="shared" si="150"/>
        <v>0</v>
      </c>
      <c r="H1224" s="24">
        <f t="shared" si="156"/>
        <v>596.17513017458077</v>
      </c>
      <c r="I1224" s="12">
        <f t="shared" si="155"/>
        <v>0.25283221255163013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379.48623244306896</v>
      </c>
      <c r="F1225" s="37">
        <f t="shared" si="149"/>
        <v>0</v>
      </c>
      <c r="G1225" s="14">
        <f t="shared" si="150"/>
        <v>0</v>
      </c>
      <c r="H1225" s="24">
        <f t="shared" si="156"/>
        <v>596.2887100481156</v>
      </c>
      <c r="I1225" s="12">
        <f t="shared" si="155"/>
        <v>0.25273350063292699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379.73896594370188</v>
      </c>
      <c r="F1226" s="37">
        <f t="shared" si="149"/>
        <v>0</v>
      </c>
      <c r="G1226" s="14">
        <f t="shared" si="150"/>
        <v>0</v>
      </c>
      <c r="H1226" s="24">
        <f t="shared" si="156"/>
        <v>596.40235257191171</v>
      </c>
      <c r="I1226" s="12">
        <f t="shared" si="155"/>
        <v>0.25263479811488654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379.9916007418168</v>
      </c>
      <c r="F1227" s="37">
        <f t="shared" si="149"/>
        <v>0</v>
      </c>
      <c r="G1227" s="14">
        <f t="shared" si="150"/>
        <v>0</v>
      </c>
      <c r="H1227" s="24">
        <f t="shared" si="156"/>
        <v>596.5160578397581</v>
      </c>
      <c r="I1227" s="12">
        <f t="shared" si="155"/>
        <v>0.25253610504680402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380.24413684686363</v>
      </c>
      <c r="F1228" s="37">
        <f t="shared" si="149"/>
        <v>0</v>
      </c>
      <c r="G1228" s="14">
        <f t="shared" si="150"/>
        <v>0</v>
      </c>
      <c r="H1228" s="24">
        <f t="shared" si="156"/>
        <v>596.62982594502819</v>
      </c>
      <c r="I1228" s="12">
        <f t="shared" si="155"/>
        <v>0.25243742147798387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380.49657426834159</v>
      </c>
      <c r="F1229" s="37">
        <f t="shared" si="149"/>
        <v>0</v>
      </c>
      <c r="G1229" s="14">
        <f t="shared" si="150"/>
        <v>0</v>
      </c>
      <c r="H1229" s="24">
        <f t="shared" si="156"/>
        <v>596.74365698067879</v>
      </c>
      <c r="I1229" s="12">
        <f t="shared" si="155"/>
        <v>0.25233874745773982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380.7489130157993</v>
      </c>
      <c r="F1230" s="37">
        <f t="shared" si="149"/>
        <v>0</v>
      </c>
      <c r="G1230" s="14">
        <f t="shared" si="150"/>
        <v>0</v>
      </c>
      <c r="H1230" s="24">
        <f t="shared" si="156"/>
        <v>596.8575510392518</v>
      </c>
      <c r="I1230" s="12">
        <f t="shared" si="155"/>
        <v>0.25224008303539441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381.00115309883472</v>
      </c>
      <c r="F1231" s="37">
        <f t="shared" si="149"/>
        <v>0</v>
      </c>
      <c r="G1231" s="14">
        <f t="shared" si="150"/>
        <v>0</v>
      </c>
      <c r="H1231" s="24">
        <f t="shared" si="156"/>
        <v>596.97150821287528</v>
      </c>
      <c r="I1231" s="12">
        <f t="shared" si="155"/>
        <v>0.25214142826027863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381.25329452709502</v>
      </c>
      <c r="F1232" s="37">
        <f t="shared" si="149"/>
        <v>0</v>
      </c>
      <c r="G1232" s="14">
        <f t="shared" si="150"/>
        <v>0</v>
      </c>
      <c r="H1232" s="24">
        <f t="shared" si="156"/>
        <v>597.08552859326255</v>
      </c>
      <c r="I1232" s="12">
        <f t="shared" si="155"/>
        <v>0.25204278318173268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381.50533731027673</v>
      </c>
      <c r="F1233" s="37">
        <f t="shared" si="149"/>
        <v>0</v>
      </c>
      <c r="G1233" s="14">
        <f t="shared" si="150"/>
        <v>0</v>
      </c>
      <c r="H1233" s="24">
        <f t="shared" si="156"/>
        <v>597.19961227171461</v>
      </c>
      <c r="I1233" s="12">
        <f t="shared" si="155"/>
        <v>0.25194414784910457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381.75728145812582</v>
      </c>
      <c r="F1234" s="37">
        <f t="shared" si="149"/>
        <v>0</v>
      </c>
      <c r="G1234" s="14">
        <f t="shared" si="150"/>
        <v>0</v>
      </c>
      <c r="H1234" s="24">
        <f t="shared" si="156"/>
        <v>597.31375933911954</v>
      </c>
      <c r="I1234" s="12">
        <f t="shared" si="155"/>
        <v>0.25184552231175089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382.00912698043754</v>
      </c>
      <c r="F1235" s="37">
        <f t="shared" si="149"/>
        <v>0</v>
      </c>
      <c r="G1235" s="14">
        <f t="shared" si="150"/>
        <v>0</v>
      </c>
      <c r="H1235" s="24">
        <f t="shared" si="156"/>
        <v>597.42796988595364</v>
      </c>
      <c r="I1235" s="12">
        <f t="shared" si="155"/>
        <v>0.25174690661903631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382.26087388705656</v>
      </c>
      <c r="F1236" s="37">
        <f t="shared" ref="F1236:F1299" si="157">Cp*RhoP/(RhoA*H1236)*dp/1000*MassivP</f>
        <v>0</v>
      </c>
      <c r="G1236" s="14">
        <f t="shared" ref="G1236:G1299" si="158">Phi*EpsilonF*Botzman/10^8*J1236*((D1236+273)^4-(E1236+273)^4)</f>
        <v>0</v>
      </c>
      <c r="H1236" s="24">
        <f t="shared" si="156"/>
        <v>597.54224400228259</v>
      </c>
      <c r="I1236" s="12">
        <f t="shared" si="155"/>
        <v>0.25164830082033307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382.51252218787687</v>
      </c>
      <c r="F1237" s="37">
        <f t="shared" si="157"/>
        <v>0</v>
      </c>
      <c r="G1237" s="14">
        <f t="shared" si="158"/>
        <v>0</v>
      </c>
      <c r="H1237" s="24">
        <f t="shared" si="156"/>
        <v>597.65658177776061</v>
      </c>
      <c r="I1237" s="12">
        <f t="shared" ref="I1237:I1300" si="163">LambdaP*MassivP/(dp/1000)/(H1237*RhoA)/(1+F1237/3)*(D1237-E1237)*DeltaT-(EXP(F1237/10)-1)*(D1237-D1236)</f>
        <v>0.25154970496502205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382.76407189284191</v>
      </c>
      <c r="F1238" s="37">
        <f t="shared" si="157"/>
        <v>0</v>
      </c>
      <c r="G1238" s="14">
        <f t="shared" si="158"/>
        <v>0</v>
      </c>
      <c r="H1238" s="24">
        <f t="shared" si="156"/>
        <v>597.77098330163312</v>
      </c>
      <c r="I1238" s="12">
        <f t="shared" si="163"/>
        <v>0.25145111910249085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383.01552301194442</v>
      </c>
      <c r="F1239" s="37">
        <f t="shared" si="157"/>
        <v>0</v>
      </c>
      <c r="G1239" s="14">
        <f t="shared" si="158"/>
        <v>0</v>
      </c>
      <c r="H1239" s="24">
        <f t="shared" si="156"/>
        <v>597.88544866273583</v>
      </c>
      <c r="I1239" s="12">
        <f t="shared" si="163"/>
        <v>0.25135254328213491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383.26687555522653</v>
      </c>
      <c r="F1240" s="37">
        <f t="shared" si="157"/>
        <v>0</v>
      </c>
      <c r="G1240" s="14">
        <f t="shared" si="158"/>
        <v>0</v>
      </c>
      <c r="H1240" s="24">
        <f t="shared" si="156"/>
        <v>597.99997794949616</v>
      </c>
      <c r="I1240" s="12">
        <f t="shared" si="163"/>
        <v>0.25125397755335699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383.51812953277988</v>
      </c>
      <c r="F1241" s="37">
        <f t="shared" si="157"/>
        <v>0</v>
      </c>
      <c r="G1241" s="14">
        <f t="shared" si="158"/>
        <v>0</v>
      </c>
      <c r="H1241" s="24">
        <f t="shared" si="156"/>
        <v>598.11457124993387</v>
      </c>
      <c r="I1241" s="12">
        <f t="shared" si="163"/>
        <v>0.25115542196556662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383.76928495474544</v>
      </c>
      <c r="F1242" s="37">
        <f t="shared" si="157"/>
        <v>0</v>
      </c>
      <c r="G1242" s="14">
        <f t="shared" si="158"/>
        <v>0</v>
      </c>
      <c r="H1242" s="24">
        <f t="shared" si="156"/>
        <v>598.22922865166129</v>
      </c>
      <c r="I1242" s="12">
        <f t="shared" si="163"/>
        <v>0.25105687656818026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384.0203418313136</v>
      </c>
      <c r="F1243" s="37">
        <f t="shared" si="157"/>
        <v>0</v>
      </c>
      <c r="G1243" s="14">
        <f t="shared" si="158"/>
        <v>0</v>
      </c>
      <c r="H1243" s="24">
        <f t="shared" si="156"/>
        <v>598.34395024188439</v>
      </c>
      <c r="I1243" s="12">
        <f t="shared" si="163"/>
        <v>0.25095834141062173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384.27130017272424</v>
      </c>
      <c r="F1244" s="37">
        <f t="shared" si="157"/>
        <v>0</v>
      </c>
      <c r="G1244" s="14">
        <f t="shared" si="158"/>
        <v>0</v>
      </c>
      <c r="H1244" s="24">
        <f t="shared" si="156"/>
        <v>598.45873610740341</v>
      </c>
      <c r="I1244" s="12">
        <f t="shared" si="163"/>
        <v>0.2508598165423207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384.52215998926658</v>
      </c>
      <c r="F1245" s="37">
        <f t="shared" si="157"/>
        <v>0</v>
      </c>
      <c r="G1245" s="14">
        <f t="shared" si="158"/>
        <v>0</v>
      </c>
      <c r="H1245" s="24">
        <f t="shared" si="156"/>
        <v>598.57358633461331</v>
      </c>
      <c r="I1245" s="12">
        <f t="shared" si="163"/>
        <v>0.25076130201271357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384.77292129127932</v>
      </c>
      <c r="F1246" s="37">
        <f t="shared" si="157"/>
        <v>0</v>
      </c>
      <c r="G1246" s="14">
        <f t="shared" si="158"/>
        <v>0</v>
      </c>
      <c r="H1246" s="24">
        <f t="shared" si="156"/>
        <v>598.68850100950499</v>
      </c>
      <c r="I1246" s="12">
        <f t="shared" si="163"/>
        <v>0.25066279787124279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385.02358408915057</v>
      </c>
      <c r="F1247" s="37">
        <f t="shared" si="157"/>
        <v>0</v>
      </c>
      <c r="G1247" s="14">
        <f t="shared" si="158"/>
        <v>0</v>
      </c>
      <c r="H1247" s="24">
        <f t="shared" si="156"/>
        <v>598.80348021766497</v>
      </c>
      <c r="I1247" s="12">
        <f t="shared" si="163"/>
        <v>0.25056430416735703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385.27414839331794</v>
      </c>
      <c r="F1248" s="37">
        <f t="shared" si="157"/>
        <v>0</v>
      </c>
      <c r="G1248" s="14">
        <f t="shared" si="158"/>
        <v>0</v>
      </c>
      <c r="H1248" s="24">
        <f t="shared" si="156"/>
        <v>598.91852404427686</v>
      </c>
      <c r="I1248" s="12">
        <f t="shared" si="163"/>
        <v>0.25046582095051056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385.52461421426847</v>
      </c>
      <c r="F1249" s="37">
        <f t="shared" si="157"/>
        <v>0</v>
      </c>
      <c r="G1249" s="14">
        <f t="shared" si="158"/>
        <v>0</v>
      </c>
      <c r="H1249" s="24">
        <f t="shared" si="156"/>
        <v>599.03363257412195</v>
      </c>
      <c r="I1249" s="12">
        <f t="shared" si="163"/>
        <v>0.25036734827016355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385.77498156253864</v>
      </c>
      <c r="F1250" s="37">
        <f t="shared" si="157"/>
        <v>0</v>
      </c>
      <c r="G1250" s="14">
        <f t="shared" si="158"/>
        <v>0</v>
      </c>
      <c r="H1250" s="24">
        <f t="shared" si="156"/>
        <v>599.14880589157974</v>
      </c>
      <c r="I1250" s="12">
        <f t="shared" si="163"/>
        <v>0.25026888617578147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386.02525044871442</v>
      </c>
      <c r="F1251" s="37">
        <f t="shared" si="157"/>
        <v>0</v>
      </c>
      <c r="G1251" s="14">
        <f t="shared" si="158"/>
        <v>0</v>
      </c>
      <c r="H1251" s="24">
        <f t="shared" si="156"/>
        <v>599.26404408062808</v>
      </c>
      <c r="I1251" s="12">
        <f t="shared" si="163"/>
        <v>0.25017043471683531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386.27542088343125</v>
      </c>
      <c r="F1252" s="37">
        <f t="shared" si="157"/>
        <v>0</v>
      </c>
      <c r="G1252" s="14">
        <f t="shared" si="158"/>
        <v>0</v>
      </c>
      <c r="H1252" s="24">
        <f t="shared" si="156"/>
        <v>599.37934722484511</v>
      </c>
      <c r="I1252" s="12">
        <f t="shared" si="163"/>
        <v>0.25007199394280089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386.52549287737406</v>
      </c>
      <c r="F1253" s="37">
        <f t="shared" si="157"/>
        <v>0</v>
      </c>
      <c r="G1253" s="14">
        <f t="shared" si="158"/>
        <v>0</v>
      </c>
      <c r="H1253" s="24">
        <f t="shared" si="156"/>
        <v>599.49471540740842</v>
      </c>
      <c r="I1253" s="12">
        <f t="shared" si="163"/>
        <v>0.24997356390315931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386.77546644127722</v>
      </c>
      <c r="F1254" s="37">
        <f t="shared" si="157"/>
        <v>0</v>
      </c>
      <c r="G1254" s="14">
        <f t="shared" si="158"/>
        <v>0</v>
      </c>
      <c r="H1254" s="24">
        <f t="shared" si="156"/>
        <v>599.61014871109717</v>
      </c>
      <c r="I1254" s="12">
        <f t="shared" si="163"/>
        <v>0.24987514464739594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387.02534158592459</v>
      </c>
      <c r="F1255" s="37">
        <f t="shared" si="157"/>
        <v>0</v>
      </c>
      <c r="G1255" s="14">
        <f t="shared" si="158"/>
        <v>0</v>
      </c>
      <c r="H1255" s="24">
        <f t="shared" si="156"/>
        <v>599.72564721829133</v>
      </c>
      <c r="I1255" s="12">
        <f t="shared" si="163"/>
        <v>0.24977673622500107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387.27511832214958</v>
      </c>
      <c r="F1256" s="37">
        <f t="shared" si="157"/>
        <v>0</v>
      </c>
      <c r="G1256" s="14">
        <f t="shared" si="158"/>
        <v>0</v>
      </c>
      <c r="H1256" s="24">
        <f t="shared" si="156"/>
        <v>599.84121101097367</v>
      </c>
      <c r="I1256" s="12">
        <f t="shared" si="163"/>
        <v>0.24967833868546929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387.52479666083502</v>
      </c>
      <c r="F1257" s="37">
        <f t="shared" si="157"/>
        <v>0</v>
      </c>
      <c r="G1257" s="14">
        <f t="shared" si="158"/>
        <v>0</v>
      </c>
      <c r="H1257" s="24">
        <f t="shared" si="156"/>
        <v>599.95684017072938</v>
      </c>
      <c r="I1257" s="12">
        <f t="shared" si="163"/>
        <v>0.24957995207829936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387.77437661291333</v>
      </c>
      <c r="F1258" s="37">
        <f t="shared" si="157"/>
        <v>0</v>
      </c>
      <c r="G1258" s="14">
        <f t="shared" si="158"/>
        <v>0</v>
      </c>
      <c r="H1258" s="24">
        <f t="shared" si="156"/>
        <v>600.07253477874758</v>
      </c>
      <c r="I1258" s="12">
        <f t="shared" si="163"/>
        <v>0.24948157645299365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388.02385818936631</v>
      </c>
      <c r="F1259" s="37">
        <f t="shared" si="157"/>
        <v>0</v>
      </c>
      <c r="G1259" s="14">
        <f t="shared" si="158"/>
        <v>0</v>
      </c>
      <c r="H1259" s="24">
        <f t="shared" si="156"/>
        <v>600.1882949158213</v>
      </c>
      <c r="I1259" s="12">
        <f t="shared" si="163"/>
        <v>0.24938321185905885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388.27324140122539</v>
      </c>
      <c r="F1260" s="37">
        <f t="shared" si="157"/>
        <v>0</v>
      </c>
      <c r="G1260" s="14">
        <f t="shared" si="158"/>
        <v>0</v>
      </c>
      <c r="H1260" s="24">
        <f t="shared" si="156"/>
        <v>600.3041206623484</v>
      </c>
      <c r="I1260" s="12">
        <f t="shared" si="163"/>
        <v>0.24928485834600514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388.52252625957141</v>
      </c>
      <c r="F1261" s="37">
        <f t="shared" si="157"/>
        <v>0</v>
      </c>
      <c r="G1261" s="14">
        <f t="shared" si="158"/>
        <v>0</v>
      </c>
      <c r="H1261" s="24">
        <f t="shared" si="156"/>
        <v>600.42001209833234</v>
      </c>
      <c r="I1261" s="12">
        <f t="shared" si="163"/>
        <v>0.24918651596334579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388.77171277553475</v>
      </c>
      <c r="F1262" s="37">
        <f t="shared" si="157"/>
        <v>0</v>
      </c>
      <c r="G1262" s="14">
        <f t="shared" si="158"/>
        <v>0</v>
      </c>
      <c r="H1262" s="24">
        <f t="shared" si="156"/>
        <v>600.5359693033829</v>
      </c>
      <c r="I1262" s="12">
        <f t="shared" si="163"/>
        <v>0.24908818476059746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389.02080096029533</v>
      </c>
      <c r="F1263" s="37">
        <f t="shared" si="157"/>
        <v>0</v>
      </c>
      <c r="G1263" s="14">
        <f t="shared" si="158"/>
        <v>0</v>
      </c>
      <c r="H1263" s="24">
        <f t="shared" si="156"/>
        <v>600.65199235671651</v>
      </c>
      <c r="I1263" s="12">
        <f t="shared" si="163"/>
        <v>0.24898986478727986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389.26979082508262</v>
      </c>
      <c r="F1264" s="37">
        <f t="shared" si="157"/>
        <v>0</v>
      </c>
      <c r="G1264" s="14">
        <f t="shared" si="158"/>
        <v>0</v>
      </c>
      <c r="H1264" s="24">
        <f t="shared" si="156"/>
        <v>600.76808133715724</v>
      </c>
      <c r="I1264" s="12">
        <f t="shared" si="163"/>
        <v>0.24889155609291524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389.51868238117555</v>
      </c>
      <c r="F1265" s="37">
        <f t="shared" si="157"/>
        <v>0</v>
      </c>
      <c r="G1265" s="14">
        <f t="shared" si="158"/>
        <v>0</v>
      </c>
      <c r="H1265" s="24">
        <f t="shared" si="156"/>
        <v>600.88423632313743</v>
      </c>
      <c r="I1265" s="12">
        <f t="shared" si="163"/>
        <v>0.24879325872702893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389.76747563990256</v>
      </c>
      <c r="F1266" s="37">
        <f t="shared" si="157"/>
        <v>0</v>
      </c>
      <c r="G1266" s="14">
        <f t="shared" si="158"/>
        <v>0</v>
      </c>
      <c r="H1266" s="24">
        <f t="shared" si="156"/>
        <v>601.00045739269797</v>
      </c>
      <c r="I1266" s="12">
        <f t="shared" si="163"/>
        <v>0.24869497273914826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390.0161706126417</v>
      </c>
      <c r="F1267" s="37">
        <f t="shared" si="157"/>
        <v>0</v>
      </c>
      <c r="G1267" s="14">
        <f t="shared" si="158"/>
        <v>0</v>
      </c>
      <c r="H1267" s="24">
        <f t="shared" si="156"/>
        <v>601.11674462348947</v>
      </c>
      <c r="I1267" s="12">
        <f t="shared" si="163"/>
        <v>0.24859669817880306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390.2647673108205</v>
      </c>
      <c r="F1268" s="37">
        <f t="shared" si="157"/>
        <v>0</v>
      </c>
      <c r="G1268" s="14">
        <f t="shared" si="158"/>
        <v>0</v>
      </c>
      <c r="H1268" s="24">
        <f t="shared" si="156"/>
        <v>601.23309809277293</v>
      </c>
      <c r="I1268" s="12">
        <f t="shared" si="163"/>
        <v>0.24849843509552461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390.51326574591604</v>
      </c>
      <c r="F1269" s="37">
        <f t="shared" si="157"/>
        <v>0</v>
      </c>
      <c r="G1269" s="14">
        <f t="shared" si="158"/>
        <v>0</v>
      </c>
      <c r="H1269" s="24">
        <f t="shared" si="156"/>
        <v>601.34951787741988</v>
      </c>
      <c r="I1269" s="12">
        <f t="shared" si="163"/>
        <v>0.24840018353884669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390.76166592945486</v>
      </c>
      <c r="F1270" s="37">
        <f t="shared" si="157"/>
        <v>0</v>
      </c>
      <c r="G1270" s="14">
        <f t="shared" si="158"/>
        <v>0</v>
      </c>
      <c r="H1270" s="24">
        <f t="shared" si="156"/>
        <v>601.46600405391348</v>
      </c>
      <c r="I1270" s="12">
        <f t="shared" si="163"/>
        <v>0.24830194355830418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391.00996787301318</v>
      </c>
      <c r="F1271" s="37">
        <f t="shared" si="157"/>
        <v>0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601.58255669834921</v>
      </c>
      <c r="I1271" s="12">
        <f t="shared" si="163"/>
        <v>0.24820371520343371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391.25817158821661</v>
      </c>
      <c r="F1272" s="37">
        <f t="shared" si="157"/>
        <v>0</v>
      </c>
      <c r="G1272" s="14">
        <f t="shared" si="158"/>
        <v>0</v>
      </c>
      <c r="H1272" s="24">
        <f t="shared" si="164"/>
        <v>601.69917588643511</v>
      </c>
      <c r="I1272" s="12">
        <f t="shared" si="163"/>
        <v>0.24810549852377281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391.5062770867404</v>
      </c>
      <c r="F1273" s="37">
        <f t="shared" si="157"/>
        <v>0</v>
      </c>
      <c r="G1273" s="14">
        <f t="shared" si="158"/>
        <v>0</v>
      </c>
      <c r="H1273" s="24">
        <f t="shared" si="164"/>
        <v>601.81586169349305</v>
      </c>
      <c r="I1273" s="12">
        <f t="shared" si="163"/>
        <v>0.24800729356886012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391.75428438030923</v>
      </c>
      <c r="F1274" s="37">
        <f t="shared" si="157"/>
        <v>0</v>
      </c>
      <c r="G1274" s="14">
        <f t="shared" si="158"/>
        <v>0</v>
      </c>
      <c r="H1274" s="24">
        <f t="shared" si="164"/>
        <v>601.93261419445878</v>
      </c>
      <c r="I1274" s="12">
        <f t="shared" si="163"/>
        <v>0.24790910038823488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392.00219348069749</v>
      </c>
      <c r="F1275" s="37">
        <f t="shared" si="157"/>
        <v>0</v>
      </c>
      <c r="G1275" s="14">
        <f t="shared" si="158"/>
        <v>0</v>
      </c>
      <c r="H1275" s="24">
        <f t="shared" si="164"/>
        <v>602.04943346388336</v>
      </c>
      <c r="I1275" s="12">
        <f t="shared" si="163"/>
        <v>0.24781091903143715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392.25000439972894</v>
      </c>
      <c r="F1276" s="37">
        <f t="shared" si="157"/>
        <v>0</v>
      </c>
      <c r="G1276" s="14">
        <f t="shared" si="158"/>
        <v>0</v>
      </c>
      <c r="H1276" s="24">
        <f t="shared" si="164"/>
        <v>602.16631957593302</v>
      </c>
      <c r="I1276" s="12">
        <f t="shared" si="163"/>
        <v>0.24771274954800732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392.49771714927692</v>
      </c>
      <c r="F1277" s="37">
        <f t="shared" si="157"/>
        <v>0</v>
      </c>
      <c r="G1277" s="14">
        <f t="shared" si="158"/>
        <v>0</v>
      </c>
      <c r="H1277" s="24">
        <f t="shared" si="164"/>
        <v>602.28327260438994</v>
      </c>
      <c r="I1277" s="12">
        <f t="shared" si="163"/>
        <v>0.2476145919874857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392.74533174126441</v>
      </c>
      <c r="F1278" s="37">
        <f t="shared" si="157"/>
        <v>0</v>
      </c>
      <c r="G1278" s="14">
        <f t="shared" si="158"/>
        <v>0</v>
      </c>
      <c r="H1278" s="24">
        <f t="shared" si="164"/>
        <v>602.40029262265364</v>
      </c>
      <c r="I1278" s="12">
        <f t="shared" si="163"/>
        <v>0.24751644639941286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392.99284818766381</v>
      </c>
      <c r="F1279" s="37">
        <f t="shared" si="157"/>
        <v>0</v>
      </c>
      <c r="G1279" s="14">
        <f t="shared" si="158"/>
        <v>0</v>
      </c>
      <c r="H1279" s="24">
        <f t="shared" si="164"/>
        <v>602.51737970374108</v>
      </c>
      <c r="I1279" s="12">
        <f t="shared" si="163"/>
        <v>0.2474183128333286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393.24026650049711</v>
      </c>
      <c r="F1280" s="37">
        <f t="shared" si="157"/>
        <v>0</v>
      </c>
      <c r="G1280" s="14">
        <f t="shared" si="158"/>
        <v>0</v>
      </c>
      <c r="H1280" s="24">
        <f t="shared" si="164"/>
        <v>602.63453392028714</v>
      </c>
      <c r="I1280" s="12">
        <f t="shared" si="163"/>
        <v>0.24732019133877281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393.48758669183587</v>
      </c>
      <c r="F1281" s="37">
        <f t="shared" si="157"/>
        <v>0</v>
      </c>
      <c r="G1281" s="14">
        <f t="shared" si="158"/>
        <v>0</v>
      </c>
      <c r="H1281" s="24">
        <f t="shared" si="164"/>
        <v>602.7517553445457</v>
      </c>
      <c r="I1281" s="12">
        <f t="shared" si="163"/>
        <v>0.24722208196528433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393.73480877380115</v>
      </c>
      <c r="F1282" s="37">
        <f t="shared" si="157"/>
        <v>0</v>
      </c>
      <c r="G1282" s="14">
        <f t="shared" si="158"/>
        <v>0</v>
      </c>
      <c r="H1282" s="24">
        <f t="shared" si="164"/>
        <v>602.86904404839026</v>
      </c>
      <c r="I1282" s="12">
        <f t="shared" si="163"/>
        <v>0.24712398476240102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393.98193275856357</v>
      </c>
      <c r="F1283" s="37">
        <f t="shared" si="157"/>
        <v>0</v>
      </c>
      <c r="G1283" s="14">
        <f t="shared" si="158"/>
        <v>0</v>
      </c>
      <c r="H1283" s="24">
        <f t="shared" si="164"/>
        <v>602.98640010331428</v>
      </c>
      <c r="I1283" s="12">
        <f t="shared" si="163"/>
        <v>0.24702589977966005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394.22895865834323</v>
      </c>
      <c r="F1284" s="37">
        <f t="shared" si="157"/>
        <v>0</v>
      </c>
      <c r="G1284" s="14">
        <f t="shared" si="158"/>
        <v>0</v>
      </c>
      <c r="H1284" s="24">
        <f t="shared" si="164"/>
        <v>603.10382358043228</v>
      </c>
      <c r="I1284" s="12">
        <f t="shared" si="163"/>
        <v>0.24692782706659666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394.47588648540983</v>
      </c>
      <c r="F1285" s="37">
        <f t="shared" si="157"/>
        <v>0</v>
      </c>
      <c r="G1285" s="14">
        <f t="shared" si="158"/>
        <v>0</v>
      </c>
      <c r="H1285" s="24">
        <f t="shared" si="164"/>
        <v>603.22131455048009</v>
      </c>
      <c r="I1285" s="12">
        <f t="shared" si="163"/>
        <v>0.24682976667274506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394.72271625208259</v>
      </c>
      <c r="F1286" s="37">
        <f t="shared" si="157"/>
        <v>0</v>
      </c>
      <c r="G1286" s="14">
        <f t="shared" si="158"/>
        <v>0</v>
      </c>
      <c r="H1286" s="24">
        <f t="shared" si="164"/>
        <v>603.338873083816</v>
      </c>
      <c r="I1286" s="12">
        <f t="shared" si="163"/>
        <v>0.24673171864763727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394.96944797073024</v>
      </c>
      <c r="F1287" s="37">
        <f t="shared" si="157"/>
        <v>0</v>
      </c>
      <c r="G1287" s="14">
        <f t="shared" si="158"/>
        <v>0</v>
      </c>
      <c r="H1287" s="24">
        <f t="shared" si="164"/>
        <v>603.45649925042051</v>
      </c>
      <c r="I1287" s="12">
        <f t="shared" si="163"/>
        <v>0.24663368304080363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395.21608165377103</v>
      </c>
      <c r="F1288" s="37">
        <f t="shared" si="157"/>
        <v>0</v>
      </c>
      <c r="G1288" s="14">
        <f t="shared" si="158"/>
        <v>0</v>
      </c>
      <c r="H1288" s="24">
        <f t="shared" si="164"/>
        <v>603.57419311989861</v>
      </c>
      <c r="I1288" s="12">
        <f t="shared" si="163"/>
        <v>0.2465356599017722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395.46261731367281</v>
      </c>
      <c r="F1289" s="37">
        <f t="shared" si="157"/>
        <v>0</v>
      </c>
      <c r="G1289" s="14">
        <f t="shared" si="158"/>
        <v>0</v>
      </c>
      <c r="H1289" s="24">
        <f t="shared" si="164"/>
        <v>603.69195476147877</v>
      </c>
      <c r="I1289" s="12">
        <f t="shared" si="163"/>
        <v>0.24643764928006837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395.70905496295291</v>
      </c>
      <c r="F1290" s="37">
        <f t="shared" si="157"/>
        <v>0</v>
      </c>
      <c r="G1290" s="14">
        <f t="shared" si="158"/>
        <v>0</v>
      </c>
      <c r="H1290" s="24">
        <f t="shared" si="164"/>
        <v>603.80978424401428</v>
      </c>
      <c r="I1290" s="12">
        <f t="shared" si="163"/>
        <v>0.24633965122521517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395.95539461417815</v>
      </c>
      <c r="F1291" s="37">
        <f t="shared" si="157"/>
        <v>0</v>
      </c>
      <c r="G1291" s="14">
        <f t="shared" si="158"/>
        <v>0</v>
      </c>
      <c r="H1291" s="24">
        <f t="shared" si="164"/>
        <v>603.9276816359843</v>
      </c>
      <c r="I1291" s="12">
        <f t="shared" si="163"/>
        <v>0.24624166578673262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396.20163627996487</v>
      </c>
      <c r="F1292" s="37">
        <f t="shared" si="157"/>
        <v>0</v>
      </c>
      <c r="G1292" s="14">
        <f t="shared" si="158"/>
        <v>0</v>
      </c>
      <c r="H1292" s="24">
        <f t="shared" si="164"/>
        <v>604.04564700549395</v>
      </c>
      <c r="I1292" s="12">
        <f t="shared" si="163"/>
        <v>0.24614369301413791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396.44777997297899</v>
      </c>
      <c r="F1293" s="37">
        <f t="shared" si="157"/>
        <v>0</v>
      </c>
      <c r="G1293" s="14">
        <f t="shared" si="158"/>
        <v>0</v>
      </c>
      <c r="H1293" s="24">
        <f t="shared" si="164"/>
        <v>604.16368042027511</v>
      </c>
      <c r="I1293" s="12">
        <f t="shared" si="163"/>
        <v>0.24604573295694454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396.69382570593592</v>
      </c>
      <c r="F1294" s="37">
        <f t="shared" si="157"/>
        <v>0</v>
      </c>
      <c r="G1294" s="14">
        <f t="shared" si="158"/>
        <v>0</v>
      </c>
      <c r="H1294" s="24">
        <f t="shared" si="164"/>
        <v>604.28178194768725</v>
      </c>
      <c r="I1294" s="12">
        <f t="shared" si="163"/>
        <v>0.24594778566466274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396.93977349160059</v>
      </c>
      <c r="F1295" s="37">
        <f t="shared" si="157"/>
        <v>0</v>
      </c>
      <c r="G1295" s="14">
        <f t="shared" si="158"/>
        <v>0</v>
      </c>
      <c r="H1295" s="24">
        <f t="shared" si="164"/>
        <v>604.39995165471828</v>
      </c>
      <c r="I1295" s="12">
        <f t="shared" si="163"/>
        <v>0.24584985118679878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397.18562334278738</v>
      </c>
      <c r="F1296" s="37">
        <f t="shared" si="157"/>
        <v>0</v>
      </c>
      <c r="G1296" s="14">
        <f t="shared" si="158"/>
        <v>0</v>
      </c>
      <c r="H1296" s="24">
        <f t="shared" si="164"/>
        <v>604.51818960798448</v>
      </c>
      <c r="I1296" s="12">
        <f t="shared" si="163"/>
        <v>0.24575192957285519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397.43137527236024</v>
      </c>
      <c r="F1297" s="37">
        <f t="shared" si="157"/>
        <v>0</v>
      </c>
      <c r="G1297" s="14">
        <f t="shared" si="158"/>
        <v>0</v>
      </c>
      <c r="H1297" s="24">
        <f t="shared" si="164"/>
        <v>604.63649587373175</v>
      </c>
      <c r="I1297" s="12">
        <f t="shared" si="163"/>
        <v>0.24565402087233018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397.67702929323258</v>
      </c>
      <c r="F1298" s="37">
        <f t="shared" si="157"/>
        <v>0</v>
      </c>
      <c r="G1298" s="14">
        <f t="shared" si="158"/>
        <v>0</v>
      </c>
      <c r="H1298" s="24">
        <f t="shared" si="164"/>
        <v>604.75487051783637</v>
      </c>
      <c r="I1298" s="12">
        <f t="shared" si="163"/>
        <v>0.24555612513471756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397.92258541836731</v>
      </c>
      <c r="F1299" s="37">
        <f t="shared" si="157"/>
        <v>0</v>
      </c>
      <c r="G1299" s="14">
        <f t="shared" si="158"/>
        <v>0</v>
      </c>
      <c r="H1299" s="24">
        <f t="shared" si="164"/>
        <v>604.87331360580515</v>
      </c>
      <c r="I1299" s="12">
        <f t="shared" si="163"/>
        <v>0.24545824240950673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398.16804366077679</v>
      </c>
      <c r="F1300" s="37">
        <f t="shared" ref="F1300:F1363" si="165">Cp*RhoP/(RhoA*H1300)*dp/1000*MassivP</f>
        <v>0</v>
      </c>
      <c r="G1300" s="14">
        <f t="shared" ref="G1300:G1363" si="166">Phi*EpsilonF*Botzman/10^8*J1300*((D1300+273)^4-(E1300+273)^4)</f>
        <v>0</v>
      </c>
      <c r="H1300" s="24">
        <f t="shared" si="164"/>
        <v>604.99182520277668</v>
      </c>
      <c r="I1300" s="12">
        <f t="shared" si="163"/>
        <v>0.24536037274618172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398.41340403352297</v>
      </c>
      <c r="F1301" s="37">
        <f t="shared" si="165"/>
        <v>0</v>
      </c>
      <c r="G1301" s="14">
        <f t="shared" si="166"/>
        <v>0</v>
      </c>
      <c r="H1301" s="24">
        <f t="shared" si="164"/>
        <v>605.11040537352153</v>
      </c>
      <c r="I1301" s="12">
        <f t="shared" ref="I1301:I1364" si="171">LambdaP*MassivP/(dp/1000)/(H1301*RhoA)/(1+F1301/3)*(D1301-E1301)*DeltaT-(EXP(F1301/10)-1)*(D1301-D1300)</f>
        <v>0.24526251619422162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398.65866654971717</v>
      </c>
      <c r="F1302" s="37">
        <f t="shared" si="165"/>
        <v>0</v>
      </c>
      <c r="G1302" s="14">
        <f t="shared" si="166"/>
        <v>0</v>
      </c>
      <c r="H1302" s="24">
        <f t="shared" si="164"/>
        <v>605.22905418244318</v>
      </c>
      <c r="I1302" s="12">
        <f t="shared" si="171"/>
        <v>0.24516467280310061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398.9038312225203</v>
      </c>
      <c r="F1303" s="37">
        <f t="shared" si="165"/>
        <v>0</v>
      </c>
      <c r="G1303" s="14">
        <f t="shared" si="166"/>
        <v>0</v>
      </c>
      <c r="H1303" s="24">
        <f t="shared" si="164"/>
        <v>605.34777169357835</v>
      </c>
      <c r="I1303" s="12">
        <f t="shared" si="171"/>
        <v>0.24506684262228709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399.14889806514259</v>
      </c>
      <c r="F1304" s="37">
        <f t="shared" si="165"/>
        <v>0</v>
      </c>
      <c r="G1304" s="14">
        <f t="shared" si="166"/>
        <v>0</v>
      </c>
      <c r="H1304" s="24">
        <f t="shared" si="164"/>
        <v>605.46655797059816</v>
      </c>
      <c r="I1304" s="12">
        <f t="shared" si="171"/>
        <v>0.24496902570124338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399.39386709084386</v>
      </c>
      <c r="F1305" s="37">
        <f t="shared" si="165"/>
        <v>0</v>
      </c>
      <c r="G1305" s="14">
        <f t="shared" si="166"/>
        <v>0</v>
      </c>
      <c r="H1305" s="24">
        <f t="shared" si="164"/>
        <v>605.58541307680844</v>
      </c>
      <c r="I1305" s="12">
        <f t="shared" si="171"/>
        <v>0.24487122208942619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399.6387383129333</v>
      </c>
      <c r="F1306" s="37">
        <f t="shared" si="165"/>
        <v>0</v>
      </c>
      <c r="G1306" s="14">
        <f t="shared" si="166"/>
        <v>0</v>
      </c>
      <c r="H1306" s="24">
        <f t="shared" si="164"/>
        <v>605.70433707515053</v>
      </c>
      <c r="I1306" s="12">
        <f t="shared" si="171"/>
        <v>0.24477343183628592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399.88351174476958</v>
      </c>
      <c r="F1307" s="37">
        <f t="shared" si="165"/>
        <v>0</v>
      </c>
      <c r="G1307" s="14">
        <f t="shared" si="166"/>
        <v>0</v>
      </c>
      <c r="H1307" s="24">
        <f t="shared" si="164"/>
        <v>605.82333002820201</v>
      </c>
      <c r="I1307" s="12">
        <f t="shared" si="171"/>
        <v>0.24467565499126642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400.12818739976086</v>
      </c>
      <c r="F1308" s="37">
        <f t="shared" si="165"/>
        <v>0</v>
      </c>
      <c r="G1308" s="14">
        <f t="shared" si="166"/>
        <v>0</v>
      </c>
      <c r="H1308" s="24">
        <f t="shared" si="164"/>
        <v>605.94239199817707</v>
      </c>
      <c r="I1308" s="12">
        <f t="shared" si="171"/>
        <v>0.24457789160380483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400.37276529136466</v>
      </c>
      <c r="F1309" s="37">
        <f t="shared" si="165"/>
        <v>0</v>
      </c>
      <c r="G1309" s="14">
        <f t="shared" si="166"/>
        <v>0</v>
      </c>
      <c r="H1309" s="24">
        <f t="shared" si="164"/>
        <v>606.06152304692728</v>
      </c>
      <c r="I1309" s="12">
        <f t="shared" si="171"/>
        <v>0.24448014172333163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400.61724543308799</v>
      </c>
      <c r="F1310" s="37">
        <f t="shared" si="165"/>
        <v>0</v>
      </c>
      <c r="G1310" s="14">
        <f t="shared" si="166"/>
        <v>0</v>
      </c>
      <c r="H1310" s="24">
        <f t="shared" si="164"/>
        <v>606.18072323594288</v>
      </c>
      <c r="I1310" s="12">
        <f t="shared" si="171"/>
        <v>0.24438240539926975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400.86162783848727</v>
      </c>
      <c r="F1311" s="37">
        <f t="shared" si="165"/>
        <v>0</v>
      </c>
      <c r="G1311" s="14">
        <f t="shared" si="166"/>
        <v>0</v>
      </c>
      <c r="H1311" s="24">
        <f t="shared" si="164"/>
        <v>606.29999262635204</v>
      </c>
      <c r="I1311" s="12">
        <f t="shared" si="171"/>
        <v>0.24428468268103523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401.10591252116831</v>
      </c>
      <c r="F1312" s="37">
        <f t="shared" si="165"/>
        <v>0</v>
      </c>
      <c r="G1312" s="14">
        <f t="shared" si="166"/>
        <v>0</v>
      </c>
      <c r="H1312" s="24">
        <f t="shared" si="164"/>
        <v>606.41933127892321</v>
      </c>
      <c r="I1312" s="12">
        <f t="shared" si="171"/>
        <v>0.24418697361803604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401.35009949478632</v>
      </c>
      <c r="F1313" s="37">
        <f t="shared" si="165"/>
        <v>0</v>
      </c>
      <c r="G1313" s="14">
        <f t="shared" si="166"/>
        <v>0</v>
      </c>
      <c r="H1313" s="24">
        <f t="shared" si="164"/>
        <v>606.53873925406435</v>
      </c>
      <c r="I1313" s="12">
        <f t="shared" si="171"/>
        <v>0.24408927825967275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401.59418877304597</v>
      </c>
      <c r="F1314" s="37">
        <f t="shared" si="165"/>
        <v>0</v>
      </c>
      <c r="G1314" s="14">
        <f t="shared" si="166"/>
        <v>0</v>
      </c>
      <c r="H1314" s="24">
        <f t="shared" si="164"/>
        <v>606.65821661182463</v>
      </c>
      <c r="I1314" s="12">
        <f t="shared" si="171"/>
        <v>0.24399159665533732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401.83818036970132</v>
      </c>
      <c r="F1315" s="37">
        <f t="shared" si="165"/>
        <v>0</v>
      </c>
      <c r="G1315" s="14">
        <f t="shared" si="166"/>
        <v>0</v>
      </c>
      <c r="H1315" s="24">
        <f t="shared" si="164"/>
        <v>606.77776341189463</v>
      </c>
      <c r="I1315" s="12">
        <f t="shared" si="171"/>
        <v>0.24389392885441397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402.08207429855571</v>
      </c>
      <c r="F1316" s="37">
        <f t="shared" si="165"/>
        <v>0</v>
      </c>
      <c r="G1316" s="14">
        <f t="shared" si="166"/>
        <v>0</v>
      </c>
      <c r="H1316" s="24">
        <f t="shared" si="164"/>
        <v>606.89737971360671</v>
      </c>
      <c r="I1316" s="12">
        <f t="shared" si="171"/>
        <v>0.24379627490627814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402.325870573462</v>
      </c>
      <c r="F1317" s="37">
        <f t="shared" si="165"/>
        <v>0</v>
      </c>
      <c r="G1317" s="14">
        <f t="shared" si="166"/>
        <v>0</v>
      </c>
      <c r="H1317" s="24">
        <f t="shared" si="164"/>
        <v>607.01706557593627</v>
      </c>
      <c r="I1317" s="12">
        <f t="shared" si="171"/>
        <v>0.24369863486029641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402.56956920832232</v>
      </c>
      <c r="F1318" s="37">
        <f t="shared" si="165"/>
        <v>0</v>
      </c>
      <c r="G1318" s="14">
        <f t="shared" si="166"/>
        <v>0</v>
      </c>
      <c r="H1318" s="24">
        <f t="shared" si="164"/>
        <v>607.13682105750195</v>
      </c>
      <c r="I1318" s="12">
        <f t="shared" si="171"/>
        <v>0.24360100876582663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402.81317021708816</v>
      </c>
      <c r="F1319" s="37">
        <f t="shared" si="165"/>
        <v>0</v>
      </c>
      <c r="G1319" s="14">
        <f t="shared" si="166"/>
        <v>0</v>
      </c>
      <c r="H1319" s="24">
        <f t="shared" si="164"/>
        <v>607.25664621656665</v>
      </c>
      <c r="I1319" s="12">
        <f t="shared" si="171"/>
        <v>0.2435033966722171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403.05667361376038</v>
      </c>
      <c r="F1320" s="37">
        <f t="shared" si="165"/>
        <v>0</v>
      </c>
      <c r="G1320" s="14">
        <f t="shared" si="166"/>
        <v>0</v>
      </c>
      <c r="H1320" s="24">
        <f t="shared" si="164"/>
        <v>607.37654111103802</v>
      </c>
      <c r="I1320" s="12">
        <f t="shared" si="171"/>
        <v>0.24340579862880699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403.30007941238921</v>
      </c>
      <c r="F1321" s="37">
        <f t="shared" si="165"/>
        <v>0</v>
      </c>
      <c r="G1321" s="14">
        <f t="shared" si="166"/>
        <v>0</v>
      </c>
      <c r="H1321" s="24">
        <f t="shared" si="164"/>
        <v>607.49650579846912</v>
      </c>
      <c r="I1321" s="12">
        <f t="shared" si="171"/>
        <v>0.24330821468492553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403.54338762707414</v>
      </c>
      <c r="F1322" s="37">
        <f t="shared" si="165"/>
        <v>0</v>
      </c>
      <c r="G1322" s="14">
        <f t="shared" si="166"/>
        <v>0</v>
      </c>
      <c r="H1322" s="24">
        <f t="shared" si="164"/>
        <v>607.61654033605896</v>
      </c>
      <c r="I1322" s="12">
        <f t="shared" si="171"/>
        <v>0.24321064488989214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403.78659827196401</v>
      </c>
      <c r="F1323" s="37">
        <f t="shared" si="165"/>
        <v>0</v>
      </c>
      <c r="G1323" s="14">
        <f t="shared" si="166"/>
        <v>0</v>
      </c>
      <c r="H1323" s="24">
        <f t="shared" si="164"/>
        <v>607.73664478065325</v>
      </c>
      <c r="I1323" s="12">
        <f t="shared" si="171"/>
        <v>0.243113089293016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404.029711361257</v>
      </c>
      <c r="F1324" s="37">
        <f t="shared" si="165"/>
        <v>0</v>
      </c>
      <c r="G1324" s="14">
        <f t="shared" si="166"/>
        <v>0</v>
      </c>
      <c r="H1324" s="24">
        <f t="shared" si="164"/>
        <v>607.85681918874536</v>
      </c>
      <c r="I1324" s="12">
        <f t="shared" si="171"/>
        <v>0.24301554794359612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404.27272690920057</v>
      </c>
      <c r="F1325" s="37">
        <f t="shared" si="165"/>
        <v>0</v>
      </c>
      <c r="G1325" s="14">
        <f t="shared" si="166"/>
        <v>0</v>
      </c>
      <c r="H1325" s="24">
        <f t="shared" si="164"/>
        <v>607.97706361647681</v>
      </c>
      <c r="I1325" s="12">
        <f t="shared" si="171"/>
        <v>0.24291802089092038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404.51564493009147</v>
      </c>
      <c r="F1326" s="37">
        <f t="shared" si="165"/>
        <v>0</v>
      </c>
      <c r="G1326" s="14">
        <f t="shared" si="166"/>
        <v>0</v>
      </c>
      <c r="H1326" s="24">
        <f t="shared" si="164"/>
        <v>608.09737811963737</v>
      </c>
      <c r="I1326" s="12">
        <f t="shared" si="171"/>
        <v>0.24282050818426629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404.75846543827572</v>
      </c>
      <c r="F1327" s="37">
        <f t="shared" si="165"/>
        <v>0</v>
      </c>
      <c r="G1327" s="14">
        <f t="shared" si="166"/>
        <v>0</v>
      </c>
      <c r="H1327" s="24">
        <f t="shared" si="164"/>
        <v>608.21776275366619</v>
      </c>
      <c r="I1327" s="12">
        <f t="shared" si="171"/>
        <v>0.24272300987290021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405.00118844814864</v>
      </c>
      <c r="F1328" s="37">
        <f t="shared" si="165"/>
        <v>0</v>
      </c>
      <c r="G1328" s="14">
        <f t="shared" si="166"/>
        <v>0</v>
      </c>
      <c r="H1328" s="24">
        <f t="shared" si="164"/>
        <v>608.33821757365354</v>
      </c>
      <c r="I1328" s="12">
        <f t="shared" si="171"/>
        <v>0.24262552600607656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405.2438139741547</v>
      </c>
      <c r="F1329" s="37">
        <f t="shared" si="165"/>
        <v>0</v>
      </c>
      <c r="G1329" s="14">
        <f t="shared" si="166"/>
        <v>0</v>
      </c>
      <c r="H1329" s="24">
        <f t="shared" si="164"/>
        <v>608.45874263433882</v>
      </c>
      <c r="I1329" s="12">
        <f t="shared" si="171"/>
        <v>0.24252805663303911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405.48634203078774</v>
      </c>
      <c r="F1330" s="37">
        <f t="shared" si="165"/>
        <v>0</v>
      </c>
      <c r="G1330" s="14">
        <f t="shared" si="166"/>
        <v>0</v>
      </c>
      <c r="H1330" s="24">
        <f t="shared" si="164"/>
        <v>608.5793379901138</v>
      </c>
      <c r="I1330" s="12">
        <f t="shared" si="171"/>
        <v>0.24243060180301923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405.72877263259073</v>
      </c>
      <c r="F1331" s="37">
        <f t="shared" si="165"/>
        <v>0</v>
      </c>
      <c r="G1331" s="14">
        <f t="shared" si="166"/>
        <v>0</v>
      </c>
      <c r="H1331" s="24">
        <f t="shared" si="164"/>
        <v>608.70000369502225</v>
      </c>
      <c r="I1331" s="12">
        <f t="shared" si="171"/>
        <v>0.24233316156523618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405.97110579415596</v>
      </c>
      <c r="F1332" s="37">
        <f t="shared" si="165"/>
        <v>0</v>
      </c>
      <c r="G1332" s="14">
        <f t="shared" si="166"/>
        <v>0</v>
      </c>
      <c r="H1332" s="24">
        <f t="shared" si="164"/>
        <v>608.82073980276016</v>
      </c>
      <c r="I1332" s="12">
        <f t="shared" si="171"/>
        <v>0.24223573596889728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406.21334153012486</v>
      </c>
      <c r="F1333" s="37">
        <f t="shared" si="165"/>
        <v>0</v>
      </c>
      <c r="G1333" s="14">
        <f t="shared" si="166"/>
        <v>0</v>
      </c>
      <c r="H1333" s="24">
        <f t="shared" si="164"/>
        <v>608.94154636667713</v>
      </c>
      <c r="I1333" s="12">
        <f t="shared" si="171"/>
        <v>0.24213832506319732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406.45547985518806</v>
      </c>
      <c r="F1334" s="37">
        <f t="shared" si="165"/>
        <v>0</v>
      </c>
      <c r="G1334" s="14">
        <f t="shared" si="166"/>
        <v>0</v>
      </c>
      <c r="H1334" s="24">
        <f t="shared" si="164"/>
        <v>609.06242343977692</v>
      </c>
      <c r="I1334" s="12">
        <f t="shared" si="171"/>
        <v>0.24204092889731788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406.69752078408538</v>
      </c>
      <c r="F1335" s="37">
        <f t="shared" si="165"/>
        <v>0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609.1833710747178</v>
      </c>
      <c r="I1335" s="12">
        <f t="shared" si="171"/>
        <v>0.24194354752042788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406.93946433160579</v>
      </c>
      <c r="F1336" s="37">
        <f t="shared" si="165"/>
        <v>0</v>
      </c>
      <c r="G1336" s="14">
        <f t="shared" si="166"/>
        <v>0</v>
      </c>
      <c r="H1336" s="24">
        <f t="shared" si="172"/>
        <v>609.30438932381321</v>
      </c>
      <c r="I1336" s="12">
        <f t="shared" si="171"/>
        <v>0.24184618098168295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407.18131051258746</v>
      </c>
      <c r="F1337" s="37">
        <f t="shared" si="165"/>
        <v>0</v>
      </c>
      <c r="G1337" s="14">
        <f t="shared" si="166"/>
        <v>0</v>
      </c>
      <c r="H1337" s="24">
        <f t="shared" si="172"/>
        <v>609.42547823903283</v>
      </c>
      <c r="I1337" s="12">
        <f t="shared" si="171"/>
        <v>0.24174882933022546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407.42305934191768</v>
      </c>
      <c r="F1338" s="37">
        <f t="shared" si="165"/>
        <v>0</v>
      </c>
      <c r="G1338" s="14">
        <f t="shared" si="166"/>
        <v>0</v>
      </c>
      <c r="H1338" s="24">
        <f t="shared" si="172"/>
        <v>609.54663787200298</v>
      </c>
      <c r="I1338" s="12">
        <f t="shared" si="171"/>
        <v>0.24165149261518371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407.66471083453285</v>
      </c>
      <c r="F1339" s="37">
        <f t="shared" si="165"/>
        <v>0</v>
      </c>
      <c r="G1339" s="14">
        <f t="shared" si="166"/>
        <v>0</v>
      </c>
      <c r="H1339" s="24">
        <f t="shared" si="172"/>
        <v>609.66786827400711</v>
      </c>
      <c r="I1339" s="12">
        <f t="shared" si="171"/>
        <v>0.24155417088567233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407.9062650054185</v>
      </c>
      <c r="F1340" s="37">
        <f t="shared" si="165"/>
        <v>0</v>
      </c>
      <c r="G1340" s="14">
        <f t="shared" si="166"/>
        <v>0</v>
      </c>
      <c r="H1340" s="24">
        <f t="shared" si="172"/>
        <v>609.78916949598681</v>
      </c>
      <c r="I1340" s="12">
        <f t="shared" si="171"/>
        <v>0.24145686419079135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408.14772186960931</v>
      </c>
      <c r="F1341" s="37">
        <f t="shared" si="165"/>
        <v>0</v>
      </c>
      <c r="G1341" s="14">
        <f t="shared" si="166"/>
        <v>0</v>
      </c>
      <c r="H1341" s="24">
        <f t="shared" si="172"/>
        <v>609.91054158854206</v>
      </c>
      <c r="I1341" s="12">
        <f t="shared" si="171"/>
        <v>0.24135957257962687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408.38908144218897</v>
      </c>
      <c r="F1342" s="37">
        <f t="shared" si="165"/>
        <v>0</v>
      </c>
      <c r="G1342" s="14">
        <f t="shared" si="166"/>
        <v>0</v>
      </c>
      <c r="H1342" s="24">
        <f t="shared" si="172"/>
        <v>610.03198460193232</v>
      </c>
      <c r="I1342" s="12">
        <f t="shared" si="171"/>
        <v>0.24126229610125011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408.63034373829021</v>
      </c>
      <c r="F1343" s="37">
        <f t="shared" si="165"/>
        <v>0</v>
      </c>
      <c r="G1343" s="14">
        <f t="shared" si="166"/>
        <v>0</v>
      </c>
      <c r="H1343" s="24">
        <f t="shared" si="172"/>
        <v>610.15349858607692</v>
      </c>
      <c r="I1343" s="12">
        <f t="shared" si="171"/>
        <v>0.2411650348047174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408.87150877309494</v>
      </c>
      <c r="F1344" s="37">
        <f t="shared" si="165"/>
        <v>0</v>
      </c>
      <c r="G1344" s="14">
        <f t="shared" si="166"/>
        <v>0</v>
      </c>
      <c r="H1344" s="24">
        <f t="shared" si="172"/>
        <v>610.27508359055582</v>
      </c>
      <c r="I1344" s="12">
        <f t="shared" si="171"/>
        <v>0.24106778873906981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409.11257656183403</v>
      </c>
      <c r="F1345" s="37">
        <f t="shared" si="165"/>
        <v>0</v>
      </c>
      <c r="G1345" s="14">
        <f t="shared" si="166"/>
        <v>0</v>
      </c>
      <c r="H1345" s="24">
        <f t="shared" si="172"/>
        <v>610.39673966461021</v>
      </c>
      <c r="I1345" s="12">
        <f t="shared" si="171"/>
        <v>0.24097055795333336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409.35354711978738</v>
      </c>
      <c r="F1346" s="37">
        <f t="shared" si="165"/>
        <v>0</v>
      </c>
      <c r="G1346" s="14">
        <f t="shared" si="166"/>
        <v>0</v>
      </c>
      <c r="H1346" s="24">
        <f t="shared" si="172"/>
        <v>610.51846685714315</v>
      </c>
      <c r="I1346" s="12">
        <f t="shared" si="171"/>
        <v>0.24087334249651793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409.59442046228389</v>
      </c>
      <c r="F1347" s="37">
        <f t="shared" si="165"/>
        <v>0</v>
      </c>
      <c r="G1347" s="14">
        <f t="shared" si="166"/>
        <v>0</v>
      </c>
      <c r="H1347" s="24">
        <f t="shared" si="172"/>
        <v>610.64026521672042</v>
      </c>
      <c r="I1347" s="12">
        <f t="shared" si="171"/>
        <v>0.24077614241761799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409.83519660470154</v>
      </c>
      <c r="F1348" s="37">
        <f t="shared" si="165"/>
        <v>0</v>
      </c>
      <c r="G1348" s="14">
        <f t="shared" si="166"/>
        <v>0</v>
      </c>
      <c r="H1348" s="24">
        <f t="shared" si="172"/>
        <v>610.76213479157082</v>
      </c>
      <c r="I1348" s="12">
        <f t="shared" si="171"/>
        <v>0.24067895776561182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410.07587556246716</v>
      </c>
      <c r="F1349" s="37">
        <f t="shared" si="165"/>
        <v>0</v>
      </c>
      <c r="G1349" s="14">
        <f t="shared" si="166"/>
        <v>0</v>
      </c>
      <c r="H1349" s="24">
        <f t="shared" si="172"/>
        <v>610.88407562958707</v>
      </c>
      <c r="I1349" s="12">
        <f t="shared" si="171"/>
        <v>0.24058178858946097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410.31645735105661</v>
      </c>
      <c r="F1350" s="37">
        <f t="shared" si="165"/>
        <v>0</v>
      </c>
      <c r="G1350" s="14">
        <f t="shared" si="166"/>
        <v>0</v>
      </c>
      <c r="H1350" s="24">
        <f t="shared" si="172"/>
        <v>611.00608777832656</v>
      </c>
      <c r="I1350" s="12">
        <f t="shared" si="171"/>
        <v>0.24048463493811117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410.55694198599474</v>
      </c>
      <c r="F1351" s="37">
        <f t="shared" si="165"/>
        <v>0</v>
      </c>
      <c r="G1351" s="14">
        <f t="shared" si="166"/>
        <v>0</v>
      </c>
      <c r="H1351" s="24">
        <f t="shared" si="172"/>
        <v>611.12817128501183</v>
      </c>
      <c r="I1351" s="12">
        <f t="shared" si="171"/>
        <v>0.24038749686049077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410.79732948285522</v>
      </c>
      <c r="F1352" s="37">
        <f t="shared" si="165"/>
        <v>0</v>
      </c>
      <c r="G1352" s="14">
        <f t="shared" si="166"/>
        <v>0</v>
      </c>
      <c r="H1352" s="24">
        <f t="shared" si="172"/>
        <v>611.2503261965312</v>
      </c>
      <c r="I1352" s="12">
        <f t="shared" si="171"/>
        <v>0.24029037440551099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411.03761985726072</v>
      </c>
      <c r="F1353" s="37">
        <f t="shared" si="165"/>
        <v>0</v>
      </c>
      <c r="G1353" s="14">
        <f t="shared" si="166"/>
        <v>0</v>
      </c>
      <c r="H1353" s="24">
        <f t="shared" si="172"/>
        <v>611.37255255943944</v>
      </c>
      <c r="I1353" s="12">
        <f t="shared" si="171"/>
        <v>0.240193267622066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411.27781312488281</v>
      </c>
      <c r="F1354" s="37">
        <f t="shared" si="165"/>
        <v>0</v>
      </c>
      <c r="G1354" s="14">
        <f t="shared" si="166"/>
        <v>0</v>
      </c>
      <c r="H1354" s="24">
        <f t="shared" si="172"/>
        <v>611.49485041995877</v>
      </c>
      <c r="I1354" s="12">
        <f t="shared" si="171"/>
        <v>0.24009617655903254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411.51790930144182</v>
      </c>
      <c r="F1355" s="37">
        <f t="shared" si="165"/>
        <v>0</v>
      </c>
      <c r="G1355" s="14">
        <f t="shared" si="166"/>
        <v>0</v>
      </c>
      <c r="H1355" s="24">
        <f t="shared" si="172"/>
        <v>611.61721982397876</v>
      </c>
      <c r="I1355" s="12">
        <f t="shared" si="171"/>
        <v>0.23999910126526919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411.75790840270707</v>
      </c>
      <c r="F1356" s="37">
        <f t="shared" si="165"/>
        <v>0</v>
      </c>
      <c r="G1356" s="14">
        <f t="shared" si="166"/>
        <v>0</v>
      </c>
      <c r="H1356" s="24">
        <f t="shared" si="172"/>
        <v>611.73966081705817</v>
      </c>
      <c r="I1356" s="12">
        <f t="shared" si="171"/>
        <v>0.23990204178961683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411.99781044449668</v>
      </c>
      <c r="F1357" s="37">
        <f t="shared" si="165"/>
        <v>0</v>
      </c>
      <c r="G1357" s="14">
        <f t="shared" si="166"/>
        <v>0</v>
      </c>
      <c r="H1357" s="24">
        <f t="shared" si="172"/>
        <v>611.862173444424</v>
      </c>
      <c r="I1357" s="12">
        <f t="shared" si="171"/>
        <v>0.23980499818089818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412.23761544267757</v>
      </c>
      <c r="F1358" s="37">
        <f t="shared" si="165"/>
        <v>0</v>
      </c>
      <c r="G1358" s="14">
        <f t="shared" si="166"/>
        <v>0</v>
      </c>
      <c r="H1358" s="24">
        <f t="shared" si="172"/>
        <v>611.98475775097381</v>
      </c>
      <c r="I1358" s="12">
        <f t="shared" si="171"/>
        <v>0.23970797048791678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412.47732341316549</v>
      </c>
      <c r="F1359" s="37">
        <f t="shared" si="165"/>
        <v>0</v>
      </c>
      <c r="G1359" s="14">
        <f t="shared" si="166"/>
        <v>0</v>
      </c>
      <c r="H1359" s="24">
        <f t="shared" si="172"/>
        <v>612.107413781275</v>
      </c>
      <c r="I1359" s="12">
        <f t="shared" si="171"/>
        <v>0.23961095875945848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412.71693437192494</v>
      </c>
      <c r="F1360" s="37">
        <f t="shared" si="165"/>
        <v>0</v>
      </c>
      <c r="G1360" s="14">
        <f t="shared" si="166"/>
        <v>0</v>
      </c>
      <c r="H1360" s="24">
        <f t="shared" si="172"/>
        <v>612.23014157956652</v>
      </c>
      <c r="I1360" s="12">
        <f t="shared" si="171"/>
        <v>0.23951396304428912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412.95644833496925</v>
      </c>
      <c r="F1361" s="37">
        <f t="shared" si="165"/>
        <v>0</v>
      </c>
      <c r="G1361" s="14">
        <f t="shared" si="166"/>
        <v>0</v>
      </c>
      <c r="H1361" s="24">
        <f t="shared" si="172"/>
        <v>612.35294118975901</v>
      </c>
      <c r="I1361" s="12">
        <f t="shared" si="171"/>
        <v>0.23941698339115591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413.1958653183604</v>
      </c>
      <c r="F1362" s="37">
        <f t="shared" si="165"/>
        <v>0</v>
      </c>
      <c r="G1362" s="14">
        <f t="shared" si="166"/>
        <v>0</v>
      </c>
      <c r="H1362" s="24">
        <f t="shared" si="172"/>
        <v>612.47581265543488</v>
      </c>
      <c r="I1362" s="12">
        <f t="shared" si="171"/>
        <v>0.23932001984878673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413.43518533820918</v>
      </c>
      <c r="F1363" s="37">
        <f t="shared" si="165"/>
        <v>0</v>
      </c>
      <c r="G1363" s="14">
        <f t="shared" si="166"/>
        <v>0</v>
      </c>
      <c r="H1363" s="24">
        <f t="shared" si="172"/>
        <v>612.59875601985061</v>
      </c>
      <c r="I1363" s="12">
        <f t="shared" si="171"/>
        <v>0.23922307246588917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413.67440841067508</v>
      </c>
      <c r="F1364" s="37">
        <f t="shared" ref="F1364:F1427" si="173">Cp*RhoP/(RhoA*H1364)*dp/1000*MassivP</f>
        <v>0</v>
      </c>
      <c r="G1364" s="14">
        <f t="shared" ref="G1364:G1427" si="174">Phi*EpsilonF*Botzman/10^8*J1364*((D1364+273)^4-(E1364+273)^4)</f>
        <v>0</v>
      </c>
      <c r="H1364" s="24">
        <f t="shared" si="172"/>
        <v>612.72177132593572</v>
      </c>
      <c r="I1364" s="12">
        <f t="shared" si="171"/>
        <v>0.23912614129115131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413.91353455196622</v>
      </c>
      <c r="F1365" s="37">
        <f t="shared" si="173"/>
        <v>0</v>
      </c>
      <c r="G1365" s="14">
        <f t="shared" si="174"/>
        <v>0</v>
      </c>
      <c r="H1365" s="24">
        <f t="shared" si="172"/>
        <v>612.844858616294</v>
      </c>
      <c r="I1365" s="12">
        <f t="shared" ref="I1365:I1428" si="179">LambdaP*MassivP/(dp/1000)/(H1365*RhoA)/(1+F1365/3)*(D1365-E1365)*DeltaT-(EXP(F1365/10)-1)*(D1365-D1364)</f>
        <v>0.23902922637324109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414.15256377833947</v>
      </c>
      <c r="F1366" s="37">
        <f t="shared" si="173"/>
        <v>0</v>
      </c>
      <c r="G1366" s="14">
        <f t="shared" si="174"/>
        <v>0</v>
      </c>
      <c r="H1366" s="24">
        <f t="shared" si="172"/>
        <v>612.96801793320492</v>
      </c>
      <c r="I1366" s="12">
        <f t="shared" si="179"/>
        <v>0.23893232776080572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414.39149610610025</v>
      </c>
      <c r="F1367" s="37">
        <f t="shared" si="173"/>
        <v>0</v>
      </c>
      <c r="G1367" s="14">
        <f t="shared" si="174"/>
        <v>0</v>
      </c>
      <c r="H1367" s="24">
        <f t="shared" si="172"/>
        <v>613.09124931862277</v>
      </c>
      <c r="I1367" s="12">
        <f t="shared" si="179"/>
        <v>0.23883544550247204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414.63033155160269</v>
      </c>
      <c r="F1368" s="37">
        <f t="shared" si="173"/>
        <v>0</v>
      </c>
      <c r="G1368" s="14">
        <f t="shared" si="174"/>
        <v>0</v>
      </c>
      <c r="H1368" s="24">
        <f t="shared" si="172"/>
        <v>613.21455281417889</v>
      </c>
      <c r="I1368" s="12">
        <f t="shared" si="179"/>
        <v>0.23873857964684597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414.86907013124954</v>
      </c>
      <c r="F1369" s="37">
        <f t="shared" si="173"/>
        <v>0</v>
      </c>
      <c r="G1369" s="14">
        <f t="shared" si="174"/>
        <v>0</v>
      </c>
      <c r="H1369" s="24">
        <f t="shared" si="172"/>
        <v>613.33792846118104</v>
      </c>
      <c r="I1369" s="12">
        <f t="shared" si="179"/>
        <v>0.23864173024251203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415.10771186149208</v>
      </c>
      <c r="F1370" s="37">
        <f t="shared" si="173"/>
        <v>0</v>
      </c>
      <c r="G1370" s="14">
        <f t="shared" si="174"/>
        <v>0</v>
      </c>
      <c r="H1370" s="24">
        <f t="shared" si="172"/>
        <v>613.46137630061503</v>
      </c>
      <c r="I1370" s="12">
        <f t="shared" si="179"/>
        <v>0.23854489733803344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415.34625675883012</v>
      </c>
      <c r="F1371" s="37">
        <f t="shared" si="173"/>
        <v>0</v>
      </c>
      <c r="G1371" s="14">
        <f t="shared" si="174"/>
        <v>0</v>
      </c>
      <c r="H1371" s="24">
        <f t="shared" si="172"/>
        <v>613.58489637314483</v>
      </c>
      <c r="I1371" s="12">
        <f t="shared" si="179"/>
        <v>0.23844808098195222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415.58470483981205</v>
      </c>
      <c r="F1372" s="37">
        <f t="shared" si="173"/>
        <v>0</v>
      </c>
      <c r="G1372" s="14">
        <f t="shared" si="174"/>
        <v>0</v>
      </c>
      <c r="H1372" s="24">
        <f t="shared" si="172"/>
        <v>613.70848871911278</v>
      </c>
      <c r="I1372" s="12">
        <f t="shared" si="179"/>
        <v>0.23835128122278804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415.82305612103482</v>
      </c>
      <c r="F1373" s="37">
        <f t="shared" si="173"/>
        <v>0</v>
      </c>
      <c r="G1373" s="14">
        <f t="shared" si="174"/>
        <v>0</v>
      </c>
      <c r="H1373" s="24">
        <f t="shared" si="172"/>
        <v>613.83215337854176</v>
      </c>
      <c r="I1373" s="12">
        <f t="shared" si="179"/>
        <v>0.23825449810903865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416.06131061914385</v>
      </c>
      <c r="F1374" s="37">
        <f t="shared" si="173"/>
        <v>0</v>
      </c>
      <c r="G1374" s="14">
        <f t="shared" si="174"/>
        <v>0</v>
      </c>
      <c r="H1374" s="24">
        <f t="shared" si="172"/>
        <v>613.95589039113429</v>
      </c>
      <c r="I1374" s="12">
        <f t="shared" si="179"/>
        <v>0.23815773168917923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416.29946835083302</v>
      </c>
      <c r="F1375" s="37">
        <f t="shared" si="173"/>
        <v>0</v>
      </c>
      <c r="G1375" s="14">
        <f t="shared" si="174"/>
        <v>0</v>
      </c>
      <c r="H1375" s="24">
        <f t="shared" si="172"/>
        <v>614.07969979627364</v>
      </c>
      <c r="I1375" s="12">
        <f t="shared" si="179"/>
        <v>0.23806098201166315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416.53752933284471</v>
      </c>
      <c r="F1376" s="37">
        <f t="shared" si="173"/>
        <v>0</v>
      </c>
      <c r="G1376" s="14">
        <f t="shared" si="174"/>
        <v>0</v>
      </c>
      <c r="H1376" s="24">
        <f t="shared" si="172"/>
        <v>614.20358163302512</v>
      </c>
      <c r="I1376" s="12">
        <f t="shared" si="179"/>
        <v>0.23796424912491979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416.77549358196961</v>
      </c>
      <c r="F1377" s="37">
        <f t="shared" si="173"/>
        <v>0</v>
      </c>
      <c r="G1377" s="14">
        <f t="shared" si="174"/>
        <v>0</v>
      </c>
      <c r="H1377" s="24">
        <f t="shared" si="172"/>
        <v>614.3275359401357</v>
      </c>
      <c r="I1377" s="12">
        <f t="shared" si="179"/>
        <v>0.23786753307735664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417.01336111504696</v>
      </c>
      <c r="F1378" s="37">
        <f t="shared" si="173"/>
        <v>0</v>
      </c>
      <c r="G1378" s="14">
        <f t="shared" si="174"/>
        <v>0</v>
      </c>
      <c r="H1378" s="24">
        <f t="shared" si="172"/>
        <v>614.45156275603563</v>
      </c>
      <c r="I1378" s="12">
        <f t="shared" si="179"/>
        <v>0.23777083391735693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417.25113194896431</v>
      </c>
      <c r="F1379" s="37">
        <f t="shared" si="173"/>
        <v>0</v>
      </c>
      <c r="G1379" s="14">
        <f t="shared" si="174"/>
        <v>0</v>
      </c>
      <c r="H1379" s="24">
        <f t="shared" si="172"/>
        <v>614.57566211883818</v>
      </c>
      <c r="I1379" s="12">
        <f t="shared" si="179"/>
        <v>0.23767415169328124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417.4888061006576</v>
      </c>
      <c r="F1380" s="37">
        <f t="shared" si="173"/>
        <v>0</v>
      </c>
      <c r="G1380" s="14">
        <f t="shared" si="174"/>
        <v>0</v>
      </c>
      <c r="H1380" s="24">
        <f t="shared" si="172"/>
        <v>614.69983406634105</v>
      </c>
      <c r="I1380" s="12">
        <f t="shared" si="179"/>
        <v>0.23757748645346563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417.72638358711106</v>
      </c>
      <c r="F1381" s="37">
        <f t="shared" si="173"/>
        <v>0</v>
      </c>
      <c r="G1381" s="14">
        <f t="shared" si="174"/>
        <v>0</v>
      </c>
      <c r="H1381" s="24">
        <f t="shared" si="172"/>
        <v>614.82407863602668</v>
      </c>
      <c r="I1381" s="12">
        <f t="shared" si="179"/>
        <v>0.23748083824622238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417.96386442535726</v>
      </c>
      <c r="F1382" s="37">
        <f t="shared" si="173"/>
        <v>0</v>
      </c>
      <c r="G1382" s="14">
        <f t="shared" si="174"/>
        <v>0</v>
      </c>
      <c r="H1382" s="24">
        <f t="shared" si="172"/>
        <v>614.94839586506282</v>
      </c>
      <c r="I1382" s="12">
        <f t="shared" si="179"/>
        <v>0.23738420711983982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418.20124863247707</v>
      </c>
      <c r="F1383" s="37">
        <f t="shared" si="173"/>
        <v>0</v>
      </c>
      <c r="G1383" s="14">
        <f t="shared" si="174"/>
        <v>0</v>
      </c>
      <c r="H1383" s="24">
        <f t="shared" si="172"/>
        <v>615.07278579030344</v>
      </c>
      <c r="I1383" s="12">
        <f t="shared" si="179"/>
        <v>0.23728759312258163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418.43853622559965</v>
      </c>
      <c r="F1384" s="37">
        <f t="shared" si="173"/>
        <v>0</v>
      </c>
      <c r="G1384" s="14">
        <f t="shared" si="174"/>
        <v>0</v>
      </c>
      <c r="H1384" s="24">
        <f t="shared" si="172"/>
        <v>615.1972484482892</v>
      </c>
      <c r="I1384" s="12">
        <f t="shared" si="179"/>
        <v>0.23719099630268636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418.67572722190232</v>
      </c>
      <c r="F1385" s="37">
        <f t="shared" si="173"/>
        <v>0</v>
      </c>
      <c r="G1385" s="14">
        <f t="shared" si="174"/>
        <v>0</v>
      </c>
      <c r="H1385" s="24">
        <f t="shared" si="172"/>
        <v>615.32178387524789</v>
      </c>
      <c r="I1385" s="12">
        <f t="shared" si="179"/>
        <v>0.23709441670836823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418.91282163861069</v>
      </c>
      <c r="F1386" s="37">
        <f t="shared" si="173"/>
        <v>0</v>
      </c>
      <c r="G1386" s="14">
        <f t="shared" si="174"/>
        <v>0</v>
      </c>
      <c r="H1386" s="24">
        <f t="shared" si="172"/>
        <v>615.44639210709568</v>
      </c>
      <c r="I1386" s="12">
        <f t="shared" si="179"/>
        <v>0.23699785438781568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419.14981949299852</v>
      </c>
      <c r="F1387" s="37">
        <f t="shared" si="173"/>
        <v>0</v>
      </c>
      <c r="G1387" s="14">
        <f t="shared" si="174"/>
        <v>0</v>
      </c>
      <c r="H1387" s="24">
        <f t="shared" si="172"/>
        <v>615.57107317943701</v>
      </c>
      <c r="I1387" s="12">
        <f t="shared" si="179"/>
        <v>0.23690130938919235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419.38672080238769</v>
      </c>
      <c r="F1388" s="37">
        <f t="shared" si="173"/>
        <v>0</v>
      </c>
      <c r="G1388" s="14">
        <f t="shared" si="174"/>
        <v>0</v>
      </c>
      <c r="H1388" s="24">
        <f t="shared" si="172"/>
        <v>615.69582712756596</v>
      </c>
      <c r="I1388" s="12">
        <f t="shared" si="179"/>
        <v>0.23680478176063563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419.6235255841483</v>
      </c>
      <c r="F1389" s="37">
        <f t="shared" si="173"/>
        <v>0</v>
      </c>
      <c r="G1389" s="14">
        <f t="shared" si="174"/>
        <v>0</v>
      </c>
      <c r="H1389" s="24">
        <f t="shared" si="172"/>
        <v>615.82065398646648</v>
      </c>
      <c r="I1389" s="12">
        <f t="shared" si="179"/>
        <v>0.23670827155025731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419.86023385569854</v>
      </c>
      <c r="F1390" s="37">
        <f t="shared" si="173"/>
        <v>0</v>
      </c>
      <c r="G1390" s="14">
        <f t="shared" si="174"/>
        <v>0</v>
      </c>
      <c r="H1390" s="24">
        <f t="shared" si="172"/>
        <v>615.94555379081294</v>
      </c>
      <c r="I1390" s="12">
        <f t="shared" si="179"/>
        <v>0.23661177880614284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420.09684563450469</v>
      </c>
      <c r="F1391" s="37">
        <f t="shared" si="173"/>
        <v>0</v>
      </c>
      <c r="G1391" s="14">
        <f t="shared" si="174"/>
        <v>0</v>
      </c>
      <c r="H1391" s="24">
        <f t="shared" si="172"/>
        <v>616.07052657497104</v>
      </c>
      <c r="I1391" s="12">
        <f t="shared" si="179"/>
        <v>0.23651530357635134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420.33336093808106</v>
      </c>
      <c r="F1392" s="37">
        <f t="shared" si="173"/>
        <v>0</v>
      </c>
      <c r="G1392" s="14">
        <f t="shared" si="174"/>
        <v>0</v>
      </c>
      <c r="H1392" s="24">
        <f t="shared" si="172"/>
        <v>616.19557237299864</v>
      </c>
      <c r="I1392" s="12">
        <f t="shared" si="179"/>
        <v>0.2364188459089156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420.56977978398999</v>
      </c>
      <c r="F1393" s="37">
        <f t="shared" si="173"/>
        <v>0</v>
      </c>
      <c r="G1393" s="14">
        <f t="shared" si="174"/>
        <v>0</v>
      </c>
      <c r="H1393" s="24">
        <f t="shared" si="172"/>
        <v>616.32069121864583</v>
      </c>
      <c r="I1393" s="12">
        <f t="shared" si="179"/>
        <v>0.23632240585184094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420.80610218984185</v>
      </c>
      <c r="F1394" s="37">
        <f t="shared" si="173"/>
        <v>0</v>
      </c>
      <c r="G1394" s="14">
        <f t="shared" si="174"/>
        <v>0</v>
      </c>
      <c r="H1394" s="24">
        <f t="shared" si="172"/>
        <v>616.44588314535577</v>
      </c>
      <c r="I1394" s="12">
        <f t="shared" si="179"/>
        <v>0.23622598345310633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421.04232817329495</v>
      </c>
      <c r="F1395" s="37">
        <f t="shared" si="173"/>
        <v>0</v>
      </c>
      <c r="G1395" s="14">
        <f t="shared" si="174"/>
        <v>0</v>
      </c>
      <c r="H1395" s="24">
        <f t="shared" si="172"/>
        <v>616.57114818626576</v>
      </c>
      <c r="I1395" s="12">
        <f t="shared" si="179"/>
        <v>0.23612957876066265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421.2784577520556</v>
      </c>
      <c r="F1396" s="37">
        <f t="shared" si="173"/>
        <v>0</v>
      </c>
      <c r="G1396" s="14">
        <f t="shared" si="174"/>
        <v>0</v>
      </c>
      <c r="H1396" s="24">
        <f t="shared" si="172"/>
        <v>616.69648637420767</v>
      </c>
      <c r="I1396" s="12">
        <f t="shared" si="179"/>
        <v>0.23603319182243371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421.51449094387806</v>
      </c>
      <c r="F1397" s="37">
        <f t="shared" si="173"/>
        <v>0</v>
      </c>
      <c r="G1397" s="14">
        <f t="shared" si="174"/>
        <v>0</v>
      </c>
      <c r="H1397" s="24">
        <f t="shared" si="172"/>
        <v>616.82189774170774</v>
      </c>
      <c r="I1397" s="12">
        <f t="shared" si="179"/>
        <v>0.23593682268631549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421.75042776656437</v>
      </c>
      <c r="F1398" s="37">
        <f t="shared" si="173"/>
        <v>0</v>
      </c>
      <c r="G1398" s="14">
        <f t="shared" si="174"/>
        <v>0</v>
      </c>
      <c r="H1398" s="24">
        <f t="shared" si="172"/>
        <v>616.94738232098894</v>
      </c>
      <c r="I1398" s="12">
        <f t="shared" si="179"/>
        <v>0.23584047140017556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421.98626823796457</v>
      </c>
      <c r="F1399" s="37">
        <f t="shared" si="173"/>
        <v>0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617.07294014396973</v>
      </c>
      <c r="I1399" s="12">
        <f t="shared" si="179"/>
        <v>0.23574413801185384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422.22201237597642</v>
      </c>
      <c r="F1400" s="37">
        <f t="shared" si="173"/>
        <v>0</v>
      </c>
      <c r="G1400" s="14">
        <f t="shared" si="174"/>
        <v>0</v>
      </c>
      <c r="H1400" s="24">
        <f t="shared" si="180"/>
        <v>617.19857124226655</v>
      </c>
      <c r="I1400" s="12">
        <f t="shared" si="179"/>
        <v>0.23564782256916092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422.45766019854557</v>
      </c>
      <c r="F1401" s="37">
        <f t="shared" si="173"/>
        <v>0</v>
      </c>
      <c r="G1401" s="14">
        <f t="shared" si="174"/>
        <v>0</v>
      </c>
      <c r="H1401" s="24">
        <f t="shared" si="180"/>
        <v>617.32427564719262</v>
      </c>
      <c r="I1401" s="12">
        <f t="shared" si="179"/>
        <v>0.23555152511987931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422.69321172366546</v>
      </c>
      <c r="F1402" s="37">
        <f t="shared" si="173"/>
        <v>0</v>
      </c>
      <c r="G1402" s="14">
        <f t="shared" si="174"/>
        <v>0</v>
      </c>
      <c r="H1402" s="24">
        <f t="shared" si="180"/>
        <v>617.45005338976011</v>
      </c>
      <c r="I1402" s="12">
        <f t="shared" si="179"/>
        <v>0.23545524571176241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422.92866696937722</v>
      </c>
      <c r="F1403" s="37">
        <f t="shared" si="173"/>
        <v>0</v>
      </c>
      <c r="G1403" s="14">
        <f t="shared" si="174"/>
        <v>0</v>
      </c>
      <c r="H1403" s="24">
        <f t="shared" si="180"/>
        <v>617.57590450067983</v>
      </c>
      <c r="I1403" s="12">
        <f t="shared" si="179"/>
        <v>0.23535898439253408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423.16402595376974</v>
      </c>
      <c r="F1404" s="37">
        <f t="shared" si="173"/>
        <v>0</v>
      </c>
      <c r="G1404" s="14">
        <f t="shared" si="174"/>
        <v>0</v>
      </c>
      <c r="H1404" s="24">
        <f t="shared" si="180"/>
        <v>617.70182901036242</v>
      </c>
      <c r="I1404" s="12">
        <f t="shared" si="179"/>
        <v>0.23526274120988927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423.39928869497965</v>
      </c>
      <c r="F1405" s="37">
        <f t="shared" si="173"/>
        <v>0</v>
      </c>
      <c r="G1405" s="14">
        <f t="shared" si="174"/>
        <v>0</v>
      </c>
      <c r="H1405" s="24">
        <f t="shared" si="180"/>
        <v>617.82782694891853</v>
      </c>
      <c r="I1405" s="12">
        <f t="shared" si="179"/>
        <v>0.23516651621149259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423.63445521119115</v>
      </c>
      <c r="F1406" s="37">
        <f t="shared" si="173"/>
        <v>0</v>
      </c>
      <c r="G1406" s="14">
        <f t="shared" si="174"/>
        <v>0</v>
      </c>
      <c r="H1406" s="24">
        <f t="shared" si="180"/>
        <v>617.95389834615992</v>
      </c>
      <c r="I1406" s="12">
        <f t="shared" si="179"/>
        <v>0.23507030944497931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423.86952552063616</v>
      </c>
      <c r="F1407" s="37">
        <f t="shared" si="173"/>
        <v>0</v>
      </c>
      <c r="G1407" s="14">
        <f t="shared" si="174"/>
        <v>0</v>
      </c>
      <c r="H1407" s="24">
        <f t="shared" si="180"/>
        <v>618.08004323159969</v>
      </c>
      <c r="I1407" s="12">
        <f t="shared" si="179"/>
        <v>0.2349741209579542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424.10449964159409</v>
      </c>
      <c r="F1408" s="37">
        <f t="shared" si="173"/>
        <v>0</v>
      </c>
      <c r="G1408" s="14">
        <f t="shared" si="174"/>
        <v>0</v>
      </c>
      <c r="H1408" s="24">
        <f t="shared" si="180"/>
        <v>618.20626163445331</v>
      </c>
      <c r="I1408" s="12">
        <f t="shared" si="179"/>
        <v>0.23487795079799198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424.33937759239205</v>
      </c>
      <c r="F1409" s="37">
        <f t="shared" si="173"/>
        <v>0</v>
      </c>
      <c r="G1409" s="14">
        <f t="shared" si="174"/>
        <v>0</v>
      </c>
      <c r="H1409" s="24">
        <f t="shared" si="180"/>
        <v>618.33255358363897</v>
      </c>
      <c r="I1409" s="12">
        <f t="shared" si="179"/>
        <v>0.23478179901263624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424.57415939140469</v>
      </c>
      <c r="F1410" s="37">
        <f t="shared" si="173"/>
        <v>0</v>
      </c>
      <c r="G1410" s="14">
        <f t="shared" si="174"/>
        <v>0</v>
      </c>
      <c r="H1410" s="24">
        <f t="shared" si="180"/>
        <v>618.45891910777812</v>
      </c>
      <c r="I1410" s="12">
        <f t="shared" si="179"/>
        <v>0.2346856656494003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424.8088450570541</v>
      </c>
      <c r="F1411" s="37">
        <f t="shared" si="173"/>
        <v>0</v>
      </c>
      <c r="G1411" s="14">
        <f t="shared" si="174"/>
        <v>0</v>
      </c>
      <c r="H1411" s="24">
        <f t="shared" si="180"/>
        <v>618.58535823519674</v>
      </c>
      <c r="I1411" s="12">
        <f t="shared" si="179"/>
        <v>0.2345895507557659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425.04343460780984</v>
      </c>
      <c r="F1412" s="37">
        <f t="shared" si="173"/>
        <v>0</v>
      </c>
      <c r="G1412" s="14">
        <f t="shared" si="174"/>
        <v>0</v>
      </c>
      <c r="H1412" s="24">
        <f t="shared" si="180"/>
        <v>618.71187099392523</v>
      </c>
      <c r="I1412" s="12">
        <f t="shared" si="179"/>
        <v>0.23449345437918379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425.27792806218901</v>
      </c>
      <c r="F1413" s="37">
        <f t="shared" si="173"/>
        <v>0</v>
      </c>
      <c r="G1413" s="14">
        <f t="shared" si="174"/>
        <v>0</v>
      </c>
      <c r="H1413" s="24">
        <f t="shared" si="180"/>
        <v>618.8384574116991</v>
      </c>
      <c r="I1413" s="12">
        <f t="shared" si="179"/>
        <v>0.2343973765670731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425.51232543875608</v>
      </c>
      <c r="F1414" s="37">
        <f t="shared" si="173"/>
        <v>0</v>
      </c>
      <c r="G1414" s="14">
        <f t="shared" si="174"/>
        <v>0</v>
      </c>
      <c r="H1414" s="24">
        <f t="shared" si="180"/>
        <v>618.96511751596063</v>
      </c>
      <c r="I1414" s="12">
        <f t="shared" si="179"/>
        <v>0.23430131736682114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425.74662675612291</v>
      </c>
      <c r="F1415" s="37">
        <f t="shared" si="173"/>
        <v>0</v>
      </c>
      <c r="G1415" s="14">
        <f t="shared" si="174"/>
        <v>0</v>
      </c>
      <c r="H1415" s="24">
        <f t="shared" si="180"/>
        <v>619.09185133385779</v>
      </c>
      <c r="I1415" s="12">
        <f t="shared" si="179"/>
        <v>0.23420527682578329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425.98083203294868</v>
      </c>
      <c r="F1416" s="37">
        <f t="shared" si="173"/>
        <v>0</v>
      </c>
      <c r="G1416" s="14">
        <f t="shared" si="174"/>
        <v>0</v>
      </c>
      <c r="H1416" s="24">
        <f t="shared" si="180"/>
        <v>619.21865889224671</v>
      </c>
      <c r="I1416" s="12">
        <f t="shared" si="179"/>
        <v>0.2341092549912826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426.21494128793995</v>
      </c>
      <c r="F1417" s="37">
        <f t="shared" si="173"/>
        <v>0</v>
      </c>
      <c r="G1417" s="14">
        <f t="shared" si="174"/>
        <v>0</v>
      </c>
      <c r="H1417" s="24">
        <f t="shared" si="180"/>
        <v>619.34554021769077</v>
      </c>
      <c r="I1417" s="12">
        <f t="shared" si="179"/>
        <v>0.23401325191060973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426.44895453985055</v>
      </c>
      <c r="F1418" s="37">
        <f t="shared" si="173"/>
        <v>0</v>
      </c>
      <c r="G1418" s="14">
        <f t="shared" si="174"/>
        <v>0</v>
      </c>
      <c r="H1418" s="24">
        <f t="shared" si="180"/>
        <v>619.47249533646232</v>
      </c>
      <c r="I1418" s="12">
        <f t="shared" si="179"/>
        <v>0.23391726763102255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426.68287180748155</v>
      </c>
      <c r="F1419" s="37">
        <f t="shared" si="173"/>
        <v>0</v>
      </c>
      <c r="G1419" s="14">
        <f t="shared" si="174"/>
        <v>0</v>
      </c>
      <c r="H1419" s="24">
        <f t="shared" si="180"/>
        <v>619.59952427454289</v>
      </c>
      <c r="I1419" s="12">
        <f t="shared" si="179"/>
        <v>0.23382130219974617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426.91669310968132</v>
      </c>
      <c r="F1420" s="37">
        <f t="shared" si="173"/>
        <v>0</v>
      </c>
      <c r="G1420" s="14">
        <f t="shared" si="174"/>
        <v>0</v>
      </c>
      <c r="H1420" s="24">
        <f t="shared" si="180"/>
        <v>619.72662705762355</v>
      </c>
      <c r="I1420" s="12">
        <f t="shared" si="179"/>
        <v>0.23372535566397232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427.1504184653453</v>
      </c>
      <c r="F1421" s="37">
        <f t="shared" si="173"/>
        <v>0</v>
      </c>
      <c r="G1421" s="14">
        <f t="shared" si="174"/>
        <v>0</v>
      </c>
      <c r="H1421" s="24">
        <f t="shared" si="180"/>
        <v>619.8538037111058</v>
      </c>
      <c r="I1421" s="12">
        <f t="shared" si="179"/>
        <v>0.23362942807085968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427.38404789341615</v>
      </c>
      <c r="F1422" s="37">
        <f t="shared" si="173"/>
        <v>0</v>
      </c>
      <c r="G1422" s="14">
        <f t="shared" si="174"/>
        <v>0</v>
      </c>
      <c r="H1422" s="24">
        <f t="shared" si="180"/>
        <v>619.9810542601025</v>
      </c>
      <c r="I1422" s="12">
        <f t="shared" si="179"/>
        <v>0.23353351946753298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427.61758141288368</v>
      </c>
      <c r="F1423" s="37">
        <f t="shared" si="173"/>
        <v>0</v>
      </c>
      <c r="G1423" s="14">
        <f t="shared" si="174"/>
        <v>0</v>
      </c>
      <c r="H1423" s="24">
        <f t="shared" si="180"/>
        <v>620.10837872943841</v>
      </c>
      <c r="I1423" s="12">
        <f t="shared" si="179"/>
        <v>0.23343762990108324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427.85101904278474</v>
      </c>
      <c r="F1424" s="37">
        <f t="shared" si="173"/>
        <v>0</v>
      </c>
      <c r="G1424" s="14">
        <f t="shared" si="174"/>
        <v>0</v>
      </c>
      <c r="H1424" s="24">
        <f t="shared" si="180"/>
        <v>620.23577714365001</v>
      </c>
      <c r="I1424" s="12">
        <f t="shared" si="179"/>
        <v>0.23334175941856758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428.08436080220332</v>
      </c>
      <c r="F1425" s="37">
        <f t="shared" si="173"/>
        <v>0</v>
      </c>
      <c r="G1425" s="14">
        <f t="shared" si="174"/>
        <v>0</v>
      </c>
      <c r="H1425" s="24">
        <f t="shared" si="180"/>
        <v>620.36324952698772</v>
      </c>
      <c r="I1425" s="12">
        <f t="shared" si="179"/>
        <v>0.23324590806700837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428.31760671027035</v>
      </c>
      <c r="F1426" s="37">
        <f t="shared" si="173"/>
        <v>0</v>
      </c>
      <c r="G1426" s="14">
        <f t="shared" si="174"/>
        <v>0</v>
      </c>
      <c r="H1426" s="24">
        <f t="shared" si="180"/>
        <v>620.49079590341432</v>
      </c>
      <c r="I1426" s="12">
        <f t="shared" si="179"/>
        <v>0.23315007589339395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428.55075678616373</v>
      </c>
      <c r="F1427" s="37">
        <f t="shared" si="173"/>
        <v>0</v>
      </c>
      <c r="G1427" s="14">
        <f t="shared" si="174"/>
        <v>0</v>
      </c>
      <c r="H1427" s="24">
        <f t="shared" si="180"/>
        <v>620.61841629660796</v>
      </c>
      <c r="I1427" s="12">
        <f t="shared" si="179"/>
        <v>0.23305426294467771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428.78381104910841</v>
      </c>
      <c r="F1428" s="37">
        <f t="shared" ref="F1428:F1491" si="181">Cp*RhoP/(RhoA*H1428)*dp/1000*MassivP</f>
        <v>0</v>
      </c>
      <c r="G1428" s="14">
        <f t="shared" ref="G1428:G1491" si="182">Phi*EpsilonF*Botzman/10^8*J1428*((D1428+273)^4-(E1428+273)^4)</f>
        <v>0</v>
      </c>
      <c r="H1428" s="24">
        <f t="shared" si="180"/>
        <v>620.74611072996129</v>
      </c>
      <c r="I1428" s="12">
        <f t="shared" si="179"/>
        <v>0.23295846926777805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429.01676951837618</v>
      </c>
      <c r="F1429" s="37">
        <f t="shared" si="181"/>
        <v>0</v>
      </c>
      <c r="G1429" s="14">
        <f t="shared" si="182"/>
        <v>0</v>
      </c>
      <c r="H1429" s="24">
        <f t="shared" si="180"/>
        <v>620.8738792265824</v>
      </c>
      <c r="I1429" s="12">
        <f t="shared" ref="I1429:I1492" si="187">LambdaP*MassivP/(dp/1000)/(H1429*RhoA)/(1+F1429/3)*(D1429-E1429)*DeltaT-(EXP(F1429/10)-1)*(D1429-D1428)</f>
        <v>0.23286269490957834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429.24963221328574</v>
      </c>
      <c r="F1430" s="37">
        <f t="shared" si="181"/>
        <v>0</v>
      </c>
      <c r="G1430" s="14">
        <f t="shared" si="182"/>
        <v>0</v>
      </c>
      <c r="H1430" s="24">
        <f t="shared" si="180"/>
        <v>621.00172180929565</v>
      </c>
      <c r="I1430" s="12">
        <f t="shared" si="187"/>
        <v>0.23276693991692601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429.48239915320266</v>
      </c>
      <c r="F1431" s="37">
        <f t="shared" si="181"/>
        <v>0</v>
      </c>
      <c r="G1431" s="14">
        <f t="shared" si="182"/>
        <v>0</v>
      </c>
      <c r="H1431" s="24">
        <f t="shared" si="180"/>
        <v>621.12963850064193</v>
      </c>
      <c r="I1431" s="12">
        <f t="shared" si="187"/>
        <v>0.23267120433663374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429.71507035753928</v>
      </c>
      <c r="F1432" s="37">
        <f t="shared" si="181"/>
        <v>0</v>
      </c>
      <c r="G1432" s="14">
        <f t="shared" si="182"/>
        <v>0</v>
      </c>
      <c r="H1432" s="24">
        <f t="shared" si="180"/>
        <v>621.25762932288035</v>
      </c>
      <c r="I1432" s="12">
        <f t="shared" si="187"/>
        <v>0.23257548821547724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429.94764584575478</v>
      </c>
      <c r="F1433" s="37">
        <f t="shared" si="181"/>
        <v>0</v>
      </c>
      <c r="G1433" s="14">
        <f t="shared" si="182"/>
        <v>0</v>
      </c>
      <c r="H1433" s="24">
        <f t="shared" si="180"/>
        <v>621.38569429798702</v>
      </c>
      <c r="I1433" s="12">
        <f t="shared" si="187"/>
        <v>0.23247979160019699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430.18012563735499</v>
      </c>
      <c r="F1434" s="37">
        <f t="shared" si="181"/>
        <v>0</v>
      </c>
      <c r="G1434" s="14">
        <f t="shared" si="182"/>
        <v>0</v>
      </c>
      <c r="H1434" s="24">
        <f t="shared" si="180"/>
        <v>621.51383344765736</v>
      </c>
      <c r="I1434" s="12">
        <f t="shared" si="187"/>
        <v>0.23238411453749702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430.41250975189251</v>
      </c>
      <c r="F1435" s="37">
        <f t="shared" si="181"/>
        <v>0</v>
      </c>
      <c r="G1435" s="14">
        <f t="shared" si="182"/>
        <v>0</v>
      </c>
      <c r="H1435" s="24">
        <f t="shared" si="180"/>
        <v>621.64204679330601</v>
      </c>
      <c r="I1435" s="12">
        <f t="shared" si="187"/>
        <v>0.23228845707404433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430.64479820896656</v>
      </c>
      <c r="F1436" s="37">
        <f t="shared" si="181"/>
        <v>0</v>
      </c>
      <c r="G1436" s="14">
        <f t="shared" si="182"/>
        <v>0</v>
      </c>
      <c r="H1436" s="24">
        <f t="shared" si="180"/>
        <v>621.77033435606745</v>
      </c>
      <c r="I1436" s="12">
        <f t="shared" si="187"/>
        <v>0.23219281925646951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430.87699102822302</v>
      </c>
      <c r="F1437" s="37">
        <f t="shared" si="181"/>
        <v>0</v>
      </c>
      <c r="G1437" s="14">
        <f t="shared" si="182"/>
        <v>0</v>
      </c>
      <c r="H1437" s="24">
        <f t="shared" si="180"/>
        <v>621.89869615679686</v>
      </c>
      <c r="I1437" s="12">
        <f t="shared" si="187"/>
        <v>0.23209720113136617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431.10908822935437</v>
      </c>
      <c r="F1438" s="37">
        <f t="shared" si="181"/>
        <v>0</v>
      </c>
      <c r="G1438" s="14">
        <f t="shared" si="182"/>
        <v>0</v>
      </c>
      <c r="H1438" s="24">
        <f t="shared" si="180"/>
        <v>622.02713221607041</v>
      </c>
      <c r="I1438" s="12">
        <f t="shared" si="187"/>
        <v>0.2320016027452908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431.34108983209967</v>
      </c>
      <c r="F1439" s="37">
        <f t="shared" si="181"/>
        <v>0</v>
      </c>
      <c r="G1439" s="14">
        <f t="shared" si="182"/>
        <v>0</v>
      </c>
      <c r="H1439" s="24">
        <f t="shared" si="180"/>
        <v>622.15564255418622</v>
      </c>
      <c r="I1439" s="12">
        <f t="shared" si="187"/>
        <v>0.23190602414476219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431.5729958562444</v>
      </c>
      <c r="F1440" s="37">
        <f t="shared" si="181"/>
        <v>0</v>
      </c>
      <c r="G1440" s="14">
        <f t="shared" si="182"/>
        <v>0</v>
      </c>
      <c r="H1440" s="24">
        <f t="shared" si="180"/>
        <v>622.2842271911652</v>
      </c>
      <c r="I1440" s="12">
        <f t="shared" si="187"/>
        <v>0.23181046537626143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431.80480632162067</v>
      </c>
      <c r="F1441" s="37">
        <f t="shared" si="181"/>
        <v>0</v>
      </c>
      <c r="G1441" s="14">
        <f t="shared" si="182"/>
        <v>0</v>
      </c>
      <c r="H1441" s="24">
        <f t="shared" si="180"/>
        <v>622.41288614675068</v>
      </c>
      <c r="I1441" s="12">
        <f t="shared" si="187"/>
        <v>0.23171492648623201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432.03652124810691</v>
      </c>
      <c r="F1442" s="37">
        <f t="shared" si="181"/>
        <v>0</v>
      </c>
      <c r="G1442" s="14">
        <f t="shared" si="182"/>
        <v>0</v>
      </c>
      <c r="H1442" s="24">
        <f t="shared" si="180"/>
        <v>622.54161944041016</v>
      </c>
      <c r="I1442" s="12">
        <f t="shared" si="187"/>
        <v>0.23161940752107923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432.26814065562797</v>
      </c>
      <c r="F1443" s="37">
        <f t="shared" si="181"/>
        <v>0</v>
      </c>
      <c r="G1443" s="14">
        <f t="shared" si="182"/>
        <v>0</v>
      </c>
      <c r="H1443" s="24">
        <f t="shared" si="180"/>
        <v>622.67042709133545</v>
      </c>
      <c r="I1443" s="12">
        <f t="shared" si="187"/>
        <v>0.23152390852717003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432.49966456415513</v>
      </c>
      <c r="F1444" s="37">
        <f t="shared" si="181"/>
        <v>0</v>
      </c>
      <c r="G1444" s="14">
        <f t="shared" si="182"/>
        <v>0</v>
      </c>
      <c r="H1444" s="24">
        <f t="shared" si="180"/>
        <v>622.79930911844315</v>
      </c>
      <c r="I1444" s="12">
        <f t="shared" si="187"/>
        <v>0.2314284295508329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432.73109299370594</v>
      </c>
      <c r="F1445" s="37">
        <f t="shared" si="181"/>
        <v>0</v>
      </c>
      <c r="G1445" s="14">
        <f t="shared" si="182"/>
        <v>0</v>
      </c>
      <c r="H1445" s="24">
        <f t="shared" si="180"/>
        <v>622.92826554037549</v>
      </c>
      <c r="I1445" s="12">
        <f t="shared" si="187"/>
        <v>0.23133297063835728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432.96242596434428</v>
      </c>
      <c r="F1446" s="37">
        <f t="shared" si="181"/>
        <v>0</v>
      </c>
      <c r="G1446" s="14">
        <f t="shared" si="182"/>
        <v>0</v>
      </c>
      <c r="H1446" s="24">
        <f t="shared" si="180"/>
        <v>623.05729637550098</v>
      </c>
      <c r="I1446" s="12">
        <f t="shared" si="187"/>
        <v>0.23123753183599413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433.19366349618025</v>
      </c>
      <c r="F1447" s="37">
        <f t="shared" si="181"/>
        <v>0</v>
      </c>
      <c r="G1447" s="14">
        <f t="shared" si="182"/>
        <v>0</v>
      </c>
      <c r="H1447" s="24">
        <f t="shared" si="180"/>
        <v>623.18640164191515</v>
      </c>
      <c r="I1447" s="12">
        <f t="shared" si="187"/>
        <v>0.23114211318995451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433.4248056093702</v>
      </c>
      <c r="F1448" s="37">
        <f t="shared" si="181"/>
        <v>0</v>
      </c>
      <c r="G1448" s="14">
        <f t="shared" si="182"/>
        <v>0</v>
      </c>
      <c r="H1448" s="24">
        <f t="shared" si="180"/>
        <v>623.31558135744046</v>
      </c>
      <c r="I1448" s="12">
        <f t="shared" si="187"/>
        <v>0.23104671474641095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433.65585232411661</v>
      </c>
      <c r="F1449" s="37">
        <f t="shared" si="181"/>
        <v>0</v>
      </c>
      <c r="G1449" s="14">
        <f t="shared" si="182"/>
        <v>0</v>
      </c>
      <c r="H1449" s="24">
        <f t="shared" si="180"/>
        <v>623.44483553962812</v>
      </c>
      <c r="I1449" s="12">
        <f t="shared" si="187"/>
        <v>0.23095133655149569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433.88680366066808</v>
      </c>
      <c r="F1450" s="37">
        <f t="shared" si="181"/>
        <v>0</v>
      </c>
      <c r="G1450" s="14">
        <f t="shared" si="182"/>
        <v>0</v>
      </c>
      <c r="H1450" s="24">
        <f t="shared" si="180"/>
        <v>623.57416420575726</v>
      </c>
      <c r="I1450" s="12">
        <f t="shared" si="187"/>
        <v>0.23085597865130142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434.11765963931936</v>
      </c>
      <c r="F1451" s="37">
        <f t="shared" si="181"/>
        <v>0</v>
      </c>
      <c r="G1451" s="14">
        <f t="shared" si="182"/>
        <v>0</v>
      </c>
      <c r="H1451" s="24">
        <f t="shared" si="180"/>
        <v>623.70356737283714</v>
      </c>
      <c r="I1451" s="12">
        <f t="shared" si="187"/>
        <v>0.23076064109188066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434.34842028041123</v>
      </c>
      <c r="F1452" s="37">
        <f t="shared" si="181"/>
        <v>0</v>
      </c>
      <c r="G1452" s="14">
        <f t="shared" si="182"/>
        <v>0</v>
      </c>
      <c r="H1452" s="24">
        <f t="shared" si="180"/>
        <v>623.83304505760668</v>
      </c>
      <c r="I1452" s="12">
        <f t="shared" si="187"/>
        <v>0.23066532391924546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434.57908560433049</v>
      </c>
      <c r="F1453" s="37">
        <f t="shared" si="181"/>
        <v>0</v>
      </c>
      <c r="G1453" s="14">
        <f t="shared" si="182"/>
        <v>0</v>
      </c>
      <c r="H1453" s="24">
        <f t="shared" si="180"/>
        <v>623.96259727653512</v>
      </c>
      <c r="I1453" s="12">
        <f t="shared" si="187"/>
        <v>0.23057002717936809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434.80965563150983</v>
      </c>
      <c r="F1454" s="37">
        <f t="shared" si="181"/>
        <v>0</v>
      </c>
      <c r="G1454" s="14">
        <f t="shared" si="182"/>
        <v>0</v>
      </c>
      <c r="H1454" s="24">
        <f t="shared" si="180"/>
        <v>624.09222404582317</v>
      </c>
      <c r="I1454" s="12">
        <f t="shared" si="187"/>
        <v>0.23047475091817904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435.040130382428</v>
      </c>
      <c r="F1455" s="37">
        <f t="shared" si="181"/>
        <v>0</v>
      </c>
      <c r="G1455" s="14">
        <f t="shared" si="182"/>
        <v>0</v>
      </c>
      <c r="H1455" s="24">
        <f t="shared" si="180"/>
        <v>624.22192538140325</v>
      </c>
      <c r="I1455" s="12">
        <f t="shared" si="187"/>
        <v>0.23037949518156883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435.27050987760958</v>
      </c>
      <c r="F1456" s="37">
        <f t="shared" si="181"/>
        <v>0</v>
      </c>
      <c r="G1456" s="14">
        <f t="shared" si="182"/>
        <v>0</v>
      </c>
      <c r="H1456" s="24">
        <f t="shared" si="180"/>
        <v>624.3517012989405</v>
      </c>
      <c r="I1456" s="12">
        <f t="shared" si="187"/>
        <v>0.23028426001538638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435.50079413762495</v>
      </c>
      <c r="F1457" s="37">
        <f t="shared" si="181"/>
        <v>0</v>
      </c>
      <c r="G1457" s="14">
        <f t="shared" si="182"/>
        <v>0</v>
      </c>
      <c r="H1457" s="24">
        <f t="shared" si="180"/>
        <v>624.48155181383254</v>
      </c>
      <c r="I1457" s="12">
        <f t="shared" si="187"/>
        <v>0.23018904546543933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435.73098318309042</v>
      </c>
      <c r="F1458" s="37">
        <f t="shared" si="181"/>
        <v>0</v>
      </c>
      <c r="G1458" s="14">
        <f t="shared" si="182"/>
        <v>0</v>
      </c>
      <c r="H1458" s="24">
        <f t="shared" si="180"/>
        <v>624.61147694121132</v>
      </c>
      <c r="I1458" s="12">
        <f t="shared" si="187"/>
        <v>0.23009385157749379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435.96107703466794</v>
      </c>
      <c r="F1459" s="37">
        <f t="shared" si="181"/>
        <v>0</v>
      </c>
      <c r="G1459" s="14">
        <f t="shared" si="182"/>
        <v>0</v>
      </c>
      <c r="H1459" s="24">
        <f t="shared" si="180"/>
        <v>624.74147669594265</v>
      </c>
      <c r="I1459" s="12">
        <f t="shared" si="187"/>
        <v>0.22999867839727409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436.19107571306523</v>
      </c>
      <c r="F1460" s="37">
        <f t="shared" si="181"/>
        <v>0</v>
      </c>
      <c r="G1460" s="14">
        <f t="shared" si="182"/>
        <v>0</v>
      </c>
      <c r="H1460" s="24">
        <f t="shared" si="180"/>
        <v>624.87155109262756</v>
      </c>
      <c r="I1460" s="12">
        <f t="shared" si="187"/>
        <v>0.22990352597046243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436.42097923903572</v>
      </c>
      <c r="F1461" s="37">
        <f t="shared" si="181"/>
        <v>0</v>
      </c>
      <c r="G1461" s="14">
        <f t="shared" si="182"/>
        <v>0</v>
      </c>
      <c r="H1461" s="24">
        <f t="shared" si="180"/>
        <v>625.00170014560229</v>
      </c>
      <c r="I1461" s="12">
        <f t="shared" si="187"/>
        <v>0.22980839434269915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436.6507876333784</v>
      </c>
      <c r="F1462" s="37">
        <f t="shared" si="181"/>
        <v>0</v>
      </c>
      <c r="G1462" s="14">
        <f t="shared" si="182"/>
        <v>0</v>
      </c>
      <c r="H1462" s="24">
        <f t="shared" si="180"/>
        <v>625.13192386893945</v>
      </c>
      <c r="I1462" s="12">
        <f t="shared" si="187"/>
        <v>0.2297132835595819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436.88050091693799</v>
      </c>
      <c r="F1463" s="37">
        <f t="shared" si="181"/>
        <v>0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625.26222227644848</v>
      </c>
      <c r="I1463" s="12">
        <f t="shared" si="187"/>
        <v>0.2296181936666658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437.11011911060467</v>
      </c>
      <c r="F1464" s="37">
        <f t="shared" si="181"/>
        <v>0</v>
      </c>
      <c r="G1464" s="14">
        <f t="shared" si="182"/>
        <v>0</v>
      </c>
      <c r="H1464" s="24">
        <f t="shared" si="188"/>
        <v>625.39259538167596</v>
      </c>
      <c r="I1464" s="12">
        <f t="shared" si="187"/>
        <v>0.22952312470946309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437.33964223531416</v>
      </c>
      <c r="F1465" s="37">
        <f t="shared" si="181"/>
        <v>0</v>
      </c>
      <c r="G1465" s="14">
        <f t="shared" si="182"/>
        <v>0</v>
      </c>
      <c r="H1465" s="24">
        <f t="shared" si="188"/>
        <v>625.52304319790687</v>
      </c>
      <c r="I1465" s="12">
        <f t="shared" si="187"/>
        <v>0.22942807673344301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437.56907031204759</v>
      </c>
      <c r="F1466" s="37">
        <f t="shared" si="181"/>
        <v>0</v>
      </c>
      <c r="G1466" s="14">
        <f t="shared" si="182"/>
        <v>0</v>
      </c>
      <c r="H1466" s="24">
        <f t="shared" si="188"/>
        <v>625.65356573816416</v>
      </c>
      <c r="I1466" s="12">
        <f t="shared" si="187"/>
        <v>0.22933304978403168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437.79840336183162</v>
      </c>
      <c r="F1467" s="37">
        <f t="shared" si="181"/>
        <v>0</v>
      </c>
      <c r="G1467" s="14">
        <f t="shared" si="182"/>
        <v>0</v>
      </c>
      <c r="H1467" s="24">
        <f t="shared" si="188"/>
        <v>625.78416301521088</v>
      </c>
      <c r="I1467" s="12">
        <f t="shared" si="187"/>
        <v>0.22923804390661151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438.02764140573822</v>
      </c>
      <c r="F1468" s="37">
        <f t="shared" si="181"/>
        <v>0</v>
      </c>
      <c r="G1468" s="14">
        <f t="shared" si="182"/>
        <v>0</v>
      </c>
      <c r="H1468" s="24">
        <f t="shared" si="188"/>
        <v>625.91483504154928</v>
      </c>
      <c r="I1468" s="12">
        <f t="shared" si="187"/>
        <v>0.22914305914652139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438.25678446488473</v>
      </c>
      <c r="F1469" s="37">
        <f t="shared" si="181"/>
        <v>0</v>
      </c>
      <c r="G1469" s="14">
        <f t="shared" si="182"/>
        <v>0</v>
      </c>
      <c r="H1469" s="24">
        <f t="shared" si="188"/>
        <v>626.04558182942242</v>
      </c>
      <c r="I1469" s="12">
        <f t="shared" si="187"/>
        <v>0.22904809554905636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438.48583256043378</v>
      </c>
      <c r="F1470" s="37">
        <f t="shared" si="181"/>
        <v>0</v>
      </c>
      <c r="G1470" s="14">
        <f t="shared" si="182"/>
        <v>0</v>
      </c>
      <c r="H1470" s="24">
        <f t="shared" si="188"/>
        <v>626.17640339081413</v>
      </c>
      <c r="I1470" s="12">
        <f t="shared" si="187"/>
        <v>0.22895315315946727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438.71478571359324</v>
      </c>
      <c r="F1471" s="37">
        <f t="shared" si="181"/>
        <v>0</v>
      </c>
      <c r="G1471" s="14">
        <f t="shared" si="182"/>
        <v>0</v>
      </c>
      <c r="H1471" s="24">
        <f t="shared" si="188"/>
        <v>626.30729973745042</v>
      </c>
      <c r="I1471" s="12">
        <f t="shared" si="187"/>
        <v>0.22885823202296091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438.9436439456162</v>
      </c>
      <c r="F1472" s="37">
        <f t="shared" si="181"/>
        <v>0</v>
      </c>
      <c r="G1472" s="14">
        <f t="shared" si="182"/>
        <v>0</v>
      </c>
      <c r="H1472" s="24">
        <f t="shared" si="188"/>
        <v>626.43827088079911</v>
      </c>
      <c r="I1472" s="12">
        <f t="shared" si="187"/>
        <v>0.2287633321846993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439.17240727780091</v>
      </c>
      <c r="F1473" s="37">
        <f t="shared" si="181"/>
        <v>0</v>
      </c>
      <c r="G1473" s="14">
        <f t="shared" si="182"/>
        <v>0</v>
      </c>
      <c r="H1473" s="24">
        <f t="shared" si="188"/>
        <v>626.56931683207108</v>
      </c>
      <c r="I1473" s="12">
        <f t="shared" si="187"/>
        <v>0.22866845368979988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439.40107573149072</v>
      </c>
      <c r="F1474" s="37">
        <f t="shared" si="181"/>
        <v>0</v>
      </c>
      <c r="G1474" s="14">
        <f t="shared" si="182"/>
        <v>0</v>
      </c>
      <c r="H1474" s="24">
        <f t="shared" si="188"/>
        <v>626.7004376022212</v>
      </c>
      <c r="I1474" s="12">
        <f t="shared" si="187"/>
        <v>0.22857359658333537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439.62964932807404</v>
      </c>
      <c r="F1475" s="37">
        <f t="shared" si="181"/>
        <v>0</v>
      </c>
      <c r="G1475" s="14">
        <f t="shared" si="182"/>
        <v>0</v>
      </c>
      <c r="H1475" s="24">
        <f t="shared" si="188"/>
        <v>626.83163320194762</v>
      </c>
      <c r="I1475" s="12">
        <f t="shared" si="187"/>
        <v>0.22847876091033315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439.85812808898436</v>
      </c>
      <c r="F1476" s="37">
        <f t="shared" si="181"/>
        <v>0</v>
      </c>
      <c r="G1476" s="14">
        <f t="shared" si="182"/>
        <v>0</v>
      </c>
      <c r="H1476" s="24">
        <f t="shared" si="188"/>
        <v>626.96290364169397</v>
      </c>
      <c r="I1476" s="12">
        <f t="shared" si="187"/>
        <v>0.22838394671577539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440.08651203570014</v>
      </c>
      <c r="F1477" s="37">
        <f t="shared" si="181"/>
        <v>0</v>
      </c>
      <c r="G1477" s="14">
        <f t="shared" si="182"/>
        <v>0</v>
      </c>
      <c r="H1477" s="24">
        <f t="shared" si="188"/>
        <v>627.09424893164919</v>
      </c>
      <c r="I1477" s="12">
        <f t="shared" si="187"/>
        <v>0.22828915404459857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440.31480118974474</v>
      </c>
      <c r="F1478" s="37">
        <f t="shared" si="181"/>
        <v>0</v>
      </c>
      <c r="G1478" s="14">
        <f t="shared" si="182"/>
        <v>0</v>
      </c>
      <c r="H1478" s="24">
        <f t="shared" si="188"/>
        <v>627.22566908174781</v>
      </c>
      <c r="I1478" s="12">
        <f t="shared" si="187"/>
        <v>0.22819438294169378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440.54299557268644</v>
      </c>
      <c r="F1479" s="37">
        <f t="shared" si="181"/>
        <v>0</v>
      </c>
      <c r="G1479" s="14">
        <f t="shared" si="182"/>
        <v>0</v>
      </c>
      <c r="H1479" s="24">
        <f t="shared" si="188"/>
        <v>627.35716410167117</v>
      </c>
      <c r="I1479" s="12">
        <f t="shared" si="187"/>
        <v>0.22809963345190609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440.77109520613834</v>
      </c>
      <c r="F1480" s="37">
        <f t="shared" si="181"/>
        <v>0</v>
      </c>
      <c r="G1480" s="14">
        <f t="shared" si="182"/>
        <v>0</v>
      </c>
      <c r="H1480" s="24">
        <f t="shared" si="188"/>
        <v>627.48873400084813</v>
      </c>
      <c r="I1480" s="12">
        <f t="shared" si="187"/>
        <v>0.2280049056200342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440.99910011175837</v>
      </c>
      <c r="F1481" s="37">
        <f t="shared" si="181"/>
        <v>0</v>
      </c>
      <c r="G1481" s="14">
        <f t="shared" si="182"/>
        <v>0</v>
      </c>
      <c r="H1481" s="24">
        <f t="shared" si="188"/>
        <v>627.62037878845467</v>
      </c>
      <c r="I1481" s="12">
        <f t="shared" si="187"/>
        <v>0.22791019949083097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441.22701031124922</v>
      </c>
      <c r="F1482" s="37">
        <f t="shared" si="181"/>
        <v>0</v>
      </c>
      <c r="G1482" s="14">
        <f t="shared" si="182"/>
        <v>0</v>
      </c>
      <c r="H1482" s="24">
        <f t="shared" si="188"/>
        <v>627.75209847341569</v>
      </c>
      <c r="I1482" s="12">
        <f t="shared" si="187"/>
        <v>0.22781551510900228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441.45482582635822</v>
      </c>
      <c r="F1483" s="37">
        <f t="shared" si="181"/>
        <v>0</v>
      </c>
      <c r="G1483" s="14">
        <f t="shared" si="182"/>
        <v>0</v>
      </c>
      <c r="H1483" s="24">
        <f t="shared" si="188"/>
        <v>627.88389306440524</v>
      </c>
      <c r="I1483" s="12">
        <f t="shared" si="187"/>
        <v>0.22772085251920737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441.68254667887743</v>
      </c>
      <c r="F1484" s="37">
        <f t="shared" si="181"/>
        <v>0</v>
      </c>
      <c r="G1484" s="14">
        <f t="shared" si="182"/>
        <v>0</v>
      </c>
      <c r="H1484" s="24">
        <f t="shared" si="188"/>
        <v>628.0157625698464</v>
      </c>
      <c r="I1484" s="12">
        <f t="shared" si="187"/>
        <v>0.22762621176605902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441.91017289064348</v>
      </c>
      <c r="F1485" s="37">
        <f t="shared" si="181"/>
        <v>0</v>
      </c>
      <c r="G1485" s="14">
        <f t="shared" si="182"/>
        <v>0</v>
      </c>
      <c r="H1485" s="24">
        <f t="shared" si="188"/>
        <v>628.14770699791302</v>
      </c>
      <c r="I1485" s="12">
        <f t="shared" si="187"/>
        <v>0.22753159289412223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442.13770448353762</v>
      </c>
      <c r="F1486" s="37">
        <f t="shared" si="181"/>
        <v>0</v>
      </c>
      <c r="G1486" s="14">
        <f t="shared" si="182"/>
        <v>0</v>
      </c>
      <c r="H1486" s="24">
        <f t="shared" si="188"/>
        <v>628.27972635652986</v>
      </c>
      <c r="I1486" s="12">
        <f t="shared" si="187"/>
        <v>0.22743699594791522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442.36514147948554</v>
      </c>
      <c r="F1487" s="37">
        <f t="shared" si="181"/>
        <v>0</v>
      </c>
      <c r="G1487" s="14">
        <f t="shared" si="182"/>
        <v>0</v>
      </c>
      <c r="H1487" s="24">
        <f t="shared" si="188"/>
        <v>628.41182065337227</v>
      </c>
      <c r="I1487" s="12">
        <f t="shared" si="187"/>
        <v>0.2273424209719086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442.59248390045747</v>
      </c>
      <c r="F1488" s="37">
        <f t="shared" si="181"/>
        <v>0</v>
      </c>
      <c r="G1488" s="14">
        <f t="shared" si="182"/>
        <v>0</v>
      </c>
      <c r="H1488" s="24">
        <f t="shared" si="188"/>
        <v>628.543989895869</v>
      </c>
      <c r="I1488" s="12">
        <f t="shared" si="187"/>
        <v>0.22724786801052488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442.81973176846799</v>
      </c>
      <c r="F1489" s="37">
        <f t="shared" si="181"/>
        <v>0</v>
      </c>
      <c r="G1489" s="14">
        <f t="shared" si="182"/>
        <v>0</v>
      </c>
      <c r="H1489" s="24">
        <f t="shared" si="188"/>
        <v>628.6762340912004</v>
      </c>
      <c r="I1489" s="12">
        <f t="shared" si="187"/>
        <v>0.22715333710813912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443.04688510557611</v>
      </c>
      <c r="F1490" s="37">
        <f t="shared" si="181"/>
        <v>0</v>
      </c>
      <c r="G1490" s="14">
        <f t="shared" si="182"/>
        <v>0</v>
      </c>
      <c r="H1490" s="24">
        <f t="shared" si="188"/>
        <v>628.80855324630056</v>
      </c>
      <c r="I1490" s="12">
        <f t="shared" si="187"/>
        <v>0.22705882830907823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443.27394393388516</v>
      </c>
      <c r="F1491" s="37">
        <f t="shared" si="181"/>
        <v>0</v>
      </c>
      <c r="G1491" s="14">
        <f t="shared" si="182"/>
        <v>0</v>
      </c>
      <c r="H1491" s="24">
        <f t="shared" si="188"/>
        <v>628.94094736785712</v>
      </c>
      <c r="I1491" s="12">
        <f t="shared" si="187"/>
        <v>0.22696434165762053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443.50090827554277</v>
      </c>
      <c r="F1492" s="37">
        <f t="shared" ref="F1492:F1555" si="189">Cp*RhoP/(RhoA*H1492)*dp/1000*MassivP</f>
        <v>0</v>
      </c>
      <c r="G1492" s="14">
        <f t="shared" ref="G1492:G1555" si="190">Phi*EpsilonF*Botzman/10^8*J1492*((D1492+273)^4-(E1492+273)^4)</f>
        <v>0</v>
      </c>
      <c r="H1492" s="24">
        <f t="shared" si="188"/>
        <v>629.07341646231271</v>
      </c>
      <c r="I1492" s="12">
        <f t="shared" si="187"/>
        <v>0.22686987719799623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443.72777815274077</v>
      </c>
      <c r="F1493" s="37">
        <f t="shared" si="189"/>
        <v>0</v>
      </c>
      <c r="G1493" s="14">
        <f t="shared" si="190"/>
        <v>0</v>
      </c>
      <c r="H1493" s="24">
        <f t="shared" si="188"/>
        <v>629.20596053586451</v>
      </c>
      <c r="I1493" s="12">
        <f t="shared" ref="I1493:I1556" si="195">LambdaP*MassivP/(dp/1000)/(H1493*RhoA)/(1+F1493/3)*(D1493-E1493)*DeltaT-(EXP(F1493/10)-1)*(D1493-D1492)</f>
        <v>0.22677543497438657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443.95455358771517</v>
      </c>
      <c r="F1494" s="37">
        <f t="shared" si="189"/>
        <v>0</v>
      </c>
      <c r="G1494" s="14">
        <f t="shared" si="190"/>
        <v>0</v>
      </c>
      <c r="H1494" s="24">
        <f t="shared" si="188"/>
        <v>629.33857959446584</v>
      </c>
      <c r="I1494" s="12">
        <f t="shared" si="195"/>
        <v>0.226681015030924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444.18123460274609</v>
      </c>
      <c r="F1495" s="37">
        <f t="shared" si="189"/>
        <v>0</v>
      </c>
      <c r="G1495" s="14">
        <f t="shared" si="190"/>
        <v>0</v>
      </c>
      <c r="H1495" s="24">
        <f t="shared" si="188"/>
        <v>629.47127364382573</v>
      </c>
      <c r="I1495" s="12">
        <f t="shared" si="195"/>
        <v>0.22658661741169209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444.40782122015776</v>
      </c>
      <c r="F1496" s="37">
        <f t="shared" si="189"/>
        <v>0</v>
      </c>
      <c r="G1496" s="14">
        <f t="shared" si="190"/>
        <v>0</v>
      </c>
      <c r="H1496" s="24">
        <f t="shared" si="188"/>
        <v>629.60404268941068</v>
      </c>
      <c r="I1496" s="12">
        <f t="shared" si="195"/>
        <v>0.22649224216072511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444.63431346231846</v>
      </c>
      <c r="F1497" s="37">
        <f t="shared" si="189"/>
        <v>0</v>
      </c>
      <c r="G1497" s="14">
        <f t="shared" si="190"/>
        <v>0</v>
      </c>
      <c r="H1497" s="24">
        <f t="shared" si="188"/>
        <v>629.73688673644438</v>
      </c>
      <c r="I1497" s="12">
        <f t="shared" si="195"/>
        <v>0.22639788932200752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444.86071135164048</v>
      </c>
      <c r="F1498" s="37">
        <f t="shared" si="189"/>
        <v>0</v>
      </c>
      <c r="G1498" s="14">
        <f t="shared" si="190"/>
        <v>0</v>
      </c>
      <c r="H1498" s="24">
        <f t="shared" si="188"/>
        <v>629.86980578990858</v>
      </c>
      <c r="I1498" s="12">
        <f t="shared" si="195"/>
        <v>0.22630355893947449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445.08701491057997</v>
      </c>
      <c r="F1499" s="37">
        <f t="shared" si="189"/>
        <v>0</v>
      </c>
      <c r="G1499" s="14">
        <f t="shared" si="190"/>
        <v>0</v>
      </c>
      <c r="H1499" s="24">
        <f t="shared" si="188"/>
        <v>630.00279985454404</v>
      </c>
      <c r="I1499" s="12">
        <f t="shared" si="195"/>
        <v>0.22620925105701128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445.31322416163698</v>
      </c>
      <c r="F1500" s="37">
        <f t="shared" si="189"/>
        <v>0</v>
      </c>
      <c r="G1500" s="14">
        <f t="shared" si="190"/>
        <v>0</v>
      </c>
      <c r="H1500" s="24">
        <f t="shared" si="188"/>
        <v>630.13586893485035</v>
      </c>
      <c r="I1500" s="12">
        <f t="shared" si="195"/>
        <v>0.22611496571845302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445.53933912735545</v>
      </c>
      <c r="F1501" s="37">
        <f t="shared" si="189"/>
        <v>0</v>
      </c>
      <c r="G1501" s="14">
        <f t="shared" si="190"/>
        <v>0</v>
      </c>
      <c r="H1501" s="24">
        <f t="shared" si="188"/>
        <v>630.26901303508703</v>
      </c>
      <c r="I1501" s="12">
        <f t="shared" si="195"/>
        <v>0.22602070296758503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445.76535983032301</v>
      </c>
      <c r="F1502" s="37">
        <f t="shared" si="189"/>
        <v>0</v>
      </c>
      <c r="G1502" s="14">
        <f t="shared" si="190"/>
        <v>0</v>
      </c>
      <c r="H1502" s="24">
        <f t="shared" si="188"/>
        <v>630.40223215927449</v>
      </c>
      <c r="I1502" s="12">
        <f t="shared" si="195"/>
        <v>0.22592646284814188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445.99128629317113</v>
      </c>
      <c r="F1503" s="37">
        <f t="shared" si="189"/>
        <v>0</v>
      </c>
      <c r="G1503" s="14">
        <f t="shared" si="190"/>
        <v>0</v>
      </c>
      <c r="H1503" s="24">
        <f t="shared" si="188"/>
        <v>630.53552631119396</v>
      </c>
      <c r="I1503" s="12">
        <f t="shared" si="195"/>
        <v>0.22583224540380728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446.21711853857494</v>
      </c>
      <c r="F1504" s="37">
        <f t="shared" si="189"/>
        <v>0</v>
      </c>
      <c r="G1504" s="14">
        <f t="shared" si="190"/>
        <v>0</v>
      </c>
      <c r="H1504" s="24">
        <f t="shared" si="188"/>
        <v>630.66889549438815</v>
      </c>
      <c r="I1504" s="12">
        <f t="shared" si="195"/>
        <v>0.22573805067821495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446.44285658925315</v>
      </c>
      <c r="F1505" s="37">
        <f t="shared" si="189"/>
        <v>0</v>
      </c>
      <c r="G1505" s="14">
        <f t="shared" si="190"/>
        <v>0</v>
      </c>
      <c r="H1505" s="24">
        <f t="shared" si="188"/>
        <v>630.80233971216251</v>
      </c>
      <c r="I1505" s="12">
        <f t="shared" si="195"/>
        <v>0.22564387871494698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446.6685004679681</v>
      </c>
      <c r="F1506" s="37">
        <f t="shared" si="189"/>
        <v>0</v>
      </c>
      <c r="G1506" s="14">
        <f t="shared" si="190"/>
        <v>0</v>
      </c>
      <c r="H1506" s="24">
        <f t="shared" si="188"/>
        <v>630.93585896758498</v>
      </c>
      <c r="I1506" s="12">
        <f t="shared" si="195"/>
        <v>0.22554972955753458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446.89405019752564</v>
      </c>
      <c r="F1507" s="37">
        <f t="shared" si="189"/>
        <v>0</v>
      </c>
      <c r="G1507" s="14">
        <f t="shared" si="190"/>
        <v>0</v>
      </c>
      <c r="H1507" s="24">
        <f t="shared" si="188"/>
        <v>631.06945326348705</v>
      </c>
      <c r="I1507" s="12">
        <f t="shared" si="195"/>
        <v>0.22545560324945757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447.11950580077507</v>
      </c>
      <c r="F1508" s="37">
        <f t="shared" si="189"/>
        <v>0</v>
      </c>
      <c r="G1508" s="14">
        <f t="shared" si="190"/>
        <v>0</v>
      </c>
      <c r="H1508" s="24">
        <f t="shared" si="188"/>
        <v>631.2031226024643</v>
      </c>
      <c r="I1508" s="12">
        <f t="shared" si="195"/>
        <v>0.22536149983414461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447.34486730060922</v>
      </c>
      <c r="F1509" s="37">
        <f t="shared" si="189"/>
        <v>0</v>
      </c>
      <c r="G1509" s="14">
        <f t="shared" si="190"/>
        <v>0</v>
      </c>
      <c r="H1509" s="24">
        <f t="shared" si="188"/>
        <v>631.336866986877</v>
      </c>
      <c r="I1509" s="12">
        <f t="shared" si="195"/>
        <v>0.22526741935497197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447.57013471996419</v>
      </c>
      <c r="F1510" s="37">
        <f t="shared" si="189"/>
        <v>0</v>
      </c>
      <c r="G1510" s="14">
        <f t="shared" si="190"/>
        <v>0</v>
      </c>
      <c r="H1510" s="24">
        <f t="shared" si="188"/>
        <v>631.47068641885062</v>
      </c>
      <c r="I1510" s="12">
        <f t="shared" si="195"/>
        <v>0.22517336185526451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447.79530808181943</v>
      </c>
      <c r="F1511" s="37">
        <f t="shared" si="189"/>
        <v>0</v>
      </c>
      <c r="G1511" s="14">
        <f t="shared" si="190"/>
        <v>0</v>
      </c>
      <c r="H1511" s="24">
        <f t="shared" si="188"/>
        <v>631.60458090027646</v>
      </c>
      <c r="I1511" s="12">
        <f t="shared" si="195"/>
        <v>0.22507932737829517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448.02038740919772</v>
      </c>
      <c r="F1512" s="37">
        <f t="shared" si="189"/>
        <v>0</v>
      </c>
      <c r="G1512" s="14">
        <f t="shared" si="190"/>
        <v>0</v>
      </c>
      <c r="H1512" s="24">
        <f t="shared" si="188"/>
        <v>631.7385504328123</v>
      </c>
      <c r="I1512" s="12">
        <f t="shared" si="195"/>
        <v>0.22498531596728435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448.245372725165</v>
      </c>
      <c r="F1513" s="37">
        <f t="shared" si="189"/>
        <v>0</v>
      </c>
      <c r="G1513" s="14">
        <f t="shared" si="190"/>
        <v>0</v>
      </c>
      <c r="H1513" s="24">
        <f t="shared" si="188"/>
        <v>631.87259501788287</v>
      </c>
      <c r="I1513" s="12">
        <f t="shared" si="195"/>
        <v>0.2248913276653999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448.47026405283037</v>
      </c>
      <c r="F1514" s="37">
        <f t="shared" si="189"/>
        <v>0</v>
      </c>
      <c r="G1514" s="14">
        <f t="shared" si="190"/>
        <v>0</v>
      </c>
      <c r="H1514" s="24">
        <f t="shared" si="188"/>
        <v>632.00671465668051</v>
      </c>
      <c r="I1514" s="12">
        <f t="shared" si="195"/>
        <v>0.22479736251575755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448.69506141534612</v>
      </c>
      <c r="F1515" s="37">
        <f t="shared" si="189"/>
        <v>0</v>
      </c>
      <c r="G1515" s="14">
        <f t="shared" si="190"/>
        <v>0</v>
      </c>
      <c r="H1515" s="24">
        <f t="shared" si="188"/>
        <v>632.14090935016623</v>
      </c>
      <c r="I1515" s="12">
        <f t="shared" si="195"/>
        <v>0.2247034205614197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448.91976483590753</v>
      </c>
      <c r="F1516" s="37">
        <f t="shared" si="189"/>
        <v>0</v>
      </c>
      <c r="G1516" s="14">
        <f t="shared" si="190"/>
        <v>0</v>
      </c>
      <c r="H1516" s="24">
        <f t="shared" si="188"/>
        <v>632.27517909906885</v>
      </c>
      <c r="I1516" s="12">
        <f t="shared" si="195"/>
        <v>0.22460950184539627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449.14437433775294</v>
      </c>
      <c r="F1517" s="37">
        <f t="shared" si="189"/>
        <v>0</v>
      </c>
      <c r="G1517" s="14">
        <f t="shared" si="190"/>
        <v>0</v>
      </c>
      <c r="H1517" s="24">
        <f t="shared" si="188"/>
        <v>632.40952390388748</v>
      </c>
      <c r="I1517" s="12">
        <f t="shared" si="195"/>
        <v>0.22451560641064383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449.36888994416358</v>
      </c>
      <c r="F1518" s="37">
        <f t="shared" si="189"/>
        <v>0</v>
      </c>
      <c r="G1518" s="14">
        <f t="shared" si="190"/>
        <v>0</v>
      </c>
      <c r="H1518" s="24">
        <f t="shared" si="188"/>
        <v>632.54394376489086</v>
      </c>
      <c r="I1518" s="12">
        <f t="shared" si="195"/>
        <v>0.22442173430006523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449.59331167846364</v>
      </c>
      <c r="F1519" s="37">
        <f t="shared" si="189"/>
        <v>0</v>
      </c>
      <c r="G1519" s="14">
        <f t="shared" si="190"/>
        <v>0</v>
      </c>
      <c r="H1519" s="24">
        <f t="shared" si="188"/>
        <v>632.67843868211821</v>
      </c>
      <c r="I1519" s="12">
        <f t="shared" si="195"/>
        <v>0.22432788555651076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449.81763956402017</v>
      </c>
      <c r="F1520" s="37">
        <f t="shared" si="189"/>
        <v>0</v>
      </c>
      <c r="G1520" s="14">
        <f t="shared" si="190"/>
        <v>0</v>
      </c>
      <c r="H1520" s="24">
        <f t="shared" si="188"/>
        <v>632.81300865538026</v>
      </c>
      <c r="I1520" s="12">
        <f t="shared" si="195"/>
        <v>0.22423406022277606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450.04187362424295</v>
      </c>
      <c r="F1521" s="37">
        <f t="shared" si="189"/>
        <v>0</v>
      </c>
      <c r="G1521" s="14">
        <f t="shared" si="190"/>
        <v>0</v>
      </c>
      <c r="H1521" s="24">
        <f t="shared" si="188"/>
        <v>632.94765368425897</v>
      </c>
      <c r="I1521" s="12">
        <f t="shared" si="195"/>
        <v>0.22414025834160359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450.26601388258456</v>
      </c>
      <c r="F1522" s="37">
        <f t="shared" si="189"/>
        <v>0</v>
      </c>
      <c r="G1522" s="14">
        <f t="shared" si="190"/>
        <v>0</v>
      </c>
      <c r="H1522" s="24">
        <f t="shared" si="188"/>
        <v>633.08237376810905</v>
      </c>
      <c r="I1522" s="12">
        <f t="shared" si="195"/>
        <v>0.22404647995568158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450.49006036254025</v>
      </c>
      <c r="F1523" s="37">
        <f t="shared" si="189"/>
        <v>0</v>
      </c>
      <c r="G1523" s="14">
        <f t="shared" si="190"/>
        <v>0</v>
      </c>
      <c r="H1523" s="24">
        <f t="shared" si="188"/>
        <v>633.21716890605796</v>
      </c>
      <c r="I1523" s="12">
        <f t="shared" si="195"/>
        <v>0.22395272510764372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450.71401308764791</v>
      </c>
      <c r="F1524" s="37">
        <f t="shared" si="189"/>
        <v>0</v>
      </c>
      <c r="G1524" s="14">
        <f t="shared" si="190"/>
        <v>0</v>
      </c>
      <c r="H1524" s="24">
        <f t="shared" si="188"/>
        <v>633.35203909700658</v>
      </c>
      <c r="I1524" s="12">
        <f t="shared" si="195"/>
        <v>0.22385899384006985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450.93787208148797</v>
      </c>
      <c r="F1525" s="37">
        <f t="shared" si="189"/>
        <v>0</v>
      </c>
      <c r="G1525" s="14">
        <f t="shared" si="190"/>
        <v>0</v>
      </c>
      <c r="H1525" s="24">
        <f t="shared" si="188"/>
        <v>633.48698433963023</v>
      </c>
      <c r="I1525" s="12">
        <f t="shared" si="195"/>
        <v>0.223765286195485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451.16163736768345</v>
      </c>
      <c r="F1526" s="37">
        <f t="shared" si="189"/>
        <v>0</v>
      </c>
      <c r="G1526" s="14">
        <f t="shared" si="190"/>
        <v>0</v>
      </c>
      <c r="H1526" s="24">
        <f t="shared" si="188"/>
        <v>633.62200463237832</v>
      </c>
      <c r="I1526" s="12">
        <f t="shared" si="195"/>
        <v>0.22367160221635951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451.38530896989982</v>
      </c>
      <c r="F1527" s="37">
        <f t="shared" si="189"/>
        <v>0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633.7570999734761</v>
      </c>
      <c r="I1527" s="12">
        <f t="shared" si="195"/>
        <v>0.22357794194510869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451.60888691184493</v>
      </c>
      <c r="F1528" s="37">
        <f t="shared" si="189"/>
        <v>0</v>
      </c>
      <c r="G1528" s="14">
        <f t="shared" si="190"/>
        <v>0</v>
      </c>
      <c r="H1528" s="24">
        <f t="shared" si="196"/>
        <v>633.8922703609245</v>
      </c>
      <c r="I1528" s="12">
        <f t="shared" si="195"/>
        <v>0.223484305424093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451.83237121726904</v>
      </c>
      <c r="F1529" s="37">
        <f t="shared" si="189"/>
        <v>0</v>
      </c>
      <c r="G1529" s="14">
        <f t="shared" si="190"/>
        <v>0</v>
      </c>
      <c r="H1529" s="24">
        <f t="shared" si="196"/>
        <v>634.02751579250037</v>
      </c>
      <c r="I1529" s="12">
        <f t="shared" si="195"/>
        <v>0.22339069269561782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452.05576190996464</v>
      </c>
      <c r="F1530" s="37">
        <f t="shared" si="189"/>
        <v>0</v>
      </c>
      <c r="G1530" s="14">
        <f t="shared" si="190"/>
        <v>0</v>
      </c>
      <c r="H1530" s="24">
        <f t="shared" si="196"/>
        <v>634.16283626575841</v>
      </c>
      <c r="I1530" s="12">
        <f t="shared" si="195"/>
        <v>0.22329710380193243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452.27905901376658</v>
      </c>
      <c r="F1531" s="37">
        <f t="shared" si="189"/>
        <v>0</v>
      </c>
      <c r="G1531" s="14">
        <f t="shared" si="190"/>
        <v>0</v>
      </c>
      <c r="H1531" s="24">
        <f t="shared" si="196"/>
        <v>634.2982317780303</v>
      </c>
      <c r="I1531" s="12">
        <f t="shared" si="195"/>
        <v>0.22320353878523141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452.50226255255183</v>
      </c>
      <c r="F1532" s="37">
        <f t="shared" si="189"/>
        <v>0</v>
      </c>
      <c r="G1532" s="14">
        <f t="shared" si="190"/>
        <v>0</v>
      </c>
      <c r="H1532" s="24">
        <f t="shared" si="196"/>
        <v>634.4337023264261</v>
      </c>
      <c r="I1532" s="12">
        <f t="shared" si="195"/>
        <v>0.22310999768765274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452.72537255023946</v>
      </c>
      <c r="F1533" s="37">
        <f t="shared" si="189"/>
        <v>0</v>
      </c>
      <c r="G1533" s="14">
        <f t="shared" si="190"/>
        <v>0</v>
      </c>
      <c r="H1533" s="24">
        <f t="shared" si="196"/>
        <v>634.56924790783432</v>
      </c>
      <c r="I1533" s="12">
        <f t="shared" si="195"/>
        <v>0.22301648055127948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452.94838903079074</v>
      </c>
      <c r="F1534" s="37">
        <f t="shared" si="189"/>
        <v>0</v>
      </c>
      <c r="G1534" s="14">
        <f t="shared" si="190"/>
        <v>0</v>
      </c>
      <c r="H1534" s="24">
        <f t="shared" si="196"/>
        <v>634.70486851892349</v>
      </c>
      <c r="I1534" s="12">
        <f t="shared" si="195"/>
        <v>0.22292298741813751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453.17131201820888</v>
      </c>
      <c r="F1535" s="37">
        <f t="shared" si="189"/>
        <v>0</v>
      </c>
      <c r="G1535" s="14">
        <f t="shared" si="190"/>
        <v>0</v>
      </c>
      <c r="H1535" s="24">
        <f t="shared" si="196"/>
        <v>634.84056415614145</v>
      </c>
      <c r="I1535" s="12">
        <f t="shared" si="195"/>
        <v>0.22282951833019726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453.39414153653905</v>
      </c>
      <c r="F1536" s="37">
        <f t="shared" si="189"/>
        <v>0</v>
      </c>
      <c r="G1536" s="14">
        <f t="shared" si="190"/>
        <v>0</v>
      </c>
      <c r="H1536" s="24">
        <f t="shared" si="196"/>
        <v>634.97633481571665</v>
      </c>
      <c r="I1536" s="12">
        <f t="shared" si="195"/>
        <v>0.22273607332937245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453.61687760986842</v>
      </c>
      <c r="F1537" s="37">
        <f t="shared" si="189"/>
        <v>0</v>
      </c>
      <c r="G1537" s="14">
        <f t="shared" si="190"/>
        <v>0</v>
      </c>
      <c r="H1537" s="24">
        <f t="shared" si="196"/>
        <v>635.11218049365891</v>
      </c>
      <c r="I1537" s="12">
        <f t="shared" si="195"/>
        <v>0.2226426524575201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453.83952026232595</v>
      </c>
      <c r="F1538" s="37">
        <f t="shared" si="189"/>
        <v>0</v>
      </c>
      <c r="G1538" s="14">
        <f t="shared" si="190"/>
        <v>0</v>
      </c>
      <c r="H1538" s="24">
        <f t="shared" si="196"/>
        <v>635.24810118575908</v>
      </c>
      <c r="I1538" s="12">
        <f t="shared" si="195"/>
        <v>0.22254925575644102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454.06206951808241</v>
      </c>
      <c r="F1539" s="37">
        <f t="shared" si="189"/>
        <v>0</v>
      </c>
      <c r="G1539" s="14">
        <f t="shared" si="190"/>
        <v>0</v>
      </c>
      <c r="H1539" s="24">
        <f t="shared" si="196"/>
        <v>635.384096887591</v>
      </c>
      <c r="I1539" s="12">
        <f t="shared" si="195"/>
        <v>0.22245588326787841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454.28452540135027</v>
      </c>
      <c r="F1540" s="37">
        <f t="shared" si="189"/>
        <v>0</v>
      </c>
      <c r="G1540" s="14">
        <f t="shared" si="190"/>
        <v>0</v>
      </c>
      <c r="H1540" s="24">
        <f t="shared" si="196"/>
        <v>635.52016759451055</v>
      </c>
      <c r="I1540" s="12">
        <f t="shared" si="195"/>
        <v>0.22236253503351869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454.50688793638381</v>
      </c>
      <c r="F1541" s="37">
        <f t="shared" si="189"/>
        <v>0</v>
      </c>
      <c r="G1541" s="14">
        <f t="shared" si="190"/>
        <v>0</v>
      </c>
      <c r="H1541" s="24">
        <f t="shared" si="196"/>
        <v>635.65631330165763</v>
      </c>
      <c r="I1541" s="12">
        <f t="shared" si="195"/>
        <v>0.22226921109499126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454.72915714747882</v>
      </c>
      <c r="F1542" s="37">
        <f t="shared" si="189"/>
        <v>0</v>
      </c>
      <c r="G1542" s="14">
        <f t="shared" si="190"/>
        <v>0</v>
      </c>
      <c r="H1542" s="24">
        <f t="shared" si="196"/>
        <v>635.79253400395589</v>
      </c>
      <c r="I1542" s="12">
        <f t="shared" si="195"/>
        <v>0.22217591149386764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454.95133305897269</v>
      </c>
      <c r="F1543" s="37">
        <f t="shared" si="189"/>
        <v>0</v>
      </c>
      <c r="G1543" s="14">
        <f t="shared" si="190"/>
        <v>0</v>
      </c>
      <c r="H1543" s="24">
        <f t="shared" si="196"/>
        <v>635.9288296961131</v>
      </c>
      <c r="I1543" s="12">
        <f t="shared" si="195"/>
        <v>0.22208263627166247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455.17341569524433</v>
      </c>
      <c r="F1544" s="37">
        <f t="shared" si="189"/>
        <v>0</v>
      </c>
      <c r="G1544" s="14">
        <f t="shared" si="190"/>
        <v>0</v>
      </c>
      <c r="H1544" s="24">
        <f t="shared" si="196"/>
        <v>636.06520037262271</v>
      </c>
      <c r="I1544" s="12">
        <f t="shared" si="195"/>
        <v>0.22198938546983196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455.39540508071417</v>
      </c>
      <c r="F1545" s="37">
        <f t="shared" si="189"/>
        <v>0</v>
      </c>
      <c r="G1545" s="14">
        <f t="shared" si="190"/>
        <v>0</v>
      </c>
      <c r="H1545" s="24">
        <f t="shared" si="196"/>
        <v>636.20164602776345</v>
      </c>
      <c r="I1545" s="12">
        <f t="shared" si="195"/>
        <v>0.22189615912977492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455.61730123984393</v>
      </c>
      <c r="F1546" s="37">
        <f t="shared" si="189"/>
        <v>0</v>
      </c>
      <c r="G1546" s="14">
        <f t="shared" si="190"/>
        <v>0</v>
      </c>
      <c r="H1546" s="24">
        <f t="shared" si="196"/>
        <v>636.33816665560062</v>
      </c>
      <c r="I1546" s="12">
        <f t="shared" si="195"/>
        <v>0.22180295729283192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455.83910419713675</v>
      </c>
      <c r="F1547" s="37">
        <f t="shared" si="189"/>
        <v>0</v>
      </c>
      <c r="G1547" s="14">
        <f t="shared" si="190"/>
        <v>0</v>
      </c>
      <c r="H1547" s="24">
        <f t="shared" si="196"/>
        <v>636.47476224998593</v>
      </c>
      <c r="I1547" s="12">
        <f t="shared" si="195"/>
        <v>0.22170978000028541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456.06081397713706</v>
      </c>
      <c r="F1548" s="37">
        <f t="shared" si="189"/>
        <v>0</v>
      </c>
      <c r="G1548" s="14">
        <f t="shared" si="190"/>
        <v>0</v>
      </c>
      <c r="H1548" s="24">
        <f t="shared" si="196"/>
        <v>636.61143280455917</v>
      </c>
      <c r="I1548" s="12">
        <f t="shared" si="195"/>
        <v>0.22161662729335935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456.28243060443043</v>
      </c>
      <c r="F1549" s="37">
        <f t="shared" si="189"/>
        <v>0</v>
      </c>
      <c r="G1549" s="14">
        <f t="shared" si="190"/>
        <v>0</v>
      </c>
      <c r="H1549" s="24">
        <f t="shared" si="196"/>
        <v>636.74817831274709</v>
      </c>
      <c r="I1549" s="12">
        <f t="shared" si="195"/>
        <v>0.22152349921321945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456.50395410364365</v>
      </c>
      <c r="F1550" s="37">
        <f t="shared" si="189"/>
        <v>0</v>
      </c>
      <c r="G1550" s="14">
        <f t="shared" si="190"/>
        <v>0</v>
      </c>
      <c r="H1550" s="24">
        <f t="shared" si="196"/>
        <v>636.88499876776586</v>
      </c>
      <c r="I1550" s="12">
        <f t="shared" si="195"/>
        <v>0.22143039580097229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456.7253844994446</v>
      </c>
      <c r="F1551" s="37">
        <f t="shared" si="189"/>
        <v>0</v>
      </c>
      <c r="G1551" s="14">
        <f t="shared" si="190"/>
        <v>0</v>
      </c>
      <c r="H1551" s="24">
        <f t="shared" si="196"/>
        <v>637.02189416262047</v>
      </c>
      <c r="I1551" s="12">
        <f t="shared" si="195"/>
        <v>0.22133731709766624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456.94672181654227</v>
      </c>
      <c r="F1552" s="37">
        <f t="shared" si="189"/>
        <v>0</v>
      </c>
      <c r="G1552" s="14">
        <f t="shared" si="190"/>
        <v>0</v>
      </c>
      <c r="H1552" s="24">
        <f t="shared" si="196"/>
        <v>637.15886449010532</v>
      </c>
      <c r="I1552" s="12">
        <f t="shared" si="195"/>
        <v>0.22124426314429016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457.16796607968655</v>
      </c>
      <c r="F1553" s="37">
        <f t="shared" si="189"/>
        <v>0</v>
      </c>
      <c r="G1553" s="14">
        <f t="shared" si="190"/>
        <v>0</v>
      </c>
      <c r="H1553" s="24">
        <f t="shared" si="196"/>
        <v>637.29590974280518</v>
      </c>
      <c r="I1553" s="12">
        <f t="shared" si="195"/>
        <v>0.22115123398177411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457.38911731366835</v>
      </c>
      <c r="F1554" s="37">
        <f t="shared" si="189"/>
        <v>0</v>
      </c>
      <c r="G1554" s="14">
        <f t="shared" si="190"/>
        <v>0</v>
      </c>
      <c r="H1554" s="24">
        <f t="shared" si="196"/>
        <v>637.43302991309622</v>
      </c>
      <c r="I1554" s="12">
        <f t="shared" si="195"/>
        <v>0.22105822965098856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457.61017554331931</v>
      </c>
      <c r="F1555" s="37">
        <f t="shared" si="189"/>
        <v>0</v>
      </c>
      <c r="G1555" s="14">
        <f t="shared" si="190"/>
        <v>0</v>
      </c>
      <c r="H1555" s="24">
        <f t="shared" si="196"/>
        <v>637.57022499314508</v>
      </c>
      <c r="I1555" s="12">
        <f t="shared" si="195"/>
        <v>0.22096525019274477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457.83114079351208</v>
      </c>
      <c r="F1556" s="37">
        <f t="shared" ref="F1556:F1619" si="197">Cp*RhoP/(RhoA*H1556)*dp/1000*MassivP</f>
        <v>0</v>
      </c>
      <c r="G1556" s="14">
        <f t="shared" ref="G1556:G1619" si="198">Phi*EpsilonF*Botzman/10^8*J1556*((D1556+273)^4-(E1556+273)^4)</f>
        <v>0</v>
      </c>
      <c r="H1556" s="24">
        <f t="shared" si="196"/>
        <v>637.70749497491079</v>
      </c>
      <c r="I1556" s="12">
        <f t="shared" si="195"/>
        <v>0.22087229564779437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458.05201308915986</v>
      </c>
      <c r="F1557" s="37">
        <f t="shared" si="197"/>
        <v>0</v>
      </c>
      <c r="G1557" s="14">
        <f t="shared" si="198"/>
        <v>0</v>
      </c>
      <c r="H1557" s="24">
        <f t="shared" si="196"/>
        <v>637.84483985014504</v>
      </c>
      <c r="I1557" s="12">
        <f t="shared" ref="I1557:I1620" si="203">LambdaP*MassivP/(dp/1000)/(H1557*RhoA)/(1+F1557/3)*(D1557-E1557)*DeltaT-(EXP(F1557/10)-1)*(D1557-D1556)</f>
        <v>0.22077936605682924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458.27279245521669</v>
      </c>
      <c r="F1558" s="37">
        <f t="shared" si="197"/>
        <v>0</v>
      </c>
      <c r="G1558" s="14">
        <f t="shared" si="198"/>
        <v>0</v>
      </c>
      <c r="H1558" s="24">
        <f t="shared" si="196"/>
        <v>637.98225961039225</v>
      </c>
      <c r="I1558" s="12">
        <f t="shared" si="203"/>
        <v>0.22068646146048126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458.49347891667719</v>
      </c>
      <c r="F1559" s="37">
        <f t="shared" si="197"/>
        <v>0</v>
      </c>
      <c r="G1559" s="14">
        <f t="shared" si="198"/>
        <v>0</v>
      </c>
      <c r="H1559" s="24">
        <f t="shared" si="196"/>
        <v>638.11975424699062</v>
      </c>
      <c r="I1559" s="12">
        <f t="shared" si="203"/>
        <v>0.22059358189932232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458.71407249857651</v>
      </c>
      <c r="F1560" s="37">
        <f t="shared" si="197"/>
        <v>0</v>
      </c>
      <c r="G1560" s="14">
        <f t="shared" si="198"/>
        <v>0</v>
      </c>
      <c r="H1560" s="24">
        <f t="shared" si="196"/>
        <v>638.2573237510727</v>
      </c>
      <c r="I1560" s="12">
        <f t="shared" si="203"/>
        <v>0.22050072741386406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458.93457322599039</v>
      </c>
      <c r="F1561" s="37">
        <f t="shared" si="197"/>
        <v>0</v>
      </c>
      <c r="G1561" s="14">
        <f t="shared" si="198"/>
        <v>0</v>
      </c>
      <c r="H1561" s="24">
        <f t="shared" si="196"/>
        <v>638.39496811356582</v>
      </c>
      <c r="I1561" s="12">
        <f t="shared" si="203"/>
        <v>0.22040789804455796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459.15498112403498</v>
      </c>
      <c r="F1562" s="37">
        <f t="shared" si="197"/>
        <v>0</v>
      </c>
      <c r="G1562" s="14">
        <f t="shared" si="198"/>
        <v>0</v>
      </c>
      <c r="H1562" s="24">
        <f t="shared" si="196"/>
        <v>638.532687325192</v>
      </c>
      <c r="I1562" s="12">
        <f t="shared" si="203"/>
        <v>0.2203150938317949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459.37529621786678</v>
      </c>
      <c r="F1563" s="37">
        <f t="shared" si="197"/>
        <v>0</v>
      </c>
      <c r="G1563" s="14">
        <f t="shared" si="198"/>
        <v>0</v>
      </c>
      <c r="H1563" s="24">
        <f t="shared" si="196"/>
        <v>638.67048137647043</v>
      </c>
      <c r="I1563" s="12">
        <f t="shared" si="203"/>
        <v>0.2202223148159049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459.59551853268266</v>
      </c>
      <c r="F1564" s="37">
        <f t="shared" si="197"/>
        <v>0</v>
      </c>
      <c r="G1564" s="14">
        <f t="shared" si="198"/>
        <v>0</v>
      </c>
      <c r="H1564" s="24">
        <f t="shared" si="196"/>
        <v>638.80835025771535</v>
      </c>
      <c r="I1564" s="12">
        <f t="shared" si="203"/>
        <v>0.22012956103715758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459.8156480937198</v>
      </c>
      <c r="F1565" s="37">
        <f t="shared" si="197"/>
        <v>0</v>
      </c>
      <c r="G1565" s="14">
        <f t="shared" si="198"/>
        <v>0</v>
      </c>
      <c r="H1565" s="24">
        <f t="shared" si="196"/>
        <v>638.94629395903917</v>
      </c>
      <c r="I1565" s="12">
        <f t="shared" si="203"/>
        <v>0.22003683253576126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460.03568492625556</v>
      </c>
      <c r="F1566" s="37">
        <f t="shared" si="197"/>
        <v>0</v>
      </c>
      <c r="G1566" s="14">
        <f t="shared" si="198"/>
        <v>0</v>
      </c>
      <c r="H1566" s="24">
        <f t="shared" si="196"/>
        <v>639.08431247035105</v>
      </c>
      <c r="I1566" s="12">
        <f t="shared" si="203"/>
        <v>0.21994412935186339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460.25562905560741</v>
      </c>
      <c r="F1567" s="37">
        <f t="shared" si="197"/>
        <v>0</v>
      </c>
      <c r="G1567" s="14">
        <f t="shared" si="198"/>
        <v>0</v>
      </c>
      <c r="H1567" s="24">
        <f t="shared" si="196"/>
        <v>639.2224057813587</v>
      </c>
      <c r="I1567" s="12">
        <f t="shared" si="203"/>
        <v>0.21985145152555019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460.47548050713294</v>
      </c>
      <c r="F1568" s="37">
        <f t="shared" si="197"/>
        <v>0</v>
      </c>
      <c r="G1568" s="14">
        <f t="shared" si="198"/>
        <v>0</v>
      </c>
      <c r="H1568" s="24">
        <f t="shared" si="196"/>
        <v>639.36057388156848</v>
      </c>
      <c r="I1568" s="12">
        <f t="shared" si="203"/>
        <v>0.21975879909684642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460.69523930622978</v>
      </c>
      <c r="F1569" s="37">
        <f t="shared" si="197"/>
        <v>0</v>
      </c>
      <c r="G1569" s="14">
        <f t="shared" si="198"/>
        <v>0</v>
      </c>
      <c r="H1569" s="24">
        <f t="shared" si="196"/>
        <v>639.49881676028622</v>
      </c>
      <c r="I1569" s="12">
        <f t="shared" si="203"/>
        <v>0.21966617210571526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460.91490547833547</v>
      </c>
      <c r="F1570" s="37">
        <f t="shared" si="197"/>
        <v>0</v>
      </c>
      <c r="G1570" s="14">
        <f t="shared" si="198"/>
        <v>0</v>
      </c>
      <c r="H1570" s="24">
        <f t="shared" si="196"/>
        <v>639.63713440661695</v>
      </c>
      <c r="I1570" s="12">
        <f t="shared" si="203"/>
        <v>0.21957357059205848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461.13447904892752</v>
      </c>
      <c r="F1571" s="37">
        <f t="shared" si="197"/>
        <v>0</v>
      </c>
      <c r="G1571" s="14">
        <f t="shared" si="198"/>
        <v>0</v>
      </c>
      <c r="H1571" s="24">
        <f t="shared" si="196"/>
        <v>639.7755268094669</v>
      </c>
      <c r="I1571" s="12">
        <f t="shared" si="203"/>
        <v>0.21948099459571585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461.35396004352322</v>
      </c>
      <c r="F1572" s="37">
        <f t="shared" si="197"/>
        <v>0</v>
      </c>
      <c r="G1572" s="14">
        <f t="shared" si="198"/>
        <v>0</v>
      </c>
      <c r="H1572" s="24">
        <f t="shared" si="196"/>
        <v>639.91399395754229</v>
      </c>
      <c r="I1572" s="12">
        <f t="shared" si="203"/>
        <v>0.21938844415646527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461.57334848767971</v>
      </c>
      <c r="F1573" s="37">
        <f t="shared" si="197"/>
        <v>0</v>
      </c>
      <c r="G1573" s="14">
        <f t="shared" si="198"/>
        <v>0</v>
      </c>
      <c r="H1573" s="24">
        <f t="shared" si="196"/>
        <v>640.05253583935189</v>
      </c>
      <c r="I1573" s="12">
        <f t="shared" si="203"/>
        <v>0.21929591931402231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461.79264440699376</v>
      </c>
      <c r="F1574" s="37">
        <f t="shared" si="197"/>
        <v>0</v>
      </c>
      <c r="G1574" s="14">
        <f t="shared" si="198"/>
        <v>0</v>
      </c>
      <c r="H1574" s="24">
        <f t="shared" si="196"/>
        <v>640.19115244320551</v>
      </c>
      <c r="I1574" s="12">
        <f t="shared" si="203"/>
        <v>0.21920342010804084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462.0118478271018</v>
      </c>
      <c r="F1575" s="37">
        <f t="shared" si="197"/>
        <v>0</v>
      </c>
      <c r="G1575" s="14">
        <f t="shared" si="198"/>
        <v>0</v>
      </c>
      <c r="H1575" s="24">
        <f t="shared" si="196"/>
        <v>640.32984375721639</v>
      </c>
      <c r="I1575" s="12">
        <f t="shared" si="203"/>
        <v>0.21911094657811192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462.2309587736799</v>
      </c>
      <c r="F1576" s="37">
        <f t="shared" si="197"/>
        <v>0</v>
      </c>
      <c r="G1576" s="14">
        <f t="shared" si="198"/>
        <v>0</v>
      </c>
      <c r="H1576" s="24">
        <f t="shared" si="196"/>
        <v>640.46860976930031</v>
      </c>
      <c r="I1576" s="12">
        <f t="shared" si="203"/>
        <v>0.21901849876376428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462.44997727244368</v>
      </c>
      <c r="F1577" s="37">
        <f t="shared" si="197"/>
        <v>0</v>
      </c>
      <c r="G1577" s="14">
        <f t="shared" si="198"/>
        <v>0</v>
      </c>
      <c r="H1577" s="24">
        <f t="shared" si="196"/>
        <v>640.60745046717716</v>
      </c>
      <c r="I1577" s="12">
        <f t="shared" si="203"/>
        <v>0.21892607670446404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462.66890334914814</v>
      </c>
      <c r="F1578" s="37">
        <f t="shared" si="197"/>
        <v>0</v>
      </c>
      <c r="G1578" s="14">
        <f t="shared" si="198"/>
        <v>0</v>
      </c>
      <c r="H1578" s="24">
        <f t="shared" si="196"/>
        <v>640.74636583837082</v>
      </c>
      <c r="I1578" s="12">
        <f t="shared" si="203"/>
        <v>0.21883368043961446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462.88773702958775</v>
      </c>
      <c r="F1579" s="37">
        <f t="shared" si="197"/>
        <v>0</v>
      </c>
      <c r="G1579" s="14">
        <f t="shared" si="198"/>
        <v>0</v>
      </c>
      <c r="H1579" s="24">
        <f t="shared" si="196"/>
        <v>640.88535587021011</v>
      </c>
      <c r="I1579" s="12">
        <f t="shared" si="203"/>
        <v>0.21874131000855596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463.10647833959632</v>
      </c>
      <c r="F1580" s="37">
        <f t="shared" si="197"/>
        <v>0</v>
      </c>
      <c r="G1580" s="14">
        <f t="shared" si="198"/>
        <v>0</v>
      </c>
      <c r="H1580" s="24">
        <f t="shared" si="196"/>
        <v>641.02442054982907</v>
      </c>
      <c r="I1580" s="12">
        <f t="shared" si="203"/>
        <v>0.21864896545056581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463.32512730504686</v>
      </c>
      <c r="F1581" s="37">
        <f t="shared" si="197"/>
        <v>0</v>
      </c>
      <c r="G1581" s="14">
        <f t="shared" si="198"/>
        <v>0</v>
      </c>
      <c r="H1581" s="24">
        <f t="shared" si="196"/>
        <v>641.16355986416795</v>
      </c>
      <c r="I1581" s="12">
        <f t="shared" si="203"/>
        <v>0.21855664680485834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463.54368395185173</v>
      </c>
      <c r="F1582" s="37">
        <f t="shared" si="197"/>
        <v>0</v>
      </c>
      <c r="G1582" s="14">
        <f t="shared" si="198"/>
        <v>0</v>
      </c>
      <c r="H1582" s="24">
        <f t="shared" si="196"/>
        <v>641.30277379997335</v>
      </c>
      <c r="I1582" s="12">
        <f t="shared" si="203"/>
        <v>0.21846435411058412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463.76214830596234</v>
      </c>
      <c r="F1583" s="37">
        <f t="shared" si="197"/>
        <v>0</v>
      </c>
      <c r="G1583" s="14">
        <f t="shared" si="198"/>
        <v>0</v>
      </c>
      <c r="H1583" s="24">
        <f t="shared" si="196"/>
        <v>641.44206234379874</v>
      </c>
      <c r="I1583" s="12">
        <f t="shared" si="203"/>
        <v>0.21837208740683067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463.98052039336915</v>
      </c>
      <c r="F1584" s="37">
        <f t="shared" si="197"/>
        <v>0</v>
      </c>
      <c r="G1584" s="14">
        <f t="shared" si="198"/>
        <v>0</v>
      </c>
      <c r="H1584" s="24">
        <f t="shared" si="196"/>
        <v>641.58142548200544</v>
      </c>
      <c r="I1584" s="12">
        <f t="shared" si="203"/>
        <v>0.21827984673262191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464.19880024010178</v>
      </c>
      <c r="F1585" s="37">
        <f t="shared" si="197"/>
        <v>0</v>
      </c>
      <c r="G1585" s="14">
        <f t="shared" si="198"/>
        <v>0</v>
      </c>
      <c r="H1585" s="24">
        <f t="shared" si="196"/>
        <v>641.72086320076255</v>
      </c>
      <c r="I1585" s="12">
        <f t="shared" si="203"/>
        <v>0.21818763212691772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464.41698787222867</v>
      </c>
      <c r="F1586" s="37">
        <f t="shared" si="197"/>
        <v>0</v>
      </c>
      <c r="G1586" s="14">
        <f t="shared" si="198"/>
        <v>0</v>
      </c>
      <c r="H1586" s="24">
        <f t="shared" si="196"/>
        <v>641.86037548604781</v>
      </c>
      <c r="I1586" s="12">
        <f t="shared" si="203"/>
        <v>0.21809544362861452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464.63508331585729</v>
      </c>
      <c r="F1587" s="37">
        <f t="shared" si="197"/>
        <v>0</v>
      </c>
      <c r="G1587" s="14">
        <f t="shared" si="198"/>
        <v>0</v>
      </c>
      <c r="H1587" s="24">
        <f t="shared" si="196"/>
        <v>641.9999623236489</v>
      </c>
      <c r="I1587" s="12">
        <f t="shared" si="203"/>
        <v>0.21800328127654453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464.85308659713382</v>
      </c>
      <c r="F1588" s="37">
        <f t="shared" si="197"/>
        <v>0</v>
      </c>
      <c r="G1588" s="14">
        <f t="shared" si="198"/>
        <v>0</v>
      </c>
      <c r="H1588" s="24">
        <f t="shared" si="196"/>
        <v>642.13962369916214</v>
      </c>
      <c r="I1588" s="12">
        <f t="shared" si="203"/>
        <v>0.21791114510947585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465.07099774224332</v>
      </c>
      <c r="F1589" s="37">
        <f t="shared" si="197"/>
        <v>0</v>
      </c>
      <c r="G1589" s="14">
        <f t="shared" si="198"/>
        <v>0</v>
      </c>
      <c r="H1589" s="24">
        <f t="shared" si="196"/>
        <v>642.27935959799493</v>
      </c>
      <c r="I1589" s="12">
        <f t="shared" si="203"/>
        <v>0.21781903516611248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465.28881677740941</v>
      </c>
      <c r="F1590" s="37">
        <f t="shared" si="197"/>
        <v>0</v>
      </c>
      <c r="G1590" s="14">
        <f t="shared" si="198"/>
        <v>0</v>
      </c>
      <c r="H1590" s="24">
        <f t="shared" si="196"/>
        <v>642.41917000536546</v>
      </c>
      <c r="I1590" s="12">
        <f t="shared" si="203"/>
        <v>0.21772695148509394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465.50654372889448</v>
      </c>
      <c r="F1591" s="37">
        <f t="shared" si="197"/>
        <v>0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642.55905490630289</v>
      </c>
      <c r="I1591" s="12">
        <f t="shared" si="203"/>
        <v>0.21763489410499542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465.72417862299949</v>
      </c>
      <c r="F1592" s="37">
        <f t="shared" si="197"/>
        <v>0</v>
      </c>
      <c r="G1592" s="14">
        <f t="shared" si="198"/>
        <v>0</v>
      </c>
      <c r="H1592" s="24">
        <f t="shared" si="204"/>
        <v>642.6990142856489</v>
      </c>
      <c r="I1592" s="12">
        <f t="shared" si="203"/>
        <v>0.21754286306432719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465.94172148606384</v>
      </c>
      <c r="F1593" s="37">
        <f t="shared" si="197"/>
        <v>0</v>
      </c>
      <c r="G1593" s="14">
        <f t="shared" si="198"/>
        <v>0</v>
      </c>
      <c r="H1593" s="24">
        <f t="shared" si="204"/>
        <v>642.83904812805713</v>
      </c>
      <c r="I1593" s="12">
        <f t="shared" si="203"/>
        <v>0.21745085840153494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466.15917234446539</v>
      </c>
      <c r="F1594" s="37">
        <f t="shared" si="197"/>
        <v>0</v>
      </c>
      <c r="G1594" s="14">
        <f t="shared" si="198"/>
        <v>0</v>
      </c>
      <c r="H1594" s="24">
        <f t="shared" si="204"/>
        <v>642.97915641799455</v>
      </c>
      <c r="I1594" s="12">
        <f t="shared" si="203"/>
        <v>0.21735888015499966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466.37653122462041</v>
      </c>
      <c r="F1595" s="37">
        <f t="shared" si="197"/>
        <v>0</v>
      </c>
      <c r="G1595" s="14">
        <f t="shared" si="198"/>
        <v>0</v>
      </c>
      <c r="H1595" s="24">
        <f t="shared" si="204"/>
        <v>643.11933913974156</v>
      </c>
      <c r="I1595" s="12">
        <f t="shared" si="203"/>
        <v>0.21726692836303718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466.59379815298342</v>
      </c>
      <c r="F1596" s="37">
        <f t="shared" si="197"/>
        <v>0</v>
      </c>
      <c r="G1596" s="14">
        <f t="shared" si="198"/>
        <v>0</v>
      </c>
      <c r="H1596" s="24">
        <f t="shared" si="204"/>
        <v>643.25959627739269</v>
      </c>
      <c r="I1596" s="12">
        <f t="shared" si="203"/>
        <v>0.21717500306389817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466.81097315604734</v>
      </c>
      <c r="F1597" s="37">
        <f t="shared" si="197"/>
        <v>0</v>
      </c>
      <c r="G1597" s="14">
        <f t="shared" si="198"/>
        <v>0</v>
      </c>
      <c r="H1597" s="24">
        <f t="shared" si="204"/>
        <v>643.39992781485716</v>
      </c>
      <c r="I1597" s="12">
        <f t="shared" si="203"/>
        <v>0.21708310429576805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467.02805626034313</v>
      </c>
      <c r="F1598" s="37">
        <f t="shared" si="197"/>
        <v>0</v>
      </c>
      <c r="G1598" s="14">
        <f t="shared" si="198"/>
        <v>0</v>
      </c>
      <c r="H1598" s="24">
        <f t="shared" si="204"/>
        <v>643.54033373585946</v>
      </c>
      <c r="I1598" s="12">
        <f t="shared" si="203"/>
        <v>0.21699123209676691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467.24504749243988</v>
      </c>
      <c r="F1599" s="37">
        <f t="shared" si="197"/>
        <v>0</v>
      </c>
      <c r="G1599" s="14">
        <f t="shared" si="198"/>
        <v>0</v>
      </c>
      <c r="H1599" s="24">
        <f t="shared" si="204"/>
        <v>643.68081402393932</v>
      </c>
      <c r="I1599" s="12">
        <f t="shared" si="203"/>
        <v>0.21689938650494958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467.46194687894484</v>
      </c>
      <c r="F1600" s="37">
        <f t="shared" si="197"/>
        <v>0</v>
      </c>
      <c r="G1600" s="14">
        <f t="shared" si="198"/>
        <v>0</v>
      </c>
      <c r="H1600" s="24">
        <f t="shared" si="204"/>
        <v>643.82136866245355</v>
      </c>
      <c r="I1600" s="12">
        <f t="shared" si="203"/>
        <v>0.21680756755830494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467.67875444650315</v>
      </c>
      <c r="F1601" s="37">
        <f t="shared" si="197"/>
        <v>0</v>
      </c>
      <c r="G1601" s="14">
        <f t="shared" si="198"/>
        <v>0</v>
      </c>
      <c r="H1601" s="24">
        <f t="shared" si="204"/>
        <v>643.96199763457525</v>
      </c>
      <c r="I1601" s="12">
        <f t="shared" si="203"/>
        <v>0.21671577529475614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467.89547022179789</v>
      </c>
      <c r="F1602" s="37">
        <f t="shared" si="197"/>
        <v>0</v>
      </c>
      <c r="G1602" s="14">
        <f t="shared" si="198"/>
        <v>0</v>
      </c>
      <c r="H1602" s="24">
        <f t="shared" si="204"/>
        <v>644.10270092329483</v>
      </c>
      <c r="I1602" s="12">
        <f t="shared" si="203"/>
        <v>0.21662400975216051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468.11209423155003</v>
      </c>
      <c r="F1603" s="37">
        <f t="shared" si="197"/>
        <v>0</v>
      </c>
      <c r="G1603" s="14">
        <f t="shared" si="198"/>
        <v>0</v>
      </c>
      <c r="H1603" s="24">
        <f t="shared" si="204"/>
        <v>644.24347851142079</v>
      </c>
      <c r="I1603" s="12">
        <f t="shared" si="203"/>
        <v>0.21653227096831001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468.32862650251832</v>
      </c>
      <c r="F1604" s="37">
        <f t="shared" si="197"/>
        <v>0</v>
      </c>
      <c r="G1604" s="14">
        <f t="shared" si="198"/>
        <v>0</v>
      </c>
      <c r="H1604" s="24">
        <f t="shared" si="204"/>
        <v>644.38433038157973</v>
      </c>
      <c r="I1604" s="12">
        <f t="shared" si="203"/>
        <v>0.21644055898092954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468.54506706149925</v>
      </c>
      <c r="F1605" s="37">
        <f t="shared" si="197"/>
        <v>0</v>
      </c>
      <c r="G1605" s="14">
        <f t="shared" si="198"/>
        <v>0</v>
      </c>
      <c r="H1605" s="24">
        <f t="shared" si="204"/>
        <v>644.5252565162175</v>
      </c>
      <c r="I1605" s="12">
        <f t="shared" si="203"/>
        <v>0.2163488738276784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468.76141593532691</v>
      </c>
      <c r="F1606" s="37">
        <f t="shared" si="197"/>
        <v>0</v>
      </c>
      <c r="G1606" s="14">
        <f t="shared" si="198"/>
        <v>0</v>
      </c>
      <c r="H1606" s="24">
        <f t="shared" si="204"/>
        <v>644.66625689759962</v>
      </c>
      <c r="I1606" s="12">
        <f t="shared" si="203"/>
        <v>0.21625721554614941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468.97767315087304</v>
      </c>
      <c r="F1607" s="37">
        <f t="shared" si="197"/>
        <v>0</v>
      </c>
      <c r="G1607" s="14">
        <f t="shared" si="198"/>
        <v>0</v>
      </c>
      <c r="H1607" s="24">
        <f t="shared" si="204"/>
        <v>644.807331507811</v>
      </c>
      <c r="I1607" s="12">
        <f t="shared" si="203"/>
        <v>0.216165584173869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469.19383873504694</v>
      </c>
      <c r="F1608" s="37">
        <f t="shared" si="197"/>
        <v>0</v>
      </c>
      <c r="G1608" s="14">
        <f t="shared" si="198"/>
        <v>0</v>
      </c>
      <c r="H1608" s="24">
        <f t="shared" si="204"/>
        <v>644.94848032875757</v>
      </c>
      <c r="I1608" s="12">
        <f t="shared" si="203"/>
        <v>0.2160739797482969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469.40991271479521</v>
      </c>
      <c r="F1609" s="37">
        <f t="shared" si="197"/>
        <v>0</v>
      </c>
      <c r="G1609" s="14">
        <f t="shared" si="198"/>
        <v>0</v>
      </c>
      <c r="H1609" s="24">
        <f t="shared" si="204"/>
        <v>645.08970334216633</v>
      </c>
      <c r="I1609" s="12">
        <f t="shared" si="203"/>
        <v>0.21598240230682644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469.62589511710206</v>
      </c>
      <c r="F1610" s="37">
        <f t="shared" si="197"/>
        <v>0</v>
      </c>
      <c r="G1610" s="14">
        <f t="shared" si="198"/>
        <v>0</v>
      </c>
      <c r="H1610" s="24">
        <f t="shared" si="204"/>
        <v>645.2310005295858</v>
      </c>
      <c r="I1610" s="12">
        <f t="shared" si="203"/>
        <v>0.21589085188678381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469.84178596898886</v>
      </c>
      <c r="F1611" s="37">
        <f t="shared" si="197"/>
        <v>0</v>
      </c>
      <c r="G1611" s="14">
        <f t="shared" si="198"/>
        <v>0</v>
      </c>
      <c r="H1611" s="24">
        <f t="shared" si="204"/>
        <v>645.37237187238634</v>
      </c>
      <c r="I1611" s="12">
        <f t="shared" si="203"/>
        <v>0.21579932852542855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470.05758529751427</v>
      </c>
      <c r="F1612" s="37">
        <f t="shared" si="197"/>
        <v>0</v>
      </c>
      <c r="G1612" s="14">
        <f t="shared" si="198"/>
        <v>0</v>
      </c>
      <c r="H1612" s="24">
        <f t="shared" si="204"/>
        <v>645.51381735176153</v>
      </c>
      <c r="I1612" s="12">
        <f t="shared" si="203"/>
        <v>0.21570783225995338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470.27329312977423</v>
      </c>
      <c r="F1613" s="37">
        <f t="shared" si="197"/>
        <v>0</v>
      </c>
      <c r="G1613" s="14">
        <f t="shared" si="198"/>
        <v>0</v>
      </c>
      <c r="H1613" s="24">
        <f t="shared" si="204"/>
        <v>645.65533694872795</v>
      </c>
      <c r="I1613" s="12">
        <f t="shared" si="203"/>
        <v>0.2156163631274832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470.48890949290171</v>
      </c>
      <c r="F1614" s="37">
        <f t="shared" si="197"/>
        <v>0</v>
      </c>
      <c r="G1614" s="14">
        <f t="shared" si="198"/>
        <v>0</v>
      </c>
      <c r="H1614" s="24">
        <f t="shared" si="204"/>
        <v>645.79693064412561</v>
      </c>
      <c r="I1614" s="12">
        <f t="shared" si="203"/>
        <v>0.21552492116507641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470.70443441406678</v>
      </c>
      <c r="F1615" s="37">
        <f t="shared" si="197"/>
        <v>0</v>
      </c>
      <c r="G1615" s="14">
        <f t="shared" si="198"/>
        <v>0</v>
      </c>
      <c r="H1615" s="24">
        <f t="shared" si="204"/>
        <v>645.93859841861934</v>
      </c>
      <c r="I1615" s="12">
        <f t="shared" si="203"/>
        <v>0.21543350640972375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470.91986792047652</v>
      </c>
      <c r="F1616" s="37">
        <f t="shared" si="197"/>
        <v>0</v>
      </c>
      <c r="G1616" s="14">
        <f t="shared" si="198"/>
        <v>0</v>
      </c>
      <c r="H1616" s="24">
        <f t="shared" si="204"/>
        <v>646.08034025269853</v>
      </c>
      <c r="I1616" s="12">
        <f t="shared" si="203"/>
        <v>0.21534211889834839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471.13521003937484</v>
      </c>
      <c r="F1617" s="37">
        <f t="shared" si="197"/>
        <v>0</v>
      </c>
      <c r="G1617" s="14">
        <f t="shared" si="198"/>
        <v>0</v>
      </c>
      <c r="H1617" s="24">
        <f t="shared" si="204"/>
        <v>646.22215612667742</v>
      </c>
      <c r="I1617" s="12">
        <f t="shared" si="203"/>
        <v>0.21525075866780624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471.35046079804266</v>
      </c>
      <c r="F1618" s="37">
        <f t="shared" si="197"/>
        <v>0</v>
      </c>
      <c r="G1618" s="14">
        <f t="shared" si="198"/>
        <v>0</v>
      </c>
      <c r="H1618" s="24">
        <f t="shared" si="204"/>
        <v>646.36404602069706</v>
      </c>
      <c r="I1618" s="12">
        <f t="shared" si="203"/>
        <v>0.21515942575488525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471.56562022379757</v>
      </c>
      <c r="F1619" s="37">
        <f t="shared" si="197"/>
        <v>0</v>
      </c>
      <c r="G1619" s="14">
        <f t="shared" si="198"/>
        <v>0</v>
      </c>
      <c r="H1619" s="24">
        <f t="shared" si="204"/>
        <v>646.50600991472379</v>
      </c>
      <c r="I1619" s="12">
        <f t="shared" si="203"/>
        <v>0.21506812019630578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471.78068834399386</v>
      </c>
      <c r="F1620" s="37">
        <f t="shared" ref="F1620:F1683" si="205">Cp*RhoP/(RhoA*H1620)*dp/1000*MassivP</f>
        <v>0</v>
      </c>
      <c r="G1620" s="14">
        <f t="shared" ref="G1620:G1683" si="206">Phi*EpsilonF*Botzman/10^8*J1620*((D1620+273)^4-(E1620+273)^4)</f>
        <v>0</v>
      </c>
      <c r="H1620" s="24">
        <f t="shared" si="204"/>
        <v>646.64804778855171</v>
      </c>
      <c r="I1620" s="12">
        <f t="shared" si="203"/>
        <v>0.21497684202872014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471.99566518602256</v>
      </c>
      <c r="F1621" s="37">
        <f t="shared" si="205"/>
        <v>0</v>
      </c>
      <c r="G1621" s="14">
        <f t="shared" si="206"/>
        <v>0</v>
      </c>
      <c r="H1621" s="24">
        <f t="shared" si="204"/>
        <v>646.79015962180188</v>
      </c>
      <c r="I1621" s="12">
        <f t="shared" ref="I1621:I1684" si="211">LambdaP*MassivP/(dp/1000)/(H1621*RhoA)/(1+F1621/3)*(D1621-E1621)*DeltaT-(EXP(F1621/10)-1)*(D1621-D1620)</f>
        <v>0.2148855912887129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472.21055077731125</v>
      </c>
      <c r="F1622" s="37">
        <f t="shared" si="205"/>
        <v>0</v>
      </c>
      <c r="G1622" s="14">
        <f t="shared" si="206"/>
        <v>0</v>
      </c>
      <c r="H1622" s="24">
        <f t="shared" si="204"/>
        <v>646.93234539392347</v>
      </c>
      <c r="I1622" s="12">
        <f t="shared" si="211"/>
        <v>0.21479436801280027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472.42534514532406</v>
      </c>
      <c r="F1623" s="37">
        <f t="shared" si="205"/>
        <v>0</v>
      </c>
      <c r="G1623" s="14">
        <f t="shared" si="206"/>
        <v>0</v>
      </c>
      <c r="H1623" s="24">
        <f t="shared" si="204"/>
        <v>647.07460508419422</v>
      </c>
      <c r="I1623" s="12">
        <f t="shared" si="211"/>
        <v>0.21470317223743024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472.64004831756148</v>
      </c>
      <c r="F1624" s="37">
        <f t="shared" si="205"/>
        <v>0</v>
      </c>
      <c r="G1624" s="14">
        <f t="shared" si="206"/>
        <v>0</v>
      </c>
      <c r="H1624" s="24">
        <f t="shared" si="204"/>
        <v>647.21693867172053</v>
      </c>
      <c r="I1624" s="12">
        <f t="shared" si="211"/>
        <v>0.2146120039989827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472.85466032156046</v>
      </c>
      <c r="F1625" s="37">
        <f t="shared" si="205"/>
        <v>0</v>
      </c>
      <c r="G1625" s="14">
        <f t="shared" si="206"/>
        <v>0</v>
      </c>
      <c r="H1625" s="24">
        <f t="shared" si="204"/>
        <v>647.35934613543839</v>
      </c>
      <c r="I1625" s="12">
        <f t="shared" si="211"/>
        <v>0.21452086333376907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473.06918118489421</v>
      </c>
      <c r="F1626" s="37">
        <f t="shared" si="205"/>
        <v>0</v>
      </c>
      <c r="G1626" s="14">
        <f t="shared" si="206"/>
        <v>0</v>
      </c>
      <c r="H1626" s="24">
        <f t="shared" si="204"/>
        <v>647.50182745411439</v>
      </c>
      <c r="I1626" s="12">
        <f t="shared" si="211"/>
        <v>0.21442975027803213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473.28361093517225</v>
      </c>
      <c r="F1627" s="37">
        <f t="shared" si="205"/>
        <v>0</v>
      </c>
      <c r="G1627" s="14">
        <f t="shared" si="206"/>
        <v>0</v>
      </c>
      <c r="H1627" s="24">
        <f t="shared" si="204"/>
        <v>647.64438260634472</v>
      </c>
      <c r="I1627" s="12">
        <f t="shared" si="211"/>
        <v>0.21433866486794623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473.49794960004022</v>
      </c>
      <c r="F1628" s="37">
        <f t="shared" si="205"/>
        <v>0</v>
      </c>
      <c r="G1628" s="14">
        <f t="shared" si="206"/>
        <v>0</v>
      </c>
      <c r="H1628" s="24">
        <f t="shared" si="204"/>
        <v>647.78701157055752</v>
      </c>
      <c r="I1628" s="12">
        <f t="shared" si="211"/>
        <v>0.21424760713961666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473.71219720717983</v>
      </c>
      <c r="F1629" s="37">
        <f t="shared" si="205"/>
        <v>0</v>
      </c>
      <c r="G1629" s="14">
        <f t="shared" si="206"/>
        <v>0</v>
      </c>
      <c r="H1629" s="24">
        <f t="shared" si="204"/>
        <v>647.92971432501213</v>
      </c>
      <c r="I1629" s="12">
        <f t="shared" si="211"/>
        <v>0.21415657712908037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473.9263537843089</v>
      </c>
      <c r="F1630" s="37">
        <f t="shared" si="205"/>
        <v>0</v>
      </c>
      <c r="G1630" s="14">
        <f t="shared" si="206"/>
        <v>0</v>
      </c>
      <c r="H1630" s="24">
        <f t="shared" si="204"/>
        <v>648.0724908477996</v>
      </c>
      <c r="I1630" s="12">
        <f t="shared" si="211"/>
        <v>0.21406557487230499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474.14041935918118</v>
      </c>
      <c r="F1631" s="37">
        <f t="shared" si="205"/>
        <v>0</v>
      </c>
      <c r="G1631" s="14">
        <f t="shared" si="206"/>
        <v>0</v>
      </c>
      <c r="H1631" s="24">
        <f t="shared" si="204"/>
        <v>648.21534111684446</v>
      </c>
      <c r="I1631" s="12">
        <f t="shared" si="211"/>
        <v>0.2139746004051894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474.35439395958639</v>
      </c>
      <c r="F1632" s="37">
        <f t="shared" si="205"/>
        <v>0</v>
      </c>
      <c r="G1632" s="14">
        <f t="shared" si="206"/>
        <v>0</v>
      </c>
      <c r="H1632" s="24">
        <f t="shared" si="204"/>
        <v>648.35826510990387</v>
      </c>
      <c r="I1632" s="12">
        <f t="shared" si="211"/>
        <v>0.21388365376356322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474.56827761334995</v>
      </c>
      <c r="F1633" s="37">
        <f t="shared" si="205"/>
        <v>0</v>
      </c>
      <c r="G1633" s="14">
        <f t="shared" si="206"/>
        <v>0</v>
      </c>
      <c r="H1633" s="24">
        <f t="shared" si="204"/>
        <v>648.50126280456857</v>
      </c>
      <c r="I1633" s="12">
        <f t="shared" si="211"/>
        <v>0.21379273498318674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474.78207034833315</v>
      </c>
      <c r="F1634" s="37">
        <f t="shared" si="205"/>
        <v>0</v>
      </c>
      <c r="G1634" s="14">
        <f t="shared" si="206"/>
        <v>0</v>
      </c>
      <c r="H1634" s="24">
        <f t="shared" si="204"/>
        <v>648.64433417826376</v>
      </c>
      <c r="I1634" s="12">
        <f t="shared" si="211"/>
        <v>0.21370184409975118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474.99577219243292</v>
      </c>
      <c r="F1635" s="37">
        <f t="shared" si="205"/>
        <v>0</v>
      </c>
      <c r="G1635" s="14">
        <f t="shared" si="206"/>
        <v>0</v>
      </c>
      <c r="H1635" s="24">
        <f t="shared" si="204"/>
        <v>648.78747920824912</v>
      </c>
      <c r="I1635" s="12">
        <f t="shared" si="211"/>
        <v>0.2136109811488783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475.20938317358178</v>
      </c>
      <c r="F1636" s="37">
        <f t="shared" si="205"/>
        <v>0</v>
      </c>
      <c r="G1636" s="14">
        <f t="shared" si="206"/>
        <v>0</v>
      </c>
      <c r="H1636" s="24">
        <f t="shared" si="204"/>
        <v>648.93069787161971</v>
      </c>
      <c r="I1636" s="12">
        <f t="shared" si="211"/>
        <v>0.21352014616612019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475.42290331974789</v>
      </c>
      <c r="F1637" s="37">
        <f t="shared" si="205"/>
        <v>0</v>
      </c>
      <c r="G1637" s="14">
        <f t="shared" si="206"/>
        <v>0</v>
      </c>
      <c r="H1637" s="24">
        <f t="shared" si="204"/>
        <v>649.07399014530597</v>
      </c>
      <c r="I1637" s="12">
        <f t="shared" si="211"/>
        <v>0.2134293391869595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475.63633265893486</v>
      </c>
      <c r="F1638" s="37">
        <f t="shared" si="205"/>
        <v>0</v>
      </c>
      <c r="G1638" s="14">
        <f t="shared" si="206"/>
        <v>0</v>
      </c>
      <c r="H1638" s="24">
        <f t="shared" si="204"/>
        <v>649.21735600607519</v>
      </c>
      <c r="I1638" s="12">
        <f t="shared" si="211"/>
        <v>0.21333856024680919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475.84967121918169</v>
      </c>
      <c r="F1639" s="37">
        <f t="shared" si="205"/>
        <v>0</v>
      </c>
      <c r="G1639" s="14">
        <f t="shared" si="206"/>
        <v>0</v>
      </c>
      <c r="H1639" s="24">
        <f t="shared" si="204"/>
        <v>649.36079543053074</v>
      </c>
      <c r="I1639" s="12">
        <f t="shared" si="211"/>
        <v>0.21324780938101226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476.0629190285627</v>
      </c>
      <c r="F1640" s="37">
        <f t="shared" si="205"/>
        <v>0</v>
      </c>
      <c r="G1640" s="14">
        <f t="shared" si="206"/>
        <v>0</v>
      </c>
      <c r="H1640" s="24">
        <f t="shared" si="204"/>
        <v>649.50430839511364</v>
      </c>
      <c r="I1640" s="12">
        <f t="shared" si="211"/>
        <v>0.21315708662484212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476.27607611518755</v>
      </c>
      <c r="F1641" s="37">
        <f t="shared" si="205"/>
        <v>0</v>
      </c>
      <c r="G1641" s="14">
        <f t="shared" si="206"/>
        <v>0</v>
      </c>
      <c r="H1641" s="24">
        <f t="shared" si="204"/>
        <v>649.64789487610255</v>
      </c>
      <c r="I1641" s="12">
        <f t="shared" si="211"/>
        <v>0.21306639201350175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476.48914250720105</v>
      </c>
      <c r="F1642" s="37">
        <f t="shared" si="205"/>
        <v>0</v>
      </c>
      <c r="G1642" s="14">
        <f t="shared" si="206"/>
        <v>0</v>
      </c>
      <c r="H1642" s="24">
        <f t="shared" si="204"/>
        <v>649.79155484961439</v>
      </c>
      <c r="I1642" s="12">
        <f t="shared" si="211"/>
        <v>0.21297572558212474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476.70211823278316</v>
      </c>
      <c r="F1643" s="37">
        <f t="shared" si="205"/>
        <v>0</v>
      </c>
      <c r="G1643" s="14">
        <f t="shared" si="206"/>
        <v>0</v>
      </c>
      <c r="H1643" s="24">
        <f t="shared" si="204"/>
        <v>649.93528829160482</v>
      </c>
      <c r="I1643" s="12">
        <f t="shared" si="211"/>
        <v>0.21288508736577388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476.91500332014891</v>
      </c>
      <c r="F1644" s="37">
        <f t="shared" si="205"/>
        <v>0</v>
      </c>
      <c r="G1644" s="14">
        <f t="shared" si="206"/>
        <v>0</v>
      </c>
      <c r="H1644" s="24">
        <f t="shared" si="204"/>
        <v>650.07909517786891</v>
      </c>
      <c r="I1644" s="12">
        <f t="shared" si="211"/>
        <v>0.2127944773994421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477.12779779754834</v>
      </c>
      <c r="F1645" s="37">
        <f t="shared" si="205"/>
        <v>0</v>
      </c>
      <c r="G1645" s="14">
        <f t="shared" si="206"/>
        <v>0</v>
      </c>
      <c r="H1645" s="24">
        <f t="shared" si="204"/>
        <v>650.2229754840414</v>
      </c>
      <c r="I1645" s="12">
        <f t="shared" si="211"/>
        <v>0.21270389571805162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477.34050169326639</v>
      </c>
      <c r="F1646" s="37">
        <f t="shared" si="205"/>
        <v>0</v>
      </c>
      <c r="G1646" s="14">
        <f t="shared" si="206"/>
        <v>0</v>
      </c>
      <c r="H1646" s="24">
        <f t="shared" si="204"/>
        <v>650.36692918559766</v>
      </c>
      <c r="I1646" s="12">
        <f t="shared" si="211"/>
        <v>0.21261334235645479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477.55311503562285</v>
      </c>
      <c r="F1647" s="37">
        <f t="shared" si="205"/>
        <v>0</v>
      </c>
      <c r="G1647" s="14">
        <f t="shared" si="206"/>
        <v>0</v>
      </c>
      <c r="H1647" s="24">
        <f t="shared" si="204"/>
        <v>650.51095625785331</v>
      </c>
      <c r="I1647" s="12">
        <f t="shared" si="211"/>
        <v>0.2125228173494329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477.7656378529723</v>
      </c>
      <c r="F1648" s="37">
        <f t="shared" si="205"/>
        <v>0</v>
      </c>
      <c r="G1648" s="14">
        <f t="shared" si="206"/>
        <v>0</v>
      </c>
      <c r="H1648" s="24">
        <f t="shared" si="204"/>
        <v>650.65505667596562</v>
      </c>
      <c r="I1648" s="12">
        <f t="shared" si="211"/>
        <v>0.21243232073169707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477.978070173704</v>
      </c>
      <c r="F1649" s="37">
        <f t="shared" si="205"/>
        <v>0</v>
      </c>
      <c r="G1649" s="14">
        <f t="shared" si="206"/>
        <v>0</v>
      </c>
      <c r="H1649" s="24">
        <f t="shared" si="204"/>
        <v>650.79923041493385</v>
      </c>
      <c r="I1649" s="12">
        <f t="shared" si="211"/>
        <v>0.21234185253788732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478.19041202624186</v>
      </c>
      <c r="F1650" s="37">
        <f t="shared" si="205"/>
        <v>0</v>
      </c>
      <c r="G1650" s="14">
        <f t="shared" si="206"/>
        <v>0</v>
      </c>
      <c r="H1650" s="24">
        <f t="shared" si="204"/>
        <v>650.94347744959907</v>
      </c>
      <c r="I1650" s="12">
        <f t="shared" si="211"/>
        <v>0.21225141280257345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478.40266343904443</v>
      </c>
      <c r="F1651" s="37">
        <f t="shared" si="205"/>
        <v>0</v>
      </c>
      <c r="G1651" s="14">
        <f t="shared" si="206"/>
        <v>0</v>
      </c>
      <c r="H1651" s="24">
        <f t="shared" si="204"/>
        <v>651.08779775464598</v>
      </c>
      <c r="I1651" s="12">
        <f t="shared" si="211"/>
        <v>0.21216100156025378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478.61482444060471</v>
      </c>
      <c r="F1652" s="37">
        <f t="shared" si="205"/>
        <v>0</v>
      </c>
      <c r="G1652" s="14">
        <f t="shared" si="206"/>
        <v>0</v>
      </c>
      <c r="H1652" s="24">
        <f t="shared" si="204"/>
        <v>651.23219130460143</v>
      </c>
      <c r="I1652" s="12">
        <f t="shared" si="211"/>
        <v>0.21207061884535636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478.82689505945007</v>
      </c>
      <c r="F1653" s="37">
        <f t="shared" si="205"/>
        <v>0</v>
      </c>
      <c r="G1653" s="14">
        <f t="shared" si="206"/>
        <v>0</v>
      </c>
      <c r="H1653" s="24">
        <f t="shared" si="204"/>
        <v>651.37665807383746</v>
      </c>
      <c r="I1653" s="12">
        <f t="shared" si="211"/>
        <v>0.2119802646922373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479.03887532414228</v>
      </c>
      <c r="F1654" s="37">
        <f t="shared" si="205"/>
        <v>0</v>
      </c>
      <c r="G1654" s="14">
        <f t="shared" si="206"/>
        <v>0</v>
      </c>
      <c r="H1654" s="24">
        <f t="shared" si="204"/>
        <v>651.52119803656933</v>
      </c>
      <c r="I1654" s="12">
        <f t="shared" si="211"/>
        <v>0.21188993913518273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479.25076526327746</v>
      </c>
      <c r="F1655" s="37">
        <f t="shared" si="205"/>
        <v>0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651.66581116685779</v>
      </c>
      <c r="I1655" s="12">
        <f t="shared" si="211"/>
        <v>0.21179964220840664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479.46256490548586</v>
      </c>
      <c r="F1656" s="37">
        <f t="shared" si="205"/>
        <v>0</v>
      </c>
      <c r="G1656" s="14">
        <f t="shared" si="206"/>
        <v>0</v>
      </c>
      <c r="H1656" s="24">
        <f t="shared" si="212"/>
        <v>651.81049743860865</v>
      </c>
      <c r="I1656" s="12">
        <f t="shared" si="211"/>
        <v>0.21170937394605222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479.67427427943193</v>
      </c>
      <c r="F1657" s="37">
        <f t="shared" si="205"/>
        <v>0</v>
      </c>
      <c r="G1657" s="14">
        <f t="shared" si="206"/>
        <v>0</v>
      </c>
      <c r="H1657" s="24">
        <f t="shared" si="212"/>
        <v>651.95525682557354</v>
      </c>
      <c r="I1657" s="12">
        <f t="shared" si="211"/>
        <v>0.21161913438219118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479.88589341381413</v>
      </c>
      <c r="F1658" s="37">
        <f t="shared" si="205"/>
        <v>0</v>
      </c>
      <c r="G1658" s="14">
        <f t="shared" si="206"/>
        <v>0</v>
      </c>
      <c r="H1658" s="24">
        <f t="shared" si="212"/>
        <v>652.10008930135064</v>
      </c>
      <c r="I1658" s="12">
        <f t="shared" si="211"/>
        <v>0.21152892355082401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480.09742233736495</v>
      </c>
      <c r="F1659" s="37">
        <f t="shared" si="205"/>
        <v>0</v>
      </c>
      <c r="G1659" s="14">
        <f t="shared" si="206"/>
        <v>0</v>
      </c>
      <c r="H1659" s="24">
        <f t="shared" si="212"/>
        <v>652.24499483938473</v>
      </c>
      <c r="I1659" s="12">
        <f t="shared" si="211"/>
        <v>0.21143874148587913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480.30886107885084</v>
      </c>
      <c r="F1660" s="37">
        <f t="shared" si="205"/>
        <v>0</v>
      </c>
      <c r="G1660" s="14">
        <f t="shared" si="206"/>
        <v>0</v>
      </c>
      <c r="H1660" s="24">
        <f t="shared" si="212"/>
        <v>652.38997341296783</v>
      </c>
      <c r="I1660" s="12">
        <f t="shared" si="211"/>
        <v>0.21134858822121419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480.52020966707204</v>
      </c>
      <c r="F1661" s="37">
        <f t="shared" si="205"/>
        <v>0</v>
      </c>
      <c r="G1661" s="14">
        <f t="shared" si="206"/>
        <v>0</v>
      </c>
      <c r="H1661" s="24">
        <f t="shared" si="212"/>
        <v>652.53502499524029</v>
      </c>
      <c r="I1661" s="12">
        <f t="shared" si="211"/>
        <v>0.21125846379061453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480.73146813086265</v>
      </c>
      <c r="F1662" s="37">
        <f t="shared" si="205"/>
        <v>0</v>
      </c>
      <c r="G1662" s="14">
        <f t="shared" si="206"/>
        <v>0</v>
      </c>
      <c r="H1662" s="24">
        <f t="shared" si="212"/>
        <v>652.68014955919023</v>
      </c>
      <c r="I1662" s="12">
        <f t="shared" si="211"/>
        <v>0.21116836822779386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480.94263649909044</v>
      </c>
      <c r="F1663" s="37">
        <f t="shared" si="205"/>
        <v>0</v>
      </c>
      <c r="G1663" s="14">
        <f t="shared" si="206"/>
        <v>0</v>
      </c>
      <c r="H1663" s="24">
        <f t="shared" si="212"/>
        <v>652.82534707765467</v>
      </c>
      <c r="I1663" s="12">
        <f t="shared" si="211"/>
        <v>0.21107830156639423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481.15371480065681</v>
      </c>
      <c r="F1664" s="37">
        <f t="shared" si="205"/>
        <v>0</v>
      </c>
      <c r="G1664" s="14">
        <f t="shared" si="206"/>
        <v>0</v>
      </c>
      <c r="H1664" s="24">
        <f t="shared" si="212"/>
        <v>652.97061752332024</v>
      </c>
      <c r="I1664" s="12">
        <f t="shared" si="211"/>
        <v>0.21098826383998576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481.36470306449678</v>
      </c>
      <c r="F1665" s="37">
        <f t="shared" si="205"/>
        <v>0</v>
      </c>
      <c r="G1665" s="14">
        <f t="shared" si="206"/>
        <v>0</v>
      </c>
      <c r="H1665" s="24">
        <f t="shared" si="212"/>
        <v>653.11596086872305</v>
      </c>
      <c r="I1665" s="12">
        <f t="shared" si="211"/>
        <v>0.21089825508206653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481.57560131957882</v>
      </c>
      <c r="F1666" s="37">
        <f t="shared" si="205"/>
        <v>0</v>
      </c>
      <c r="G1666" s="14">
        <f t="shared" si="206"/>
        <v>0</v>
      </c>
      <c r="H1666" s="24">
        <f t="shared" si="212"/>
        <v>653.26137708624958</v>
      </c>
      <c r="I1666" s="12">
        <f t="shared" si="211"/>
        <v>0.2108082753260625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481.78640959490491</v>
      </c>
      <c r="F1667" s="37">
        <f t="shared" si="205"/>
        <v>0</v>
      </c>
      <c r="G1667" s="14">
        <f t="shared" si="206"/>
        <v>0</v>
      </c>
      <c r="H1667" s="24">
        <f t="shared" si="212"/>
        <v>653.4068661481374</v>
      </c>
      <c r="I1667" s="12">
        <f t="shared" si="211"/>
        <v>0.21071832460532774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481.99712791951026</v>
      </c>
      <c r="F1668" s="37">
        <f t="shared" si="205"/>
        <v>0</v>
      </c>
      <c r="G1668" s="14">
        <f t="shared" si="206"/>
        <v>0</v>
      </c>
      <c r="H1668" s="24">
        <f t="shared" si="212"/>
        <v>653.5524280264749</v>
      </c>
      <c r="I1668" s="12">
        <f t="shared" si="211"/>
        <v>0.21062840295314378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482.20775632246341</v>
      </c>
      <c r="F1669" s="37">
        <f t="shared" si="205"/>
        <v>0</v>
      </c>
      <c r="G1669" s="14">
        <f t="shared" si="206"/>
        <v>0</v>
      </c>
      <c r="H1669" s="24">
        <f t="shared" si="212"/>
        <v>653.69806269320236</v>
      </c>
      <c r="I1669" s="12">
        <f t="shared" si="211"/>
        <v>0.21053851040272017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482.41829483286614</v>
      </c>
      <c r="F1670" s="37">
        <f t="shared" si="205"/>
        <v>0</v>
      </c>
      <c r="G1670" s="14">
        <f t="shared" si="206"/>
        <v>0</v>
      </c>
      <c r="H1670" s="24">
        <f t="shared" si="212"/>
        <v>653.84377012011259</v>
      </c>
      <c r="I1670" s="12">
        <f t="shared" si="211"/>
        <v>0.21044864698719409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482.62874347985331</v>
      </c>
      <c r="F1671" s="37">
        <f t="shared" si="205"/>
        <v>0</v>
      </c>
      <c r="G1671" s="14">
        <f t="shared" si="206"/>
        <v>0</v>
      </c>
      <c r="H1671" s="24">
        <f t="shared" si="212"/>
        <v>653.98955027885063</v>
      </c>
      <c r="I1671" s="12">
        <f t="shared" si="211"/>
        <v>0.21035881273963031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482.83910229259294</v>
      </c>
      <c r="F1672" s="37">
        <f t="shared" si="205"/>
        <v>0</v>
      </c>
      <c r="G1672" s="14">
        <f t="shared" si="206"/>
        <v>0</v>
      </c>
      <c r="H1672" s="24">
        <f t="shared" si="212"/>
        <v>654.13540314091517</v>
      </c>
      <c r="I1672" s="12">
        <f t="shared" si="211"/>
        <v>0.21026900769302084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483.04937130028594</v>
      </c>
      <c r="F1673" s="37">
        <f t="shared" si="205"/>
        <v>0</v>
      </c>
      <c r="G1673" s="14">
        <f t="shared" si="206"/>
        <v>0</v>
      </c>
      <c r="H1673" s="24">
        <f t="shared" si="212"/>
        <v>654.28132867765851</v>
      </c>
      <c r="I1673" s="12">
        <f t="shared" si="211"/>
        <v>0.21017923188028564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483.2595505321662</v>
      </c>
      <c r="F1674" s="37">
        <f t="shared" si="205"/>
        <v>0</v>
      </c>
      <c r="G1674" s="14">
        <f t="shared" si="206"/>
        <v>0</v>
      </c>
      <c r="H1674" s="24">
        <f t="shared" si="212"/>
        <v>654.42732686028717</v>
      </c>
      <c r="I1674" s="12">
        <f t="shared" si="211"/>
        <v>0.21008948533427158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483.46964001750047</v>
      </c>
      <c r="F1675" s="37">
        <f t="shared" si="205"/>
        <v>0</v>
      </c>
      <c r="G1675" s="14">
        <f t="shared" si="206"/>
        <v>0</v>
      </c>
      <c r="H1675" s="24">
        <f t="shared" si="212"/>
        <v>654.57339765986239</v>
      </c>
      <c r="I1675" s="12">
        <f t="shared" si="211"/>
        <v>0.20999976808775289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483.67963978558822</v>
      </c>
      <c r="F1676" s="37">
        <f t="shared" si="205"/>
        <v>0</v>
      </c>
      <c r="G1676" s="14">
        <f t="shared" si="206"/>
        <v>0</v>
      </c>
      <c r="H1676" s="24">
        <f t="shared" si="212"/>
        <v>654.71954104730037</v>
      </c>
      <c r="I1676" s="12">
        <f t="shared" si="211"/>
        <v>0.20991008017343143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483.88954986576164</v>
      </c>
      <c r="F1677" s="37">
        <f t="shared" si="205"/>
        <v>0</v>
      </c>
      <c r="G1677" s="14">
        <f t="shared" si="206"/>
        <v>0</v>
      </c>
      <c r="H1677" s="24">
        <f t="shared" si="212"/>
        <v>654.86575699337311</v>
      </c>
      <c r="I1677" s="12">
        <f t="shared" si="211"/>
        <v>0.20982042162393605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484.09937028738557</v>
      </c>
      <c r="F1678" s="37">
        <f t="shared" si="205"/>
        <v>0</v>
      </c>
      <c r="G1678" s="14">
        <f t="shared" si="206"/>
        <v>0</v>
      </c>
      <c r="H1678" s="24">
        <f t="shared" si="212"/>
        <v>655.01204546870872</v>
      </c>
      <c r="I1678" s="12">
        <f t="shared" si="211"/>
        <v>0.2097307924718223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484.30910107985738</v>
      </c>
      <c r="F1679" s="37">
        <f t="shared" si="205"/>
        <v>0</v>
      </c>
      <c r="G1679" s="14">
        <f t="shared" si="206"/>
        <v>0</v>
      </c>
      <c r="H1679" s="24">
        <f t="shared" si="212"/>
        <v>655.15840644379216</v>
      </c>
      <c r="I1679" s="12">
        <f t="shared" si="211"/>
        <v>0.20964119274957344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484.51874227260697</v>
      </c>
      <c r="F1680" s="37">
        <f t="shared" si="205"/>
        <v>0</v>
      </c>
      <c r="G1680" s="14">
        <f t="shared" si="206"/>
        <v>0</v>
      </c>
      <c r="H1680" s="24">
        <f t="shared" si="212"/>
        <v>655.30483988896515</v>
      </c>
      <c r="I1680" s="12">
        <f t="shared" si="211"/>
        <v>0.20955162248959922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484.72829389509656</v>
      </c>
      <c r="F1681" s="37">
        <f t="shared" si="205"/>
        <v>0</v>
      </c>
      <c r="G1681" s="14">
        <f t="shared" si="206"/>
        <v>0</v>
      </c>
      <c r="H1681" s="24">
        <f t="shared" si="212"/>
        <v>655.45134577442741</v>
      </c>
      <c r="I1681" s="12">
        <f t="shared" si="211"/>
        <v>0.20946208172423625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484.93775597682077</v>
      </c>
      <c r="F1682" s="37">
        <f t="shared" si="205"/>
        <v>0</v>
      </c>
      <c r="G1682" s="14">
        <f t="shared" si="206"/>
        <v>0</v>
      </c>
      <c r="H1682" s="24">
        <f t="shared" si="212"/>
        <v>655.5979240702361</v>
      </c>
      <c r="I1682" s="12">
        <f t="shared" si="211"/>
        <v>0.20937257048574875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485.14712854730652</v>
      </c>
      <c r="F1683" s="37">
        <f t="shared" si="205"/>
        <v>0</v>
      </c>
      <c r="G1683" s="14">
        <f t="shared" si="206"/>
        <v>0</v>
      </c>
      <c r="H1683" s="24">
        <f t="shared" si="212"/>
        <v>655.74457474630765</v>
      </c>
      <c r="I1683" s="12">
        <f t="shared" si="211"/>
        <v>0.20928308880632682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485.35641163611285</v>
      </c>
      <c r="F1684" s="37">
        <f t="shared" ref="F1684:F1747" si="213">Cp*RhoP/(RhoA*H1684)*dp/1000*MassivP</f>
        <v>0</v>
      </c>
      <c r="G1684" s="14">
        <f t="shared" ref="G1684:G1747" si="214">Phi*EpsilonF*Botzman/10^8*J1684*((D1684+273)^4-(E1684+273)^4)</f>
        <v>0</v>
      </c>
      <c r="H1684" s="24">
        <f t="shared" si="212"/>
        <v>655.89129777241692</v>
      </c>
      <c r="I1684" s="12">
        <f t="shared" si="211"/>
        <v>0.20919363671808761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485.56560527283096</v>
      </c>
      <c r="F1685" s="37">
        <f t="shared" si="213"/>
        <v>0</v>
      </c>
      <c r="G1685" s="14">
        <f t="shared" si="214"/>
        <v>0</v>
      </c>
      <c r="H1685" s="24">
        <f t="shared" si="212"/>
        <v>656.03809311819873</v>
      </c>
      <c r="I1685" s="12">
        <f t="shared" ref="I1685:I1748" si="219">LambdaP*MassivP/(dp/1000)/(H1685*RhoA)/(1+F1685/3)*(D1685-E1685)*DeltaT-(EXP(F1685/10)-1)*(D1685-D1684)</f>
        <v>0.20910421425307518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485.77470948708407</v>
      </c>
      <c r="F1686" s="37">
        <f t="shared" si="213"/>
        <v>0</v>
      </c>
      <c r="G1686" s="14">
        <f t="shared" si="214"/>
        <v>0</v>
      </c>
      <c r="H1686" s="24">
        <f t="shared" si="212"/>
        <v>656.18496075314749</v>
      </c>
      <c r="I1686" s="12">
        <f t="shared" si="219"/>
        <v>0.20901482144325992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485.98372430852731</v>
      </c>
      <c r="F1687" s="37">
        <f t="shared" si="213"/>
        <v>0</v>
      </c>
      <c r="G1687" s="14">
        <f t="shared" si="214"/>
        <v>0</v>
      </c>
      <c r="H1687" s="24">
        <f t="shared" si="212"/>
        <v>656.33190064661858</v>
      </c>
      <c r="I1687" s="12">
        <f t="shared" si="219"/>
        <v>0.20892545832053866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486.19264976684786</v>
      </c>
      <c r="F1688" s="37">
        <f t="shared" si="213"/>
        <v>0</v>
      </c>
      <c r="G1688" s="14">
        <f t="shared" si="214"/>
        <v>0</v>
      </c>
      <c r="H1688" s="24">
        <f t="shared" si="212"/>
        <v>656.47891276782775</v>
      </c>
      <c r="I1688" s="12">
        <f t="shared" si="219"/>
        <v>0.20883612491673514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486.40148589176459</v>
      </c>
      <c r="F1689" s="37">
        <f t="shared" si="213"/>
        <v>0</v>
      </c>
      <c r="G1689" s="14">
        <f t="shared" si="214"/>
        <v>0</v>
      </c>
      <c r="H1689" s="24">
        <f t="shared" si="212"/>
        <v>656.62599708585242</v>
      </c>
      <c r="I1689" s="12">
        <f t="shared" si="219"/>
        <v>0.20874682126359906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486.61023271302821</v>
      </c>
      <c r="F1690" s="37">
        <f t="shared" si="213"/>
        <v>0</v>
      </c>
      <c r="G1690" s="14">
        <f t="shared" si="214"/>
        <v>0</v>
      </c>
      <c r="H1690" s="24">
        <f t="shared" si="212"/>
        <v>656.7731535696322</v>
      </c>
      <c r="I1690" s="12">
        <f t="shared" si="219"/>
        <v>0.20865754739280681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486.81889026042103</v>
      </c>
      <c r="F1691" s="37">
        <f t="shared" si="213"/>
        <v>0</v>
      </c>
      <c r="G1691" s="14">
        <f t="shared" si="214"/>
        <v>0</v>
      </c>
      <c r="H1691" s="24">
        <f t="shared" si="212"/>
        <v>656.92038218796847</v>
      </c>
      <c r="I1691" s="12">
        <f t="shared" si="219"/>
        <v>0.20856830333596091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487.02745856375697</v>
      </c>
      <c r="F1692" s="37">
        <f t="shared" si="213"/>
        <v>0</v>
      </c>
      <c r="G1692" s="14">
        <f t="shared" si="214"/>
        <v>0</v>
      </c>
      <c r="H1692" s="24">
        <f t="shared" si="212"/>
        <v>657.06768290952573</v>
      </c>
      <c r="I1692" s="12">
        <f t="shared" si="219"/>
        <v>0.20847908912459023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487.23593765288155</v>
      </c>
      <c r="F1693" s="37">
        <f t="shared" si="213"/>
        <v>0</v>
      </c>
      <c r="G1693" s="14">
        <f t="shared" si="214"/>
        <v>0</v>
      </c>
      <c r="H1693" s="24">
        <f t="shared" si="212"/>
        <v>657.21505570283216</v>
      </c>
      <c r="I1693" s="12">
        <f t="shared" si="219"/>
        <v>0.20838990479014965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487.44432755767167</v>
      </c>
      <c r="F1694" s="37">
        <f t="shared" si="213"/>
        <v>0</v>
      </c>
      <c r="G1694" s="14">
        <f t="shared" si="214"/>
        <v>0</v>
      </c>
      <c r="H1694" s="24">
        <f t="shared" si="212"/>
        <v>657.36250053627896</v>
      </c>
      <c r="I1694" s="12">
        <f t="shared" si="219"/>
        <v>0.20830075036402063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487.65262830803567</v>
      </c>
      <c r="F1695" s="37">
        <f t="shared" si="213"/>
        <v>0</v>
      </c>
      <c r="G1695" s="14">
        <f t="shared" si="214"/>
        <v>0</v>
      </c>
      <c r="H1695" s="24">
        <f t="shared" si="212"/>
        <v>657.51001737812226</v>
      </c>
      <c r="I1695" s="12">
        <f t="shared" si="219"/>
        <v>0.20821162587751002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487.86083993391316</v>
      </c>
      <c r="F1696" s="37">
        <f t="shared" si="213"/>
        <v>0</v>
      </c>
      <c r="G1696" s="14">
        <f t="shared" si="214"/>
        <v>0</v>
      </c>
      <c r="H1696" s="24">
        <f t="shared" si="212"/>
        <v>657.65760619648245</v>
      </c>
      <c r="I1696" s="12">
        <f t="shared" si="219"/>
        <v>0.20812253136185144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488.06896246527498</v>
      </c>
      <c r="F1697" s="37">
        <f t="shared" si="213"/>
        <v>0</v>
      </c>
      <c r="G1697" s="14">
        <f t="shared" si="214"/>
        <v>0</v>
      </c>
      <c r="H1697" s="24">
        <f t="shared" si="212"/>
        <v>657.80526695934554</v>
      </c>
      <c r="I1697" s="12">
        <f t="shared" si="219"/>
        <v>0.20803346684820379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488.27699593212316</v>
      </c>
      <c r="F1698" s="37">
        <f t="shared" si="213"/>
        <v>0</v>
      </c>
      <c r="G1698" s="14">
        <f t="shared" si="214"/>
        <v>0</v>
      </c>
      <c r="H1698" s="24">
        <f t="shared" si="212"/>
        <v>657.95299963456284</v>
      </c>
      <c r="I1698" s="12">
        <f t="shared" si="219"/>
        <v>0.20794443236765264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488.4849403644908</v>
      </c>
      <c r="F1699" s="37">
        <f t="shared" si="213"/>
        <v>0</v>
      </c>
      <c r="G1699" s="14">
        <f t="shared" si="214"/>
        <v>0</v>
      </c>
      <c r="H1699" s="24">
        <f t="shared" si="212"/>
        <v>658.10080418985171</v>
      </c>
      <c r="I1699" s="12">
        <f t="shared" si="219"/>
        <v>0.20785542795120876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488.69279579244198</v>
      </c>
      <c r="F1700" s="37">
        <f t="shared" si="213"/>
        <v>0</v>
      </c>
      <c r="G1700" s="14">
        <f t="shared" si="214"/>
        <v>0</v>
      </c>
      <c r="H1700" s="24">
        <f t="shared" si="212"/>
        <v>658.24868059279675</v>
      </c>
      <c r="I1700" s="12">
        <f t="shared" si="219"/>
        <v>0.20776645362980908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488.90056224607179</v>
      </c>
      <c r="F1701" s="37">
        <f t="shared" si="213"/>
        <v>0</v>
      </c>
      <c r="G1701" s="14">
        <f t="shared" si="214"/>
        <v>0</v>
      </c>
      <c r="H1701" s="24">
        <f t="shared" si="212"/>
        <v>658.39662881084905</v>
      </c>
      <c r="I1701" s="12">
        <f t="shared" si="219"/>
        <v>0.20767750943431601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489.10823975550608</v>
      </c>
      <c r="F1702" s="37">
        <f t="shared" si="213"/>
        <v>0</v>
      </c>
      <c r="G1702" s="14">
        <f t="shared" si="214"/>
        <v>0</v>
      </c>
      <c r="H1702" s="24">
        <f t="shared" si="212"/>
        <v>658.54464881132708</v>
      </c>
      <c r="I1702" s="12">
        <f t="shared" si="219"/>
        <v>0.20758859539551835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489.3158283509016</v>
      </c>
      <c r="F1703" s="37">
        <f t="shared" si="213"/>
        <v>0</v>
      </c>
      <c r="G1703" s="14">
        <f t="shared" si="214"/>
        <v>0</v>
      </c>
      <c r="H1703" s="24">
        <f t="shared" si="212"/>
        <v>658.69274056141785</v>
      </c>
      <c r="I1703" s="12">
        <f t="shared" si="219"/>
        <v>0.20749971154412974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489.52332806244573</v>
      </c>
      <c r="F1704" s="37">
        <f t="shared" si="213"/>
        <v>0</v>
      </c>
      <c r="G1704" s="14">
        <f t="shared" si="214"/>
        <v>0</v>
      </c>
      <c r="H1704" s="24">
        <f t="shared" si="212"/>
        <v>658.84090402817651</v>
      </c>
      <c r="I1704" s="12">
        <f t="shared" si="219"/>
        <v>0.20741085791078995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489.73073892035654</v>
      </c>
      <c r="F1705" s="37">
        <f t="shared" si="213"/>
        <v>0</v>
      </c>
      <c r="G1705" s="14">
        <f t="shared" si="214"/>
        <v>0</v>
      </c>
      <c r="H1705" s="24">
        <f t="shared" si="212"/>
        <v>658.98913917852735</v>
      </c>
      <c r="I1705" s="12">
        <f t="shared" si="219"/>
        <v>0.20732203452606407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489.93806095488259</v>
      </c>
      <c r="F1706" s="37">
        <f t="shared" si="213"/>
        <v>0</v>
      </c>
      <c r="G1706" s="14">
        <f t="shared" si="214"/>
        <v>0</v>
      </c>
      <c r="H1706" s="24">
        <f t="shared" si="212"/>
        <v>659.13744597926359</v>
      </c>
      <c r="I1706" s="12">
        <f t="shared" si="219"/>
        <v>0.20723324142044297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490.14529419630304</v>
      </c>
      <c r="F1707" s="37">
        <f t="shared" si="213"/>
        <v>0</v>
      </c>
      <c r="G1707" s="14">
        <f t="shared" si="214"/>
        <v>0</v>
      </c>
      <c r="H1707" s="24">
        <f t="shared" si="212"/>
        <v>659.28582439704883</v>
      </c>
      <c r="I1707" s="12">
        <f t="shared" si="219"/>
        <v>0.20714447862434271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490.35243867492738</v>
      </c>
      <c r="F1708" s="37">
        <f t="shared" si="213"/>
        <v>0</v>
      </c>
      <c r="G1708" s="14">
        <f t="shared" si="214"/>
        <v>0</v>
      </c>
      <c r="H1708" s="24">
        <f t="shared" si="212"/>
        <v>659.43427439841662</v>
      </c>
      <c r="I1708" s="12">
        <f t="shared" si="219"/>
        <v>0.20705574616810501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490.55949442109551</v>
      </c>
      <c r="F1709" s="37">
        <f t="shared" si="213"/>
        <v>0</v>
      </c>
      <c r="G1709" s="14">
        <f t="shared" si="214"/>
        <v>0</v>
      </c>
      <c r="H1709" s="24">
        <f t="shared" si="212"/>
        <v>659.58279594977171</v>
      </c>
      <c r="I1709" s="12">
        <f t="shared" si="219"/>
        <v>0.2069670440819969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490.76646146517749</v>
      </c>
      <c r="F1710" s="37">
        <f t="shared" si="213"/>
        <v>0</v>
      </c>
      <c r="G1710" s="14">
        <f t="shared" si="214"/>
        <v>0</v>
      </c>
      <c r="H1710" s="24">
        <f t="shared" si="212"/>
        <v>659.73138901738912</v>
      </c>
      <c r="I1710" s="12">
        <f t="shared" si="219"/>
        <v>0.20687837239621062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490.97333983757369</v>
      </c>
      <c r="F1711" s="37">
        <f t="shared" si="213"/>
        <v>0</v>
      </c>
      <c r="G1711" s="14">
        <f t="shared" si="214"/>
        <v>0</v>
      </c>
      <c r="H1711" s="24">
        <f t="shared" si="212"/>
        <v>659.88005356741689</v>
      </c>
      <c r="I1711" s="12">
        <f t="shared" si="219"/>
        <v>0.20678973114086391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491.18012956871456</v>
      </c>
      <c r="F1712" s="37">
        <f t="shared" si="213"/>
        <v>0</v>
      </c>
      <c r="G1712" s="14">
        <f t="shared" si="214"/>
        <v>0</v>
      </c>
      <c r="H1712" s="24">
        <f t="shared" si="212"/>
        <v>660.02878956587438</v>
      </c>
      <c r="I1712" s="12">
        <f t="shared" si="219"/>
        <v>0.20670112034599952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491.38683068906056</v>
      </c>
      <c r="F1713" s="37">
        <f t="shared" si="213"/>
        <v>0</v>
      </c>
      <c r="G1713" s="14">
        <f t="shared" si="214"/>
        <v>0</v>
      </c>
      <c r="H1713" s="24">
        <f t="shared" si="212"/>
        <v>660.17759697865336</v>
      </c>
      <c r="I1713" s="12">
        <f t="shared" si="219"/>
        <v>0.20661254004158575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491.59344322910215</v>
      </c>
      <c r="F1714" s="37">
        <f t="shared" si="213"/>
        <v>0</v>
      </c>
      <c r="G1714" s="14">
        <f t="shared" si="214"/>
        <v>0</v>
      </c>
      <c r="H1714" s="24">
        <f t="shared" si="212"/>
        <v>660.32647577151943</v>
      </c>
      <c r="I1714" s="12">
        <f t="shared" si="219"/>
        <v>0.20652399025751578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491.79996721935964</v>
      </c>
      <c r="F1715" s="37">
        <f t="shared" si="213"/>
        <v>0</v>
      </c>
      <c r="G1715" s="14">
        <f t="shared" si="214"/>
        <v>0</v>
      </c>
      <c r="H1715" s="24">
        <f t="shared" si="212"/>
        <v>660.4754259101112</v>
      </c>
      <c r="I1715" s="12">
        <f t="shared" si="219"/>
        <v>0.20643547102360796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492.00640269038325</v>
      </c>
      <c r="F1716" s="37">
        <f t="shared" si="213"/>
        <v>0</v>
      </c>
      <c r="G1716" s="14">
        <f t="shared" si="214"/>
        <v>0</v>
      </c>
      <c r="H1716" s="24">
        <f t="shared" si="212"/>
        <v>660.62444735994109</v>
      </c>
      <c r="I1716" s="12">
        <f t="shared" si="219"/>
        <v>0.20634698236960566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492.21274967275286</v>
      </c>
      <c r="F1717" s="37">
        <f t="shared" si="213"/>
        <v>0</v>
      </c>
      <c r="G1717" s="14">
        <f t="shared" si="214"/>
        <v>0</v>
      </c>
      <c r="H1717" s="24">
        <f t="shared" si="212"/>
        <v>660.77354008639657</v>
      </c>
      <c r="I1717" s="12">
        <f t="shared" si="219"/>
        <v>0.20625852432517761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492.41900819707803</v>
      </c>
      <c r="F1718" s="37">
        <f t="shared" si="213"/>
        <v>0</v>
      </c>
      <c r="G1718" s="14">
        <f t="shared" si="214"/>
        <v>0</v>
      </c>
      <c r="H1718" s="24">
        <f t="shared" si="212"/>
        <v>660.92270405473948</v>
      </c>
      <c r="I1718" s="12">
        <f t="shared" si="219"/>
        <v>0.20617009691991711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492.62517829399792</v>
      </c>
      <c r="F1719" s="37">
        <f t="shared" si="213"/>
        <v>0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661.07193923010698</v>
      </c>
      <c r="I1719" s="12">
        <f t="shared" si="219"/>
        <v>0.20608170018334276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492.83125999418127</v>
      </c>
      <c r="F1720" s="37">
        <f t="shared" si="213"/>
        <v>0</v>
      </c>
      <c r="G1720" s="14">
        <f t="shared" si="214"/>
        <v>0</v>
      </c>
      <c r="H1720" s="24">
        <f t="shared" si="220"/>
        <v>661.22124557751249</v>
      </c>
      <c r="I1720" s="12">
        <f t="shared" si="219"/>
        <v>0.20599333414489798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493.03725332832619</v>
      </c>
      <c r="F1721" s="37">
        <f t="shared" si="213"/>
        <v>0</v>
      </c>
      <c r="G1721" s="14">
        <f t="shared" si="214"/>
        <v>0</v>
      </c>
      <c r="H1721" s="24">
        <f t="shared" si="220"/>
        <v>661.37062306184521</v>
      </c>
      <c r="I1721" s="12">
        <f t="shared" si="219"/>
        <v>0.20590499883395078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493.24315832716013</v>
      </c>
      <c r="F1722" s="37">
        <f t="shared" si="213"/>
        <v>0</v>
      </c>
      <c r="G1722" s="14">
        <f t="shared" si="214"/>
        <v>0</v>
      </c>
      <c r="H1722" s="24">
        <f t="shared" si="220"/>
        <v>661.52007164787096</v>
      </c>
      <c r="I1722" s="12">
        <f t="shared" si="219"/>
        <v>0.20581669427979468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493.44897502143994</v>
      </c>
      <c r="F1723" s="37">
        <f t="shared" si="213"/>
        <v>0</v>
      </c>
      <c r="G1723" s="14">
        <f t="shared" si="214"/>
        <v>0</v>
      </c>
      <c r="H1723" s="24">
        <f t="shared" si="220"/>
        <v>661.66959130023338</v>
      </c>
      <c r="I1723" s="12">
        <f t="shared" si="219"/>
        <v>0.20572842051164725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493.6547034419516</v>
      </c>
      <c r="F1724" s="37">
        <f t="shared" si="213"/>
        <v>0</v>
      </c>
      <c r="G1724" s="14">
        <f t="shared" si="214"/>
        <v>0</v>
      </c>
      <c r="H1724" s="24">
        <f t="shared" si="220"/>
        <v>661.81918198345295</v>
      </c>
      <c r="I1724" s="12">
        <f t="shared" si="219"/>
        <v>0.20564017755865152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493.86034361951027</v>
      </c>
      <c r="F1725" s="37">
        <f t="shared" si="213"/>
        <v>0</v>
      </c>
      <c r="G1725" s="14">
        <f t="shared" si="214"/>
        <v>0</v>
      </c>
      <c r="H1725" s="24">
        <f t="shared" si="220"/>
        <v>661.96884366192864</v>
      </c>
      <c r="I1725" s="12">
        <f t="shared" si="219"/>
        <v>0.2055519654498747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494.06589558496017</v>
      </c>
      <c r="F1726" s="37">
        <f t="shared" si="213"/>
        <v>0</v>
      </c>
      <c r="G1726" s="14">
        <f t="shared" si="214"/>
        <v>0</v>
      </c>
      <c r="H1726" s="24">
        <f t="shared" si="220"/>
        <v>662.11857629993756</v>
      </c>
      <c r="I1726" s="12">
        <f t="shared" si="219"/>
        <v>0.20546378421430905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494.27135936917449</v>
      </c>
      <c r="F1727" s="37">
        <f t="shared" si="213"/>
        <v>0</v>
      </c>
      <c r="G1727" s="14">
        <f t="shared" si="214"/>
        <v>0</v>
      </c>
      <c r="H1727" s="24">
        <f t="shared" si="220"/>
        <v>662.26837986163605</v>
      </c>
      <c r="I1727" s="12">
        <f t="shared" si="219"/>
        <v>0.20537563388087141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494.47673500305535</v>
      </c>
      <c r="F1728" s="37">
        <f t="shared" si="213"/>
        <v>0</v>
      </c>
      <c r="G1728" s="14">
        <f t="shared" si="214"/>
        <v>0</v>
      </c>
      <c r="H1728" s="24">
        <f t="shared" si="220"/>
        <v>662.41825431105985</v>
      </c>
      <c r="I1728" s="12">
        <f t="shared" si="219"/>
        <v>0.20528751447840304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494.68202251753377</v>
      </c>
      <c r="F1729" s="37">
        <f t="shared" si="213"/>
        <v>0</v>
      </c>
      <c r="G1729" s="14">
        <f t="shared" si="214"/>
        <v>0</v>
      </c>
      <c r="H1729" s="24">
        <f t="shared" si="220"/>
        <v>662.56819961212443</v>
      </c>
      <c r="I1729" s="12">
        <f t="shared" si="219"/>
        <v>0.20519942603567026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494.88722194356944</v>
      </c>
      <c r="F1730" s="37">
        <f t="shared" si="213"/>
        <v>0</v>
      </c>
      <c r="G1730" s="14">
        <f t="shared" si="214"/>
        <v>0</v>
      </c>
      <c r="H1730" s="24">
        <f t="shared" si="220"/>
        <v>662.7182157286253</v>
      </c>
      <c r="I1730" s="12">
        <f t="shared" si="219"/>
        <v>0.20511136858136356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495.0923333121508</v>
      </c>
      <c r="F1731" s="37">
        <f t="shared" si="213"/>
        <v>0</v>
      </c>
      <c r="G1731" s="14">
        <f t="shared" si="214"/>
        <v>0</v>
      </c>
      <c r="H1731" s="24">
        <f t="shared" si="220"/>
        <v>662.86830262423882</v>
      </c>
      <c r="I1731" s="12">
        <f t="shared" si="219"/>
        <v>0.20502334214409818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495.2973566542949</v>
      </c>
      <c r="F1732" s="37">
        <f t="shared" si="213"/>
        <v>0</v>
      </c>
      <c r="G1732" s="14">
        <f t="shared" si="214"/>
        <v>0</v>
      </c>
      <c r="H1732" s="24">
        <f t="shared" si="220"/>
        <v>663.01846026252292</v>
      </c>
      <c r="I1732" s="12">
        <f t="shared" si="219"/>
        <v>0.20493534675241376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495.50229200104729</v>
      </c>
      <c r="F1733" s="37">
        <f t="shared" si="213"/>
        <v>0</v>
      </c>
      <c r="G1733" s="14">
        <f t="shared" si="214"/>
        <v>0</v>
      </c>
      <c r="H1733" s="24">
        <f t="shared" si="220"/>
        <v>663.1686886069167</v>
      </c>
      <c r="I1733" s="12">
        <f t="shared" si="219"/>
        <v>0.20484738243477438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495.70713938348206</v>
      </c>
      <c r="F1734" s="37">
        <f t="shared" si="213"/>
        <v>0</v>
      </c>
      <c r="G1734" s="14">
        <f t="shared" si="214"/>
        <v>0</v>
      </c>
      <c r="H1734" s="24">
        <f t="shared" si="220"/>
        <v>663.31898762074115</v>
      </c>
      <c r="I1734" s="12">
        <f t="shared" si="219"/>
        <v>0.2047594492195689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495.91189883270164</v>
      </c>
      <c r="F1735" s="37">
        <f t="shared" si="213"/>
        <v>0</v>
      </c>
      <c r="G1735" s="14">
        <f t="shared" si="214"/>
        <v>0</v>
      </c>
      <c r="H1735" s="24">
        <f t="shared" si="220"/>
        <v>663.46935726720028</v>
      </c>
      <c r="I1735" s="12">
        <f t="shared" si="219"/>
        <v>0.2046715471351101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496.11657037983673</v>
      </c>
      <c r="F1736" s="37">
        <f t="shared" si="213"/>
        <v>0</v>
      </c>
      <c r="G1736" s="14">
        <f t="shared" si="214"/>
        <v>0</v>
      </c>
      <c r="H1736" s="24">
        <f t="shared" si="220"/>
        <v>663.61979750938065</v>
      </c>
      <c r="I1736" s="12">
        <f t="shared" si="219"/>
        <v>0.2045836762096355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496.32115405604634</v>
      </c>
      <c r="F1737" s="37">
        <f t="shared" si="213"/>
        <v>0</v>
      </c>
      <c r="G1737" s="14">
        <f t="shared" si="214"/>
        <v>0</v>
      </c>
      <c r="H1737" s="24">
        <f t="shared" si="220"/>
        <v>663.77030831025218</v>
      </c>
      <c r="I1737" s="12">
        <f t="shared" si="219"/>
        <v>0.20449583647130681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496.52564989251766</v>
      </c>
      <c r="F1738" s="37">
        <f t="shared" si="213"/>
        <v>0</v>
      </c>
      <c r="G1738" s="14">
        <f t="shared" si="214"/>
        <v>0</v>
      </c>
      <c r="H1738" s="24">
        <f t="shared" si="220"/>
        <v>663.92088963266895</v>
      </c>
      <c r="I1738" s="12">
        <f t="shared" si="219"/>
        <v>0.20440802794821017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496.73005792046587</v>
      </c>
      <c r="F1739" s="37">
        <f t="shared" si="213"/>
        <v>0</v>
      </c>
      <c r="G1739" s="14">
        <f t="shared" si="214"/>
        <v>0</v>
      </c>
      <c r="H1739" s="24">
        <f t="shared" si="220"/>
        <v>664.07154143936873</v>
      </c>
      <c r="I1739" s="12">
        <f t="shared" si="219"/>
        <v>0.20432025066835591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496.9343781711342</v>
      </c>
      <c r="F1740" s="37">
        <f t="shared" si="213"/>
        <v>0</v>
      </c>
      <c r="G1740" s="14">
        <f t="shared" si="214"/>
        <v>0</v>
      </c>
      <c r="H1740" s="24">
        <f t="shared" si="220"/>
        <v>664.22226369297448</v>
      </c>
      <c r="I1740" s="12">
        <f t="shared" si="219"/>
        <v>0.20423250465967896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497.13861067579387</v>
      </c>
      <c r="F1741" s="37">
        <f t="shared" si="213"/>
        <v>0</v>
      </c>
      <c r="G1741" s="14">
        <f t="shared" si="214"/>
        <v>0</v>
      </c>
      <c r="H1741" s="24">
        <f t="shared" si="220"/>
        <v>664.37305635599387</v>
      </c>
      <c r="I1741" s="12">
        <f t="shared" si="219"/>
        <v>0.20414478995003812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497.34275546574389</v>
      </c>
      <c r="F1742" s="37">
        <f t="shared" si="213"/>
        <v>0</v>
      </c>
      <c r="G1742" s="14">
        <f t="shared" si="214"/>
        <v>0</v>
      </c>
      <c r="H1742" s="24">
        <f t="shared" si="220"/>
        <v>664.52391939082054</v>
      </c>
      <c r="I1742" s="12">
        <f t="shared" si="219"/>
        <v>0.2040571065672166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497.54681257231113</v>
      </c>
      <c r="F1743" s="37">
        <f t="shared" si="213"/>
        <v>0</v>
      </c>
      <c r="G1743" s="14">
        <f t="shared" si="214"/>
        <v>0</v>
      </c>
      <c r="H1743" s="24">
        <f t="shared" si="220"/>
        <v>664.67485275973377</v>
      </c>
      <c r="I1743" s="12">
        <f t="shared" si="219"/>
        <v>0.20396945453892176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497.75078202685006</v>
      </c>
      <c r="F1744" s="37">
        <f t="shared" si="213"/>
        <v>0</v>
      </c>
      <c r="G1744" s="14">
        <f t="shared" si="214"/>
        <v>0</v>
      </c>
      <c r="H1744" s="24">
        <f t="shared" si="220"/>
        <v>664.82585642489903</v>
      </c>
      <c r="I1744" s="12">
        <f t="shared" si="219"/>
        <v>0.20388183389278533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497.95466386074287</v>
      </c>
      <c r="F1745" s="37">
        <f t="shared" si="213"/>
        <v>0</v>
      </c>
      <c r="G1745" s="14">
        <f t="shared" si="214"/>
        <v>0</v>
      </c>
      <c r="H1745" s="24">
        <f t="shared" si="220"/>
        <v>664.97693034836959</v>
      </c>
      <c r="I1745" s="12">
        <f t="shared" si="219"/>
        <v>0.20379424465636292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498.15845810539923</v>
      </c>
      <c r="F1746" s="37">
        <f t="shared" si="213"/>
        <v>0</v>
      </c>
      <c r="G1746" s="14">
        <f t="shared" si="214"/>
        <v>0</v>
      </c>
      <c r="H1746" s="24">
        <f t="shared" si="220"/>
        <v>665.12807449208526</v>
      </c>
      <c r="I1746" s="12">
        <f t="shared" si="219"/>
        <v>0.20370668685713436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498.36216479225635</v>
      </c>
      <c r="F1747" s="37">
        <f t="shared" si="213"/>
        <v>0</v>
      </c>
      <c r="G1747" s="14">
        <f t="shared" si="214"/>
        <v>0</v>
      </c>
      <c r="H1747" s="24">
        <f t="shared" si="220"/>
        <v>665.27928881787352</v>
      </c>
      <c r="I1747" s="12">
        <f t="shared" si="219"/>
        <v>0.20361916052250367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498.56578395277887</v>
      </c>
      <c r="F1748" s="37">
        <f t="shared" ref="F1748:F1811" si="221">Cp*RhoP/(RhoA*H1748)*dp/1000*MassivP</f>
        <v>0</v>
      </c>
      <c r="G1748" s="14">
        <f t="shared" ref="G1748:G1811" si="222">Phi*EpsilonF*Botzman/10^8*J1748*((D1748+273)^4-(E1748+273)^4)</f>
        <v>0</v>
      </c>
      <c r="H1748" s="24">
        <f t="shared" si="220"/>
        <v>665.43057328745022</v>
      </c>
      <c r="I1748" s="12">
        <f t="shared" si="219"/>
        <v>0.20353166567979905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498.76931561845868</v>
      </c>
      <c r="F1749" s="37">
        <f t="shared" si="221"/>
        <v>0</v>
      </c>
      <c r="G1749" s="14">
        <f t="shared" si="222"/>
        <v>0</v>
      </c>
      <c r="H1749" s="24">
        <f t="shared" si="220"/>
        <v>665.58192786241978</v>
      </c>
      <c r="I1749" s="12">
        <f t="shared" ref="I1749:I1812" si="227">LambdaP*MassivP/(dp/1000)/(H1749*RhoA)/(1+F1749/3)*(D1749-E1749)*DeltaT-(EXP(F1749/10)-1)*(D1749-D1748)</f>
        <v>0.20344420235627264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498.97275982081493</v>
      </c>
      <c r="F1750" s="37">
        <f t="shared" si="221"/>
        <v>0</v>
      </c>
      <c r="G1750" s="14">
        <f t="shared" si="222"/>
        <v>0</v>
      </c>
      <c r="H1750" s="24">
        <f t="shared" si="220"/>
        <v>665.7333525042759</v>
      </c>
      <c r="I1750" s="12">
        <f t="shared" si="227"/>
        <v>0.20335677057910062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499.17611659139402</v>
      </c>
      <c r="F1751" s="37">
        <f t="shared" si="221"/>
        <v>0</v>
      </c>
      <c r="G1751" s="14">
        <f t="shared" si="222"/>
        <v>0</v>
      </c>
      <c r="H1751" s="24">
        <f t="shared" si="220"/>
        <v>665.8848471744011</v>
      </c>
      <c r="I1751" s="12">
        <f t="shared" si="227"/>
        <v>0.2032693703753832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499.3793859617694</v>
      </c>
      <c r="F1752" s="37">
        <f t="shared" si="221"/>
        <v>0</v>
      </c>
      <c r="G1752" s="14">
        <f t="shared" si="222"/>
        <v>0</v>
      </c>
      <c r="H1752" s="24">
        <f t="shared" si="220"/>
        <v>666.0364118340683</v>
      </c>
      <c r="I1752" s="12">
        <f t="shared" si="227"/>
        <v>0.20318200177214468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499.58256796354152</v>
      </c>
      <c r="F1753" s="37">
        <f t="shared" si="221"/>
        <v>0</v>
      </c>
      <c r="G1753" s="14">
        <f t="shared" si="222"/>
        <v>0</v>
      </c>
      <c r="H1753" s="24">
        <f t="shared" si="220"/>
        <v>666.1880464444406</v>
      </c>
      <c r="I1753" s="12">
        <f t="shared" si="227"/>
        <v>0.20309466479633317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499.78566262833783</v>
      </c>
      <c r="F1754" s="37">
        <f t="shared" si="221"/>
        <v>0</v>
      </c>
      <c r="G1754" s="14">
        <f t="shared" si="222"/>
        <v>0</v>
      </c>
      <c r="H1754" s="24">
        <f t="shared" si="220"/>
        <v>666.3397509665715</v>
      </c>
      <c r="I1754" s="12">
        <f t="shared" si="227"/>
        <v>0.20300735947482124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499.98866998781267</v>
      </c>
      <c r="F1755" s="37">
        <f t="shared" si="221"/>
        <v>0</v>
      </c>
      <c r="G1755" s="14">
        <f t="shared" si="222"/>
        <v>0</v>
      </c>
      <c r="H1755" s="24">
        <f t="shared" si="220"/>
        <v>666.49152536140627</v>
      </c>
      <c r="I1755" s="12">
        <f t="shared" si="227"/>
        <v>0.20292008583440477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500.19159007364709</v>
      </c>
      <c r="F1756" s="37">
        <f t="shared" si="221"/>
        <v>0</v>
      </c>
      <c r="G1756" s="14">
        <f t="shared" si="222"/>
        <v>0</v>
      </c>
      <c r="H1756" s="24">
        <f t="shared" si="220"/>
        <v>666.64336958978095</v>
      </c>
      <c r="I1756" s="12">
        <f t="shared" si="227"/>
        <v>0.20283284390180414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500.39442291754892</v>
      </c>
      <c r="F1757" s="37">
        <f t="shared" si="221"/>
        <v>0</v>
      </c>
      <c r="G1757" s="14">
        <f t="shared" si="222"/>
        <v>0</v>
      </c>
      <c r="H1757" s="24">
        <f t="shared" si="220"/>
        <v>666.79528361242433</v>
      </c>
      <c r="I1757" s="12">
        <f t="shared" si="227"/>
        <v>0.20274563370366339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500.59716855125259</v>
      </c>
      <c r="F1758" s="37">
        <f t="shared" si="221"/>
        <v>0</v>
      </c>
      <c r="G1758" s="14">
        <f t="shared" si="222"/>
        <v>0</v>
      </c>
      <c r="H1758" s="24">
        <f t="shared" si="220"/>
        <v>666.94726738995723</v>
      </c>
      <c r="I1758" s="12">
        <f t="shared" si="227"/>
        <v>0.20265845526655041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500.79982700651914</v>
      </c>
      <c r="F1759" s="37">
        <f t="shared" si="221"/>
        <v>0</v>
      </c>
      <c r="G1759" s="14">
        <f t="shared" si="222"/>
        <v>0</v>
      </c>
      <c r="H1759" s="24">
        <f t="shared" si="220"/>
        <v>667.09932088289338</v>
      </c>
      <c r="I1759" s="12">
        <f t="shared" si="227"/>
        <v>0.20257130861695713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501.00239831513608</v>
      </c>
      <c r="F1760" s="37">
        <f t="shared" si="221"/>
        <v>0</v>
      </c>
      <c r="G1760" s="14">
        <f t="shared" si="222"/>
        <v>0</v>
      </c>
      <c r="H1760" s="24">
        <f t="shared" si="220"/>
        <v>667.25144405163974</v>
      </c>
      <c r="I1760" s="12">
        <f t="shared" si="227"/>
        <v>0.20248419378129934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501.20488250891736</v>
      </c>
      <c r="F1761" s="37">
        <f t="shared" si="221"/>
        <v>0</v>
      </c>
      <c r="G1761" s="14">
        <f t="shared" si="222"/>
        <v>0</v>
      </c>
      <c r="H1761" s="24">
        <f t="shared" si="220"/>
        <v>667.40363685649709</v>
      </c>
      <c r="I1761" s="12">
        <f t="shared" si="227"/>
        <v>0.2023971107859168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501.40727961970327</v>
      </c>
      <c r="F1762" s="37">
        <f t="shared" si="221"/>
        <v>0</v>
      </c>
      <c r="G1762" s="14">
        <f t="shared" si="222"/>
        <v>0</v>
      </c>
      <c r="H1762" s="24">
        <f t="shared" si="220"/>
        <v>667.55589925766026</v>
      </c>
      <c r="I1762" s="12">
        <f t="shared" si="227"/>
        <v>0.20231005965707274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501.60958967936034</v>
      </c>
      <c r="F1763" s="37">
        <f t="shared" si="221"/>
        <v>0</v>
      </c>
      <c r="G1763" s="14">
        <f t="shared" si="222"/>
        <v>0</v>
      </c>
      <c r="H1763" s="24">
        <f t="shared" si="220"/>
        <v>667.70823121521858</v>
      </c>
      <c r="I1763" s="12">
        <f t="shared" si="227"/>
        <v>0.20222304042095479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501.8118127197813</v>
      </c>
      <c r="F1764" s="37">
        <f t="shared" si="221"/>
        <v>0</v>
      </c>
      <c r="G1764" s="14">
        <f t="shared" si="222"/>
        <v>0</v>
      </c>
      <c r="H1764" s="24">
        <f t="shared" si="220"/>
        <v>667.8606326891562</v>
      </c>
      <c r="I1764" s="12">
        <f t="shared" si="227"/>
        <v>0.20213605310367411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502.01394877288499</v>
      </c>
      <c r="F1765" s="37">
        <f t="shared" si="221"/>
        <v>0</v>
      </c>
      <c r="G1765" s="14">
        <f t="shared" si="222"/>
        <v>0</v>
      </c>
      <c r="H1765" s="24">
        <f t="shared" si="220"/>
        <v>668.01310363935318</v>
      </c>
      <c r="I1765" s="12">
        <f t="shared" si="227"/>
        <v>0.20204909773126559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502.21599787061626</v>
      </c>
      <c r="F1766" s="37">
        <f t="shared" si="221"/>
        <v>0</v>
      </c>
      <c r="G1766" s="14">
        <f t="shared" si="222"/>
        <v>0</v>
      </c>
      <c r="H1766" s="24">
        <f t="shared" si="220"/>
        <v>668.16564402558436</v>
      </c>
      <c r="I1766" s="12">
        <f t="shared" si="227"/>
        <v>0.20196217432968813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502.41796004494597</v>
      </c>
      <c r="F1767" s="37">
        <f t="shared" si="221"/>
        <v>0</v>
      </c>
      <c r="G1767" s="14">
        <f t="shared" si="222"/>
        <v>0</v>
      </c>
      <c r="H1767" s="24">
        <f t="shared" si="220"/>
        <v>668.31825380752196</v>
      </c>
      <c r="I1767" s="12">
        <f t="shared" si="227"/>
        <v>0.20187528292482437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502.61983532787082</v>
      </c>
      <c r="F1768" s="37">
        <f t="shared" si="221"/>
        <v>0</v>
      </c>
      <c r="G1768" s="14">
        <f t="shared" si="222"/>
        <v>0</v>
      </c>
      <c r="H1768" s="24">
        <f t="shared" si="220"/>
        <v>668.47093294473393</v>
      </c>
      <c r="I1768" s="12">
        <f t="shared" si="227"/>
        <v>0.20178842354248078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502.82162375141331</v>
      </c>
      <c r="F1769" s="37">
        <f t="shared" si="221"/>
        <v>0</v>
      </c>
      <c r="G1769" s="14">
        <f t="shared" si="222"/>
        <v>0</v>
      </c>
      <c r="H1769" s="24">
        <f t="shared" si="220"/>
        <v>668.62368139668547</v>
      </c>
      <c r="I1769" s="12">
        <f t="shared" si="227"/>
        <v>0.20170159620838737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503.02332534762172</v>
      </c>
      <c r="F1770" s="37">
        <f t="shared" si="221"/>
        <v>0</v>
      </c>
      <c r="G1770" s="14">
        <f t="shared" si="222"/>
        <v>0</v>
      </c>
      <c r="H1770" s="24">
        <f t="shared" si="220"/>
        <v>668.77649912273966</v>
      </c>
      <c r="I1770" s="12">
        <f t="shared" si="227"/>
        <v>0.20161480094819831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503.22494014856994</v>
      </c>
      <c r="F1771" s="37">
        <f t="shared" si="221"/>
        <v>0</v>
      </c>
      <c r="G1771" s="14">
        <f t="shared" si="222"/>
        <v>0</v>
      </c>
      <c r="H1771" s="24">
        <f t="shared" si="220"/>
        <v>668.92938608215684</v>
      </c>
      <c r="I1771" s="12">
        <f t="shared" si="227"/>
        <v>0.20152803778749132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503.42646818635745</v>
      </c>
      <c r="F1772" s="37">
        <f t="shared" si="221"/>
        <v>0</v>
      </c>
      <c r="G1772" s="14">
        <f t="shared" si="222"/>
        <v>0</v>
      </c>
      <c r="H1772" s="24">
        <f t="shared" si="220"/>
        <v>669.0823422340959</v>
      </c>
      <c r="I1772" s="12">
        <f t="shared" si="227"/>
        <v>0.20144130675176797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503.6279094931092</v>
      </c>
      <c r="F1773" s="37">
        <f t="shared" si="221"/>
        <v>0</v>
      </c>
      <c r="G1773" s="14">
        <f t="shared" si="222"/>
        <v>0</v>
      </c>
      <c r="H1773" s="24">
        <f t="shared" si="220"/>
        <v>669.23536753761459</v>
      </c>
      <c r="I1773" s="12">
        <f t="shared" si="227"/>
        <v>0.2013546078664534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503.82926410097565</v>
      </c>
      <c r="F1774" s="37">
        <f t="shared" si="221"/>
        <v>0</v>
      </c>
      <c r="G1774" s="14">
        <f t="shared" si="222"/>
        <v>0</v>
      </c>
      <c r="H1774" s="24">
        <f t="shared" si="220"/>
        <v>669.38846195166957</v>
      </c>
      <c r="I1774" s="12">
        <f t="shared" si="227"/>
        <v>0.2012679411568965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504.03053204213256</v>
      </c>
      <c r="F1775" s="37">
        <f t="shared" si="221"/>
        <v>0</v>
      </c>
      <c r="G1775" s="14">
        <f t="shared" si="222"/>
        <v>0</v>
      </c>
      <c r="H1775" s="24">
        <f t="shared" si="220"/>
        <v>669.54162543511688</v>
      </c>
      <c r="I1775" s="12">
        <f t="shared" si="227"/>
        <v>0.20118130664837036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504.23171334878094</v>
      </c>
      <c r="F1776" s="37">
        <f t="shared" si="221"/>
        <v>0</v>
      </c>
      <c r="G1776" s="14">
        <f t="shared" si="222"/>
        <v>0</v>
      </c>
      <c r="H1776" s="24">
        <f t="shared" si="220"/>
        <v>669.69485794671243</v>
      </c>
      <c r="I1776" s="12">
        <f t="shared" si="227"/>
        <v>0.20109470436607135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504.43280805314703</v>
      </c>
      <c r="F1777" s="37">
        <f t="shared" si="221"/>
        <v>0</v>
      </c>
      <c r="G1777" s="14">
        <f t="shared" si="222"/>
        <v>0</v>
      </c>
      <c r="H1777" s="24">
        <f t="shared" si="220"/>
        <v>669.84815944511308</v>
      </c>
      <c r="I1777" s="12">
        <f t="shared" si="227"/>
        <v>0.20100813433511966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504.63381618748213</v>
      </c>
      <c r="F1778" s="37">
        <f t="shared" si="221"/>
        <v>0</v>
      </c>
      <c r="G1778" s="14">
        <f t="shared" si="222"/>
        <v>0</v>
      </c>
      <c r="H1778" s="24">
        <f t="shared" si="220"/>
        <v>670.00152988887567</v>
      </c>
      <c r="I1778" s="12">
        <f t="shared" si="227"/>
        <v>0.20092159658055936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504.83473778406267</v>
      </c>
      <c r="F1779" s="37">
        <f t="shared" si="221"/>
        <v>0</v>
      </c>
      <c r="G1779" s="14">
        <f t="shared" si="222"/>
        <v>0</v>
      </c>
      <c r="H1779" s="24">
        <f t="shared" si="220"/>
        <v>670.15496923645878</v>
      </c>
      <c r="I1779" s="12">
        <f t="shared" si="227"/>
        <v>0.20083509112735781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505.03557287519004</v>
      </c>
      <c r="F1780" s="37">
        <f t="shared" si="221"/>
        <v>0</v>
      </c>
      <c r="G1780" s="14">
        <f t="shared" si="222"/>
        <v>0</v>
      </c>
      <c r="H1780" s="24">
        <f t="shared" si="220"/>
        <v>670.30847744622213</v>
      </c>
      <c r="I1780" s="12">
        <f t="shared" si="227"/>
        <v>0.20074861800040661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505.23632149319047</v>
      </c>
      <c r="F1781" s="37">
        <f t="shared" si="221"/>
        <v>0</v>
      </c>
      <c r="G1781" s="14">
        <f t="shared" si="222"/>
        <v>0</v>
      </c>
      <c r="H1781" s="24">
        <f t="shared" si="220"/>
        <v>670.4620544764274</v>
      </c>
      <c r="I1781" s="12">
        <f t="shared" si="227"/>
        <v>0.20066217722452107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505.43698367041497</v>
      </c>
      <c r="F1782" s="37">
        <f t="shared" si="221"/>
        <v>0</v>
      </c>
      <c r="G1782" s="14">
        <f t="shared" si="222"/>
        <v>0</v>
      </c>
      <c r="H1782" s="24">
        <f t="shared" si="220"/>
        <v>670.61570028523897</v>
      </c>
      <c r="I1782" s="12">
        <f t="shared" si="227"/>
        <v>0.20057576882443984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505.6375594392394</v>
      </c>
      <c r="F1783" s="37">
        <f t="shared" si="221"/>
        <v>0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670.76941483072392</v>
      </c>
      <c r="I1783" s="12">
        <f t="shared" si="227"/>
        <v>0.20048939282482539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505.8380488320642</v>
      </c>
      <c r="F1784" s="37">
        <f t="shared" si="221"/>
        <v>0</v>
      </c>
      <c r="G1784" s="14">
        <f t="shared" si="222"/>
        <v>0</v>
      </c>
      <c r="H1784" s="24">
        <f t="shared" si="228"/>
        <v>670.92319807085187</v>
      </c>
      <c r="I1784" s="12">
        <f t="shared" si="227"/>
        <v>0.2004030492502642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506.03845188131447</v>
      </c>
      <c r="F1785" s="37">
        <f t="shared" si="221"/>
        <v>0</v>
      </c>
      <c r="G1785" s="14">
        <f t="shared" si="222"/>
        <v>0</v>
      </c>
      <c r="H1785" s="24">
        <f t="shared" si="228"/>
        <v>671.07704996349685</v>
      </c>
      <c r="I1785" s="12">
        <f t="shared" si="227"/>
        <v>0.20031673812526632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506.23876861943972</v>
      </c>
      <c r="F1786" s="37">
        <f t="shared" si="221"/>
        <v>0</v>
      </c>
      <c r="G1786" s="14">
        <f t="shared" si="222"/>
        <v>0</v>
      </c>
      <c r="H1786" s="24">
        <f t="shared" si="228"/>
        <v>671.2309704664367</v>
      </c>
      <c r="I1786" s="12">
        <f t="shared" si="227"/>
        <v>0.20023045947426521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506.43899907891398</v>
      </c>
      <c r="F1787" s="37">
        <f t="shared" si="221"/>
        <v>0</v>
      </c>
      <c r="G1787" s="14">
        <f t="shared" si="222"/>
        <v>0</v>
      </c>
      <c r="H1787" s="24">
        <f t="shared" si="228"/>
        <v>671.38495953735332</v>
      </c>
      <c r="I1787" s="12">
        <f t="shared" si="227"/>
        <v>0.20014421332161844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506.63914329223559</v>
      </c>
      <c r="F1788" s="37">
        <f t="shared" si="221"/>
        <v>0</v>
      </c>
      <c r="G1788" s="14">
        <f t="shared" si="222"/>
        <v>0</v>
      </c>
      <c r="H1788" s="24">
        <f t="shared" si="228"/>
        <v>671.53901713383345</v>
      </c>
      <c r="I1788" s="12">
        <f t="shared" si="227"/>
        <v>0.20005799969160726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506.83920129192717</v>
      </c>
      <c r="F1789" s="37">
        <f t="shared" si="221"/>
        <v>0</v>
      </c>
      <c r="G1789" s="14">
        <f t="shared" si="222"/>
        <v>0</v>
      </c>
      <c r="H1789" s="24">
        <f t="shared" si="228"/>
        <v>671.69314321336924</v>
      </c>
      <c r="I1789" s="12">
        <f t="shared" si="227"/>
        <v>0.19997181860843632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507.03917311053561</v>
      </c>
      <c r="F1790" s="37">
        <f t="shared" si="221"/>
        <v>0</v>
      </c>
      <c r="G1790" s="14">
        <f t="shared" si="222"/>
        <v>0</v>
      </c>
      <c r="H1790" s="24">
        <f t="shared" si="228"/>
        <v>671.84733773335836</v>
      </c>
      <c r="I1790" s="12">
        <f t="shared" si="227"/>
        <v>0.19988567009623442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507.23905878063186</v>
      </c>
      <c r="F1791" s="37">
        <f t="shared" si="221"/>
        <v>0</v>
      </c>
      <c r="G1791" s="14">
        <f t="shared" si="222"/>
        <v>0</v>
      </c>
      <c r="H1791" s="24">
        <f t="shared" si="228"/>
        <v>672.00160065110413</v>
      </c>
      <c r="I1791" s="12">
        <f t="shared" si="227"/>
        <v>0.19979955417905376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507.4388583348109</v>
      </c>
      <c r="F1792" s="37">
        <f t="shared" si="221"/>
        <v>0</v>
      </c>
      <c r="G1792" s="14">
        <f t="shared" si="222"/>
        <v>0</v>
      </c>
      <c r="H1792" s="24">
        <f t="shared" si="228"/>
        <v>672.15593192381675</v>
      </c>
      <c r="I1792" s="12">
        <f t="shared" si="227"/>
        <v>0.19971347088087066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507.63857180569175</v>
      </c>
      <c r="F1793" s="37">
        <f t="shared" si="221"/>
        <v>0</v>
      </c>
      <c r="G1793" s="14">
        <f t="shared" si="222"/>
        <v>0</v>
      </c>
      <c r="H1793" s="24">
        <f t="shared" si="228"/>
        <v>672.31033150861276</v>
      </c>
      <c r="I1793" s="12">
        <f t="shared" si="227"/>
        <v>0.19962742022558463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507.83819922591732</v>
      </c>
      <c r="F1794" s="37">
        <f t="shared" si="221"/>
        <v>0</v>
      </c>
      <c r="G1794" s="14">
        <f t="shared" si="222"/>
        <v>0</v>
      </c>
      <c r="H1794" s="24">
        <f t="shared" si="228"/>
        <v>672.46479936251637</v>
      </c>
      <c r="I1794" s="12">
        <f t="shared" si="227"/>
        <v>0.19954140223701916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508.03774062815432</v>
      </c>
      <c r="F1795" s="37">
        <f t="shared" si="221"/>
        <v>0</v>
      </c>
      <c r="G1795" s="14">
        <f t="shared" si="222"/>
        <v>0</v>
      </c>
      <c r="H1795" s="24">
        <f t="shared" si="228"/>
        <v>672.61933544245881</v>
      </c>
      <c r="I1795" s="12">
        <f t="shared" si="227"/>
        <v>0.19945541693892199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508.23719604509324</v>
      </c>
      <c r="F1796" s="37">
        <f t="shared" si="221"/>
        <v>0</v>
      </c>
      <c r="G1796" s="14">
        <f t="shared" si="222"/>
        <v>0</v>
      </c>
      <c r="H1796" s="24">
        <f t="shared" si="228"/>
        <v>672.77393970527964</v>
      </c>
      <c r="I1796" s="12">
        <f t="shared" si="227"/>
        <v>0.19936946435496367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508.4365655094482</v>
      </c>
      <c r="F1797" s="37">
        <f t="shared" si="221"/>
        <v>0</v>
      </c>
      <c r="G1797" s="14">
        <f t="shared" si="222"/>
        <v>0</v>
      </c>
      <c r="H1797" s="24">
        <f t="shared" si="228"/>
        <v>672.92861210772639</v>
      </c>
      <c r="I1797" s="12">
        <f t="shared" si="227"/>
        <v>0.19928354450873942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508.63584905395692</v>
      </c>
      <c r="F1798" s="37">
        <f t="shared" si="221"/>
        <v>0</v>
      </c>
      <c r="G1798" s="14">
        <f t="shared" si="222"/>
        <v>0</v>
      </c>
      <c r="H1798" s="24">
        <f t="shared" si="228"/>
        <v>673.08335260645595</v>
      </c>
      <c r="I1798" s="12">
        <f t="shared" si="227"/>
        <v>0.19919765742376744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508.8350467113807</v>
      </c>
      <c r="F1799" s="37">
        <f t="shared" si="221"/>
        <v>0</v>
      </c>
      <c r="G1799" s="14">
        <f t="shared" si="222"/>
        <v>0</v>
      </c>
      <c r="H1799" s="24">
        <f t="shared" si="228"/>
        <v>673.23816115803379</v>
      </c>
      <c r="I1799" s="12">
        <f t="shared" si="227"/>
        <v>0.19911180312349039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509.03415851450421</v>
      </c>
      <c r="F1800" s="37">
        <f t="shared" si="221"/>
        <v>0</v>
      </c>
      <c r="G1800" s="14">
        <f t="shared" si="222"/>
        <v>0</v>
      </c>
      <c r="H1800" s="24">
        <f t="shared" si="228"/>
        <v>673.39303771893515</v>
      </c>
      <c r="I1800" s="12">
        <f t="shared" si="227"/>
        <v>0.19902598163127416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509.23318449613549</v>
      </c>
      <c r="F1801" s="37">
        <f t="shared" si="221"/>
        <v>0</v>
      </c>
      <c r="G1801" s="14">
        <f t="shared" si="222"/>
        <v>0</v>
      </c>
      <c r="H1801" s="24">
        <f t="shared" si="228"/>
        <v>673.54798224554509</v>
      </c>
      <c r="I1801" s="12">
        <f t="shared" si="227"/>
        <v>0.19894019297040888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509.43212468910588</v>
      </c>
      <c r="F1802" s="37">
        <f t="shared" si="221"/>
        <v>0</v>
      </c>
      <c r="G1802" s="14">
        <f t="shared" si="222"/>
        <v>0</v>
      </c>
      <c r="H1802" s="24">
        <f t="shared" si="228"/>
        <v>673.70299469415932</v>
      </c>
      <c r="I1802" s="12">
        <f t="shared" si="227"/>
        <v>0.19885443716410817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509.63097912627001</v>
      </c>
      <c r="F1803" s="37">
        <f t="shared" si="221"/>
        <v>0</v>
      </c>
      <c r="G1803" s="14">
        <f t="shared" si="222"/>
        <v>0</v>
      </c>
      <c r="H1803" s="24">
        <f t="shared" si="228"/>
        <v>673.85807502098373</v>
      </c>
      <c r="I1803" s="12">
        <f t="shared" si="227"/>
        <v>0.19876871423550949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509.82974784050549</v>
      </c>
      <c r="F1804" s="37">
        <f t="shared" si="221"/>
        <v>0</v>
      </c>
      <c r="G1804" s="14">
        <f t="shared" si="222"/>
        <v>0</v>
      </c>
      <c r="H1804" s="24">
        <f t="shared" si="228"/>
        <v>674.01322318213568</v>
      </c>
      <c r="I1804" s="12">
        <f t="shared" si="227"/>
        <v>0.19868302420767428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510.02843086471319</v>
      </c>
      <c r="F1805" s="37">
        <f t="shared" si="221"/>
        <v>0</v>
      </c>
      <c r="G1805" s="14">
        <f t="shared" si="222"/>
        <v>0</v>
      </c>
      <c r="H1805" s="24">
        <f t="shared" si="228"/>
        <v>674.16843913364391</v>
      </c>
      <c r="I1805" s="12">
        <f t="shared" si="227"/>
        <v>0.19859736710358764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510.22702823181675</v>
      </c>
      <c r="F1806" s="37">
        <f t="shared" si="221"/>
        <v>0</v>
      </c>
      <c r="G1806" s="14">
        <f t="shared" si="222"/>
        <v>0</v>
      </c>
      <c r="H1806" s="24">
        <f t="shared" si="228"/>
        <v>674.323722831449</v>
      </c>
      <c r="I1806" s="12">
        <f t="shared" si="227"/>
        <v>0.19851174294615875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510.4255399747629</v>
      </c>
      <c r="F1807" s="37">
        <f t="shared" si="221"/>
        <v>0</v>
      </c>
      <c r="G1807" s="14">
        <f t="shared" si="222"/>
        <v>0</v>
      </c>
      <c r="H1807" s="24">
        <f t="shared" si="228"/>
        <v>674.47907423140373</v>
      </c>
      <c r="I1807" s="12">
        <f t="shared" si="227"/>
        <v>0.19842615175822034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510.62396612652111</v>
      </c>
      <c r="F1808" s="37">
        <f t="shared" si="221"/>
        <v>0</v>
      </c>
      <c r="G1808" s="14">
        <f t="shared" si="222"/>
        <v>0</v>
      </c>
      <c r="H1808" s="24">
        <f t="shared" si="228"/>
        <v>674.63449328927356</v>
      </c>
      <c r="I1808" s="12">
        <f t="shared" si="227"/>
        <v>0.19834059356252934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510.82230672008365</v>
      </c>
      <c r="F1809" s="37">
        <f t="shared" si="221"/>
        <v>0</v>
      </c>
      <c r="G1809" s="14">
        <f t="shared" si="222"/>
        <v>0</v>
      </c>
      <c r="H1809" s="24">
        <f t="shared" si="228"/>
        <v>674.78997996073713</v>
      </c>
      <c r="I1809" s="12">
        <f t="shared" si="227"/>
        <v>0.19825506838176618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511.02056178846539</v>
      </c>
      <c r="F1810" s="37">
        <f t="shared" si="221"/>
        <v>0</v>
      </c>
      <c r="G1810" s="14">
        <f t="shared" si="222"/>
        <v>0</v>
      </c>
      <c r="H1810" s="24">
        <f t="shared" si="228"/>
        <v>674.94553420138641</v>
      </c>
      <c r="I1810" s="12">
        <f t="shared" si="227"/>
        <v>0.19816957623853543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511.2187313647039</v>
      </c>
      <c r="F1811" s="37">
        <f t="shared" si="221"/>
        <v>0</v>
      </c>
      <c r="G1811" s="14">
        <f t="shared" si="222"/>
        <v>0</v>
      </c>
      <c r="H1811" s="24">
        <f t="shared" si="228"/>
        <v>675.10115596672711</v>
      </c>
      <c r="I1811" s="12">
        <f t="shared" si="227"/>
        <v>0.19808411715536531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511.41681548185926</v>
      </c>
      <c r="F1812" s="37">
        <f t="shared" ref="F1812:F1875" si="229">Cp*RhoP/(RhoA*H1812)*dp/1000*MassivP</f>
        <v>0</v>
      </c>
      <c r="G1812" s="14">
        <f t="shared" ref="G1812:G1875" si="230">Phi*EpsilonF*Botzman/10^8*J1812*((D1812+273)^4-(E1812+273)^4)</f>
        <v>0</v>
      </c>
      <c r="H1812" s="24">
        <f t="shared" si="228"/>
        <v>675.25684521217909</v>
      </c>
      <c r="I1812" s="12">
        <f t="shared" si="227"/>
        <v>0.19799869115470858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511.61481417301394</v>
      </c>
      <c r="F1813" s="37">
        <f t="shared" si="229"/>
        <v>0</v>
      </c>
      <c r="G1813" s="14">
        <f t="shared" si="230"/>
        <v>0</v>
      </c>
      <c r="H1813" s="24">
        <f t="shared" si="228"/>
        <v>675.4126018930765</v>
      </c>
      <c r="I1813" s="12">
        <f t="shared" ref="I1813:I1876" si="235">LambdaP*MassivP/(dp/1000)/(H1813*RhoA)/(1+F1813/3)*(D1813-E1813)*DeltaT-(EXP(F1813/10)-1)*(D1813-D1812)</f>
        <v>0.1979132982589413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511.81272747127286</v>
      </c>
      <c r="F1814" s="37">
        <f t="shared" si="229"/>
        <v>0</v>
      </c>
      <c r="G1814" s="14">
        <f t="shared" si="230"/>
        <v>0</v>
      </c>
      <c r="H1814" s="24">
        <f t="shared" si="228"/>
        <v>675.56842596466925</v>
      </c>
      <c r="I1814" s="12">
        <f t="shared" si="235"/>
        <v>0.19782793849036356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512.01055540976324</v>
      </c>
      <c r="F1815" s="37">
        <f t="shared" si="229"/>
        <v>0</v>
      </c>
      <c r="G1815" s="14">
        <f t="shared" si="230"/>
        <v>0</v>
      </c>
      <c r="H1815" s="24">
        <f t="shared" si="228"/>
        <v>675.72431738212185</v>
      </c>
      <c r="I1815" s="12">
        <f t="shared" si="235"/>
        <v>0.19774261187119968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512.20829802163439</v>
      </c>
      <c r="F1816" s="37">
        <f t="shared" si="229"/>
        <v>0</v>
      </c>
      <c r="G1816" s="14">
        <f t="shared" si="230"/>
        <v>0</v>
      </c>
      <c r="H1816" s="24">
        <f t="shared" si="228"/>
        <v>675.88027610051449</v>
      </c>
      <c r="I1816" s="12">
        <f t="shared" si="235"/>
        <v>0.19765731842359788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512.40595534005797</v>
      </c>
      <c r="F1817" s="37">
        <f t="shared" si="229"/>
        <v>0</v>
      </c>
      <c r="G1817" s="14">
        <f t="shared" si="230"/>
        <v>0</v>
      </c>
      <c r="H1817" s="24">
        <f t="shared" si="228"/>
        <v>676.036302074844</v>
      </c>
      <c r="I1817" s="12">
        <f t="shared" si="235"/>
        <v>0.19757205816963022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512.60352739822758</v>
      </c>
      <c r="F1818" s="37">
        <f t="shared" si="229"/>
        <v>0</v>
      </c>
      <c r="G1818" s="14">
        <f t="shared" si="230"/>
        <v>0</v>
      </c>
      <c r="H1818" s="24">
        <f t="shared" si="228"/>
        <v>676.1923952600232</v>
      </c>
      <c r="I1818" s="12">
        <f t="shared" si="235"/>
        <v>0.19748683113129287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512.80101422935888</v>
      </c>
      <c r="F1819" s="37">
        <f t="shared" si="229"/>
        <v>0</v>
      </c>
      <c r="G1819" s="14">
        <f t="shared" si="230"/>
        <v>0</v>
      </c>
      <c r="H1819" s="24">
        <f t="shared" si="228"/>
        <v>676.3485556108817</v>
      </c>
      <c r="I1819" s="12">
        <f t="shared" si="235"/>
        <v>0.19740163733050614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512.99841586668936</v>
      </c>
      <c r="F1820" s="37">
        <f t="shared" si="229"/>
        <v>0</v>
      </c>
      <c r="G1820" s="14">
        <f t="shared" si="230"/>
        <v>0</v>
      </c>
      <c r="H1820" s="24">
        <f t="shared" si="228"/>
        <v>676.5047830821668</v>
      </c>
      <c r="I1820" s="12">
        <f t="shared" si="235"/>
        <v>0.19731647678911429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513.19573234347843</v>
      </c>
      <c r="F1821" s="37">
        <f t="shared" si="229"/>
        <v>0</v>
      </c>
      <c r="G1821" s="14">
        <f t="shared" si="230"/>
        <v>0</v>
      </c>
      <c r="H1821" s="24">
        <f t="shared" si="228"/>
        <v>676.66107762854278</v>
      </c>
      <c r="I1821" s="12">
        <f t="shared" si="235"/>
        <v>0.1972313495288856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513.39296369300735</v>
      </c>
      <c r="F1822" s="37">
        <f t="shared" si="229"/>
        <v>0</v>
      </c>
      <c r="G1822" s="14">
        <f t="shared" si="230"/>
        <v>0</v>
      </c>
      <c r="H1822" s="24">
        <f t="shared" si="228"/>
        <v>676.81743920459246</v>
      </c>
      <c r="I1822" s="12">
        <f t="shared" si="235"/>
        <v>0.19714625557151252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513.59010994857886</v>
      </c>
      <c r="F1823" s="37">
        <f t="shared" si="229"/>
        <v>0</v>
      </c>
      <c r="G1823" s="14">
        <f t="shared" si="230"/>
        <v>0</v>
      </c>
      <c r="H1823" s="24">
        <f t="shared" si="228"/>
        <v>676.97386776481653</v>
      </c>
      <c r="I1823" s="12">
        <f t="shared" si="235"/>
        <v>0.19706119493861146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513.78717114351741</v>
      </c>
      <c r="F1824" s="37">
        <f t="shared" si="229"/>
        <v>0</v>
      </c>
      <c r="G1824" s="14">
        <f t="shared" si="230"/>
        <v>0</v>
      </c>
      <c r="H1824" s="24">
        <f t="shared" si="228"/>
        <v>677.13036326363454</v>
      </c>
      <c r="I1824" s="12">
        <f t="shared" si="235"/>
        <v>0.19697616765172338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513.98414731116918</v>
      </c>
      <c r="F1825" s="37">
        <f t="shared" si="229"/>
        <v>0</v>
      </c>
      <c r="G1825" s="14">
        <f t="shared" si="230"/>
        <v>0</v>
      </c>
      <c r="H1825" s="24">
        <f t="shared" si="228"/>
        <v>677.2869256553854</v>
      </c>
      <c r="I1825" s="12">
        <f t="shared" si="235"/>
        <v>0.19689117373231282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514.18103848490148</v>
      </c>
      <c r="F1826" s="37">
        <f t="shared" si="229"/>
        <v>0</v>
      </c>
      <c r="G1826" s="14">
        <f t="shared" si="230"/>
        <v>0</v>
      </c>
      <c r="H1826" s="24">
        <f t="shared" si="228"/>
        <v>677.44355489432701</v>
      </c>
      <c r="I1826" s="12">
        <f t="shared" si="235"/>
        <v>0.19680621320176883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514.37784469810322</v>
      </c>
      <c r="F1827" s="37">
        <f t="shared" si="229"/>
        <v>0</v>
      </c>
      <c r="G1827" s="14">
        <f t="shared" si="230"/>
        <v>0</v>
      </c>
      <c r="H1827" s="24">
        <f t="shared" si="228"/>
        <v>677.60025093463742</v>
      </c>
      <c r="I1827" s="12">
        <f t="shared" si="235"/>
        <v>0.19672128608140477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514.57456598418457</v>
      </c>
      <c r="F1828" s="37">
        <f t="shared" si="229"/>
        <v>0</v>
      </c>
      <c r="G1828" s="14">
        <f t="shared" si="230"/>
        <v>0</v>
      </c>
      <c r="H1828" s="24">
        <f t="shared" si="228"/>
        <v>677.75701373041466</v>
      </c>
      <c r="I1828" s="12">
        <f t="shared" si="235"/>
        <v>0.19663639239245775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514.77120237657698</v>
      </c>
      <c r="F1829" s="37">
        <f t="shared" si="229"/>
        <v>0</v>
      </c>
      <c r="G1829" s="14">
        <f t="shared" si="230"/>
        <v>0</v>
      </c>
      <c r="H1829" s="24">
        <f t="shared" si="228"/>
        <v>677.91384323567763</v>
      </c>
      <c r="I1829" s="12">
        <f t="shared" si="235"/>
        <v>0.19655153215608973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514.96775390873302</v>
      </c>
      <c r="F1830" s="37">
        <f t="shared" si="229"/>
        <v>0</v>
      </c>
      <c r="G1830" s="14">
        <f t="shared" si="230"/>
        <v>0</v>
      </c>
      <c r="H1830" s="24">
        <f t="shared" si="228"/>
        <v>678.0707394043659</v>
      </c>
      <c r="I1830" s="12">
        <f t="shared" si="235"/>
        <v>0.19646670539338632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515.16422061412641</v>
      </c>
      <c r="F1831" s="37">
        <f t="shared" si="229"/>
        <v>0</v>
      </c>
      <c r="G1831" s="14">
        <f t="shared" si="230"/>
        <v>0</v>
      </c>
      <c r="H1831" s="24">
        <f t="shared" si="228"/>
        <v>678.22770219034055</v>
      </c>
      <c r="I1831" s="12">
        <f t="shared" si="235"/>
        <v>0.19638191212535769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515.3606025262518</v>
      </c>
      <c r="F1832" s="37">
        <f t="shared" si="229"/>
        <v>0</v>
      </c>
      <c r="G1832" s="14">
        <f t="shared" si="230"/>
        <v>0</v>
      </c>
      <c r="H1832" s="24">
        <f t="shared" si="228"/>
        <v>678.38473154738404</v>
      </c>
      <c r="I1832" s="12">
        <f t="shared" si="235"/>
        <v>0.19629715237293849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515.55689967862475</v>
      </c>
      <c r="F1833" s="37">
        <f t="shared" si="229"/>
        <v>0</v>
      </c>
      <c r="G1833" s="14">
        <f t="shared" si="230"/>
        <v>0</v>
      </c>
      <c r="H1833" s="24">
        <f t="shared" si="228"/>
        <v>678.54182742920102</v>
      </c>
      <c r="I1833" s="12">
        <f t="shared" si="235"/>
        <v>0.19621242615698756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515.75311210478174</v>
      </c>
      <c r="F1834" s="37">
        <f t="shared" si="229"/>
        <v>0</v>
      </c>
      <c r="G1834" s="14">
        <f t="shared" si="230"/>
        <v>0</v>
      </c>
      <c r="H1834" s="24">
        <f t="shared" si="228"/>
        <v>678.69898978941876</v>
      </c>
      <c r="I1834" s="12">
        <f t="shared" si="235"/>
        <v>0.19612773349828799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515.94923983828005</v>
      </c>
      <c r="F1835" s="37">
        <f t="shared" si="229"/>
        <v>0</v>
      </c>
      <c r="G1835" s="14">
        <f t="shared" si="230"/>
        <v>0</v>
      </c>
      <c r="H1835" s="24">
        <f t="shared" si="228"/>
        <v>678.85621858158686</v>
      </c>
      <c r="I1835" s="12">
        <f t="shared" si="235"/>
        <v>0.19604307441754729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516.14528291269755</v>
      </c>
      <c r="F1836" s="37">
        <f t="shared" si="229"/>
        <v>0</v>
      </c>
      <c r="G1836" s="14">
        <f t="shared" si="230"/>
        <v>0</v>
      </c>
      <c r="H1836" s="24">
        <f t="shared" si="228"/>
        <v>679.01351375917852</v>
      </c>
      <c r="I1836" s="12">
        <f t="shared" si="235"/>
        <v>0.19595844893539754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516.34124136163291</v>
      </c>
      <c r="F1837" s="37">
        <f t="shared" si="229"/>
        <v>0</v>
      </c>
      <c r="G1837" s="14">
        <f t="shared" si="230"/>
        <v>0</v>
      </c>
      <c r="H1837" s="24">
        <f t="shared" si="228"/>
        <v>679.17087527558988</v>
      </c>
      <c r="I1837" s="12">
        <f t="shared" si="235"/>
        <v>0.19587385707239505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516.53711521870525</v>
      </c>
      <c r="F1838" s="37">
        <f t="shared" si="229"/>
        <v>0</v>
      </c>
      <c r="G1838" s="14">
        <f t="shared" si="230"/>
        <v>0</v>
      </c>
      <c r="H1838" s="24">
        <f t="shared" si="228"/>
        <v>679.32830308414179</v>
      </c>
      <c r="I1838" s="12">
        <f t="shared" si="235"/>
        <v>0.19578929884902085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516.73290451755429</v>
      </c>
      <c r="F1839" s="37">
        <f t="shared" si="229"/>
        <v>0</v>
      </c>
      <c r="G1839" s="14">
        <f t="shared" si="230"/>
        <v>0</v>
      </c>
      <c r="H1839" s="24">
        <f t="shared" si="228"/>
        <v>679.48579713807851</v>
      </c>
      <c r="I1839" s="12">
        <f t="shared" si="235"/>
        <v>0.19570477428568003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516.92860929183996</v>
      </c>
      <c r="F1840" s="37">
        <f t="shared" si="229"/>
        <v>0</v>
      </c>
      <c r="G1840" s="14">
        <f t="shared" si="230"/>
        <v>0</v>
      </c>
      <c r="H1840" s="24">
        <f t="shared" si="228"/>
        <v>679.64335739056924</v>
      </c>
      <c r="I1840" s="12">
        <f t="shared" si="235"/>
        <v>0.19562028340270279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517.12422957524268</v>
      </c>
      <c r="F1841" s="37">
        <f t="shared" si="229"/>
        <v>0</v>
      </c>
      <c r="G1841" s="14">
        <f t="shared" si="230"/>
        <v>0</v>
      </c>
      <c r="H1841" s="24">
        <f t="shared" si="228"/>
        <v>679.80098379470815</v>
      </c>
      <c r="I1841" s="12">
        <f t="shared" si="235"/>
        <v>0.19553582622034327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517.31976540146297</v>
      </c>
      <c r="F1842" s="37">
        <f t="shared" si="229"/>
        <v>0</v>
      </c>
      <c r="G1842" s="14">
        <f t="shared" si="230"/>
        <v>0</v>
      </c>
      <c r="H1842" s="24">
        <f t="shared" si="228"/>
        <v>679.95867630351449</v>
      </c>
      <c r="I1842" s="12">
        <f t="shared" si="235"/>
        <v>0.19545140275878059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517.51521680422172</v>
      </c>
      <c r="F1843" s="37">
        <f t="shared" si="229"/>
        <v>0</v>
      </c>
      <c r="G1843" s="14">
        <f t="shared" si="230"/>
        <v>0</v>
      </c>
      <c r="H1843" s="24">
        <f t="shared" si="228"/>
        <v>680.11643486993353</v>
      </c>
      <c r="I1843" s="12">
        <f t="shared" si="235"/>
        <v>0.19536701303811838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517.71058381725982</v>
      </c>
      <c r="F1844" s="37">
        <f t="shared" si="229"/>
        <v>0</v>
      </c>
      <c r="G1844" s="14">
        <f t="shared" si="230"/>
        <v>0</v>
      </c>
      <c r="H1844" s="24">
        <f t="shared" si="228"/>
        <v>680.27425944683625</v>
      </c>
      <c r="I1844" s="12">
        <f t="shared" si="235"/>
        <v>0.19528265707838485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517.90586647433815</v>
      </c>
      <c r="F1845" s="37">
        <f t="shared" si="229"/>
        <v>0</v>
      </c>
      <c r="G1845" s="14">
        <f t="shared" si="230"/>
        <v>0</v>
      </c>
      <c r="H1845" s="24">
        <f t="shared" si="228"/>
        <v>680.43214998702013</v>
      </c>
      <c r="I1845" s="12">
        <f t="shared" si="235"/>
        <v>0.19519833489953289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518.10106480923764</v>
      </c>
      <c r="F1846" s="37">
        <f t="shared" si="229"/>
        <v>0</v>
      </c>
      <c r="G1846" s="14">
        <f t="shared" si="230"/>
        <v>0</v>
      </c>
      <c r="H1846" s="24">
        <f t="shared" si="228"/>
        <v>680.59010644320961</v>
      </c>
      <c r="I1846" s="12">
        <f t="shared" si="235"/>
        <v>0.19511404652144018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518.29617885575908</v>
      </c>
      <c r="F1847" s="37">
        <f t="shared" si="229"/>
        <v>0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680.74812876805572</v>
      </c>
      <c r="I1847" s="12">
        <f t="shared" si="235"/>
        <v>0.19502979196390879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518.49120864772294</v>
      </c>
      <c r="F1848" s="37">
        <f t="shared" si="229"/>
        <v>0</v>
      </c>
      <c r="G1848" s="14">
        <f t="shared" si="230"/>
        <v>0</v>
      </c>
      <c r="H1848" s="24">
        <f t="shared" si="236"/>
        <v>680.90621691413742</v>
      </c>
      <c r="I1848" s="12">
        <f t="shared" si="235"/>
        <v>0.19494557124666606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518.68615421896959</v>
      </c>
      <c r="F1849" s="37">
        <f t="shared" si="229"/>
        <v>0</v>
      </c>
      <c r="G1849" s="14">
        <f t="shared" si="230"/>
        <v>0</v>
      </c>
      <c r="H1849" s="24">
        <f t="shared" si="236"/>
        <v>681.06437083396122</v>
      </c>
      <c r="I1849" s="12">
        <f t="shared" si="235"/>
        <v>0.19486138438936376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518.88101560335895</v>
      </c>
      <c r="F1850" s="37">
        <f t="shared" si="229"/>
        <v>0</v>
      </c>
      <c r="G1850" s="14">
        <f t="shared" si="230"/>
        <v>0</v>
      </c>
      <c r="H1850" s="24">
        <f t="shared" si="236"/>
        <v>681.22259047996204</v>
      </c>
      <c r="I1850" s="12">
        <f t="shared" si="235"/>
        <v>0.19477723141157849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519.07579283477048</v>
      </c>
      <c r="F1851" s="37">
        <f t="shared" si="229"/>
        <v>0</v>
      </c>
      <c r="G1851" s="14">
        <f t="shared" si="230"/>
        <v>0</v>
      </c>
      <c r="H1851" s="24">
        <f t="shared" si="236"/>
        <v>681.38087580450292</v>
      </c>
      <c r="I1851" s="12">
        <f t="shared" si="235"/>
        <v>0.19469311233281195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519.27048594710334</v>
      </c>
      <c r="F1852" s="37">
        <f t="shared" si="229"/>
        <v>0</v>
      </c>
      <c r="G1852" s="14">
        <f t="shared" si="230"/>
        <v>0</v>
      </c>
      <c r="H1852" s="24">
        <f t="shared" si="236"/>
        <v>681.5392267598761</v>
      </c>
      <c r="I1852" s="12">
        <f t="shared" si="235"/>
        <v>0.19460902717249037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519.46509497427587</v>
      </c>
      <c r="F1853" s="37">
        <f t="shared" si="229"/>
        <v>0</v>
      </c>
      <c r="G1853" s="14">
        <f t="shared" si="230"/>
        <v>0</v>
      </c>
      <c r="H1853" s="24">
        <f t="shared" si="236"/>
        <v>681.69764329830309</v>
      </c>
      <c r="I1853" s="12">
        <f t="shared" si="235"/>
        <v>0.19452497594996515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519.65961995022587</v>
      </c>
      <c r="F1854" s="37">
        <f t="shared" si="229"/>
        <v>0</v>
      </c>
      <c r="G1854" s="14">
        <f t="shared" si="230"/>
        <v>0</v>
      </c>
      <c r="H1854" s="24">
        <f t="shared" si="236"/>
        <v>681.85612537193447</v>
      </c>
      <c r="I1854" s="12">
        <f t="shared" si="235"/>
        <v>0.1944409586845128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519.85406090891036</v>
      </c>
      <c r="F1855" s="37">
        <f t="shared" si="229"/>
        <v>0</v>
      </c>
      <c r="G1855" s="14">
        <f t="shared" si="230"/>
        <v>0</v>
      </c>
      <c r="H1855" s="24">
        <f t="shared" si="236"/>
        <v>682.01467293285123</v>
      </c>
      <c r="I1855" s="12">
        <f t="shared" si="235"/>
        <v>0.19435697539533445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520.04841788430565</v>
      </c>
      <c r="F1856" s="37">
        <f t="shared" si="229"/>
        <v>0</v>
      </c>
      <c r="G1856" s="14">
        <f t="shared" si="230"/>
        <v>0</v>
      </c>
      <c r="H1856" s="24">
        <f t="shared" si="236"/>
        <v>682.17328593306456</v>
      </c>
      <c r="I1856" s="12">
        <f t="shared" si="235"/>
        <v>0.19427302610155642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520.24269091040719</v>
      </c>
      <c r="F1857" s="37">
        <f t="shared" si="229"/>
        <v>0</v>
      </c>
      <c r="G1857" s="14">
        <f t="shared" si="230"/>
        <v>0</v>
      </c>
      <c r="H1857" s="24">
        <f t="shared" si="236"/>
        <v>682.33196432451632</v>
      </c>
      <c r="I1857" s="12">
        <f t="shared" si="235"/>
        <v>0.19418911082223006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520.4368800212294</v>
      </c>
      <c r="F1858" s="37">
        <f t="shared" si="229"/>
        <v>0</v>
      </c>
      <c r="G1858" s="14">
        <f t="shared" si="230"/>
        <v>0</v>
      </c>
      <c r="H1858" s="24">
        <f t="shared" si="236"/>
        <v>682.490708059079</v>
      </c>
      <c r="I1858" s="12">
        <f t="shared" si="235"/>
        <v>0.19410522957633178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520.63098525080568</v>
      </c>
      <c r="F1859" s="37">
        <f t="shared" si="229"/>
        <v>0</v>
      </c>
      <c r="G1859" s="14">
        <f t="shared" si="230"/>
        <v>0</v>
      </c>
      <c r="H1859" s="24">
        <f t="shared" si="236"/>
        <v>682.64951708855665</v>
      </c>
      <c r="I1859" s="12">
        <f t="shared" si="235"/>
        <v>0.19402138238276334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520.82500663318842</v>
      </c>
      <c r="F1860" s="37">
        <f t="shared" si="229"/>
        <v>0</v>
      </c>
      <c r="G1860" s="14">
        <f t="shared" si="230"/>
        <v>0</v>
      </c>
      <c r="H1860" s="24">
        <f t="shared" si="236"/>
        <v>682.80839136468512</v>
      </c>
      <c r="I1860" s="12">
        <f t="shared" si="235"/>
        <v>0.19393756926035138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521.01894420244878</v>
      </c>
      <c r="F1861" s="37">
        <f t="shared" si="229"/>
        <v>0</v>
      </c>
      <c r="G1861" s="14">
        <f t="shared" si="230"/>
        <v>0</v>
      </c>
      <c r="H1861" s="24">
        <f t="shared" si="236"/>
        <v>682.96733083913193</v>
      </c>
      <c r="I1861" s="12">
        <f t="shared" si="235"/>
        <v>0.19385379022784788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521.21279799267666</v>
      </c>
      <c r="F1862" s="37">
        <f t="shared" si="229"/>
        <v>0</v>
      </c>
      <c r="G1862" s="14">
        <f t="shared" si="230"/>
        <v>0</v>
      </c>
      <c r="H1862" s="24">
        <f t="shared" si="236"/>
        <v>683.1263354634973</v>
      </c>
      <c r="I1862" s="12">
        <f t="shared" si="235"/>
        <v>0.19377004530393008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521.40656803798061</v>
      </c>
      <c r="F1863" s="37">
        <f t="shared" si="229"/>
        <v>0</v>
      </c>
      <c r="G1863" s="14">
        <f t="shared" si="230"/>
        <v>0</v>
      </c>
      <c r="H1863" s="24">
        <f t="shared" si="236"/>
        <v>683.28540518931391</v>
      </c>
      <c r="I1863" s="12">
        <f t="shared" si="235"/>
        <v>0.19368633450720057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521.60025437248783</v>
      </c>
      <c r="F1864" s="37">
        <f t="shared" si="229"/>
        <v>0</v>
      </c>
      <c r="G1864" s="14">
        <f t="shared" si="230"/>
        <v>0</v>
      </c>
      <c r="H1864" s="24">
        <f t="shared" si="236"/>
        <v>683.44453996804737</v>
      </c>
      <c r="I1864" s="12">
        <f t="shared" si="235"/>
        <v>0.1936026578561871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521.79385703034404</v>
      </c>
      <c r="F1865" s="37">
        <f t="shared" si="229"/>
        <v>0</v>
      </c>
      <c r="G1865" s="14">
        <f t="shared" si="230"/>
        <v>0</v>
      </c>
      <c r="H1865" s="24">
        <f t="shared" si="236"/>
        <v>683.60373975109724</v>
      </c>
      <c r="I1865" s="12">
        <f t="shared" si="235"/>
        <v>0.1935190153693428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521.9873760457134</v>
      </c>
      <c r="F1866" s="37">
        <f t="shared" si="229"/>
        <v>0</v>
      </c>
      <c r="G1866" s="14">
        <f t="shared" si="230"/>
        <v>0</v>
      </c>
      <c r="H1866" s="24">
        <f t="shared" si="236"/>
        <v>683.763004489796</v>
      </c>
      <c r="I1866" s="12">
        <f t="shared" si="235"/>
        <v>0.19343540706504628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522.18081145277847</v>
      </c>
      <c r="F1867" s="37">
        <f t="shared" si="229"/>
        <v>0</v>
      </c>
      <c r="G1867" s="14">
        <f t="shared" si="230"/>
        <v>0</v>
      </c>
      <c r="H1867" s="24">
        <f t="shared" si="236"/>
        <v>683.92233413541112</v>
      </c>
      <c r="I1867" s="12">
        <f t="shared" si="235"/>
        <v>0.19335183296160147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522.37416328574011</v>
      </c>
      <c r="F1868" s="37">
        <f t="shared" si="229"/>
        <v>0</v>
      </c>
      <c r="G1868" s="14">
        <f t="shared" si="230"/>
        <v>0</v>
      </c>
      <c r="H1868" s="24">
        <f t="shared" si="236"/>
        <v>684.08172863914365</v>
      </c>
      <c r="I1868" s="12">
        <f t="shared" si="235"/>
        <v>0.19326829307723797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522.56743157881738</v>
      </c>
      <c r="F1869" s="37">
        <f t="shared" si="229"/>
        <v>0</v>
      </c>
      <c r="G1869" s="14">
        <f t="shared" si="230"/>
        <v>0</v>
      </c>
      <c r="H1869" s="24">
        <f t="shared" si="236"/>
        <v>684.24118795212962</v>
      </c>
      <c r="I1869" s="12">
        <f t="shared" si="235"/>
        <v>0.19318478743011075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522.76061636624752</v>
      </c>
      <c r="F1870" s="37">
        <f t="shared" si="229"/>
        <v>0</v>
      </c>
      <c r="G1870" s="14">
        <f t="shared" si="230"/>
        <v>0</v>
      </c>
      <c r="H1870" s="24">
        <f t="shared" si="236"/>
        <v>684.4007120254405</v>
      </c>
      <c r="I1870" s="12">
        <f t="shared" si="235"/>
        <v>0.19310131603830039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522.95371768228586</v>
      </c>
      <c r="F1871" s="37">
        <f t="shared" si="229"/>
        <v>0</v>
      </c>
      <c r="G1871" s="14">
        <f t="shared" si="230"/>
        <v>0</v>
      </c>
      <c r="H1871" s="24">
        <f t="shared" si="236"/>
        <v>684.56030081008316</v>
      </c>
      <c r="I1871" s="12">
        <f t="shared" si="235"/>
        <v>0.19301787891981298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523.14673556120567</v>
      </c>
      <c r="F1872" s="37">
        <f t="shared" si="229"/>
        <v>0</v>
      </c>
      <c r="G1872" s="14">
        <f t="shared" si="230"/>
        <v>0</v>
      </c>
      <c r="H1872" s="24">
        <f t="shared" si="236"/>
        <v>684.71995425699947</v>
      </c>
      <c r="I1872" s="12">
        <f t="shared" si="235"/>
        <v>0.19293447609258046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523.33967003729822</v>
      </c>
      <c r="F1873" s="37">
        <f t="shared" si="229"/>
        <v>0</v>
      </c>
      <c r="G1873" s="14">
        <f t="shared" si="230"/>
        <v>0</v>
      </c>
      <c r="H1873" s="24">
        <f t="shared" si="236"/>
        <v>684.8796723170683</v>
      </c>
      <c r="I1873" s="12">
        <f t="shared" si="235"/>
        <v>0.1928511075744602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523.5325211448727</v>
      </c>
      <c r="F1874" s="37">
        <f t="shared" si="229"/>
        <v>0</v>
      </c>
      <c r="G1874" s="14">
        <f t="shared" si="230"/>
        <v>0</v>
      </c>
      <c r="H1874" s="24">
        <f t="shared" si="236"/>
        <v>685.03945494110462</v>
      </c>
      <c r="I1874" s="12">
        <f t="shared" si="235"/>
        <v>0.19276777338323542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523.72528891825596</v>
      </c>
      <c r="F1875" s="37">
        <f t="shared" si="229"/>
        <v>0</v>
      </c>
      <c r="G1875" s="14">
        <f t="shared" si="230"/>
        <v>0</v>
      </c>
      <c r="H1875" s="24">
        <f t="shared" si="236"/>
        <v>685.19930207986022</v>
      </c>
      <c r="I1875" s="12">
        <f t="shared" si="235"/>
        <v>0.19268447353661516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523.91797339179254</v>
      </c>
      <c r="F1876" s="37">
        <f t="shared" ref="F1876:F1939" si="237">Cp*RhoP/(RhoA*H1876)*dp/1000*MassivP</f>
        <v>0</v>
      </c>
      <c r="G1876" s="14">
        <f t="shared" ref="G1876:G1939" si="238">Phi*EpsilonF*Botzman/10^8*J1876*((D1876+273)^4-(E1876+273)^4)</f>
        <v>0</v>
      </c>
      <c r="H1876" s="24">
        <f t="shared" si="236"/>
        <v>685.35921368402364</v>
      </c>
      <c r="I1876" s="12">
        <f t="shared" si="235"/>
        <v>0.1926012080522341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524.11057459984477</v>
      </c>
      <c r="F1877" s="37">
        <f t="shared" si="237"/>
        <v>0</v>
      </c>
      <c r="G1877" s="14">
        <f t="shared" si="238"/>
        <v>0</v>
      </c>
      <c r="H1877" s="24">
        <f t="shared" si="236"/>
        <v>685.51918970422162</v>
      </c>
      <c r="I1877" s="12">
        <f t="shared" ref="I1877:I1940" si="243">LambdaP*MassivP/(dp/1000)/(H1877*RhoA)/(1+F1877/3)*(D1877-E1877)*DeltaT-(EXP(F1877/10)-1)*(D1877-D1876)</f>
        <v>0.1925179769476531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524.30309257679244</v>
      </c>
      <c r="F1878" s="37">
        <f t="shared" si="237"/>
        <v>0</v>
      </c>
      <c r="G1878" s="14">
        <f t="shared" si="238"/>
        <v>0</v>
      </c>
      <c r="H1878" s="24">
        <f t="shared" si="236"/>
        <v>685.67923009101798</v>
      </c>
      <c r="I1878" s="12">
        <f t="shared" si="243"/>
        <v>0.19243478024035859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524.49552735703276</v>
      </c>
      <c r="F1879" s="37">
        <f t="shared" si="237"/>
        <v>0</v>
      </c>
      <c r="G1879" s="14">
        <f t="shared" si="238"/>
        <v>0</v>
      </c>
      <c r="H1879" s="24">
        <f t="shared" si="236"/>
        <v>685.83933479491498</v>
      </c>
      <c r="I1879" s="12">
        <f t="shared" si="243"/>
        <v>0.19235161794776287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524.68787897498055</v>
      </c>
      <c r="F1880" s="37">
        <f t="shared" si="237"/>
        <v>0</v>
      </c>
      <c r="G1880" s="14">
        <f t="shared" si="238"/>
        <v>0</v>
      </c>
      <c r="H1880" s="24">
        <f t="shared" si="236"/>
        <v>685.99950376635309</v>
      </c>
      <c r="I1880" s="12">
        <f t="shared" si="243"/>
        <v>0.19226849008720481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524.88014746506781</v>
      </c>
      <c r="F1881" s="37">
        <f t="shared" si="237"/>
        <v>0</v>
      </c>
      <c r="G1881" s="14">
        <f t="shared" si="238"/>
        <v>0</v>
      </c>
      <c r="H1881" s="24">
        <f t="shared" si="236"/>
        <v>686.15973695571188</v>
      </c>
      <c r="I1881" s="12">
        <f t="shared" si="243"/>
        <v>0.19218539667594878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525.0723328617438</v>
      </c>
      <c r="F1882" s="37">
        <f t="shared" si="237"/>
        <v>0</v>
      </c>
      <c r="G1882" s="14">
        <f t="shared" si="238"/>
        <v>0</v>
      </c>
      <c r="H1882" s="24">
        <f t="shared" si="236"/>
        <v>686.32003431331009</v>
      </c>
      <c r="I1882" s="12">
        <f t="shared" si="243"/>
        <v>0.19210233773118512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525.26443519947497</v>
      </c>
      <c r="F1883" s="37">
        <f t="shared" si="237"/>
        <v>0</v>
      </c>
      <c r="G1883" s="14">
        <f t="shared" si="238"/>
        <v>0</v>
      </c>
      <c r="H1883" s="24">
        <f t="shared" si="236"/>
        <v>686.48039578940529</v>
      </c>
      <c r="I1883" s="12">
        <f t="shared" si="243"/>
        <v>0.19201931327003094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525.45645451274504</v>
      </c>
      <c r="F1884" s="37">
        <f t="shared" si="237"/>
        <v>0</v>
      </c>
      <c r="G1884" s="14">
        <f t="shared" si="238"/>
        <v>0</v>
      </c>
      <c r="H1884" s="24">
        <f t="shared" si="236"/>
        <v>686.64082133419538</v>
      </c>
      <c r="I1884" s="12">
        <f t="shared" si="243"/>
        <v>0.19193632330952903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525.64839083605455</v>
      </c>
      <c r="F1885" s="37">
        <f t="shared" si="237"/>
        <v>0</v>
      </c>
      <c r="G1885" s="14">
        <f t="shared" si="238"/>
        <v>0</v>
      </c>
      <c r="H1885" s="24">
        <f t="shared" si="236"/>
        <v>686.80131089781798</v>
      </c>
      <c r="I1885" s="12">
        <f t="shared" si="243"/>
        <v>0.19185336786664847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525.8402442039212</v>
      </c>
      <c r="F1886" s="37">
        <f t="shared" si="237"/>
        <v>0</v>
      </c>
      <c r="G1886" s="14">
        <f t="shared" si="238"/>
        <v>0</v>
      </c>
      <c r="H1886" s="24">
        <f t="shared" si="236"/>
        <v>686.9618644303514</v>
      </c>
      <c r="I1886" s="12">
        <f t="shared" si="243"/>
        <v>0.19177044695828455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526.03201465087943</v>
      </c>
      <c r="F1887" s="37">
        <f t="shared" si="237"/>
        <v>0</v>
      </c>
      <c r="G1887" s="14">
        <f t="shared" si="238"/>
        <v>0</v>
      </c>
      <c r="H1887" s="24">
        <f t="shared" si="236"/>
        <v>687.12248188181479</v>
      </c>
      <c r="I1887" s="12">
        <f t="shared" si="243"/>
        <v>0.19168756060125927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526.22370221148071</v>
      </c>
      <c r="F1888" s="37">
        <f t="shared" si="237"/>
        <v>0</v>
      </c>
      <c r="G1888" s="14">
        <f t="shared" si="238"/>
        <v>0</v>
      </c>
      <c r="H1888" s="24">
        <f t="shared" si="236"/>
        <v>687.283163202168</v>
      </c>
      <c r="I1888" s="12">
        <f t="shared" si="243"/>
        <v>0.19160470881232042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526.41530692029301</v>
      </c>
      <c r="F1889" s="37">
        <f t="shared" si="237"/>
        <v>0</v>
      </c>
      <c r="G1889" s="14">
        <f t="shared" si="238"/>
        <v>0</v>
      </c>
      <c r="H1889" s="24">
        <f t="shared" si="236"/>
        <v>687.44390834131241</v>
      </c>
      <c r="I1889" s="12">
        <f t="shared" si="243"/>
        <v>0.19152189160814265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526.6068288119011</v>
      </c>
      <c r="F1890" s="37">
        <f t="shared" si="237"/>
        <v>0</v>
      </c>
      <c r="G1890" s="14">
        <f t="shared" si="238"/>
        <v>0</v>
      </c>
      <c r="H1890" s="24">
        <f t="shared" si="236"/>
        <v>687.60471724909144</v>
      </c>
      <c r="I1890" s="12">
        <f t="shared" si="243"/>
        <v>0.19143910900532679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526.79826792090637</v>
      </c>
      <c r="F1891" s="37">
        <f t="shared" si="237"/>
        <v>0</v>
      </c>
      <c r="G1891" s="14">
        <f t="shared" si="238"/>
        <v>0</v>
      </c>
      <c r="H1891" s="24">
        <f t="shared" si="236"/>
        <v>687.76558987529017</v>
      </c>
      <c r="I1891" s="12">
        <f t="shared" si="243"/>
        <v>0.19135636102040027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526.98962428192681</v>
      </c>
      <c r="F1892" s="37">
        <f t="shared" si="237"/>
        <v>0</v>
      </c>
      <c r="G1892" s="14">
        <f t="shared" si="238"/>
        <v>0</v>
      </c>
      <c r="H1892" s="24">
        <f t="shared" si="236"/>
        <v>687.92652616963608</v>
      </c>
      <c r="I1892" s="12">
        <f t="shared" si="243"/>
        <v>0.19127364766981736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527.18089792959665</v>
      </c>
      <c r="F1893" s="37">
        <f t="shared" si="237"/>
        <v>0</v>
      </c>
      <c r="G1893" s="14">
        <f t="shared" si="238"/>
        <v>0</v>
      </c>
      <c r="H1893" s="24">
        <f t="shared" si="236"/>
        <v>688.08752608179975</v>
      </c>
      <c r="I1893" s="12">
        <f t="shared" si="243"/>
        <v>0.1911909689699583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527.37208889856663</v>
      </c>
      <c r="F1894" s="37">
        <f t="shared" si="237"/>
        <v>0</v>
      </c>
      <c r="G1894" s="14">
        <f t="shared" si="238"/>
        <v>0</v>
      </c>
      <c r="H1894" s="24">
        <f t="shared" si="236"/>
        <v>688.24858956139406</v>
      </c>
      <c r="I1894" s="12">
        <f t="shared" si="243"/>
        <v>0.1911083249371307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527.56319722350372</v>
      </c>
      <c r="F1895" s="37">
        <f t="shared" si="237"/>
        <v>0</v>
      </c>
      <c r="G1895" s="14">
        <f t="shared" si="238"/>
        <v>0</v>
      </c>
      <c r="H1895" s="24">
        <f t="shared" si="236"/>
        <v>688.40971655797603</v>
      </c>
      <c r="I1895" s="12">
        <f t="shared" si="243"/>
        <v>0.19102571558756853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527.75422293909128</v>
      </c>
      <c r="F1896" s="37">
        <f t="shared" si="237"/>
        <v>0</v>
      </c>
      <c r="G1896" s="14">
        <f t="shared" si="238"/>
        <v>0</v>
      </c>
      <c r="H1896" s="24">
        <f t="shared" si="236"/>
        <v>688.5709070210454</v>
      </c>
      <c r="I1896" s="12">
        <f t="shared" si="243"/>
        <v>0.19094314093743239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527.94516608002868</v>
      </c>
      <c r="F1897" s="37">
        <f t="shared" si="237"/>
        <v>0</v>
      </c>
      <c r="G1897" s="14">
        <f t="shared" si="238"/>
        <v>0</v>
      </c>
      <c r="H1897" s="24">
        <f t="shared" si="236"/>
        <v>688.73216090004701</v>
      </c>
      <c r="I1897" s="12">
        <f t="shared" si="243"/>
        <v>0.19086060100280991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528.13602668103147</v>
      </c>
      <c r="F1898" s="37">
        <f t="shared" si="237"/>
        <v>0</v>
      </c>
      <c r="G1898" s="14">
        <f t="shared" si="238"/>
        <v>0</v>
      </c>
      <c r="H1898" s="24">
        <f t="shared" si="236"/>
        <v>688.89347814436917</v>
      </c>
      <c r="I1898" s="12">
        <f t="shared" si="243"/>
        <v>0.1907780957997155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528.32680477683118</v>
      </c>
      <c r="F1899" s="37">
        <f t="shared" si="237"/>
        <v>0</v>
      </c>
      <c r="G1899" s="14">
        <f t="shared" si="238"/>
        <v>0</v>
      </c>
      <c r="H1899" s="24">
        <f t="shared" si="236"/>
        <v>689.05485870334508</v>
      </c>
      <c r="I1899" s="12">
        <f t="shared" si="243"/>
        <v>0.19069562534409051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528.5175004021753</v>
      </c>
      <c r="F1900" s="37">
        <f t="shared" si="237"/>
        <v>0</v>
      </c>
      <c r="G1900" s="14">
        <f t="shared" si="238"/>
        <v>0</v>
      </c>
      <c r="H1900" s="24">
        <f t="shared" si="236"/>
        <v>689.21630252625255</v>
      </c>
      <c r="I1900" s="12">
        <f t="shared" si="243"/>
        <v>0.19061318965180341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528.7081135918271</v>
      </c>
      <c r="F1901" s="37">
        <f t="shared" si="237"/>
        <v>0</v>
      </c>
      <c r="G1901" s="14">
        <f t="shared" si="238"/>
        <v>0</v>
      </c>
      <c r="H1901" s="24">
        <f t="shared" si="236"/>
        <v>689.37780956231541</v>
      </c>
      <c r="I1901" s="12">
        <f t="shared" si="243"/>
        <v>0.19053078873864931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528.89864438056577</v>
      </c>
      <c r="F1902" s="37">
        <f t="shared" si="237"/>
        <v>0</v>
      </c>
      <c r="G1902" s="14">
        <f t="shared" si="238"/>
        <v>0</v>
      </c>
      <c r="H1902" s="24">
        <f t="shared" si="236"/>
        <v>689.5393797607021</v>
      </c>
      <c r="I1902" s="12">
        <f t="shared" si="243"/>
        <v>0.19044842262035083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529.08909280318608</v>
      </c>
      <c r="F1903" s="37">
        <f t="shared" si="237"/>
        <v>0</v>
      </c>
      <c r="G1903" s="14">
        <f t="shared" si="238"/>
        <v>0</v>
      </c>
      <c r="H1903" s="24">
        <f t="shared" si="236"/>
        <v>689.70101307052778</v>
      </c>
      <c r="I1903" s="12">
        <f t="shared" si="243"/>
        <v>0.19036609131255741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529.27945889449859</v>
      </c>
      <c r="F1904" s="37">
        <f t="shared" si="237"/>
        <v>0</v>
      </c>
      <c r="G1904" s="14">
        <f t="shared" si="238"/>
        <v>0</v>
      </c>
      <c r="H1904" s="24">
        <f t="shared" si="236"/>
        <v>689.86270944085311</v>
      </c>
      <c r="I1904" s="12">
        <f t="shared" si="243"/>
        <v>0.19028379483084587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529.46974268932945</v>
      </c>
      <c r="F1905" s="37">
        <f t="shared" si="237"/>
        <v>0</v>
      </c>
      <c r="G1905" s="14">
        <f t="shared" si="238"/>
        <v>0</v>
      </c>
      <c r="H1905" s="24">
        <f t="shared" si="236"/>
        <v>690.0244688206858</v>
      </c>
      <c r="I1905" s="12">
        <f t="shared" si="243"/>
        <v>0.19020153319072008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529.65994422252015</v>
      </c>
      <c r="F1906" s="37">
        <f t="shared" si="237"/>
        <v>0</v>
      </c>
      <c r="G1906" s="14">
        <f t="shared" si="238"/>
        <v>0</v>
      </c>
      <c r="H1906" s="24">
        <f t="shared" si="236"/>
        <v>690.18629115898011</v>
      </c>
      <c r="I1906" s="12">
        <f t="shared" si="243"/>
        <v>0.19011930640761132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529.85006352892776</v>
      </c>
      <c r="F1907" s="37">
        <f t="shared" si="237"/>
        <v>0</v>
      </c>
      <c r="G1907" s="14">
        <f t="shared" si="238"/>
        <v>0</v>
      </c>
      <c r="H1907" s="24">
        <f t="shared" si="236"/>
        <v>690.34817640463734</v>
      </c>
      <c r="I1907" s="12">
        <f t="shared" si="243"/>
        <v>0.19003711449687824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530.04010064342469</v>
      </c>
      <c r="F1908" s="37">
        <f t="shared" si="237"/>
        <v>0</v>
      </c>
      <c r="G1908" s="14">
        <f t="shared" si="238"/>
        <v>0</v>
      </c>
      <c r="H1908" s="24">
        <f t="shared" si="236"/>
        <v>690.51012450650637</v>
      </c>
      <c r="I1908" s="12">
        <f t="shared" si="243"/>
        <v>0.18995495747380689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530.23005560089848</v>
      </c>
      <c r="F1909" s="37">
        <f t="shared" si="237"/>
        <v>0</v>
      </c>
      <c r="G1909" s="14">
        <f t="shared" si="238"/>
        <v>0</v>
      </c>
      <c r="H1909" s="24">
        <f t="shared" si="236"/>
        <v>690.67213541338378</v>
      </c>
      <c r="I1909" s="12">
        <f t="shared" si="243"/>
        <v>0.1898728353536108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530.41992843625212</v>
      </c>
      <c r="F1910" s="37">
        <f t="shared" si="237"/>
        <v>0</v>
      </c>
      <c r="G1910" s="14">
        <f t="shared" si="238"/>
        <v>0</v>
      </c>
      <c r="H1910" s="24">
        <f t="shared" si="236"/>
        <v>690.83420907401455</v>
      </c>
      <c r="I1910" s="12">
        <f t="shared" si="243"/>
        <v>0.18979074815143074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530.6097191844035</v>
      </c>
      <c r="F1911" s="37">
        <f t="shared" si="237"/>
        <v>0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690.99634543709158</v>
      </c>
      <c r="I1911" s="12">
        <f t="shared" si="243"/>
        <v>0.18970869588233541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530.79942788028586</v>
      </c>
      <c r="F1912" s="37">
        <f t="shared" si="237"/>
        <v>0</v>
      </c>
      <c r="G1912" s="14">
        <f t="shared" si="238"/>
        <v>0</v>
      </c>
      <c r="H1912" s="24">
        <f t="shared" si="244"/>
        <v>691.15854445125649</v>
      </c>
      <c r="I1912" s="12">
        <f t="shared" si="243"/>
        <v>0.18962667856132098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530.98905455884722</v>
      </c>
      <c r="F1913" s="37">
        <f t="shared" si="237"/>
        <v>0</v>
      </c>
      <c r="G1913" s="14">
        <f t="shared" si="238"/>
        <v>0</v>
      </c>
      <c r="H1913" s="24">
        <f t="shared" si="244"/>
        <v>691.32080606510021</v>
      </c>
      <c r="I1913" s="12">
        <f t="shared" si="243"/>
        <v>0.18954469620331132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531.17859925505047</v>
      </c>
      <c r="F1914" s="37">
        <f t="shared" si="237"/>
        <v>0</v>
      </c>
      <c r="G1914" s="14">
        <f t="shared" si="238"/>
        <v>0</v>
      </c>
      <c r="H1914" s="24">
        <f t="shared" si="244"/>
        <v>691.48313022716252</v>
      </c>
      <c r="I1914" s="12">
        <f t="shared" si="243"/>
        <v>0.18946274882315811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531.36806200387366</v>
      </c>
      <c r="F1915" s="37">
        <f t="shared" si="237"/>
        <v>0</v>
      </c>
      <c r="G1915" s="14">
        <f t="shared" si="238"/>
        <v>0</v>
      </c>
      <c r="H1915" s="24">
        <f t="shared" si="244"/>
        <v>691.64551688593338</v>
      </c>
      <c r="I1915" s="12">
        <f t="shared" si="243"/>
        <v>0.18938083643564063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531.55744284030925</v>
      </c>
      <c r="F1916" s="37">
        <f t="shared" si="237"/>
        <v>0</v>
      </c>
      <c r="G1916" s="14">
        <f t="shared" si="238"/>
        <v>0</v>
      </c>
      <c r="H1916" s="24">
        <f t="shared" si="244"/>
        <v>691.80796598985216</v>
      </c>
      <c r="I1916" s="12">
        <f t="shared" si="243"/>
        <v>0.18929895905546634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531.74674179936471</v>
      </c>
      <c r="F1917" s="37">
        <f t="shared" si="237"/>
        <v>0</v>
      </c>
      <c r="G1917" s="14">
        <f t="shared" si="238"/>
        <v>0</v>
      </c>
      <c r="H1917" s="24">
        <f t="shared" si="244"/>
        <v>691.9704774873087</v>
      </c>
      <c r="I1917" s="12">
        <f t="shared" si="243"/>
        <v>0.18921711669727026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531.93595891606196</v>
      </c>
      <c r="F1918" s="37">
        <f t="shared" si="237"/>
        <v>0</v>
      </c>
      <c r="G1918" s="14">
        <f t="shared" si="238"/>
        <v>0</v>
      </c>
      <c r="H1918" s="24">
        <f t="shared" si="244"/>
        <v>692.13305132664311</v>
      </c>
      <c r="I1918" s="12">
        <f t="shared" si="243"/>
        <v>0.18913530937561565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532.12509422543758</v>
      </c>
      <c r="F1919" s="37">
        <f t="shared" si="237"/>
        <v>0</v>
      </c>
      <c r="G1919" s="14">
        <f t="shared" si="238"/>
        <v>0</v>
      </c>
      <c r="H1919" s="24">
        <f t="shared" si="244"/>
        <v>692.29568745614665</v>
      </c>
      <c r="I1919" s="12">
        <f t="shared" si="243"/>
        <v>0.18905353710499373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532.31414776254258</v>
      </c>
      <c r="F1920" s="37">
        <f t="shared" si="237"/>
        <v>0</v>
      </c>
      <c r="G1920" s="14">
        <f t="shared" si="238"/>
        <v>0</v>
      </c>
      <c r="H1920" s="24">
        <f t="shared" si="244"/>
        <v>692.45838582406168</v>
      </c>
      <c r="I1920" s="12">
        <f t="shared" si="243"/>
        <v>0.18897179989982377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532.50311956244241</v>
      </c>
      <c r="F1921" s="37">
        <f t="shared" si="237"/>
        <v>0</v>
      </c>
      <c r="G1921" s="14">
        <f t="shared" si="238"/>
        <v>0</v>
      </c>
      <c r="H1921" s="24">
        <f t="shared" si="244"/>
        <v>692.62114637858178</v>
      </c>
      <c r="I1921" s="12">
        <f t="shared" si="243"/>
        <v>0.18889009777445309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532.69200966021685</v>
      </c>
      <c r="F1922" s="37">
        <f t="shared" si="237"/>
        <v>0</v>
      </c>
      <c r="G1922" s="14">
        <f t="shared" si="238"/>
        <v>0</v>
      </c>
      <c r="H1922" s="24">
        <f t="shared" si="244"/>
        <v>692.78396906785224</v>
      </c>
      <c r="I1922" s="12">
        <f t="shared" si="243"/>
        <v>0.18880843074315756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532.88081809096002</v>
      </c>
      <c r="F1923" s="37">
        <f t="shared" si="237"/>
        <v>0</v>
      </c>
      <c r="G1923" s="14">
        <f t="shared" si="238"/>
        <v>0</v>
      </c>
      <c r="H1923" s="24">
        <f t="shared" si="244"/>
        <v>692.94685383997057</v>
      </c>
      <c r="I1923" s="12">
        <f t="shared" si="243"/>
        <v>0.1887267988201411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533.0695448897801</v>
      </c>
      <c r="F1924" s="37">
        <f t="shared" si="237"/>
        <v>0</v>
      </c>
      <c r="G1924" s="14">
        <f t="shared" si="238"/>
        <v>0</v>
      </c>
      <c r="H1924" s="24">
        <f t="shared" si="244"/>
        <v>693.10980064298656</v>
      </c>
      <c r="I1924" s="12">
        <f t="shared" si="243"/>
        <v>0.18864520201953586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533.25819009179963</v>
      </c>
      <c r="F1925" s="37">
        <f t="shared" si="237"/>
        <v>0</v>
      </c>
      <c r="G1925" s="14">
        <f t="shared" si="238"/>
        <v>0</v>
      </c>
      <c r="H1925" s="24">
        <f t="shared" si="244"/>
        <v>693.27280942490256</v>
      </c>
      <c r="I1925" s="12">
        <f t="shared" si="243"/>
        <v>0.18856364035540268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533.446753732155</v>
      </c>
      <c r="F1926" s="37">
        <f t="shared" si="237"/>
        <v>0</v>
      </c>
      <c r="G1926" s="14">
        <f t="shared" si="238"/>
        <v>0</v>
      </c>
      <c r="H1926" s="24">
        <f t="shared" si="244"/>
        <v>693.43588013367412</v>
      </c>
      <c r="I1926" s="12">
        <f t="shared" si="243"/>
        <v>0.18848211384173053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533.6352358459967</v>
      </c>
      <c r="F1927" s="37">
        <f t="shared" si="237"/>
        <v>0</v>
      </c>
      <c r="G1927" s="14">
        <f t="shared" si="238"/>
        <v>0</v>
      </c>
      <c r="H1927" s="24">
        <f t="shared" si="244"/>
        <v>693.59901271720946</v>
      </c>
      <c r="I1927" s="12">
        <f t="shared" si="243"/>
        <v>0.18840062249243722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533.8236364684891</v>
      </c>
      <c r="F1928" s="37">
        <f t="shared" si="237"/>
        <v>0</v>
      </c>
      <c r="G1928" s="14">
        <f t="shared" si="238"/>
        <v>0</v>
      </c>
      <c r="H1928" s="24">
        <f t="shared" si="244"/>
        <v>693.76220712337079</v>
      </c>
      <c r="I1928" s="12">
        <f t="shared" si="243"/>
        <v>0.18831916632136889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534.01195563481042</v>
      </c>
      <c r="F1929" s="37">
        <f t="shared" si="237"/>
        <v>0</v>
      </c>
      <c r="G1929" s="14">
        <f t="shared" si="238"/>
        <v>0</v>
      </c>
      <c r="H1929" s="24">
        <f t="shared" si="244"/>
        <v>693.92546329997401</v>
      </c>
      <c r="I1929" s="12">
        <f t="shared" si="243"/>
        <v>0.18823774534230042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534.20019338015277</v>
      </c>
      <c r="F1930" s="37">
        <f t="shared" si="237"/>
        <v>0</v>
      </c>
      <c r="G1930" s="14">
        <f t="shared" si="238"/>
        <v>0</v>
      </c>
      <c r="H1930" s="24">
        <f t="shared" si="244"/>
        <v>694.08878119478936</v>
      </c>
      <c r="I1930" s="12">
        <f t="shared" si="243"/>
        <v>0.18815635956893551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534.38834973972166</v>
      </c>
      <c r="F1931" s="37">
        <f t="shared" si="237"/>
        <v>0</v>
      </c>
      <c r="G1931" s="14">
        <f t="shared" si="238"/>
        <v>0</v>
      </c>
      <c r="H1931" s="24">
        <f t="shared" si="244"/>
        <v>694.25216075554124</v>
      </c>
      <c r="I1931" s="12">
        <f t="shared" si="243"/>
        <v>0.18807500901490634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534.5764247487366</v>
      </c>
      <c r="F1932" s="37">
        <f t="shared" si="237"/>
        <v>0</v>
      </c>
      <c r="G1932" s="14">
        <f t="shared" si="238"/>
        <v>0</v>
      </c>
      <c r="H1932" s="24">
        <f t="shared" si="244"/>
        <v>694.41560192990846</v>
      </c>
      <c r="I1932" s="12">
        <f t="shared" si="243"/>
        <v>0.18799369369377422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534.76441844243038</v>
      </c>
      <c r="F1933" s="37">
        <f t="shared" si="237"/>
        <v>0</v>
      </c>
      <c r="G1933" s="14">
        <f t="shared" si="238"/>
        <v>0</v>
      </c>
      <c r="H1933" s="24">
        <f t="shared" si="244"/>
        <v>694.57910466552562</v>
      </c>
      <c r="I1933" s="12">
        <f t="shared" si="243"/>
        <v>0.18791241361902924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534.95233085604946</v>
      </c>
      <c r="F1934" s="37">
        <f t="shared" si="237"/>
        <v>0</v>
      </c>
      <c r="G1934" s="14">
        <f t="shared" si="238"/>
        <v>0</v>
      </c>
      <c r="H1934" s="24">
        <f t="shared" si="244"/>
        <v>694.74266890998183</v>
      </c>
      <c r="I1934" s="12">
        <f t="shared" si="243"/>
        <v>0.18783116880409051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535.14016202485357</v>
      </c>
      <c r="F1935" s="37">
        <f t="shared" si="237"/>
        <v>0</v>
      </c>
      <c r="G1935" s="14">
        <f t="shared" si="238"/>
        <v>0</v>
      </c>
      <c r="H1935" s="24">
        <f t="shared" si="244"/>
        <v>694.90629461082233</v>
      </c>
      <c r="I1935" s="12">
        <f t="shared" si="243"/>
        <v>0.18774995926230606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535.32791198411587</v>
      </c>
      <c r="F1936" s="37">
        <f t="shared" si="237"/>
        <v>0</v>
      </c>
      <c r="G1936" s="14">
        <f t="shared" si="238"/>
        <v>0</v>
      </c>
      <c r="H1936" s="24">
        <f t="shared" si="244"/>
        <v>695.06998171554801</v>
      </c>
      <c r="I1936" s="12">
        <f t="shared" si="243"/>
        <v>0.18766878500695294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535.51558076912283</v>
      </c>
      <c r="F1937" s="37">
        <f t="shared" si="237"/>
        <v>0</v>
      </c>
      <c r="G1937" s="14">
        <f t="shared" si="238"/>
        <v>0</v>
      </c>
      <c r="H1937" s="24">
        <f t="shared" si="244"/>
        <v>695.23373017161612</v>
      </c>
      <c r="I1937" s="12">
        <f t="shared" si="243"/>
        <v>0.18758764605123757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535.7031684151741</v>
      </c>
      <c r="F1938" s="37">
        <f t="shared" si="237"/>
        <v>0</v>
      </c>
      <c r="G1938" s="14">
        <f t="shared" si="238"/>
        <v>0</v>
      </c>
      <c r="H1938" s="24">
        <f t="shared" si="244"/>
        <v>695.39753992643989</v>
      </c>
      <c r="I1938" s="12">
        <f t="shared" si="243"/>
        <v>0.18750654240829556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535.89067495758241</v>
      </c>
      <c r="F1939" s="37">
        <f t="shared" si="237"/>
        <v>0</v>
      </c>
      <c r="G1939" s="14">
        <f t="shared" si="238"/>
        <v>0</v>
      </c>
      <c r="H1939" s="24">
        <f t="shared" si="244"/>
        <v>695.56141092738972</v>
      </c>
      <c r="I1939" s="12">
        <f t="shared" si="243"/>
        <v>0.18742547409119176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536.07810043167365</v>
      </c>
      <c r="F1940" s="37">
        <f t="shared" ref="F1940:F2003" si="245">Cp*RhoP/(RhoA*H1940)*dp/1000*MassivP</f>
        <v>0</v>
      </c>
      <c r="G1940" s="14">
        <f t="shared" ref="G1940:G2003" si="246">Phi*EpsilonF*Botzman/10^8*J1940*((D1940+273)^4-(E1940+273)^4)</f>
        <v>0</v>
      </c>
      <c r="H1940" s="24">
        <f t="shared" si="244"/>
        <v>695.72534312179323</v>
      </c>
      <c r="I1940" s="12">
        <f t="shared" si="243"/>
        <v>0.1873444411129202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536.26544487278659</v>
      </c>
      <c r="F1941" s="37">
        <f t="shared" si="245"/>
        <v>0</v>
      </c>
      <c r="G1941" s="14">
        <f t="shared" si="246"/>
        <v>0</v>
      </c>
      <c r="H1941" s="24">
        <f t="shared" si="244"/>
        <v>695.88933645693464</v>
      </c>
      <c r="I1941" s="12">
        <f t="shared" ref="I1941:I2004" si="251">LambdaP*MassivP/(dp/1000)/(H1941*RhoA)/(1+F1941/3)*(D1941-E1941)*DeltaT-(EXP(F1941/10)-1)*(D1941-D1940)</f>
        <v>0.1872634434864047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536.45270831627295</v>
      </c>
      <c r="F1942" s="37">
        <f t="shared" si="245"/>
        <v>0</v>
      </c>
      <c r="G1942" s="14">
        <f t="shared" si="246"/>
        <v>0</v>
      </c>
      <c r="H1942" s="24">
        <f t="shared" si="244"/>
        <v>696.05339088005667</v>
      </c>
      <c r="I1942" s="12">
        <f t="shared" si="251"/>
        <v>0.18718248122449815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536.6398907974974</v>
      </c>
      <c r="F1943" s="37">
        <f t="shared" si="245"/>
        <v>0</v>
      </c>
      <c r="G1943" s="14">
        <f t="shared" si="246"/>
        <v>0</v>
      </c>
      <c r="H1943" s="24">
        <f t="shared" si="244"/>
        <v>696.2175063383595</v>
      </c>
      <c r="I1943" s="12">
        <f t="shared" si="251"/>
        <v>0.18710155433998338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536.82699235183736</v>
      </c>
      <c r="F1944" s="37">
        <f t="shared" si="245"/>
        <v>0</v>
      </c>
      <c r="G1944" s="14">
        <f t="shared" si="246"/>
        <v>0</v>
      </c>
      <c r="H1944" s="24">
        <f t="shared" si="244"/>
        <v>696.38168277900115</v>
      </c>
      <c r="I1944" s="12">
        <f t="shared" si="251"/>
        <v>0.18702066284557242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537.01401301468297</v>
      </c>
      <c r="F1945" s="37">
        <f t="shared" si="245"/>
        <v>0</v>
      </c>
      <c r="G1945" s="14">
        <f t="shared" si="246"/>
        <v>0</v>
      </c>
      <c r="H1945" s="24">
        <f t="shared" si="244"/>
        <v>696.54592014909895</v>
      </c>
      <c r="I1945" s="12">
        <f t="shared" si="251"/>
        <v>0.18693980675390739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537.20095282143689</v>
      </c>
      <c r="F1946" s="37">
        <f t="shared" si="245"/>
        <v>0</v>
      </c>
      <c r="G1946" s="14">
        <f t="shared" si="246"/>
        <v>0</v>
      </c>
      <c r="H1946" s="24">
        <f t="shared" si="244"/>
        <v>696.71021839572813</v>
      </c>
      <c r="I1946" s="12">
        <f t="shared" si="251"/>
        <v>0.18685898607755996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537.38781180751448</v>
      </c>
      <c r="F1947" s="37">
        <f t="shared" si="245"/>
        <v>0</v>
      </c>
      <c r="G1947" s="14">
        <f t="shared" si="246"/>
        <v>0</v>
      </c>
      <c r="H1947" s="24">
        <f t="shared" si="244"/>
        <v>696.87457746592395</v>
      </c>
      <c r="I1947" s="12">
        <f t="shared" si="251"/>
        <v>0.18677820082903143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537.57459000834353</v>
      </c>
      <c r="F1948" s="37">
        <f t="shared" si="245"/>
        <v>0</v>
      </c>
      <c r="G1948" s="14">
        <f t="shared" si="246"/>
        <v>0</v>
      </c>
      <c r="H1948" s="24">
        <f t="shared" si="244"/>
        <v>697.03899730667968</v>
      </c>
      <c r="I1948" s="12">
        <f t="shared" si="251"/>
        <v>0.18669745102075361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537.76128745936433</v>
      </c>
      <c r="F1949" s="37">
        <f t="shared" si="245"/>
        <v>0</v>
      </c>
      <c r="G1949" s="14">
        <f t="shared" si="246"/>
        <v>0</v>
      </c>
      <c r="H1949" s="24">
        <f t="shared" si="244"/>
        <v>697.20347786494926</v>
      </c>
      <c r="I1949" s="12">
        <f t="shared" si="251"/>
        <v>0.18661673666508757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537.94790419602941</v>
      </c>
      <c r="F1950" s="37">
        <f t="shared" si="245"/>
        <v>0</v>
      </c>
      <c r="G1950" s="14">
        <f t="shared" si="246"/>
        <v>0</v>
      </c>
      <c r="H1950" s="24">
        <f t="shared" si="244"/>
        <v>697.36801908764619</v>
      </c>
      <c r="I1950" s="12">
        <f t="shared" si="251"/>
        <v>0.18653605777432491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538.13444025380375</v>
      </c>
      <c r="F1951" s="37">
        <f t="shared" si="245"/>
        <v>0</v>
      </c>
      <c r="G1951" s="14">
        <f t="shared" si="246"/>
        <v>0</v>
      </c>
      <c r="H1951" s="24">
        <f t="shared" si="244"/>
        <v>697.53262092164437</v>
      </c>
      <c r="I1951" s="12">
        <f t="shared" si="251"/>
        <v>0.1864554143606868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538.32089566816444</v>
      </c>
      <c r="F1952" s="37">
        <f t="shared" si="245"/>
        <v>0</v>
      </c>
      <c r="G1952" s="14">
        <f t="shared" si="246"/>
        <v>0</v>
      </c>
      <c r="H1952" s="24">
        <f t="shared" si="244"/>
        <v>697.69728331377758</v>
      </c>
      <c r="I1952" s="12">
        <f t="shared" si="251"/>
        <v>0.1863748064363252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538.50727047460077</v>
      </c>
      <c r="F1953" s="37">
        <f t="shared" si="245"/>
        <v>0</v>
      </c>
      <c r="G1953" s="14">
        <f t="shared" si="246"/>
        <v>0</v>
      </c>
      <c r="H1953" s="24">
        <f t="shared" si="244"/>
        <v>697.86200621084083</v>
      </c>
      <c r="I1953" s="12">
        <f t="shared" si="251"/>
        <v>0.18629423401332193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538.69356470861408</v>
      </c>
      <c r="F1954" s="37">
        <f t="shared" si="245"/>
        <v>0</v>
      </c>
      <c r="G1954" s="14">
        <f t="shared" si="246"/>
        <v>0</v>
      </c>
      <c r="H1954" s="24">
        <f t="shared" si="244"/>
        <v>698.02678955959004</v>
      </c>
      <c r="I1954" s="12">
        <f t="shared" si="251"/>
        <v>0.18621369710368901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538.87977840571773</v>
      </c>
      <c r="F1955" s="37">
        <f t="shared" si="245"/>
        <v>0</v>
      </c>
      <c r="G1955" s="14">
        <f t="shared" si="246"/>
        <v>0</v>
      </c>
      <c r="H1955" s="24">
        <f t="shared" si="244"/>
        <v>698.19163330674223</v>
      </c>
      <c r="I1955" s="12">
        <f t="shared" si="251"/>
        <v>0.18613319571936926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539.06591160143705</v>
      </c>
      <c r="F1956" s="37">
        <f t="shared" si="245"/>
        <v>0</v>
      </c>
      <c r="G1956" s="14">
        <f t="shared" si="246"/>
        <v>0</v>
      </c>
      <c r="H1956" s="24">
        <f t="shared" si="244"/>
        <v>698.35653739897634</v>
      </c>
      <c r="I1956" s="12">
        <f t="shared" si="251"/>
        <v>0.18605272987223553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539.2519643313093</v>
      </c>
      <c r="F1957" s="37">
        <f t="shared" si="245"/>
        <v>0</v>
      </c>
      <c r="G1957" s="14">
        <f t="shared" si="246"/>
        <v>0</v>
      </c>
      <c r="H1957" s="24">
        <f t="shared" si="244"/>
        <v>698.521501782933</v>
      </c>
      <c r="I1957" s="12">
        <f t="shared" si="251"/>
        <v>0.18597229957409134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539.43793663088343</v>
      </c>
      <c r="F1958" s="37">
        <f t="shared" si="245"/>
        <v>0</v>
      </c>
      <c r="G1958" s="14">
        <f t="shared" si="246"/>
        <v>0</v>
      </c>
      <c r="H1958" s="24">
        <f t="shared" si="244"/>
        <v>698.68652640521486</v>
      </c>
      <c r="I1958" s="12">
        <f t="shared" si="251"/>
        <v>0.18589190483667081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539.62382853572012</v>
      </c>
      <c r="F1959" s="37">
        <f t="shared" si="245"/>
        <v>0</v>
      </c>
      <c r="G1959" s="14">
        <f t="shared" si="246"/>
        <v>0</v>
      </c>
      <c r="H1959" s="24">
        <f t="shared" si="244"/>
        <v>698.85161121238684</v>
      </c>
      <c r="I1959" s="12">
        <f t="shared" si="251"/>
        <v>0.18581154567163874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539.80964008139176</v>
      </c>
      <c r="F1960" s="37">
        <f t="shared" si="245"/>
        <v>0</v>
      </c>
      <c r="G1960" s="14">
        <f t="shared" si="246"/>
        <v>0</v>
      </c>
      <c r="H1960" s="24">
        <f t="shared" si="244"/>
        <v>699.0167561509769</v>
      </c>
      <c r="I1960" s="12">
        <f t="shared" si="251"/>
        <v>0.18573122209059073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539.99537130348233</v>
      </c>
      <c r="F1961" s="37">
        <f t="shared" si="245"/>
        <v>0</v>
      </c>
      <c r="G1961" s="14">
        <f t="shared" si="246"/>
        <v>0</v>
      </c>
      <c r="H1961" s="24">
        <f t="shared" si="244"/>
        <v>699.18196116747583</v>
      </c>
      <c r="I1961" s="12">
        <f t="shared" si="251"/>
        <v>0.1856509341050529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540.1810222375874</v>
      </c>
      <c r="F1962" s="37">
        <f t="shared" si="245"/>
        <v>0</v>
      </c>
      <c r="G1962" s="14">
        <f t="shared" si="246"/>
        <v>0</v>
      </c>
      <c r="H1962" s="24">
        <f t="shared" si="244"/>
        <v>699.34722620833736</v>
      </c>
      <c r="I1962" s="12">
        <f t="shared" si="251"/>
        <v>0.18557068172648261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540.36659291931392</v>
      </c>
      <c r="F1963" s="37">
        <f t="shared" si="245"/>
        <v>0</v>
      </c>
      <c r="G1963" s="14">
        <f t="shared" si="246"/>
        <v>0</v>
      </c>
      <c r="H1963" s="24">
        <f t="shared" si="244"/>
        <v>699.5125512199794</v>
      </c>
      <c r="I1963" s="12">
        <f t="shared" si="251"/>
        <v>0.1854904649662677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540.55208338428019</v>
      </c>
      <c r="F1964" s="37">
        <f t="shared" si="245"/>
        <v>0</v>
      </c>
      <c r="G1964" s="14">
        <f t="shared" si="246"/>
        <v>0</v>
      </c>
      <c r="H1964" s="24">
        <f t="shared" si="244"/>
        <v>699.67793614878269</v>
      </c>
      <c r="I1964" s="12">
        <f t="shared" si="251"/>
        <v>0.18541028383572761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540.73749366811592</v>
      </c>
      <c r="F1965" s="37">
        <f t="shared" si="245"/>
        <v>0</v>
      </c>
      <c r="G1965" s="14">
        <f t="shared" si="246"/>
        <v>0</v>
      </c>
      <c r="H1965" s="24">
        <f t="shared" si="244"/>
        <v>699.84338094109285</v>
      </c>
      <c r="I1965" s="12">
        <f t="shared" si="251"/>
        <v>0.18533013834611234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540.92282380646202</v>
      </c>
      <c r="F1966" s="37">
        <f t="shared" si="245"/>
        <v>0</v>
      </c>
      <c r="G1966" s="14">
        <f t="shared" si="246"/>
        <v>0</v>
      </c>
      <c r="H1966" s="24">
        <f t="shared" si="244"/>
        <v>700.00888554321932</v>
      </c>
      <c r="I1966" s="12">
        <f t="shared" si="251"/>
        <v>0.18525002850860342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541.10807383497058</v>
      </c>
      <c r="F1967" s="37">
        <f t="shared" si="245"/>
        <v>0</v>
      </c>
      <c r="G1967" s="14">
        <f t="shared" si="246"/>
        <v>0</v>
      </c>
      <c r="H1967" s="24">
        <f t="shared" si="244"/>
        <v>700.17444990143622</v>
      </c>
      <c r="I1967" s="12">
        <f t="shared" si="251"/>
        <v>0.18516995433431355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541.29324378930494</v>
      </c>
      <c r="F1968" s="37">
        <f t="shared" si="245"/>
        <v>0</v>
      </c>
      <c r="G1968" s="14">
        <f t="shared" si="246"/>
        <v>0</v>
      </c>
      <c r="H1968" s="24">
        <f t="shared" si="244"/>
        <v>700.34007396198263</v>
      </c>
      <c r="I1968" s="12">
        <f t="shared" si="251"/>
        <v>0.18508991583428644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541.47833370513922</v>
      </c>
      <c r="F1969" s="37">
        <f t="shared" si="245"/>
        <v>0</v>
      </c>
      <c r="G1969" s="14">
        <f t="shared" si="246"/>
        <v>0</v>
      </c>
      <c r="H1969" s="24">
        <f t="shared" si="244"/>
        <v>700.50575767106261</v>
      </c>
      <c r="I1969" s="12">
        <f t="shared" si="251"/>
        <v>0.18500991301949754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541.66334361815871</v>
      </c>
      <c r="F1970" s="37">
        <f t="shared" si="245"/>
        <v>0</v>
      </c>
      <c r="G1970" s="14">
        <f t="shared" si="246"/>
        <v>0</v>
      </c>
      <c r="H1970" s="24">
        <f t="shared" si="244"/>
        <v>700.67150097484591</v>
      </c>
      <c r="I1970" s="12">
        <f t="shared" si="251"/>
        <v>0.18492994590085365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541.84827356405958</v>
      </c>
      <c r="F1971" s="37">
        <f t="shared" si="245"/>
        <v>0</v>
      </c>
      <c r="G1971" s="14">
        <f t="shared" si="246"/>
        <v>0</v>
      </c>
      <c r="H1971" s="24">
        <f t="shared" si="244"/>
        <v>700.83730381946759</v>
      </c>
      <c r="I1971" s="12">
        <f t="shared" si="251"/>
        <v>0.18485001448919297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542.03312357854873</v>
      </c>
      <c r="F1972" s="37">
        <f t="shared" si="245"/>
        <v>0</v>
      </c>
      <c r="G1972" s="14">
        <f t="shared" si="246"/>
        <v>0</v>
      </c>
      <c r="H1972" s="24">
        <f t="shared" si="244"/>
        <v>701.00316615102861</v>
      </c>
      <c r="I1972" s="12">
        <f t="shared" si="251"/>
        <v>0.18477011879528554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542.21789369734404</v>
      </c>
      <c r="F1973" s="37">
        <f t="shared" si="245"/>
        <v>0</v>
      </c>
      <c r="G1973" s="14">
        <f t="shared" si="246"/>
        <v>0</v>
      </c>
      <c r="H1973" s="24">
        <f t="shared" si="244"/>
        <v>701.16908791559626</v>
      </c>
      <c r="I1973" s="12">
        <f t="shared" si="251"/>
        <v>0.184690258829833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542.40258395617388</v>
      </c>
      <c r="F1974" s="37">
        <f t="shared" si="245"/>
        <v>0</v>
      </c>
      <c r="G1974" s="14">
        <f t="shared" si="246"/>
        <v>0</v>
      </c>
      <c r="H1974" s="24">
        <f t="shared" si="244"/>
        <v>701.33506905920478</v>
      </c>
      <c r="I1974" s="12">
        <f t="shared" si="251"/>
        <v>0.18461043460346854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542.58719439077731</v>
      </c>
      <c r="F1975" s="37">
        <f t="shared" si="245"/>
        <v>0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701.50110952785417</v>
      </c>
      <c r="I1975" s="12">
        <f t="shared" si="251"/>
        <v>0.1845306461267576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542.77172503690406</v>
      </c>
      <c r="F1976" s="37">
        <f t="shared" si="245"/>
        <v>0</v>
      </c>
      <c r="G1976" s="14">
        <f t="shared" si="246"/>
        <v>0</v>
      </c>
      <c r="H1976" s="24">
        <f t="shared" si="252"/>
        <v>701.66720926751191</v>
      </c>
      <c r="I1976" s="12">
        <f t="shared" si="251"/>
        <v>0.18445089341019705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542.9561759303142</v>
      </c>
      <c r="F1977" s="37">
        <f t="shared" si="245"/>
        <v>0</v>
      </c>
      <c r="G1977" s="14">
        <f t="shared" si="246"/>
        <v>0</v>
      </c>
      <c r="H1977" s="24">
        <f t="shared" si="252"/>
        <v>701.83336822411286</v>
      </c>
      <c r="I1977" s="12">
        <f t="shared" si="251"/>
        <v>0.18437117646421611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543.1405471067784</v>
      </c>
      <c r="F1978" s="37">
        <f t="shared" si="245"/>
        <v>0</v>
      </c>
      <c r="G1978" s="14">
        <f t="shared" si="246"/>
        <v>0</v>
      </c>
      <c r="H1978" s="24">
        <f t="shared" si="252"/>
        <v>701.99958634355914</v>
      </c>
      <c r="I1978" s="12">
        <f t="shared" si="251"/>
        <v>0.18429149529917593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543.32483860207753</v>
      </c>
      <c r="F1979" s="37">
        <f t="shared" si="245"/>
        <v>0</v>
      </c>
      <c r="G1979" s="14">
        <f t="shared" si="246"/>
        <v>0</v>
      </c>
      <c r="H1979" s="24">
        <f t="shared" si="252"/>
        <v>702.16586357172093</v>
      </c>
      <c r="I1979" s="12">
        <f t="shared" si="251"/>
        <v>0.18421184992536979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543.50905045200295</v>
      </c>
      <c r="F1980" s="37">
        <f t="shared" si="245"/>
        <v>0</v>
      </c>
      <c r="G1980" s="14">
        <f t="shared" si="246"/>
        <v>0</v>
      </c>
      <c r="H1980" s="24">
        <f t="shared" si="252"/>
        <v>702.33219985443623</v>
      </c>
      <c r="I1980" s="12">
        <f t="shared" si="251"/>
        <v>0.18413224035302306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543.693182692356</v>
      </c>
      <c r="F1981" s="37">
        <f t="shared" si="245"/>
        <v>0</v>
      </c>
      <c r="G1981" s="14">
        <f t="shared" si="246"/>
        <v>0</v>
      </c>
      <c r="H1981" s="24">
        <f t="shared" si="252"/>
        <v>702.49859513751119</v>
      </c>
      <c r="I1981" s="12">
        <f t="shared" si="251"/>
        <v>0.18405266659229369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543.87723535894827</v>
      </c>
      <c r="F1982" s="37">
        <f t="shared" si="245"/>
        <v>0</v>
      </c>
      <c r="G1982" s="14">
        <f t="shared" si="246"/>
        <v>0</v>
      </c>
      <c r="H1982" s="24">
        <f t="shared" si="252"/>
        <v>702.66504936672072</v>
      </c>
      <c r="I1982" s="12">
        <f t="shared" si="251"/>
        <v>0.18397312865327187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544.06120848760156</v>
      </c>
      <c r="F1983" s="37">
        <f t="shared" si="245"/>
        <v>0</v>
      </c>
      <c r="G1983" s="14">
        <f t="shared" si="246"/>
        <v>0</v>
      </c>
      <c r="H1983" s="24">
        <f t="shared" si="252"/>
        <v>702.83156248780858</v>
      </c>
      <c r="I1983" s="12">
        <f t="shared" si="251"/>
        <v>0.1838936265459801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544.24510211414758</v>
      </c>
      <c r="F1984" s="37">
        <f t="shared" si="245"/>
        <v>0</v>
      </c>
      <c r="G1984" s="14">
        <f t="shared" si="246"/>
        <v>0</v>
      </c>
      <c r="H1984" s="24">
        <f t="shared" si="252"/>
        <v>702.9981344464876</v>
      </c>
      <c r="I1984" s="12">
        <f t="shared" si="251"/>
        <v>0.18381416028037356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544.42891627442793</v>
      </c>
      <c r="F1985" s="37">
        <f t="shared" si="245"/>
        <v>0</v>
      </c>
      <c r="G1985" s="14">
        <f t="shared" si="246"/>
        <v>0</v>
      </c>
      <c r="H1985" s="24">
        <f t="shared" si="252"/>
        <v>703.16476518843979</v>
      </c>
      <c r="I1985" s="12">
        <f t="shared" si="251"/>
        <v>0.18373472986634001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544.61265100429432</v>
      </c>
      <c r="F1986" s="37">
        <f t="shared" si="245"/>
        <v>0</v>
      </c>
      <c r="G1986" s="14">
        <f t="shared" si="246"/>
        <v>0</v>
      </c>
      <c r="H1986" s="24">
        <f t="shared" si="252"/>
        <v>703.33145465931705</v>
      </c>
      <c r="I1986" s="12">
        <f t="shared" si="251"/>
        <v>0.18365533531369962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544.79630633960801</v>
      </c>
      <c r="F1987" s="37">
        <f t="shared" si="245"/>
        <v>0</v>
      </c>
      <c r="G1987" s="14">
        <f t="shared" si="246"/>
        <v>0</v>
      </c>
      <c r="H1987" s="24">
        <f t="shared" si="252"/>
        <v>703.49820280474069</v>
      </c>
      <c r="I1987" s="12">
        <f t="shared" si="251"/>
        <v>0.18357597663220598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544.97988231624026</v>
      </c>
      <c r="F1988" s="37">
        <f t="shared" si="245"/>
        <v>0</v>
      </c>
      <c r="G1988" s="14">
        <f t="shared" si="246"/>
        <v>0</v>
      </c>
      <c r="H1988" s="24">
        <f t="shared" si="252"/>
        <v>703.66500957030257</v>
      </c>
      <c r="I1988" s="12">
        <f t="shared" si="251"/>
        <v>0.1834966538315447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545.16337897007179</v>
      </c>
      <c r="F1989" s="37">
        <f t="shared" si="245"/>
        <v>0</v>
      </c>
      <c r="G1989" s="14">
        <f t="shared" si="246"/>
        <v>0</v>
      </c>
      <c r="H1989" s="24">
        <f t="shared" si="252"/>
        <v>703.83187490156445</v>
      </c>
      <c r="I1989" s="12">
        <f t="shared" si="251"/>
        <v>0.18341736692133492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545.34679633699318</v>
      </c>
      <c r="F1990" s="37">
        <f t="shared" si="245"/>
        <v>0</v>
      </c>
      <c r="G1990" s="14">
        <f t="shared" si="246"/>
        <v>0</v>
      </c>
      <c r="H1990" s="24">
        <f t="shared" si="252"/>
        <v>703.99879874405906</v>
      </c>
      <c r="I1990" s="12">
        <f t="shared" si="251"/>
        <v>0.18333811591112853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545.53013445290435</v>
      </c>
      <c r="F1991" s="37">
        <f t="shared" si="245"/>
        <v>0</v>
      </c>
      <c r="G1991" s="14">
        <f t="shared" si="246"/>
        <v>0</v>
      </c>
      <c r="H1991" s="24">
        <f t="shared" si="252"/>
        <v>704.16578104329005</v>
      </c>
      <c r="I1991" s="12">
        <f t="shared" si="251"/>
        <v>0.18325890081041035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545.71339335371476</v>
      </c>
      <c r="F1992" s="37">
        <f t="shared" si="245"/>
        <v>0</v>
      </c>
      <c r="G1992" s="14">
        <f t="shared" si="246"/>
        <v>0</v>
      </c>
      <c r="H1992" s="24">
        <f t="shared" si="252"/>
        <v>704.33282174473197</v>
      </c>
      <c r="I1992" s="12">
        <f t="shared" si="251"/>
        <v>0.18317972162859864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545.89657307534333</v>
      </c>
      <c r="F1993" s="37">
        <f t="shared" si="245"/>
        <v>0</v>
      </c>
      <c r="G1993" s="14">
        <f t="shared" si="246"/>
        <v>0</v>
      </c>
      <c r="H1993" s="24">
        <f t="shared" si="252"/>
        <v>704.49992079383071</v>
      </c>
      <c r="I1993" s="12">
        <f t="shared" si="251"/>
        <v>0.18310057837504476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546.07967365371837</v>
      </c>
      <c r="F1994" s="37">
        <f t="shared" si="245"/>
        <v>0</v>
      </c>
      <c r="G1994" s="14">
        <f t="shared" si="246"/>
        <v>0</v>
      </c>
      <c r="H1994" s="24">
        <f t="shared" si="252"/>
        <v>704.66707813600408</v>
      </c>
      <c r="I1994" s="12">
        <f t="shared" si="251"/>
        <v>0.1830214710590333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546.26269512477745</v>
      </c>
      <c r="F1995" s="37">
        <f t="shared" si="245"/>
        <v>0</v>
      </c>
      <c r="G1995" s="14">
        <f t="shared" si="246"/>
        <v>0</v>
      </c>
      <c r="H1995" s="24">
        <f t="shared" si="252"/>
        <v>704.83429371664147</v>
      </c>
      <c r="I1995" s="12">
        <f t="shared" si="251"/>
        <v>0.18294239968978249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546.4456375244672</v>
      </c>
      <c r="F1996" s="37">
        <f t="shared" si="245"/>
        <v>0</v>
      </c>
      <c r="G1996" s="14">
        <f t="shared" si="246"/>
        <v>0</v>
      </c>
      <c r="H1996" s="24">
        <f t="shared" si="252"/>
        <v>705.0015674811043</v>
      </c>
      <c r="I1996" s="12">
        <f t="shared" si="251"/>
        <v>0.18286336427644362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546.6285008887437</v>
      </c>
      <c r="F1997" s="37">
        <f t="shared" si="245"/>
        <v>0</v>
      </c>
      <c r="G1997" s="14">
        <f t="shared" si="246"/>
        <v>0</v>
      </c>
      <c r="H1997" s="24">
        <f t="shared" si="252"/>
        <v>705.16889937472706</v>
      </c>
      <c r="I1997" s="12">
        <f t="shared" si="251"/>
        <v>0.18278436482810193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546.81128525357178</v>
      </c>
      <c r="F1998" s="37">
        <f t="shared" si="245"/>
        <v>0</v>
      </c>
      <c r="G1998" s="14">
        <f t="shared" si="246"/>
        <v>0</v>
      </c>
      <c r="H1998" s="24">
        <f t="shared" si="252"/>
        <v>705.33628934281614</v>
      </c>
      <c r="I1998" s="12">
        <f t="shared" si="251"/>
        <v>0.18270540135377611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546.9939906549256</v>
      </c>
      <c r="F1999" s="37">
        <f t="shared" si="245"/>
        <v>0</v>
      </c>
      <c r="G1999" s="14">
        <f t="shared" si="246"/>
        <v>0</v>
      </c>
      <c r="H1999" s="24">
        <f t="shared" si="252"/>
        <v>705.50373733065112</v>
      </c>
      <c r="I1999" s="12">
        <f t="shared" si="251"/>
        <v>0.18262647386241859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547.17661712878805</v>
      </c>
      <c r="F2000" s="37">
        <f t="shared" si="245"/>
        <v>0</v>
      </c>
      <c r="G2000" s="14">
        <f t="shared" si="246"/>
        <v>0</v>
      </c>
      <c r="H2000" s="24">
        <f t="shared" si="252"/>
        <v>705.6712432834845</v>
      </c>
      <c r="I2000" s="12">
        <f t="shared" si="251"/>
        <v>0.18254758236291552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547.35916471115092</v>
      </c>
      <c r="F2001" s="37">
        <f t="shared" si="245"/>
        <v>0</v>
      </c>
      <c r="G2001" s="14">
        <f t="shared" si="246"/>
        <v>0</v>
      </c>
      <c r="H2001" s="24">
        <f t="shared" si="252"/>
        <v>705.83880714654242</v>
      </c>
      <c r="I2001" s="12">
        <f t="shared" si="251"/>
        <v>0.18246872686408727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547.54163343801497</v>
      </c>
      <c r="F2002" s="37">
        <f t="shared" si="245"/>
        <v>0</v>
      </c>
      <c r="G2002" s="14">
        <f t="shared" si="246"/>
        <v>0</v>
      </c>
      <c r="H2002" s="24">
        <f t="shared" si="252"/>
        <v>706.00642886502465</v>
      </c>
      <c r="I2002" s="12">
        <f t="shared" si="251"/>
        <v>0.18238990737468747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547.7240233453897</v>
      </c>
      <c r="F2003" s="37">
        <f t="shared" si="245"/>
        <v>0</v>
      </c>
      <c r="G2003" s="14">
        <f t="shared" si="246"/>
        <v>0</v>
      </c>
      <c r="H2003" s="24">
        <f t="shared" si="252"/>
        <v>706.17410838410478</v>
      </c>
      <c r="I2003" s="12">
        <f t="shared" si="251"/>
        <v>0.18231112390340448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547.90633446929314</v>
      </c>
      <c r="F2004" s="37">
        <f t="shared" ref="F2004:F2067" si="253">Cp*RhoP/(RhoA*H2004)*dp/1000*MassivP</f>
        <v>0</v>
      </c>
      <c r="G2004" s="14">
        <f t="shared" ref="G2004:G2067" si="254">Phi*EpsilonF*Botzman/10^8*J2004*((D2004+273)^4-(E2004+273)^4)</f>
        <v>0</v>
      </c>
      <c r="H2004" s="24">
        <f t="shared" si="252"/>
        <v>706.34184564893008</v>
      </c>
      <c r="I2004" s="12">
        <f t="shared" si="251"/>
        <v>0.18223237645886056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548.08856684575198</v>
      </c>
      <c r="F2005" s="37">
        <f t="shared" si="253"/>
        <v>0</v>
      </c>
      <c r="G2005" s="14">
        <f t="shared" si="254"/>
        <v>0</v>
      </c>
      <c r="H2005" s="24">
        <f t="shared" si="252"/>
        <v>706.50964060462286</v>
      </c>
      <c r="I2005" s="12">
        <f t="shared" ref="I2005:I2068" si="259">LambdaP*MassivP/(dp/1000)/(H2005*RhoA)/(1+F2005/3)*(D2005-E2005)*DeltaT-(EXP(F2005/10)-1)*(D2005-D2004)</f>
        <v>0.18215366504961189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548.27072051080165</v>
      </c>
      <c r="F2006" s="37">
        <f t="shared" si="253"/>
        <v>0</v>
      </c>
      <c r="G2006" s="14">
        <f t="shared" si="254"/>
        <v>0</v>
      </c>
      <c r="H2006" s="24">
        <f t="shared" si="252"/>
        <v>706.67749319627978</v>
      </c>
      <c r="I2006" s="12">
        <f t="shared" si="259"/>
        <v>0.18207498968414931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548.45279550048576</v>
      </c>
      <c r="F2007" s="37">
        <f t="shared" si="253"/>
        <v>0</v>
      </c>
      <c r="G2007" s="14">
        <f t="shared" si="254"/>
        <v>0</v>
      </c>
      <c r="H2007" s="24">
        <f t="shared" si="252"/>
        <v>706.84540336897203</v>
      </c>
      <c r="I2007" s="12">
        <f t="shared" si="259"/>
        <v>0.18199635037089798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548.63479185085669</v>
      </c>
      <c r="F2008" s="37">
        <f t="shared" si="253"/>
        <v>0</v>
      </c>
      <c r="G2008" s="14">
        <f t="shared" si="254"/>
        <v>0</v>
      </c>
      <c r="H2008" s="24">
        <f t="shared" si="252"/>
        <v>707.01337106774622</v>
      </c>
      <c r="I2008" s="12">
        <f t="shared" si="259"/>
        <v>0.18191774711821729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548.81670959797486</v>
      </c>
      <c r="F2009" s="37">
        <f t="shared" si="253"/>
        <v>0</v>
      </c>
      <c r="G2009" s="14">
        <f t="shared" si="254"/>
        <v>0</v>
      </c>
      <c r="H2009" s="24">
        <f t="shared" si="252"/>
        <v>707.18139623762454</v>
      </c>
      <c r="I2009" s="12">
        <f t="shared" si="259"/>
        <v>0.18183917993440135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548.99854877790926</v>
      </c>
      <c r="F2010" s="37">
        <f t="shared" si="253"/>
        <v>0</v>
      </c>
      <c r="G2010" s="14">
        <f t="shared" si="254"/>
        <v>0</v>
      </c>
      <c r="H2010" s="24">
        <f t="shared" si="252"/>
        <v>707.34947882360393</v>
      </c>
      <c r="I2010" s="12">
        <f t="shared" si="259"/>
        <v>0.18176064882767884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549.18030942673693</v>
      </c>
      <c r="F2011" s="37">
        <f t="shared" si="253"/>
        <v>0</v>
      </c>
      <c r="G2011" s="14">
        <f t="shared" si="254"/>
        <v>0</v>
      </c>
      <c r="H2011" s="24">
        <f t="shared" si="252"/>
        <v>707.51761877065815</v>
      </c>
      <c r="I2011" s="12">
        <f t="shared" si="259"/>
        <v>0.18168215380621314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549.36199158054319</v>
      </c>
      <c r="F2012" s="37">
        <f t="shared" si="253"/>
        <v>0</v>
      </c>
      <c r="G2012" s="14">
        <f t="shared" si="254"/>
        <v>0</v>
      </c>
      <c r="H2012" s="24">
        <f t="shared" si="252"/>
        <v>707.68581602373638</v>
      </c>
      <c r="I2012" s="12">
        <f t="shared" si="259"/>
        <v>0.18160369487810216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549.54359527542124</v>
      </c>
      <c r="F2013" s="37">
        <f t="shared" si="253"/>
        <v>0</v>
      </c>
      <c r="G2013" s="14">
        <f t="shared" si="254"/>
        <v>0</v>
      </c>
      <c r="H2013" s="24">
        <f t="shared" si="252"/>
        <v>707.85407052776418</v>
      </c>
      <c r="I2013" s="12">
        <f t="shared" si="259"/>
        <v>0.1815252720513793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549.72512054747267</v>
      </c>
      <c r="F2014" s="37">
        <f t="shared" si="253"/>
        <v>0</v>
      </c>
      <c r="G2014" s="14">
        <f t="shared" si="254"/>
        <v>0</v>
      </c>
      <c r="H2014" s="24">
        <f t="shared" si="252"/>
        <v>708.02238222764379</v>
      </c>
      <c r="I2014" s="12">
        <f t="shared" si="259"/>
        <v>0.18144688533401221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549.9065674328067</v>
      </c>
      <c r="F2015" s="37">
        <f t="shared" si="253"/>
        <v>0</v>
      </c>
      <c r="G2015" s="14">
        <f t="shared" si="254"/>
        <v>0</v>
      </c>
      <c r="H2015" s="24">
        <f t="shared" si="252"/>
        <v>708.19075106825426</v>
      </c>
      <c r="I2015" s="12">
        <f t="shared" si="259"/>
        <v>0.18136853473390413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550.0879359675406</v>
      </c>
      <c r="F2016" s="37">
        <f t="shared" si="253"/>
        <v>0</v>
      </c>
      <c r="G2016" s="14">
        <f t="shared" si="254"/>
        <v>0</v>
      </c>
      <c r="H2016" s="24">
        <f t="shared" si="252"/>
        <v>708.35917699445122</v>
      </c>
      <c r="I2016" s="12">
        <f t="shared" si="259"/>
        <v>0.18129022025889299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550.26922618779952</v>
      </c>
      <c r="F2017" s="37">
        <f t="shared" si="253"/>
        <v>0</v>
      </c>
      <c r="G2017" s="14">
        <f t="shared" si="254"/>
        <v>0</v>
      </c>
      <c r="H2017" s="24">
        <f t="shared" si="252"/>
        <v>708.52765995106813</v>
      </c>
      <c r="I2017" s="12">
        <f t="shared" si="259"/>
        <v>0.18121194191675224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550.4504381297163</v>
      </c>
      <c r="F2018" s="37">
        <f t="shared" si="253"/>
        <v>0</v>
      </c>
      <c r="G2018" s="14">
        <f t="shared" si="254"/>
        <v>0</v>
      </c>
      <c r="H2018" s="24">
        <f t="shared" si="252"/>
        <v>708.69619988291583</v>
      </c>
      <c r="I2018" s="12">
        <f t="shared" si="259"/>
        <v>0.1811336997151905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550.63157182943155</v>
      </c>
      <c r="F2019" s="37">
        <f t="shared" si="253"/>
        <v>0</v>
      </c>
      <c r="G2019" s="14">
        <f t="shared" si="254"/>
        <v>0</v>
      </c>
      <c r="H2019" s="24">
        <f t="shared" si="252"/>
        <v>708.86479673478243</v>
      </c>
      <c r="I2019" s="12">
        <f t="shared" si="259"/>
        <v>0.18105549366185159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550.81262732309335</v>
      </c>
      <c r="F2020" s="37">
        <f t="shared" si="253"/>
        <v>0</v>
      </c>
      <c r="G2020" s="14">
        <f t="shared" si="254"/>
        <v>0</v>
      </c>
      <c r="H2020" s="24">
        <f t="shared" si="252"/>
        <v>709.03345045143442</v>
      </c>
      <c r="I2020" s="12">
        <f t="shared" si="259"/>
        <v>0.18097732376431525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550.99360464685765</v>
      </c>
      <c r="F2021" s="37">
        <f t="shared" si="253"/>
        <v>0</v>
      </c>
      <c r="G2021" s="14">
        <f t="shared" si="254"/>
        <v>0</v>
      </c>
      <c r="H2021" s="24">
        <f t="shared" si="252"/>
        <v>709.20216097761647</v>
      </c>
      <c r="I2021" s="12">
        <f t="shared" si="259"/>
        <v>0.1808991900300963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551.17450383688777</v>
      </c>
      <c r="F2022" s="37">
        <f t="shared" si="253"/>
        <v>0</v>
      </c>
      <c r="G2022" s="14">
        <f t="shared" si="254"/>
        <v>0</v>
      </c>
      <c r="H2022" s="24">
        <f t="shared" si="252"/>
        <v>709.37092825805166</v>
      </c>
      <c r="I2022" s="12">
        <f t="shared" si="259"/>
        <v>0.18082109246664529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551.35532492935442</v>
      </c>
      <c r="F2023" s="37">
        <f t="shared" si="253"/>
        <v>0</v>
      </c>
      <c r="G2023" s="14">
        <f t="shared" si="254"/>
        <v>0</v>
      </c>
      <c r="H2023" s="24">
        <f t="shared" si="252"/>
        <v>709.53975223744123</v>
      </c>
      <c r="I2023" s="12">
        <f t="shared" si="259"/>
        <v>0.18074303108134873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551.53606796043573</v>
      </c>
      <c r="F2024" s="37">
        <f t="shared" si="253"/>
        <v>0</v>
      </c>
      <c r="G2024" s="14">
        <f t="shared" si="254"/>
        <v>0</v>
      </c>
      <c r="H2024" s="24">
        <f t="shared" si="252"/>
        <v>709.70863286046642</v>
      </c>
      <c r="I2024" s="12">
        <f t="shared" si="259"/>
        <v>0.18066500588152851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551.71673296631729</v>
      </c>
      <c r="F2025" s="37">
        <f t="shared" si="253"/>
        <v>0</v>
      </c>
      <c r="G2025" s="14">
        <f t="shared" si="254"/>
        <v>0</v>
      </c>
      <c r="H2025" s="24">
        <f t="shared" si="252"/>
        <v>709.87757007178629</v>
      </c>
      <c r="I2025" s="12">
        <f t="shared" si="259"/>
        <v>0.1805870168744429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551.89731998319178</v>
      </c>
      <c r="F2026" s="37">
        <f t="shared" si="253"/>
        <v>0</v>
      </c>
      <c r="G2026" s="14">
        <f t="shared" si="254"/>
        <v>0</v>
      </c>
      <c r="H2026" s="24">
        <f t="shared" si="252"/>
        <v>710.04656381604036</v>
      </c>
      <c r="I2026" s="12">
        <f t="shared" si="259"/>
        <v>0.18050906406728576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552.07782904725912</v>
      </c>
      <c r="F2027" s="37">
        <f t="shared" si="253"/>
        <v>0</v>
      </c>
      <c r="G2027" s="14">
        <f t="shared" si="254"/>
        <v>0</v>
      </c>
      <c r="H2027" s="24">
        <f t="shared" si="252"/>
        <v>710.2156140378471</v>
      </c>
      <c r="I2027" s="12">
        <f t="shared" si="259"/>
        <v>0.18043114746718716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552.25826019472629</v>
      </c>
      <c r="F2028" s="37">
        <f t="shared" si="253"/>
        <v>0</v>
      </c>
      <c r="G2028" s="14">
        <f t="shared" si="254"/>
        <v>0</v>
      </c>
      <c r="H2028" s="24">
        <f t="shared" si="252"/>
        <v>710.38472068180499</v>
      </c>
      <c r="I2028" s="12">
        <f t="shared" si="259"/>
        <v>0.18035326708121333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552.43861346180745</v>
      </c>
      <c r="F2029" s="37">
        <f t="shared" si="253"/>
        <v>0</v>
      </c>
      <c r="G2029" s="14">
        <f t="shared" si="254"/>
        <v>0</v>
      </c>
      <c r="H2029" s="24">
        <f t="shared" si="252"/>
        <v>710.55388369249226</v>
      </c>
      <c r="I2029" s="12">
        <f t="shared" si="259"/>
        <v>0.18027542291636672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552.61888888472379</v>
      </c>
      <c r="F2030" s="37">
        <f t="shared" si="253"/>
        <v>0</v>
      </c>
      <c r="G2030" s="14">
        <f t="shared" si="254"/>
        <v>0</v>
      </c>
      <c r="H2030" s="24">
        <f t="shared" si="252"/>
        <v>710.72310301446817</v>
      </c>
      <c r="I2030" s="12">
        <f t="shared" si="259"/>
        <v>0.18019761497958597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552.79908649970332</v>
      </c>
      <c r="F2031" s="37">
        <f t="shared" si="253"/>
        <v>0</v>
      </c>
      <c r="G2031" s="14">
        <f t="shared" si="254"/>
        <v>0</v>
      </c>
      <c r="H2031" s="24">
        <f t="shared" si="252"/>
        <v>710.89237859227171</v>
      </c>
      <c r="I2031" s="12">
        <f t="shared" si="259"/>
        <v>0.18011984327774627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552.97920634298112</v>
      </c>
      <c r="F2032" s="37">
        <f t="shared" si="253"/>
        <v>0</v>
      </c>
      <c r="G2032" s="14">
        <f t="shared" si="254"/>
        <v>0</v>
      </c>
      <c r="H2032" s="24">
        <f t="shared" si="252"/>
        <v>711.06171037042304</v>
      </c>
      <c r="I2032" s="12">
        <f t="shared" si="259"/>
        <v>0.18004210781765945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553.15924845079883</v>
      </c>
      <c r="F2033" s="37">
        <f t="shared" si="253"/>
        <v>0</v>
      </c>
      <c r="G2033" s="14">
        <f t="shared" si="254"/>
        <v>0</v>
      </c>
      <c r="H2033" s="24">
        <f t="shared" si="252"/>
        <v>711.2310982934232</v>
      </c>
      <c r="I2033" s="12">
        <f t="shared" si="259"/>
        <v>0.17996440860607335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553.33921285940494</v>
      </c>
      <c r="F2034" s="37">
        <f t="shared" si="253"/>
        <v>0</v>
      </c>
      <c r="G2034" s="14">
        <f t="shared" si="254"/>
        <v>0</v>
      </c>
      <c r="H2034" s="24">
        <f t="shared" si="252"/>
        <v>711.40054230575424</v>
      </c>
      <c r="I2034" s="12">
        <f t="shared" si="259"/>
        <v>0.17988674564967322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553.51909960505463</v>
      </c>
      <c r="F2035" s="37">
        <f t="shared" si="253"/>
        <v>0</v>
      </c>
      <c r="G2035" s="14">
        <f t="shared" si="254"/>
        <v>0</v>
      </c>
      <c r="H2035" s="24">
        <f t="shared" si="252"/>
        <v>711.57004235187992</v>
      </c>
      <c r="I2035" s="12">
        <f t="shared" si="259"/>
        <v>0.17980911895508048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553.6989087240097</v>
      </c>
      <c r="F2036" s="37">
        <f t="shared" si="253"/>
        <v>0</v>
      </c>
      <c r="G2036" s="14">
        <f t="shared" si="254"/>
        <v>0</v>
      </c>
      <c r="H2036" s="24">
        <f t="shared" si="252"/>
        <v>711.73959837624534</v>
      </c>
      <c r="I2036" s="12">
        <f t="shared" si="259"/>
        <v>0.1797315285288538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553.8786402525385</v>
      </c>
      <c r="F2037" s="37">
        <f t="shared" si="253"/>
        <v>0</v>
      </c>
      <c r="G2037" s="14">
        <f t="shared" si="254"/>
        <v>0</v>
      </c>
      <c r="H2037" s="24">
        <f t="shared" si="252"/>
        <v>711.90921032327788</v>
      </c>
      <c r="I2037" s="12">
        <f t="shared" si="259"/>
        <v>0.17965397437748842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554.05829422691602</v>
      </c>
      <c r="F2038" s="37">
        <f t="shared" si="253"/>
        <v>0</v>
      </c>
      <c r="G2038" s="14">
        <f t="shared" si="254"/>
        <v>0</v>
      </c>
      <c r="H2038" s="24">
        <f t="shared" si="252"/>
        <v>712.07887813738625</v>
      </c>
      <c r="I2038" s="12">
        <f t="shared" si="259"/>
        <v>0.17957645650741694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554.23787068342347</v>
      </c>
      <c r="F2039" s="37">
        <f t="shared" si="253"/>
        <v>0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712.24860176296249</v>
      </c>
      <c r="I2039" s="12">
        <f t="shared" si="259"/>
        <v>0.1794989749250088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554.41736965834843</v>
      </c>
      <c r="F2040" s="37">
        <f t="shared" si="253"/>
        <v>0</v>
      </c>
      <c r="G2040" s="14">
        <f t="shared" si="254"/>
        <v>0</v>
      </c>
      <c r="H2040" s="24">
        <f t="shared" si="260"/>
        <v>712.41838114438031</v>
      </c>
      <c r="I2040" s="12">
        <f t="shared" si="259"/>
        <v>0.17942152963657082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554.59679118798499</v>
      </c>
      <c r="F2041" s="37">
        <f t="shared" si="253"/>
        <v>0</v>
      </c>
      <c r="G2041" s="14">
        <f t="shared" si="254"/>
        <v>0</v>
      </c>
      <c r="H2041" s="24">
        <f t="shared" si="260"/>
        <v>712.58821622599669</v>
      </c>
      <c r="I2041" s="12">
        <f t="shared" si="259"/>
        <v>0.17934412064834701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554.77613530863334</v>
      </c>
      <c r="F2042" s="37">
        <f t="shared" si="253"/>
        <v>0</v>
      </c>
      <c r="G2042" s="14">
        <f t="shared" si="254"/>
        <v>0</v>
      </c>
      <c r="H2042" s="24">
        <f t="shared" si="260"/>
        <v>712.75810695215137</v>
      </c>
      <c r="I2042" s="12">
        <f t="shared" si="259"/>
        <v>0.17926674796651862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554.95540205659984</v>
      </c>
      <c r="F2043" s="37">
        <f t="shared" si="253"/>
        <v>0</v>
      </c>
      <c r="G2043" s="14">
        <f t="shared" si="254"/>
        <v>0</v>
      </c>
      <c r="H2043" s="24">
        <f t="shared" si="260"/>
        <v>712.92805326716746</v>
      </c>
      <c r="I2043" s="12">
        <f t="shared" si="259"/>
        <v>0.1791894115972047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555.13459146819707</v>
      </c>
      <c r="F2044" s="37">
        <f t="shared" si="253"/>
        <v>0</v>
      </c>
      <c r="G2044" s="14">
        <f t="shared" si="254"/>
        <v>0</v>
      </c>
      <c r="H2044" s="24">
        <f t="shared" si="260"/>
        <v>713.09805511535114</v>
      </c>
      <c r="I2044" s="12">
        <f t="shared" si="259"/>
        <v>0.17911211154646162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555.31370357974356</v>
      </c>
      <c r="F2045" s="37">
        <f t="shared" si="253"/>
        <v>0</v>
      </c>
      <c r="G2045" s="14">
        <f t="shared" si="254"/>
        <v>0</v>
      </c>
      <c r="H2045" s="24">
        <f t="shared" si="260"/>
        <v>713.26811244099258</v>
      </c>
      <c r="I2045" s="12">
        <f t="shared" si="259"/>
        <v>0.17903484782028339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555.49273842756384</v>
      </c>
      <c r="F2046" s="37">
        <f t="shared" si="253"/>
        <v>0</v>
      </c>
      <c r="G2046" s="14">
        <f t="shared" si="254"/>
        <v>0</v>
      </c>
      <c r="H2046" s="24">
        <f t="shared" si="260"/>
        <v>713.43822518836578</v>
      </c>
      <c r="I2046" s="12">
        <f t="shared" si="259"/>
        <v>0.17895762042460173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555.67169604798846</v>
      </c>
      <c r="F2047" s="37">
        <f t="shared" si="253"/>
        <v>0</v>
      </c>
      <c r="G2047" s="14">
        <f t="shared" si="254"/>
        <v>0</v>
      </c>
      <c r="H2047" s="24">
        <f t="shared" si="260"/>
        <v>713.60839330172871</v>
      </c>
      <c r="I2047" s="12">
        <f t="shared" si="259"/>
        <v>0.17888042936528631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555.8505764773538</v>
      </c>
      <c r="F2048" s="37">
        <f t="shared" si="253"/>
        <v>0</v>
      </c>
      <c r="G2048" s="14">
        <f t="shared" si="254"/>
        <v>0</v>
      </c>
      <c r="H2048" s="24">
        <f t="shared" si="260"/>
        <v>713.77861672532356</v>
      </c>
      <c r="I2048" s="12">
        <f t="shared" si="259"/>
        <v>0.17880327464814466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556.02937975200189</v>
      </c>
      <c r="F2049" s="37">
        <f t="shared" si="253"/>
        <v>0</v>
      </c>
      <c r="G2049" s="14">
        <f t="shared" si="254"/>
        <v>0</v>
      </c>
      <c r="H2049" s="24">
        <f t="shared" si="260"/>
        <v>713.94889540337704</v>
      </c>
      <c r="I2049" s="12">
        <f t="shared" si="259"/>
        <v>0.17872615627892241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556.2081059082808</v>
      </c>
      <c r="F2050" s="37">
        <f t="shared" si="253"/>
        <v>0</v>
      </c>
      <c r="G2050" s="14">
        <f t="shared" si="254"/>
        <v>0</v>
      </c>
      <c r="H2050" s="24">
        <f t="shared" si="260"/>
        <v>714.11922928010097</v>
      </c>
      <c r="I2050" s="12">
        <f t="shared" si="259"/>
        <v>0.17864907426330287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556.38675498254406</v>
      </c>
      <c r="F2051" s="37">
        <f t="shared" si="253"/>
        <v>0</v>
      </c>
      <c r="G2051" s="14">
        <f t="shared" si="254"/>
        <v>0</v>
      </c>
      <c r="H2051" s="24">
        <f t="shared" si="260"/>
        <v>714.28961829969148</v>
      </c>
      <c r="I2051" s="12">
        <f t="shared" si="259"/>
        <v>0.17857202860690799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556.565327011151</v>
      </c>
      <c r="F2052" s="37">
        <f t="shared" si="253"/>
        <v>0</v>
      </c>
      <c r="G2052" s="14">
        <f t="shared" si="254"/>
        <v>0</v>
      </c>
      <c r="H2052" s="24">
        <f t="shared" si="260"/>
        <v>714.46006240633074</v>
      </c>
      <c r="I2052" s="12">
        <f t="shared" si="259"/>
        <v>0.17849501931529771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556.74382203046628</v>
      </c>
      <c r="F2053" s="37">
        <f t="shared" si="253"/>
        <v>0</v>
      </c>
      <c r="G2053" s="14">
        <f t="shared" si="254"/>
        <v>0</v>
      </c>
      <c r="H2053" s="24">
        <f t="shared" si="260"/>
        <v>714.6305615441853</v>
      </c>
      <c r="I2053" s="12">
        <f t="shared" si="259"/>
        <v>0.17841804639397063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556.92224007686025</v>
      </c>
      <c r="F2054" s="37">
        <f t="shared" si="253"/>
        <v>0</v>
      </c>
      <c r="G2054" s="14">
        <f t="shared" si="254"/>
        <v>0</v>
      </c>
      <c r="H2054" s="24">
        <f t="shared" si="260"/>
        <v>714.8011156574081</v>
      </c>
      <c r="I2054" s="12">
        <f t="shared" si="259"/>
        <v>0.17834110984836335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557.10058118670861</v>
      </c>
      <c r="F2055" s="37">
        <f t="shared" si="253"/>
        <v>0</v>
      </c>
      <c r="G2055" s="14">
        <f t="shared" si="254"/>
        <v>0</v>
      </c>
      <c r="H2055" s="24">
        <f t="shared" si="260"/>
        <v>714.97172469013719</v>
      </c>
      <c r="I2055" s="12">
        <f t="shared" si="259"/>
        <v>0.17826420968385145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557.27884539639251</v>
      </c>
      <c r="F2056" s="37">
        <f t="shared" si="253"/>
        <v>0</v>
      </c>
      <c r="G2056" s="14">
        <f t="shared" si="254"/>
        <v>0</v>
      </c>
      <c r="H2056" s="24">
        <f t="shared" si="260"/>
        <v>715.14238858649742</v>
      </c>
      <c r="I2056" s="12">
        <f t="shared" si="259"/>
        <v>0.17818734590574872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557.45703274229822</v>
      </c>
      <c r="F2057" s="37">
        <f t="shared" si="253"/>
        <v>0</v>
      </c>
      <c r="G2057" s="14">
        <f t="shared" si="254"/>
        <v>0</v>
      </c>
      <c r="H2057" s="24">
        <f t="shared" si="260"/>
        <v>715.31310729059919</v>
      </c>
      <c r="I2057" s="12">
        <f t="shared" si="259"/>
        <v>0.17811051851930823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557.63514326081759</v>
      </c>
      <c r="F2058" s="37">
        <f t="shared" si="253"/>
        <v>0</v>
      </c>
      <c r="G2058" s="14">
        <f t="shared" si="254"/>
        <v>0</v>
      </c>
      <c r="H2058" s="24">
        <f t="shared" si="260"/>
        <v>715.48388074653951</v>
      </c>
      <c r="I2058" s="12">
        <f t="shared" si="259"/>
        <v>0.17803372752972135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557.81317698834732</v>
      </c>
      <c r="F2059" s="37">
        <f t="shared" si="253"/>
        <v>0</v>
      </c>
      <c r="G2059" s="14">
        <f t="shared" si="254"/>
        <v>0</v>
      </c>
      <c r="H2059" s="24">
        <f t="shared" si="260"/>
        <v>715.65470889840276</v>
      </c>
      <c r="I2059" s="12">
        <f t="shared" si="259"/>
        <v>0.17795697294211837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557.99113396128939</v>
      </c>
      <c r="F2060" s="37">
        <f t="shared" si="253"/>
        <v>0</v>
      </c>
      <c r="G2060" s="14">
        <f t="shared" si="254"/>
        <v>0</v>
      </c>
      <c r="H2060" s="24">
        <f t="shared" si="260"/>
        <v>715.82559169025876</v>
      </c>
      <c r="I2060" s="12">
        <f t="shared" si="259"/>
        <v>0.17788025476156907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558.16901421605098</v>
      </c>
      <c r="F2061" s="37">
        <f t="shared" si="253"/>
        <v>0</v>
      </c>
      <c r="G2061" s="14">
        <f t="shared" si="254"/>
        <v>0</v>
      </c>
      <c r="H2061" s="24">
        <f t="shared" si="260"/>
        <v>715.99652906616564</v>
      </c>
      <c r="I2061" s="12">
        <f t="shared" si="259"/>
        <v>0.17780357299308192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558.34681778904405</v>
      </c>
      <c r="F2062" s="37">
        <f t="shared" si="253"/>
        <v>0</v>
      </c>
      <c r="G2062" s="14">
        <f t="shared" si="254"/>
        <v>0</v>
      </c>
      <c r="H2062" s="24">
        <f t="shared" si="260"/>
        <v>716.16752097016843</v>
      </c>
      <c r="I2062" s="12">
        <f t="shared" si="259"/>
        <v>0.1777269276416045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558.52454471668568</v>
      </c>
      <c r="F2063" s="37">
        <f t="shared" si="253"/>
        <v>0</v>
      </c>
      <c r="G2063" s="14">
        <f t="shared" si="254"/>
        <v>0</v>
      </c>
      <c r="H2063" s="24">
        <f t="shared" si="260"/>
        <v>716.33856734629956</v>
      </c>
      <c r="I2063" s="12">
        <f t="shared" si="259"/>
        <v>0.17765031871202377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558.70219503539772</v>
      </c>
      <c r="F2064" s="37">
        <f t="shared" si="253"/>
        <v>0</v>
      </c>
      <c r="G2064" s="14">
        <f t="shared" si="254"/>
        <v>0</v>
      </c>
      <c r="H2064" s="24">
        <f t="shared" si="260"/>
        <v>716.50966813857917</v>
      </c>
      <c r="I2064" s="12">
        <f t="shared" si="259"/>
        <v>0.17757374620916619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558.87976878160691</v>
      </c>
      <c r="F2065" s="37">
        <f t="shared" si="253"/>
        <v>0</v>
      </c>
      <c r="G2065" s="14">
        <f t="shared" si="254"/>
        <v>0</v>
      </c>
      <c r="H2065" s="24">
        <f t="shared" si="260"/>
        <v>716.68082329101526</v>
      </c>
      <c r="I2065" s="12">
        <f t="shared" si="259"/>
        <v>0.17749721013779757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559.05726599174466</v>
      </c>
      <c r="F2066" s="37">
        <f t="shared" si="253"/>
        <v>0</v>
      </c>
      <c r="G2066" s="14">
        <f t="shared" si="254"/>
        <v>0</v>
      </c>
      <c r="H2066" s="24">
        <f t="shared" si="260"/>
        <v>716.85203274760431</v>
      </c>
      <c r="I2066" s="12">
        <f t="shared" si="259"/>
        <v>0.17742071050262337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559.23468670224725</v>
      </c>
      <c r="F2067" s="37">
        <f t="shared" si="253"/>
        <v>0</v>
      </c>
      <c r="G2067" s="14">
        <f t="shared" si="254"/>
        <v>0</v>
      </c>
      <c r="H2067" s="24">
        <f t="shared" si="260"/>
        <v>717.02329645233067</v>
      </c>
      <c r="I2067" s="12">
        <f t="shared" si="259"/>
        <v>0.17734424730828838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559.41203094955551</v>
      </c>
      <c r="F2068" s="37">
        <f t="shared" ref="F2068:F2131" si="261">Cp*RhoP/(RhoA*H2068)*dp/1000*MassivP</f>
        <v>0</v>
      </c>
      <c r="G2068" s="14">
        <f t="shared" ref="G2068:G2131" si="262">Phi*EpsilonF*Botzman/10^8*J2068*((D2068+273)^4-(E2068+273)^4)</f>
        <v>0</v>
      </c>
      <c r="H2068" s="24">
        <f t="shared" si="260"/>
        <v>717.1946143491673</v>
      </c>
      <c r="I2068" s="12">
        <f t="shared" si="259"/>
        <v>0.17726782055937729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559.58929877011485</v>
      </c>
      <c r="F2069" s="37">
        <f t="shared" si="261"/>
        <v>0</v>
      </c>
      <c r="G2069" s="14">
        <f t="shared" si="262"/>
        <v>0</v>
      </c>
      <c r="H2069" s="24">
        <f t="shared" si="260"/>
        <v>717.36598638207602</v>
      </c>
      <c r="I2069" s="12">
        <f t="shared" ref="I2069:I2132" si="267">LambdaP*MassivP/(dp/1000)/(H2069*RhoA)/(1+F2069/3)*(D2069-E2069)*DeltaT-(EXP(F2069/10)-1)*(D2069-D2068)</f>
        <v>0.17719143026041481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559.7664902003753</v>
      </c>
      <c r="F2070" s="37">
        <f t="shared" si="261"/>
        <v>0</v>
      </c>
      <c r="G2070" s="14">
        <f t="shared" si="262"/>
        <v>0</v>
      </c>
      <c r="H2070" s="24">
        <f t="shared" si="260"/>
        <v>717.53741249500808</v>
      </c>
      <c r="I2070" s="12">
        <f t="shared" si="267"/>
        <v>0.17711507641586521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559.94360527679112</v>
      </c>
      <c r="F2071" s="37">
        <f t="shared" si="261"/>
        <v>0</v>
      </c>
      <c r="G2071" s="14">
        <f t="shared" si="262"/>
        <v>0</v>
      </c>
      <c r="H2071" s="24">
        <f t="shared" si="260"/>
        <v>717.7088926319027</v>
      </c>
      <c r="I2071" s="12">
        <f t="shared" si="267"/>
        <v>0.17703875903013322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560.12064403582121</v>
      </c>
      <c r="F2072" s="37">
        <f t="shared" si="261"/>
        <v>0</v>
      </c>
      <c r="G2072" s="14">
        <f t="shared" si="262"/>
        <v>0</v>
      </c>
      <c r="H2072" s="24">
        <f t="shared" si="260"/>
        <v>717.88042673668929</v>
      </c>
      <c r="I2072" s="12">
        <f t="shared" si="267"/>
        <v>0.17696247810756316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560.29760651392883</v>
      </c>
      <c r="F2073" s="37">
        <f t="shared" si="261"/>
        <v>0</v>
      </c>
      <c r="G2073" s="14">
        <f t="shared" si="262"/>
        <v>0</v>
      </c>
      <c r="H2073" s="24">
        <f t="shared" si="260"/>
        <v>718.0520147532867</v>
      </c>
      <c r="I2073" s="12">
        <f t="shared" si="267"/>
        <v>0.17688623365243983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560.47449274758128</v>
      </c>
      <c r="F2074" s="37">
        <f t="shared" si="261"/>
        <v>0</v>
      </c>
      <c r="G2074" s="14">
        <f t="shared" si="262"/>
        <v>0</v>
      </c>
      <c r="H2074" s="24">
        <f t="shared" si="260"/>
        <v>718.22365662560344</v>
      </c>
      <c r="I2074" s="12">
        <f t="shared" si="267"/>
        <v>0.17681002566898832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560.65130277325022</v>
      </c>
      <c r="F2075" s="37">
        <f t="shared" si="261"/>
        <v>0</v>
      </c>
      <c r="G2075" s="14">
        <f t="shared" si="262"/>
        <v>0</v>
      </c>
      <c r="H2075" s="24">
        <f t="shared" si="260"/>
        <v>718.39535229753801</v>
      </c>
      <c r="I2075" s="12">
        <f t="shared" si="267"/>
        <v>0.17673385416137405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560.82803662741162</v>
      </c>
      <c r="F2076" s="37">
        <f t="shared" si="261"/>
        <v>0</v>
      </c>
      <c r="G2076" s="14">
        <f t="shared" si="262"/>
        <v>0</v>
      </c>
      <c r="H2076" s="24">
        <f t="shared" si="260"/>
        <v>718.5671017129788</v>
      </c>
      <c r="I2076" s="12">
        <f t="shared" si="267"/>
        <v>0.17665771913370307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561.00469434654531</v>
      </c>
      <c r="F2077" s="37">
        <f t="shared" si="261"/>
        <v>0</v>
      </c>
      <c r="G2077" s="14">
        <f t="shared" si="262"/>
        <v>0</v>
      </c>
      <c r="H2077" s="24">
        <f t="shared" si="260"/>
        <v>718.73890481580497</v>
      </c>
      <c r="I2077" s="12">
        <f t="shared" si="267"/>
        <v>0.17658162059002155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561.18127596713532</v>
      </c>
      <c r="F2078" s="37">
        <f t="shared" si="261"/>
        <v>0</v>
      </c>
      <c r="G2078" s="14">
        <f t="shared" si="262"/>
        <v>0</v>
      </c>
      <c r="H2078" s="24">
        <f t="shared" si="260"/>
        <v>718.91076154988627</v>
      </c>
      <c r="I2078" s="12">
        <f t="shared" si="267"/>
        <v>0.17650555853431676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561.35778152566968</v>
      </c>
      <c r="F2079" s="37">
        <f t="shared" si="261"/>
        <v>0</v>
      </c>
      <c r="G2079" s="14">
        <f t="shared" si="262"/>
        <v>0</v>
      </c>
      <c r="H2079" s="24">
        <f t="shared" si="260"/>
        <v>719.08267185908267</v>
      </c>
      <c r="I2079" s="12">
        <f t="shared" si="267"/>
        <v>0.17642953297051664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561.53421105864015</v>
      </c>
      <c r="F2080" s="37">
        <f t="shared" si="261"/>
        <v>0</v>
      </c>
      <c r="G2080" s="14">
        <f t="shared" si="262"/>
        <v>0</v>
      </c>
      <c r="H2080" s="24">
        <f t="shared" si="260"/>
        <v>719.25463568724558</v>
      </c>
      <c r="I2080" s="12">
        <f t="shared" si="267"/>
        <v>0.17635354390248978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561.7105646025426</v>
      </c>
      <c r="F2081" s="37">
        <f t="shared" si="261"/>
        <v>0</v>
      </c>
      <c r="G2081" s="14">
        <f t="shared" si="262"/>
        <v>0</v>
      </c>
      <c r="H2081" s="24">
        <f t="shared" si="260"/>
        <v>719.42665297821736</v>
      </c>
      <c r="I2081" s="12">
        <f t="shared" si="267"/>
        <v>0.17627759133404597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561.88684219387665</v>
      </c>
      <c r="F2082" s="37">
        <f t="shared" si="261"/>
        <v>0</v>
      </c>
      <c r="G2082" s="14">
        <f t="shared" si="262"/>
        <v>0</v>
      </c>
      <c r="H2082" s="24">
        <f t="shared" si="260"/>
        <v>719.59872367583137</v>
      </c>
      <c r="I2082" s="12">
        <f t="shared" si="267"/>
        <v>0.1762016752689359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562.06304386914553</v>
      </c>
      <c r="F2083" s="37">
        <f t="shared" si="261"/>
        <v>0</v>
      </c>
      <c r="G2083" s="14">
        <f t="shared" si="262"/>
        <v>0</v>
      </c>
      <c r="H2083" s="24">
        <f t="shared" si="260"/>
        <v>719.77084772391345</v>
      </c>
      <c r="I2083" s="12">
        <f t="shared" si="267"/>
        <v>0.17612579571085135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562.23916966485638</v>
      </c>
      <c r="F2084" s="37">
        <f t="shared" si="261"/>
        <v>0</v>
      </c>
      <c r="G2084" s="14">
        <f t="shared" si="262"/>
        <v>0</v>
      </c>
      <c r="H2084" s="24">
        <f t="shared" si="260"/>
        <v>719.94302506628037</v>
      </c>
      <c r="I2084" s="12">
        <f t="shared" si="267"/>
        <v>0.1760499526634253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562.41521961751982</v>
      </c>
      <c r="F2085" s="37">
        <f t="shared" si="261"/>
        <v>0</v>
      </c>
      <c r="G2085" s="14">
        <f t="shared" si="262"/>
        <v>0</v>
      </c>
      <c r="H2085" s="24">
        <f t="shared" si="260"/>
        <v>720.11525564674116</v>
      </c>
      <c r="I2085" s="12">
        <f t="shared" si="267"/>
        <v>0.17597414613023221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562.59119376365004</v>
      </c>
      <c r="F2086" s="37">
        <f t="shared" si="261"/>
        <v>0</v>
      </c>
      <c r="G2086" s="14">
        <f t="shared" si="262"/>
        <v>0</v>
      </c>
      <c r="H2086" s="24">
        <f t="shared" si="260"/>
        <v>720.28753940909678</v>
      </c>
      <c r="I2086" s="12">
        <f t="shared" si="267"/>
        <v>0.17589837611478795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562.76709213976483</v>
      </c>
      <c r="F2087" s="37">
        <f t="shared" si="261"/>
        <v>0</v>
      </c>
      <c r="G2087" s="14">
        <f t="shared" si="262"/>
        <v>0</v>
      </c>
      <c r="H2087" s="24">
        <f t="shared" si="260"/>
        <v>720.45987629714068</v>
      </c>
      <c r="I2087" s="12">
        <f t="shared" si="267"/>
        <v>0.17582264262054961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562.9429147823854</v>
      </c>
      <c r="F2088" s="37">
        <f t="shared" si="261"/>
        <v>0</v>
      </c>
      <c r="G2088" s="14">
        <f t="shared" si="262"/>
        <v>0</v>
      </c>
      <c r="H2088" s="24">
        <f t="shared" si="260"/>
        <v>720.63226625465916</v>
      </c>
      <c r="I2088" s="12">
        <f t="shared" si="267"/>
        <v>0.17574694565091614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563.11866172803627</v>
      </c>
      <c r="F2089" s="37">
        <f t="shared" si="261"/>
        <v>0</v>
      </c>
      <c r="G2089" s="14">
        <f t="shared" si="262"/>
        <v>0</v>
      </c>
      <c r="H2089" s="24">
        <f t="shared" si="260"/>
        <v>720.8047092254302</v>
      </c>
      <c r="I2089" s="12">
        <f t="shared" si="267"/>
        <v>0.17567128520922831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563.29433301324548</v>
      </c>
      <c r="F2090" s="37">
        <f t="shared" si="261"/>
        <v>0</v>
      </c>
      <c r="G2090" s="14">
        <f t="shared" si="262"/>
        <v>0</v>
      </c>
      <c r="H2090" s="24">
        <f t="shared" si="260"/>
        <v>720.97720515322601</v>
      </c>
      <c r="I2090" s="12">
        <f t="shared" si="267"/>
        <v>0.17559566129876825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563.46992867454424</v>
      </c>
      <c r="F2091" s="37">
        <f t="shared" si="261"/>
        <v>0</v>
      </c>
      <c r="G2091" s="14">
        <f t="shared" si="262"/>
        <v>0</v>
      </c>
      <c r="H2091" s="24">
        <f t="shared" si="260"/>
        <v>721.14975398181093</v>
      </c>
      <c r="I2091" s="12">
        <f t="shared" si="267"/>
        <v>0.17552007392276031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563.64544874846695</v>
      </c>
      <c r="F2092" s="37">
        <f t="shared" si="261"/>
        <v>0</v>
      </c>
      <c r="G2092" s="14">
        <f t="shared" si="262"/>
        <v>0</v>
      </c>
      <c r="H2092" s="24">
        <f t="shared" si="260"/>
        <v>721.32235565494284</v>
      </c>
      <c r="I2092" s="12">
        <f t="shared" si="267"/>
        <v>0.17544452308437075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563.82089327155131</v>
      </c>
      <c r="F2093" s="37">
        <f t="shared" si="261"/>
        <v>0</v>
      </c>
      <c r="G2093" s="14">
        <f t="shared" si="262"/>
        <v>0</v>
      </c>
      <c r="H2093" s="24">
        <f t="shared" si="260"/>
        <v>721.49501011637335</v>
      </c>
      <c r="I2093" s="12">
        <f t="shared" si="267"/>
        <v>0.17536900878670783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563.99626228033799</v>
      </c>
      <c r="F2094" s="37">
        <f t="shared" si="261"/>
        <v>0</v>
      </c>
      <c r="G2094" s="14">
        <f t="shared" si="262"/>
        <v>0</v>
      </c>
      <c r="H2094" s="24">
        <f t="shared" si="260"/>
        <v>721.66771730984772</v>
      </c>
      <c r="I2094" s="12">
        <f t="shared" si="267"/>
        <v>0.175293531032822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564.17155581137081</v>
      </c>
      <c r="F2095" s="37">
        <f t="shared" si="261"/>
        <v>0</v>
      </c>
      <c r="G2095" s="14">
        <f t="shared" si="262"/>
        <v>0</v>
      </c>
      <c r="H2095" s="24">
        <f t="shared" si="260"/>
        <v>721.84047717910448</v>
      </c>
      <c r="I2095" s="12">
        <f t="shared" si="267"/>
        <v>0.17521808982570614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564.34677390119657</v>
      </c>
      <c r="F2096" s="37">
        <f t="shared" si="261"/>
        <v>0</v>
      </c>
      <c r="G2096" s="14">
        <f t="shared" si="262"/>
        <v>0</v>
      </c>
      <c r="H2096" s="24">
        <f t="shared" si="260"/>
        <v>722.01328966787719</v>
      </c>
      <c r="I2096" s="12">
        <f t="shared" si="267"/>
        <v>0.17514268516829518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564.52191658636491</v>
      </c>
      <c r="F2097" s="37">
        <f t="shared" si="261"/>
        <v>0</v>
      </c>
      <c r="G2097" s="14">
        <f t="shared" si="262"/>
        <v>0</v>
      </c>
      <c r="H2097" s="24">
        <f t="shared" si="260"/>
        <v>722.18615471989278</v>
      </c>
      <c r="I2097" s="12">
        <f t="shared" si="267"/>
        <v>0.17506731706346673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564.69698390342842</v>
      </c>
      <c r="F2098" s="37">
        <f t="shared" si="261"/>
        <v>0</v>
      </c>
      <c r="G2098" s="14">
        <f t="shared" si="262"/>
        <v>0</v>
      </c>
      <c r="H2098" s="24">
        <f t="shared" si="260"/>
        <v>722.35907227887287</v>
      </c>
      <c r="I2098" s="12">
        <f t="shared" si="267"/>
        <v>0.17499198551404108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564.87197588894242</v>
      </c>
      <c r="F2099" s="37">
        <f t="shared" si="261"/>
        <v>0</v>
      </c>
      <c r="G2099" s="14">
        <f t="shared" si="262"/>
        <v>0</v>
      </c>
      <c r="H2099" s="24">
        <f t="shared" si="260"/>
        <v>722.53204228853406</v>
      </c>
      <c r="I2099" s="12">
        <f t="shared" si="267"/>
        <v>0.1749166905227808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565.04689257946518</v>
      </c>
      <c r="F2100" s="37">
        <f t="shared" si="261"/>
        <v>0</v>
      </c>
      <c r="G2100" s="14">
        <f t="shared" si="262"/>
        <v>0</v>
      </c>
      <c r="H2100" s="24">
        <f t="shared" si="260"/>
        <v>722.70506469258703</v>
      </c>
      <c r="I2100" s="12">
        <f t="shared" si="267"/>
        <v>0.17484143209239156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565.2217340115576</v>
      </c>
      <c r="F2101" s="37">
        <f t="shared" si="261"/>
        <v>0</v>
      </c>
      <c r="G2101" s="14">
        <f t="shared" si="262"/>
        <v>0</v>
      </c>
      <c r="H2101" s="24">
        <f t="shared" si="260"/>
        <v>722.87813943473861</v>
      </c>
      <c r="I2101" s="12">
        <f t="shared" si="267"/>
        <v>0.17476621022552138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565.39650022178307</v>
      </c>
      <c r="F2102" s="37">
        <f t="shared" si="261"/>
        <v>0</v>
      </c>
      <c r="G2102" s="14">
        <f t="shared" si="262"/>
        <v>0</v>
      </c>
      <c r="H2102" s="24">
        <f t="shared" si="260"/>
        <v>723.0512664586895</v>
      </c>
      <c r="I2102" s="12">
        <f t="shared" si="267"/>
        <v>0.17469102492476188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565.57119124670783</v>
      </c>
      <c r="F2103" s="37">
        <f t="shared" si="261"/>
        <v>0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723.22444570813639</v>
      </c>
      <c r="I2103" s="12">
        <f t="shared" si="267"/>
        <v>0.17461587619264718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565.74580712290049</v>
      </c>
      <c r="F2104" s="37">
        <f t="shared" si="261"/>
        <v>0</v>
      </c>
      <c r="G2104" s="14">
        <f t="shared" si="262"/>
        <v>0</v>
      </c>
      <c r="H2104" s="24">
        <f t="shared" si="268"/>
        <v>723.3976771267719</v>
      </c>
      <c r="I2104" s="12">
        <f t="shared" si="267"/>
        <v>0.17454076403165464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565.92034788693218</v>
      </c>
      <c r="F2105" s="37">
        <f t="shared" si="261"/>
        <v>0</v>
      </c>
      <c r="G2105" s="14">
        <f t="shared" si="262"/>
        <v>0</v>
      </c>
      <c r="H2105" s="24">
        <f t="shared" si="268"/>
        <v>723.57096065828387</v>
      </c>
      <c r="I2105" s="12">
        <f t="shared" si="267"/>
        <v>0.17446568844420507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566.09481357537641</v>
      </c>
      <c r="F2106" s="37">
        <f t="shared" si="261"/>
        <v>0</v>
      </c>
      <c r="G2106" s="14">
        <f t="shared" si="262"/>
        <v>0</v>
      </c>
      <c r="H2106" s="24">
        <f t="shared" si="268"/>
        <v>723.74429624635582</v>
      </c>
      <c r="I2106" s="12">
        <f t="shared" si="267"/>
        <v>0.1743906494326623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566.26920422480907</v>
      </c>
      <c r="F2107" s="37">
        <f t="shared" si="261"/>
        <v>0</v>
      </c>
      <c r="G2107" s="14">
        <f t="shared" si="262"/>
        <v>0</v>
      </c>
      <c r="H2107" s="24">
        <f t="shared" si="268"/>
        <v>723.9176838346682</v>
      </c>
      <c r="I2107" s="12">
        <f t="shared" si="267"/>
        <v>0.17431564699933375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566.44351987180846</v>
      </c>
      <c r="F2108" s="37">
        <f t="shared" si="261"/>
        <v>0</v>
      </c>
      <c r="G2108" s="14">
        <f t="shared" si="262"/>
        <v>0</v>
      </c>
      <c r="H2108" s="24">
        <f t="shared" si="268"/>
        <v>724.09112336689668</v>
      </c>
      <c r="I2108" s="12">
        <f t="shared" si="267"/>
        <v>0.17424068114647034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566.61776055295491</v>
      </c>
      <c r="F2109" s="37">
        <f t="shared" si="261"/>
        <v>0</v>
      </c>
      <c r="G2109" s="14">
        <f t="shared" si="262"/>
        <v>0</v>
      </c>
      <c r="H2109" s="24">
        <f t="shared" si="268"/>
        <v>724.26461478671433</v>
      </c>
      <c r="I2109" s="12">
        <f t="shared" si="267"/>
        <v>0.17416575187626659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566.79192630483112</v>
      </c>
      <c r="F2110" s="37">
        <f t="shared" si="261"/>
        <v>0</v>
      </c>
      <c r="G2110" s="14">
        <f t="shared" si="262"/>
        <v>0</v>
      </c>
      <c r="H2110" s="24">
        <f t="shared" si="268"/>
        <v>724.43815803779046</v>
      </c>
      <c r="I2110" s="12">
        <f t="shared" si="267"/>
        <v>0.17409085919086073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566.96601716402199</v>
      </c>
      <c r="F2111" s="37">
        <f t="shared" si="261"/>
        <v>0</v>
      </c>
      <c r="G2111" s="14">
        <f t="shared" si="262"/>
        <v>0</v>
      </c>
      <c r="H2111" s="24">
        <f t="shared" si="268"/>
        <v>724.61175306379118</v>
      </c>
      <c r="I2111" s="12">
        <f t="shared" si="267"/>
        <v>0.1740160030923345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567.14003316711432</v>
      </c>
      <c r="F2112" s="37">
        <f t="shared" si="261"/>
        <v>0</v>
      </c>
      <c r="G2112" s="14">
        <f t="shared" si="262"/>
        <v>0</v>
      </c>
      <c r="H2112" s="24">
        <f t="shared" si="268"/>
        <v>724.78539980837968</v>
      </c>
      <c r="I2112" s="12">
        <f t="shared" si="267"/>
        <v>0.17394118358271404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567.31397435069709</v>
      </c>
      <c r="F2113" s="37">
        <f t="shared" si="261"/>
        <v>0</v>
      </c>
      <c r="G2113" s="14">
        <f t="shared" si="262"/>
        <v>0</v>
      </c>
      <c r="H2113" s="24">
        <f t="shared" si="268"/>
        <v>724.95909821521673</v>
      </c>
      <c r="I2113" s="12">
        <f t="shared" si="267"/>
        <v>0.17386640066396908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567.48784075136109</v>
      </c>
      <c r="F2114" s="37">
        <f t="shared" si="261"/>
        <v>0</v>
      </c>
      <c r="G2114" s="14">
        <f t="shared" si="262"/>
        <v>0</v>
      </c>
      <c r="H2114" s="24">
        <f t="shared" si="268"/>
        <v>725.13284822795958</v>
      </c>
      <c r="I2114" s="12">
        <f t="shared" si="267"/>
        <v>0.17379165433801372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567.66163240569915</v>
      </c>
      <c r="F2115" s="37">
        <f t="shared" si="261"/>
        <v>0</v>
      </c>
      <c r="G2115" s="14">
        <f t="shared" si="262"/>
        <v>0</v>
      </c>
      <c r="H2115" s="24">
        <f t="shared" si="268"/>
        <v>725.30664979026392</v>
      </c>
      <c r="I2115" s="12">
        <f t="shared" si="267"/>
        <v>0.17371694460670592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567.83534935030582</v>
      </c>
      <c r="F2116" s="37">
        <f t="shared" si="261"/>
        <v>0</v>
      </c>
      <c r="G2116" s="14">
        <f t="shared" si="262"/>
        <v>0</v>
      </c>
      <c r="H2116" s="24">
        <f t="shared" si="268"/>
        <v>725.48050284578244</v>
      </c>
      <c r="I2116" s="12">
        <f t="shared" si="267"/>
        <v>0.17364227147184841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568.00899162177768</v>
      </c>
      <c r="F2117" s="37">
        <f t="shared" si="261"/>
        <v>0</v>
      </c>
      <c r="G2117" s="14">
        <f t="shared" si="262"/>
        <v>0</v>
      </c>
      <c r="H2117" s="24">
        <f t="shared" si="268"/>
        <v>725.65440733816604</v>
      </c>
      <c r="I2117" s="12">
        <f t="shared" si="267"/>
        <v>0.17356763493518784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568.18255925671292</v>
      </c>
      <c r="F2118" s="37">
        <f t="shared" si="261"/>
        <v>0</v>
      </c>
      <c r="G2118" s="14">
        <f t="shared" si="262"/>
        <v>0</v>
      </c>
      <c r="H2118" s="24">
        <f t="shared" si="268"/>
        <v>725.82836321106424</v>
      </c>
      <c r="I2118" s="12">
        <f t="shared" si="267"/>
        <v>0.17349303499841537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568.35605229171131</v>
      </c>
      <c r="F2119" s="37">
        <f t="shared" si="261"/>
        <v>0</v>
      </c>
      <c r="G2119" s="14">
        <f t="shared" si="262"/>
        <v>0</v>
      </c>
      <c r="H2119" s="24">
        <f t="shared" si="268"/>
        <v>726.00237040812362</v>
      </c>
      <c r="I2119" s="12">
        <f t="shared" si="267"/>
        <v>0.17341847166316701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568.52947076337443</v>
      </c>
      <c r="F2120" s="37">
        <f t="shared" si="261"/>
        <v>0</v>
      </c>
      <c r="G2120" s="14">
        <f t="shared" si="262"/>
        <v>0</v>
      </c>
      <c r="H2120" s="24">
        <f t="shared" si="268"/>
        <v>726.1764288729903</v>
      </c>
      <c r="I2120" s="12">
        <f t="shared" si="267"/>
        <v>0.1733439449310234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568.70281470830548</v>
      </c>
      <c r="F2121" s="37">
        <f t="shared" si="261"/>
        <v>0</v>
      </c>
      <c r="G2121" s="14">
        <f t="shared" si="262"/>
        <v>0</v>
      </c>
      <c r="H2121" s="24">
        <f t="shared" si="268"/>
        <v>726.35053854930857</v>
      </c>
      <c r="I2121" s="12">
        <f t="shared" si="267"/>
        <v>0.17326945480350966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568.876084163109</v>
      </c>
      <c r="F2122" s="37">
        <f t="shared" si="261"/>
        <v>0</v>
      </c>
      <c r="G2122" s="14">
        <f t="shared" si="262"/>
        <v>0</v>
      </c>
      <c r="H2122" s="24">
        <f t="shared" si="268"/>
        <v>726.52469938072159</v>
      </c>
      <c r="I2122" s="12">
        <f t="shared" si="267"/>
        <v>0.17319500128209603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569.04927916439112</v>
      </c>
      <c r="F2123" s="37">
        <f t="shared" si="261"/>
        <v>0</v>
      </c>
      <c r="G2123" s="14">
        <f t="shared" si="262"/>
        <v>0</v>
      </c>
      <c r="H2123" s="24">
        <f t="shared" si="268"/>
        <v>726.69891131087115</v>
      </c>
      <c r="I2123" s="12">
        <f t="shared" si="267"/>
        <v>0.17312058436819761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569.22239974875936</v>
      </c>
      <c r="F2124" s="37">
        <f t="shared" si="261"/>
        <v>0</v>
      </c>
      <c r="G2124" s="14">
        <f t="shared" si="262"/>
        <v>0</v>
      </c>
      <c r="H2124" s="24">
        <f t="shared" si="268"/>
        <v>726.8731742833985</v>
      </c>
      <c r="I2124" s="12">
        <f t="shared" si="267"/>
        <v>0.17304620406317467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569.39544595282257</v>
      </c>
      <c r="F2125" s="37">
        <f t="shared" si="261"/>
        <v>0</v>
      </c>
      <c r="G2125" s="14">
        <f t="shared" si="262"/>
        <v>0</v>
      </c>
      <c r="H2125" s="24">
        <f t="shared" si="268"/>
        <v>727.04748824194417</v>
      </c>
      <c r="I2125" s="12">
        <f t="shared" si="267"/>
        <v>0.1729718603683324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569.56841781319088</v>
      </c>
      <c r="F2126" s="37">
        <f t="shared" si="261"/>
        <v>0</v>
      </c>
      <c r="G2126" s="14">
        <f t="shared" si="262"/>
        <v>0</v>
      </c>
      <c r="H2126" s="24">
        <f t="shared" si="268"/>
        <v>727.22185313014825</v>
      </c>
      <c r="I2126" s="12">
        <f t="shared" si="267"/>
        <v>0.17289755328492146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569.74131536647576</v>
      </c>
      <c r="F2127" s="37">
        <f t="shared" si="261"/>
        <v>0</v>
      </c>
      <c r="G2127" s="14">
        <f t="shared" si="262"/>
        <v>0</v>
      </c>
      <c r="H2127" s="24">
        <f t="shared" si="268"/>
        <v>727.39626889165015</v>
      </c>
      <c r="I2127" s="12">
        <f t="shared" si="267"/>
        <v>0.172823282814138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569.91413864928995</v>
      </c>
      <c r="F2128" s="37">
        <f t="shared" si="261"/>
        <v>0</v>
      </c>
      <c r="G2128" s="14">
        <f t="shared" si="262"/>
        <v>0</v>
      </c>
      <c r="H2128" s="24">
        <f t="shared" si="268"/>
        <v>727.5707354700894</v>
      </c>
      <c r="I2128" s="12">
        <f t="shared" si="267"/>
        <v>0.17274904895712317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570.0868876982471</v>
      </c>
      <c r="F2129" s="37">
        <f t="shared" si="261"/>
        <v>0</v>
      </c>
      <c r="G2129" s="14">
        <f t="shared" si="262"/>
        <v>0</v>
      </c>
      <c r="H2129" s="24">
        <f t="shared" si="268"/>
        <v>727.74525280910552</v>
      </c>
      <c r="I2129" s="12">
        <f t="shared" si="267"/>
        <v>0.17267485171496399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570.25956254996208</v>
      </c>
      <c r="F2130" s="37">
        <f t="shared" si="261"/>
        <v>0</v>
      </c>
      <c r="G2130" s="14">
        <f t="shared" si="262"/>
        <v>0</v>
      </c>
      <c r="H2130" s="24">
        <f t="shared" si="268"/>
        <v>727.91982085233781</v>
      </c>
      <c r="I2130" s="12">
        <f t="shared" si="267"/>
        <v>0.17260069108869305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570.43216324105083</v>
      </c>
      <c r="F2131" s="37">
        <f t="shared" si="261"/>
        <v>0</v>
      </c>
      <c r="G2131" s="14">
        <f t="shared" si="262"/>
        <v>0</v>
      </c>
      <c r="H2131" s="24">
        <f t="shared" si="268"/>
        <v>728.09443954342669</v>
      </c>
      <c r="I2131" s="12">
        <f t="shared" si="267"/>
        <v>0.17252656707928873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570.60468980813016</v>
      </c>
      <c r="F2132" s="37">
        <f t="shared" ref="F2132:F2195" si="269">Cp*RhoP/(RhoA*H2132)*dp/1000*MassivP</f>
        <v>0</v>
      </c>
      <c r="G2132" s="14">
        <f t="shared" ref="G2132:G2195" si="270">Phi*EpsilonF*Botzman/10^8*J2132*((D2132+273)^4-(E2132+273)^4)</f>
        <v>0</v>
      </c>
      <c r="H2132" s="24">
        <f t="shared" si="268"/>
        <v>728.26910882601214</v>
      </c>
      <c r="I2132" s="12">
        <f t="shared" si="267"/>
        <v>0.17245247968767505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570.77714228781781</v>
      </c>
      <c r="F2133" s="37">
        <f t="shared" si="269"/>
        <v>0</v>
      </c>
      <c r="G2133" s="14">
        <f t="shared" si="270"/>
        <v>0</v>
      </c>
      <c r="H2133" s="24">
        <f t="shared" si="268"/>
        <v>728.4438286437354</v>
      </c>
      <c r="I2133" s="12">
        <f t="shared" ref="I2133:I2196" si="275">LambdaP*MassivP/(dp/1000)/(H2133*RhoA)/(1+F2133/3)*(D2133-E2133)*DeltaT-(EXP(F2133/10)-1)*(D2133-D2132)</f>
        <v>0.17237842891472233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570.94952071673254</v>
      </c>
      <c r="F2134" s="37">
        <f t="shared" si="269"/>
        <v>0</v>
      </c>
      <c r="G2134" s="14">
        <f t="shared" si="270"/>
        <v>0</v>
      </c>
      <c r="H2134" s="24">
        <f t="shared" si="268"/>
        <v>728.6185989402386</v>
      </c>
      <c r="I2134" s="12">
        <f t="shared" si="275"/>
        <v>0.17230441476124658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571.12182513149378</v>
      </c>
      <c r="F2135" s="37">
        <f t="shared" si="269"/>
        <v>0</v>
      </c>
      <c r="G2135" s="14">
        <f t="shared" si="270"/>
        <v>0</v>
      </c>
      <c r="H2135" s="24">
        <f t="shared" si="268"/>
        <v>728.79341965916421</v>
      </c>
      <c r="I2135" s="12">
        <f t="shared" si="275"/>
        <v>0.17223043722801029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571.29405556872177</v>
      </c>
      <c r="F2136" s="37">
        <f t="shared" si="269"/>
        <v>0</v>
      </c>
      <c r="G2136" s="14">
        <f t="shared" si="270"/>
        <v>0</v>
      </c>
      <c r="H2136" s="24">
        <f t="shared" si="268"/>
        <v>728.968290744157</v>
      </c>
      <c r="I2136" s="12">
        <f t="shared" si="275"/>
        <v>0.17215649631572155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571.46621206503744</v>
      </c>
      <c r="F2137" s="37">
        <f t="shared" si="269"/>
        <v>0</v>
      </c>
      <c r="G2137" s="14">
        <f t="shared" si="270"/>
        <v>0</v>
      </c>
      <c r="H2137" s="24">
        <f t="shared" si="268"/>
        <v>729.14321213886183</v>
      </c>
      <c r="I2137" s="12">
        <f t="shared" si="275"/>
        <v>0.1720825920250357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571.63829465706249</v>
      </c>
      <c r="F2138" s="37">
        <f t="shared" si="269"/>
        <v>0</v>
      </c>
      <c r="G2138" s="14">
        <f t="shared" si="270"/>
        <v>0</v>
      </c>
      <c r="H2138" s="24">
        <f t="shared" si="268"/>
        <v>729.31818378692628</v>
      </c>
      <c r="I2138" s="12">
        <f t="shared" si="275"/>
        <v>0.17200872435655354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571.81030338141909</v>
      </c>
      <c r="F2139" s="37">
        <f t="shared" si="269"/>
        <v>0</v>
      </c>
      <c r="G2139" s="14">
        <f t="shared" si="270"/>
        <v>0</v>
      </c>
      <c r="H2139" s="24">
        <f t="shared" si="268"/>
        <v>729.49320563199876</v>
      </c>
      <c r="I2139" s="12">
        <f t="shared" si="275"/>
        <v>0.17193489331082307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571.98223827472987</v>
      </c>
      <c r="F2140" s="37">
        <f t="shared" si="269"/>
        <v>0</v>
      </c>
      <c r="G2140" s="14">
        <f t="shared" si="270"/>
        <v>0</v>
      </c>
      <c r="H2140" s="24">
        <f t="shared" si="268"/>
        <v>729.66827761772959</v>
      </c>
      <c r="I2140" s="12">
        <f t="shared" si="275"/>
        <v>0.17186109888833878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572.15409937361824</v>
      </c>
      <c r="F2141" s="37">
        <f t="shared" si="269"/>
        <v>0</v>
      </c>
      <c r="G2141" s="14">
        <f t="shared" si="270"/>
        <v>0</v>
      </c>
      <c r="H2141" s="24">
        <f t="shared" si="268"/>
        <v>729.84339968777158</v>
      </c>
      <c r="I2141" s="12">
        <f t="shared" si="275"/>
        <v>0.17178734108954177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572.32588671470774</v>
      </c>
      <c r="F2142" s="37">
        <f t="shared" si="269"/>
        <v>0</v>
      </c>
      <c r="G2142" s="14">
        <f t="shared" si="270"/>
        <v>0</v>
      </c>
      <c r="H2142" s="24">
        <f t="shared" si="268"/>
        <v>730.01857178577893</v>
      </c>
      <c r="I2142" s="12">
        <f t="shared" si="275"/>
        <v>0.17171361991481998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572.49760033462258</v>
      </c>
      <c r="F2143" s="37">
        <f t="shared" si="269"/>
        <v>0</v>
      </c>
      <c r="G2143" s="14">
        <f t="shared" si="270"/>
        <v>0</v>
      </c>
      <c r="H2143" s="24">
        <f t="shared" si="268"/>
        <v>730.19379385540924</v>
      </c>
      <c r="I2143" s="12">
        <f t="shared" si="275"/>
        <v>0.17163993536450819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572.66924026998709</v>
      </c>
      <c r="F2144" s="37">
        <f t="shared" si="269"/>
        <v>0</v>
      </c>
      <c r="G2144" s="14">
        <f t="shared" si="270"/>
        <v>0</v>
      </c>
      <c r="H2144" s="24">
        <f t="shared" si="268"/>
        <v>730.3690658403217</v>
      </c>
      <c r="I2144" s="12">
        <f t="shared" si="275"/>
        <v>0.17156628743888847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572.84080655742594</v>
      </c>
      <c r="F2145" s="37">
        <f t="shared" si="269"/>
        <v>0</v>
      </c>
      <c r="G2145" s="14">
        <f t="shared" si="270"/>
        <v>0</v>
      </c>
      <c r="H2145" s="24">
        <f t="shared" si="268"/>
        <v>730.54438768417867</v>
      </c>
      <c r="I2145" s="12">
        <f t="shared" si="275"/>
        <v>0.17149267613818969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573.01229923356414</v>
      </c>
      <c r="F2146" s="37">
        <f t="shared" si="269"/>
        <v>0</v>
      </c>
      <c r="G2146" s="14">
        <f t="shared" si="270"/>
        <v>0</v>
      </c>
      <c r="H2146" s="24">
        <f t="shared" si="268"/>
        <v>730.71975933064482</v>
      </c>
      <c r="I2146" s="12">
        <f t="shared" si="275"/>
        <v>0.17141910146258821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573.1837183350267</v>
      </c>
      <c r="F2147" s="37">
        <f t="shared" si="269"/>
        <v>0</v>
      </c>
      <c r="G2147" s="14">
        <f t="shared" si="270"/>
        <v>0</v>
      </c>
      <c r="H2147" s="24">
        <f t="shared" si="268"/>
        <v>730.89518072338842</v>
      </c>
      <c r="I2147" s="12">
        <f t="shared" si="275"/>
        <v>0.17134556341220736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573.35506389843886</v>
      </c>
      <c r="F2148" s="37">
        <f t="shared" si="269"/>
        <v>0</v>
      </c>
      <c r="G2148" s="14">
        <f t="shared" si="270"/>
        <v>0</v>
      </c>
      <c r="H2148" s="24">
        <f t="shared" si="268"/>
        <v>731.07065180608038</v>
      </c>
      <c r="I2148" s="12">
        <f t="shared" si="275"/>
        <v>0.17127206198711825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573.52633596042597</v>
      </c>
      <c r="F2149" s="37">
        <f t="shared" si="269"/>
        <v>0</v>
      </c>
      <c r="G2149" s="14">
        <f t="shared" si="270"/>
        <v>0</v>
      </c>
      <c r="H2149" s="24">
        <f t="shared" si="268"/>
        <v>731.24617252239534</v>
      </c>
      <c r="I2149" s="12">
        <f t="shared" si="275"/>
        <v>0.17119859718733935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573.69753455761327</v>
      </c>
      <c r="F2150" s="37">
        <f t="shared" si="269"/>
        <v>0</v>
      </c>
      <c r="G2150" s="14">
        <f t="shared" si="270"/>
        <v>0</v>
      </c>
      <c r="H2150" s="24">
        <f t="shared" si="268"/>
        <v>731.42174281601115</v>
      </c>
      <c r="I2150" s="12">
        <f t="shared" si="275"/>
        <v>0.17112516901283653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573.86865972662611</v>
      </c>
      <c r="F2151" s="37">
        <f t="shared" si="269"/>
        <v>0</v>
      </c>
      <c r="G2151" s="14">
        <f t="shared" si="270"/>
        <v>0</v>
      </c>
      <c r="H2151" s="24">
        <f t="shared" si="268"/>
        <v>731.59736263060938</v>
      </c>
      <c r="I2151" s="12">
        <f t="shared" si="275"/>
        <v>0.17105177746352371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574.03971150408961</v>
      </c>
      <c r="F2152" s="37">
        <f t="shared" si="269"/>
        <v>0</v>
      </c>
      <c r="G2152" s="14">
        <f t="shared" si="270"/>
        <v>0</v>
      </c>
      <c r="H2152" s="24">
        <f t="shared" si="268"/>
        <v>731.77303190987504</v>
      </c>
      <c r="I2152" s="12">
        <f t="shared" si="275"/>
        <v>0.17097842253926254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574.2106899266289</v>
      </c>
      <c r="F2153" s="37">
        <f t="shared" si="269"/>
        <v>0</v>
      </c>
      <c r="G2153" s="14">
        <f t="shared" si="270"/>
        <v>0</v>
      </c>
      <c r="H2153" s="24">
        <f t="shared" si="268"/>
        <v>731.94875059749768</v>
      </c>
      <c r="I2153" s="12">
        <f t="shared" si="275"/>
        <v>0.17090510423986224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574.38159503086877</v>
      </c>
      <c r="F2154" s="37">
        <f t="shared" si="269"/>
        <v>0</v>
      </c>
      <c r="G2154" s="14">
        <f t="shared" si="270"/>
        <v>0</v>
      </c>
      <c r="H2154" s="24">
        <f t="shared" si="268"/>
        <v>732.12451863717047</v>
      </c>
      <c r="I2154" s="12">
        <f t="shared" si="275"/>
        <v>0.17083182256508045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574.55242685343387</v>
      </c>
      <c r="F2155" s="37">
        <f t="shared" si="269"/>
        <v>0</v>
      </c>
      <c r="G2155" s="14">
        <f t="shared" si="270"/>
        <v>0</v>
      </c>
      <c r="H2155" s="24">
        <f t="shared" si="268"/>
        <v>732.30033597259126</v>
      </c>
      <c r="I2155" s="12">
        <f t="shared" si="275"/>
        <v>0.17075857751462284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574.72318543094855</v>
      </c>
      <c r="F2156" s="37">
        <f t="shared" si="269"/>
        <v>0</v>
      </c>
      <c r="G2156" s="14">
        <f t="shared" si="270"/>
        <v>0</v>
      </c>
      <c r="H2156" s="24">
        <f t="shared" si="268"/>
        <v>732.47620254746175</v>
      </c>
      <c r="I2156" s="12">
        <f t="shared" si="275"/>
        <v>0.17068536908814308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574.89387080003667</v>
      </c>
      <c r="F2157" s="37">
        <f t="shared" si="269"/>
        <v>0</v>
      </c>
      <c r="G2157" s="14">
        <f t="shared" si="270"/>
        <v>0</v>
      </c>
      <c r="H2157" s="24">
        <f t="shared" si="268"/>
        <v>732.65211830548856</v>
      </c>
      <c r="I2157" s="12">
        <f t="shared" si="275"/>
        <v>0.17061219728524313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575.06448299732187</v>
      </c>
      <c r="F2158" s="37">
        <f t="shared" si="269"/>
        <v>0</v>
      </c>
      <c r="G2158" s="14">
        <f t="shared" si="270"/>
        <v>0</v>
      </c>
      <c r="H2158" s="24">
        <f t="shared" si="268"/>
        <v>732.82808319038315</v>
      </c>
      <c r="I2158" s="12">
        <f t="shared" si="275"/>
        <v>0.1705390621054737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575.23502205942737</v>
      </c>
      <c r="F2159" s="37">
        <f t="shared" si="269"/>
        <v>0</v>
      </c>
      <c r="G2159" s="14">
        <f t="shared" si="270"/>
        <v>0</v>
      </c>
      <c r="H2159" s="24">
        <f t="shared" si="268"/>
        <v>733.00409714586203</v>
      </c>
      <c r="I2159" s="12">
        <f t="shared" si="275"/>
        <v>0.17046596354833352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575.40548802297565</v>
      </c>
      <c r="F2160" s="37">
        <f t="shared" si="269"/>
        <v>0</v>
      </c>
      <c r="G2160" s="14">
        <f t="shared" si="270"/>
        <v>0</v>
      </c>
      <c r="H2160" s="24">
        <f t="shared" si="268"/>
        <v>733.18016011564578</v>
      </c>
      <c r="I2160" s="12">
        <f t="shared" si="275"/>
        <v>0.17039290161327034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575.57588092458889</v>
      </c>
      <c r="F2161" s="37">
        <f t="shared" si="269"/>
        <v>0</v>
      </c>
      <c r="G2161" s="14">
        <f t="shared" si="270"/>
        <v>0</v>
      </c>
      <c r="H2161" s="24">
        <f t="shared" si="268"/>
        <v>733.35627204346133</v>
      </c>
      <c r="I2161" s="12">
        <f t="shared" si="275"/>
        <v>0.17031987629968032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575.74620080088857</v>
      </c>
      <c r="F2162" s="37">
        <f t="shared" si="269"/>
        <v>0</v>
      </c>
      <c r="G2162" s="14">
        <f t="shared" si="270"/>
        <v>0</v>
      </c>
      <c r="H2162" s="24">
        <f t="shared" si="268"/>
        <v>733.53243287304008</v>
      </c>
      <c r="I2162" s="12">
        <f t="shared" si="275"/>
        <v>0.17024688760690854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575.91644768849551</v>
      </c>
      <c r="F2163" s="37">
        <f t="shared" si="269"/>
        <v>0</v>
      </c>
      <c r="G2163" s="14">
        <f t="shared" si="270"/>
        <v>0</v>
      </c>
      <c r="H2163" s="24">
        <f t="shared" si="268"/>
        <v>733.70864254811954</v>
      </c>
      <c r="I2163" s="12">
        <f t="shared" si="275"/>
        <v>0.17017393553424895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576.0866216240297</v>
      </c>
      <c r="F2164" s="37">
        <f t="shared" si="269"/>
        <v>0</v>
      </c>
      <c r="G2164" s="14">
        <f t="shared" si="270"/>
        <v>0</v>
      </c>
      <c r="H2164" s="24">
        <f t="shared" si="268"/>
        <v>733.8849010124427</v>
      </c>
      <c r="I2164" s="12">
        <f t="shared" si="275"/>
        <v>0.17010102008094444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576.2567226441106</v>
      </c>
      <c r="F2165" s="37">
        <f t="shared" si="269"/>
        <v>0</v>
      </c>
      <c r="G2165" s="14">
        <f t="shared" si="270"/>
        <v>0</v>
      </c>
      <c r="H2165" s="24">
        <f t="shared" si="268"/>
        <v>734.06120820975821</v>
      </c>
      <c r="I2165" s="12">
        <f t="shared" si="275"/>
        <v>0.17002814124618704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576.42675078535683</v>
      </c>
      <c r="F2166" s="37">
        <f t="shared" si="269"/>
        <v>0</v>
      </c>
      <c r="G2166" s="14">
        <f t="shared" si="270"/>
        <v>0</v>
      </c>
      <c r="H2166" s="24">
        <f t="shared" si="268"/>
        <v>734.23756408382064</v>
      </c>
      <c r="I2166" s="12">
        <f t="shared" si="275"/>
        <v>0.16995529902911799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576.59670608438591</v>
      </c>
      <c r="F2167" s="37">
        <f t="shared" si="269"/>
        <v>0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734.41396857839095</v>
      </c>
      <c r="I2167" s="12">
        <f t="shared" si="275"/>
        <v>0.16988249342882766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576.76658857781479</v>
      </c>
      <c r="F2168" s="37">
        <f t="shared" si="269"/>
        <v>0</v>
      </c>
      <c r="G2168" s="14">
        <f t="shared" si="270"/>
        <v>0</v>
      </c>
      <c r="H2168" s="24">
        <f t="shared" si="276"/>
        <v>734.59042163723643</v>
      </c>
      <c r="I2168" s="12">
        <f t="shared" si="275"/>
        <v>0.16980972444435613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576.93639830225914</v>
      </c>
      <c r="F2169" s="37">
        <f t="shared" si="269"/>
        <v>0</v>
      </c>
      <c r="G2169" s="14">
        <f t="shared" si="270"/>
        <v>0</v>
      </c>
      <c r="H2169" s="24">
        <f t="shared" si="276"/>
        <v>734.76692320413008</v>
      </c>
      <c r="I2169" s="12">
        <f t="shared" si="275"/>
        <v>0.16973699207469251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577.10613529433385</v>
      </c>
      <c r="F2170" s="37">
        <f t="shared" si="269"/>
        <v>0</v>
      </c>
      <c r="G2170" s="14">
        <f t="shared" si="270"/>
        <v>0</v>
      </c>
      <c r="H2170" s="24">
        <f t="shared" si="276"/>
        <v>734.94347322285216</v>
      </c>
      <c r="I2170" s="12">
        <f t="shared" si="275"/>
        <v>0.169664296318776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577.27579959065258</v>
      </c>
      <c r="F2171" s="37">
        <f t="shared" si="269"/>
        <v>0</v>
      </c>
      <c r="G2171" s="14">
        <f t="shared" si="270"/>
        <v>0</v>
      </c>
      <c r="H2171" s="24">
        <f t="shared" si="276"/>
        <v>735.12007163718931</v>
      </c>
      <c r="I2171" s="12">
        <f t="shared" si="275"/>
        <v>0.16959163717549514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577.44539122782805</v>
      </c>
      <c r="F2172" s="37">
        <f t="shared" si="269"/>
        <v>0</v>
      </c>
      <c r="G2172" s="14">
        <f t="shared" si="270"/>
        <v>0</v>
      </c>
      <c r="H2172" s="24">
        <f t="shared" si="276"/>
        <v>735.29671839093544</v>
      </c>
      <c r="I2172" s="12">
        <f t="shared" si="275"/>
        <v>0.16951901464368824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577.61491024247175</v>
      </c>
      <c r="F2173" s="37">
        <f t="shared" si="269"/>
        <v>0</v>
      </c>
      <c r="G2173" s="14">
        <f t="shared" si="270"/>
        <v>0</v>
      </c>
      <c r="H2173" s="24">
        <f t="shared" si="276"/>
        <v>735.47341342789082</v>
      </c>
      <c r="I2173" s="12">
        <f t="shared" si="275"/>
        <v>0.16944642872214369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577.7843566711939</v>
      </c>
      <c r="F2174" s="37">
        <f t="shared" si="269"/>
        <v>0</v>
      </c>
      <c r="G2174" s="14">
        <f t="shared" si="270"/>
        <v>0</v>
      </c>
      <c r="H2174" s="24">
        <f t="shared" si="276"/>
        <v>735.65015669186334</v>
      </c>
      <c r="I2174" s="12">
        <f t="shared" si="275"/>
        <v>0.16937387940959972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577.9537305506035</v>
      </c>
      <c r="F2175" s="37">
        <f t="shared" si="269"/>
        <v>0</v>
      </c>
      <c r="G2175" s="14">
        <f t="shared" si="270"/>
        <v>0</v>
      </c>
      <c r="H2175" s="24">
        <f t="shared" si="276"/>
        <v>735.82694812666796</v>
      </c>
      <c r="I2175" s="12">
        <f t="shared" si="275"/>
        <v>0.16930136670474472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578.12303191730825</v>
      </c>
      <c r="F2176" s="37">
        <f t="shared" si="269"/>
        <v>0</v>
      </c>
      <c r="G2176" s="14">
        <f t="shared" si="270"/>
        <v>0</v>
      </c>
      <c r="H2176" s="24">
        <f t="shared" si="276"/>
        <v>736.00378767612733</v>
      </c>
      <c r="I2176" s="12">
        <f t="shared" si="275"/>
        <v>0.16922889060621732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578.29226080791443</v>
      </c>
      <c r="F2177" s="37">
        <f t="shared" si="269"/>
        <v>0</v>
      </c>
      <c r="G2177" s="14">
        <f t="shared" si="270"/>
        <v>0</v>
      </c>
      <c r="H2177" s="24">
        <f t="shared" si="276"/>
        <v>736.1806752840713</v>
      </c>
      <c r="I2177" s="12">
        <f t="shared" si="275"/>
        <v>0.16915645111260608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578.46141725902703</v>
      </c>
      <c r="F2178" s="37">
        <f t="shared" si="269"/>
        <v>0</v>
      </c>
      <c r="G2178" s="14">
        <f t="shared" si="270"/>
        <v>0</v>
      </c>
      <c r="H2178" s="24">
        <f t="shared" si="276"/>
        <v>736.35761089433799</v>
      </c>
      <c r="I2178" s="12">
        <f t="shared" si="275"/>
        <v>0.16908404822245043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578.63050130724946</v>
      </c>
      <c r="F2179" s="37">
        <f t="shared" si="269"/>
        <v>0</v>
      </c>
      <c r="G2179" s="14">
        <f t="shared" si="270"/>
        <v>0</v>
      </c>
      <c r="H2179" s="24">
        <f t="shared" si="276"/>
        <v>736.53459445077306</v>
      </c>
      <c r="I2179" s="12">
        <f t="shared" si="275"/>
        <v>0.16901168193423996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578.79951298918365</v>
      </c>
      <c r="F2180" s="37">
        <f t="shared" si="269"/>
        <v>0</v>
      </c>
      <c r="G2180" s="14">
        <f t="shared" si="270"/>
        <v>0</v>
      </c>
      <c r="H2180" s="24">
        <f t="shared" si="276"/>
        <v>736.71162589723008</v>
      </c>
      <c r="I2180" s="12">
        <f t="shared" si="275"/>
        <v>0.16893935224641474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578.96845234143007</v>
      </c>
      <c r="F2181" s="37">
        <f t="shared" si="269"/>
        <v>0</v>
      </c>
      <c r="G2181" s="14">
        <f t="shared" si="270"/>
        <v>0</v>
      </c>
      <c r="H2181" s="24">
        <f t="shared" si="276"/>
        <v>736.8887051775713</v>
      </c>
      <c r="I2181" s="12">
        <f t="shared" si="275"/>
        <v>0.16886705915736597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579.13731940058744</v>
      </c>
      <c r="F2182" s="37">
        <f t="shared" si="269"/>
        <v>0</v>
      </c>
      <c r="G2182" s="14">
        <f t="shared" si="270"/>
        <v>0</v>
      </c>
      <c r="H2182" s="24">
        <f t="shared" si="276"/>
        <v>737.06583223566668</v>
      </c>
      <c r="I2182" s="12">
        <f t="shared" si="275"/>
        <v>0.16879480266543498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579.30611420325283</v>
      </c>
      <c r="F2183" s="37">
        <f t="shared" si="269"/>
        <v>0</v>
      </c>
      <c r="G2183" s="14">
        <f t="shared" si="270"/>
        <v>0</v>
      </c>
      <c r="H2183" s="24">
        <f t="shared" si="276"/>
        <v>737.24300701539528</v>
      </c>
      <c r="I2183" s="12">
        <f t="shared" si="275"/>
        <v>0.16872258276891466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579.4748367860218</v>
      </c>
      <c r="F2184" s="37">
        <f t="shared" si="269"/>
        <v>0</v>
      </c>
      <c r="G2184" s="14">
        <f t="shared" si="270"/>
        <v>0</v>
      </c>
      <c r="H2184" s="24">
        <f t="shared" si="276"/>
        <v>737.42022946064412</v>
      </c>
      <c r="I2184" s="12">
        <f t="shared" si="275"/>
        <v>0.16865039946604835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579.64348718548786</v>
      </c>
      <c r="F2185" s="37">
        <f t="shared" si="269"/>
        <v>0</v>
      </c>
      <c r="G2185" s="14">
        <f t="shared" si="270"/>
        <v>0</v>
      </c>
      <c r="H2185" s="24">
        <f t="shared" si="276"/>
        <v>737.59749951530932</v>
      </c>
      <c r="I2185" s="12">
        <f t="shared" si="275"/>
        <v>0.16857825275503061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579.81206543824294</v>
      </c>
      <c r="F2186" s="37">
        <f t="shared" si="269"/>
        <v>0</v>
      </c>
      <c r="G2186" s="14">
        <f t="shared" si="270"/>
        <v>0</v>
      </c>
      <c r="H2186" s="24">
        <f t="shared" si="276"/>
        <v>737.77481712329586</v>
      </c>
      <c r="I2186" s="12">
        <f t="shared" si="275"/>
        <v>0.16850614263400748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579.98057158087693</v>
      </c>
      <c r="F2187" s="37">
        <f t="shared" si="269"/>
        <v>0</v>
      </c>
      <c r="G2187" s="14">
        <f t="shared" si="270"/>
        <v>0</v>
      </c>
      <c r="H2187" s="24">
        <f t="shared" si="276"/>
        <v>737.95218222851781</v>
      </c>
      <c r="I2187" s="12">
        <f t="shared" si="275"/>
        <v>0.16843406910107578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580.14900564997799</v>
      </c>
      <c r="F2188" s="37">
        <f t="shared" si="269"/>
        <v>0</v>
      </c>
      <c r="G2188" s="14">
        <f t="shared" si="270"/>
        <v>0</v>
      </c>
      <c r="H2188" s="24">
        <f t="shared" si="276"/>
        <v>738.12959477489812</v>
      </c>
      <c r="I2188" s="12">
        <f t="shared" si="275"/>
        <v>0.1683620321542838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580.31736768213227</v>
      </c>
      <c r="F2189" s="37">
        <f t="shared" si="269"/>
        <v>0</v>
      </c>
      <c r="G2189" s="14">
        <f t="shared" si="270"/>
        <v>0</v>
      </c>
      <c r="H2189" s="24">
        <f t="shared" si="276"/>
        <v>738.30705470636963</v>
      </c>
      <c r="I2189" s="12">
        <f t="shared" si="275"/>
        <v>0.16829003179163166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580.48565771392396</v>
      </c>
      <c r="F2190" s="37">
        <f t="shared" si="269"/>
        <v>0</v>
      </c>
      <c r="G2190" s="14">
        <f t="shared" si="270"/>
        <v>0</v>
      </c>
      <c r="H2190" s="24">
        <f t="shared" si="276"/>
        <v>738.48456196687403</v>
      </c>
      <c r="I2190" s="12">
        <f t="shared" si="275"/>
        <v>0.16821806801107075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580.65387578193497</v>
      </c>
      <c r="F2191" s="37">
        <f t="shared" si="269"/>
        <v>0</v>
      </c>
      <c r="G2191" s="14">
        <f t="shared" si="270"/>
        <v>0</v>
      </c>
      <c r="H2191" s="24">
        <f t="shared" si="276"/>
        <v>738.66211650036257</v>
      </c>
      <c r="I2191" s="12">
        <f t="shared" si="275"/>
        <v>0.16814614081050408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580.82202192274542</v>
      </c>
      <c r="F2192" s="37">
        <f t="shared" si="269"/>
        <v>0</v>
      </c>
      <c r="G2192" s="14">
        <f t="shared" si="270"/>
        <v>0</v>
      </c>
      <c r="H2192" s="24">
        <f t="shared" si="276"/>
        <v>738.8397182507972</v>
      </c>
      <c r="I2192" s="12">
        <f t="shared" si="275"/>
        <v>0.16807425018778654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580.99009617293325</v>
      </c>
      <c r="F2193" s="37">
        <f t="shared" si="269"/>
        <v>0</v>
      </c>
      <c r="G2193" s="14">
        <f t="shared" si="270"/>
        <v>0</v>
      </c>
      <c r="H2193" s="24">
        <f t="shared" si="276"/>
        <v>739.0173671621485</v>
      </c>
      <c r="I2193" s="12">
        <f t="shared" si="275"/>
        <v>0.16800239614072487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581.15809856907401</v>
      </c>
      <c r="F2194" s="37">
        <f t="shared" si="269"/>
        <v>0</v>
      </c>
      <c r="G2194" s="14">
        <f t="shared" si="270"/>
        <v>0</v>
      </c>
      <c r="H2194" s="24">
        <f t="shared" si="276"/>
        <v>739.19506317839773</v>
      </c>
      <c r="I2194" s="12">
        <f t="shared" si="275"/>
        <v>0.16793057866707789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581.32602914774111</v>
      </c>
      <c r="F2195" s="37">
        <f t="shared" si="269"/>
        <v>0</v>
      </c>
      <c r="G2195" s="14">
        <f t="shared" si="270"/>
        <v>0</v>
      </c>
      <c r="H2195" s="24">
        <f t="shared" si="276"/>
        <v>739.37280624353627</v>
      </c>
      <c r="I2195" s="12">
        <f t="shared" si="275"/>
        <v>0.16785879776455614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581.49388794550566</v>
      </c>
      <c r="F2196" s="37">
        <f t="shared" ref="F2196:F2259" si="277">Cp*RhoP/(RhoA*H2196)*dp/1000*MassivP</f>
        <v>0</v>
      </c>
      <c r="G2196" s="14">
        <f t="shared" ref="G2196:G2259" si="278">Phi*EpsilonF*Botzman/10^8*J2196*((D2196+273)^4-(E2196+273)^4)</f>
        <v>0</v>
      </c>
      <c r="H2196" s="24">
        <f t="shared" si="276"/>
        <v>739.55059630156563</v>
      </c>
      <c r="I2196" s="12">
        <f t="shared" si="275"/>
        <v>0.16778705343082276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581.66167499893652</v>
      </c>
      <c r="F2197" s="37">
        <f t="shared" si="277"/>
        <v>0</v>
      </c>
      <c r="G2197" s="14">
        <f t="shared" si="278"/>
        <v>0</v>
      </c>
      <c r="H2197" s="24">
        <f t="shared" si="276"/>
        <v>739.72843329649766</v>
      </c>
      <c r="I2197" s="12">
        <f t="shared" ref="I2197:I2260" si="283">LambdaP*MassivP/(dp/1000)/(H2197*RhoA)/(1+F2197/3)*(D2197-E2197)*DeltaT-(EXP(F2197/10)-1)*(D2197-D2196)</f>
        <v>0.16771534566349289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581.82939034460003</v>
      </c>
      <c r="F2198" s="37">
        <f t="shared" si="277"/>
        <v>0</v>
      </c>
      <c r="G2198" s="14">
        <f t="shared" si="278"/>
        <v>0</v>
      </c>
      <c r="H2198" s="24">
        <f t="shared" si="276"/>
        <v>739.9063171723551</v>
      </c>
      <c r="I2198" s="12">
        <f t="shared" si="283"/>
        <v>0.16764367446013384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581.99703401906015</v>
      </c>
      <c r="F2199" s="37">
        <f t="shared" si="277"/>
        <v>0</v>
      </c>
      <c r="G2199" s="14">
        <f t="shared" si="278"/>
        <v>0</v>
      </c>
      <c r="H2199" s="24">
        <f t="shared" si="276"/>
        <v>740.08424787317097</v>
      </c>
      <c r="I2199" s="12">
        <f t="shared" si="283"/>
        <v>0.16757203981826593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582.16460605887846</v>
      </c>
      <c r="F2200" s="37">
        <f t="shared" si="277"/>
        <v>0</v>
      </c>
      <c r="G2200" s="14">
        <f t="shared" si="278"/>
        <v>0</v>
      </c>
      <c r="H2200" s="24">
        <f t="shared" si="276"/>
        <v>740.26222534298961</v>
      </c>
      <c r="I2200" s="12">
        <f t="shared" si="283"/>
        <v>0.16750044173536152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582.3321065006138</v>
      </c>
      <c r="F2201" s="37">
        <f t="shared" si="277"/>
        <v>0</v>
      </c>
      <c r="G2201" s="14">
        <f t="shared" si="278"/>
        <v>0</v>
      </c>
      <c r="H2201" s="24">
        <f t="shared" si="276"/>
        <v>740.44024952586574</v>
      </c>
      <c r="I2201" s="12">
        <f t="shared" si="283"/>
        <v>0.16742888020884608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582.49953538082264</v>
      </c>
      <c r="F2202" s="37">
        <f t="shared" si="277"/>
        <v>0</v>
      </c>
      <c r="G2202" s="14">
        <f t="shared" si="278"/>
        <v>0</v>
      </c>
      <c r="H2202" s="24">
        <f t="shared" si="276"/>
        <v>740.61832036586566</v>
      </c>
      <c r="I2202" s="12">
        <f t="shared" si="283"/>
        <v>0.16735735523609727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582.66689273605868</v>
      </c>
      <c r="F2203" s="37">
        <f t="shared" si="277"/>
        <v>0</v>
      </c>
      <c r="G2203" s="14">
        <f t="shared" si="278"/>
        <v>0</v>
      </c>
      <c r="H2203" s="24">
        <f t="shared" si="276"/>
        <v>740.79643780706647</v>
      </c>
      <c r="I2203" s="12">
        <f t="shared" si="283"/>
        <v>0.16728586681444607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582.83417860287318</v>
      </c>
      <c r="F2204" s="37">
        <f t="shared" si="277"/>
        <v>0</v>
      </c>
      <c r="G2204" s="14">
        <f t="shared" si="278"/>
        <v>0</v>
      </c>
      <c r="H2204" s="24">
        <f t="shared" si="276"/>
        <v>740.97460179355744</v>
      </c>
      <c r="I2204" s="12">
        <f t="shared" si="283"/>
        <v>0.16721441494117614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583.00139301781439</v>
      </c>
      <c r="F2205" s="37">
        <f t="shared" si="277"/>
        <v>0</v>
      </c>
      <c r="G2205" s="14">
        <f t="shared" si="278"/>
        <v>0</v>
      </c>
      <c r="H2205" s="24">
        <f t="shared" si="276"/>
        <v>741.15281226943841</v>
      </c>
      <c r="I2205" s="12">
        <f t="shared" si="283"/>
        <v>0.16714299961352452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583.16853601742787</v>
      </c>
      <c r="F2206" s="37">
        <f t="shared" si="277"/>
        <v>0</v>
      </c>
      <c r="G2206" s="14">
        <f t="shared" si="278"/>
        <v>0</v>
      </c>
      <c r="H2206" s="24">
        <f t="shared" si="276"/>
        <v>741.33106917882105</v>
      </c>
      <c r="I2206" s="12">
        <f t="shared" si="283"/>
        <v>0.16707162082868113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583.33560763825653</v>
      </c>
      <c r="F2207" s="37">
        <f t="shared" si="277"/>
        <v>0</v>
      </c>
      <c r="G2207" s="14">
        <f t="shared" si="278"/>
        <v>0</v>
      </c>
      <c r="H2207" s="24">
        <f t="shared" si="276"/>
        <v>741.50937246582896</v>
      </c>
      <c r="I2207" s="12">
        <f t="shared" si="283"/>
        <v>0.16700027858378927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583.50260791684036</v>
      </c>
      <c r="F2208" s="37">
        <f t="shared" si="277"/>
        <v>0</v>
      </c>
      <c r="G2208" s="14">
        <f t="shared" si="278"/>
        <v>0</v>
      </c>
      <c r="H2208" s="24">
        <f t="shared" si="276"/>
        <v>741.68772207459824</v>
      </c>
      <c r="I2208" s="12">
        <f t="shared" si="283"/>
        <v>0.1669289728759453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583.66953688971626</v>
      </c>
      <c r="F2209" s="37">
        <f t="shared" si="277"/>
        <v>0</v>
      </c>
      <c r="G2209" s="14">
        <f t="shared" si="278"/>
        <v>0</v>
      </c>
      <c r="H2209" s="24">
        <f t="shared" si="276"/>
        <v>741.8661179492758</v>
      </c>
      <c r="I2209" s="12">
        <f t="shared" si="283"/>
        <v>0.16685770370219952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583.8363945934185</v>
      </c>
      <c r="F2210" s="37">
        <f t="shared" si="277"/>
        <v>0</v>
      </c>
      <c r="G2210" s="14">
        <f t="shared" si="278"/>
        <v>0</v>
      </c>
      <c r="H2210" s="24">
        <f t="shared" si="276"/>
        <v>742.0445600340214</v>
      </c>
      <c r="I2210" s="12">
        <f t="shared" si="283"/>
        <v>0.16678647105955541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584.0031810644781</v>
      </c>
      <c r="F2211" s="37">
        <f t="shared" si="277"/>
        <v>0</v>
      </c>
      <c r="G2211" s="14">
        <f t="shared" si="278"/>
        <v>0</v>
      </c>
      <c r="H2211" s="24">
        <f t="shared" si="276"/>
        <v>742.22304827300707</v>
      </c>
      <c r="I2211" s="12">
        <f t="shared" si="283"/>
        <v>0.16671527494497015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584.16989633942308</v>
      </c>
      <c r="F2212" s="37">
        <f t="shared" si="277"/>
        <v>0</v>
      </c>
      <c r="G2212" s="14">
        <f t="shared" si="278"/>
        <v>0</v>
      </c>
      <c r="H2212" s="24">
        <f t="shared" si="276"/>
        <v>742.40158261041722</v>
      </c>
      <c r="I2212" s="12">
        <f t="shared" si="283"/>
        <v>0.16664411535535498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584.3365404547784</v>
      </c>
      <c r="F2213" s="37">
        <f t="shared" si="277"/>
        <v>0</v>
      </c>
      <c r="G2213" s="14">
        <f t="shared" si="278"/>
        <v>0</v>
      </c>
      <c r="H2213" s="24">
        <f t="shared" si="276"/>
        <v>742.5801629904488</v>
      </c>
      <c r="I2213" s="12">
        <f t="shared" si="283"/>
        <v>0.16657299228757444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584.50311344706597</v>
      </c>
      <c r="F2214" s="37">
        <f t="shared" si="277"/>
        <v>0</v>
      </c>
      <c r="G2214" s="14">
        <f t="shared" si="278"/>
        <v>0</v>
      </c>
      <c r="H2214" s="24">
        <f t="shared" si="276"/>
        <v>742.75878935731112</v>
      </c>
      <c r="I2214" s="12">
        <f t="shared" si="283"/>
        <v>0.16650190573844753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584.66961535280439</v>
      </c>
      <c r="F2215" s="37">
        <f t="shared" si="277"/>
        <v>0</v>
      </c>
      <c r="G2215" s="14">
        <f t="shared" si="278"/>
        <v>0</v>
      </c>
      <c r="H2215" s="24">
        <f t="shared" si="276"/>
        <v>742.9374616552268</v>
      </c>
      <c r="I2215" s="12">
        <f t="shared" si="283"/>
        <v>0.16643085570474697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584.83604620850917</v>
      </c>
      <c r="F2216" s="37">
        <f t="shared" si="277"/>
        <v>0</v>
      </c>
      <c r="G2216" s="14">
        <f t="shared" si="278"/>
        <v>0</v>
      </c>
      <c r="H2216" s="24">
        <f t="shared" si="276"/>
        <v>743.1161798284312</v>
      </c>
      <c r="I2216" s="12">
        <f t="shared" si="283"/>
        <v>0.16635984218319969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585.00240605069234</v>
      </c>
      <c r="F2217" s="37">
        <f t="shared" si="277"/>
        <v>0</v>
      </c>
      <c r="G2217" s="14">
        <f t="shared" si="278"/>
        <v>0</v>
      </c>
      <c r="H2217" s="24">
        <f t="shared" si="276"/>
        <v>743.29494382117264</v>
      </c>
      <c r="I2217" s="12">
        <f t="shared" si="283"/>
        <v>0.16628886517048697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585.16869491586283</v>
      </c>
      <c r="F2218" s="37">
        <f t="shared" si="277"/>
        <v>0</v>
      </c>
      <c r="G2218" s="14">
        <f t="shared" si="278"/>
        <v>0</v>
      </c>
      <c r="H2218" s="24">
        <f t="shared" si="276"/>
        <v>743.47375357771239</v>
      </c>
      <c r="I2218" s="12">
        <f t="shared" si="283"/>
        <v>0.16621792466324437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585.33491284052604</v>
      </c>
      <c r="F2219" s="37">
        <f t="shared" si="277"/>
        <v>0</v>
      </c>
      <c r="G2219" s="14">
        <f t="shared" si="278"/>
        <v>0</v>
      </c>
      <c r="H2219" s="24">
        <f t="shared" si="276"/>
        <v>743.65260904232582</v>
      </c>
      <c r="I2219" s="12">
        <f t="shared" si="283"/>
        <v>0.16614702065806178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585.5010598611841</v>
      </c>
      <c r="F2220" s="37">
        <f t="shared" si="277"/>
        <v>0</v>
      </c>
      <c r="G2220" s="14">
        <f t="shared" si="278"/>
        <v>0</v>
      </c>
      <c r="H2220" s="24">
        <f t="shared" si="276"/>
        <v>743.83151015930048</v>
      </c>
      <c r="I2220" s="12">
        <f t="shared" si="283"/>
        <v>0.16607615315148397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585.6671360143356</v>
      </c>
      <c r="F2221" s="37">
        <f t="shared" si="277"/>
        <v>0</v>
      </c>
      <c r="G2221" s="14">
        <f t="shared" si="278"/>
        <v>0</v>
      </c>
      <c r="H2221" s="24">
        <f t="shared" si="276"/>
        <v>744.01045687293913</v>
      </c>
      <c r="I2221" s="12">
        <f t="shared" si="283"/>
        <v>0.16600532214000968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585.83314133647559</v>
      </c>
      <c r="F2222" s="37">
        <f t="shared" si="277"/>
        <v>0</v>
      </c>
      <c r="G2222" s="14">
        <f t="shared" si="278"/>
        <v>0</v>
      </c>
      <c r="H2222" s="24">
        <f t="shared" si="276"/>
        <v>744.1894491275566</v>
      </c>
      <c r="I2222" s="12">
        <f t="shared" si="283"/>
        <v>0.16593452762009323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585.99907586409563</v>
      </c>
      <c r="F2223" s="37">
        <f t="shared" si="277"/>
        <v>0</v>
      </c>
      <c r="G2223" s="14">
        <f t="shared" si="278"/>
        <v>0</v>
      </c>
      <c r="H2223" s="24">
        <f t="shared" si="276"/>
        <v>744.36848686748272</v>
      </c>
      <c r="I2223" s="12">
        <f t="shared" si="283"/>
        <v>0.16586376958814317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586.16493963368373</v>
      </c>
      <c r="F2224" s="37">
        <f t="shared" si="277"/>
        <v>0</v>
      </c>
      <c r="G2224" s="14">
        <f t="shared" si="278"/>
        <v>0</v>
      </c>
      <c r="H2224" s="24">
        <f t="shared" si="276"/>
        <v>744.54757003706015</v>
      </c>
      <c r="I2224" s="12">
        <f t="shared" si="283"/>
        <v>0.16579304804052311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586.33073268172427</v>
      </c>
      <c r="F2225" s="37">
        <f t="shared" si="277"/>
        <v>0</v>
      </c>
      <c r="G2225" s="14">
        <f t="shared" si="278"/>
        <v>0</v>
      </c>
      <c r="H2225" s="24">
        <f t="shared" si="276"/>
        <v>744.72669858064694</v>
      </c>
      <c r="I2225" s="12">
        <f t="shared" si="283"/>
        <v>0.16572236297355189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586.49645504469777</v>
      </c>
      <c r="F2226" s="37">
        <f t="shared" si="277"/>
        <v>0</v>
      </c>
      <c r="G2226" s="14">
        <f t="shared" si="278"/>
        <v>0</v>
      </c>
      <c r="H2226" s="24">
        <f t="shared" si="276"/>
        <v>744.90587244261405</v>
      </c>
      <c r="I2226" s="12">
        <f t="shared" si="283"/>
        <v>0.16565171438350323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586.66210675908133</v>
      </c>
      <c r="F2227" s="37">
        <f t="shared" si="277"/>
        <v>0</v>
      </c>
      <c r="G2227" s="14">
        <f t="shared" si="278"/>
        <v>0</v>
      </c>
      <c r="H2227" s="24">
        <f t="shared" si="276"/>
        <v>745.08509156734772</v>
      </c>
      <c r="I2227" s="12">
        <f t="shared" si="283"/>
        <v>0.16558110226660619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586.82768786134795</v>
      </c>
      <c r="F2228" s="37">
        <f t="shared" si="277"/>
        <v>0</v>
      </c>
      <c r="G2228" s="14">
        <f t="shared" si="278"/>
        <v>0</v>
      </c>
      <c r="H2228" s="24">
        <f t="shared" si="276"/>
        <v>745.26435589924813</v>
      </c>
      <c r="I2228" s="12">
        <f t="shared" si="283"/>
        <v>0.1655105266190452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586.99319838796703</v>
      </c>
      <c r="F2229" s="37">
        <f t="shared" si="277"/>
        <v>0</v>
      </c>
      <c r="G2229" s="14">
        <f t="shared" si="278"/>
        <v>0</v>
      </c>
      <c r="H2229" s="24">
        <f t="shared" si="276"/>
        <v>745.44366538272982</v>
      </c>
      <c r="I2229" s="12">
        <f t="shared" si="283"/>
        <v>0.16543998743696003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587.15863837540394</v>
      </c>
      <c r="F2230" s="37">
        <f t="shared" si="277"/>
        <v>0</v>
      </c>
      <c r="G2230" s="14">
        <f t="shared" si="278"/>
        <v>0</v>
      </c>
      <c r="H2230" s="24">
        <f t="shared" si="276"/>
        <v>745.62301996222232</v>
      </c>
      <c r="I2230" s="12">
        <f t="shared" si="283"/>
        <v>0.16536948471644619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587.32400786012033</v>
      </c>
      <c r="F2231" s="37">
        <f t="shared" si="277"/>
        <v>0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745.80241958216993</v>
      </c>
      <c r="I2231" s="12">
        <f t="shared" si="283"/>
        <v>0.16529901845355441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587.48930687857387</v>
      </c>
      <c r="F2232" s="37">
        <f t="shared" si="277"/>
        <v>0</v>
      </c>
      <c r="G2232" s="14">
        <f t="shared" si="278"/>
        <v>0</v>
      </c>
      <c r="H2232" s="24">
        <f t="shared" si="284"/>
        <v>745.9818641870321</v>
      </c>
      <c r="I2232" s="12">
        <f t="shared" si="283"/>
        <v>0.16522858864429146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587.65453546721812</v>
      </c>
      <c r="F2233" s="37">
        <f t="shared" si="277"/>
        <v>0</v>
      </c>
      <c r="G2233" s="14">
        <f t="shared" si="278"/>
        <v>0</v>
      </c>
      <c r="H2233" s="24">
        <f t="shared" si="284"/>
        <v>746.16135372128269</v>
      </c>
      <c r="I2233" s="12">
        <f t="shared" si="283"/>
        <v>0.16515819528461997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587.8196936625028</v>
      </c>
      <c r="F2234" s="37">
        <f t="shared" si="277"/>
        <v>0</v>
      </c>
      <c r="G2234" s="14">
        <f t="shared" si="278"/>
        <v>0</v>
      </c>
      <c r="H2234" s="24">
        <f t="shared" si="284"/>
        <v>746.34088812941138</v>
      </c>
      <c r="I2234" s="12">
        <f t="shared" si="283"/>
        <v>0.16508783837045818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587.98478150087328</v>
      </c>
      <c r="F2235" s="37">
        <f t="shared" si="277"/>
        <v>0</v>
      </c>
      <c r="G2235" s="14">
        <f t="shared" si="278"/>
        <v>0</v>
      </c>
      <c r="H2235" s="24">
        <f t="shared" si="284"/>
        <v>746.52046735592251</v>
      </c>
      <c r="I2235" s="12">
        <f t="shared" si="283"/>
        <v>0.16501751789768052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588.14979901877098</v>
      </c>
      <c r="F2236" s="37">
        <f t="shared" si="277"/>
        <v>0</v>
      </c>
      <c r="G2236" s="14">
        <f t="shared" si="278"/>
        <v>0</v>
      </c>
      <c r="H2236" s="24">
        <f t="shared" si="284"/>
        <v>746.7000913453362</v>
      </c>
      <c r="I2236" s="12">
        <f t="shared" si="283"/>
        <v>0.16494723386211751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588.31474625263309</v>
      </c>
      <c r="F2237" s="37">
        <f t="shared" si="277"/>
        <v>0</v>
      </c>
      <c r="G2237" s="14">
        <f t="shared" si="278"/>
        <v>0</v>
      </c>
      <c r="H2237" s="24">
        <f t="shared" si="284"/>
        <v>746.87976004218785</v>
      </c>
      <c r="I2237" s="12">
        <f t="shared" si="283"/>
        <v>0.1648769862595563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588.4796232388926</v>
      </c>
      <c r="F2238" s="37">
        <f t="shared" si="277"/>
        <v>0</v>
      </c>
      <c r="G2238" s="14">
        <f t="shared" si="278"/>
        <v>0</v>
      </c>
      <c r="H2238" s="24">
        <f t="shared" si="284"/>
        <v>747.05947339102875</v>
      </c>
      <c r="I2238" s="12">
        <f t="shared" si="283"/>
        <v>0.16480677508573954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588.64443001397831</v>
      </c>
      <c r="F2239" s="37">
        <f t="shared" si="277"/>
        <v>0</v>
      </c>
      <c r="G2239" s="14">
        <f t="shared" si="278"/>
        <v>0</v>
      </c>
      <c r="H2239" s="24">
        <f t="shared" si="284"/>
        <v>747.23923133642575</v>
      </c>
      <c r="I2239" s="12">
        <f t="shared" si="283"/>
        <v>0.16473660033636692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588.80916661431468</v>
      </c>
      <c r="F2240" s="37">
        <f t="shared" si="277"/>
        <v>0</v>
      </c>
      <c r="G2240" s="14">
        <f t="shared" si="278"/>
        <v>0</v>
      </c>
      <c r="H2240" s="24">
        <f t="shared" si="284"/>
        <v>747.41903382296186</v>
      </c>
      <c r="I2240" s="12">
        <f t="shared" si="283"/>
        <v>0.16466646200709439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588.97383307632174</v>
      </c>
      <c r="F2241" s="37">
        <f t="shared" si="277"/>
        <v>0</v>
      </c>
      <c r="G2241" s="14">
        <f t="shared" si="278"/>
        <v>0</v>
      </c>
      <c r="H2241" s="24">
        <f t="shared" si="284"/>
        <v>747.59888079523523</v>
      </c>
      <c r="I2241" s="12">
        <f t="shared" si="283"/>
        <v>0.16459636009353462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589.13842943641532</v>
      </c>
      <c r="F2242" s="37">
        <f t="shared" si="277"/>
        <v>0</v>
      </c>
      <c r="G2242" s="14">
        <f t="shared" si="278"/>
        <v>0</v>
      </c>
      <c r="H2242" s="24">
        <f t="shared" si="284"/>
        <v>747.77877219786126</v>
      </c>
      <c r="I2242" s="12">
        <f t="shared" si="283"/>
        <v>0.16452629459125681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589.30295573100659</v>
      </c>
      <c r="F2243" s="37">
        <f t="shared" si="277"/>
        <v>0</v>
      </c>
      <c r="G2243" s="14">
        <f t="shared" si="278"/>
        <v>0</v>
      </c>
      <c r="H2243" s="24">
        <f t="shared" si="284"/>
        <v>747.95870797547059</v>
      </c>
      <c r="I2243" s="12">
        <f t="shared" si="283"/>
        <v>0.16445626549578718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589.46741199650239</v>
      </c>
      <c r="F2244" s="37">
        <f t="shared" si="277"/>
        <v>0</v>
      </c>
      <c r="G2244" s="14">
        <f t="shared" si="278"/>
        <v>0</v>
      </c>
      <c r="H2244" s="24">
        <f t="shared" si="284"/>
        <v>748.13868807271092</v>
      </c>
      <c r="I2244" s="12">
        <f t="shared" si="283"/>
        <v>0.16438627280260859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589.63179826930502</v>
      </c>
      <c r="F2245" s="37">
        <f t="shared" si="277"/>
        <v>0</v>
      </c>
      <c r="G2245" s="14">
        <f t="shared" si="278"/>
        <v>0</v>
      </c>
      <c r="H2245" s="24">
        <f t="shared" si="284"/>
        <v>748.31871243424598</v>
      </c>
      <c r="I2245" s="12">
        <f t="shared" si="283"/>
        <v>0.16431631650716116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589.79611458581223</v>
      </c>
      <c r="F2246" s="37">
        <f t="shared" si="277"/>
        <v>0</v>
      </c>
      <c r="G2246" s="14">
        <f t="shared" si="278"/>
        <v>0</v>
      </c>
      <c r="H2246" s="24">
        <f t="shared" si="284"/>
        <v>748.49878100475598</v>
      </c>
      <c r="I2246" s="12">
        <f t="shared" si="283"/>
        <v>0.16424639660484214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589.96036098241711</v>
      </c>
      <c r="F2247" s="37">
        <f t="shared" si="277"/>
        <v>0</v>
      </c>
      <c r="G2247" s="14">
        <f t="shared" si="278"/>
        <v>0</v>
      </c>
      <c r="H2247" s="24">
        <f t="shared" si="284"/>
        <v>748.67889372893796</v>
      </c>
      <c r="I2247" s="12">
        <f t="shared" si="283"/>
        <v>0.16417651309100556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590.12453749550809</v>
      </c>
      <c r="F2248" s="37">
        <f t="shared" si="277"/>
        <v>0</v>
      </c>
      <c r="G2248" s="14">
        <f t="shared" si="278"/>
        <v>0</v>
      </c>
      <c r="H2248" s="24">
        <f t="shared" si="284"/>
        <v>748.85905055150567</v>
      </c>
      <c r="I2248" s="12">
        <f t="shared" si="283"/>
        <v>0.16410666596096329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590.28864416146905</v>
      </c>
      <c r="F2249" s="37">
        <f t="shared" si="277"/>
        <v>0</v>
      </c>
      <c r="G2249" s="14">
        <f t="shared" si="278"/>
        <v>0</v>
      </c>
      <c r="H2249" s="24">
        <f t="shared" si="284"/>
        <v>749.03925141719014</v>
      </c>
      <c r="I2249" s="12">
        <f t="shared" si="283"/>
        <v>0.16403685520998412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590.45268101667898</v>
      </c>
      <c r="F2250" s="37">
        <f t="shared" si="277"/>
        <v>0</v>
      </c>
      <c r="G2250" s="14">
        <f t="shared" si="278"/>
        <v>0</v>
      </c>
      <c r="H2250" s="24">
        <f t="shared" si="284"/>
        <v>749.21949627073855</v>
      </c>
      <c r="I2250" s="12">
        <f t="shared" si="283"/>
        <v>0.1639670808332947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590.61664809751232</v>
      </c>
      <c r="F2251" s="37">
        <f t="shared" si="277"/>
        <v>0</v>
      </c>
      <c r="G2251" s="14">
        <f t="shared" si="278"/>
        <v>0</v>
      </c>
      <c r="H2251" s="24">
        <f t="shared" si="284"/>
        <v>749.39978505691624</v>
      </c>
      <c r="I2251" s="12">
        <f t="shared" si="283"/>
        <v>0.16389734282607893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590.78054544033841</v>
      </c>
      <c r="F2252" s="37">
        <f t="shared" si="277"/>
        <v>0</v>
      </c>
      <c r="G2252" s="14">
        <f t="shared" si="278"/>
        <v>0</v>
      </c>
      <c r="H2252" s="24">
        <f t="shared" si="284"/>
        <v>749.58011772050509</v>
      </c>
      <c r="I2252" s="12">
        <f t="shared" si="283"/>
        <v>0.16382764118347867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590.94437308152192</v>
      </c>
      <c r="F2253" s="37">
        <f t="shared" si="277"/>
        <v>0</v>
      </c>
      <c r="G2253" s="14">
        <f t="shared" si="278"/>
        <v>0</v>
      </c>
      <c r="H2253" s="24">
        <f t="shared" si="284"/>
        <v>749.76049420630466</v>
      </c>
      <c r="I2253" s="12">
        <f t="shared" si="283"/>
        <v>0.16375797590059332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591.1081310574225</v>
      </c>
      <c r="F2254" s="37">
        <f t="shared" si="277"/>
        <v>0</v>
      </c>
      <c r="G2254" s="14">
        <f t="shared" si="278"/>
        <v>0</v>
      </c>
      <c r="H2254" s="24">
        <f t="shared" si="284"/>
        <v>749.94091445913125</v>
      </c>
      <c r="I2254" s="12">
        <f t="shared" si="283"/>
        <v>0.16368834697248041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591.27181940439493</v>
      </c>
      <c r="F2255" s="37">
        <f t="shared" si="277"/>
        <v>0</v>
      </c>
      <c r="G2255" s="14">
        <f t="shared" si="278"/>
        <v>0</v>
      </c>
      <c r="H2255" s="24">
        <f t="shared" si="284"/>
        <v>750.12137842381981</v>
      </c>
      <c r="I2255" s="12">
        <f t="shared" si="283"/>
        <v>0.16361875439415544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591.43543815878911</v>
      </c>
      <c r="F2256" s="37">
        <f t="shared" si="277"/>
        <v>0</v>
      </c>
      <c r="G2256" s="14">
        <f t="shared" si="278"/>
        <v>0</v>
      </c>
      <c r="H2256" s="24">
        <f t="shared" si="284"/>
        <v>750.30188604522266</v>
      </c>
      <c r="I2256" s="12">
        <f t="shared" si="283"/>
        <v>0.16354919816059155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591.59898735694969</v>
      </c>
      <c r="F2257" s="37">
        <f t="shared" si="277"/>
        <v>0</v>
      </c>
      <c r="G2257" s="14">
        <f t="shared" si="278"/>
        <v>0</v>
      </c>
      <c r="H2257" s="24">
        <f t="shared" si="284"/>
        <v>750.48243726820908</v>
      </c>
      <c r="I2257" s="12">
        <f t="shared" si="283"/>
        <v>0.16347967826672069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591.76246703521645</v>
      </c>
      <c r="F2258" s="37">
        <f t="shared" si="277"/>
        <v>0</v>
      </c>
      <c r="G2258" s="14">
        <f t="shared" si="278"/>
        <v>0</v>
      </c>
      <c r="H2258" s="24">
        <f t="shared" si="284"/>
        <v>750.66303203766722</v>
      </c>
      <c r="I2258" s="12">
        <f t="shared" si="283"/>
        <v>0.16341019470743257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591.92587722992391</v>
      </c>
      <c r="F2259" s="37">
        <f t="shared" si="277"/>
        <v>0</v>
      </c>
      <c r="G2259" s="14">
        <f t="shared" si="278"/>
        <v>0</v>
      </c>
      <c r="H2259" s="24">
        <f t="shared" si="284"/>
        <v>750.84367029850296</v>
      </c>
      <c r="I2259" s="12">
        <f t="shared" si="283"/>
        <v>0.16334074747757543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592.08921797740152</v>
      </c>
      <c r="F2260" s="37">
        <f t="shared" ref="F2260:F2323" si="285">Cp*RhoP/(RhoA*H2260)*dp/1000*MassivP</f>
        <v>0</v>
      </c>
      <c r="G2260" s="14">
        <f t="shared" ref="G2260:G2323" si="286">Phi*EpsilonF*Botzman/10^8*J2260*((D2260+273)^4-(E2260+273)^4)</f>
        <v>0</v>
      </c>
      <c r="H2260" s="24">
        <f t="shared" si="284"/>
        <v>751.02435199563968</v>
      </c>
      <c r="I2260" s="12">
        <f t="shared" si="283"/>
        <v>0.16327133657195619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592.25248931397346</v>
      </c>
      <c r="F2261" s="37">
        <f t="shared" si="285"/>
        <v>0</v>
      </c>
      <c r="G2261" s="14">
        <f t="shared" si="286"/>
        <v>0</v>
      </c>
      <c r="H2261" s="24">
        <f t="shared" si="284"/>
        <v>751.2050770740201</v>
      </c>
      <c r="I2261" s="12">
        <f t="shared" ref="I2261:I2324" si="291">LambdaP*MassivP/(dp/1000)/(H2261*RhoA)/(1+F2261/3)*(D2261-E2261)*DeltaT-(EXP(F2261/10)-1)*(D2261-D2260)</f>
        <v>0.16320196198534015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592.41569127595881</v>
      </c>
      <c r="F2262" s="37">
        <f t="shared" si="285"/>
        <v>0</v>
      </c>
      <c r="G2262" s="14">
        <f t="shared" si="286"/>
        <v>0</v>
      </c>
      <c r="H2262" s="24">
        <f t="shared" si="284"/>
        <v>751.38584547860455</v>
      </c>
      <c r="I2262" s="12">
        <f t="shared" si="291"/>
        <v>0.16313262371245107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592.57882389967131</v>
      </c>
      <c r="F2263" s="37">
        <f t="shared" si="285"/>
        <v>0</v>
      </c>
      <c r="G2263" s="14">
        <f t="shared" si="286"/>
        <v>0</v>
      </c>
      <c r="H2263" s="24">
        <f t="shared" si="284"/>
        <v>751.56665715437157</v>
      </c>
      <c r="I2263" s="12">
        <f t="shared" si="291"/>
        <v>0.16306332174797186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592.74188722141923</v>
      </c>
      <c r="F2264" s="37">
        <f t="shared" si="285"/>
        <v>0</v>
      </c>
      <c r="G2264" s="14">
        <f t="shared" si="286"/>
        <v>0</v>
      </c>
      <c r="H2264" s="24">
        <f t="shared" si="284"/>
        <v>751.74751204631889</v>
      </c>
      <c r="I2264" s="12">
        <f t="shared" si="291"/>
        <v>0.16299405608654396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592.90488127750575</v>
      </c>
      <c r="F2265" s="37">
        <f t="shared" si="285"/>
        <v>0</v>
      </c>
      <c r="G2265" s="14">
        <f t="shared" si="286"/>
        <v>0</v>
      </c>
      <c r="H2265" s="24">
        <f t="shared" si="284"/>
        <v>751.92841009946267</v>
      </c>
      <c r="I2265" s="12">
        <f t="shared" si="291"/>
        <v>0.16292482672276792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593.06780610422857</v>
      </c>
      <c r="F2266" s="37">
        <f t="shared" si="285"/>
        <v>0</v>
      </c>
      <c r="G2266" s="14">
        <f t="shared" si="286"/>
        <v>0</v>
      </c>
      <c r="H2266" s="24">
        <f t="shared" si="284"/>
        <v>752.10935125883748</v>
      </c>
      <c r="I2266" s="12">
        <f t="shared" si="291"/>
        <v>0.16285563365120323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593.23066173787981</v>
      </c>
      <c r="F2267" s="37">
        <f t="shared" si="285"/>
        <v>0</v>
      </c>
      <c r="G2267" s="14">
        <f t="shared" si="286"/>
        <v>0</v>
      </c>
      <c r="H2267" s="24">
        <f t="shared" si="284"/>
        <v>752.29033546949722</v>
      </c>
      <c r="I2267" s="12">
        <f t="shared" si="291"/>
        <v>0.1627864768663688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593.39344821474617</v>
      </c>
      <c r="F2268" s="37">
        <f t="shared" si="285"/>
        <v>0</v>
      </c>
      <c r="G2268" s="14">
        <f t="shared" si="286"/>
        <v>0</v>
      </c>
      <c r="H2268" s="24">
        <f t="shared" si="284"/>
        <v>752.47136267651467</v>
      </c>
      <c r="I2268" s="12">
        <f t="shared" si="291"/>
        <v>0.1627173563627424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593.55616557110886</v>
      </c>
      <c r="F2269" s="37">
        <f t="shared" si="285"/>
        <v>0</v>
      </c>
      <c r="G2269" s="14">
        <f t="shared" si="286"/>
        <v>0</v>
      </c>
      <c r="H2269" s="24">
        <f t="shared" si="284"/>
        <v>752.65243282498113</v>
      </c>
      <c r="I2269" s="12">
        <f t="shared" si="291"/>
        <v>0.16264827213476141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593.71881384324365</v>
      </c>
      <c r="F2270" s="37">
        <f t="shared" si="285"/>
        <v>0</v>
      </c>
      <c r="G2270" s="14">
        <f t="shared" si="286"/>
        <v>0</v>
      </c>
      <c r="H2270" s="24">
        <f t="shared" si="284"/>
        <v>752.83354586000792</v>
      </c>
      <c r="I2270" s="12">
        <f t="shared" si="291"/>
        <v>0.16257922417682244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593.8813930674205</v>
      </c>
      <c r="F2271" s="37">
        <f t="shared" si="285"/>
        <v>0</v>
      </c>
      <c r="G2271" s="14">
        <f t="shared" si="286"/>
        <v>0</v>
      </c>
      <c r="H2271" s="24">
        <f t="shared" si="284"/>
        <v>753.01470172672521</v>
      </c>
      <c r="I2271" s="12">
        <f t="shared" si="291"/>
        <v>0.16251021248328196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594.04390327990382</v>
      </c>
      <c r="F2272" s="37">
        <f t="shared" si="285"/>
        <v>0</v>
      </c>
      <c r="G2272" s="14">
        <f t="shared" si="286"/>
        <v>0</v>
      </c>
      <c r="H2272" s="24">
        <f t="shared" si="284"/>
        <v>753.19590037028252</v>
      </c>
      <c r="I2272" s="12">
        <f t="shared" si="291"/>
        <v>0.16244123704845559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594.2063445169523</v>
      </c>
      <c r="F2273" s="37">
        <f t="shared" si="285"/>
        <v>0</v>
      </c>
      <c r="G2273" s="14">
        <f t="shared" si="286"/>
        <v>0</v>
      </c>
      <c r="H2273" s="24">
        <f t="shared" si="284"/>
        <v>753.37714173584891</v>
      </c>
      <c r="I2273" s="12">
        <f t="shared" si="291"/>
        <v>0.162372297866619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594.36871681481887</v>
      </c>
      <c r="F2274" s="37">
        <f t="shared" si="285"/>
        <v>0</v>
      </c>
      <c r="G2274" s="14">
        <f t="shared" si="286"/>
        <v>0</v>
      </c>
      <c r="H2274" s="24">
        <f t="shared" si="284"/>
        <v>753.55842576861278</v>
      </c>
      <c r="I2274" s="12">
        <f t="shared" si="291"/>
        <v>0.16230339493200785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594.53102020975086</v>
      </c>
      <c r="F2275" s="37">
        <f t="shared" si="285"/>
        <v>0</v>
      </c>
      <c r="G2275" s="14">
        <f t="shared" si="286"/>
        <v>0</v>
      </c>
      <c r="H2275" s="24">
        <f t="shared" si="284"/>
        <v>753.73975241378275</v>
      </c>
      <c r="I2275" s="12">
        <f t="shared" si="291"/>
        <v>0.16223452823881726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594.69325473798972</v>
      </c>
      <c r="F2276" s="37">
        <f t="shared" si="285"/>
        <v>0</v>
      </c>
      <c r="G2276" s="14">
        <f t="shared" si="286"/>
        <v>0</v>
      </c>
      <c r="H2276" s="24">
        <f t="shared" si="284"/>
        <v>753.92112161658713</v>
      </c>
      <c r="I2276" s="12">
        <f t="shared" si="291"/>
        <v>0.1621656977812026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594.85542043577095</v>
      </c>
      <c r="F2277" s="37">
        <f t="shared" si="285"/>
        <v>0</v>
      </c>
      <c r="G2277" s="14">
        <f t="shared" si="286"/>
        <v>0</v>
      </c>
      <c r="H2277" s="24">
        <f t="shared" si="284"/>
        <v>754.10253332227353</v>
      </c>
      <c r="I2277" s="12">
        <f t="shared" si="291"/>
        <v>0.16209690355327946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595.01751733932429</v>
      </c>
      <c r="F2278" s="37">
        <f t="shared" si="285"/>
        <v>0</v>
      </c>
      <c r="G2278" s="14">
        <f t="shared" si="286"/>
        <v>0</v>
      </c>
      <c r="H2278" s="24">
        <f t="shared" si="284"/>
        <v>754.2839874761105</v>
      </c>
      <c r="I2278" s="12">
        <f t="shared" si="291"/>
        <v>0.16202814554912345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595.17954548487342</v>
      </c>
      <c r="F2279" s="37">
        <f t="shared" si="285"/>
        <v>0</v>
      </c>
      <c r="G2279" s="14">
        <f t="shared" si="286"/>
        <v>0</v>
      </c>
      <c r="H2279" s="24">
        <f t="shared" si="284"/>
        <v>754.46548402338567</v>
      </c>
      <c r="I2279" s="12">
        <f t="shared" si="291"/>
        <v>0.16195942376277056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595.34150490863624</v>
      </c>
      <c r="F2280" s="37">
        <f t="shared" si="285"/>
        <v>0</v>
      </c>
      <c r="G2280" s="14">
        <f t="shared" si="286"/>
        <v>0</v>
      </c>
      <c r="H2280" s="24">
        <f t="shared" si="284"/>
        <v>754.64702290940772</v>
      </c>
      <c r="I2280" s="12">
        <f t="shared" si="291"/>
        <v>0.16189073818821725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595.5033956468244</v>
      </c>
      <c r="F2281" s="37">
        <f t="shared" si="285"/>
        <v>0</v>
      </c>
      <c r="G2281" s="14">
        <f t="shared" si="286"/>
        <v>0</v>
      </c>
      <c r="H2281" s="24">
        <f t="shared" si="284"/>
        <v>754.828604079505</v>
      </c>
      <c r="I2281" s="12">
        <f t="shared" si="291"/>
        <v>0.16182208881942037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595.66521773564386</v>
      </c>
      <c r="F2282" s="37">
        <f t="shared" si="285"/>
        <v>0</v>
      </c>
      <c r="G2282" s="14">
        <f t="shared" si="286"/>
        <v>0</v>
      </c>
      <c r="H2282" s="24">
        <f t="shared" si="284"/>
        <v>755.01022747902687</v>
      </c>
      <c r="I2282" s="12">
        <f t="shared" si="291"/>
        <v>0.16175347565029727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595.82697121129411</v>
      </c>
      <c r="F2283" s="37">
        <f t="shared" si="285"/>
        <v>0</v>
      </c>
      <c r="G2283" s="14">
        <f t="shared" si="286"/>
        <v>0</v>
      </c>
      <c r="H2283" s="24">
        <f t="shared" si="284"/>
        <v>755.1918930533426</v>
      </c>
      <c r="I2283" s="12">
        <f t="shared" si="291"/>
        <v>0.1616848986747263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595.98865610996882</v>
      </c>
      <c r="F2284" s="37">
        <f t="shared" si="285"/>
        <v>0</v>
      </c>
      <c r="G2284" s="14">
        <f t="shared" si="286"/>
        <v>0</v>
      </c>
      <c r="H2284" s="24">
        <f t="shared" si="284"/>
        <v>755.37360074784237</v>
      </c>
      <c r="I2284" s="12">
        <f t="shared" si="291"/>
        <v>0.16161635788654632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596.15027246785542</v>
      </c>
      <c r="F2285" s="37">
        <f t="shared" si="285"/>
        <v>0</v>
      </c>
      <c r="G2285" s="14">
        <f t="shared" si="286"/>
        <v>0</v>
      </c>
      <c r="H2285" s="24">
        <f t="shared" si="284"/>
        <v>755.55535050793731</v>
      </c>
      <c r="I2285" s="12">
        <f t="shared" si="291"/>
        <v>0.16154785327955712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596.31182032113497</v>
      </c>
      <c r="F2286" s="37">
        <f t="shared" si="285"/>
        <v>0</v>
      </c>
      <c r="G2286" s="14">
        <f t="shared" si="286"/>
        <v>0</v>
      </c>
      <c r="H2286" s="24">
        <f t="shared" si="284"/>
        <v>755.73714227905862</v>
      </c>
      <c r="I2286" s="12">
        <f t="shared" si="291"/>
        <v>0.16147938484751959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596.47329970598253</v>
      </c>
      <c r="F2287" s="37">
        <f t="shared" si="285"/>
        <v>0</v>
      </c>
      <c r="G2287" s="14">
        <f t="shared" si="286"/>
        <v>0</v>
      </c>
      <c r="H2287" s="24">
        <f t="shared" si="284"/>
        <v>755.9189760066588</v>
      </c>
      <c r="I2287" s="12">
        <f t="shared" si="291"/>
        <v>0.16141095258415561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596.63471065856663</v>
      </c>
      <c r="F2288" s="37">
        <f t="shared" si="285"/>
        <v>0</v>
      </c>
      <c r="G2288" s="14">
        <f t="shared" si="286"/>
        <v>0</v>
      </c>
      <c r="H2288" s="24">
        <f t="shared" si="284"/>
        <v>756.10085163621147</v>
      </c>
      <c r="I2288" s="12">
        <f t="shared" si="291"/>
        <v>0.16134255648314821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596.79605321504982</v>
      </c>
      <c r="F2289" s="37">
        <f t="shared" si="285"/>
        <v>0</v>
      </c>
      <c r="G2289" s="14">
        <f t="shared" si="286"/>
        <v>0</v>
      </c>
      <c r="H2289" s="24">
        <f t="shared" si="284"/>
        <v>756.28276911321132</v>
      </c>
      <c r="I2289" s="12">
        <f t="shared" si="291"/>
        <v>0.16127419653814173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596.95732741158793</v>
      </c>
      <c r="F2290" s="37">
        <f t="shared" si="285"/>
        <v>0</v>
      </c>
      <c r="G2290" s="14">
        <f t="shared" si="286"/>
        <v>0</v>
      </c>
      <c r="H2290" s="24">
        <f t="shared" si="284"/>
        <v>756.46472838317402</v>
      </c>
      <c r="I2290" s="12">
        <f t="shared" si="291"/>
        <v>0.16120587274274176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597.11853328433062</v>
      </c>
      <c r="F2291" s="37">
        <f t="shared" si="285"/>
        <v>0</v>
      </c>
      <c r="G2291" s="14">
        <f t="shared" si="286"/>
        <v>0</v>
      </c>
      <c r="H2291" s="24">
        <f t="shared" si="284"/>
        <v>756.64672939163643</v>
      </c>
      <c r="I2291" s="12">
        <f t="shared" si="291"/>
        <v>0.16113758509051554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597.27967086942112</v>
      </c>
      <c r="F2292" s="37">
        <f t="shared" si="285"/>
        <v>0</v>
      </c>
      <c r="G2292" s="14">
        <f t="shared" si="286"/>
        <v>0</v>
      </c>
      <c r="H2292" s="24">
        <f t="shared" si="284"/>
        <v>756.82877208415721</v>
      </c>
      <c r="I2292" s="12">
        <f t="shared" si="291"/>
        <v>0.16106933357499162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597.44074020299615</v>
      </c>
      <c r="F2293" s="37">
        <f t="shared" si="285"/>
        <v>0</v>
      </c>
      <c r="G2293" s="14">
        <f t="shared" si="286"/>
        <v>0</v>
      </c>
      <c r="H2293" s="24">
        <f t="shared" si="284"/>
        <v>757.01085640631618</v>
      </c>
      <c r="I2293" s="12">
        <f t="shared" si="291"/>
        <v>0.16100111818966037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597.60174132118584</v>
      </c>
      <c r="F2294" s="37">
        <f t="shared" si="285"/>
        <v>0</v>
      </c>
      <c r="G2294" s="14">
        <f t="shared" si="286"/>
        <v>0</v>
      </c>
      <c r="H2294" s="24">
        <f t="shared" si="284"/>
        <v>757.19298230371487</v>
      </c>
      <c r="I2294" s="12">
        <f t="shared" si="291"/>
        <v>0.16093293892797389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597.76267426011384</v>
      </c>
      <c r="F2295" s="37">
        <f t="shared" si="285"/>
        <v>0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757.37514972197619</v>
      </c>
      <c r="I2295" s="12">
        <f t="shared" si="291"/>
        <v>0.16086479578334614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597.92353905589721</v>
      </c>
      <c r="F2296" s="37">
        <f t="shared" si="285"/>
        <v>0</v>
      </c>
      <c r="G2296" s="14">
        <f t="shared" si="286"/>
        <v>0</v>
      </c>
      <c r="H2296" s="24">
        <f t="shared" si="292"/>
        <v>757.55735860674486</v>
      </c>
      <c r="I2296" s="12">
        <f t="shared" si="291"/>
        <v>0.16079668874915284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598.08433574464641</v>
      </c>
      <c r="F2297" s="37">
        <f t="shared" si="285"/>
        <v>0</v>
      </c>
      <c r="G2297" s="14">
        <f t="shared" si="286"/>
        <v>0</v>
      </c>
      <c r="H2297" s="24">
        <f t="shared" si="292"/>
        <v>757.73960890368789</v>
      </c>
      <c r="I2297" s="12">
        <f t="shared" si="291"/>
        <v>0.16072861781873193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598.24506436246509</v>
      </c>
      <c r="F2298" s="37">
        <f t="shared" si="285"/>
        <v>0</v>
      </c>
      <c r="G2298" s="14">
        <f t="shared" si="286"/>
        <v>0</v>
      </c>
      <c r="H2298" s="24">
        <f t="shared" si="292"/>
        <v>757.92190055849346</v>
      </c>
      <c r="I2298" s="12">
        <f t="shared" si="291"/>
        <v>0.16066058298538341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598.40572494545052</v>
      </c>
      <c r="F2299" s="37">
        <f t="shared" si="285"/>
        <v>0</v>
      </c>
      <c r="G2299" s="14">
        <f t="shared" si="286"/>
        <v>0</v>
      </c>
      <c r="H2299" s="24">
        <f t="shared" si="292"/>
        <v>758.1042335168728</v>
      </c>
      <c r="I2299" s="12">
        <f t="shared" si="291"/>
        <v>0.16059258424236947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598.56631752969292</v>
      </c>
      <c r="F2300" s="37">
        <f t="shared" si="285"/>
        <v>0</v>
      </c>
      <c r="G2300" s="14">
        <f t="shared" si="286"/>
        <v>0</v>
      </c>
      <c r="H2300" s="24">
        <f t="shared" si="292"/>
        <v>758.28660772455839</v>
      </c>
      <c r="I2300" s="12">
        <f t="shared" si="291"/>
        <v>0.16052462158291447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598.72684215127583</v>
      </c>
      <c r="F2301" s="37">
        <f t="shared" si="285"/>
        <v>0</v>
      </c>
      <c r="G2301" s="14">
        <f t="shared" si="286"/>
        <v>0</v>
      </c>
      <c r="H2301" s="24">
        <f t="shared" si="292"/>
        <v>758.46902312730515</v>
      </c>
      <c r="I2301" s="12">
        <f t="shared" si="291"/>
        <v>0.16045669500020562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598.88729884627605</v>
      </c>
      <c r="F2302" s="37">
        <f t="shared" si="285"/>
        <v>0</v>
      </c>
      <c r="G2302" s="14">
        <f t="shared" si="286"/>
        <v>0</v>
      </c>
      <c r="H2302" s="24">
        <f t="shared" si="292"/>
        <v>758.65147967089069</v>
      </c>
      <c r="I2302" s="12">
        <f t="shared" si="291"/>
        <v>0.16038880448739212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599.04768765076346</v>
      </c>
      <c r="F2303" s="37">
        <f t="shared" si="285"/>
        <v>0</v>
      </c>
      <c r="G2303" s="14">
        <f t="shared" si="286"/>
        <v>0</v>
      </c>
      <c r="H2303" s="24">
        <f t="shared" si="292"/>
        <v>758.83397730111437</v>
      </c>
      <c r="I2303" s="12">
        <f t="shared" si="291"/>
        <v>0.16032095003758604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599.20800860080101</v>
      </c>
      <c r="F2304" s="37">
        <f t="shared" si="285"/>
        <v>0</v>
      </c>
      <c r="G2304" s="14">
        <f t="shared" si="286"/>
        <v>0</v>
      </c>
      <c r="H2304" s="24">
        <f t="shared" si="292"/>
        <v>759.01651596379861</v>
      </c>
      <c r="I2304" s="12">
        <f t="shared" si="291"/>
        <v>0.16025313164386212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599.36826173244492</v>
      </c>
      <c r="F2305" s="37">
        <f t="shared" si="285"/>
        <v>0</v>
      </c>
      <c r="G2305" s="14">
        <f t="shared" si="286"/>
        <v>0</v>
      </c>
      <c r="H2305" s="24">
        <f t="shared" si="292"/>
        <v>759.19909560478823</v>
      </c>
      <c r="I2305" s="12">
        <f t="shared" si="291"/>
        <v>0.16018534929925793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599.52844708174416</v>
      </c>
      <c r="F2306" s="37">
        <f t="shared" si="285"/>
        <v>0</v>
      </c>
      <c r="G2306" s="14">
        <f t="shared" si="286"/>
        <v>0</v>
      </c>
      <c r="H2306" s="24">
        <f t="shared" si="292"/>
        <v>759.38171616995055</v>
      </c>
      <c r="I2306" s="12">
        <f t="shared" si="291"/>
        <v>0.16011760299677369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599.68856468474098</v>
      </c>
      <c r="F2307" s="37">
        <f t="shared" si="285"/>
        <v>0</v>
      </c>
      <c r="G2307" s="14">
        <f t="shared" si="286"/>
        <v>0</v>
      </c>
      <c r="H2307" s="24">
        <f t="shared" si="292"/>
        <v>759.56437760517588</v>
      </c>
      <c r="I2307" s="12">
        <f t="shared" si="291"/>
        <v>0.16004989272937287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599.84861457747036</v>
      </c>
      <c r="F2308" s="37">
        <f t="shared" si="285"/>
        <v>0</v>
      </c>
      <c r="G2308" s="14">
        <f t="shared" si="286"/>
        <v>0</v>
      </c>
      <c r="H2308" s="24">
        <f t="shared" si="292"/>
        <v>759.74707985637724</v>
      </c>
      <c r="I2308" s="12">
        <f t="shared" si="291"/>
        <v>0.15998221848998187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600.00859679596033</v>
      </c>
      <c r="F2309" s="37">
        <f t="shared" si="285"/>
        <v>0</v>
      </c>
      <c r="G2309" s="14">
        <f t="shared" si="286"/>
        <v>0</v>
      </c>
      <c r="H2309" s="24">
        <f t="shared" si="292"/>
        <v>760.22326100108364</v>
      </c>
      <c r="I2309" s="12">
        <f t="shared" si="291"/>
        <v>0.15985285493624132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600.1684496508966</v>
      </c>
      <c r="F2310" s="37">
        <f t="shared" si="285"/>
        <v>0</v>
      </c>
      <c r="G2310" s="14">
        <f t="shared" si="286"/>
        <v>0</v>
      </c>
      <c r="H2310" s="24">
        <f t="shared" si="292"/>
        <v>760.3325382836382</v>
      </c>
      <c r="I2310" s="12">
        <f t="shared" si="291"/>
        <v>0.15980076020089548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600.32825041109754</v>
      </c>
      <c r="F2311" s="37">
        <f t="shared" si="285"/>
        <v>0</v>
      </c>
      <c r="G2311" s="14">
        <f t="shared" si="286"/>
        <v>0</v>
      </c>
      <c r="H2311" s="24">
        <f t="shared" si="292"/>
        <v>760.44203359676101</v>
      </c>
      <c r="I2311" s="12">
        <f t="shared" si="291"/>
        <v>0.15974864189819921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600.48799905299575</v>
      </c>
      <c r="F2312" s="37">
        <f t="shared" si="285"/>
        <v>0</v>
      </c>
      <c r="G2312" s="14">
        <f t="shared" si="286"/>
        <v>0</v>
      </c>
      <c r="H2312" s="24">
        <f t="shared" si="292"/>
        <v>760.55174755991538</v>
      </c>
      <c r="I2312" s="12">
        <f t="shared" si="291"/>
        <v>0.15969649996801744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600.6476955529638</v>
      </c>
      <c r="F2313" s="37">
        <f t="shared" si="285"/>
        <v>0</v>
      </c>
      <c r="G2313" s="14">
        <f t="shared" si="286"/>
        <v>0</v>
      </c>
      <c r="H2313" s="24">
        <f t="shared" si="292"/>
        <v>760.66168079483259</v>
      </c>
      <c r="I2313" s="12">
        <f t="shared" si="291"/>
        <v>0.15964433434999273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600.80733988731379</v>
      </c>
      <c r="F2314" s="37">
        <f t="shared" si="285"/>
        <v>0</v>
      </c>
      <c r="G2314" s="14">
        <f t="shared" si="286"/>
        <v>0</v>
      </c>
      <c r="H2314" s="24">
        <f t="shared" si="292"/>
        <v>760.77183392552138</v>
      </c>
      <c r="I2314" s="12">
        <f t="shared" si="291"/>
        <v>0.15959214498354499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600.96693203229734</v>
      </c>
      <c r="F2315" s="37">
        <f t="shared" si="285"/>
        <v>0</v>
      </c>
      <c r="G2315" s="14">
        <f t="shared" si="286"/>
        <v>0</v>
      </c>
      <c r="H2315" s="24">
        <f t="shared" si="292"/>
        <v>760.88220757827912</v>
      </c>
      <c r="I2315" s="12">
        <f t="shared" si="291"/>
        <v>0.15953993180787024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601.12647196410524</v>
      </c>
      <c r="F2316" s="37">
        <f t="shared" si="285"/>
        <v>0</v>
      </c>
      <c r="G2316" s="14">
        <f t="shared" si="286"/>
        <v>0</v>
      </c>
      <c r="H2316" s="24">
        <f t="shared" si="292"/>
        <v>760.99280238170127</v>
      </c>
      <c r="I2316" s="12">
        <f t="shared" si="291"/>
        <v>0.15948769476193991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601.28595965886723</v>
      </c>
      <c r="F2317" s="37">
        <f t="shared" si="285"/>
        <v>0</v>
      </c>
      <c r="G2317" s="14">
        <f t="shared" si="286"/>
        <v>0</v>
      </c>
      <c r="H2317" s="24">
        <f t="shared" si="292"/>
        <v>761.10361896669167</v>
      </c>
      <c r="I2317" s="12">
        <f t="shared" si="291"/>
        <v>0.15943543378450056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601.44539509265178</v>
      </c>
      <c r="F2318" s="37">
        <f t="shared" si="285"/>
        <v>0</v>
      </c>
      <c r="G2318" s="14">
        <f t="shared" si="286"/>
        <v>0</v>
      </c>
      <c r="H2318" s="24">
        <f t="shared" si="292"/>
        <v>761.21465796647294</v>
      </c>
      <c r="I2318" s="12">
        <f t="shared" si="291"/>
        <v>0.15938314881407292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601.60477824146585</v>
      </c>
      <c r="F2319" s="37">
        <f t="shared" si="285"/>
        <v>0</v>
      </c>
      <c r="G2319" s="14">
        <f t="shared" si="286"/>
        <v>0</v>
      </c>
      <c r="H2319" s="24">
        <f t="shared" si="292"/>
        <v>761.32592001659668</v>
      </c>
      <c r="I2319" s="12">
        <f t="shared" si="291"/>
        <v>0.15933083978895077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601.76410908125479</v>
      </c>
      <c r="F2320" s="37">
        <f t="shared" si="285"/>
        <v>0</v>
      </c>
      <c r="G2320" s="14">
        <f t="shared" si="286"/>
        <v>0</v>
      </c>
      <c r="H2320" s="24">
        <f t="shared" si="292"/>
        <v>761.4374057549544</v>
      </c>
      <c r="I2320" s="12">
        <f t="shared" si="291"/>
        <v>0.15927850664720067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601.92338758790197</v>
      </c>
      <c r="F2321" s="37">
        <f t="shared" si="285"/>
        <v>0</v>
      </c>
      <c r="G2321" s="14">
        <f t="shared" si="286"/>
        <v>0</v>
      </c>
      <c r="H2321" s="24">
        <f t="shared" si="292"/>
        <v>761.54911582178715</v>
      </c>
      <c r="I2321" s="12">
        <f t="shared" si="291"/>
        <v>0.1592261493266611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602.0826137372286</v>
      </c>
      <c r="F2322" s="37">
        <f t="shared" si="285"/>
        <v>0</v>
      </c>
      <c r="G2322" s="14">
        <f t="shared" si="286"/>
        <v>0</v>
      </c>
      <c r="H2322" s="24">
        <f t="shared" si="292"/>
        <v>761.66105085969662</v>
      </c>
      <c r="I2322" s="12">
        <f t="shared" si="291"/>
        <v>0.15917376776494171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602.24178750499357</v>
      </c>
      <c r="F2323" s="37">
        <f t="shared" si="285"/>
        <v>0</v>
      </c>
      <c r="G2323" s="14">
        <f t="shared" si="286"/>
        <v>0</v>
      </c>
      <c r="H2323" s="24">
        <f t="shared" si="292"/>
        <v>761.77321151365516</v>
      </c>
      <c r="I2323" s="12">
        <f t="shared" si="291"/>
        <v>0.15912136189942253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602.40090886689302</v>
      </c>
      <c r="F2324" s="37">
        <f t="shared" ref="F2324:F2387" si="293">Cp*RhoP/(RhoA*H2324)*dp/1000*MassivP</f>
        <v>0</v>
      </c>
      <c r="G2324" s="14">
        <f t="shared" ref="G2324:G2387" si="294">Phi*EpsilonF*Botzman/10^8*J2324*((D2324+273)^4-(E2324+273)^4)</f>
        <v>0</v>
      </c>
      <c r="H2324" s="24">
        <f t="shared" si="292"/>
        <v>761.88559843101723</v>
      </c>
      <c r="I2324" s="12">
        <f t="shared" si="291"/>
        <v>0.15906893166725306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602.55997779856023</v>
      </c>
      <c r="F2325" s="37">
        <f t="shared" si="293"/>
        <v>0</v>
      </c>
      <c r="G2325" s="14">
        <f t="shared" si="294"/>
        <v>0</v>
      </c>
      <c r="H2325" s="24">
        <f t="shared" si="292"/>
        <v>761.99821226152892</v>
      </c>
      <c r="I2325" s="12">
        <f t="shared" ref="I2325:I2388" si="299">LambdaP*MassivP/(dp/1000)/(H2325*RhoA)/(1+F2325/3)*(D2325-E2325)*DeltaT-(EXP(F2325/10)-1)*(D2325-D2324)</f>
        <v>0.15901647700535201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602.71899427556559</v>
      </c>
      <c r="F2326" s="37">
        <f t="shared" si="293"/>
        <v>0</v>
      </c>
      <c r="G2326" s="14">
        <f t="shared" si="294"/>
        <v>0</v>
      </c>
      <c r="H2326" s="24">
        <f t="shared" si="292"/>
        <v>762.11105365733977</v>
      </c>
      <c r="I2326" s="12">
        <f t="shared" si="299"/>
        <v>0.15896399785040594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602.87795827341597</v>
      </c>
      <c r="F2327" s="37">
        <f t="shared" si="293"/>
        <v>0</v>
      </c>
      <c r="G2327" s="14">
        <f t="shared" si="294"/>
        <v>0</v>
      </c>
      <c r="H2327" s="24">
        <f t="shared" si="292"/>
        <v>762.22412327301276</v>
      </c>
      <c r="I2327" s="12">
        <f t="shared" si="299"/>
        <v>0.1589114941388689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603.03686976755489</v>
      </c>
      <c r="F2328" s="37">
        <f t="shared" si="293"/>
        <v>0</v>
      </c>
      <c r="G2328" s="14">
        <f t="shared" si="294"/>
        <v>0</v>
      </c>
      <c r="H2328" s="24">
        <f t="shared" si="292"/>
        <v>762.33742176553574</v>
      </c>
      <c r="I2328" s="12">
        <f t="shared" si="299"/>
        <v>0.15885896580696146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603.19572873336188</v>
      </c>
      <c r="F2329" s="37">
        <f t="shared" si="293"/>
        <v>0</v>
      </c>
      <c r="G2329" s="14">
        <f t="shared" si="294"/>
        <v>0</v>
      </c>
      <c r="H2329" s="24">
        <f t="shared" si="292"/>
        <v>762.45094979433179</v>
      </c>
      <c r="I2329" s="12">
        <f t="shared" si="299"/>
        <v>0.15880641279067026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603.35453514615256</v>
      </c>
      <c r="F2330" s="37">
        <f t="shared" si="293"/>
        <v>0</v>
      </c>
      <c r="G2330" s="14">
        <f t="shared" si="294"/>
        <v>0</v>
      </c>
      <c r="H2330" s="24">
        <f t="shared" si="292"/>
        <v>762.56470802127035</v>
      </c>
      <c r="I2330" s="12">
        <f t="shared" si="299"/>
        <v>0.15875383502574658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603.51328898117833</v>
      </c>
      <c r="F2331" s="37">
        <f t="shared" si="293"/>
        <v>0</v>
      </c>
      <c r="G2331" s="14">
        <f t="shared" si="294"/>
        <v>0</v>
      </c>
      <c r="H2331" s="24">
        <f t="shared" si="292"/>
        <v>762.6786971106784</v>
      </c>
      <c r="I2331" s="12">
        <f t="shared" si="299"/>
        <v>0.15870123244770656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603.67199021362603</v>
      </c>
      <c r="F2332" s="37">
        <f t="shared" si="293"/>
        <v>0</v>
      </c>
      <c r="G2332" s="14">
        <f t="shared" si="294"/>
        <v>0</v>
      </c>
      <c r="H2332" s="24">
        <f t="shared" si="292"/>
        <v>762.7929177293513</v>
      </c>
      <c r="I2332" s="12">
        <f t="shared" si="299"/>
        <v>0.15864860499182912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603.8306388186179</v>
      </c>
      <c r="F2333" s="37">
        <f t="shared" si="293"/>
        <v>0</v>
      </c>
      <c r="G2333" s="14">
        <f t="shared" si="294"/>
        <v>0</v>
      </c>
      <c r="H2333" s="24">
        <f t="shared" si="292"/>
        <v>762.90737054656415</v>
      </c>
      <c r="I2333" s="12">
        <f t="shared" si="299"/>
        <v>0.15859595259315654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603.98923477121104</v>
      </c>
      <c r="F2334" s="37">
        <f t="shared" si="293"/>
        <v>0</v>
      </c>
      <c r="G2334" s="14">
        <f t="shared" si="294"/>
        <v>0</v>
      </c>
      <c r="H2334" s="24">
        <f t="shared" si="292"/>
        <v>763.02205623408258</v>
      </c>
      <c r="I2334" s="12">
        <f t="shared" si="299"/>
        <v>0.1585432751864928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604.14777804639755</v>
      </c>
      <c r="F2335" s="37">
        <f t="shared" si="293"/>
        <v>0</v>
      </c>
      <c r="G2335" s="14">
        <f t="shared" si="294"/>
        <v>0</v>
      </c>
      <c r="H2335" s="24">
        <f t="shared" si="292"/>
        <v>763.13697546617436</v>
      </c>
      <c r="I2335" s="12">
        <f t="shared" si="299"/>
        <v>0.1584905727064031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604.306268619104</v>
      </c>
      <c r="F2336" s="37">
        <f t="shared" si="293"/>
        <v>0</v>
      </c>
      <c r="G2336" s="14">
        <f t="shared" si="294"/>
        <v>0</v>
      </c>
      <c r="H2336" s="24">
        <f t="shared" si="292"/>
        <v>763.25212891962042</v>
      </c>
      <c r="I2336" s="12">
        <f t="shared" si="299"/>
        <v>0.15843784508721284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604.46470646419118</v>
      </c>
      <c r="F2337" s="37">
        <f t="shared" si="293"/>
        <v>0</v>
      </c>
      <c r="G2337" s="14">
        <f t="shared" si="294"/>
        <v>0</v>
      </c>
      <c r="H2337" s="24">
        <f t="shared" si="292"/>
        <v>763.36751727372643</v>
      </c>
      <c r="I2337" s="12">
        <f t="shared" si="299"/>
        <v>0.15838509226300729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604.62309155645414</v>
      </c>
      <c r="F2338" s="37">
        <f t="shared" si="293"/>
        <v>0</v>
      </c>
      <c r="G2338" s="14">
        <f t="shared" si="294"/>
        <v>0</v>
      </c>
      <c r="H2338" s="24">
        <f t="shared" si="292"/>
        <v>763.48314121033422</v>
      </c>
      <c r="I2338" s="12">
        <f t="shared" si="299"/>
        <v>0.15833231416763013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604.78142387062178</v>
      </c>
      <c r="F2339" s="37">
        <f t="shared" si="293"/>
        <v>0</v>
      </c>
      <c r="G2339" s="14">
        <f t="shared" si="294"/>
        <v>0</v>
      </c>
      <c r="H2339" s="24">
        <f t="shared" si="292"/>
        <v>763.59900141383298</v>
      </c>
      <c r="I2339" s="12">
        <f t="shared" si="299"/>
        <v>0.15827951073468327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604.93970338135648</v>
      </c>
      <c r="F2340" s="37">
        <f t="shared" si="293"/>
        <v>0</v>
      </c>
      <c r="G2340" s="14">
        <f t="shared" si="294"/>
        <v>0</v>
      </c>
      <c r="H2340" s="24">
        <f t="shared" si="292"/>
        <v>763.71509857117098</v>
      </c>
      <c r="I2340" s="12">
        <f t="shared" si="299"/>
        <v>0.15822668189752581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605.09793006325401</v>
      </c>
      <c r="F2341" s="37">
        <f t="shared" si="293"/>
        <v>0</v>
      </c>
      <c r="G2341" s="14">
        <f t="shared" si="294"/>
        <v>0</v>
      </c>
      <c r="H2341" s="24">
        <f t="shared" si="292"/>
        <v>763.83143337186721</v>
      </c>
      <c r="I2341" s="12">
        <f t="shared" si="299"/>
        <v>0.15817382758927295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605.25610389084329</v>
      </c>
      <c r="F2342" s="37">
        <f t="shared" si="293"/>
        <v>0</v>
      </c>
      <c r="G2342" s="14">
        <f t="shared" si="294"/>
        <v>0</v>
      </c>
      <c r="H2342" s="24">
        <f t="shared" si="292"/>
        <v>763.9480065080229</v>
      </c>
      <c r="I2342" s="12">
        <f t="shared" si="299"/>
        <v>0.15812094774279584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605.41422483858605</v>
      </c>
      <c r="F2343" s="37">
        <f t="shared" si="293"/>
        <v>0</v>
      </c>
      <c r="G2343" s="14">
        <f t="shared" si="294"/>
        <v>0</v>
      </c>
      <c r="H2343" s="24">
        <f t="shared" si="292"/>
        <v>764.06481867433342</v>
      </c>
      <c r="I2343" s="12">
        <f t="shared" si="299"/>
        <v>0.15806804229072002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605.57229288087672</v>
      </c>
      <c r="F2344" s="37">
        <f t="shared" si="293"/>
        <v>0</v>
      </c>
      <c r="G2344" s="14">
        <f t="shared" si="294"/>
        <v>0</v>
      </c>
      <c r="H2344" s="24">
        <f t="shared" si="292"/>
        <v>764.18187056809984</v>
      </c>
      <c r="I2344" s="12">
        <f t="shared" si="299"/>
        <v>0.15801511116542516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605.73030799204219</v>
      </c>
      <c r="F2345" s="37">
        <f t="shared" si="293"/>
        <v>0</v>
      </c>
      <c r="G2345" s="14">
        <f t="shared" si="294"/>
        <v>0</v>
      </c>
      <c r="H2345" s="24">
        <f t="shared" si="292"/>
        <v>764.29916288924107</v>
      </c>
      <c r="I2345" s="12">
        <f t="shared" si="299"/>
        <v>0.15796215429904392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605.88827014634126</v>
      </c>
      <c r="F2346" s="37">
        <f t="shared" si="293"/>
        <v>0</v>
      </c>
      <c r="G2346" s="14">
        <f t="shared" si="294"/>
        <v>0</v>
      </c>
      <c r="H2346" s="24">
        <f t="shared" si="292"/>
        <v>764.41669634030541</v>
      </c>
      <c r="I2346" s="12">
        <f t="shared" si="299"/>
        <v>0.15790917162346127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606.04617931796474</v>
      </c>
      <c r="F2347" s="37">
        <f t="shared" si="293"/>
        <v>0</v>
      </c>
      <c r="G2347" s="14">
        <f t="shared" si="294"/>
        <v>0</v>
      </c>
      <c r="H2347" s="24">
        <f t="shared" si="292"/>
        <v>764.53447162648274</v>
      </c>
      <c r="I2347" s="12">
        <f t="shared" si="299"/>
        <v>0.15785616307031372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606.20403548103502</v>
      </c>
      <c r="F2348" s="37">
        <f t="shared" si="293"/>
        <v>0</v>
      </c>
      <c r="G2348" s="14">
        <f t="shared" si="294"/>
        <v>0</v>
      </c>
      <c r="H2348" s="24">
        <f t="shared" si="292"/>
        <v>764.65248945561655</v>
      </c>
      <c r="I2348" s="12">
        <f t="shared" si="299"/>
        <v>0.15780312857098827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606.36183860960602</v>
      </c>
      <c r="F2349" s="37">
        <f t="shared" si="293"/>
        <v>0</v>
      </c>
      <c r="G2349" s="14">
        <f t="shared" si="294"/>
        <v>0</v>
      </c>
      <c r="H2349" s="24">
        <f t="shared" si="292"/>
        <v>764.77075053821591</v>
      </c>
      <c r="I2349" s="12">
        <f t="shared" si="299"/>
        <v>0.15775006805662184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606.51958867766268</v>
      </c>
      <c r="F2350" s="37">
        <f t="shared" si="293"/>
        <v>0</v>
      </c>
      <c r="G2350" s="14">
        <f t="shared" si="294"/>
        <v>0</v>
      </c>
      <c r="H2350" s="24">
        <f t="shared" si="292"/>
        <v>764.88925558746769</v>
      </c>
      <c r="I2350" s="12">
        <f t="shared" si="299"/>
        <v>0.15769698145810013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606.6772856591208</v>
      </c>
      <c r="F2351" s="37">
        <f t="shared" si="293"/>
        <v>0</v>
      </c>
      <c r="G2351" s="14">
        <f t="shared" si="294"/>
        <v>0</v>
      </c>
      <c r="H2351" s="24">
        <f t="shared" si="292"/>
        <v>765.00800531924915</v>
      </c>
      <c r="I2351" s="12">
        <f t="shared" si="299"/>
        <v>0.15764386870605707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606.83492952782683</v>
      </c>
      <c r="F2352" s="37">
        <f t="shared" si="293"/>
        <v>0</v>
      </c>
      <c r="G2352" s="14">
        <f t="shared" si="294"/>
        <v>0</v>
      </c>
      <c r="H2352" s="24">
        <f t="shared" si="292"/>
        <v>765.12700045213933</v>
      </c>
      <c r="I2352" s="12">
        <f t="shared" si="299"/>
        <v>0.15759072973087407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606.99252025755766</v>
      </c>
      <c r="F2353" s="37">
        <f t="shared" si="293"/>
        <v>0</v>
      </c>
      <c r="G2353" s="14">
        <f t="shared" si="294"/>
        <v>0</v>
      </c>
      <c r="H2353" s="24">
        <f t="shared" si="292"/>
        <v>765.24624170743255</v>
      </c>
      <c r="I2353" s="12">
        <f t="shared" si="299"/>
        <v>0.15753756446267839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607.15005782202036</v>
      </c>
      <c r="F2354" s="37">
        <f t="shared" si="293"/>
        <v>0</v>
      </c>
      <c r="G2354" s="14">
        <f t="shared" si="294"/>
        <v>0</v>
      </c>
      <c r="H2354" s="24">
        <f t="shared" si="292"/>
        <v>765.3657298091498</v>
      </c>
      <c r="I2354" s="12">
        <f t="shared" si="299"/>
        <v>0.15748437283134337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607.30754219485175</v>
      </c>
      <c r="F2355" s="37">
        <f t="shared" si="293"/>
        <v>0</v>
      </c>
      <c r="G2355" s="14">
        <f t="shared" si="294"/>
        <v>0</v>
      </c>
      <c r="H2355" s="24">
        <f t="shared" si="292"/>
        <v>765.48546548405204</v>
      </c>
      <c r="I2355" s="12">
        <f t="shared" si="299"/>
        <v>0.15743115476648678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607.46497334961828</v>
      </c>
      <c r="F2356" s="37">
        <f t="shared" si="293"/>
        <v>0</v>
      </c>
      <c r="G2356" s="14">
        <f t="shared" si="294"/>
        <v>0</v>
      </c>
      <c r="H2356" s="24">
        <f t="shared" si="292"/>
        <v>765.60544946165203</v>
      </c>
      <c r="I2356" s="12">
        <f t="shared" si="299"/>
        <v>0.15737791019747049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607.62235125981579</v>
      </c>
      <c r="F2357" s="37">
        <f t="shared" si="293"/>
        <v>0</v>
      </c>
      <c r="G2357" s="14">
        <f t="shared" si="294"/>
        <v>0</v>
      </c>
      <c r="H2357" s="24">
        <f t="shared" si="292"/>
        <v>765.72568247422771</v>
      </c>
      <c r="I2357" s="12">
        <f t="shared" si="299"/>
        <v>0.15732463905339913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607.77967589886919</v>
      </c>
      <c r="F2358" s="37">
        <f t="shared" si="293"/>
        <v>0</v>
      </c>
      <c r="G2358" s="14">
        <f t="shared" si="294"/>
        <v>0</v>
      </c>
      <c r="H2358" s="24">
        <f t="shared" si="292"/>
        <v>765.84616525683407</v>
      </c>
      <c r="I2358" s="12">
        <f t="shared" si="299"/>
        <v>0.15727134126311959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607.93694724013233</v>
      </c>
      <c r="F2359" s="37">
        <f t="shared" si="293"/>
        <v>0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765.96689854731676</v>
      </c>
      <c r="I2359" s="12">
        <f t="shared" si="299"/>
        <v>0.15721801675521996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608.09416525688755</v>
      </c>
      <c r="F2360" s="37">
        <f t="shared" si="293"/>
        <v>0</v>
      </c>
      <c r="G2360" s="14">
        <f t="shared" si="294"/>
        <v>0</v>
      </c>
      <c r="H2360" s="24">
        <f t="shared" si="300"/>
        <v>766.08788308632427</v>
      </c>
      <c r="I2360" s="12">
        <f t="shared" si="299"/>
        <v>0.15716466545802874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608.25132992234558</v>
      </c>
      <c r="F2361" s="37">
        <f t="shared" si="293"/>
        <v>0</v>
      </c>
      <c r="G2361" s="14">
        <f t="shared" si="294"/>
        <v>0</v>
      </c>
      <c r="H2361" s="24">
        <f t="shared" si="300"/>
        <v>766.20911961732111</v>
      </c>
      <c r="I2361" s="12">
        <f t="shared" si="299"/>
        <v>0.15711128729961388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608.40844120964516</v>
      </c>
      <c r="F2362" s="37">
        <f t="shared" si="293"/>
        <v>0</v>
      </c>
      <c r="G2362" s="14">
        <f t="shared" si="294"/>
        <v>0</v>
      </c>
      <c r="H2362" s="24">
        <f t="shared" si="300"/>
        <v>766.33060888660066</v>
      </c>
      <c r="I2362" s="12">
        <f t="shared" si="299"/>
        <v>0.15705788220778211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608.56549909185298</v>
      </c>
      <c r="F2363" s="37">
        <f t="shared" si="293"/>
        <v>0</v>
      </c>
      <c r="G2363" s="14">
        <f t="shared" si="294"/>
        <v>0</v>
      </c>
      <c r="H2363" s="24">
        <f t="shared" si="300"/>
        <v>766.45235164329836</v>
      </c>
      <c r="I2363" s="12">
        <f t="shared" si="299"/>
        <v>0.15700445011007783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608.72250354196308</v>
      </c>
      <c r="F2364" s="37">
        <f t="shared" si="293"/>
        <v>0</v>
      </c>
      <c r="G2364" s="14">
        <f t="shared" si="294"/>
        <v>0</v>
      </c>
      <c r="H2364" s="24">
        <f t="shared" si="300"/>
        <v>766.57434863940466</v>
      </c>
      <c r="I2364" s="12">
        <f t="shared" si="299"/>
        <v>0.15695099093378209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608.87945453289683</v>
      </c>
      <c r="F2365" s="37">
        <f t="shared" si="293"/>
        <v>0</v>
      </c>
      <c r="G2365" s="14">
        <f t="shared" si="294"/>
        <v>0</v>
      </c>
      <c r="H2365" s="24">
        <f t="shared" si="300"/>
        <v>766.69660062977812</v>
      </c>
      <c r="I2365" s="12">
        <f t="shared" si="299"/>
        <v>0.15689750460591234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609.03635203750275</v>
      </c>
      <c r="F2366" s="37">
        <f t="shared" si="293"/>
        <v>0</v>
      </c>
      <c r="G2366" s="14">
        <f t="shared" si="294"/>
        <v>0</v>
      </c>
      <c r="H2366" s="24">
        <f t="shared" si="300"/>
        <v>766.81910837215923</v>
      </c>
      <c r="I2366" s="12">
        <f t="shared" si="299"/>
        <v>0.15684399105322075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609.19319602855592</v>
      </c>
      <c r="F2367" s="37">
        <f t="shared" si="293"/>
        <v>0</v>
      </c>
      <c r="G2367" s="14">
        <f t="shared" si="294"/>
        <v>0</v>
      </c>
      <c r="H2367" s="24">
        <f t="shared" si="300"/>
        <v>766.94187262718265</v>
      </c>
      <c r="I2367" s="12">
        <f t="shared" si="299"/>
        <v>0.15679045020219384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609.34998647875807</v>
      </c>
      <c r="F2368" s="37">
        <f t="shared" si="293"/>
        <v>0</v>
      </c>
      <c r="G2368" s="14">
        <f t="shared" si="294"/>
        <v>0</v>
      </c>
      <c r="H2368" s="24">
        <f t="shared" si="300"/>
        <v>767.06489415839189</v>
      </c>
      <c r="I2368" s="12">
        <f t="shared" si="299"/>
        <v>0.15673688197905128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609.50672336073717</v>
      </c>
      <c r="F2369" s="37">
        <f t="shared" si="293"/>
        <v>0</v>
      </c>
      <c r="G2369" s="14">
        <f t="shared" si="294"/>
        <v>0</v>
      </c>
      <c r="H2369" s="24">
        <f t="shared" si="300"/>
        <v>767.1881737322517</v>
      </c>
      <c r="I2369" s="12">
        <f t="shared" si="299"/>
        <v>0.15668328630974518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609.66340664704694</v>
      </c>
      <c r="F2370" s="37">
        <f t="shared" si="293"/>
        <v>0</v>
      </c>
      <c r="G2370" s="14">
        <f t="shared" si="294"/>
        <v>0</v>
      </c>
      <c r="H2370" s="24">
        <f t="shared" si="300"/>
        <v>767.31171211816195</v>
      </c>
      <c r="I2370" s="12">
        <f t="shared" si="299"/>
        <v>0.15662966311995918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609.82003631016687</v>
      </c>
      <c r="F2371" s="37">
        <f t="shared" si="293"/>
        <v>0</v>
      </c>
      <c r="G2371" s="14">
        <f t="shared" si="294"/>
        <v>0</v>
      </c>
      <c r="H2371" s="24">
        <f t="shared" si="300"/>
        <v>767.43551008847169</v>
      </c>
      <c r="I2371" s="12">
        <f t="shared" si="299"/>
        <v>0.15657601233510743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609.97661232250198</v>
      </c>
      <c r="F2372" s="37">
        <f t="shared" si="293"/>
        <v>0</v>
      </c>
      <c r="G2372" s="14">
        <f t="shared" si="294"/>
        <v>0</v>
      </c>
      <c r="H2372" s="24">
        <f t="shared" si="300"/>
        <v>767.55956841849206</v>
      </c>
      <c r="I2372" s="12">
        <f t="shared" si="299"/>
        <v>0.15652233388033368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610.13313465638237</v>
      </c>
      <c r="F2373" s="37">
        <f t="shared" si="293"/>
        <v>0</v>
      </c>
      <c r="G2373" s="14">
        <f t="shared" si="294"/>
        <v>0</v>
      </c>
      <c r="H2373" s="24">
        <f t="shared" si="300"/>
        <v>767.68388788651089</v>
      </c>
      <c r="I2373" s="12">
        <f t="shared" si="299"/>
        <v>0.15646862768051029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610.28960328406288</v>
      </c>
      <c r="F2374" s="37">
        <f t="shared" si="293"/>
        <v>0</v>
      </c>
      <c r="G2374" s="14">
        <f t="shared" si="294"/>
        <v>0</v>
      </c>
      <c r="H2374" s="24">
        <f t="shared" si="300"/>
        <v>767.80846927380549</v>
      </c>
      <c r="I2374" s="12">
        <f t="shared" si="299"/>
        <v>0.15641489366023778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610.44601817772309</v>
      </c>
      <c r="F2375" s="37">
        <f t="shared" si="293"/>
        <v>0</v>
      </c>
      <c r="G2375" s="14">
        <f t="shared" si="294"/>
        <v>0</v>
      </c>
      <c r="H2375" s="24">
        <f t="shared" si="300"/>
        <v>767.93331336465769</v>
      </c>
      <c r="I2375" s="12">
        <f t="shared" si="299"/>
        <v>0.15636113174384306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610.60237930946698</v>
      </c>
      <c r="F2376" s="37">
        <f t="shared" si="293"/>
        <v>0</v>
      </c>
      <c r="G2376" s="14">
        <f t="shared" si="294"/>
        <v>0</v>
      </c>
      <c r="H2376" s="24">
        <f t="shared" si="300"/>
        <v>768.05842094636694</v>
      </c>
      <c r="I2376" s="12">
        <f t="shared" si="299"/>
        <v>0.15630734185537926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610.75868665132236</v>
      </c>
      <c r="F2377" s="37">
        <f t="shared" si="293"/>
        <v>0</v>
      </c>
      <c r="G2377" s="14">
        <f t="shared" si="294"/>
        <v>0</v>
      </c>
      <c r="H2377" s="24">
        <f t="shared" si="300"/>
        <v>768.18379280926467</v>
      </c>
      <c r="I2377" s="12">
        <f t="shared" si="299"/>
        <v>0.15625352391862454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610.91494017524099</v>
      </c>
      <c r="F2378" s="37">
        <f t="shared" si="293"/>
        <v>0</v>
      </c>
      <c r="G2378" s="14">
        <f t="shared" si="294"/>
        <v>0</v>
      </c>
      <c r="H2378" s="24">
        <f t="shared" si="300"/>
        <v>768.30942974672871</v>
      </c>
      <c r="I2378" s="12">
        <f t="shared" si="299"/>
        <v>0.15619967785708092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611.07113985309809</v>
      </c>
      <c r="F2379" s="37">
        <f t="shared" si="293"/>
        <v>0</v>
      </c>
      <c r="G2379" s="14">
        <f t="shared" si="294"/>
        <v>0</v>
      </c>
      <c r="H2379" s="24">
        <f t="shared" si="300"/>
        <v>768.43533255519708</v>
      </c>
      <c r="I2379" s="12">
        <f t="shared" si="299"/>
        <v>0.15614580359397373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611.22728565669206</v>
      </c>
      <c r="F2380" s="37">
        <f t="shared" si="293"/>
        <v>0</v>
      </c>
      <c r="G2380" s="14">
        <f t="shared" si="294"/>
        <v>0</v>
      </c>
      <c r="H2380" s="24">
        <f t="shared" si="300"/>
        <v>768.56150203418235</v>
      </c>
      <c r="I2380" s="12">
        <f t="shared" si="299"/>
        <v>0.15609190105225029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611.38337755774432</v>
      </c>
      <c r="F2381" s="37">
        <f t="shared" si="293"/>
        <v>0</v>
      </c>
      <c r="G2381" s="14">
        <f t="shared" si="294"/>
        <v>0</v>
      </c>
      <c r="H2381" s="24">
        <f t="shared" si="300"/>
        <v>768.68793898628633</v>
      </c>
      <c r="I2381" s="12">
        <f t="shared" si="299"/>
        <v>0.15603797015457924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611.53941552789888</v>
      </c>
      <c r="F2382" s="37">
        <f t="shared" si="293"/>
        <v>0</v>
      </c>
      <c r="G2382" s="14">
        <f t="shared" si="294"/>
        <v>0</v>
      </c>
      <c r="H2382" s="24">
        <f t="shared" si="300"/>
        <v>768.81464421721387</v>
      </c>
      <c r="I2382" s="12">
        <f t="shared" si="299"/>
        <v>0.15598401082334951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611.6953995387222</v>
      </c>
      <c r="F2383" s="37">
        <f t="shared" si="293"/>
        <v>0</v>
      </c>
      <c r="G2383" s="14">
        <f t="shared" si="294"/>
        <v>0</v>
      </c>
      <c r="H2383" s="24">
        <f t="shared" si="300"/>
        <v>768.94161853578817</v>
      </c>
      <c r="I2383" s="12">
        <f t="shared" si="299"/>
        <v>0.15593002298066924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611.85132956170287</v>
      </c>
      <c r="F2384" s="37">
        <f t="shared" si="293"/>
        <v>0</v>
      </c>
      <c r="G2384" s="14">
        <f t="shared" si="294"/>
        <v>0</v>
      </c>
      <c r="H2384" s="24">
        <f t="shared" si="300"/>
        <v>769.06886275396494</v>
      </c>
      <c r="I2384" s="12">
        <f t="shared" si="299"/>
        <v>0.15587600654836503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612.00720556825127</v>
      </c>
      <c r="F2385" s="37">
        <f t="shared" si="293"/>
        <v>0</v>
      </c>
      <c r="G2385" s="14">
        <f t="shared" si="294"/>
        <v>0</v>
      </c>
      <c r="H2385" s="24">
        <f t="shared" si="300"/>
        <v>769.19637768684686</v>
      </c>
      <c r="I2385" s="12">
        <f t="shared" si="299"/>
        <v>0.1558219614479808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612.16302752969921</v>
      </c>
      <c r="F2386" s="37">
        <f t="shared" si="293"/>
        <v>0</v>
      </c>
      <c r="G2386" s="14">
        <f t="shared" si="294"/>
        <v>0</v>
      </c>
      <c r="H2386" s="24">
        <f t="shared" si="300"/>
        <v>769.32416415269881</v>
      </c>
      <c r="I2386" s="12">
        <f t="shared" si="299"/>
        <v>0.15576788760077673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612.31879541729995</v>
      </c>
      <c r="F2387" s="37">
        <f t="shared" si="293"/>
        <v>0</v>
      </c>
      <c r="G2387" s="14">
        <f t="shared" si="294"/>
        <v>0</v>
      </c>
      <c r="H2387" s="24">
        <f t="shared" si="300"/>
        <v>769.45222297296255</v>
      </c>
      <c r="I2387" s="12">
        <f t="shared" si="299"/>
        <v>0.15571378492772878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612.47450920222764</v>
      </c>
      <c r="F2388" s="37">
        <f t="shared" ref="F2388:F2451" si="301">Cp*RhoP/(RhoA*H2388)*dp/1000*MassivP</f>
        <v>0</v>
      </c>
      <c r="G2388" s="14">
        <f t="shared" ref="G2388:G2451" si="302">Phi*EpsilonF*Botzman/10^8*J2388*((D2388+273)^4-(E2388+273)^4)</f>
        <v>0</v>
      </c>
      <c r="H2388" s="24">
        <f t="shared" si="300"/>
        <v>769.58055497227133</v>
      </c>
      <c r="I2388" s="12">
        <f t="shared" si="299"/>
        <v>0.15565965334952708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612.63016885557715</v>
      </c>
      <c r="F2389" s="37">
        <f t="shared" si="301"/>
        <v>0</v>
      </c>
      <c r="G2389" s="14">
        <f t="shared" si="302"/>
        <v>0</v>
      </c>
      <c r="H2389" s="24">
        <f t="shared" si="300"/>
        <v>769.70916097846566</v>
      </c>
      <c r="I2389" s="12">
        <f t="shared" ref="I2389:I2452" si="307">LambdaP*MassivP/(dp/1000)/(H2389*RhoA)/(1+F2389/3)*(D2389-E2389)*DeltaT-(EXP(F2389/10)-1)*(D2389-D2388)</f>
        <v>0.15560549278657532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612.7857743483637</v>
      </c>
      <c r="F2390" s="37">
        <f t="shared" si="301"/>
        <v>0</v>
      </c>
      <c r="G2390" s="14">
        <f t="shared" si="302"/>
        <v>0</v>
      </c>
      <c r="H2390" s="24">
        <f t="shared" si="300"/>
        <v>769.83804182260735</v>
      </c>
      <c r="I2390" s="12">
        <f t="shared" si="307"/>
        <v>0.15555130315898968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612.94132565152267</v>
      </c>
      <c r="F2391" s="37">
        <f t="shared" si="301"/>
        <v>0</v>
      </c>
      <c r="G2391" s="14">
        <f t="shared" si="302"/>
        <v>0</v>
      </c>
      <c r="H2391" s="24">
        <f t="shared" si="300"/>
        <v>769.96719833899556</v>
      </c>
      <c r="I2391" s="12">
        <f t="shared" si="307"/>
        <v>0.15549708438659787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613.09682273590931</v>
      </c>
      <c r="F2392" s="37">
        <f t="shared" si="301"/>
        <v>0</v>
      </c>
      <c r="G2392" s="14">
        <f t="shared" si="302"/>
        <v>0</v>
      </c>
      <c r="H2392" s="24">
        <f t="shared" si="300"/>
        <v>770.09663136518179</v>
      </c>
      <c r="I2392" s="12">
        <f t="shared" si="307"/>
        <v>0.15544283638893788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613.25226557229826</v>
      </c>
      <c r="F2393" s="37">
        <f t="shared" si="301"/>
        <v>0</v>
      </c>
      <c r="G2393" s="14">
        <f t="shared" si="302"/>
        <v>0</v>
      </c>
      <c r="H2393" s="24">
        <f t="shared" si="300"/>
        <v>770.22634174198481</v>
      </c>
      <c r="I2393" s="12">
        <f t="shared" si="307"/>
        <v>0.15538855908525762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613.40765413138354</v>
      </c>
      <c r="F2394" s="37">
        <f t="shared" si="301"/>
        <v>0</v>
      </c>
      <c r="G2394" s="14">
        <f t="shared" si="302"/>
        <v>0</v>
      </c>
      <c r="H2394" s="24">
        <f t="shared" si="300"/>
        <v>770.35633031350665</v>
      </c>
      <c r="I2394" s="12">
        <f t="shared" si="307"/>
        <v>0.15533425239451315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613.56298838377802</v>
      </c>
      <c r="F2395" s="37">
        <f t="shared" si="301"/>
        <v>0</v>
      </c>
      <c r="G2395" s="14">
        <f t="shared" si="302"/>
        <v>0</v>
      </c>
      <c r="H2395" s="24">
        <f t="shared" si="300"/>
        <v>770.48659792714773</v>
      </c>
      <c r="I2395" s="12">
        <f t="shared" si="307"/>
        <v>0.1552799162353683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613.71826830001339</v>
      </c>
      <c r="F2396" s="37">
        <f t="shared" si="301"/>
        <v>0</v>
      </c>
      <c r="G2396" s="14">
        <f t="shared" si="302"/>
        <v>0</v>
      </c>
      <c r="H2396" s="24">
        <f t="shared" si="300"/>
        <v>770.61714543362291</v>
      </c>
      <c r="I2396" s="12">
        <f t="shared" si="307"/>
        <v>0.15522555052619316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613.8734938505396</v>
      </c>
      <c r="F2397" s="37">
        <f t="shared" si="301"/>
        <v>0</v>
      </c>
      <c r="G2397" s="14">
        <f t="shared" si="302"/>
        <v>0</v>
      </c>
      <c r="H2397" s="24">
        <f t="shared" si="300"/>
        <v>770.74797368697648</v>
      </c>
      <c r="I2397" s="12">
        <f t="shared" si="307"/>
        <v>0.15517115518506339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614.02866500572463</v>
      </c>
      <c r="F2398" s="37">
        <f t="shared" si="301"/>
        <v>0</v>
      </c>
      <c r="G2398" s="14">
        <f t="shared" si="302"/>
        <v>0</v>
      </c>
      <c r="H2398" s="24">
        <f t="shared" si="300"/>
        <v>770.87908354459842</v>
      </c>
      <c r="I2398" s="12">
        <f t="shared" si="307"/>
        <v>0.15511673012975896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614.18378173585438</v>
      </c>
      <c r="F2399" s="37">
        <f t="shared" si="301"/>
        <v>0</v>
      </c>
      <c r="G2399" s="14">
        <f t="shared" si="302"/>
        <v>0</v>
      </c>
      <c r="H2399" s="24">
        <f t="shared" si="300"/>
        <v>771.01047586724007</v>
      </c>
      <c r="I2399" s="12">
        <f t="shared" si="307"/>
        <v>0.15506227527776359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614.3388440111321</v>
      </c>
      <c r="F2400" s="37">
        <f t="shared" si="301"/>
        <v>0</v>
      </c>
      <c r="G2400" s="14">
        <f t="shared" si="302"/>
        <v>0</v>
      </c>
      <c r="H2400" s="24">
        <f t="shared" si="300"/>
        <v>771.14215151903034</v>
      </c>
      <c r="I2400" s="12">
        <f t="shared" si="307"/>
        <v>0.1550077905462631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614.49385180167837</v>
      </c>
      <c r="F2401" s="37">
        <f t="shared" si="301"/>
        <v>0</v>
      </c>
      <c r="G2401" s="14">
        <f t="shared" si="302"/>
        <v>0</v>
      </c>
      <c r="H2401" s="24">
        <f t="shared" si="300"/>
        <v>771.27411136749129</v>
      </c>
      <c r="I2401" s="12">
        <f t="shared" si="307"/>
        <v>0.15495327585214499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614.64880507753048</v>
      </c>
      <c r="F2402" s="37">
        <f t="shared" si="301"/>
        <v>0</v>
      </c>
      <c r="G2402" s="14">
        <f t="shared" si="302"/>
        <v>0</v>
      </c>
      <c r="H2402" s="24">
        <f t="shared" si="300"/>
        <v>771.40635628355449</v>
      </c>
      <c r="I2402" s="12">
        <f t="shared" si="307"/>
        <v>0.1548987311119967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614.80370380864247</v>
      </c>
      <c r="F2403" s="37">
        <f t="shared" si="301"/>
        <v>0</v>
      </c>
      <c r="G2403" s="14">
        <f t="shared" si="302"/>
        <v>0</v>
      </c>
      <c r="H2403" s="24">
        <f t="shared" si="300"/>
        <v>771.53888714157722</v>
      </c>
      <c r="I2403" s="12">
        <f t="shared" si="307"/>
        <v>0.15484415624210529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614.95854796488459</v>
      </c>
      <c r="F2404" s="37">
        <f t="shared" si="301"/>
        <v>0</v>
      </c>
      <c r="G2404" s="14">
        <f t="shared" si="302"/>
        <v>0</v>
      </c>
      <c r="H2404" s="24">
        <f t="shared" si="300"/>
        <v>771.67170481935875</v>
      </c>
      <c r="I2404" s="12">
        <f t="shared" si="307"/>
        <v>0.15478955115845597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615.11333751604309</v>
      </c>
      <c r="F2405" s="37">
        <f t="shared" si="301"/>
        <v>0</v>
      </c>
      <c r="G2405" s="14">
        <f t="shared" si="302"/>
        <v>0</v>
      </c>
      <c r="H2405" s="24">
        <f t="shared" si="300"/>
        <v>771.8048101981567</v>
      </c>
      <c r="I2405" s="12">
        <f t="shared" si="307"/>
        <v>0.15473491577673115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615.26807243181986</v>
      </c>
      <c r="F2406" s="37">
        <f t="shared" si="301"/>
        <v>0</v>
      </c>
      <c r="G2406" s="14">
        <f t="shared" si="302"/>
        <v>0</v>
      </c>
      <c r="H2406" s="24">
        <f t="shared" si="300"/>
        <v>771.93820416270341</v>
      </c>
      <c r="I2406" s="12">
        <f t="shared" si="307"/>
        <v>0.15468025001230945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615.42275268183221</v>
      </c>
      <c r="F2407" s="37">
        <f t="shared" si="301"/>
        <v>0</v>
      </c>
      <c r="G2407" s="14">
        <f t="shared" si="302"/>
        <v>0</v>
      </c>
      <c r="H2407" s="24">
        <f t="shared" si="300"/>
        <v>772.0718876012229</v>
      </c>
      <c r="I2407" s="12">
        <f t="shared" si="307"/>
        <v>0.15462555378026455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615.57737823561251</v>
      </c>
      <c r="F2408" s="37">
        <f t="shared" si="301"/>
        <v>0</v>
      </c>
      <c r="G2408" s="14">
        <f t="shared" si="302"/>
        <v>0</v>
      </c>
      <c r="H2408" s="24">
        <f t="shared" si="300"/>
        <v>772.20586140544697</v>
      </c>
      <c r="I2408" s="12">
        <f t="shared" si="307"/>
        <v>0.15457082699536406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615.7319490626079</v>
      </c>
      <c r="F2409" s="37">
        <f t="shared" si="301"/>
        <v>0</v>
      </c>
      <c r="G2409" s="14">
        <f t="shared" si="302"/>
        <v>0</v>
      </c>
      <c r="H2409" s="24">
        <f t="shared" si="300"/>
        <v>772.34012647063241</v>
      </c>
      <c r="I2409" s="12">
        <f t="shared" si="307"/>
        <v>0.15451606957206879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615.88646513217998</v>
      </c>
      <c r="F2410" s="37">
        <f t="shared" si="301"/>
        <v>0</v>
      </c>
      <c r="G2410" s="14">
        <f t="shared" si="302"/>
        <v>0</v>
      </c>
      <c r="H2410" s="24">
        <f t="shared" si="300"/>
        <v>772.47468369557737</v>
      </c>
      <c r="I2410" s="12">
        <f t="shared" si="307"/>
        <v>0.15446128142453139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616.04092641360455</v>
      </c>
      <c r="F2411" s="37">
        <f t="shared" si="301"/>
        <v>0</v>
      </c>
      <c r="G2411" s="14">
        <f t="shared" si="302"/>
        <v>0</v>
      </c>
      <c r="H2411" s="24">
        <f t="shared" si="300"/>
        <v>772.60953398263905</v>
      </c>
      <c r="I2411" s="12">
        <f t="shared" si="307"/>
        <v>0.1544064624665952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616.19533287607112</v>
      </c>
      <c r="F2412" s="37">
        <f t="shared" si="301"/>
        <v>0</v>
      </c>
      <c r="G2412" s="14">
        <f t="shared" si="302"/>
        <v>0</v>
      </c>
      <c r="H2412" s="24">
        <f t="shared" si="300"/>
        <v>772.74467823774967</v>
      </c>
      <c r="I2412" s="12">
        <f t="shared" si="307"/>
        <v>0.15435161261179356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616.3496844886829</v>
      </c>
      <c r="F2413" s="37">
        <f t="shared" si="301"/>
        <v>0</v>
      </c>
      <c r="G2413" s="14">
        <f t="shared" si="302"/>
        <v>0</v>
      </c>
      <c r="H2413" s="24">
        <f t="shared" si="300"/>
        <v>772.88011737043485</v>
      </c>
      <c r="I2413" s="12">
        <f t="shared" si="307"/>
        <v>0.15429673177334813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616.50398122045624</v>
      </c>
      <c r="F2414" s="37">
        <f t="shared" si="301"/>
        <v>0</v>
      </c>
      <c r="G2414" s="14">
        <f t="shared" si="302"/>
        <v>0</v>
      </c>
      <c r="H2414" s="24">
        <f t="shared" si="300"/>
        <v>773.01585229382954</v>
      </c>
      <c r="I2414" s="12">
        <f t="shared" si="307"/>
        <v>0.15424181986416854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616.65822304032042</v>
      </c>
      <c r="F2415" s="37">
        <f t="shared" si="301"/>
        <v>0</v>
      </c>
      <c r="G2415" s="14">
        <f t="shared" si="302"/>
        <v>0</v>
      </c>
      <c r="H2415" s="24">
        <f t="shared" si="300"/>
        <v>773.15188392469656</v>
      </c>
      <c r="I2415" s="12">
        <f t="shared" si="307"/>
        <v>0.15418687679685067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616.81240991711729</v>
      </c>
      <c r="F2416" s="37">
        <f t="shared" si="301"/>
        <v>0</v>
      </c>
      <c r="G2416" s="14">
        <f t="shared" si="302"/>
        <v>0</v>
      </c>
      <c r="H2416" s="24">
        <f t="shared" si="300"/>
        <v>773.28821318344285</v>
      </c>
      <c r="I2416" s="12">
        <f t="shared" si="307"/>
        <v>0.15413190248367586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616.96654181960093</v>
      </c>
      <c r="F2417" s="37">
        <f t="shared" si="301"/>
        <v>0</v>
      </c>
      <c r="G2417" s="14">
        <f t="shared" si="302"/>
        <v>0</v>
      </c>
      <c r="H2417" s="24">
        <f t="shared" si="300"/>
        <v>773.42484099413787</v>
      </c>
      <c r="I2417" s="12">
        <f t="shared" si="307"/>
        <v>0.15407689683660994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617.12061871643755</v>
      </c>
      <c r="F2418" s="37">
        <f t="shared" si="301"/>
        <v>0</v>
      </c>
      <c r="G2418" s="14">
        <f t="shared" si="302"/>
        <v>0</v>
      </c>
      <c r="H2418" s="24">
        <f t="shared" si="300"/>
        <v>773.5617682845309</v>
      </c>
      <c r="I2418" s="12">
        <f t="shared" si="307"/>
        <v>0.15402185976730148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617.27464057620489</v>
      </c>
      <c r="F2419" s="37">
        <f t="shared" si="301"/>
        <v>0</v>
      </c>
      <c r="G2419" s="14">
        <f t="shared" si="302"/>
        <v>0</v>
      </c>
      <c r="H2419" s="24">
        <f t="shared" si="300"/>
        <v>773.69899598606867</v>
      </c>
      <c r="I2419" s="12">
        <f t="shared" si="307"/>
        <v>0.15396679118708165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617.42860736739192</v>
      </c>
      <c r="F2420" s="37">
        <f t="shared" si="301"/>
        <v>0</v>
      </c>
      <c r="G2420" s="14">
        <f t="shared" si="302"/>
        <v>0</v>
      </c>
      <c r="H2420" s="24">
        <f t="shared" si="300"/>
        <v>773.83652503391306</v>
      </c>
      <c r="I2420" s="12">
        <f t="shared" si="307"/>
        <v>0.15391169100696223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617.58251905839893</v>
      </c>
      <c r="F2421" s="37">
        <f t="shared" si="301"/>
        <v>0</v>
      </c>
      <c r="G2421" s="14">
        <f t="shared" si="302"/>
        <v>0</v>
      </c>
      <c r="H2421" s="24">
        <f t="shared" si="300"/>
        <v>773.97435636695957</v>
      </c>
      <c r="I2421" s="12">
        <f t="shared" si="307"/>
        <v>0.15385655913763505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617.73637561753651</v>
      </c>
      <c r="F2422" s="37">
        <f t="shared" si="301"/>
        <v>0</v>
      </c>
      <c r="G2422" s="14">
        <f t="shared" si="302"/>
        <v>0</v>
      </c>
      <c r="H2422" s="24">
        <f t="shared" si="300"/>
        <v>774.11249092785465</v>
      </c>
      <c r="I2422" s="12">
        <f t="shared" si="307"/>
        <v>0.15380139548947067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617.890177013026</v>
      </c>
      <c r="F2423" s="37">
        <f t="shared" si="301"/>
        <v>0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774.25092966301418</v>
      </c>
      <c r="I2423" s="12">
        <f t="shared" si="307"/>
        <v>0.15374619997251721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618.04392321299849</v>
      </c>
      <c r="F2424" s="37">
        <f t="shared" si="301"/>
        <v>0</v>
      </c>
      <c r="G2424" s="14">
        <f t="shared" si="302"/>
        <v>0</v>
      </c>
      <c r="H2424" s="24">
        <f t="shared" si="308"/>
        <v>774.38967352264149</v>
      </c>
      <c r="I2424" s="12">
        <f t="shared" si="307"/>
        <v>0.15369097249649921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618.19761418549501</v>
      </c>
      <c r="F2425" s="37">
        <f t="shared" si="301"/>
        <v>0</v>
      </c>
      <c r="G2425" s="14">
        <f t="shared" si="302"/>
        <v>0</v>
      </c>
      <c r="H2425" s="24">
        <f t="shared" si="308"/>
        <v>774.52872346074594</v>
      </c>
      <c r="I2425" s="12">
        <f t="shared" si="307"/>
        <v>0.15363571297081655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618.35124989846588</v>
      </c>
      <c r="F2426" s="37">
        <f t="shared" si="301"/>
        <v>0</v>
      </c>
      <c r="G2426" s="14">
        <f t="shared" si="302"/>
        <v>0</v>
      </c>
      <c r="H2426" s="24">
        <f t="shared" si="308"/>
        <v>774.66808043516107</v>
      </c>
      <c r="I2426" s="12">
        <f t="shared" si="307"/>
        <v>0.15358042130454361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618.50483031977046</v>
      </c>
      <c r="F2427" s="37">
        <f t="shared" si="301"/>
        <v>0</v>
      </c>
      <c r="G2427" s="14">
        <f t="shared" si="302"/>
        <v>0</v>
      </c>
      <c r="H2427" s="24">
        <f t="shared" si="308"/>
        <v>774.8077454075634</v>
      </c>
      <c r="I2427" s="12">
        <f t="shared" si="307"/>
        <v>0.15352509740642731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618.65835541717684</v>
      </c>
      <c r="F2428" s="37">
        <f t="shared" si="301"/>
        <v>0</v>
      </c>
      <c r="G2428" s="14">
        <f t="shared" si="302"/>
        <v>0</v>
      </c>
      <c r="H2428" s="24">
        <f t="shared" si="308"/>
        <v>774.94771934349046</v>
      </c>
      <c r="I2428" s="12">
        <f t="shared" si="307"/>
        <v>0.15346974118488699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618.81182515836167</v>
      </c>
      <c r="F2429" s="37">
        <f t="shared" si="301"/>
        <v>0</v>
      </c>
      <c r="G2429" s="14">
        <f t="shared" si="302"/>
        <v>0</v>
      </c>
      <c r="H2429" s="24">
        <f t="shared" si="308"/>
        <v>775.08800321236026</v>
      </c>
      <c r="I2429" s="12">
        <f t="shared" si="307"/>
        <v>0.15341435254801242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618.96523951090967</v>
      </c>
      <c r="F2430" s="37">
        <f t="shared" si="301"/>
        <v>0</v>
      </c>
      <c r="G2430" s="14">
        <f t="shared" si="302"/>
        <v>0</v>
      </c>
      <c r="H2430" s="24">
        <f t="shared" si="308"/>
        <v>775.22859798748993</v>
      </c>
      <c r="I2430" s="12">
        <f t="shared" si="307"/>
        <v>0.15335893140356302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619.11859844231321</v>
      </c>
      <c r="F2431" s="37">
        <f t="shared" si="301"/>
        <v>0</v>
      </c>
      <c r="G2431" s="14">
        <f t="shared" si="302"/>
        <v>0</v>
      </c>
      <c r="H2431" s="24">
        <f t="shared" si="308"/>
        <v>775.36950464611425</v>
      </c>
      <c r="I2431" s="12">
        <f t="shared" si="307"/>
        <v>0.15330347765896676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619.27190191997215</v>
      </c>
      <c r="F2432" s="37">
        <f t="shared" si="301"/>
        <v>0</v>
      </c>
      <c r="G2432" s="14">
        <f t="shared" si="302"/>
        <v>0</v>
      </c>
      <c r="H2432" s="24">
        <f t="shared" si="308"/>
        <v>775.51072416940508</v>
      </c>
      <c r="I2432" s="12">
        <f t="shared" si="307"/>
        <v>0.1532479912213188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619.42514991119344</v>
      </c>
      <c r="F2433" s="37">
        <f t="shared" si="301"/>
        <v>0</v>
      </c>
      <c r="G2433" s="14">
        <f t="shared" si="302"/>
        <v>0</v>
      </c>
      <c r="H2433" s="24">
        <f t="shared" si="308"/>
        <v>775.65225754249036</v>
      </c>
      <c r="I2433" s="12">
        <f t="shared" si="307"/>
        <v>0.15319247199738023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619.57834238319083</v>
      </c>
      <c r="F2434" s="37">
        <f t="shared" si="301"/>
        <v>0</v>
      </c>
      <c r="G2434" s="14">
        <f t="shared" si="302"/>
        <v>0</v>
      </c>
      <c r="H2434" s="24">
        <f t="shared" si="308"/>
        <v>775.79410575447355</v>
      </c>
      <c r="I2434" s="12">
        <f t="shared" si="307"/>
        <v>0.15313691989357742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619.73147930308437</v>
      </c>
      <c r="F2435" s="37">
        <f t="shared" si="301"/>
        <v>0</v>
      </c>
      <c r="G2435" s="14">
        <f t="shared" si="302"/>
        <v>0</v>
      </c>
      <c r="H2435" s="24">
        <f t="shared" si="308"/>
        <v>775.93626979845271</v>
      </c>
      <c r="I2435" s="12">
        <f t="shared" si="307"/>
        <v>0.15308133481600017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619.88456063790034</v>
      </c>
      <c r="F2436" s="37">
        <f t="shared" si="301"/>
        <v>0</v>
      </c>
      <c r="G2436" s="14">
        <f t="shared" si="302"/>
        <v>0</v>
      </c>
      <c r="H2436" s="24">
        <f t="shared" si="308"/>
        <v>776.07875067154021</v>
      </c>
      <c r="I2436" s="12">
        <f t="shared" si="307"/>
        <v>0.15302571667040099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620.03758635457075</v>
      </c>
      <c r="F2437" s="37">
        <f t="shared" si="301"/>
        <v>0</v>
      </c>
      <c r="G2437" s="14">
        <f t="shared" si="302"/>
        <v>0</v>
      </c>
      <c r="H2437" s="24">
        <f t="shared" si="308"/>
        <v>776.22154937488256</v>
      </c>
      <c r="I2437" s="12">
        <f t="shared" si="307"/>
        <v>0.15297006536219351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620.19055641993293</v>
      </c>
      <c r="F2438" s="37">
        <f t="shared" si="301"/>
        <v>0</v>
      </c>
      <c r="G2438" s="14">
        <f t="shared" si="302"/>
        <v>0</v>
      </c>
      <c r="H2438" s="24">
        <f t="shared" si="308"/>
        <v>776.36466691367934</v>
      </c>
      <c r="I2438" s="12">
        <f t="shared" si="307"/>
        <v>0.15291438079645184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620.34347080072939</v>
      </c>
      <c r="F2439" s="37">
        <f t="shared" si="301"/>
        <v>0</v>
      </c>
      <c r="G2439" s="14">
        <f t="shared" si="302"/>
        <v>0</v>
      </c>
      <c r="H2439" s="24">
        <f t="shared" si="308"/>
        <v>776.50810429720377</v>
      </c>
      <c r="I2439" s="12">
        <f t="shared" si="307"/>
        <v>0.15285866287790878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620.49632946360725</v>
      </c>
      <c r="F2440" s="37">
        <f t="shared" si="301"/>
        <v>0</v>
      </c>
      <c r="G2440" s="14">
        <f t="shared" si="302"/>
        <v>0</v>
      </c>
      <c r="H2440" s="24">
        <f t="shared" si="308"/>
        <v>776.65186253882234</v>
      </c>
      <c r="I2440" s="12">
        <f t="shared" si="307"/>
        <v>0.15280291151095501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620.64913237511826</v>
      </c>
      <c r="F2441" s="37">
        <f t="shared" si="301"/>
        <v>0</v>
      </c>
      <c r="G2441" s="14">
        <f t="shared" si="302"/>
        <v>0</v>
      </c>
      <c r="H2441" s="24">
        <f t="shared" si="308"/>
        <v>776.79594265601497</v>
      </c>
      <c r="I2441" s="12">
        <f t="shared" si="307"/>
        <v>0.15274712659963774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620.80187950171785</v>
      </c>
      <c r="F2442" s="37">
        <f t="shared" si="301"/>
        <v>0</v>
      </c>
      <c r="G2442" s="14">
        <f t="shared" si="302"/>
        <v>0</v>
      </c>
      <c r="H2442" s="24">
        <f t="shared" si="308"/>
        <v>776.94034567039478</v>
      </c>
      <c r="I2442" s="12">
        <f t="shared" si="307"/>
        <v>0.15269130804765951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620.95457080976553</v>
      </c>
      <c r="F2443" s="37">
        <f t="shared" si="301"/>
        <v>0</v>
      </c>
      <c r="G2443" s="14">
        <f t="shared" si="302"/>
        <v>0</v>
      </c>
      <c r="H2443" s="24">
        <f t="shared" si="308"/>
        <v>777.08507260772899</v>
      </c>
      <c r="I2443" s="12">
        <f t="shared" si="307"/>
        <v>0.15263545575837681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621.10720626552393</v>
      </c>
      <c r="F2444" s="37">
        <f t="shared" si="301"/>
        <v>0</v>
      </c>
      <c r="G2444" s="14">
        <f t="shared" si="302"/>
        <v>0</v>
      </c>
      <c r="H2444" s="24">
        <f t="shared" si="308"/>
        <v>777.23012449795885</v>
      </c>
      <c r="I2444" s="12">
        <f t="shared" si="307"/>
        <v>0.15257956963479938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621.25978583515871</v>
      </c>
      <c r="F2445" s="37">
        <f t="shared" si="301"/>
        <v>0</v>
      </c>
      <c r="G2445" s="14">
        <f t="shared" si="302"/>
        <v>0</v>
      </c>
      <c r="H2445" s="24">
        <f t="shared" si="308"/>
        <v>777.37550237522021</v>
      </c>
      <c r="I2445" s="12">
        <f t="shared" si="307"/>
        <v>0.15252364957958814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621.41230948473833</v>
      </c>
      <c r="F2446" s="37">
        <f t="shared" si="301"/>
        <v>0</v>
      </c>
      <c r="G2446" s="14">
        <f t="shared" si="302"/>
        <v>0</v>
      </c>
      <c r="H2446" s="24">
        <f t="shared" si="308"/>
        <v>777.52120727786439</v>
      </c>
      <c r="I2446" s="12">
        <f t="shared" si="307"/>
        <v>0.15246769549505468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621.56477718023336</v>
      </c>
      <c r="F2447" s="37">
        <f t="shared" si="301"/>
        <v>0</v>
      </c>
      <c r="G2447" s="14">
        <f t="shared" si="302"/>
        <v>0</v>
      </c>
      <c r="H2447" s="24">
        <f t="shared" si="308"/>
        <v>777.66724024847849</v>
      </c>
      <c r="I2447" s="12">
        <f t="shared" si="307"/>
        <v>0.15241170728315981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621.7171888875165</v>
      </c>
      <c r="F2448" s="37">
        <f t="shared" si="301"/>
        <v>0</v>
      </c>
      <c r="G2448" s="14">
        <f t="shared" si="302"/>
        <v>0</v>
      </c>
      <c r="H2448" s="24">
        <f t="shared" si="308"/>
        <v>777.8136023339066</v>
      </c>
      <c r="I2448" s="12">
        <f t="shared" si="307"/>
        <v>0.15235568484551207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621.86954457236197</v>
      </c>
      <c r="F2449" s="37">
        <f t="shared" si="301"/>
        <v>0</v>
      </c>
      <c r="G2449" s="14">
        <f t="shared" si="302"/>
        <v>0</v>
      </c>
      <c r="H2449" s="24">
        <f t="shared" si="308"/>
        <v>777.96029458527073</v>
      </c>
      <c r="I2449" s="12">
        <f t="shared" si="307"/>
        <v>0.15229962808336697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622.02184420044534</v>
      </c>
      <c r="F2450" s="37">
        <f t="shared" si="301"/>
        <v>0</v>
      </c>
      <c r="G2450" s="14">
        <f t="shared" si="302"/>
        <v>0</v>
      </c>
      <c r="H2450" s="24">
        <f t="shared" si="308"/>
        <v>778.10731805799185</v>
      </c>
      <c r="I2450" s="12">
        <f t="shared" si="307"/>
        <v>0.15224353689762501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622.17408773734292</v>
      </c>
      <c r="F2451" s="37">
        <f t="shared" si="301"/>
        <v>0</v>
      </c>
      <c r="G2451" s="14">
        <f t="shared" si="302"/>
        <v>0</v>
      </c>
      <c r="H2451" s="24">
        <f t="shared" si="308"/>
        <v>778.2546738118109</v>
      </c>
      <c r="I2451" s="12">
        <f t="shared" si="307"/>
        <v>0.15218741118883136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622.32627514853175</v>
      </c>
      <c r="F2452" s="37">
        <f t="shared" ref="F2452:F2515" si="309">Cp*RhoP/(RhoA*H2452)*dp/1000*MassivP</f>
        <v>0</v>
      </c>
      <c r="G2452" s="14">
        <f t="shared" ref="G2452:G2515" si="310">Phi*EpsilonF*Botzman/10^8*J2452*((D2452+273)^4-(E2452+273)^4)</f>
        <v>0</v>
      </c>
      <c r="H2452" s="24">
        <f t="shared" si="308"/>
        <v>778.40236291081078</v>
      </c>
      <c r="I2452" s="12">
        <f t="shared" si="307"/>
        <v>0.15213125085717355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622.47840639938897</v>
      </c>
      <c r="F2453" s="37">
        <f t="shared" si="309"/>
        <v>0</v>
      </c>
      <c r="G2453" s="14">
        <f t="shared" si="310"/>
        <v>0</v>
      </c>
      <c r="H2453" s="24">
        <f t="shared" si="308"/>
        <v>778.55038642343686</v>
      </c>
      <c r="I2453" s="12">
        <f t="shared" ref="I2453:I2516" si="315">LambdaP*MassivP/(dp/1000)/(H2453*RhoA)/(1+F2453/3)*(D2453-E2453)*DeltaT-(EXP(F2453/10)-1)*(D2453-D2452)</f>
        <v>0.15207505580248112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622.63048145519144</v>
      </c>
      <c r="F2454" s="37">
        <f t="shared" si="309"/>
        <v>0</v>
      </c>
      <c r="G2454" s="14">
        <f t="shared" si="310"/>
        <v>0</v>
      </c>
      <c r="H2454" s="24">
        <f t="shared" si="308"/>
        <v>778.69874542251932</v>
      </c>
      <c r="I2454" s="12">
        <f t="shared" si="315"/>
        <v>0.15201882592422408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622.78250028111563</v>
      </c>
      <c r="F2455" s="37">
        <f t="shared" si="309"/>
        <v>0</v>
      </c>
      <c r="G2455" s="14">
        <f t="shared" si="310"/>
        <v>0</v>
      </c>
      <c r="H2455" s="24">
        <f t="shared" si="308"/>
        <v>778.84744098529461</v>
      </c>
      <c r="I2455" s="12">
        <f t="shared" si="315"/>
        <v>0.15196256112151102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622.93446284223717</v>
      </c>
      <c r="F2456" s="37">
        <f t="shared" si="309"/>
        <v>0</v>
      </c>
      <c r="G2456" s="14">
        <f t="shared" si="310"/>
        <v>0</v>
      </c>
      <c r="H2456" s="24">
        <f t="shared" si="308"/>
        <v>778.99647419342728</v>
      </c>
      <c r="I2456" s="12">
        <f t="shared" si="315"/>
        <v>0.15190626129308857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623.08636910353027</v>
      </c>
      <c r="F2457" s="37">
        <f t="shared" si="309"/>
        <v>0</v>
      </c>
      <c r="G2457" s="14">
        <f t="shared" si="310"/>
        <v>0</v>
      </c>
      <c r="H2457" s="24">
        <f t="shared" si="308"/>
        <v>779.14584613303202</v>
      </c>
      <c r="I2457" s="12">
        <f t="shared" si="315"/>
        <v>0.15184992633733996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623.23821902986765</v>
      </c>
      <c r="F2458" s="37">
        <f t="shared" si="309"/>
        <v>0</v>
      </c>
      <c r="G2458" s="14">
        <f t="shared" si="310"/>
        <v>0</v>
      </c>
      <c r="H2458" s="24">
        <f t="shared" si="308"/>
        <v>779.29555789469555</v>
      </c>
      <c r="I2458" s="12">
        <f t="shared" si="315"/>
        <v>0.15179355615228349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623.39001258601991</v>
      </c>
      <c r="F2459" s="37">
        <f t="shared" si="309"/>
        <v>0</v>
      </c>
      <c r="G2459" s="14">
        <f t="shared" si="310"/>
        <v>0</v>
      </c>
      <c r="H2459" s="24">
        <f t="shared" si="308"/>
        <v>779.44561057349893</v>
      </c>
      <c r="I2459" s="12">
        <f t="shared" si="315"/>
        <v>0.1517371506355715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623.54174973665545</v>
      </c>
      <c r="F2460" s="37">
        <f t="shared" si="309"/>
        <v>0</v>
      </c>
      <c r="G2460" s="14">
        <f t="shared" si="310"/>
        <v>0</v>
      </c>
      <c r="H2460" s="24">
        <f t="shared" si="308"/>
        <v>779.59600526904012</v>
      </c>
      <c r="I2460" s="12">
        <f t="shared" si="315"/>
        <v>0.15168070968448874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623.6934304463399</v>
      </c>
      <c r="F2461" s="37">
        <f t="shared" si="309"/>
        <v>0</v>
      </c>
      <c r="G2461" s="14">
        <f t="shared" si="310"/>
        <v>0</v>
      </c>
      <c r="H2461" s="24">
        <f t="shared" si="308"/>
        <v>779.74674308545616</v>
      </c>
      <c r="I2461" s="12">
        <f t="shared" si="315"/>
        <v>0.1516242331959512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623.84505467953591</v>
      </c>
      <c r="F2462" s="37">
        <f t="shared" si="309"/>
        <v>0</v>
      </c>
      <c r="G2462" s="14">
        <f t="shared" si="310"/>
        <v>0</v>
      </c>
      <c r="H2462" s="24">
        <f t="shared" si="308"/>
        <v>779.89782513144598</v>
      </c>
      <c r="I2462" s="12">
        <f t="shared" si="315"/>
        <v>0.15156772106650512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623.9966224006024</v>
      </c>
      <c r="F2463" s="37">
        <f t="shared" si="309"/>
        <v>0</v>
      </c>
      <c r="G2463" s="14">
        <f t="shared" si="310"/>
        <v>0</v>
      </c>
      <c r="H2463" s="24">
        <f t="shared" si="308"/>
        <v>780.04925252029295</v>
      </c>
      <c r="I2463" s="12">
        <f t="shared" si="315"/>
        <v>0.15151117319232507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624.14813357379478</v>
      </c>
      <c r="F2464" s="37">
        <f t="shared" si="309"/>
        <v>0</v>
      </c>
      <c r="G2464" s="14">
        <f t="shared" si="310"/>
        <v>0</v>
      </c>
      <c r="H2464" s="24">
        <f t="shared" si="308"/>
        <v>780.2010263698877</v>
      </c>
      <c r="I2464" s="12">
        <f t="shared" si="315"/>
        <v>0.15145458946921322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624.29958816326405</v>
      </c>
      <c r="F2465" s="37">
        <f t="shared" si="309"/>
        <v>0</v>
      </c>
      <c r="G2465" s="14">
        <f t="shared" si="310"/>
        <v>0</v>
      </c>
      <c r="H2465" s="24">
        <f t="shared" si="308"/>
        <v>780.35314780275166</v>
      </c>
      <c r="I2465" s="12">
        <f t="shared" si="315"/>
        <v>0.15139796979259751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624.45098613305663</v>
      </c>
      <c r="F2466" s="37">
        <f t="shared" si="309"/>
        <v>0</v>
      </c>
      <c r="G2466" s="14">
        <f t="shared" si="310"/>
        <v>0</v>
      </c>
      <c r="H2466" s="24">
        <f t="shared" si="308"/>
        <v>780.50561794605926</v>
      </c>
      <c r="I2466" s="12">
        <f t="shared" si="315"/>
        <v>0.15134131405753071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624.60232744711413</v>
      </c>
      <c r="F2467" s="37">
        <f t="shared" si="309"/>
        <v>0</v>
      </c>
      <c r="G2467" s="14">
        <f t="shared" si="310"/>
        <v>0</v>
      </c>
      <c r="H2467" s="24">
        <f t="shared" si="308"/>
        <v>780.65843793166209</v>
      </c>
      <c r="I2467" s="12">
        <f t="shared" si="315"/>
        <v>0.15128462215868871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624.75361206927278</v>
      </c>
      <c r="F2468" s="37">
        <f t="shared" si="309"/>
        <v>0</v>
      </c>
      <c r="G2468" s="14">
        <f t="shared" si="310"/>
        <v>0</v>
      </c>
      <c r="H2468" s="24">
        <f t="shared" si="308"/>
        <v>780.81160889611169</v>
      </c>
      <c r="I2468" s="12">
        <f t="shared" si="315"/>
        <v>0.15122789399036951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624.90483996326316</v>
      </c>
      <c r="F2469" s="37">
        <f t="shared" si="309"/>
        <v>0</v>
      </c>
      <c r="G2469" s="14">
        <f t="shared" si="310"/>
        <v>0</v>
      </c>
      <c r="H2469" s="24">
        <f t="shared" si="308"/>
        <v>780.96513198068374</v>
      </c>
      <c r="I2469" s="12">
        <f t="shared" si="315"/>
        <v>0.15117112944649153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625.0560110927097</v>
      </c>
      <c r="F2470" s="37">
        <f t="shared" si="309"/>
        <v>0</v>
      </c>
      <c r="G2470" s="14">
        <f t="shared" si="310"/>
        <v>0</v>
      </c>
      <c r="H2470" s="24">
        <f t="shared" si="308"/>
        <v>781.11900833140089</v>
      </c>
      <c r="I2470" s="12">
        <f t="shared" si="315"/>
        <v>0.15111432842059278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625.20712542113029</v>
      </c>
      <c r="F2471" s="37">
        <f t="shared" si="309"/>
        <v>0</v>
      </c>
      <c r="G2471" s="14">
        <f t="shared" si="310"/>
        <v>0</v>
      </c>
      <c r="H2471" s="24">
        <f t="shared" si="308"/>
        <v>781.27323909905704</v>
      </c>
      <c r="I2471" s="12">
        <f t="shared" si="315"/>
        <v>0.15105749080582867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625.35818291193607</v>
      </c>
      <c r="F2472" s="37">
        <f t="shared" si="309"/>
        <v>0</v>
      </c>
      <c r="G2472" s="14">
        <f t="shared" si="310"/>
        <v>0</v>
      </c>
      <c r="H2472" s="24">
        <f t="shared" si="308"/>
        <v>781.42782543924136</v>
      </c>
      <c r="I2472" s="12">
        <f t="shared" si="315"/>
        <v>0.15100061649497151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625.50918352843109</v>
      </c>
      <c r="F2473" s="37">
        <f t="shared" si="309"/>
        <v>0</v>
      </c>
      <c r="G2473" s="14">
        <f t="shared" si="310"/>
        <v>0</v>
      </c>
      <c r="H2473" s="24">
        <f t="shared" si="308"/>
        <v>781.58276851236246</v>
      </c>
      <c r="I2473" s="12">
        <f t="shared" si="315"/>
        <v>0.15094370538040869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625.66012723381152</v>
      </c>
      <c r="F2474" s="37">
        <f t="shared" si="309"/>
        <v>0</v>
      </c>
      <c r="G2474" s="14">
        <f t="shared" si="310"/>
        <v>0</v>
      </c>
      <c r="H2474" s="24">
        <f t="shared" si="308"/>
        <v>781.73806948367201</v>
      </c>
      <c r="I2474" s="12">
        <f t="shared" si="315"/>
        <v>0.15088675735414125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625.81101399116562</v>
      </c>
      <c r="F2475" s="37">
        <f t="shared" si="309"/>
        <v>0</v>
      </c>
      <c r="G2475" s="14">
        <f t="shared" si="310"/>
        <v>0</v>
      </c>
      <c r="H2475" s="24">
        <f t="shared" si="308"/>
        <v>781.89372952328984</v>
      </c>
      <c r="I2475" s="12">
        <f t="shared" si="315"/>
        <v>0.15082977230778272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625.96184376347344</v>
      </c>
      <c r="F2476" s="37">
        <f t="shared" si="309"/>
        <v>0</v>
      </c>
      <c r="G2476" s="14">
        <f t="shared" si="310"/>
        <v>0</v>
      </c>
      <c r="H2476" s="24">
        <f t="shared" si="308"/>
        <v>782.04974980622808</v>
      </c>
      <c r="I2476" s="12">
        <f t="shared" si="315"/>
        <v>0.15077275013255742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626.11261651360599</v>
      </c>
      <c r="F2477" s="37">
        <f t="shared" si="309"/>
        <v>0</v>
      </c>
      <c r="G2477" s="14">
        <f t="shared" si="310"/>
        <v>0</v>
      </c>
      <c r="H2477" s="24">
        <f t="shared" si="308"/>
        <v>782.20613151241582</v>
      </c>
      <c r="I2477" s="12">
        <f t="shared" si="315"/>
        <v>0.15071569071929947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626.26333220432525</v>
      </c>
      <c r="F2478" s="37">
        <f t="shared" si="309"/>
        <v>0</v>
      </c>
      <c r="G2478" s="14">
        <f t="shared" si="310"/>
        <v>0</v>
      </c>
      <c r="H2478" s="24">
        <f t="shared" si="308"/>
        <v>782.36287582672389</v>
      </c>
      <c r="I2478" s="12">
        <f t="shared" si="315"/>
        <v>0.15065859395845105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626.41399079828375</v>
      </c>
      <c r="F2479" s="37">
        <f t="shared" si="309"/>
        <v>0</v>
      </c>
      <c r="G2479" s="14">
        <f t="shared" si="310"/>
        <v>0</v>
      </c>
      <c r="H2479" s="24">
        <f t="shared" si="308"/>
        <v>782.51998393899032</v>
      </c>
      <c r="I2479" s="12">
        <f t="shared" si="315"/>
        <v>0.15060145974006123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626.56459225802382</v>
      </c>
      <c r="F2480" s="37">
        <f t="shared" si="309"/>
        <v>0</v>
      </c>
      <c r="G2480" s="14">
        <f t="shared" si="310"/>
        <v>0</v>
      </c>
      <c r="H2480" s="24">
        <f t="shared" si="308"/>
        <v>782.67745704404444</v>
      </c>
      <c r="I2480" s="12">
        <f t="shared" si="315"/>
        <v>0.15054428795378427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626.71513654597766</v>
      </c>
      <c r="F2481" s="37">
        <f t="shared" si="309"/>
        <v>0</v>
      </c>
      <c r="G2481" s="14">
        <f t="shared" si="310"/>
        <v>0</v>
      </c>
      <c r="H2481" s="24">
        <f t="shared" si="308"/>
        <v>782.83529634173306</v>
      </c>
      <c r="I2481" s="12">
        <f t="shared" si="315"/>
        <v>0.15048707848887863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626.86562362446648</v>
      </c>
      <c r="F2482" s="37">
        <f t="shared" si="309"/>
        <v>0</v>
      </c>
      <c r="G2482" s="14">
        <f t="shared" si="310"/>
        <v>0</v>
      </c>
      <c r="H2482" s="24">
        <f t="shared" si="308"/>
        <v>782.9935030369453</v>
      </c>
      <c r="I2482" s="12">
        <f t="shared" si="315"/>
        <v>0.15042983123420511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627.01605345570067</v>
      </c>
      <c r="F2483" s="37">
        <f t="shared" si="309"/>
        <v>0</v>
      </c>
      <c r="G2483" s="14">
        <f t="shared" si="310"/>
        <v>0</v>
      </c>
      <c r="H2483" s="24">
        <f t="shared" si="308"/>
        <v>783.15207833963848</v>
      </c>
      <c r="I2483" s="12">
        <f t="shared" si="315"/>
        <v>0.15037254607822559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627.16642600177886</v>
      </c>
      <c r="F2484" s="37">
        <f t="shared" si="309"/>
        <v>0</v>
      </c>
      <c r="G2484" s="14">
        <f t="shared" si="310"/>
        <v>0</v>
      </c>
      <c r="H2484" s="24">
        <f t="shared" si="308"/>
        <v>783.31102346486341</v>
      </c>
      <c r="I2484" s="12">
        <f t="shared" si="315"/>
        <v>0.15031522290900179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627.31674122468792</v>
      </c>
      <c r="F2485" s="37">
        <f t="shared" si="309"/>
        <v>0</v>
      </c>
      <c r="G2485" s="14">
        <f t="shared" si="310"/>
        <v>0</v>
      </c>
      <c r="H2485" s="24">
        <f t="shared" si="308"/>
        <v>783.47033963279091</v>
      </c>
      <c r="I2485" s="12">
        <f t="shared" si="315"/>
        <v>0.15025786161419336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627.46699908630217</v>
      </c>
      <c r="F2486" s="37">
        <f t="shared" si="309"/>
        <v>0</v>
      </c>
      <c r="G2486" s="14">
        <f t="shared" si="310"/>
        <v>0</v>
      </c>
      <c r="H2486" s="24">
        <f t="shared" si="308"/>
        <v>783.63002806873692</v>
      </c>
      <c r="I2486" s="12">
        <f t="shared" si="315"/>
        <v>0.150200462081057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627.61719954838327</v>
      </c>
      <c r="F2487" s="37">
        <f t="shared" si="309"/>
        <v>0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783.79009000318911</v>
      </c>
      <c r="I2487" s="12">
        <f t="shared" si="315"/>
        <v>0.15014302419644457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627.76734257257976</v>
      </c>
      <c r="F2488" s="37">
        <f t="shared" si="309"/>
        <v>0</v>
      </c>
      <c r="G2488" s="14">
        <f t="shared" si="310"/>
        <v>0</v>
      </c>
      <c r="H2488" s="24">
        <f t="shared" si="316"/>
        <v>783.95052667183336</v>
      </c>
      <c r="I2488" s="12">
        <f t="shared" si="315"/>
        <v>0.15008554784680192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627.91742812042662</v>
      </c>
      <c r="F2489" s="37">
        <f t="shared" si="309"/>
        <v>0</v>
      </c>
      <c r="G2489" s="14">
        <f t="shared" si="310"/>
        <v>0</v>
      </c>
      <c r="H2489" s="24">
        <f t="shared" si="316"/>
        <v>784.11133931557981</v>
      </c>
      <c r="I2489" s="12">
        <f t="shared" si="315"/>
        <v>0.15002803291816721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628.06745615334478</v>
      </c>
      <c r="F2490" s="37">
        <f t="shared" si="309"/>
        <v>0</v>
      </c>
      <c r="G2490" s="14">
        <f t="shared" si="310"/>
        <v>0</v>
      </c>
      <c r="H2490" s="24">
        <f t="shared" si="316"/>
        <v>784.2725291805898</v>
      </c>
      <c r="I2490" s="12">
        <f t="shared" si="315"/>
        <v>0.14997047929616961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628.21742663264092</v>
      </c>
      <c r="F2491" s="37">
        <f t="shared" si="309"/>
        <v>0</v>
      </c>
      <c r="G2491" s="14">
        <f t="shared" si="310"/>
        <v>0</v>
      </c>
      <c r="H2491" s="24">
        <f t="shared" si="316"/>
        <v>784.43409751830245</v>
      </c>
      <c r="I2491" s="12">
        <f t="shared" si="315"/>
        <v>0.14991288686602772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628.36733951950691</v>
      </c>
      <c r="F2492" s="37">
        <f t="shared" si="309"/>
        <v>0</v>
      </c>
      <c r="G2492" s="14">
        <f t="shared" si="310"/>
        <v>0</v>
      </c>
      <c r="H2492" s="24">
        <f t="shared" si="316"/>
        <v>784.59604558546164</v>
      </c>
      <c r="I2492" s="12">
        <f t="shared" si="315"/>
        <v>0.14985525551254794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628.51719477501945</v>
      </c>
      <c r="F2493" s="37">
        <f t="shared" si="309"/>
        <v>0</v>
      </c>
      <c r="G2493" s="14">
        <f t="shared" si="310"/>
        <v>0</v>
      </c>
      <c r="H2493" s="24">
        <f t="shared" si="316"/>
        <v>784.75837464414326</v>
      </c>
      <c r="I2493" s="12">
        <f t="shared" si="315"/>
        <v>0.14979758512012337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628.6669923601396</v>
      </c>
      <c r="F2494" s="37">
        <f t="shared" si="309"/>
        <v>0</v>
      </c>
      <c r="G2494" s="14">
        <f t="shared" si="310"/>
        <v>0</v>
      </c>
      <c r="H2494" s="24">
        <f t="shared" si="316"/>
        <v>784.92108596178196</v>
      </c>
      <c r="I2494" s="12">
        <f t="shared" si="315"/>
        <v>0.149739875572732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628.81673223571238</v>
      </c>
      <c r="F2495" s="37">
        <f t="shared" si="309"/>
        <v>0</v>
      </c>
      <c r="G2495" s="14">
        <f t="shared" si="310"/>
        <v>0</v>
      </c>
      <c r="H2495" s="24">
        <f t="shared" si="316"/>
        <v>785.08418081119919</v>
      </c>
      <c r="I2495" s="12">
        <f t="shared" si="315"/>
        <v>0.14968212675393558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628.96641436246637</v>
      </c>
      <c r="F2496" s="37">
        <f t="shared" si="309"/>
        <v>0</v>
      </c>
      <c r="G2496" s="14">
        <f t="shared" si="310"/>
        <v>0</v>
      </c>
      <c r="H2496" s="24">
        <f t="shared" si="316"/>
        <v>785.24766047063031</v>
      </c>
      <c r="I2496" s="12">
        <f t="shared" si="315"/>
        <v>0.1496243385468774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629.11603870101328</v>
      </c>
      <c r="F2497" s="37">
        <f t="shared" si="309"/>
        <v>0</v>
      </c>
      <c r="G2497" s="14">
        <f t="shared" si="310"/>
        <v>0</v>
      </c>
      <c r="H2497" s="24">
        <f t="shared" si="316"/>
        <v>785.4115262237525</v>
      </c>
      <c r="I2497" s="12">
        <f t="shared" si="315"/>
        <v>0.14956651083428171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629.26560521184751</v>
      </c>
      <c r="F2498" s="37">
        <f t="shared" si="309"/>
        <v>0</v>
      </c>
      <c r="G2498" s="14">
        <f t="shared" si="310"/>
        <v>0</v>
      </c>
      <c r="H2498" s="24">
        <f t="shared" si="316"/>
        <v>785.57577935971256</v>
      </c>
      <c r="I2498" s="12">
        <f t="shared" si="315"/>
        <v>0.14950864349845142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629.41511385534602</v>
      </c>
      <c r="F2499" s="37">
        <f t="shared" si="309"/>
        <v>0</v>
      </c>
      <c r="G2499" s="14">
        <f t="shared" si="310"/>
        <v>0</v>
      </c>
      <c r="H2499" s="24">
        <f t="shared" si="316"/>
        <v>785.74042117315548</v>
      </c>
      <c r="I2499" s="12">
        <f t="shared" si="315"/>
        <v>0.14945073642126697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629.56456459176729</v>
      </c>
      <c r="F2500" s="37">
        <f t="shared" si="309"/>
        <v>0</v>
      </c>
      <c r="G2500" s="14">
        <f t="shared" si="310"/>
        <v>0</v>
      </c>
      <c r="H2500" s="24">
        <f t="shared" si="316"/>
        <v>785.90545296425171</v>
      </c>
      <c r="I2500" s="12">
        <f t="shared" si="315"/>
        <v>0.14939278948418488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629.71395738125148</v>
      </c>
      <c r="F2501" s="37">
        <f t="shared" si="309"/>
        <v>0</v>
      </c>
      <c r="G2501" s="14">
        <f t="shared" si="310"/>
        <v>0</v>
      </c>
      <c r="H2501" s="24">
        <f t="shared" si="316"/>
        <v>786.0708760387264</v>
      </c>
      <c r="I2501" s="12">
        <f t="shared" si="315"/>
        <v>0.14933480256823586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629.86329218381968</v>
      </c>
      <c r="F2502" s="37">
        <f t="shared" si="309"/>
        <v>0</v>
      </c>
      <c r="G2502" s="14">
        <f t="shared" si="310"/>
        <v>0</v>
      </c>
      <c r="H2502" s="24">
        <f t="shared" si="316"/>
        <v>786.23669170788764</v>
      </c>
      <c r="I2502" s="12">
        <f t="shared" si="315"/>
        <v>0.14927677555402355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630.01256895937365</v>
      </c>
      <c r="F2503" s="37">
        <f t="shared" si="309"/>
        <v>0</v>
      </c>
      <c r="G2503" s="14">
        <f t="shared" si="310"/>
        <v>0</v>
      </c>
      <c r="H2503" s="24">
        <f t="shared" si="316"/>
        <v>786.40290128865524</v>
      </c>
      <c r="I2503" s="12">
        <f t="shared" si="315"/>
        <v>0.1492187083217229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630.16178766769542</v>
      </c>
      <c r="F2504" s="37">
        <f t="shared" si="309"/>
        <v>0</v>
      </c>
      <c r="G2504" s="14">
        <f t="shared" si="310"/>
        <v>0</v>
      </c>
      <c r="H2504" s="24">
        <f t="shared" si="316"/>
        <v>786.56950610358967</v>
      </c>
      <c r="I2504" s="12">
        <f t="shared" si="315"/>
        <v>0.14916060075107862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630.31094826844651</v>
      </c>
      <c r="F2505" s="37">
        <f t="shared" si="309"/>
        <v>0</v>
      </c>
      <c r="G2505" s="14">
        <f t="shared" si="310"/>
        <v>0</v>
      </c>
      <c r="H2505" s="24">
        <f t="shared" si="316"/>
        <v>786.73650748092109</v>
      </c>
      <c r="I2505" s="12">
        <f t="shared" si="315"/>
        <v>0.14910245272140357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630.46005072116793</v>
      </c>
      <c r="F2506" s="37">
        <f t="shared" si="309"/>
        <v>0</v>
      </c>
      <c r="G2506" s="14">
        <f t="shared" si="310"/>
        <v>0</v>
      </c>
      <c r="H2506" s="24">
        <f t="shared" si="316"/>
        <v>786.90390675457843</v>
      </c>
      <c r="I2506" s="12">
        <f t="shared" si="315"/>
        <v>0.14904426411157753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630.60909498527951</v>
      </c>
      <c r="F2507" s="37">
        <f t="shared" si="309"/>
        <v>0</v>
      </c>
      <c r="G2507" s="14">
        <f t="shared" si="310"/>
        <v>0</v>
      </c>
      <c r="H2507" s="24">
        <f t="shared" si="316"/>
        <v>787.07170526421919</v>
      </c>
      <c r="I2507" s="12">
        <f t="shared" si="315"/>
        <v>0.14898603480004499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630.75808102007954</v>
      </c>
      <c r="F2508" s="37">
        <f t="shared" si="309"/>
        <v>0</v>
      </c>
      <c r="G2508" s="14">
        <f t="shared" si="310"/>
        <v>0</v>
      </c>
      <c r="H2508" s="24">
        <f t="shared" si="316"/>
        <v>787.23990435525911</v>
      </c>
      <c r="I2508" s="12">
        <f t="shared" si="315"/>
        <v>0.14892776466481411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630.90700878474433</v>
      </c>
      <c r="F2509" s="37">
        <f t="shared" si="309"/>
        <v>0</v>
      </c>
      <c r="G2509" s="14">
        <f t="shared" si="310"/>
        <v>0</v>
      </c>
      <c r="H2509" s="24">
        <f t="shared" si="316"/>
        <v>787.40850537890128</v>
      </c>
      <c r="I2509" s="12">
        <f t="shared" si="315"/>
        <v>0.14886945358345502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631.05587823832775</v>
      </c>
      <c r="F2510" s="37">
        <f t="shared" si="309"/>
        <v>0</v>
      </c>
      <c r="G2510" s="14">
        <f t="shared" si="310"/>
        <v>0</v>
      </c>
      <c r="H2510" s="24">
        <f t="shared" si="316"/>
        <v>787.57750969216704</v>
      </c>
      <c r="I2510" s="12">
        <f t="shared" si="315"/>
        <v>0.14881110143309798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631.20468933976088</v>
      </c>
      <c r="F2511" s="37">
        <f t="shared" si="309"/>
        <v>0</v>
      </c>
      <c r="G2511" s="14">
        <f t="shared" si="310"/>
        <v>0</v>
      </c>
      <c r="H2511" s="24">
        <f t="shared" si="316"/>
        <v>787.74691865792533</v>
      </c>
      <c r="I2511" s="12">
        <f t="shared" si="315"/>
        <v>0.14875270809043215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631.35344204785133</v>
      </c>
      <c r="F2512" s="37">
        <f t="shared" si="309"/>
        <v>0</v>
      </c>
      <c r="G2512" s="14">
        <f t="shared" si="310"/>
        <v>0</v>
      </c>
      <c r="H2512" s="24">
        <f t="shared" si="316"/>
        <v>787.9167336449234</v>
      </c>
      <c r="I2512" s="12">
        <f t="shared" si="315"/>
        <v>0.14869427343170399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631.50213632128305</v>
      </c>
      <c r="F2513" s="37">
        <f t="shared" si="309"/>
        <v>0</v>
      </c>
      <c r="G2513" s="14">
        <f t="shared" si="310"/>
        <v>0</v>
      </c>
      <c r="H2513" s="24">
        <f t="shared" si="316"/>
        <v>788.08695602781734</v>
      </c>
      <c r="I2513" s="12">
        <f t="shared" si="315"/>
        <v>0.14863579733271504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631.65077211861581</v>
      </c>
      <c r="F2514" s="37">
        <f t="shared" si="309"/>
        <v>0</v>
      </c>
      <c r="G2514" s="14">
        <f t="shared" si="310"/>
        <v>0</v>
      </c>
      <c r="H2514" s="24">
        <f t="shared" si="316"/>
        <v>788.25758718720249</v>
      </c>
      <c r="I2514" s="12">
        <f t="shared" si="315"/>
        <v>0.14857727966882123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631.79934939828468</v>
      </c>
      <c r="F2515" s="37">
        <f t="shared" si="309"/>
        <v>0</v>
      </c>
      <c r="G2515" s="14">
        <f t="shared" si="310"/>
        <v>0</v>
      </c>
      <c r="H2515" s="24">
        <f t="shared" si="316"/>
        <v>788.42862850964491</v>
      </c>
      <c r="I2515" s="12">
        <f t="shared" si="315"/>
        <v>0.14851872031493046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631.94786811859956</v>
      </c>
      <c r="F2516" s="37">
        <f t="shared" ref="F2516:F2579" si="317">Cp*RhoP/(RhoA*H2516)*dp/1000*MassivP</f>
        <v>0</v>
      </c>
      <c r="G2516" s="14">
        <f t="shared" ref="G2516:G2579" si="318">Phi*EpsilonF*Botzman/10^8*J2516*((D2516+273)^4-(E2516+273)^4)</f>
        <v>0</v>
      </c>
      <c r="H2516" s="24">
        <f t="shared" si="316"/>
        <v>788.60008138771138</v>
      </c>
      <c r="I2516" s="12">
        <f t="shared" si="315"/>
        <v>0.14846011914550181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632.09632823774507</v>
      </c>
      <c r="F2517" s="37">
        <f t="shared" si="317"/>
        <v>0</v>
      </c>
      <c r="G2517" s="14">
        <f t="shared" si="318"/>
        <v>0</v>
      </c>
      <c r="H2517" s="24">
        <f t="shared" si="316"/>
        <v>788.77194722000218</v>
      </c>
      <c r="I2517" s="12">
        <f t="shared" ref="I2517:I2580" si="323">LambdaP*MassivP/(dp/1000)/(H2517*RhoA)/(1+F2517/3)*(D2517-E2517)*DeltaT-(EXP(F2517/10)-1)*(D2517-D2516)</f>
        <v>0.14840147603454265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632.24472971377963</v>
      </c>
      <c r="F2518" s="37">
        <f t="shared" si="317"/>
        <v>0</v>
      </c>
      <c r="G2518" s="14">
        <f t="shared" si="318"/>
        <v>0</v>
      </c>
      <c r="H2518" s="24">
        <f t="shared" si="316"/>
        <v>788.94422741118115</v>
      </c>
      <c r="I2518" s="12">
        <f t="shared" si="323"/>
        <v>0.14834279085560839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632.39307250463526</v>
      </c>
      <c r="F2519" s="37">
        <f t="shared" si="317"/>
        <v>0</v>
      </c>
      <c r="G2519" s="14">
        <f t="shared" si="318"/>
        <v>0</v>
      </c>
      <c r="H2519" s="24">
        <f t="shared" si="316"/>
        <v>789.1169233720077</v>
      </c>
      <c r="I2519" s="12">
        <f t="shared" si="323"/>
        <v>0.14828406348180007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632.54135656811707</v>
      </c>
      <c r="F2520" s="37">
        <f t="shared" si="317"/>
        <v>0</v>
      </c>
      <c r="G2520" s="14">
        <f t="shared" si="318"/>
        <v>0</v>
      </c>
      <c r="H2520" s="24">
        <f t="shared" si="316"/>
        <v>789.29003651936932</v>
      </c>
      <c r="I2520" s="12">
        <f t="shared" si="323"/>
        <v>0.14822529378576269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632.68958186190287</v>
      </c>
      <c r="F2521" s="37">
        <f t="shared" si="317"/>
        <v>0</v>
      </c>
      <c r="G2521" s="14">
        <f t="shared" si="318"/>
        <v>0</v>
      </c>
      <c r="H2521" s="24">
        <f t="shared" si="316"/>
        <v>789.4635682763128</v>
      </c>
      <c r="I2521" s="12">
        <f t="shared" si="323"/>
        <v>0.14816648163968379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632.83774834354256</v>
      </c>
      <c r="F2522" s="37">
        <f t="shared" si="317"/>
        <v>0</v>
      </c>
      <c r="G2522" s="14">
        <f t="shared" si="318"/>
        <v>0</v>
      </c>
      <c r="H2522" s="24">
        <f t="shared" si="316"/>
        <v>789.63752007207631</v>
      </c>
      <c r="I2522" s="12">
        <f t="shared" si="323"/>
        <v>0.14810762691529208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632.98585597045781</v>
      </c>
      <c r="F2523" s="37">
        <f t="shared" si="317"/>
        <v>0</v>
      </c>
      <c r="G2523" s="14">
        <f t="shared" si="318"/>
        <v>0</v>
      </c>
      <c r="H2523" s="24">
        <f t="shared" si="316"/>
        <v>789.81189334212286</v>
      </c>
      <c r="I2523" s="12">
        <f t="shared" si="323"/>
        <v>0.148048729483855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633.1339046999417</v>
      </c>
      <c r="F2524" s="37">
        <f t="shared" si="317"/>
        <v>0</v>
      </c>
      <c r="G2524" s="14">
        <f t="shared" si="318"/>
        <v>0</v>
      </c>
      <c r="H2524" s="24">
        <f t="shared" si="316"/>
        <v>789.98668952817172</v>
      </c>
      <c r="I2524" s="12">
        <f t="shared" si="323"/>
        <v>0.14798978921617759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633.28189448915782</v>
      </c>
      <c r="F2525" s="37">
        <f t="shared" si="317"/>
        <v>0</v>
      </c>
      <c r="G2525" s="14">
        <f t="shared" si="318"/>
        <v>0</v>
      </c>
      <c r="H2525" s="24">
        <f t="shared" si="316"/>
        <v>790.16191007823204</v>
      </c>
      <c r="I2525" s="12">
        <f t="shared" si="323"/>
        <v>0.14793080598260056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633.4298252951404</v>
      </c>
      <c r="F2526" s="37">
        <f t="shared" si="317"/>
        <v>0</v>
      </c>
      <c r="G2526" s="14">
        <f t="shared" si="318"/>
        <v>0</v>
      </c>
      <c r="H2526" s="24">
        <f t="shared" si="316"/>
        <v>790.33755644663529</v>
      </c>
      <c r="I2526" s="12">
        <f t="shared" si="323"/>
        <v>0.14787177965299897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633.57769707479338</v>
      </c>
      <c r="F2527" s="37">
        <f t="shared" si="317"/>
        <v>0</v>
      </c>
      <c r="G2527" s="14">
        <f t="shared" si="318"/>
        <v>0</v>
      </c>
      <c r="H2527" s="24">
        <f t="shared" si="316"/>
        <v>790.51363009406907</v>
      </c>
      <c r="I2527" s="12">
        <f t="shared" si="323"/>
        <v>0.14781271009678024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633.72550978489016</v>
      </c>
      <c r="F2528" s="37">
        <f t="shared" si="317"/>
        <v>0</v>
      </c>
      <c r="G2528" s="14">
        <f t="shared" si="318"/>
        <v>0</v>
      </c>
      <c r="H2528" s="24">
        <f t="shared" si="316"/>
        <v>790.69013248760962</v>
      </c>
      <c r="I2528" s="12">
        <f t="shared" si="323"/>
        <v>0.14775359718288239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633.87326338207299</v>
      </c>
      <c r="F2529" s="37">
        <f t="shared" si="317"/>
        <v>0</v>
      </c>
      <c r="G2529" s="14">
        <f t="shared" si="318"/>
        <v>0</v>
      </c>
      <c r="H2529" s="24">
        <f t="shared" si="316"/>
        <v>790.86706510075635</v>
      </c>
      <c r="I2529" s="12">
        <f t="shared" si="323"/>
        <v>0.1476944407797727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634.02095782285278</v>
      </c>
      <c r="F2530" s="37">
        <f t="shared" si="317"/>
        <v>0</v>
      </c>
      <c r="G2530" s="14">
        <f t="shared" si="318"/>
        <v>0</v>
      </c>
      <c r="H2530" s="24">
        <f t="shared" si="316"/>
        <v>791.0444294134652</v>
      </c>
      <c r="I2530" s="12">
        <f t="shared" si="323"/>
        <v>0.14763524075544532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634.16859306360823</v>
      </c>
      <c r="F2531" s="37">
        <f t="shared" si="317"/>
        <v>0</v>
      </c>
      <c r="G2531" s="14">
        <f t="shared" si="318"/>
        <v>0</v>
      </c>
      <c r="H2531" s="24">
        <f t="shared" si="316"/>
        <v>791.22222691218235</v>
      </c>
      <c r="I2531" s="12">
        <f t="shared" si="323"/>
        <v>0.14757599697742044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634.31616906058559</v>
      </c>
      <c r="F2532" s="37">
        <f t="shared" si="317"/>
        <v>0</v>
      </c>
      <c r="G2532" s="14">
        <f t="shared" si="318"/>
        <v>0</v>
      </c>
      <c r="H2532" s="24">
        <f t="shared" si="316"/>
        <v>791.40045908987929</v>
      </c>
      <c r="I2532" s="12">
        <f t="shared" si="323"/>
        <v>0.14751670931274194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634.46368576989835</v>
      </c>
      <c r="F2533" s="37">
        <f t="shared" si="317"/>
        <v>0</v>
      </c>
      <c r="G2533" s="14">
        <f t="shared" si="318"/>
        <v>0</v>
      </c>
      <c r="H2533" s="24">
        <f t="shared" si="316"/>
        <v>791.57912744608655</v>
      </c>
      <c r="I2533" s="12">
        <f t="shared" si="323"/>
        <v>0.14745737762797562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634.61114314752638</v>
      </c>
      <c r="F2534" s="37">
        <f t="shared" si="317"/>
        <v>0</v>
      </c>
      <c r="G2534" s="14">
        <f t="shared" si="318"/>
        <v>0</v>
      </c>
      <c r="H2534" s="24">
        <f t="shared" si="316"/>
        <v>791.75823348692848</v>
      </c>
      <c r="I2534" s="12">
        <f t="shared" si="323"/>
        <v>0.1473980017892082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634.75854114931553</v>
      </c>
      <c r="F2535" s="37">
        <f t="shared" si="317"/>
        <v>0</v>
      </c>
      <c r="G2535" s="14">
        <f t="shared" si="318"/>
        <v>0</v>
      </c>
      <c r="H2535" s="24">
        <f t="shared" si="316"/>
        <v>791.93777872515795</v>
      </c>
      <c r="I2535" s="12">
        <f t="shared" si="323"/>
        <v>0.14733858166204453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634.90587973097763</v>
      </c>
      <c r="F2536" s="37">
        <f t="shared" si="317"/>
        <v>0</v>
      </c>
      <c r="G2536" s="14">
        <f t="shared" si="318"/>
        <v>0</v>
      </c>
      <c r="H2536" s="24">
        <f t="shared" si="316"/>
        <v>792.11776468019229</v>
      </c>
      <c r="I2536" s="12">
        <f t="shared" si="323"/>
        <v>0.14727911711160654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635.0531588480892</v>
      </c>
      <c r="F2537" s="37">
        <f t="shared" si="317"/>
        <v>0</v>
      </c>
      <c r="G2537" s="14">
        <f t="shared" si="318"/>
        <v>0</v>
      </c>
      <c r="H2537" s="24">
        <f t="shared" si="316"/>
        <v>792.29819287814712</v>
      </c>
      <c r="I2537" s="12">
        <f t="shared" si="323"/>
        <v>0.14721960800253148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635.2003784560917</v>
      </c>
      <c r="F2538" s="37">
        <f t="shared" si="317"/>
        <v>0</v>
      </c>
      <c r="G2538" s="14">
        <f t="shared" si="318"/>
        <v>0</v>
      </c>
      <c r="H2538" s="24">
        <f t="shared" si="316"/>
        <v>792.4790648518732</v>
      </c>
      <c r="I2538" s="12">
        <f t="shared" si="323"/>
        <v>0.1471600541989698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635.34753851029063</v>
      </c>
      <c r="F2539" s="37">
        <f t="shared" si="317"/>
        <v>0</v>
      </c>
      <c r="G2539" s="14">
        <f t="shared" si="318"/>
        <v>0</v>
      </c>
      <c r="H2539" s="24">
        <f t="shared" si="316"/>
        <v>792.66038214099149</v>
      </c>
      <c r="I2539" s="12">
        <f t="shared" si="323"/>
        <v>0.14710045556458351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635.49463896585519</v>
      </c>
      <c r="F2540" s="37">
        <f t="shared" si="317"/>
        <v>0</v>
      </c>
      <c r="G2540" s="14">
        <f t="shared" si="318"/>
        <v>0</v>
      </c>
      <c r="H2540" s="24">
        <f t="shared" si="316"/>
        <v>792.84214629192911</v>
      </c>
      <c r="I2540" s="12">
        <f t="shared" si="323"/>
        <v>0.14704081196254454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635.64167977781779</v>
      </c>
      <c r="F2541" s="37">
        <f t="shared" si="317"/>
        <v>0</v>
      </c>
      <c r="G2541" s="14">
        <f t="shared" si="318"/>
        <v>0</v>
      </c>
      <c r="H2541" s="24">
        <f t="shared" si="316"/>
        <v>793.02435885795558</v>
      </c>
      <c r="I2541" s="12">
        <f t="shared" si="323"/>
        <v>0.14698112325553297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635.78866090107329</v>
      </c>
      <c r="F2542" s="37">
        <f t="shared" si="317"/>
        <v>0</v>
      </c>
      <c r="G2542" s="14">
        <f t="shared" si="318"/>
        <v>0</v>
      </c>
      <c r="H2542" s="24">
        <f t="shared" si="316"/>
        <v>793.207021399219</v>
      </c>
      <c r="I2542" s="12">
        <f t="shared" si="323"/>
        <v>0.14692138930573503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635.93558229037899</v>
      </c>
      <c r="F2543" s="37">
        <f t="shared" si="317"/>
        <v>0</v>
      </c>
      <c r="G2543" s="14">
        <f t="shared" si="318"/>
        <v>0</v>
      </c>
      <c r="H2543" s="24">
        <f t="shared" si="316"/>
        <v>793.39013548278319</v>
      </c>
      <c r="I2543" s="12">
        <f t="shared" si="323"/>
        <v>0.14686160997484138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636.08244390035384</v>
      </c>
      <c r="F2544" s="37">
        <f t="shared" si="317"/>
        <v>0</v>
      </c>
      <c r="G2544" s="14">
        <f t="shared" si="318"/>
        <v>0</v>
      </c>
      <c r="H2544" s="24">
        <f t="shared" si="316"/>
        <v>793.57370268266413</v>
      </c>
      <c r="I2544" s="12">
        <f t="shared" si="323"/>
        <v>0.14680178512404551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636.22924568547785</v>
      </c>
      <c r="F2545" s="37">
        <f t="shared" si="317"/>
        <v>0</v>
      </c>
      <c r="G2545" s="14">
        <f t="shared" si="318"/>
        <v>0</v>
      </c>
      <c r="H2545" s="24">
        <f t="shared" si="316"/>
        <v>793.7577245798667</v>
      </c>
      <c r="I2545" s="12">
        <f t="shared" si="323"/>
        <v>0.14674191461404168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636.37598760009189</v>
      </c>
      <c r="F2546" s="37">
        <f t="shared" si="317"/>
        <v>0</v>
      </c>
      <c r="G2546" s="14">
        <f t="shared" si="318"/>
        <v>0</v>
      </c>
      <c r="H2546" s="24">
        <f t="shared" si="316"/>
        <v>793.94220276242265</v>
      </c>
      <c r="I2546" s="12">
        <f t="shared" si="323"/>
        <v>0.1466819983050231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636.52266959839687</v>
      </c>
      <c r="F2547" s="37">
        <f t="shared" si="317"/>
        <v>0</v>
      </c>
      <c r="G2547" s="14">
        <f t="shared" si="318"/>
        <v>0</v>
      </c>
      <c r="H2547" s="24">
        <f t="shared" si="316"/>
        <v>794.12713882542766</v>
      </c>
      <c r="I2547" s="12">
        <f t="shared" si="323"/>
        <v>0.14662203605668023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636.66929163445354</v>
      </c>
      <c r="F2548" s="37">
        <f t="shared" si="317"/>
        <v>0</v>
      </c>
      <c r="G2548" s="14">
        <f t="shared" si="318"/>
        <v>0</v>
      </c>
      <c r="H2548" s="24">
        <f t="shared" si="316"/>
        <v>794.31253437107944</v>
      </c>
      <c r="I2548" s="12">
        <f t="shared" si="323"/>
        <v>0.14656202772819921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636.81585366218178</v>
      </c>
      <c r="F2549" s="37">
        <f t="shared" si="317"/>
        <v>0</v>
      </c>
      <c r="G2549" s="14">
        <f t="shared" si="318"/>
        <v>0</v>
      </c>
      <c r="H2549" s="24">
        <f t="shared" si="316"/>
        <v>794.49839100871498</v>
      </c>
      <c r="I2549" s="12">
        <f t="shared" si="323"/>
        <v>0.14650197317825914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636.96235563536004</v>
      </c>
      <c r="F2550" s="37">
        <f t="shared" si="317"/>
        <v>0</v>
      </c>
      <c r="G2550" s="14">
        <f t="shared" si="318"/>
        <v>0</v>
      </c>
      <c r="H2550" s="24">
        <f t="shared" si="316"/>
        <v>794.68471035484959</v>
      </c>
      <c r="I2550" s="12">
        <f t="shared" si="323"/>
        <v>0.14644187226503155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637.10879750762513</v>
      </c>
      <c r="F2551" s="37">
        <f t="shared" si="317"/>
        <v>0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794.87149403321519</v>
      </c>
      <c r="I2551" s="12">
        <f t="shared" si="323"/>
        <v>0.14638172484617715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637.25517923247128</v>
      </c>
      <c r="F2552" s="37">
        <f t="shared" si="317"/>
        <v>0</v>
      </c>
      <c r="G2552" s="14">
        <f t="shared" si="318"/>
        <v>0</v>
      </c>
      <c r="H2552" s="24">
        <f t="shared" si="324"/>
        <v>795.05874367479851</v>
      </c>
      <c r="I2552" s="12">
        <f t="shared" si="323"/>
        <v>0.14632153077884519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637.40150076325017</v>
      </c>
      <c r="F2553" s="37">
        <f t="shared" si="317"/>
        <v>0</v>
      </c>
      <c r="G2553" s="14">
        <f t="shared" si="318"/>
        <v>0</v>
      </c>
      <c r="H2553" s="24">
        <f t="shared" si="324"/>
        <v>795.24646091788031</v>
      </c>
      <c r="I2553" s="12">
        <f t="shared" si="323"/>
        <v>0.14626128991967077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637.54776205316989</v>
      </c>
      <c r="F2554" s="37">
        <f t="shared" si="317"/>
        <v>0</v>
      </c>
      <c r="G2554" s="14">
        <f t="shared" si="318"/>
        <v>0</v>
      </c>
      <c r="H2554" s="24">
        <f t="shared" si="324"/>
        <v>795.43464740807497</v>
      </c>
      <c r="I2554" s="12">
        <f t="shared" si="323"/>
        <v>0.14620100212477333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637.69396305529472</v>
      </c>
      <c r="F2555" s="37">
        <f t="shared" si="317"/>
        <v>0</v>
      </c>
      <c r="G2555" s="14">
        <f t="shared" si="318"/>
        <v>0</v>
      </c>
      <c r="H2555" s="24">
        <f t="shared" si="324"/>
        <v>795.62330479836908</v>
      </c>
      <c r="I2555" s="12">
        <f t="shared" si="323"/>
        <v>0.14614066724975466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637.84010372254443</v>
      </c>
      <c r="F2556" s="37">
        <f t="shared" si="317"/>
        <v>0</v>
      </c>
      <c r="G2556" s="14">
        <f t="shared" si="318"/>
        <v>0</v>
      </c>
      <c r="H2556" s="24">
        <f t="shared" si="324"/>
        <v>795.81243474916164</v>
      </c>
      <c r="I2556" s="12">
        <f t="shared" si="323"/>
        <v>0.14608028514969734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637.98618400769408</v>
      </c>
      <c r="F2557" s="37">
        <f t="shared" si="317"/>
        <v>0</v>
      </c>
      <c r="G2557" s="14">
        <f t="shared" si="318"/>
        <v>0</v>
      </c>
      <c r="H2557" s="24">
        <f t="shared" si="324"/>
        <v>796.00203892830416</v>
      </c>
      <c r="I2557" s="12">
        <f t="shared" si="323"/>
        <v>0.14601985567916215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638.13220386337321</v>
      </c>
      <c r="F2558" s="37">
        <f t="shared" si="317"/>
        <v>0</v>
      </c>
      <c r="G2558" s="14">
        <f t="shared" si="318"/>
        <v>0</v>
      </c>
      <c r="H2558" s="24">
        <f t="shared" si="324"/>
        <v>796.19211901114022</v>
      </c>
      <c r="I2558" s="12">
        <f t="shared" si="323"/>
        <v>0.14595937869218684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638.27816324206538</v>
      </c>
      <c r="F2559" s="37">
        <f t="shared" si="317"/>
        <v>0</v>
      </c>
      <c r="G2559" s="14">
        <f t="shared" si="318"/>
        <v>0</v>
      </c>
      <c r="H2559" s="24">
        <f t="shared" si="324"/>
        <v>796.38267668054618</v>
      </c>
      <c r="I2559" s="12">
        <f t="shared" si="323"/>
        <v>0.14589885404228395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638.4240620961076</v>
      </c>
      <c r="F2560" s="37">
        <f t="shared" si="317"/>
        <v>0</v>
      </c>
      <c r="G2560" s="14">
        <f t="shared" si="318"/>
        <v>0</v>
      </c>
      <c r="H2560" s="24">
        <f t="shared" si="324"/>
        <v>796.57371362697211</v>
      </c>
      <c r="I2560" s="12">
        <f t="shared" si="323"/>
        <v>0.14583828158243878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638.56990037769003</v>
      </c>
      <c r="F2561" s="37">
        <f t="shared" si="317"/>
        <v>0</v>
      </c>
      <c r="G2561" s="14">
        <f t="shared" si="318"/>
        <v>0</v>
      </c>
      <c r="H2561" s="24">
        <f t="shared" si="324"/>
        <v>796.76523154848201</v>
      </c>
      <c r="I2561" s="12">
        <f t="shared" si="323"/>
        <v>0.1457776611651079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638.71567803885512</v>
      </c>
      <c r="F2562" s="37">
        <f t="shared" si="317"/>
        <v>0</v>
      </c>
      <c r="G2562" s="14">
        <f t="shared" si="318"/>
        <v>0</v>
      </c>
      <c r="H2562" s="24">
        <f t="shared" si="324"/>
        <v>796.95723215079579</v>
      </c>
      <c r="I2562" s="12">
        <f t="shared" si="323"/>
        <v>0.14571699264221682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638.8613950314973</v>
      </c>
      <c r="F2563" s="37">
        <f t="shared" si="317"/>
        <v>0</v>
      </c>
      <c r="G2563" s="14">
        <f t="shared" si="318"/>
        <v>0</v>
      </c>
      <c r="H2563" s="24">
        <f t="shared" si="324"/>
        <v>797.14971714732985</v>
      </c>
      <c r="I2563" s="12">
        <f t="shared" si="323"/>
        <v>0.14565627586515811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639.00705130736242</v>
      </c>
      <c r="F2564" s="37">
        <f t="shared" si="317"/>
        <v>0</v>
      </c>
      <c r="G2564" s="14">
        <f t="shared" si="318"/>
        <v>0</v>
      </c>
      <c r="H2564" s="24">
        <f t="shared" si="324"/>
        <v>797.34268825923959</v>
      </c>
      <c r="I2564" s="12">
        <f t="shared" si="323"/>
        <v>0.14559551068478965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639.15264681804717</v>
      </c>
      <c r="F2565" s="37">
        <f t="shared" si="317"/>
        <v>0</v>
      </c>
      <c r="G2565" s="14">
        <f t="shared" si="318"/>
        <v>0</v>
      </c>
      <c r="H2565" s="24">
        <f t="shared" si="324"/>
        <v>797.53614721546091</v>
      </c>
      <c r="I2565" s="12">
        <f t="shared" si="323"/>
        <v>0.14553469695143242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639.29818151499865</v>
      </c>
      <c r="F2566" s="37">
        <f t="shared" si="317"/>
        <v>0</v>
      </c>
      <c r="G2566" s="14">
        <f t="shared" si="318"/>
        <v>0</v>
      </c>
      <c r="H2566" s="24">
        <f t="shared" si="324"/>
        <v>797.73009575275228</v>
      </c>
      <c r="I2566" s="12">
        <f t="shared" si="323"/>
        <v>0.14547383451486895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639.44365534951351</v>
      </c>
      <c r="F2567" s="37">
        <f t="shared" si="317"/>
        <v>0</v>
      </c>
      <c r="G2567" s="14">
        <f t="shared" si="318"/>
        <v>0</v>
      </c>
      <c r="H2567" s="24">
        <f t="shared" si="324"/>
        <v>797.92453561573745</v>
      </c>
      <c r="I2567" s="12">
        <f t="shared" si="323"/>
        <v>0.14541292322434088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639.58906827273779</v>
      </c>
      <c r="F2568" s="37">
        <f t="shared" si="317"/>
        <v>0</v>
      </c>
      <c r="G2568" s="14">
        <f t="shared" si="318"/>
        <v>0</v>
      </c>
      <c r="H2568" s="24">
        <f t="shared" si="324"/>
        <v>798.11946855694828</v>
      </c>
      <c r="I2568" s="12">
        <f t="shared" si="323"/>
        <v>0.1453519629285473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639.73442023566633</v>
      </c>
      <c r="F2569" s="37">
        <f t="shared" si="317"/>
        <v>0</v>
      </c>
      <c r="G2569" s="14">
        <f t="shared" si="318"/>
        <v>0</v>
      </c>
      <c r="H2569" s="24">
        <f t="shared" si="324"/>
        <v>798.3148963368676</v>
      </c>
      <c r="I2569" s="12">
        <f t="shared" si="323"/>
        <v>0.14529095347564278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639.87971118914197</v>
      </c>
      <c r="F2570" s="37">
        <f t="shared" si="317"/>
        <v>0</v>
      </c>
      <c r="G2570" s="14">
        <f t="shared" si="318"/>
        <v>0</v>
      </c>
      <c r="H2570" s="24">
        <f t="shared" si="324"/>
        <v>798.5108207239723</v>
      </c>
      <c r="I2570" s="12">
        <f t="shared" si="323"/>
        <v>0.14522989471323511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640.0249410838552</v>
      </c>
      <c r="F2571" s="37">
        <f t="shared" si="317"/>
        <v>0</v>
      </c>
      <c r="G2571" s="14">
        <f t="shared" si="318"/>
        <v>0</v>
      </c>
      <c r="H2571" s="24">
        <f t="shared" si="324"/>
        <v>798.70724349477746</v>
      </c>
      <c r="I2571" s="12">
        <f t="shared" si="323"/>
        <v>0.14516878648838383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640.17010987034359</v>
      </c>
      <c r="F2572" s="37">
        <f t="shared" si="317"/>
        <v>0</v>
      </c>
      <c r="G2572" s="14">
        <f t="shared" si="318"/>
        <v>0</v>
      </c>
      <c r="H2572" s="24">
        <f t="shared" si="324"/>
        <v>798.90416643387948</v>
      </c>
      <c r="I2572" s="12">
        <f t="shared" si="323"/>
        <v>0.14510762864759752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640.31521749899116</v>
      </c>
      <c r="F2573" s="37">
        <f t="shared" si="317"/>
        <v>0</v>
      </c>
      <c r="G2573" s="14">
        <f t="shared" si="318"/>
        <v>0</v>
      </c>
      <c r="H2573" s="24">
        <f t="shared" si="324"/>
        <v>799.10159133400043</v>
      </c>
      <c r="I2573" s="12">
        <f t="shared" si="323"/>
        <v>0.14504642103683271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640.46026392002796</v>
      </c>
      <c r="F2574" s="37">
        <f t="shared" si="317"/>
        <v>0</v>
      </c>
      <c r="G2574" s="14">
        <f t="shared" si="318"/>
        <v>0</v>
      </c>
      <c r="H2574" s="24">
        <f t="shared" si="324"/>
        <v>799.29951999603281</v>
      </c>
      <c r="I2574" s="12">
        <f t="shared" si="323"/>
        <v>0.14498516350149074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640.60524908352943</v>
      </c>
      <c r="F2575" s="37">
        <f t="shared" si="317"/>
        <v>0</v>
      </c>
      <c r="G2575" s="14">
        <f t="shared" si="318"/>
        <v>0</v>
      </c>
      <c r="H2575" s="24">
        <f t="shared" si="324"/>
        <v>799.49795422908369</v>
      </c>
      <c r="I2575" s="12">
        <f t="shared" si="323"/>
        <v>0.1449238558864169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640.75017293941585</v>
      </c>
      <c r="F2576" s="37">
        <f t="shared" si="317"/>
        <v>0</v>
      </c>
      <c r="G2576" s="14">
        <f t="shared" si="318"/>
        <v>0</v>
      </c>
      <c r="H2576" s="24">
        <f t="shared" si="324"/>
        <v>799.69689585051992</v>
      </c>
      <c r="I2576" s="12">
        <f t="shared" si="323"/>
        <v>0.1448624980358976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640.89503543745172</v>
      </c>
      <c r="F2577" s="37">
        <f t="shared" si="317"/>
        <v>0</v>
      </c>
      <c r="G2577" s="14">
        <f t="shared" si="318"/>
        <v>0</v>
      </c>
      <c r="H2577" s="24">
        <f t="shared" si="324"/>
        <v>799.89634668601332</v>
      </c>
      <c r="I2577" s="12">
        <f t="shared" si="323"/>
        <v>0.14480108979365863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641.03983652724537</v>
      </c>
      <c r="F2578" s="37">
        <f t="shared" si="317"/>
        <v>0</v>
      </c>
      <c r="G2578" s="14">
        <f t="shared" si="318"/>
        <v>0</v>
      </c>
      <c r="H2578" s="24">
        <f t="shared" si="324"/>
        <v>800.09630856958597</v>
      </c>
      <c r="I2578" s="12">
        <f t="shared" si="323"/>
        <v>0.14473963100286319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641.18457615824821</v>
      </c>
      <c r="F2579" s="37">
        <f t="shared" si="317"/>
        <v>0</v>
      </c>
      <c r="G2579" s="14">
        <f t="shared" si="318"/>
        <v>0</v>
      </c>
      <c r="H2579" s="24">
        <f t="shared" si="324"/>
        <v>800.29678334365633</v>
      </c>
      <c r="I2579" s="12">
        <f t="shared" si="323"/>
        <v>0.14467812150610979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641.32925427975431</v>
      </c>
      <c r="F2580" s="37">
        <f t="shared" ref="F2580:F2643" si="325">Cp*RhoP/(RhoA*H2580)*dp/1000*MassivP</f>
        <v>0</v>
      </c>
      <c r="G2580" s="14">
        <f t="shared" ref="G2580:G2643" si="326">Phi*EpsilonF*Botzman/10^8*J2580*((D2580+273)^4-(E2580+273)^4)</f>
        <v>0</v>
      </c>
      <c r="H2580" s="24">
        <f t="shared" si="324"/>
        <v>800.49777285908533</v>
      </c>
      <c r="I2580" s="12">
        <f t="shared" si="323"/>
        <v>0.14461656114542987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641.47387084089974</v>
      </c>
      <c r="F2581" s="37">
        <f t="shared" si="325"/>
        <v>0</v>
      </c>
      <c r="G2581" s="14">
        <f t="shared" si="326"/>
        <v>0</v>
      </c>
      <c r="H2581" s="24">
        <f t="shared" si="324"/>
        <v>800.69927897522246</v>
      </c>
      <c r="I2581" s="12">
        <f t="shared" ref="I2581:I2644" si="331">LambdaP*MassivP/(dp/1000)/(H2581*RhoA)/(1+F2581/3)*(D2581-E2581)*DeltaT-(EXP(F2581/10)-1)*(D2581-D2580)</f>
        <v>0.14455494976228644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641.61842579066206</v>
      </c>
      <c r="F2582" s="37">
        <f t="shared" si="325"/>
        <v>0</v>
      </c>
      <c r="G2582" s="14">
        <f t="shared" si="326"/>
        <v>0</v>
      </c>
      <c r="H2582" s="24">
        <f t="shared" si="324"/>
        <v>800.90130355995268</v>
      </c>
      <c r="I2582" s="12">
        <f t="shared" si="331"/>
        <v>0.14449328719757148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641.76291907785958</v>
      </c>
      <c r="F2583" s="37">
        <f t="shared" si="325"/>
        <v>0</v>
      </c>
      <c r="G2583" s="14">
        <f t="shared" si="326"/>
        <v>0</v>
      </c>
      <c r="H2583" s="24">
        <f t="shared" si="324"/>
        <v>801.10384848974309</v>
      </c>
      <c r="I2583" s="12">
        <f t="shared" si="331"/>
        <v>0.14443157329160392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641.90735065115121</v>
      </c>
      <c r="F2584" s="37">
        <f t="shared" si="325"/>
        <v>0</v>
      </c>
      <c r="G2584" s="14">
        <f t="shared" si="326"/>
        <v>0</v>
      </c>
      <c r="H2584" s="24">
        <f t="shared" si="324"/>
        <v>801.30691564969084</v>
      </c>
      <c r="I2584" s="12">
        <f t="shared" si="331"/>
        <v>0.14436980788412762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642.05172045903532</v>
      </c>
      <c r="F2585" s="37">
        <f t="shared" si="325"/>
        <v>0</v>
      </c>
      <c r="G2585" s="14">
        <f t="shared" si="326"/>
        <v>0</v>
      </c>
      <c r="H2585" s="24">
        <f t="shared" si="324"/>
        <v>801.5105069335699</v>
      </c>
      <c r="I2585" s="12">
        <f t="shared" si="331"/>
        <v>0.14430799081430942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642.19602844984968</v>
      </c>
      <c r="F2586" s="37">
        <f t="shared" si="325"/>
        <v>0</v>
      </c>
      <c r="G2586" s="14">
        <f t="shared" si="326"/>
        <v>0</v>
      </c>
      <c r="H2586" s="24">
        <f t="shared" si="324"/>
        <v>801.71462424387983</v>
      </c>
      <c r="I2586" s="12">
        <f t="shared" si="331"/>
        <v>0.14424612192073696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642.34027457177046</v>
      </c>
      <c r="F2587" s="37">
        <f t="shared" si="325"/>
        <v>0</v>
      </c>
      <c r="G2587" s="14">
        <f t="shared" si="326"/>
        <v>0</v>
      </c>
      <c r="H2587" s="24">
        <f t="shared" si="324"/>
        <v>801.91926949189281</v>
      </c>
      <c r="I2587" s="12">
        <f t="shared" si="331"/>
        <v>0.14418420104141635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642.48445877281188</v>
      </c>
      <c r="F2588" s="37">
        <f t="shared" si="325"/>
        <v>0</v>
      </c>
      <c r="G2588" s="14">
        <f t="shared" si="326"/>
        <v>0</v>
      </c>
      <c r="H2588" s="24">
        <f t="shared" si="324"/>
        <v>802.12444459770313</v>
      </c>
      <c r="I2588" s="12">
        <f t="shared" si="331"/>
        <v>0.14412222801377048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642.62858100082565</v>
      </c>
      <c r="F2589" s="37">
        <f t="shared" si="325"/>
        <v>0</v>
      </c>
      <c r="G2589" s="14">
        <f t="shared" si="326"/>
        <v>0</v>
      </c>
      <c r="H2589" s="24">
        <f t="shared" si="324"/>
        <v>802.33015149027574</v>
      </c>
      <c r="I2589" s="12">
        <f t="shared" si="331"/>
        <v>0.14406020267463665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642.77264120350026</v>
      </c>
      <c r="F2590" s="37">
        <f t="shared" si="325"/>
        <v>0</v>
      </c>
      <c r="G2590" s="14">
        <f t="shared" si="326"/>
        <v>0</v>
      </c>
      <c r="H2590" s="24">
        <f t="shared" si="324"/>
        <v>802.53639210749498</v>
      </c>
      <c r="I2590" s="12">
        <f t="shared" si="331"/>
        <v>0.14399812486026436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642.91663932836047</v>
      </c>
      <c r="F2591" s="37">
        <f t="shared" si="325"/>
        <v>0</v>
      </c>
      <c r="G2591" s="14">
        <f t="shared" si="326"/>
        <v>0</v>
      </c>
      <c r="H2591" s="24">
        <f t="shared" si="324"/>
        <v>802.74316839621451</v>
      </c>
      <c r="I2591" s="12">
        <f t="shared" si="331"/>
        <v>0.14393599440631347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643.06057532276679</v>
      </c>
      <c r="F2592" s="37">
        <f t="shared" si="325"/>
        <v>0</v>
      </c>
      <c r="G2592" s="14">
        <f t="shared" si="326"/>
        <v>0</v>
      </c>
      <c r="H2592" s="24">
        <f t="shared" si="324"/>
        <v>802.95048231230669</v>
      </c>
      <c r="I2592" s="12">
        <f t="shared" si="331"/>
        <v>0.14387381114785161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643.20444913391464</v>
      </c>
      <c r="F2593" s="37">
        <f t="shared" si="325"/>
        <v>0</v>
      </c>
      <c r="G2593" s="14">
        <f t="shared" si="326"/>
        <v>0</v>
      </c>
      <c r="H2593" s="24">
        <f t="shared" si="324"/>
        <v>803.15833582071286</v>
      </c>
      <c r="I2593" s="12">
        <f t="shared" si="331"/>
        <v>0.1438115749193527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643.348260708834</v>
      </c>
      <c r="F2594" s="37">
        <f t="shared" si="325"/>
        <v>0</v>
      </c>
      <c r="G2594" s="14">
        <f t="shared" si="326"/>
        <v>0</v>
      </c>
      <c r="H2594" s="24">
        <f t="shared" si="324"/>
        <v>803.36673089549345</v>
      </c>
      <c r="I2594" s="12">
        <f t="shared" si="331"/>
        <v>0.14374928555469418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643.4920099943887</v>
      </c>
      <c r="F2595" s="37">
        <f t="shared" si="325"/>
        <v>0</v>
      </c>
      <c r="G2595" s="14">
        <f t="shared" si="326"/>
        <v>0</v>
      </c>
      <c r="H2595" s="24">
        <f t="shared" si="324"/>
        <v>803.57566951987894</v>
      </c>
      <c r="I2595" s="12">
        <f t="shared" si="331"/>
        <v>0.14368694288715517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643.63569693727584</v>
      </c>
      <c r="F2596" s="37">
        <f t="shared" si="325"/>
        <v>0</v>
      </c>
      <c r="G2596" s="14">
        <f t="shared" si="326"/>
        <v>0</v>
      </c>
      <c r="H2596" s="24">
        <f t="shared" si="324"/>
        <v>803.78515368632077</v>
      </c>
      <c r="I2596" s="12">
        <f t="shared" si="331"/>
        <v>0.14362454674941422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643.77932148402522</v>
      </c>
      <c r="F2597" s="37">
        <f t="shared" si="325"/>
        <v>0</v>
      </c>
      <c r="G2597" s="14">
        <f t="shared" si="326"/>
        <v>0</v>
      </c>
      <c r="H2597" s="24">
        <f t="shared" si="324"/>
        <v>803.99518539654287</v>
      </c>
      <c r="I2597" s="12">
        <f t="shared" si="331"/>
        <v>0.14356209697354699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643.92288358099881</v>
      </c>
      <c r="F2598" s="37">
        <f t="shared" si="325"/>
        <v>0</v>
      </c>
      <c r="G2598" s="14">
        <f t="shared" si="326"/>
        <v>0</v>
      </c>
      <c r="H2598" s="24">
        <f t="shared" si="324"/>
        <v>804.20576666159309</v>
      </c>
      <c r="I2598" s="12">
        <f t="shared" si="331"/>
        <v>0.14349959339102447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644.06638317438978</v>
      </c>
      <c r="F2599" s="37">
        <f t="shared" si="325"/>
        <v>0</v>
      </c>
      <c r="G2599" s="14">
        <f t="shared" si="326"/>
        <v>0</v>
      </c>
      <c r="H2599" s="24">
        <f t="shared" si="324"/>
        <v>804.41689950189493</v>
      </c>
      <c r="I2599" s="12">
        <f t="shared" si="331"/>
        <v>0.14343703583271059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644.20982021022246</v>
      </c>
      <c r="F2600" s="37">
        <f t="shared" si="325"/>
        <v>0</v>
      </c>
      <c r="G2600" s="14">
        <f t="shared" si="326"/>
        <v>0</v>
      </c>
      <c r="H2600" s="24">
        <f t="shared" si="324"/>
        <v>804.62858594730108</v>
      </c>
      <c r="I2600" s="12">
        <f t="shared" si="331"/>
        <v>0.14337442412885948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644.35319463435133</v>
      </c>
      <c r="F2601" s="37">
        <f t="shared" si="325"/>
        <v>0</v>
      </c>
      <c r="G2601" s="14">
        <f t="shared" si="326"/>
        <v>0</v>
      </c>
      <c r="H2601" s="24">
        <f t="shared" si="324"/>
        <v>804.84082803714477</v>
      </c>
      <c r="I2601" s="12">
        <f t="shared" si="331"/>
        <v>0.14331175810911428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644.49650639246045</v>
      </c>
      <c r="F2602" s="37">
        <f t="shared" si="325"/>
        <v>0</v>
      </c>
      <c r="G2602" s="14">
        <f t="shared" si="326"/>
        <v>0</v>
      </c>
      <c r="H2602" s="24">
        <f t="shared" si="324"/>
        <v>805.05362782029351</v>
      </c>
      <c r="I2602" s="12">
        <f t="shared" si="331"/>
        <v>0.14324903760250421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644.63975543006291</v>
      </c>
      <c r="F2603" s="37">
        <f t="shared" si="325"/>
        <v>0</v>
      </c>
      <c r="G2603" s="14">
        <f t="shared" si="326"/>
        <v>0</v>
      </c>
      <c r="H2603" s="24">
        <f t="shared" si="324"/>
        <v>805.26698735520199</v>
      </c>
      <c r="I2603" s="12">
        <f t="shared" si="331"/>
        <v>0.14318626243744254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644.78294169250034</v>
      </c>
      <c r="F2604" s="37">
        <f t="shared" si="325"/>
        <v>0</v>
      </c>
      <c r="G2604" s="14">
        <f t="shared" si="326"/>
        <v>0</v>
      </c>
      <c r="H2604" s="24">
        <f t="shared" si="324"/>
        <v>805.48090870996668</v>
      </c>
      <c r="I2604" s="12">
        <f t="shared" si="331"/>
        <v>0.14312343244172432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644.92606512494206</v>
      </c>
      <c r="F2605" s="37">
        <f t="shared" si="325"/>
        <v>0</v>
      </c>
      <c r="G2605" s="14">
        <f t="shared" si="326"/>
        <v>0</v>
      </c>
      <c r="H2605" s="24">
        <f t="shared" si="324"/>
        <v>805.69539396237872</v>
      </c>
      <c r="I2605" s="12">
        <f t="shared" si="331"/>
        <v>0.14306054744252447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645.06912567238453</v>
      </c>
      <c r="F2606" s="37">
        <f t="shared" si="325"/>
        <v>0</v>
      </c>
      <c r="G2606" s="14">
        <f t="shared" si="326"/>
        <v>0</v>
      </c>
      <c r="H2606" s="24">
        <f t="shared" si="324"/>
        <v>805.91044519997922</v>
      </c>
      <c r="I2606" s="12">
        <f t="shared" si="331"/>
        <v>0.14299760726639499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645.21212327965088</v>
      </c>
      <c r="F2607" s="37">
        <f t="shared" si="325"/>
        <v>0</v>
      </c>
      <c r="G2607" s="14">
        <f t="shared" si="326"/>
        <v>0</v>
      </c>
      <c r="H2607" s="24">
        <f t="shared" si="324"/>
        <v>806.12606452011369</v>
      </c>
      <c r="I2607" s="12">
        <f t="shared" si="331"/>
        <v>0.14293461173926325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645.35505789139017</v>
      </c>
      <c r="F2608" s="37">
        <f t="shared" si="325"/>
        <v>0</v>
      </c>
      <c r="G2608" s="14">
        <f t="shared" si="326"/>
        <v>0</v>
      </c>
      <c r="H2608" s="24">
        <f t="shared" si="324"/>
        <v>806.34225402998743</v>
      </c>
      <c r="I2608" s="12">
        <f t="shared" si="331"/>
        <v>0.14287156068642906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645.49792945207662</v>
      </c>
      <c r="F2609" s="37">
        <f t="shared" si="325"/>
        <v>0</v>
      </c>
      <c r="G2609" s="14">
        <f t="shared" si="326"/>
        <v>0</v>
      </c>
      <c r="H2609" s="24">
        <f t="shared" si="324"/>
        <v>806.55901584672029</v>
      </c>
      <c r="I2609" s="12">
        <f t="shared" si="331"/>
        <v>0.14280845393256333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645.64073790600924</v>
      </c>
      <c r="F2610" s="37">
        <f t="shared" si="325"/>
        <v>0</v>
      </c>
      <c r="G2610" s="14">
        <f t="shared" si="326"/>
        <v>0</v>
      </c>
      <c r="H2610" s="24">
        <f t="shared" si="324"/>
        <v>806.77635209740333</v>
      </c>
      <c r="I2610" s="12">
        <f t="shared" si="331"/>
        <v>0.14274529130170516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645.78348319731094</v>
      </c>
      <c r="F2611" s="37">
        <f t="shared" si="325"/>
        <v>0</v>
      </c>
      <c r="G2611" s="14">
        <f t="shared" si="326"/>
        <v>0</v>
      </c>
      <c r="H2611" s="24">
        <f t="shared" si="324"/>
        <v>806.99426491915449</v>
      </c>
      <c r="I2611" s="12">
        <f t="shared" si="331"/>
        <v>0.1426820726172594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645.92616526992822</v>
      </c>
      <c r="F2612" s="37">
        <f t="shared" si="325"/>
        <v>0</v>
      </c>
      <c r="G2612" s="14">
        <f t="shared" si="326"/>
        <v>0</v>
      </c>
      <c r="H2612" s="24">
        <f t="shared" si="324"/>
        <v>807.21275645917547</v>
      </c>
      <c r="I2612" s="12">
        <f t="shared" si="331"/>
        <v>0.14261879770199518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646.06878406763019</v>
      </c>
      <c r="F2613" s="37">
        <f t="shared" si="325"/>
        <v>0</v>
      </c>
      <c r="G2613" s="14">
        <f t="shared" si="326"/>
        <v>0</v>
      </c>
      <c r="H2613" s="24">
        <f t="shared" si="324"/>
        <v>807.43182887480862</v>
      </c>
      <c r="I2613" s="12">
        <f t="shared" si="331"/>
        <v>0.14255546637804273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646.21133953400829</v>
      </c>
      <c r="F2614" s="37">
        <f t="shared" si="325"/>
        <v>0</v>
      </c>
      <c r="G2614" s="14">
        <f t="shared" si="326"/>
        <v>0</v>
      </c>
      <c r="H2614" s="24">
        <f t="shared" si="324"/>
        <v>807.651484333594</v>
      </c>
      <c r="I2614" s="12">
        <f t="shared" si="331"/>
        <v>0.14249207846689149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646.35383161247523</v>
      </c>
      <c r="F2615" s="37">
        <f t="shared" si="325"/>
        <v>0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807.87172501332725</v>
      </c>
      <c r="I2615" s="12">
        <f t="shared" si="331"/>
        <v>0.142428633789388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646.49626024626457</v>
      </c>
      <c r="F2616" s="37">
        <f t="shared" si="325"/>
        <v>0</v>
      </c>
      <c r="G2616" s="14">
        <f t="shared" si="326"/>
        <v>0</v>
      </c>
      <c r="H2616" s="24">
        <f t="shared" si="332"/>
        <v>808.09255310211756</v>
      </c>
      <c r="I2616" s="12">
        <f t="shared" si="331"/>
        <v>0.14236513216573329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646.63862537843033</v>
      </c>
      <c r="F2617" s="37">
        <f t="shared" si="325"/>
        <v>0</v>
      </c>
      <c r="G2617" s="14">
        <f t="shared" si="326"/>
        <v>0</v>
      </c>
      <c r="H2617" s="24">
        <f t="shared" si="332"/>
        <v>808.31397079844658</v>
      </c>
      <c r="I2617" s="12">
        <f t="shared" si="331"/>
        <v>0.14230157341548055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646.7809269518458</v>
      </c>
      <c r="F2618" s="37">
        <f t="shared" si="325"/>
        <v>0</v>
      </c>
      <c r="G2618" s="14">
        <f t="shared" si="326"/>
        <v>0</v>
      </c>
      <c r="H2618" s="24">
        <f t="shared" si="332"/>
        <v>808.53598031122601</v>
      </c>
      <c r="I2618" s="12">
        <f t="shared" si="331"/>
        <v>0.14223795735753281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646.92316490920336</v>
      </c>
      <c r="F2619" s="37">
        <f t="shared" si="325"/>
        <v>0</v>
      </c>
      <c r="G2619" s="14">
        <f t="shared" si="326"/>
        <v>0</v>
      </c>
      <c r="H2619" s="24">
        <f t="shared" si="332"/>
        <v>808.75858385985862</v>
      </c>
      <c r="I2619" s="12">
        <f t="shared" si="331"/>
        <v>0.14217428381014097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647.06533919301353</v>
      </c>
      <c r="F2620" s="37">
        <f t="shared" si="325"/>
        <v>0</v>
      </c>
      <c r="G2620" s="14">
        <f t="shared" si="326"/>
        <v>0</v>
      </c>
      <c r="H2620" s="24">
        <f t="shared" si="332"/>
        <v>808.98178367429568</v>
      </c>
      <c r="I2620" s="12">
        <f t="shared" si="331"/>
        <v>0.14211055259090088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647.20744974560444</v>
      </c>
      <c r="F2621" s="37">
        <f t="shared" si="325"/>
        <v>0</v>
      </c>
      <c r="G2621" s="14">
        <f t="shared" si="326"/>
        <v>0</v>
      </c>
      <c r="H2621" s="24">
        <f t="shared" si="332"/>
        <v>809.20558199509912</v>
      </c>
      <c r="I2621" s="12">
        <f t="shared" si="331"/>
        <v>0.14204676351675144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647.3494965091212</v>
      </c>
      <c r="F2622" s="37">
        <f t="shared" si="325"/>
        <v>0</v>
      </c>
      <c r="G2622" s="14">
        <f t="shared" si="326"/>
        <v>0</v>
      </c>
      <c r="H2622" s="24">
        <f t="shared" si="332"/>
        <v>809.42998107350013</v>
      </c>
      <c r="I2622" s="12">
        <f t="shared" si="331"/>
        <v>0.14198291640397206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647.4914794255252</v>
      </c>
      <c r="F2623" s="37">
        <f t="shared" si="325"/>
        <v>0</v>
      </c>
      <c r="G2623" s="14">
        <f t="shared" si="326"/>
        <v>0</v>
      </c>
      <c r="H2623" s="24">
        <f t="shared" si="332"/>
        <v>809.65498317146091</v>
      </c>
      <c r="I2623" s="12">
        <f t="shared" si="331"/>
        <v>0.1419190110681802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647.63339843659332</v>
      </c>
      <c r="F2624" s="37">
        <f t="shared" si="325"/>
        <v>0</v>
      </c>
      <c r="G2624" s="14">
        <f t="shared" si="326"/>
        <v>0</v>
      </c>
      <c r="H2624" s="24">
        <f t="shared" si="332"/>
        <v>809.88059056173552</v>
      </c>
      <c r="I2624" s="12">
        <f t="shared" si="331"/>
        <v>0.14185504732432933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647.77525348391771</v>
      </c>
      <c r="F2625" s="37">
        <f t="shared" si="325"/>
        <v>0</v>
      </c>
      <c r="G2625" s="14">
        <f t="shared" si="326"/>
        <v>0</v>
      </c>
      <c r="H2625" s="24">
        <f t="shared" si="332"/>
        <v>810.10680552793167</v>
      </c>
      <c r="I2625" s="12">
        <f t="shared" si="331"/>
        <v>0.14179102498670615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647.91704450890438</v>
      </c>
      <c r="F2626" s="37">
        <f t="shared" si="325"/>
        <v>0</v>
      </c>
      <c r="G2626" s="14">
        <f t="shared" si="326"/>
        <v>0</v>
      </c>
      <c r="H2626" s="24">
        <f t="shared" si="332"/>
        <v>810.33363036457217</v>
      </c>
      <c r="I2626" s="12">
        <f t="shared" si="331"/>
        <v>0.14172694386892853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648.05877145277327</v>
      </c>
      <c r="F2627" s="37">
        <f t="shared" si="325"/>
        <v>0</v>
      </c>
      <c r="G2627" s="14">
        <f t="shared" si="326"/>
        <v>0</v>
      </c>
      <c r="H2627" s="24">
        <f t="shared" si="332"/>
        <v>810.56106737715788</v>
      </c>
      <c r="I2627" s="12">
        <f t="shared" si="331"/>
        <v>0.14166280378394269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648.20043425655717</v>
      </c>
      <c r="F2628" s="37">
        <f t="shared" si="325"/>
        <v>0</v>
      </c>
      <c r="G2628" s="14">
        <f t="shared" si="326"/>
        <v>0</v>
      </c>
      <c r="H2628" s="24">
        <f t="shared" si="332"/>
        <v>810.78911888223024</v>
      </c>
      <c r="I2628" s="12">
        <f t="shared" si="331"/>
        <v>0.14159860454402159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648.34203286110119</v>
      </c>
      <c r="F2629" s="37">
        <f t="shared" si="325"/>
        <v>0</v>
      </c>
      <c r="G2629" s="14">
        <f t="shared" si="326"/>
        <v>0</v>
      </c>
      <c r="H2629" s="24">
        <f t="shared" si="332"/>
        <v>811.01778720743471</v>
      </c>
      <c r="I2629" s="12">
        <f t="shared" si="331"/>
        <v>0.14153434596076145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648.48356720706192</v>
      </c>
      <c r="F2630" s="37">
        <f t="shared" si="325"/>
        <v>0</v>
      </c>
      <c r="G2630" s="14">
        <f t="shared" si="326"/>
        <v>0</v>
      </c>
      <c r="H2630" s="24">
        <f t="shared" si="332"/>
        <v>811.24707469158363</v>
      </c>
      <c r="I2630" s="12">
        <f t="shared" si="331"/>
        <v>0.14147002784508028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648.62503723490704</v>
      </c>
      <c r="F2631" s="37">
        <f t="shared" si="325"/>
        <v>0</v>
      </c>
      <c r="G2631" s="14">
        <f t="shared" si="326"/>
        <v>0</v>
      </c>
      <c r="H2631" s="24">
        <f t="shared" si="332"/>
        <v>811.47698368472129</v>
      </c>
      <c r="I2631" s="12">
        <f t="shared" si="331"/>
        <v>0.14140565000721486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648.76644288491423</v>
      </c>
      <c r="F2632" s="37">
        <f t="shared" si="325"/>
        <v>0</v>
      </c>
      <c r="G2632" s="14">
        <f t="shared" si="326"/>
        <v>0</v>
      </c>
      <c r="H2632" s="24">
        <f t="shared" si="332"/>
        <v>811.70751654818753</v>
      </c>
      <c r="I2632" s="12">
        <f t="shared" si="331"/>
        <v>0.14134121225671881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648.90778409717097</v>
      </c>
      <c r="F2633" s="37">
        <f t="shared" si="325"/>
        <v>0</v>
      </c>
      <c r="G2633" s="14">
        <f t="shared" si="326"/>
        <v>0</v>
      </c>
      <c r="H2633" s="24">
        <f t="shared" si="332"/>
        <v>811.93867565468349</v>
      </c>
      <c r="I2633" s="12">
        <f t="shared" si="331"/>
        <v>0.14127671440245945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649.04906081157344</v>
      </c>
      <c r="F2634" s="37">
        <f t="shared" si="325"/>
        <v>0</v>
      </c>
      <c r="G2634" s="14">
        <f t="shared" si="326"/>
        <v>0</v>
      </c>
      <c r="H2634" s="24">
        <f t="shared" si="332"/>
        <v>812.17046338833597</v>
      </c>
      <c r="I2634" s="12">
        <f t="shared" si="331"/>
        <v>0.14121215625261618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649.1902729678261</v>
      </c>
      <c r="F2635" s="37">
        <f t="shared" si="325"/>
        <v>0</v>
      </c>
      <c r="G2635" s="14">
        <f t="shared" si="326"/>
        <v>0</v>
      </c>
      <c r="H2635" s="24">
        <f t="shared" si="332"/>
        <v>812.40288214476379</v>
      </c>
      <c r="I2635" s="12">
        <f t="shared" si="331"/>
        <v>0.14114753761467722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649.33142050544075</v>
      </c>
      <c r="F2636" s="37">
        <f t="shared" si="325"/>
        <v>0</v>
      </c>
      <c r="G2636" s="14">
        <f t="shared" si="326"/>
        <v>0</v>
      </c>
      <c r="H2636" s="24">
        <f t="shared" si="332"/>
        <v>812.63593433114386</v>
      </c>
      <c r="I2636" s="12">
        <f t="shared" si="331"/>
        <v>0.14108285829543787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649.47250336373622</v>
      </c>
      <c r="F2637" s="37">
        <f t="shared" si="325"/>
        <v>0</v>
      </c>
      <c r="G2637" s="14">
        <f t="shared" si="326"/>
        <v>0</v>
      </c>
      <c r="H2637" s="24">
        <f t="shared" si="332"/>
        <v>812.86962236627789</v>
      </c>
      <c r="I2637" s="12">
        <f t="shared" si="331"/>
        <v>0.14101811810099762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649.61352148183721</v>
      </c>
      <c r="F2638" s="37">
        <f t="shared" si="325"/>
        <v>0</v>
      </c>
      <c r="G2638" s="14">
        <f t="shared" si="326"/>
        <v>0</v>
      </c>
      <c r="H2638" s="24">
        <f t="shared" si="332"/>
        <v>813.10394868065919</v>
      </c>
      <c r="I2638" s="12">
        <f t="shared" si="331"/>
        <v>0.14095331683675769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649.75447479867398</v>
      </c>
      <c r="F2639" s="37">
        <f t="shared" si="325"/>
        <v>0</v>
      </c>
      <c r="G2639" s="14">
        <f t="shared" si="326"/>
        <v>0</v>
      </c>
      <c r="H2639" s="24">
        <f t="shared" si="332"/>
        <v>813.33891571654021</v>
      </c>
      <c r="I2639" s="12">
        <f t="shared" si="331"/>
        <v>0.1408884543074187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649.89536325298138</v>
      </c>
      <c r="F2640" s="37">
        <f t="shared" si="325"/>
        <v>0</v>
      </c>
      <c r="G2640" s="14">
        <f t="shared" si="326"/>
        <v>0</v>
      </c>
      <c r="H2640" s="24">
        <f t="shared" si="332"/>
        <v>813.57452592800087</v>
      </c>
      <c r="I2640" s="12">
        <f t="shared" si="331"/>
        <v>0.1408235303169782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650.03618678329838</v>
      </c>
      <c r="F2641" s="37">
        <f t="shared" si="325"/>
        <v>0</v>
      </c>
      <c r="G2641" s="14">
        <f t="shared" si="326"/>
        <v>0</v>
      </c>
      <c r="H2641" s="24">
        <f t="shared" si="332"/>
        <v>813.81078178101677</v>
      </c>
      <c r="I2641" s="12">
        <f t="shared" si="331"/>
        <v>0.14075854466872773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650.17694532796713</v>
      </c>
      <c r="F2642" s="37">
        <f t="shared" si="325"/>
        <v>0</v>
      </c>
      <c r="G2642" s="14">
        <f t="shared" si="326"/>
        <v>0</v>
      </c>
      <c r="H2642" s="24">
        <f t="shared" si="332"/>
        <v>814.04768575352762</v>
      </c>
      <c r="I2642" s="12">
        <f t="shared" si="331"/>
        <v>0.14069349716525109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650.31763882513235</v>
      </c>
      <c r="F2643" s="37">
        <f t="shared" si="325"/>
        <v>0</v>
      </c>
      <c r="G2643" s="14">
        <f t="shared" si="326"/>
        <v>0</v>
      </c>
      <c r="H2643" s="24">
        <f t="shared" si="332"/>
        <v>814.2852403355073</v>
      </c>
      <c r="I2643" s="12">
        <f t="shared" si="331"/>
        <v>0.14062838760842131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650.45826721274079</v>
      </c>
      <c r="F2644" s="37">
        <f t="shared" ref="F2644:F2707" si="333">Cp*RhoP/(RhoA*H2644)*dp/1000*MassivP</f>
        <v>0</v>
      </c>
      <c r="G2644" s="14">
        <f t="shared" ref="G2644:G2707" si="334">Phi*EpsilonF*Botzman/10^8*J2644*((D2644+273)^4-(E2644+273)^4)</f>
        <v>0</v>
      </c>
      <c r="H2644" s="24">
        <f t="shared" si="332"/>
        <v>814.52344802903315</v>
      </c>
      <c r="I2644" s="12">
        <f t="shared" si="331"/>
        <v>0.14056321579939804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650.59883042854017</v>
      </c>
      <c r="F2645" s="37">
        <f t="shared" si="333"/>
        <v>0</v>
      </c>
      <c r="G2645" s="14">
        <f t="shared" si="334"/>
        <v>0</v>
      </c>
      <c r="H2645" s="24">
        <f t="shared" si="332"/>
        <v>814.76231134835643</v>
      </c>
      <c r="I2645" s="12">
        <f t="shared" ref="I2645:I2708" si="339">LambdaP*MassivP/(dp/1000)/(H2645*RhoA)/(1+F2645/3)*(D2645-E2645)*DeltaT-(EXP(F2645/10)-1)*(D2645-D2644)</f>
        <v>0.14049798153862542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650.73932841007877</v>
      </c>
      <c r="F2646" s="37">
        <f t="shared" si="333"/>
        <v>0</v>
      </c>
      <c r="G2646" s="14">
        <f t="shared" si="334"/>
        <v>0</v>
      </c>
      <c r="H2646" s="24">
        <f t="shared" si="332"/>
        <v>815.00183281997283</v>
      </c>
      <c r="I2646" s="12">
        <f t="shared" si="339"/>
        <v>0.14043268462582917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650.87976109470458</v>
      </c>
      <c r="F2647" s="37">
        <f t="shared" si="333"/>
        <v>0</v>
      </c>
      <c r="G2647" s="14">
        <f t="shared" si="334"/>
        <v>0</v>
      </c>
      <c r="H2647" s="24">
        <f t="shared" si="332"/>
        <v>815.24201498269417</v>
      </c>
      <c r="I2647" s="12">
        <f t="shared" si="339"/>
        <v>0.14036732486001435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651.02012841956457</v>
      </c>
      <c r="F2648" s="37">
        <f t="shared" si="333"/>
        <v>0</v>
      </c>
      <c r="G2648" s="14">
        <f t="shared" si="334"/>
        <v>0</v>
      </c>
      <c r="H2648" s="24">
        <f t="shared" si="332"/>
        <v>815.48286038771948</v>
      </c>
      <c r="I2648" s="12">
        <f t="shared" si="339"/>
        <v>0.14030190203946263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651.16043032160405</v>
      </c>
      <c r="F2649" s="37">
        <f t="shared" si="333"/>
        <v>0</v>
      </c>
      <c r="G2649" s="14">
        <f t="shared" si="334"/>
        <v>0</v>
      </c>
      <c r="H2649" s="24">
        <f t="shared" si="332"/>
        <v>815.72437159870742</v>
      </c>
      <c r="I2649" s="12">
        <f t="shared" si="339"/>
        <v>0.14023641596172981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651.30066673756573</v>
      </c>
      <c r="F2650" s="37">
        <f t="shared" si="333"/>
        <v>0</v>
      </c>
      <c r="G2650" s="14">
        <f t="shared" si="334"/>
        <v>0</v>
      </c>
      <c r="H2650" s="24">
        <f t="shared" si="332"/>
        <v>815.96655119184868</v>
      </c>
      <c r="I2650" s="12">
        <f t="shared" si="339"/>
        <v>0.14017086642364332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651.44083760398939</v>
      </c>
      <c r="F2651" s="37">
        <f t="shared" si="333"/>
        <v>0</v>
      </c>
      <c r="G2651" s="14">
        <f t="shared" si="334"/>
        <v>0</v>
      </c>
      <c r="H2651" s="24">
        <f t="shared" si="332"/>
        <v>816.20940175593989</v>
      </c>
      <c r="I2651" s="12">
        <f t="shared" si="339"/>
        <v>0.14010525322129941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651.58094285721074</v>
      </c>
      <c r="F2652" s="37">
        <f t="shared" si="333"/>
        <v>0</v>
      </c>
      <c r="G2652" s="14">
        <f t="shared" si="334"/>
        <v>0</v>
      </c>
      <c r="H2652" s="24">
        <f t="shared" si="332"/>
        <v>816.45292589245605</v>
      </c>
      <c r="I2652" s="12">
        <f t="shared" si="339"/>
        <v>0.14003957615006071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651.72098243336086</v>
      </c>
      <c r="F2653" s="37">
        <f t="shared" si="333"/>
        <v>0</v>
      </c>
      <c r="G2653" s="14">
        <f t="shared" si="334"/>
        <v>0</v>
      </c>
      <c r="H2653" s="24">
        <f t="shared" si="332"/>
        <v>816.69712621562564</v>
      </c>
      <c r="I2653" s="12">
        <f t="shared" si="339"/>
        <v>0.1399738350045539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651.86095626836538</v>
      </c>
      <c r="F2654" s="37">
        <f t="shared" si="333"/>
        <v>0</v>
      </c>
      <c r="G2654" s="14">
        <f t="shared" si="334"/>
        <v>0</v>
      </c>
      <c r="H2654" s="24">
        <f t="shared" si="332"/>
        <v>816.94200535250434</v>
      </c>
      <c r="I2654" s="12">
        <f t="shared" si="339"/>
        <v>0.13990802957866666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652.00086429794408</v>
      </c>
      <c r="F2655" s="37">
        <f t="shared" si="333"/>
        <v>0</v>
      </c>
      <c r="G2655" s="14">
        <f t="shared" si="334"/>
        <v>0</v>
      </c>
      <c r="H2655" s="24">
        <f t="shared" si="332"/>
        <v>817.18756594305137</v>
      </c>
      <c r="I2655" s="12">
        <f t="shared" si="339"/>
        <v>0.1398421596655455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652.14070645760967</v>
      </c>
      <c r="F2656" s="37">
        <f t="shared" si="333"/>
        <v>0</v>
      </c>
      <c r="G2656" s="14">
        <f t="shared" si="334"/>
        <v>0</v>
      </c>
      <c r="H2656" s="24">
        <f t="shared" si="332"/>
        <v>817.43381064020366</v>
      </c>
      <c r="I2656" s="12">
        <f t="shared" si="339"/>
        <v>0.13977622505759285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652.2804826826673</v>
      </c>
      <c r="F2657" s="37">
        <f t="shared" si="333"/>
        <v>0</v>
      </c>
      <c r="G2657" s="14">
        <f t="shared" si="334"/>
        <v>0</v>
      </c>
      <c r="H2657" s="24">
        <f t="shared" si="332"/>
        <v>817.68074210995314</v>
      </c>
      <c r="I2657" s="12">
        <f t="shared" si="339"/>
        <v>0.13971022554646445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652.42019290821372</v>
      </c>
      <c r="F2658" s="37">
        <f t="shared" si="333"/>
        <v>0</v>
      </c>
      <c r="G2658" s="14">
        <f t="shared" si="334"/>
        <v>0</v>
      </c>
      <c r="H2658" s="24">
        <f t="shared" si="332"/>
        <v>817.92836303142235</v>
      </c>
      <c r="I2658" s="12">
        <f t="shared" si="339"/>
        <v>0.1396441609230672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652.55983706913673</v>
      </c>
      <c r="F2659" s="37">
        <f t="shared" si="333"/>
        <v>0</v>
      </c>
      <c r="G2659" s="14">
        <f t="shared" si="334"/>
        <v>0</v>
      </c>
      <c r="H2659" s="24">
        <f t="shared" si="332"/>
        <v>818.17667609694286</v>
      </c>
      <c r="I2659" s="12">
        <f t="shared" si="339"/>
        <v>0.13957803097755572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652.69941510011427</v>
      </c>
      <c r="F2660" s="37">
        <f t="shared" si="333"/>
        <v>0</v>
      </c>
      <c r="G2660" s="14">
        <f t="shared" si="334"/>
        <v>0</v>
      </c>
      <c r="H2660" s="24">
        <f t="shared" si="332"/>
        <v>818.4256840121318</v>
      </c>
      <c r="I2660" s="12">
        <f t="shared" si="339"/>
        <v>0.13951183549933049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652.83892693561359</v>
      </c>
      <c r="F2661" s="37">
        <f t="shared" si="333"/>
        <v>0</v>
      </c>
      <c r="G2661" s="14">
        <f t="shared" si="334"/>
        <v>0</v>
      </c>
      <c r="H2661" s="24">
        <f t="shared" si="332"/>
        <v>818.67538949597053</v>
      </c>
      <c r="I2661" s="12">
        <f t="shared" si="339"/>
        <v>0.13944557427703475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652.97837250989062</v>
      </c>
      <c r="F2662" s="37">
        <f t="shared" si="333"/>
        <v>0</v>
      </c>
      <c r="G2662" s="14">
        <f t="shared" si="334"/>
        <v>0</v>
      </c>
      <c r="H2662" s="24">
        <f t="shared" si="332"/>
        <v>818.92579528088345</v>
      </c>
      <c r="I2662" s="12">
        <f t="shared" si="339"/>
        <v>0.13937924709855201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653.11775175698915</v>
      </c>
      <c r="F2663" s="37">
        <f t="shared" si="333"/>
        <v>0</v>
      </c>
      <c r="G2663" s="14">
        <f t="shared" si="334"/>
        <v>0</v>
      </c>
      <c r="H2663" s="24">
        <f t="shared" si="332"/>
        <v>819.17690411281694</v>
      </c>
      <c r="I2663" s="12">
        <f t="shared" si="339"/>
        <v>0.1393128537510035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653.25706461074014</v>
      </c>
      <c r="F2664" s="37">
        <f t="shared" si="333"/>
        <v>0</v>
      </c>
      <c r="G2664" s="14">
        <f t="shared" si="334"/>
        <v>0</v>
      </c>
      <c r="H2664" s="24">
        <f t="shared" si="332"/>
        <v>819.42871875131959</v>
      </c>
      <c r="I2664" s="12">
        <f t="shared" si="339"/>
        <v>0.13924639402074523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653.39631100476095</v>
      </c>
      <c r="F2665" s="37">
        <f t="shared" si="333"/>
        <v>0</v>
      </c>
      <c r="G2665" s="14">
        <f t="shared" si="334"/>
        <v>0</v>
      </c>
      <c r="H2665" s="24">
        <f t="shared" si="332"/>
        <v>819.68124196962231</v>
      </c>
      <c r="I2665" s="12">
        <f t="shared" si="339"/>
        <v>0.13917986769336557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653.53549087245426</v>
      </c>
      <c r="F2666" s="37">
        <f t="shared" si="333"/>
        <v>0</v>
      </c>
      <c r="G2666" s="14">
        <f t="shared" si="334"/>
        <v>0</v>
      </c>
      <c r="H2666" s="24">
        <f t="shared" si="332"/>
        <v>819.93447655471857</v>
      </c>
      <c r="I2666" s="12">
        <f t="shared" si="339"/>
        <v>0.13911327455368255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653.67460414700793</v>
      </c>
      <c r="F2667" s="37">
        <f t="shared" si="333"/>
        <v>0</v>
      </c>
      <c r="G2667" s="14">
        <f t="shared" si="334"/>
        <v>0</v>
      </c>
      <c r="H2667" s="24">
        <f t="shared" si="332"/>
        <v>820.18842530744735</v>
      </c>
      <c r="I2667" s="12">
        <f t="shared" si="339"/>
        <v>0.13904661438574112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653.81365076139366</v>
      </c>
      <c r="F2668" s="37">
        <f t="shared" si="333"/>
        <v>0</v>
      </c>
      <c r="G2668" s="14">
        <f t="shared" si="334"/>
        <v>0</v>
      </c>
      <c r="H2668" s="24">
        <f t="shared" si="332"/>
        <v>820.44309104257388</v>
      </c>
      <c r="I2668" s="12">
        <f t="shared" si="339"/>
        <v>0.13897988697281022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653.95263064836649</v>
      </c>
      <c r="F2669" s="37">
        <f t="shared" si="333"/>
        <v>0</v>
      </c>
      <c r="G2669" s="14">
        <f t="shared" si="334"/>
        <v>0</v>
      </c>
      <c r="H2669" s="24">
        <f t="shared" si="332"/>
        <v>820.69847658887261</v>
      </c>
      <c r="I2669" s="12">
        <f t="shared" si="339"/>
        <v>0.13891309209738076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654.09154374046386</v>
      </c>
      <c r="F2670" s="37">
        <f t="shared" si="333"/>
        <v>0</v>
      </c>
      <c r="G2670" s="14">
        <f t="shared" si="334"/>
        <v>0</v>
      </c>
      <c r="H2670" s="24">
        <f t="shared" si="332"/>
        <v>820.95458478920989</v>
      </c>
      <c r="I2670" s="12">
        <f t="shared" si="339"/>
        <v>0.13884622954116208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654.23038997000504</v>
      </c>
      <c r="F2671" s="37">
        <f t="shared" si="333"/>
        <v>0</v>
      </c>
      <c r="G2671" s="14">
        <f t="shared" si="334"/>
        <v>0</v>
      </c>
      <c r="H2671" s="24">
        <f t="shared" si="332"/>
        <v>821.2114185006285</v>
      </c>
      <c r="I2671" s="12">
        <f t="shared" si="339"/>
        <v>0.13877929908507994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654.36916926909009</v>
      </c>
      <c r="F2672" s="37">
        <f t="shared" si="333"/>
        <v>0</v>
      </c>
      <c r="G2672" s="14">
        <f t="shared" si="334"/>
        <v>0</v>
      </c>
      <c r="H2672" s="24">
        <f t="shared" si="332"/>
        <v>821.46898059443129</v>
      </c>
      <c r="I2672" s="12">
        <f t="shared" si="339"/>
        <v>0.13871230050927341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654.50788156959936</v>
      </c>
      <c r="F2673" s="37">
        <f t="shared" si="333"/>
        <v>0</v>
      </c>
      <c r="G2673" s="14">
        <f t="shared" si="334"/>
        <v>0</v>
      </c>
      <c r="H2673" s="24">
        <f t="shared" si="332"/>
        <v>821.72727395626589</v>
      </c>
      <c r="I2673" s="12">
        <f t="shared" si="339"/>
        <v>0.13864523359309217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654.6465268031925</v>
      </c>
      <c r="F2674" s="37">
        <f t="shared" si="333"/>
        <v>0</v>
      </c>
      <c r="G2674" s="14">
        <f t="shared" si="334"/>
        <v>0</v>
      </c>
      <c r="H2674" s="24">
        <f t="shared" si="332"/>
        <v>821.98630148621078</v>
      </c>
      <c r="I2674" s="12">
        <f t="shared" si="339"/>
        <v>0.13857809811509411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654.78510490130759</v>
      </c>
      <c r="F2675" s="37">
        <f t="shared" si="333"/>
        <v>0</v>
      </c>
      <c r="G2675" s="14">
        <f t="shared" si="334"/>
        <v>0</v>
      </c>
      <c r="H2675" s="24">
        <f t="shared" si="332"/>
        <v>822.24606609886007</v>
      </c>
      <c r="I2675" s="12">
        <f t="shared" si="339"/>
        <v>0.13851089385304222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654.92361579516069</v>
      </c>
      <c r="F2676" s="37">
        <f t="shared" si="333"/>
        <v>0</v>
      </c>
      <c r="G2676" s="14">
        <f t="shared" si="334"/>
        <v>0</v>
      </c>
      <c r="H2676" s="24">
        <f t="shared" si="332"/>
        <v>822.50657072341164</v>
      </c>
      <c r="I2676" s="12">
        <f t="shared" si="339"/>
        <v>0.13844362058390194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655.06205941574456</v>
      </c>
      <c r="F2677" s="37">
        <f t="shared" si="333"/>
        <v>0</v>
      </c>
      <c r="G2677" s="14">
        <f t="shared" si="334"/>
        <v>0</v>
      </c>
      <c r="H2677" s="24">
        <f t="shared" si="332"/>
        <v>822.76781830375273</v>
      </c>
      <c r="I2677" s="12">
        <f t="shared" si="339"/>
        <v>0.13837627808383865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655.20043569382835</v>
      </c>
      <c r="F2678" s="37">
        <f t="shared" si="333"/>
        <v>0</v>
      </c>
      <c r="G2678" s="14">
        <f t="shared" si="334"/>
        <v>0</v>
      </c>
      <c r="H2678" s="24">
        <f t="shared" si="332"/>
        <v>823.02981179854919</v>
      </c>
      <c r="I2678" s="12">
        <f t="shared" si="339"/>
        <v>0.13830886612821441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655.33874455995658</v>
      </c>
      <c r="F2679" s="37">
        <f t="shared" si="333"/>
        <v>0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823.29255418133255</v>
      </c>
      <c r="I2679" s="12">
        <f t="shared" si="339"/>
        <v>0.13824138449158596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655.47698594444819</v>
      </c>
      <c r="F2680" s="37">
        <f t="shared" si="333"/>
        <v>0</v>
      </c>
      <c r="G2680" s="14">
        <f t="shared" si="334"/>
        <v>0</v>
      </c>
      <c r="H2680" s="24">
        <f t="shared" si="340"/>
        <v>823.55604844058985</v>
      </c>
      <c r="I2680" s="12">
        <f t="shared" si="339"/>
        <v>0.138173832947701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655.61515977739589</v>
      </c>
      <c r="F2681" s="37">
        <f t="shared" si="333"/>
        <v>0</v>
      </c>
      <c r="G2681" s="14">
        <f t="shared" si="334"/>
        <v>0</v>
      </c>
      <c r="H2681" s="24">
        <f t="shared" si="340"/>
        <v>823.82029757985265</v>
      </c>
      <c r="I2681" s="12">
        <f t="shared" si="339"/>
        <v>0.1381062112694964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655.75326598866536</v>
      </c>
      <c r="F2682" s="37">
        <f t="shared" si="333"/>
        <v>0</v>
      </c>
      <c r="G2682" s="14">
        <f t="shared" si="334"/>
        <v>0</v>
      </c>
      <c r="H2682" s="24">
        <f t="shared" si="340"/>
        <v>824.08530461778776</v>
      </c>
      <c r="I2682" s="12">
        <f t="shared" si="339"/>
        <v>0.1380385192290948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655.89130450789446</v>
      </c>
      <c r="F2683" s="37">
        <f t="shared" si="333"/>
        <v>0</v>
      </c>
      <c r="G2683" s="14">
        <f t="shared" si="334"/>
        <v>0</v>
      </c>
      <c r="H2683" s="24">
        <f t="shared" si="340"/>
        <v>824.35107258828748</v>
      </c>
      <c r="I2683" s="12">
        <f t="shared" si="339"/>
        <v>0.13797075659780184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656.0292752644923</v>
      </c>
      <c r="F2684" s="37">
        <f t="shared" si="333"/>
        <v>0</v>
      </c>
      <c r="G2684" s="14">
        <f t="shared" si="334"/>
        <v>0</v>
      </c>
      <c r="H2684" s="24">
        <f t="shared" si="340"/>
        <v>824.61760454056173</v>
      </c>
      <c r="I2684" s="12">
        <f t="shared" si="339"/>
        <v>0.13790292314610367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656.16717818763846</v>
      </c>
      <c r="F2685" s="37">
        <f t="shared" si="333"/>
        <v>0</v>
      </c>
      <c r="G2685" s="14">
        <f t="shared" si="334"/>
        <v>0</v>
      </c>
      <c r="H2685" s="24">
        <f t="shared" si="340"/>
        <v>824.8849035392293</v>
      </c>
      <c r="I2685" s="12">
        <f t="shared" si="339"/>
        <v>0.13783501864366385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656.30501320628207</v>
      </c>
      <c r="F2686" s="37">
        <f t="shared" si="333"/>
        <v>0</v>
      </c>
      <c r="G2686" s="14">
        <f t="shared" si="334"/>
        <v>0</v>
      </c>
      <c r="H2686" s="24">
        <f t="shared" si="340"/>
        <v>825.15297266441087</v>
      </c>
      <c r="I2686" s="12">
        <f t="shared" si="339"/>
        <v>0.13776704285932101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656.44278024914138</v>
      </c>
      <c r="F2687" s="37">
        <f t="shared" si="333"/>
        <v>0</v>
      </c>
      <c r="G2687" s="14">
        <f t="shared" si="334"/>
        <v>0</v>
      </c>
      <c r="H2687" s="24">
        <f t="shared" si="340"/>
        <v>825.42181501182324</v>
      </c>
      <c r="I2687" s="12">
        <f t="shared" si="339"/>
        <v>0.13769899556108534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656.58047924470247</v>
      </c>
      <c r="F2688" s="37">
        <f t="shared" si="333"/>
        <v>0</v>
      </c>
      <c r="G2688" s="14">
        <f t="shared" si="334"/>
        <v>0</v>
      </c>
      <c r="H2688" s="24">
        <f t="shared" si="340"/>
        <v>825.6914336928719</v>
      </c>
      <c r="I2688" s="12">
        <f t="shared" si="339"/>
        <v>0.13763087651613631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656.71811012121861</v>
      </c>
      <c r="F2689" s="37">
        <f t="shared" si="333"/>
        <v>0</v>
      </c>
      <c r="G2689" s="14">
        <f t="shared" si="334"/>
        <v>0</v>
      </c>
      <c r="H2689" s="24">
        <f t="shared" si="340"/>
        <v>825.96183183474636</v>
      </c>
      <c r="I2689" s="12">
        <f t="shared" si="339"/>
        <v>0.13756268549081979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656.85567280670944</v>
      </c>
      <c r="F2690" s="37">
        <f t="shared" si="333"/>
        <v>0</v>
      </c>
      <c r="G2690" s="14">
        <f t="shared" si="334"/>
        <v>0</v>
      </c>
      <c r="H2690" s="24">
        <f t="shared" si="340"/>
        <v>826.23301258051561</v>
      </c>
      <c r="I2690" s="12">
        <f t="shared" si="339"/>
        <v>0.1374944222506449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656.99316722896003</v>
      </c>
      <c r="F2691" s="37">
        <f t="shared" si="333"/>
        <v>0</v>
      </c>
      <c r="G2691" s="14">
        <f t="shared" si="334"/>
        <v>0</v>
      </c>
      <c r="H2691" s="24">
        <f t="shared" si="340"/>
        <v>826.50497908922353</v>
      </c>
      <c r="I2691" s="12">
        <f t="shared" si="339"/>
        <v>0.13742608656028171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657.13059331552029</v>
      </c>
      <c r="F2692" s="37">
        <f t="shared" si="333"/>
        <v>0</v>
      </c>
      <c r="G2692" s="14">
        <f t="shared" si="334"/>
        <v>0</v>
      </c>
      <c r="H2692" s="24">
        <f t="shared" si="340"/>
        <v>826.77773453598638</v>
      </c>
      <c r="I2692" s="12">
        <f t="shared" si="339"/>
        <v>0.13735767818355776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657.26795099370383</v>
      </c>
      <c r="F2693" s="37">
        <f t="shared" si="333"/>
        <v>0</v>
      </c>
      <c r="G2693" s="14">
        <f t="shared" si="334"/>
        <v>0</v>
      </c>
      <c r="H2693" s="24">
        <f t="shared" si="340"/>
        <v>827.05128211208898</v>
      </c>
      <c r="I2693" s="12">
        <f t="shared" si="339"/>
        <v>0.13728919688345584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657.40524019058728</v>
      </c>
      <c r="F2694" s="37">
        <f t="shared" si="333"/>
        <v>0</v>
      </c>
      <c r="G2694" s="14">
        <f t="shared" si="334"/>
        <v>0</v>
      </c>
      <c r="H2694" s="24">
        <f t="shared" si="340"/>
        <v>827.3256250250837</v>
      </c>
      <c r="I2694" s="12">
        <f t="shared" si="339"/>
        <v>0.13722064242211068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657.54246083300939</v>
      </c>
      <c r="F2695" s="37">
        <f t="shared" si="333"/>
        <v>0</v>
      </c>
      <c r="G2695" s="14">
        <f t="shared" si="334"/>
        <v>0</v>
      </c>
      <c r="H2695" s="24">
        <f t="shared" si="340"/>
        <v>827.60076649888811</v>
      </c>
      <c r="I2695" s="12">
        <f t="shared" si="339"/>
        <v>0.13715201456080625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657.67961284757018</v>
      </c>
      <c r="F2696" s="37">
        <f t="shared" si="333"/>
        <v>0</v>
      </c>
      <c r="G2696" s="14">
        <f t="shared" si="334"/>
        <v>0</v>
      </c>
      <c r="H2696" s="24">
        <f t="shared" si="340"/>
        <v>827.87670977388552</v>
      </c>
      <c r="I2696" s="12">
        <f t="shared" si="339"/>
        <v>0.13708331305997312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657.81669616063016</v>
      </c>
      <c r="F2697" s="37">
        <f t="shared" si="333"/>
        <v>0</v>
      </c>
      <c r="G2697" s="14">
        <f t="shared" si="334"/>
        <v>0</v>
      </c>
      <c r="H2697" s="24">
        <f t="shared" si="340"/>
        <v>828.15345810702354</v>
      </c>
      <c r="I2697" s="12">
        <f t="shared" si="339"/>
        <v>0.1370145376791852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657.95371069830935</v>
      </c>
      <c r="F2698" s="37">
        <f t="shared" si="333"/>
        <v>0</v>
      </c>
      <c r="G2698" s="14">
        <f t="shared" si="334"/>
        <v>0</v>
      </c>
      <c r="H2698" s="24">
        <f t="shared" si="340"/>
        <v>828.43101477191635</v>
      </c>
      <c r="I2698" s="12">
        <f t="shared" si="339"/>
        <v>0.13694568817715699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658.09065638648656</v>
      </c>
      <c r="F2699" s="37">
        <f t="shared" si="333"/>
        <v>0</v>
      </c>
      <c r="G2699" s="14">
        <f t="shared" si="334"/>
        <v>0</v>
      </c>
      <c r="H2699" s="24">
        <f t="shared" si="340"/>
        <v>828.7093830589447</v>
      </c>
      <c r="I2699" s="12">
        <f t="shared" si="339"/>
        <v>0.13687676431174098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658.22753315079831</v>
      </c>
      <c r="F2700" s="37">
        <f t="shared" si="333"/>
        <v>0</v>
      </c>
      <c r="G2700" s="14">
        <f t="shared" si="334"/>
        <v>0</v>
      </c>
      <c r="H2700" s="24">
        <f t="shared" si="340"/>
        <v>828.98856627535918</v>
      </c>
      <c r="I2700" s="12">
        <f t="shared" si="339"/>
        <v>0.13680776583992441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658.36434091663818</v>
      </c>
      <c r="F2701" s="37">
        <f t="shared" si="333"/>
        <v>0</v>
      </c>
      <c r="G2701" s="14">
        <f t="shared" si="334"/>
        <v>0</v>
      </c>
      <c r="H2701" s="24">
        <f t="shared" si="340"/>
        <v>829.26856774538192</v>
      </c>
      <c r="I2701" s="12">
        <f t="shared" si="339"/>
        <v>0.13673869251782664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658.50107960915602</v>
      </c>
      <c r="F2702" s="37">
        <f t="shared" si="333"/>
        <v>0</v>
      </c>
      <c r="G2702" s="14">
        <f t="shared" si="334"/>
        <v>0</v>
      </c>
      <c r="H2702" s="24">
        <f t="shared" si="340"/>
        <v>829.54939081031171</v>
      </c>
      <c r="I2702" s="12">
        <f t="shared" si="339"/>
        <v>0.13666954410069587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658.63774915325666</v>
      </c>
      <c r="F2703" s="37">
        <f t="shared" si="333"/>
        <v>0</v>
      </c>
      <c r="G2703" s="14">
        <f t="shared" si="334"/>
        <v>0</v>
      </c>
      <c r="H2703" s="24">
        <f t="shared" si="340"/>
        <v>829.83103882862645</v>
      </c>
      <c r="I2703" s="12">
        <f t="shared" si="339"/>
        <v>0.13660032034290684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658.77434947359961</v>
      </c>
      <c r="F2704" s="37">
        <f t="shared" si="333"/>
        <v>0</v>
      </c>
      <c r="G2704" s="14">
        <f t="shared" si="334"/>
        <v>0</v>
      </c>
      <c r="H2704" s="24">
        <f t="shared" si="340"/>
        <v>830.11351517608978</v>
      </c>
      <c r="I2704" s="12">
        <f t="shared" si="339"/>
        <v>0.13653102099795741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658.91088049459756</v>
      </c>
      <c r="F2705" s="37">
        <f t="shared" si="333"/>
        <v>0</v>
      </c>
      <c r="G2705" s="14">
        <f t="shared" si="334"/>
        <v>0</v>
      </c>
      <c r="H2705" s="24">
        <f t="shared" si="340"/>
        <v>830.39682324585567</v>
      </c>
      <c r="I2705" s="12">
        <f t="shared" si="339"/>
        <v>0.13646164581846582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659.04734214041605</v>
      </c>
      <c r="F2706" s="37">
        <f t="shared" si="333"/>
        <v>0</v>
      </c>
      <c r="G2706" s="14">
        <f t="shared" si="334"/>
        <v>0</v>
      </c>
      <c r="H2706" s="24">
        <f t="shared" si="340"/>
        <v>830.68096644857542</v>
      </c>
      <c r="I2706" s="12">
        <f t="shared" si="339"/>
        <v>0.13639219455616797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659.1837343349722</v>
      </c>
      <c r="F2707" s="37">
        <f t="shared" si="333"/>
        <v>0</v>
      </c>
      <c r="G2707" s="14">
        <f t="shared" si="334"/>
        <v>0</v>
      </c>
      <c r="H2707" s="24">
        <f t="shared" si="340"/>
        <v>830.96594821250483</v>
      </c>
      <c r="I2707" s="12">
        <f t="shared" si="339"/>
        <v>0.13632266696191409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659.32005700193406</v>
      </c>
      <c r="F2708" s="37">
        <f t="shared" ref="F2708:F2771" si="341">Cp*RhoP/(RhoA*H2708)*dp/1000*MassivP</f>
        <v>0</v>
      </c>
      <c r="G2708" s="14">
        <f t="shared" ref="G2708:G2771" si="342">Phi*EpsilonF*Botzman/10^8*J2708*((D2708+273)^4-(E2708+273)^4)</f>
        <v>0</v>
      </c>
      <c r="H2708" s="24">
        <f t="shared" si="340"/>
        <v>831.25177198361223</v>
      </c>
      <c r="I2708" s="12">
        <f t="shared" si="339"/>
        <v>0.13625306278566612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659.45631006471967</v>
      </c>
      <c r="F2709" s="37">
        <f t="shared" si="341"/>
        <v>0</v>
      </c>
      <c r="G2709" s="14">
        <f t="shared" si="342"/>
        <v>0</v>
      </c>
      <c r="H2709" s="24">
        <f t="shared" si="340"/>
        <v>831.53844122568717</v>
      </c>
      <c r="I2709" s="12">
        <f t="shared" ref="I2709:I2772" si="347">LambdaP*MassivP/(dp/1000)/(H2709*RhoA)/(1+F2709/3)*(D2709-E2709)*DeltaT-(EXP(F2709/10)-1)*(D2709-D2708)</f>
        <v>0.13618338177649492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659.59249344649618</v>
      </c>
      <c r="F2710" s="37">
        <f t="shared" si="341"/>
        <v>0</v>
      </c>
      <c r="G2710" s="14">
        <f t="shared" si="342"/>
        <v>0</v>
      </c>
      <c r="H2710" s="24">
        <f t="shared" si="340"/>
        <v>831.82595942045009</v>
      </c>
      <c r="I2710" s="12">
        <f t="shared" si="347"/>
        <v>0.13611362368257665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659.72860707017878</v>
      </c>
      <c r="F2711" s="37">
        <f t="shared" si="341"/>
        <v>0</v>
      </c>
      <c r="G2711" s="14">
        <f t="shared" si="342"/>
        <v>0</v>
      </c>
      <c r="H2711" s="24">
        <f t="shared" si="340"/>
        <v>832.11433006766219</v>
      </c>
      <c r="I2711" s="12">
        <f t="shared" si="347"/>
        <v>0.13604378825119076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659.86465085842997</v>
      </c>
      <c r="F2712" s="37">
        <f t="shared" si="341"/>
        <v>0</v>
      </c>
      <c r="G2712" s="14">
        <f t="shared" si="342"/>
        <v>0</v>
      </c>
      <c r="H2712" s="24">
        <f t="shared" si="340"/>
        <v>832.40355668523659</v>
      </c>
      <c r="I2712" s="12">
        <f t="shared" si="347"/>
        <v>0.13597387522871646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660.0006247336587</v>
      </c>
      <c r="F2713" s="37">
        <f t="shared" si="341"/>
        <v>0</v>
      </c>
      <c r="G2713" s="14">
        <f t="shared" si="342"/>
        <v>0</v>
      </c>
      <c r="H2713" s="24">
        <f t="shared" si="340"/>
        <v>832.69364280935065</v>
      </c>
      <c r="I2713" s="12">
        <f t="shared" si="347"/>
        <v>0.13590388436062983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660.13652861801927</v>
      </c>
      <c r="F2714" s="37">
        <f t="shared" si="341"/>
        <v>0</v>
      </c>
      <c r="G2714" s="14">
        <f t="shared" si="342"/>
        <v>0</v>
      </c>
      <c r="H2714" s="24">
        <f t="shared" si="340"/>
        <v>832.98459199455806</v>
      </c>
      <c r="I2714" s="12">
        <f t="shared" si="347"/>
        <v>0.13583381539150102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660.27236243341076</v>
      </c>
      <c r="F2715" s="37">
        <f t="shared" si="341"/>
        <v>0</v>
      </c>
      <c r="G2715" s="14">
        <f t="shared" si="342"/>
        <v>0</v>
      </c>
      <c r="H2715" s="24">
        <f t="shared" si="340"/>
        <v>833.27640781390267</v>
      </c>
      <c r="I2715" s="12">
        <f t="shared" si="347"/>
        <v>0.13576366806499107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660.40812610147577</v>
      </c>
      <c r="F2716" s="37">
        <f t="shared" si="341"/>
        <v>0</v>
      </c>
      <c r="G2716" s="14">
        <f t="shared" si="342"/>
        <v>0</v>
      </c>
      <c r="H2716" s="24">
        <f t="shared" si="340"/>
        <v>833.56909385903225</v>
      </c>
      <c r="I2716" s="12">
        <f t="shared" si="347"/>
        <v>0.13569344212384929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660.54381954359962</v>
      </c>
      <c r="F2717" s="37">
        <f t="shared" si="341"/>
        <v>0</v>
      </c>
      <c r="G2717" s="14">
        <f t="shared" si="342"/>
        <v>0</v>
      </c>
      <c r="H2717" s="24">
        <f t="shared" si="340"/>
        <v>833.86265374031382</v>
      </c>
      <c r="I2717" s="12">
        <f t="shared" si="347"/>
        <v>0.13562313730990996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660.67944268090957</v>
      </c>
      <c r="F2718" s="37">
        <f t="shared" si="341"/>
        <v>0</v>
      </c>
      <c r="G2718" s="14">
        <f t="shared" si="342"/>
        <v>0</v>
      </c>
      <c r="H2718" s="24">
        <f t="shared" si="340"/>
        <v>834.15709108694966</v>
      </c>
      <c r="I2718" s="12">
        <f t="shared" si="347"/>
        <v>0.13555275336408951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660.81499543427367</v>
      </c>
      <c r="F2719" s="37">
        <f t="shared" si="341"/>
        <v>0</v>
      </c>
      <c r="G2719" s="14">
        <f t="shared" si="342"/>
        <v>0</v>
      </c>
      <c r="H2719" s="24">
        <f t="shared" si="340"/>
        <v>834.45240954709334</v>
      </c>
      <c r="I2719" s="12">
        <f t="shared" si="347"/>
        <v>0.13548229002638371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660.95047772430007</v>
      </c>
      <c r="F2720" s="37">
        <f t="shared" si="341"/>
        <v>0</v>
      </c>
      <c r="G2720" s="14">
        <f t="shared" si="342"/>
        <v>0</v>
      </c>
      <c r="H2720" s="24">
        <f t="shared" si="340"/>
        <v>834.748612787968</v>
      </c>
      <c r="I2720" s="12">
        <f t="shared" si="347"/>
        <v>0.13541174703586437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661.08588947133592</v>
      </c>
      <c r="F2721" s="37">
        <f t="shared" si="341"/>
        <v>0</v>
      </c>
      <c r="G2721" s="14">
        <f t="shared" si="342"/>
        <v>0</v>
      </c>
      <c r="H2721" s="24">
        <f t="shared" si="340"/>
        <v>835.04570449598395</v>
      </c>
      <c r="I2721" s="12">
        <f t="shared" si="347"/>
        <v>0.13534112413067645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661.22123059546664</v>
      </c>
      <c r="F2722" s="37">
        <f t="shared" si="341"/>
        <v>0</v>
      </c>
      <c r="G2722" s="14">
        <f t="shared" si="342"/>
        <v>0</v>
      </c>
      <c r="H2722" s="24">
        <f t="shared" si="340"/>
        <v>835.34368837685884</v>
      </c>
      <c r="I2722" s="12">
        <f t="shared" si="347"/>
        <v>0.13527042104803522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661.3565010165147</v>
      </c>
      <c r="F2723" s="37">
        <f t="shared" si="341"/>
        <v>0</v>
      </c>
      <c r="G2723" s="14">
        <f t="shared" si="342"/>
        <v>0</v>
      </c>
      <c r="H2723" s="24">
        <f t="shared" si="340"/>
        <v>835.64256815573617</v>
      </c>
      <c r="I2723" s="12">
        <f t="shared" si="347"/>
        <v>0.13519963752422332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661.49170065403894</v>
      </c>
      <c r="F2724" s="37">
        <f t="shared" si="341"/>
        <v>0</v>
      </c>
      <c r="G2724" s="14">
        <f t="shared" si="342"/>
        <v>0</v>
      </c>
      <c r="H2724" s="24">
        <f t="shared" si="340"/>
        <v>835.94234757730749</v>
      </c>
      <c r="I2724" s="12">
        <f t="shared" si="347"/>
        <v>0.13512877329458739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661.62682942733352</v>
      </c>
      <c r="F2725" s="37">
        <f t="shared" si="341"/>
        <v>0</v>
      </c>
      <c r="G2725" s="14">
        <f t="shared" si="342"/>
        <v>0</v>
      </c>
      <c r="H2725" s="24">
        <f t="shared" si="340"/>
        <v>836.2430304059335</v>
      </c>
      <c r="I2725" s="12">
        <f t="shared" si="347"/>
        <v>0.13505782809353536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661.76188725542704</v>
      </c>
      <c r="F2726" s="37">
        <f t="shared" si="341"/>
        <v>0</v>
      </c>
      <c r="G2726" s="14">
        <f t="shared" si="342"/>
        <v>0</v>
      </c>
      <c r="H2726" s="24">
        <f t="shared" si="340"/>
        <v>836.54462042576665</v>
      </c>
      <c r="I2726" s="12">
        <f t="shared" si="347"/>
        <v>0.13498680165453375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661.89687405708162</v>
      </c>
      <c r="F2727" s="37">
        <f t="shared" si="341"/>
        <v>0</v>
      </c>
      <c r="G2727" s="14">
        <f t="shared" si="342"/>
        <v>0</v>
      </c>
      <c r="H2727" s="24">
        <f t="shared" si="340"/>
        <v>836.8471214408753</v>
      </c>
      <c r="I2727" s="12">
        <f t="shared" si="347"/>
        <v>0.13491569371010381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662.03178975079175</v>
      </c>
      <c r="F2728" s="37">
        <f t="shared" si="341"/>
        <v>0</v>
      </c>
      <c r="G2728" s="14">
        <f t="shared" si="342"/>
        <v>0</v>
      </c>
      <c r="H2728" s="24">
        <f t="shared" si="340"/>
        <v>837.15053727536656</v>
      </c>
      <c r="I2728" s="12">
        <f t="shared" si="347"/>
        <v>0.13484450399181944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662.16663425478362</v>
      </c>
      <c r="F2729" s="37">
        <f t="shared" si="341"/>
        <v>0</v>
      </c>
      <c r="G2729" s="14">
        <f t="shared" si="342"/>
        <v>0</v>
      </c>
      <c r="H2729" s="24">
        <f t="shared" si="340"/>
        <v>837.4548717735131</v>
      </c>
      <c r="I2729" s="12">
        <f t="shared" si="347"/>
        <v>0.13477323223030355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662.30140748701388</v>
      </c>
      <c r="F2730" s="37">
        <f t="shared" si="341"/>
        <v>0</v>
      </c>
      <c r="G2730" s="14">
        <f t="shared" si="342"/>
        <v>0</v>
      </c>
      <c r="H2730" s="24">
        <f t="shared" si="340"/>
        <v>837.76012879987832</v>
      </c>
      <c r="I2730" s="12">
        <f t="shared" si="347"/>
        <v>0.13470187815522555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662.43610936516905</v>
      </c>
      <c r="F2731" s="37">
        <f t="shared" si="341"/>
        <v>0</v>
      </c>
      <c r="G2731" s="14">
        <f t="shared" si="342"/>
        <v>0</v>
      </c>
      <c r="H2731" s="24">
        <f t="shared" si="340"/>
        <v>838.06631223944373</v>
      </c>
      <c r="I2731" s="12">
        <f t="shared" si="347"/>
        <v>0.13463044149529771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662.57073980666439</v>
      </c>
      <c r="F2732" s="37">
        <f t="shared" si="341"/>
        <v>0</v>
      </c>
      <c r="G2732" s="14">
        <f t="shared" si="342"/>
        <v>0</v>
      </c>
      <c r="H2732" s="24">
        <f t="shared" si="340"/>
        <v>838.37342599773717</v>
      </c>
      <c r="I2732" s="12">
        <f t="shared" si="347"/>
        <v>0.13455892197827274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662.70529872864267</v>
      </c>
      <c r="F2733" s="37">
        <f t="shared" si="341"/>
        <v>0</v>
      </c>
      <c r="G2733" s="14">
        <f t="shared" si="342"/>
        <v>0</v>
      </c>
      <c r="H2733" s="24">
        <f t="shared" si="340"/>
        <v>838.68147400096086</v>
      </c>
      <c r="I2733" s="12">
        <f t="shared" si="347"/>
        <v>0.13448731933094044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662.83978604797358</v>
      </c>
      <c r="F2734" s="37">
        <f t="shared" si="341"/>
        <v>0</v>
      </c>
      <c r="G2734" s="14">
        <f t="shared" si="342"/>
        <v>0</v>
      </c>
      <c r="H2734" s="24">
        <f t="shared" si="340"/>
        <v>838.99046019612149</v>
      </c>
      <c r="I2734" s="12">
        <f t="shared" si="347"/>
        <v>0.13441563327912481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662.97420168125268</v>
      </c>
      <c r="F2735" s="37">
        <f t="shared" si="341"/>
        <v>0</v>
      </c>
      <c r="G2735" s="14">
        <f t="shared" si="342"/>
        <v>0</v>
      </c>
      <c r="H2735" s="24">
        <f t="shared" si="340"/>
        <v>839.30038855116163</v>
      </c>
      <c r="I2735" s="12">
        <f t="shared" si="347"/>
        <v>0.13434386354768099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663.10854554480034</v>
      </c>
      <c r="F2736" s="37">
        <f t="shared" si="341"/>
        <v>0</v>
      </c>
      <c r="G2736" s="14">
        <f t="shared" si="342"/>
        <v>0</v>
      </c>
      <c r="H2736" s="24">
        <f t="shared" si="340"/>
        <v>839.61126305509049</v>
      </c>
      <c r="I2736" s="12">
        <f t="shared" si="347"/>
        <v>0.13427200986049218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663.24281755466086</v>
      </c>
      <c r="F2737" s="37">
        <f t="shared" si="341"/>
        <v>0</v>
      </c>
      <c r="G2737" s="14">
        <f t="shared" si="342"/>
        <v>0</v>
      </c>
      <c r="H2737" s="24">
        <f t="shared" si="340"/>
        <v>839.92308771811702</v>
      </c>
      <c r="I2737" s="12">
        <f t="shared" si="347"/>
        <v>0.13420007194046674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663.37701762660129</v>
      </c>
      <c r="F2738" s="37">
        <f t="shared" si="341"/>
        <v>0</v>
      </c>
      <c r="G2738" s="14">
        <f t="shared" si="342"/>
        <v>0</v>
      </c>
      <c r="H2738" s="24">
        <f t="shared" si="340"/>
        <v>840.23586657178282</v>
      </c>
      <c r="I2738" s="12">
        <f t="shared" si="347"/>
        <v>0.13412804950953505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663.5111456761108</v>
      </c>
      <c r="F2739" s="37">
        <f t="shared" si="341"/>
        <v>0</v>
      </c>
      <c r="G2739" s="14">
        <f t="shared" si="342"/>
        <v>0</v>
      </c>
      <c r="H2739" s="24">
        <f t="shared" si="340"/>
        <v>840.54960366909745</v>
      </c>
      <c r="I2739" s="12">
        <f t="shared" si="347"/>
        <v>0.13405594228864642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663.64520161839948</v>
      </c>
      <c r="F2740" s="37">
        <f t="shared" si="341"/>
        <v>0</v>
      </c>
      <c r="G2740" s="14">
        <f t="shared" si="342"/>
        <v>0</v>
      </c>
      <c r="H2740" s="24">
        <f t="shared" si="340"/>
        <v>840.86430308467379</v>
      </c>
      <c r="I2740" s="12">
        <f t="shared" si="347"/>
        <v>0.13398374999776622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663.77918536839729</v>
      </c>
      <c r="F2741" s="37">
        <f t="shared" si="341"/>
        <v>0</v>
      </c>
      <c r="G2741" s="14">
        <f t="shared" si="342"/>
        <v>0</v>
      </c>
      <c r="H2741" s="24">
        <f t="shared" si="340"/>
        <v>841.17996891486337</v>
      </c>
      <c r="I2741" s="12">
        <f t="shared" si="347"/>
        <v>0.13391147235587275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663.91309684075316</v>
      </c>
      <c r="F2742" s="37">
        <f t="shared" si="341"/>
        <v>0</v>
      </c>
      <c r="G2742" s="14">
        <f t="shared" si="342"/>
        <v>0</v>
      </c>
      <c r="H2742" s="24">
        <f t="shared" si="340"/>
        <v>841.49660527789536</v>
      </c>
      <c r="I2742" s="12">
        <f t="shared" si="347"/>
        <v>0.13383910908095439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664.04693594983416</v>
      </c>
      <c r="F2743" s="37">
        <f t="shared" si="341"/>
        <v>0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841.81421631401417</v>
      </c>
      <c r="I2743" s="12">
        <f t="shared" si="347"/>
        <v>0.13376665989000611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664.18070260972422</v>
      </c>
      <c r="F2744" s="37">
        <f t="shared" si="341"/>
        <v>0</v>
      </c>
      <c r="G2744" s="14">
        <f t="shared" si="342"/>
        <v>0</v>
      </c>
      <c r="H2744" s="24">
        <f t="shared" si="348"/>
        <v>842.13280618561885</v>
      </c>
      <c r="I2744" s="12">
        <f t="shared" si="347"/>
        <v>0.1336941244990269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664.31439673422324</v>
      </c>
      <c r="F2745" s="37">
        <f t="shared" si="341"/>
        <v>0</v>
      </c>
      <c r="G2745" s="14">
        <f t="shared" si="342"/>
        <v>0</v>
      </c>
      <c r="H2745" s="24">
        <f t="shared" si="348"/>
        <v>842.45237907740352</v>
      </c>
      <c r="I2745" s="12">
        <f t="shared" si="347"/>
        <v>0.13362150262301653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664.44801823684622</v>
      </c>
      <c r="F2746" s="37">
        <f t="shared" si="341"/>
        <v>0</v>
      </c>
      <c r="G2746" s="14">
        <f t="shared" si="342"/>
        <v>0</v>
      </c>
      <c r="H2746" s="24">
        <f t="shared" si="348"/>
        <v>842.77293919649924</v>
      </c>
      <c r="I2746" s="12">
        <f t="shared" si="347"/>
        <v>0.13354879397597247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664.58156703082216</v>
      </c>
      <c r="F2747" s="37">
        <f t="shared" si="341"/>
        <v>0</v>
      </c>
      <c r="G2747" s="14">
        <f t="shared" si="342"/>
        <v>0</v>
      </c>
      <c r="H2747" s="24">
        <f t="shared" si="348"/>
        <v>843.09449077261615</v>
      </c>
      <c r="I2747" s="12">
        <f t="shared" si="347"/>
        <v>0.13347599827088694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664.71504302909307</v>
      </c>
      <c r="F2748" s="37">
        <f t="shared" si="341"/>
        <v>0</v>
      </c>
      <c r="G2748" s="14">
        <f t="shared" si="342"/>
        <v>0</v>
      </c>
      <c r="H2748" s="24">
        <f t="shared" si="348"/>
        <v>843.41703805818713</v>
      </c>
      <c r="I2748" s="12">
        <f t="shared" si="347"/>
        <v>0.1334031152197438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664.84844614431279</v>
      </c>
      <c r="F2749" s="37">
        <f t="shared" si="341"/>
        <v>0</v>
      </c>
      <c r="G2749" s="14">
        <f t="shared" si="342"/>
        <v>0</v>
      </c>
      <c r="H2749" s="24">
        <f t="shared" si="348"/>
        <v>843.74058532851177</v>
      </c>
      <c r="I2749" s="12">
        <f t="shared" si="347"/>
        <v>0.13333014453351549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664.98177628884628</v>
      </c>
      <c r="F2750" s="37">
        <f t="shared" si="341"/>
        <v>0</v>
      </c>
      <c r="G2750" s="14">
        <f t="shared" si="342"/>
        <v>0</v>
      </c>
      <c r="H2750" s="24">
        <f t="shared" si="348"/>
        <v>844.06513688190296</v>
      </c>
      <c r="I2750" s="12">
        <f t="shared" si="347"/>
        <v>0.13325708592216018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665.11503337476847</v>
      </c>
      <c r="F2751" s="37">
        <f t="shared" si="341"/>
        <v>0</v>
      </c>
      <c r="G2751" s="14">
        <f t="shared" si="342"/>
        <v>0</v>
      </c>
      <c r="H2751" s="24">
        <f t="shared" si="348"/>
        <v>844.39069703983273</v>
      </c>
      <c r="I2751" s="12">
        <f t="shared" si="347"/>
        <v>0.13318393909461829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665.24821731386305</v>
      </c>
      <c r="F2752" s="37">
        <f t="shared" si="341"/>
        <v>0</v>
      </c>
      <c r="G2752" s="14">
        <f t="shared" si="342"/>
        <v>0</v>
      </c>
      <c r="H2752" s="24">
        <f t="shared" si="348"/>
        <v>844.71727014708006</v>
      </c>
      <c r="I2752" s="12">
        <f t="shared" si="347"/>
        <v>0.13311070375881009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665.38132801762185</v>
      </c>
      <c r="F2753" s="37">
        <f t="shared" si="341"/>
        <v>0</v>
      </c>
      <c r="G2753" s="14">
        <f t="shared" si="342"/>
        <v>0</v>
      </c>
      <c r="H2753" s="24">
        <f t="shared" si="348"/>
        <v>845.04486057188024</v>
      </c>
      <c r="I2753" s="12">
        <f t="shared" si="347"/>
        <v>0.13303737962163212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665.51436539724352</v>
      </c>
      <c r="F2754" s="37">
        <f t="shared" si="341"/>
        <v>0</v>
      </c>
      <c r="G2754" s="14">
        <f t="shared" si="342"/>
        <v>0</v>
      </c>
      <c r="H2754" s="24">
        <f t="shared" si="348"/>
        <v>845.37347270607415</v>
      </c>
      <c r="I2754" s="12">
        <f t="shared" si="347"/>
        <v>0.13296396638895416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665.64732936363248</v>
      </c>
      <c r="F2755" s="37">
        <f t="shared" si="341"/>
        <v>0</v>
      </c>
      <c r="G2755" s="14">
        <f t="shared" si="342"/>
        <v>0</v>
      </c>
      <c r="H2755" s="24">
        <f t="shared" si="348"/>
        <v>845.70311096525916</v>
      </c>
      <c r="I2755" s="12">
        <f t="shared" si="347"/>
        <v>0.1328904637656167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665.78021982739813</v>
      </c>
      <c r="F2756" s="37">
        <f t="shared" si="341"/>
        <v>0</v>
      </c>
      <c r="G2756" s="14">
        <f t="shared" si="342"/>
        <v>0</v>
      </c>
      <c r="H2756" s="24">
        <f t="shared" si="348"/>
        <v>846.03377978894196</v>
      </c>
      <c r="I2756" s="12">
        <f t="shared" si="347"/>
        <v>0.13281687145542714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665.9130366988536</v>
      </c>
      <c r="F2757" s="37">
        <f t="shared" si="341"/>
        <v>0</v>
      </c>
      <c r="G2757" s="14">
        <f t="shared" si="342"/>
        <v>0</v>
      </c>
      <c r="H2757" s="24">
        <f t="shared" si="348"/>
        <v>846.36548364069085</v>
      </c>
      <c r="I2757" s="12">
        <f t="shared" si="347"/>
        <v>0.13274318916115752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666.04577988801475</v>
      </c>
      <c r="F2758" s="37">
        <f t="shared" si="341"/>
        <v>0</v>
      </c>
      <c r="G2758" s="14">
        <f t="shared" si="342"/>
        <v>0</v>
      </c>
      <c r="H2758" s="24">
        <f t="shared" si="348"/>
        <v>846.69822700829036</v>
      </c>
      <c r="I2758" s="12">
        <f t="shared" si="347"/>
        <v>0.13266941658454098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666.17844930459933</v>
      </c>
      <c r="F2759" s="37">
        <f t="shared" si="341"/>
        <v>0</v>
      </c>
      <c r="G2759" s="14">
        <f t="shared" si="342"/>
        <v>0</v>
      </c>
      <c r="H2759" s="24">
        <f t="shared" si="348"/>
        <v>847.03201440389705</v>
      </c>
      <c r="I2759" s="12">
        <f t="shared" si="347"/>
        <v>0.13259555342626864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666.31104485802564</v>
      </c>
      <c r="F2760" s="37">
        <f t="shared" si="341"/>
        <v>0</v>
      </c>
      <c r="G2760" s="14">
        <f t="shared" si="342"/>
        <v>0</v>
      </c>
      <c r="H2760" s="24">
        <f t="shared" si="348"/>
        <v>847.36685036419567</v>
      </c>
      <c r="I2760" s="12">
        <f t="shared" si="347"/>
        <v>0.13252159938598709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666.44356645741163</v>
      </c>
      <c r="F2761" s="37">
        <f t="shared" si="341"/>
        <v>0</v>
      </c>
      <c r="G2761" s="14">
        <f t="shared" si="342"/>
        <v>0</v>
      </c>
      <c r="H2761" s="24">
        <f t="shared" si="348"/>
        <v>847.70273945055658</v>
      </c>
      <c r="I2761" s="12">
        <f t="shared" si="347"/>
        <v>0.13244755416229476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666.57601401157387</v>
      </c>
      <c r="F2762" s="37">
        <f t="shared" si="341"/>
        <v>0</v>
      </c>
      <c r="G2762" s="14">
        <f t="shared" si="342"/>
        <v>0</v>
      </c>
      <c r="H2762" s="24">
        <f t="shared" si="348"/>
        <v>848.03968624919514</v>
      </c>
      <c r="I2762" s="12">
        <f t="shared" si="347"/>
        <v>0.13237341745273945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666.70838742902663</v>
      </c>
      <c r="F2763" s="37">
        <f t="shared" si="341"/>
        <v>0</v>
      </c>
      <c r="G2763" s="14">
        <f t="shared" si="342"/>
        <v>0</v>
      </c>
      <c r="H2763" s="24">
        <f t="shared" si="348"/>
        <v>848.37769537133192</v>
      </c>
      <c r="I2763" s="12">
        <f t="shared" si="347"/>
        <v>0.13229918895381459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666.8406866179804</v>
      </c>
      <c r="F2764" s="37">
        <f t="shared" si="341"/>
        <v>0</v>
      </c>
      <c r="G2764" s="14">
        <f t="shared" si="342"/>
        <v>0</v>
      </c>
      <c r="H2764" s="24">
        <f t="shared" si="348"/>
        <v>848.71677145335298</v>
      </c>
      <c r="I2764" s="12">
        <f t="shared" si="347"/>
        <v>0.13222486836095704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666.97291148634133</v>
      </c>
      <c r="F2765" s="37">
        <f t="shared" si="341"/>
        <v>0</v>
      </c>
      <c r="G2765" s="14">
        <f t="shared" si="342"/>
        <v>0</v>
      </c>
      <c r="H2765" s="24">
        <f t="shared" si="348"/>
        <v>849.05691915697321</v>
      </c>
      <c r="I2765" s="12">
        <f t="shared" si="347"/>
        <v>0.13215045536854322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667.10506194170989</v>
      </c>
      <c r="F2766" s="37">
        <f t="shared" si="341"/>
        <v>0</v>
      </c>
      <c r="G2766" s="14">
        <f t="shared" si="342"/>
        <v>0</v>
      </c>
      <c r="H2766" s="24">
        <f t="shared" si="348"/>
        <v>849.39814316939953</v>
      </c>
      <c r="I2766" s="12">
        <f t="shared" si="347"/>
        <v>0.13207594966988684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667.2371378913798</v>
      </c>
      <c r="F2767" s="37">
        <f t="shared" si="341"/>
        <v>0</v>
      </c>
      <c r="G2767" s="14">
        <f t="shared" si="342"/>
        <v>0</v>
      </c>
      <c r="H2767" s="24">
        <f t="shared" si="348"/>
        <v>849.74044820349513</v>
      </c>
      <c r="I2767" s="12">
        <f t="shared" si="347"/>
        <v>0.13200135095723536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667.36913924233704</v>
      </c>
      <c r="F2768" s="37">
        <f t="shared" si="341"/>
        <v>0</v>
      </c>
      <c r="G2768" s="14">
        <f t="shared" si="342"/>
        <v>0</v>
      </c>
      <c r="H2768" s="24">
        <f t="shared" si="348"/>
        <v>850.08383899794649</v>
      </c>
      <c r="I2768" s="12">
        <f t="shared" si="347"/>
        <v>0.13192665892176711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667.50106590125881</v>
      </c>
      <c r="F2769" s="37">
        <f t="shared" si="341"/>
        <v>0</v>
      </c>
      <c r="G2769" s="14">
        <f t="shared" si="342"/>
        <v>0</v>
      </c>
      <c r="H2769" s="24">
        <f t="shared" si="348"/>
        <v>850.42832031742955</v>
      </c>
      <c r="I2769" s="12">
        <f t="shared" si="347"/>
        <v>0.13185187325358855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667.63291777451241</v>
      </c>
      <c r="F2770" s="37">
        <f t="shared" si="341"/>
        <v>0</v>
      </c>
      <c r="G2770" s="14">
        <f t="shared" si="342"/>
        <v>0</v>
      </c>
      <c r="H2770" s="24">
        <f t="shared" si="348"/>
        <v>850.77389695277941</v>
      </c>
      <c r="I2770" s="12">
        <f t="shared" si="347"/>
        <v>0.13177699364173046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667.76469476815419</v>
      </c>
      <c r="F2771" s="37">
        <f t="shared" si="341"/>
        <v>0</v>
      </c>
      <c r="G2771" s="14">
        <f t="shared" si="342"/>
        <v>0</v>
      </c>
      <c r="H2771" s="24">
        <f t="shared" si="348"/>
        <v>851.12057372115873</v>
      </c>
      <c r="I2771" s="12">
        <f t="shared" si="347"/>
        <v>0.13170201977414589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667.89639678792832</v>
      </c>
      <c r="F2772" s="37">
        <f t="shared" ref="F2772:F2835" si="349">Cp*RhoP/(RhoA*H2772)*dp/1000*MassivP</f>
        <v>0</v>
      </c>
      <c r="G2772" s="14">
        <f t="shared" ref="G2772:G2835" si="350">Phi*EpsilonF*Botzman/10^8*J2772*((D2772+273)^4-(E2772+273)^4)</f>
        <v>0</v>
      </c>
      <c r="H2772" s="24">
        <f t="shared" si="348"/>
        <v>851.46835546622924</v>
      </c>
      <c r="I2772" s="12">
        <f t="shared" si="347"/>
        <v>0.13162695133770674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668.02802373926602</v>
      </c>
      <c r="F2773" s="37">
        <f t="shared" si="349"/>
        <v>0</v>
      </c>
      <c r="G2773" s="14">
        <f t="shared" si="350"/>
        <v>0</v>
      </c>
      <c r="H2773" s="24">
        <f t="shared" si="348"/>
        <v>851.81724705832414</v>
      </c>
      <c r="I2773" s="12">
        <f t="shared" ref="I2773:I2836" si="355">LambdaP*MassivP/(dp/1000)/(H2773*RhoA)/(1+F2773/3)*(D2773-E2773)*DeltaT-(EXP(F2773/10)-1)*(D2773-D2772)</f>
        <v>0.13155178801820056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668.15957552728423</v>
      </c>
      <c r="F2774" s="37">
        <f t="shared" si="349"/>
        <v>0</v>
      </c>
      <c r="G2774" s="14">
        <f t="shared" si="350"/>
        <v>0</v>
      </c>
      <c r="H2774" s="24">
        <f t="shared" si="348"/>
        <v>852.16725339462153</v>
      </c>
      <c r="I2774" s="12">
        <f t="shared" si="355"/>
        <v>0.13147652950032765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668.29105205678457</v>
      </c>
      <c r="F2775" s="37">
        <f t="shared" si="349"/>
        <v>0</v>
      </c>
      <c r="G2775" s="14">
        <f t="shared" si="350"/>
        <v>0</v>
      </c>
      <c r="H2775" s="24">
        <f t="shared" si="348"/>
        <v>852.51837939931852</v>
      </c>
      <c r="I2775" s="12">
        <f t="shared" si="355"/>
        <v>0.13140117546769833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668.42245323225222</v>
      </c>
      <c r="F2776" s="37">
        <f t="shared" si="349"/>
        <v>0</v>
      </c>
      <c r="G2776" s="14">
        <f t="shared" si="350"/>
        <v>0</v>
      </c>
      <c r="H2776" s="24">
        <f t="shared" si="348"/>
        <v>852.87063002380808</v>
      </c>
      <c r="I2776" s="12">
        <f t="shared" si="355"/>
        <v>0.13132572560282957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668.553778957855</v>
      </c>
      <c r="F2777" s="37">
        <f t="shared" si="349"/>
        <v>0</v>
      </c>
      <c r="G2777" s="14">
        <f t="shared" si="350"/>
        <v>0</v>
      </c>
      <c r="H2777" s="24">
        <f t="shared" si="348"/>
        <v>853.22401024685632</v>
      </c>
      <c r="I2777" s="12">
        <f t="shared" si="355"/>
        <v>0.1312501795871423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668.68502913744214</v>
      </c>
      <c r="F2778" s="37">
        <f t="shared" si="349"/>
        <v>0</v>
      </c>
      <c r="G2778" s="14">
        <f t="shared" si="350"/>
        <v>0</v>
      </c>
      <c r="H2778" s="24">
        <f t="shared" si="348"/>
        <v>853.5785250747806</v>
      </c>
      <c r="I2778" s="12">
        <f t="shared" si="355"/>
        <v>0.13117453710095819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668.81620367454309</v>
      </c>
      <c r="F2779" s="37">
        <f t="shared" si="349"/>
        <v>0</v>
      </c>
      <c r="G2779" s="14">
        <f t="shared" si="350"/>
        <v>0</v>
      </c>
      <c r="H2779" s="24">
        <f t="shared" si="348"/>
        <v>853.93417954163033</v>
      </c>
      <c r="I2779" s="12">
        <f t="shared" si="355"/>
        <v>0.13109879782349673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668.94730247236657</v>
      </c>
      <c r="F2780" s="37">
        <f t="shared" si="349"/>
        <v>0</v>
      </c>
      <c r="G2780" s="14">
        <f t="shared" si="350"/>
        <v>0</v>
      </c>
      <c r="H2780" s="24">
        <f t="shared" si="348"/>
        <v>854.29097870936721</v>
      </c>
      <c r="I2780" s="12">
        <f t="shared" si="355"/>
        <v>0.13102296143287256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669.07832543379948</v>
      </c>
      <c r="F2781" s="37">
        <f t="shared" si="349"/>
        <v>0</v>
      </c>
      <c r="G2781" s="14">
        <f t="shared" si="350"/>
        <v>0</v>
      </c>
      <c r="H2781" s="24">
        <f t="shared" si="348"/>
        <v>854.6489276680494</v>
      </c>
      <c r="I2781" s="12">
        <f t="shared" si="355"/>
        <v>0.13094702760609186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669.20927246140559</v>
      </c>
      <c r="F2782" s="37">
        <f t="shared" si="349"/>
        <v>0</v>
      </c>
      <c r="G2782" s="14">
        <f t="shared" si="350"/>
        <v>0</v>
      </c>
      <c r="H2782" s="24">
        <f t="shared" si="348"/>
        <v>855.00803153601396</v>
      </c>
      <c r="I2782" s="12">
        <f t="shared" si="355"/>
        <v>0.13087099601905008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669.34014345742469</v>
      </c>
      <c r="F2783" s="37">
        <f t="shared" si="349"/>
        <v>0</v>
      </c>
      <c r="G2783" s="14">
        <f t="shared" si="350"/>
        <v>0</v>
      </c>
      <c r="H2783" s="24">
        <f t="shared" si="348"/>
        <v>855.36829546006379</v>
      </c>
      <c r="I2783" s="12">
        <f t="shared" si="355"/>
        <v>0.13079486634652854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669.47093832377118</v>
      </c>
      <c r="F2784" s="37">
        <f t="shared" si="349"/>
        <v>0</v>
      </c>
      <c r="G2784" s="14">
        <f t="shared" si="350"/>
        <v>0</v>
      </c>
      <c r="H2784" s="24">
        <f t="shared" si="348"/>
        <v>855.72972461565314</v>
      </c>
      <c r="I2784" s="12">
        <f t="shared" si="355"/>
        <v>0.13071863826219152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669.60165696203342</v>
      </c>
      <c r="F2785" s="37">
        <f t="shared" si="349"/>
        <v>0</v>
      </c>
      <c r="G2785" s="14">
        <f t="shared" si="350"/>
        <v>0</v>
      </c>
      <c r="H2785" s="24">
        <f t="shared" si="348"/>
        <v>856.0923242070769</v>
      </c>
      <c r="I2785" s="12">
        <f t="shared" si="355"/>
        <v>0.13064231143858357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669.73229927347199</v>
      </c>
      <c r="F2786" s="37">
        <f t="shared" si="349"/>
        <v>0</v>
      </c>
      <c r="G2786" s="14">
        <f t="shared" si="350"/>
        <v>0</v>
      </c>
      <c r="H2786" s="24">
        <f t="shared" si="348"/>
        <v>856.4560994676591</v>
      </c>
      <c r="I2786" s="12">
        <f t="shared" si="355"/>
        <v>0.13056588554712628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669.86286515901907</v>
      </c>
      <c r="F2787" s="37">
        <f t="shared" si="349"/>
        <v>0</v>
      </c>
      <c r="G2787" s="14">
        <f t="shared" si="350"/>
        <v>0</v>
      </c>
      <c r="H2787" s="24">
        <f t="shared" si="348"/>
        <v>856.82105565994493</v>
      </c>
      <c r="I2787" s="12">
        <f t="shared" si="355"/>
        <v>0.13048936025811547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669.9933545192772</v>
      </c>
      <c r="F2788" s="37">
        <f t="shared" si="349"/>
        <v>0</v>
      </c>
      <c r="G2788" s="14">
        <f t="shared" si="350"/>
        <v>0</v>
      </c>
      <c r="H2788" s="24">
        <f t="shared" si="348"/>
        <v>857.18719807589332</v>
      </c>
      <c r="I2788" s="12">
        <f t="shared" si="355"/>
        <v>0.1304127352407182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670.12376725451793</v>
      </c>
      <c r="F2789" s="37">
        <f t="shared" si="349"/>
        <v>0</v>
      </c>
      <c r="G2789" s="14">
        <f t="shared" si="350"/>
        <v>0</v>
      </c>
      <c r="H2789" s="24">
        <f t="shared" si="348"/>
        <v>857.55453203706907</v>
      </c>
      <c r="I2789" s="12">
        <f t="shared" si="355"/>
        <v>0.13033601016297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670.25410326468091</v>
      </c>
      <c r="F2790" s="37">
        <f t="shared" si="349"/>
        <v>0</v>
      </c>
      <c r="G2790" s="14">
        <f t="shared" si="350"/>
        <v>0</v>
      </c>
      <c r="H2790" s="24">
        <f t="shared" si="348"/>
        <v>857.92306289484031</v>
      </c>
      <c r="I2790" s="12">
        <f t="shared" si="355"/>
        <v>0.13025918469177178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670.3843624493727</v>
      </c>
      <c r="F2791" s="37">
        <f t="shared" si="349"/>
        <v>0</v>
      </c>
      <c r="G2791" s="14">
        <f t="shared" si="350"/>
        <v>0</v>
      </c>
      <c r="H2791" s="24">
        <f t="shared" si="348"/>
        <v>858.2927960305741</v>
      </c>
      <c r="I2791" s="12">
        <f t="shared" si="355"/>
        <v>0.13018225849288723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670.51454470786564</v>
      </c>
      <c r="F2792" s="37">
        <f t="shared" si="349"/>
        <v>0</v>
      </c>
      <c r="G2792" s="14">
        <f t="shared" si="350"/>
        <v>0</v>
      </c>
      <c r="H2792" s="24">
        <f t="shared" si="348"/>
        <v>858.66373685583517</v>
      </c>
      <c r="I2792" s="12">
        <f t="shared" si="355"/>
        <v>0.13010523123093937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670.64464993909655</v>
      </c>
      <c r="F2793" s="37">
        <f t="shared" si="349"/>
        <v>0</v>
      </c>
      <c r="G2793" s="14">
        <f t="shared" si="350"/>
        <v>0</v>
      </c>
      <c r="H2793" s="24">
        <f t="shared" si="348"/>
        <v>859.03589081258497</v>
      </c>
      <c r="I2793" s="12">
        <f t="shared" si="355"/>
        <v>0.1300281025694083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670.77467804166599</v>
      </c>
      <c r="F2794" s="37">
        <f t="shared" si="349"/>
        <v>0</v>
      </c>
      <c r="G2794" s="14">
        <f t="shared" si="350"/>
        <v>0</v>
      </c>
      <c r="H2794" s="24">
        <f t="shared" si="348"/>
        <v>859.40926337338465</v>
      </c>
      <c r="I2794" s="12">
        <f t="shared" si="355"/>
        <v>0.1299508721706279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670.90462891383663</v>
      </c>
      <c r="F2795" s="37">
        <f t="shared" si="349"/>
        <v>0</v>
      </c>
      <c r="G2795" s="14">
        <f t="shared" si="350"/>
        <v>0</v>
      </c>
      <c r="H2795" s="24">
        <f t="shared" si="348"/>
        <v>859.78386004159552</v>
      </c>
      <c r="I2795" s="12">
        <f t="shared" si="355"/>
        <v>0.12987353969578308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671.03450245353247</v>
      </c>
      <c r="F2796" s="37">
        <f t="shared" si="349"/>
        <v>0</v>
      </c>
      <c r="G2796" s="14">
        <f t="shared" si="350"/>
        <v>0</v>
      </c>
      <c r="H2796" s="24">
        <f t="shared" si="348"/>
        <v>860.15968635158538</v>
      </c>
      <c r="I2796" s="12">
        <f t="shared" si="355"/>
        <v>0.12979610480490689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671.16429855833735</v>
      </c>
      <c r="F2797" s="37">
        <f t="shared" si="349"/>
        <v>0</v>
      </c>
      <c r="G2797" s="14">
        <f t="shared" si="350"/>
        <v>0</v>
      </c>
      <c r="H2797" s="24">
        <f t="shared" si="348"/>
        <v>860.53674786893293</v>
      </c>
      <c r="I2797" s="12">
        <f t="shared" si="355"/>
        <v>0.12971856715687796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671.29401712549418</v>
      </c>
      <c r="F2798" s="37">
        <f t="shared" si="349"/>
        <v>0</v>
      </c>
      <c r="G2798" s="14">
        <f t="shared" si="350"/>
        <v>0</v>
      </c>
      <c r="H2798" s="24">
        <f t="shared" si="348"/>
        <v>860.91505019063584</v>
      </c>
      <c r="I2798" s="12">
        <f t="shared" si="355"/>
        <v>0.1296409264094171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671.42365805190354</v>
      </c>
      <c r="F2799" s="37">
        <f t="shared" si="349"/>
        <v>0</v>
      </c>
      <c r="G2799" s="14">
        <f t="shared" si="350"/>
        <v>0</v>
      </c>
      <c r="H2799" s="24">
        <f t="shared" si="348"/>
        <v>861.29459894532033</v>
      </c>
      <c r="I2799" s="12">
        <f t="shared" si="355"/>
        <v>0.12956318221908494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671.55322123412259</v>
      </c>
      <c r="F2800" s="37">
        <f t="shared" si="349"/>
        <v>0</v>
      </c>
      <c r="G2800" s="14">
        <f t="shared" si="350"/>
        <v>0</v>
      </c>
      <c r="H2800" s="24">
        <f t="shared" si="348"/>
        <v>861.6753997934502</v>
      </c>
      <c r="I2800" s="12">
        <f t="shared" si="355"/>
        <v>0.12948533424127895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671.68270656836387</v>
      </c>
      <c r="F2801" s="37">
        <f t="shared" si="349"/>
        <v>0</v>
      </c>
      <c r="G2801" s="14">
        <f t="shared" si="350"/>
        <v>0</v>
      </c>
      <c r="H2801" s="24">
        <f t="shared" si="348"/>
        <v>862.05745842754038</v>
      </c>
      <c r="I2801" s="12">
        <f t="shared" si="355"/>
        <v>0.12940738213023054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671.81211395049411</v>
      </c>
      <c r="F2802" s="37">
        <f t="shared" si="349"/>
        <v>0</v>
      </c>
      <c r="G2802" s="14">
        <f t="shared" si="350"/>
        <v>0</v>
      </c>
      <c r="H2802" s="24">
        <f t="shared" si="348"/>
        <v>862.4407805723697</v>
      </c>
      <c r="I2802" s="12">
        <f t="shared" si="355"/>
        <v>0.12932932553900256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671.94144327603306</v>
      </c>
      <c r="F2803" s="37">
        <f t="shared" si="349"/>
        <v>0</v>
      </c>
      <c r="G2803" s="14">
        <f t="shared" si="350"/>
        <v>0</v>
      </c>
      <c r="H2803" s="24">
        <f t="shared" si="348"/>
        <v>862.82537198519651</v>
      </c>
      <c r="I2803" s="12">
        <f t="shared" si="355"/>
        <v>0.12925116411948617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672.07069444015258</v>
      </c>
      <c r="F2804" s="37">
        <f t="shared" si="349"/>
        <v>0</v>
      </c>
      <c r="G2804" s="14">
        <f t="shared" si="350"/>
        <v>0</v>
      </c>
      <c r="H2804" s="24">
        <f t="shared" si="348"/>
        <v>863.2112384559764</v>
      </c>
      <c r="I2804" s="12">
        <f t="shared" si="355"/>
        <v>0.12917289752239824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672.19986733767496</v>
      </c>
      <c r="F2805" s="37">
        <f t="shared" si="349"/>
        <v>0</v>
      </c>
      <c r="G2805" s="14">
        <f t="shared" si="350"/>
        <v>0</v>
      </c>
      <c r="H2805" s="24">
        <f t="shared" si="348"/>
        <v>863.59838580757923</v>
      </c>
      <c r="I2805" s="12">
        <f t="shared" si="355"/>
        <v>0.12909452539727867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672.32896186307221</v>
      </c>
      <c r="F2806" s="37">
        <f t="shared" si="349"/>
        <v>0</v>
      </c>
      <c r="G2806" s="14">
        <f t="shared" si="350"/>
        <v>0</v>
      </c>
      <c r="H2806" s="24">
        <f t="shared" si="348"/>
        <v>863.98681989601118</v>
      </c>
      <c r="I2806" s="12">
        <f t="shared" si="355"/>
        <v>0.12901604739248737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672.45797791046471</v>
      </c>
      <c r="F2807" s="37">
        <f t="shared" si="349"/>
        <v>0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864.3765466106355</v>
      </c>
      <c r="I2807" s="12">
        <f t="shared" si="355"/>
        <v>0.12893746315520183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672.58691537361995</v>
      </c>
      <c r="F2808" s="37">
        <f t="shared" si="349"/>
        <v>0</v>
      </c>
      <c r="G2808" s="14">
        <f t="shared" si="350"/>
        <v>0</v>
      </c>
      <c r="H2808" s="24">
        <f t="shared" si="356"/>
        <v>864.76757187439682</v>
      </c>
      <c r="I2808" s="12">
        <f t="shared" si="355"/>
        <v>0.12885877233141424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672.7157741459514</v>
      </c>
      <c r="F2809" s="37">
        <f t="shared" si="349"/>
        <v>0</v>
      </c>
      <c r="G2809" s="14">
        <f t="shared" si="350"/>
        <v>0</v>
      </c>
      <c r="H2809" s="24">
        <f t="shared" si="356"/>
        <v>865.15990164404593</v>
      </c>
      <c r="I2809" s="12">
        <f t="shared" si="355"/>
        <v>0.12877997456592871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672.84455412051727</v>
      </c>
      <c r="F2810" s="37">
        <f t="shared" si="349"/>
        <v>0</v>
      </c>
      <c r="G2810" s="14">
        <f t="shared" si="350"/>
        <v>0</v>
      </c>
      <c r="H2810" s="24">
        <f t="shared" si="356"/>
        <v>865.5535419103669</v>
      </c>
      <c r="I2810" s="12">
        <f t="shared" si="355"/>
        <v>0.12870106950235893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672.97325519001959</v>
      </c>
      <c r="F2811" s="37">
        <f t="shared" si="349"/>
        <v>0</v>
      </c>
      <c r="G2811" s="14">
        <f t="shared" si="350"/>
        <v>0</v>
      </c>
      <c r="H2811" s="24">
        <f t="shared" si="356"/>
        <v>865.94849869840687</v>
      </c>
      <c r="I2811" s="12">
        <f t="shared" si="355"/>
        <v>0.12862205678312486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673.1018772468027</v>
      </c>
      <c r="F2812" s="37">
        <f t="shared" si="349"/>
        <v>0</v>
      </c>
      <c r="G2812" s="14">
        <f t="shared" si="350"/>
        <v>0</v>
      </c>
      <c r="H2812" s="24">
        <f t="shared" si="356"/>
        <v>866.34477806770519</v>
      </c>
      <c r="I2812" s="12">
        <f t="shared" si="355"/>
        <v>0.12854293604945077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673.23042018285219</v>
      </c>
      <c r="F2813" s="37">
        <f t="shared" si="349"/>
        <v>0</v>
      </c>
      <c r="G2813" s="14">
        <f t="shared" si="350"/>
        <v>0</v>
      </c>
      <c r="H2813" s="24">
        <f t="shared" si="356"/>
        <v>866.74238611252667</v>
      </c>
      <c r="I2813" s="12">
        <f t="shared" si="355"/>
        <v>0.128463706941362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673.35888388979356</v>
      </c>
      <c r="F2814" s="37">
        <f t="shared" si="349"/>
        <v>0</v>
      </c>
      <c r="G2814" s="14">
        <f t="shared" si="350"/>
        <v>0</v>
      </c>
      <c r="H2814" s="24">
        <f t="shared" si="356"/>
        <v>867.1413289620948</v>
      </c>
      <c r="I2814" s="12">
        <f t="shared" si="355"/>
        <v>0.12838436909768275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673.48726825889128</v>
      </c>
      <c r="F2815" s="37">
        <f t="shared" si="349"/>
        <v>0</v>
      </c>
      <c r="G2815" s="14">
        <f t="shared" si="350"/>
        <v>0</v>
      </c>
      <c r="H2815" s="24">
        <f t="shared" si="356"/>
        <v>867.54161278082847</v>
      </c>
      <c r="I2815" s="12">
        <f t="shared" si="355"/>
        <v>0.12830492215603315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673.61557318104735</v>
      </c>
      <c r="F2816" s="37">
        <f t="shared" si="349"/>
        <v>0</v>
      </c>
      <c r="G2816" s="14">
        <f t="shared" si="350"/>
        <v>0</v>
      </c>
      <c r="H2816" s="24">
        <f t="shared" si="356"/>
        <v>867.94324376857912</v>
      </c>
      <c r="I2816" s="12">
        <f t="shared" si="355"/>
        <v>0.12822536575282703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673.74379854680024</v>
      </c>
      <c r="F2817" s="37">
        <f t="shared" si="349"/>
        <v>0</v>
      </c>
      <c r="G2817" s="14">
        <f t="shared" si="350"/>
        <v>0</v>
      </c>
      <c r="H2817" s="24">
        <f t="shared" si="356"/>
        <v>868.34622816087017</v>
      </c>
      <c r="I2817" s="12">
        <f t="shared" si="355"/>
        <v>0.12814569952326887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673.87194424632355</v>
      </c>
      <c r="F2818" s="37">
        <f t="shared" si="349"/>
        <v>0</v>
      </c>
      <c r="G2818" s="14">
        <f t="shared" si="350"/>
        <v>0</v>
      </c>
      <c r="H2818" s="24">
        <f t="shared" si="356"/>
        <v>868.75057222913847</v>
      </c>
      <c r="I2818" s="12">
        <f t="shared" si="355"/>
        <v>0.12806592310135156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674.00001016942485</v>
      </c>
      <c r="F2819" s="37">
        <f t="shared" si="349"/>
        <v>0</v>
      </c>
      <c r="G2819" s="14">
        <f t="shared" si="350"/>
        <v>0</v>
      </c>
      <c r="H2819" s="24">
        <f t="shared" si="356"/>
        <v>869.15628228097728</v>
      </c>
      <c r="I2819" s="12">
        <f t="shared" si="355"/>
        <v>0.12798603611985374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674.12799620554472</v>
      </c>
      <c r="F2820" s="37">
        <f t="shared" si="349"/>
        <v>0</v>
      </c>
      <c r="G2820" s="14">
        <f t="shared" si="350"/>
        <v>0</v>
      </c>
      <c r="H2820" s="24">
        <f t="shared" si="356"/>
        <v>869.56336466038192</v>
      </c>
      <c r="I2820" s="12">
        <f t="shared" si="355"/>
        <v>0.12790603821033728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674.25590224375503</v>
      </c>
      <c r="F2821" s="37">
        <f t="shared" si="349"/>
        <v>0</v>
      </c>
      <c r="G2821" s="14">
        <f t="shared" si="350"/>
        <v>0</v>
      </c>
      <c r="H2821" s="24">
        <f t="shared" si="356"/>
        <v>869.97182574799569</v>
      </c>
      <c r="I2821" s="12">
        <f t="shared" si="355"/>
        <v>0.12782592900314474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674.3837281727582</v>
      </c>
      <c r="F2822" s="37">
        <f t="shared" si="349"/>
        <v>0</v>
      </c>
      <c r="G2822" s="14">
        <f t="shared" si="350"/>
        <v>0</v>
      </c>
      <c r="H2822" s="24">
        <f t="shared" si="356"/>
        <v>870.3816719613593</v>
      </c>
      <c r="I2822" s="12">
        <f t="shared" si="355"/>
        <v>0.12774570812739677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674.51147388088555</v>
      </c>
      <c r="F2823" s="37">
        <f t="shared" si="349"/>
        <v>0</v>
      </c>
      <c r="G2823" s="14">
        <f t="shared" si="350"/>
        <v>0</v>
      </c>
      <c r="H2823" s="24">
        <f t="shared" si="356"/>
        <v>870.79290975516119</v>
      </c>
      <c r="I2823" s="12">
        <f t="shared" si="355"/>
        <v>0.12766537521099008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674.63913925609654</v>
      </c>
      <c r="F2824" s="37">
        <f t="shared" si="349"/>
        <v>0</v>
      </c>
      <c r="G2824" s="14">
        <f t="shared" si="350"/>
        <v>0</v>
      </c>
      <c r="H2824" s="24">
        <f t="shared" si="356"/>
        <v>871.20554562149073</v>
      </c>
      <c r="I2824" s="12">
        <f t="shared" si="355"/>
        <v>0.12758492988059419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674.76672418597718</v>
      </c>
      <c r="F2825" s="37">
        <f t="shared" si="349"/>
        <v>0</v>
      </c>
      <c r="G2825" s="14">
        <f t="shared" si="350"/>
        <v>0</v>
      </c>
      <c r="H2825" s="24">
        <f t="shared" si="356"/>
        <v>871.61958609009207</v>
      </c>
      <c r="I2825" s="12">
        <f t="shared" si="355"/>
        <v>0.12750437176164978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674.89422855773887</v>
      </c>
      <c r="F2826" s="37">
        <f t="shared" si="349"/>
        <v>0</v>
      </c>
      <c r="G2826" s="14">
        <f t="shared" si="350"/>
        <v>0</v>
      </c>
      <c r="H2826" s="24">
        <f t="shared" si="356"/>
        <v>872.03503772862086</v>
      </c>
      <c r="I2826" s="12">
        <f t="shared" si="355"/>
        <v>0.12742370047836593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675.02165225821727</v>
      </c>
      <c r="F2827" s="37">
        <f t="shared" si="349"/>
        <v>0</v>
      </c>
      <c r="G2827" s="14">
        <f t="shared" si="350"/>
        <v>0</v>
      </c>
      <c r="H2827" s="24">
        <f t="shared" si="356"/>
        <v>872.45190714290334</v>
      </c>
      <c r="I2827" s="12">
        <f t="shared" si="355"/>
        <v>0.12734291565371744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675.14899517387096</v>
      </c>
      <c r="F2828" s="37">
        <f t="shared" si="349"/>
        <v>0</v>
      </c>
      <c r="G2828" s="14">
        <f t="shared" si="350"/>
        <v>0</v>
      </c>
      <c r="H2828" s="24">
        <f t="shared" si="356"/>
        <v>872.87020097719551</v>
      </c>
      <c r="I2828" s="12">
        <f t="shared" si="355"/>
        <v>0.12726201690944317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675.27625719078037</v>
      </c>
      <c r="F2829" s="37">
        <f t="shared" si="349"/>
        <v>0</v>
      </c>
      <c r="G2829" s="14">
        <f t="shared" si="350"/>
        <v>0</v>
      </c>
      <c r="H2829" s="24">
        <f t="shared" si="356"/>
        <v>873.28992591444762</v>
      </c>
      <c r="I2829" s="12">
        <f t="shared" si="355"/>
        <v>0.12718100386604281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675.40343819464647</v>
      </c>
      <c r="F2830" s="37">
        <f t="shared" si="349"/>
        <v>0</v>
      </c>
      <c r="G2830" s="14">
        <f t="shared" si="350"/>
        <v>0</v>
      </c>
      <c r="H2830" s="24">
        <f t="shared" si="356"/>
        <v>873.7110886765671</v>
      </c>
      <c r="I2830" s="12">
        <f t="shared" si="355"/>
        <v>0.12709987614277518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675.53053807078925</v>
      </c>
      <c r="F2831" s="37">
        <f t="shared" si="349"/>
        <v>0</v>
      </c>
      <c r="G2831" s="14">
        <f t="shared" si="350"/>
        <v>0</v>
      </c>
      <c r="H2831" s="24">
        <f t="shared" si="356"/>
        <v>874.13369602468526</v>
      </c>
      <c r="I2831" s="12">
        <f t="shared" si="355"/>
        <v>0.12701863335765573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675.65755670414694</v>
      </c>
      <c r="F2832" s="37">
        <f t="shared" si="349"/>
        <v>0</v>
      </c>
      <c r="G2832" s="14">
        <f t="shared" si="350"/>
        <v>0</v>
      </c>
      <c r="H2832" s="24">
        <f t="shared" si="356"/>
        <v>874.55775475942687</v>
      </c>
      <c r="I2832" s="12">
        <f t="shared" si="355"/>
        <v>0.12693727512745431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675.78449397927443</v>
      </c>
      <c r="F2833" s="37">
        <f t="shared" si="349"/>
        <v>0</v>
      </c>
      <c r="G2833" s="14">
        <f t="shared" si="350"/>
        <v>0</v>
      </c>
      <c r="H2833" s="24">
        <f t="shared" si="356"/>
        <v>874.98327172118002</v>
      </c>
      <c r="I2833" s="12">
        <f t="shared" si="355"/>
        <v>0.12685580106769262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675.91134978034211</v>
      </c>
      <c r="F2834" s="37">
        <f t="shared" si="349"/>
        <v>0</v>
      </c>
      <c r="G2834" s="14">
        <f t="shared" si="350"/>
        <v>0</v>
      </c>
      <c r="H2834" s="24">
        <f t="shared" si="356"/>
        <v>875.41025379036887</v>
      </c>
      <c r="I2834" s="12">
        <f t="shared" si="355"/>
        <v>0.12677421079264242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676.03812399113474</v>
      </c>
      <c r="F2835" s="37">
        <f t="shared" si="349"/>
        <v>0</v>
      </c>
      <c r="G2835" s="14">
        <f t="shared" si="350"/>
        <v>0</v>
      </c>
      <c r="H2835" s="24">
        <f t="shared" si="356"/>
        <v>875.8387078877297</v>
      </c>
      <c r="I2835" s="12">
        <f t="shared" si="355"/>
        <v>0.12669250391532288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676.1648164950501</v>
      </c>
      <c r="F2836" s="37">
        <f t="shared" ref="F2836:F2899" si="357">Cp*RhoP/(RhoA*H2836)*dp/1000*MassivP</f>
        <v>0</v>
      </c>
      <c r="G2836" s="14">
        <f t="shared" ref="G2836:G2899" si="358">Phi*EpsilonF*Botzman/10^8*J2836*((D2836+273)^4-(E2836+273)^4)</f>
        <v>0</v>
      </c>
      <c r="H2836" s="24">
        <f t="shared" si="356"/>
        <v>876.26864097458679</v>
      </c>
      <c r="I2836" s="12">
        <f t="shared" si="355"/>
        <v>0.12661068004749854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676.29142717509762</v>
      </c>
      <c r="F2837" s="37">
        <f t="shared" si="357"/>
        <v>0</v>
      </c>
      <c r="G2837" s="14">
        <f t="shared" si="358"/>
        <v>0</v>
      </c>
      <c r="H2837" s="24">
        <f t="shared" si="356"/>
        <v>876.70006005313201</v>
      </c>
      <c r="I2837" s="12">
        <f t="shared" ref="I2837:I2900" si="363">LambdaP*MassivP/(dp/1000)/(H2837*RhoA)/(1+F2837/3)*(D2837-E2837)*DeltaT-(EXP(F2837/10)-1)*(D2837-D2836)</f>
        <v>0.12652873879967735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676.41795591389734</v>
      </c>
      <c r="F2838" s="37">
        <f t="shared" si="357"/>
        <v>0</v>
      </c>
      <c r="G2838" s="14">
        <f t="shared" si="358"/>
        <v>0</v>
      </c>
      <c r="H2838" s="24">
        <f t="shared" si="356"/>
        <v>877.1329721667064</v>
      </c>
      <c r="I2838" s="12">
        <f t="shared" si="363"/>
        <v>0.12644667978110835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676.54440259367846</v>
      </c>
      <c r="F2839" s="37">
        <f t="shared" si="357"/>
        <v>0</v>
      </c>
      <c r="G2839" s="14">
        <f t="shared" si="358"/>
        <v>0</v>
      </c>
      <c r="H2839" s="24">
        <f t="shared" si="356"/>
        <v>877.56738440008348</v>
      </c>
      <c r="I2839" s="12">
        <f t="shared" si="363"/>
        <v>0.12636450259977935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676.67076709627827</v>
      </c>
      <c r="F2840" s="37">
        <f t="shared" si="357"/>
        <v>0</v>
      </c>
      <c r="G2840" s="14">
        <f t="shared" si="358"/>
        <v>0</v>
      </c>
      <c r="H2840" s="24">
        <f t="shared" si="356"/>
        <v>878.00330387975521</v>
      </c>
      <c r="I2840" s="12">
        <f t="shared" si="363"/>
        <v>0.12628220686241526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676.79704930314074</v>
      </c>
      <c r="F2841" s="37">
        <f t="shared" si="357"/>
        <v>0</v>
      </c>
      <c r="G2841" s="14">
        <f t="shared" si="358"/>
        <v>0</v>
      </c>
      <c r="H2841" s="24">
        <f t="shared" si="356"/>
        <v>878.44073777422011</v>
      </c>
      <c r="I2841" s="12">
        <f t="shared" si="363"/>
        <v>0.12619979217447566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676.92324909531521</v>
      </c>
      <c r="F2842" s="37">
        <f t="shared" si="357"/>
        <v>0</v>
      </c>
      <c r="G2842" s="14">
        <f t="shared" si="358"/>
        <v>0</v>
      </c>
      <c r="H2842" s="24">
        <f t="shared" si="356"/>
        <v>878.8796932942729</v>
      </c>
      <c r="I2842" s="12">
        <f t="shared" si="363"/>
        <v>0.12611725814015298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677.04936635345541</v>
      </c>
      <c r="F2843" s="37">
        <f t="shared" si="357"/>
        <v>0</v>
      </c>
      <c r="G2843" s="14">
        <f t="shared" si="358"/>
        <v>0</v>
      </c>
      <c r="H2843" s="24">
        <f t="shared" si="356"/>
        <v>879.32017769329798</v>
      </c>
      <c r="I2843" s="12">
        <f t="shared" si="363"/>
        <v>0.12603460436237046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677.17540095781783</v>
      </c>
      <c r="F2844" s="37">
        <f t="shared" si="357"/>
        <v>0</v>
      </c>
      <c r="G2844" s="14">
        <f t="shared" si="358"/>
        <v>0</v>
      </c>
      <c r="H2844" s="24">
        <f t="shared" si="356"/>
        <v>879.76219826756346</v>
      </c>
      <c r="I2844" s="12">
        <f t="shared" si="363"/>
        <v>0.1259518304427801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677.3013527882606</v>
      </c>
      <c r="F2845" s="37">
        <f t="shared" si="357"/>
        <v>0</v>
      </c>
      <c r="G2845" s="14">
        <f t="shared" si="358"/>
        <v>0</v>
      </c>
      <c r="H2845" s="24">
        <f t="shared" si="356"/>
        <v>880.20576235651845</v>
      </c>
      <c r="I2845" s="12">
        <f t="shared" si="363"/>
        <v>0.12586893598176072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677.42722172424237</v>
      </c>
      <c r="F2846" s="37">
        <f t="shared" si="357"/>
        <v>0</v>
      </c>
      <c r="G2846" s="14">
        <f t="shared" si="358"/>
        <v>0</v>
      </c>
      <c r="H2846" s="24">
        <f t="shared" si="356"/>
        <v>880.6508773430927</v>
      </c>
      <c r="I2846" s="12">
        <f t="shared" si="363"/>
        <v>0.12578592057841614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677.55300764482081</v>
      </c>
      <c r="F2847" s="37">
        <f t="shared" si="357"/>
        <v>0</v>
      </c>
      <c r="G2847" s="14">
        <f t="shared" si="358"/>
        <v>0</v>
      </c>
      <c r="H2847" s="24">
        <f t="shared" si="356"/>
        <v>881.09755065399827</v>
      </c>
      <c r="I2847" s="12">
        <f t="shared" si="363"/>
        <v>0.12570278383057323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677.67871042865136</v>
      </c>
      <c r="F2848" s="37">
        <f t="shared" si="357"/>
        <v>0</v>
      </c>
      <c r="G2848" s="14">
        <f t="shared" si="358"/>
        <v>0</v>
      </c>
      <c r="H2848" s="24">
        <f t="shared" si="356"/>
        <v>881.54578976003324</v>
      </c>
      <c r="I2848" s="12">
        <f t="shared" si="363"/>
        <v>0.12561952533477996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677.8043299539861</v>
      </c>
      <c r="F2849" s="37">
        <f t="shared" si="357"/>
        <v>0</v>
      </c>
      <c r="G2849" s="14">
        <f t="shared" si="358"/>
        <v>0</v>
      </c>
      <c r="H2849" s="24">
        <f t="shared" si="356"/>
        <v>881.99560217638907</v>
      </c>
      <c r="I2849" s="12">
        <f t="shared" si="363"/>
        <v>0.12553614468630386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677.92986609867239</v>
      </c>
      <c r="F2850" s="37">
        <f t="shared" si="357"/>
        <v>0</v>
      </c>
      <c r="G2850" s="14">
        <f t="shared" si="358"/>
        <v>0</v>
      </c>
      <c r="H2850" s="24">
        <f t="shared" si="356"/>
        <v>882.44699546295908</v>
      </c>
      <c r="I2850" s="12">
        <f t="shared" si="363"/>
        <v>0.12545264147912971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678.05531874015151</v>
      </c>
      <c r="F2851" s="37">
        <f t="shared" si="357"/>
        <v>0</v>
      </c>
      <c r="G2851" s="14">
        <f t="shared" si="358"/>
        <v>0</v>
      </c>
      <c r="H2851" s="24">
        <f t="shared" si="356"/>
        <v>882.89997722464932</v>
      </c>
      <c r="I2851" s="12">
        <f t="shared" si="363"/>
        <v>0.12536901530595851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678.18068775545748</v>
      </c>
      <c r="F2852" s="37">
        <f t="shared" si="357"/>
        <v>0</v>
      </c>
      <c r="G2852" s="14">
        <f t="shared" si="358"/>
        <v>0</v>
      </c>
      <c r="H2852" s="24">
        <f t="shared" si="356"/>
        <v>883.35455511169323</v>
      </c>
      <c r="I2852" s="12">
        <f t="shared" si="363"/>
        <v>0.12528526575820484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678.30597302121566</v>
      </c>
      <c r="F2853" s="37">
        <f t="shared" si="357"/>
        <v>0</v>
      </c>
      <c r="G2853" s="14">
        <f t="shared" si="358"/>
        <v>0</v>
      </c>
      <c r="H2853" s="24">
        <f t="shared" si="356"/>
        <v>883.81073681996691</v>
      </c>
      <c r="I2853" s="12">
        <f t="shared" si="363"/>
        <v>0.12520139242599626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678.43117441364166</v>
      </c>
      <c r="F2854" s="37">
        <f t="shared" si="357"/>
        <v>0</v>
      </c>
      <c r="G2854" s="14">
        <f t="shared" si="358"/>
        <v>0</v>
      </c>
      <c r="H2854" s="24">
        <f t="shared" si="356"/>
        <v>884.26853009130912</v>
      </c>
      <c r="I2854" s="12">
        <f t="shared" si="363"/>
        <v>0.12511739489817061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678.55629180853987</v>
      </c>
      <c r="F2855" s="37">
        <f t="shared" si="357"/>
        <v>0</v>
      </c>
      <c r="G2855" s="14">
        <f t="shared" si="358"/>
        <v>0</v>
      </c>
      <c r="H2855" s="24">
        <f t="shared" si="356"/>
        <v>884.72794271384146</v>
      </c>
      <c r="I2855" s="12">
        <f t="shared" si="363"/>
        <v>0.12503327276227505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678.68132508130213</v>
      </c>
      <c r="F2856" s="37">
        <f t="shared" si="357"/>
        <v>0</v>
      </c>
      <c r="G2856" s="14">
        <f t="shared" si="358"/>
        <v>0</v>
      </c>
      <c r="H2856" s="24">
        <f t="shared" si="356"/>
        <v>885.18898252229224</v>
      </c>
      <c r="I2856" s="12">
        <f t="shared" si="363"/>
        <v>0.12494902560456433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678.8062741069067</v>
      </c>
      <c r="F2857" s="37">
        <f t="shared" si="357"/>
        <v>0</v>
      </c>
      <c r="G2857" s="14">
        <f t="shared" si="358"/>
        <v>0</v>
      </c>
      <c r="H2857" s="24">
        <f t="shared" si="356"/>
        <v>885.65165739832355</v>
      </c>
      <c r="I2857" s="12">
        <f t="shared" si="363"/>
        <v>0.12486465300999894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678.93113875991673</v>
      </c>
      <c r="F2858" s="37">
        <f t="shared" si="357"/>
        <v>0</v>
      </c>
      <c r="G2858" s="14">
        <f t="shared" si="358"/>
        <v>0</v>
      </c>
      <c r="H2858" s="24">
        <f t="shared" si="356"/>
        <v>886.11597527085951</v>
      </c>
      <c r="I2858" s="12">
        <f t="shared" si="363"/>
        <v>0.12478015456224406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679.05591891447898</v>
      </c>
      <c r="F2859" s="37">
        <f t="shared" si="357"/>
        <v>0</v>
      </c>
      <c r="G2859" s="14">
        <f t="shared" si="358"/>
        <v>0</v>
      </c>
      <c r="H2859" s="24">
        <f t="shared" si="356"/>
        <v>886.58194411641784</v>
      </c>
      <c r="I2859" s="12">
        <f t="shared" si="363"/>
        <v>0.1246955298436678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679.1806144443226</v>
      </c>
      <c r="F2860" s="37">
        <f t="shared" si="357"/>
        <v>0</v>
      </c>
      <c r="G2860" s="14">
        <f t="shared" si="358"/>
        <v>0</v>
      </c>
      <c r="H2860" s="24">
        <f t="shared" si="356"/>
        <v>887.04957195944417</v>
      </c>
      <c r="I2860" s="12">
        <f t="shared" si="363"/>
        <v>0.12461077843533992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679.30522522275794</v>
      </c>
      <c r="F2861" s="37">
        <f t="shared" si="357"/>
        <v>0</v>
      </c>
      <c r="G2861" s="14">
        <f t="shared" si="358"/>
        <v>0</v>
      </c>
      <c r="H2861" s="24">
        <f t="shared" si="356"/>
        <v>887.51886687264903</v>
      </c>
      <c r="I2861" s="12">
        <f t="shared" si="363"/>
        <v>0.12452589991703004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679.42975112267493</v>
      </c>
      <c r="F2862" s="37">
        <f t="shared" si="357"/>
        <v>0</v>
      </c>
      <c r="G2862" s="14">
        <f t="shared" si="358"/>
        <v>0</v>
      </c>
      <c r="H2862" s="24">
        <f t="shared" si="356"/>
        <v>887.98983697734639</v>
      </c>
      <c r="I2862" s="12">
        <f t="shared" si="363"/>
        <v>0.12444089386720697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679.55419201654217</v>
      </c>
      <c r="F2863" s="37">
        <f t="shared" si="357"/>
        <v>0</v>
      </c>
      <c r="G2863" s="14">
        <f t="shared" si="358"/>
        <v>0</v>
      </c>
      <c r="H2863" s="24">
        <f t="shared" si="356"/>
        <v>888.46249044379738</v>
      </c>
      <c r="I2863" s="12">
        <f t="shared" si="363"/>
        <v>0.12435575986303667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679.67854777640525</v>
      </c>
      <c r="F2864" s="37">
        <f t="shared" si="357"/>
        <v>0</v>
      </c>
      <c r="G2864" s="14">
        <f t="shared" si="358"/>
        <v>0</v>
      </c>
      <c r="H2864" s="24">
        <f t="shared" si="356"/>
        <v>888.93683549155287</v>
      </c>
      <c r="I2864" s="12">
        <f t="shared" si="363"/>
        <v>0.12427049748038163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679.80281827388569</v>
      </c>
      <c r="F2865" s="37">
        <f t="shared" si="357"/>
        <v>0</v>
      </c>
      <c r="G2865" s="14">
        <f t="shared" si="358"/>
        <v>0</v>
      </c>
      <c r="H2865" s="24">
        <f t="shared" si="356"/>
        <v>889.41288038980292</v>
      </c>
      <c r="I2865" s="12">
        <f t="shared" si="363"/>
        <v>0.12418510629379903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679.92700338017949</v>
      </c>
      <c r="F2866" s="37">
        <f t="shared" si="357"/>
        <v>0</v>
      </c>
      <c r="G2866" s="14">
        <f t="shared" si="358"/>
        <v>0</v>
      </c>
      <c r="H2866" s="24">
        <f t="shared" si="356"/>
        <v>889.89063345772604</v>
      </c>
      <c r="I2866" s="12">
        <f t="shared" si="363"/>
        <v>0.12409958587654019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680.05110296605608</v>
      </c>
      <c r="F2867" s="37">
        <f t="shared" si="357"/>
        <v>0</v>
      </c>
      <c r="G2867" s="14">
        <f t="shared" si="358"/>
        <v>0</v>
      </c>
      <c r="H2867" s="24">
        <f t="shared" si="356"/>
        <v>890.37010306484353</v>
      </c>
      <c r="I2867" s="12">
        <f t="shared" si="363"/>
        <v>0.12401393580054863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680.17511690185665</v>
      </c>
      <c r="F2868" s="37">
        <f t="shared" si="357"/>
        <v>0</v>
      </c>
      <c r="G2868" s="14">
        <f t="shared" si="358"/>
        <v>0</v>
      </c>
      <c r="H2868" s="24">
        <f t="shared" si="356"/>
        <v>890.85129763137331</v>
      </c>
      <c r="I2868" s="12">
        <f t="shared" si="363"/>
        <v>0.12392815563645991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680.29904505749312</v>
      </c>
      <c r="F2869" s="37">
        <f t="shared" si="357"/>
        <v>0</v>
      </c>
      <c r="G2869" s="14">
        <f t="shared" si="358"/>
        <v>0</v>
      </c>
      <c r="H2869" s="24">
        <f t="shared" si="356"/>
        <v>891.33422562859084</v>
      </c>
      <c r="I2869" s="12">
        <f t="shared" si="363"/>
        <v>0.12384224495359966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680.42288730244672</v>
      </c>
      <c r="F2870" s="37">
        <f t="shared" si="357"/>
        <v>0</v>
      </c>
      <c r="G2870" s="14">
        <f t="shared" si="358"/>
        <v>0</v>
      </c>
      <c r="H2870" s="24">
        <f t="shared" si="356"/>
        <v>891.8188955791893</v>
      </c>
      <c r="I2870" s="12">
        <f t="shared" si="363"/>
        <v>0.12375620331998322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680.54664350576672</v>
      </c>
      <c r="F2871" s="37">
        <f t="shared" si="357"/>
        <v>0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892.30531605764475</v>
      </c>
      <c r="I2871" s="12">
        <f t="shared" si="363"/>
        <v>0.1236700303023143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680.67031353606899</v>
      </c>
      <c r="F2872" s="37">
        <f t="shared" si="357"/>
        <v>0</v>
      </c>
      <c r="G2872" s="14">
        <f t="shared" si="358"/>
        <v>0</v>
      </c>
      <c r="H2872" s="24">
        <f t="shared" si="364"/>
        <v>892.79349569058274</v>
      </c>
      <c r="I2872" s="12">
        <f t="shared" si="363"/>
        <v>0.12358372546598442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680.79389726153499</v>
      </c>
      <c r="F2873" s="37">
        <f t="shared" si="357"/>
        <v>0</v>
      </c>
      <c r="G2873" s="14">
        <f t="shared" si="358"/>
        <v>0</v>
      </c>
      <c r="H2873" s="24">
        <f t="shared" si="364"/>
        <v>893.28344315715003</v>
      </c>
      <c r="I2873" s="12">
        <f t="shared" si="363"/>
        <v>0.12349728837507143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680.91739454991011</v>
      </c>
      <c r="F2874" s="37">
        <f t="shared" si="357"/>
        <v>0</v>
      </c>
      <c r="G2874" s="14">
        <f t="shared" si="358"/>
        <v>0</v>
      </c>
      <c r="H2874" s="24">
        <f t="shared" si="364"/>
        <v>893.77516718938637</v>
      </c>
      <c r="I2874" s="12">
        <f t="shared" si="363"/>
        <v>0.12341071859233942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681.04080526850248</v>
      </c>
      <c r="F2875" s="37">
        <f t="shared" si="357"/>
        <v>0</v>
      </c>
      <c r="G2875" s="14">
        <f t="shared" si="358"/>
        <v>0</v>
      </c>
      <c r="H2875" s="24">
        <f t="shared" si="364"/>
        <v>894.26867657260095</v>
      </c>
      <c r="I2875" s="12">
        <f t="shared" si="363"/>
        <v>0.12332401567923758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681.16412928418174</v>
      </c>
      <c r="F2876" s="37">
        <f t="shared" si="357"/>
        <v>0</v>
      </c>
      <c r="G2876" s="14">
        <f t="shared" si="358"/>
        <v>0</v>
      </c>
      <c r="H2876" s="24">
        <f t="shared" si="364"/>
        <v>894.76398014575238</v>
      </c>
      <c r="I2876" s="12">
        <f t="shared" si="363"/>
        <v>0.12323717919589935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681.28736646337768</v>
      </c>
      <c r="F2877" s="37">
        <f t="shared" si="357"/>
        <v>0</v>
      </c>
      <c r="G2877" s="14">
        <f t="shared" si="358"/>
        <v>0</v>
      </c>
      <c r="H2877" s="24">
        <f t="shared" si="364"/>
        <v>895.26108680183097</v>
      </c>
      <c r="I2877" s="12">
        <f t="shared" si="363"/>
        <v>0.12315020870114188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681.41051667207887</v>
      </c>
      <c r="F2878" s="37">
        <f t="shared" si="357"/>
        <v>0</v>
      </c>
      <c r="G2878" s="14">
        <f t="shared" si="358"/>
        <v>0</v>
      </c>
      <c r="H2878" s="24">
        <f t="shared" si="364"/>
        <v>895.76000548824311</v>
      </c>
      <c r="I2878" s="12">
        <f t="shared" si="363"/>
        <v>0.12306310375246557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681.5335797758313</v>
      </c>
      <c r="F2879" s="37">
        <f t="shared" si="357"/>
        <v>0</v>
      </c>
      <c r="G2879" s="14">
        <f t="shared" si="358"/>
        <v>0</v>
      </c>
      <c r="H2879" s="24">
        <f t="shared" si="364"/>
        <v>896.2607452072001</v>
      </c>
      <c r="I2879" s="12">
        <f t="shared" si="363"/>
        <v>0.12297586390605342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681.65655563973735</v>
      </c>
      <c r="F2880" s="37">
        <f t="shared" si="357"/>
        <v>0</v>
      </c>
      <c r="G2880" s="14">
        <f t="shared" si="358"/>
        <v>0</v>
      </c>
      <c r="H2880" s="24">
        <f t="shared" si="364"/>
        <v>896.76331501611071</v>
      </c>
      <c r="I2880" s="12">
        <f t="shared" si="363"/>
        <v>0.1228884887167703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681.77944412845409</v>
      </c>
      <c r="F2881" s="37">
        <f t="shared" si="357"/>
        <v>0</v>
      </c>
      <c r="G2881" s="14">
        <f t="shared" si="358"/>
        <v>0</v>
      </c>
      <c r="H2881" s="24">
        <f t="shared" si="364"/>
        <v>897.26772402797451</v>
      </c>
      <c r="I2881" s="12">
        <f t="shared" si="363"/>
        <v>0.12280097773816259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681.90224510619225</v>
      </c>
      <c r="F2882" s="37">
        <f t="shared" si="357"/>
        <v>0</v>
      </c>
      <c r="G2882" s="14">
        <f t="shared" si="358"/>
        <v>0</v>
      </c>
      <c r="H2882" s="24">
        <f t="shared" si="364"/>
        <v>897.77398141178026</v>
      </c>
      <c r="I2882" s="12">
        <f t="shared" si="363"/>
        <v>0.122713330522458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682.02495843671466</v>
      </c>
      <c r="F2883" s="37">
        <f t="shared" si="357"/>
        <v>0</v>
      </c>
      <c r="G2883" s="14">
        <f t="shared" si="358"/>
        <v>0</v>
      </c>
      <c r="H2883" s="24">
        <f t="shared" si="364"/>
        <v>898.28209639290662</v>
      </c>
      <c r="I2883" s="12">
        <f t="shared" si="363"/>
        <v>0.12262554662056493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682.14758398333527</v>
      </c>
      <c r="F2884" s="37">
        <f t="shared" si="357"/>
        <v>0</v>
      </c>
      <c r="G2884" s="14">
        <f t="shared" si="358"/>
        <v>0</v>
      </c>
      <c r="H2884" s="24">
        <f t="shared" si="364"/>
        <v>898.79207825352773</v>
      </c>
      <c r="I2884" s="12">
        <f t="shared" si="363"/>
        <v>0.12253762558207233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682.27012160891729</v>
      </c>
      <c r="F2885" s="37">
        <f t="shared" si="357"/>
        <v>0</v>
      </c>
      <c r="G2885" s="14">
        <f t="shared" si="358"/>
        <v>0</v>
      </c>
      <c r="H2885" s="24">
        <f t="shared" si="364"/>
        <v>899.3039363330181</v>
      </c>
      <c r="I2885" s="12">
        <f t="shared" si="363"/>
        <v>0.12244956695524969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682.39257117587249</v>
      </c>
      <c r="F2886" s="37">
        <f t="shared" si="357"/>
        <v>0</v>
      </c>
      <c r="G2886" s="14">
        <f t="shared" si="358"/>
        <v>0</v>
      </c>
      <c r="H2886" s="24">
        <f t="shared" si="364"/>
        <v>899.81768002836634</v>
      </c>
      <c r="I2886" s="12">
        <f t="shared" si="363"/>
        <v>0.12236137028704622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682.51493254615957</v>
      </c>
      <c r="F2887" s="37">
        <f t="shared" si="357"/>
        <v>0</v>
      </c>
      <c r="G2887" s="14">
        <f t="shared" si="358"/>
        <v>0</v>
      </c>
      <c r="H2887" s="24">
        <f t="shared" si="364"/>
        <v>900.33331879458785</v>
      </c>
      <c r="I2887" s="12">
        <f t="shared" si="363"/>
        <v>0.12227303512309132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682.63720558128261</v>
      </c>
      <c r="F2888" s="37">
        <f t="shared" si="357"/>
        <v>0</v>
      </c>
      <c r="G2888" s="14">
        <f t="shared" si="358"/>
        <v>0</v>
      </c>
      <c r="H2888" s="24">
        <f t="shared" si="364"/>
        <v>900.85086214514138</v>
      </c>
      <c r="I2888" s="12">
        <f t="shared" si="363"/>
        <v>0.1221845610076943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682.75939014229027</v>
      </c>
      <c r="F2889" s="37">
        <f t="shared" si="357"/>
        <v>0</v>
      </c>
      <c r="G2889" s="14">
        <f t="shared" si="358"/>
        <v>0</v>
      </c>
      <c r="H2889" s="24">
        <f t="shared" si="364"/>
        <v>901.3703196523519</v>
      </c>
      <c r="I2889" s="12">
        <f t="shared" si="363"/>
        <v>0.12209594748384461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682.88148608977417</v>
      </c>
      <c r="F2890" s="37">
        <f t="shared" si="357"/>
        <v>0</v>
      </c>
      <c r="G2890" s="14">
        <f t="shared" si="358"/>
        <v>0</v>
      </c>
      <c r="H2890" s="24">
        <f t="shared" si="364"/>
        <v>901.89170094783367</v>
      </c>
      <c r="I2890" s="12">
        <f t="shared" si="363"/>
        <v>0.12200719409321126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683.00349328386733</v>
      </c>
      <c r="F2891" s="37">
        <f t="shared" si="357"/>
        <v>0</v>
      </c>
      <c r="G2891" s="14">
        <f t="shared" si="358"/>
        <v>0</v>
      </c>
      <c r="H2891" s="24">
        <f t="shared" si="364"/>
        <v>902.41501572291668</v>
      </c>
      <c r="I2891" s="12">
        <f t="shared" si="363"/>
        <v>0.12191830037614398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683.12541158424347</v>
      </c>
      <c r="F2892" s="37">
        <f t="shared" si="357"/>
        <v>0</v>
      </c>
      <c r="G2892" s="14">
        <f t="shared" si="358"/>
        <v>0</v>
      </c>
      <c r="H2892" s="24">
        <f t="shared" si="364"/>
        <v>902.94027372908079</v>
      </c>
      <c r="I2892" s="12">
        <f t="shared" si="363"/>
        <v>0.12182926587167239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683.24724085011519</v>
      </c>
      <c r="F2893" s="37">
        <f t="shared" si="357"/>
        <v>0</v>
      </c>
      <c r="G2893" s="14">
        <f t="shared" si="358"/>
        <v>0</v>
      </c>
      <c r="H2893" s="24">
        <f t="shared" si="364"/>
        <v>903.46748477838776</v>
      </c>
      <c r="I2893" s="12">
        <f t="shared" si="363"/>
        <v>0.12174009011750696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683.36898094023275</v>
      </c>
      <c r="F2894" s="37">
        <f t="shared" si="357"/>
        <v>0</v>
      </c>
      <c r="G2894" s="14">
        <f t="shared" si="358"/>
        <v>0</v>
      </c>
      <c r="H2894" s="24">
        <f t="shared" si="364"/>
        <v>903.99665874391974</v>
      </c>
      <c r="I2894" s="12">
        <f t="shared" si="363"/>
        <v>0.12165077265003903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683.49063171288276</v>
      </c>
      <c r="F2895" s="37">
        <f t="shared" si="357"/>
        <v>0</v>
      </c>
      <c r="G2895" s="14">
        <f t="shared" si="358"/>
        <v>0</v>
      </c>
      <c r="H2895" s="24">
        <f t="shared" si="364"/>
        <v>904.5278055602214</v>
      </c>
      <c r="I2895" s="12">
        <f t="shared" si="363"/>
        <v>0.12156131300434134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683.61219302588711</v>
      </c>
      <c r="F2896" s="37">
        <f t="shared" si="357"/>
        <v>0</v>
      </c>
      <c r="G2896" s="14">
        <f t="shared" si="358"/>
        <v>0</v>
      </c>
      <c r="H2896" s="24">
        <f t="shared" si="364"/>
        <v>905.0609352237459</v>
      </c>
      <c r="I2896" s="12">
        <f t="shared" si="363"/>
        <v>0.12147171071416829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683.73366473660133</v>
      </c>
      <c r="F2897" s="37">
        <f t="shared" si="357"/>
        <v>0</v>
      </c>
      <c r="G2897" s="14">
        <f t="shared" si="358"/>
        <v>0</v>
      </c>
      <c r="H2897" s="24">
        <f t="shared" si="364"/>
        <v>905.59605779330252</v>
      </c>
      <c r="I2897" s="12">
        <f t="shared" si="363"/>
        <v>0.12138196531195659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683.85504670191324</v>
      </c>
      <c r="F2898" s="37">
        <f t="shared" si="357"/>
        <v>0</v>
      </c>
      <c r="G2898" s="14">
        <f t="shared" si="358"/>
        <v>0</v>
      </c>
      <c r="H2898" s="24">
        <f t="shared" si="364"/>
        <v>906.13318339050875</v>
      </c>
      <c r="I2898" s="12">
        <f t="shared" si="363"/>
        <v>0.12129207632882624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683.97633877824205</v>
      </c>
      <c r="F2899" s="37">
        <f t="shared" si="357"/>
        <v>0</v>
      </c>
      <c r="G2899" s="14">
        <f t="shared" si="358"/>
        <v>0</v>
      </c>
      <c r="H2899" s="24">
        <f t="shared" si="364"/>
        <v>906.67232220024857</v>
      </c>
      <c r="I2899" s="12">
        <f t="shared" si="363"/>
        <v>0.1212020432945802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684.09754082153665</v>
      </c>
      <c r="F2900" s="37">
        <f t="shared" ref="F2900:F2963" si="365">Cp*RhoP/(RhoA*H2900)*dp/1000*MassivP</f>
        <v>0</v>
      </c>
      <c r="G2900" s="14">
        <f t="shared" ref="G2900:G2963" si="366">Phi*EpsilonF*Botzman/10^8*J2900*((D2900+273)^4-(E2900+273)^4)</f>
        <v>0</v>
      </c>
      <c r="H2900" s="24">
        <f t="shared" si="364"/>
        <v>907.21348447113019</v>
      </c>
      <c r="I2900" s="12">
        <f t="shared" si="363"/>
        <v>0.12111186573770635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684.21865268727436</v>
      </c>
      <c r="F2901" s="37">
        <f t="shared" si="365"/>
        <v>0</v>
      </c>
      <c r="G2901" s="14">
        <f t="shared" si="366"/>
        <v>0</v>
      </c>
      <c r="H2901" s="24">
        <f t="shared" si="364"/>
        <v>907.75668051595073</v>
      </c>
      <c r="I2901" s="12">
        <f t="shared" ref="I2901:I2964" si="371">LambdaP*MassivP/(dp/1000)/(H2901*RhoA)/(1+F2901/3)*(D2901-E2901)*DeltaT-(EXP(F2901/10)-1)*(D2901-D2900)</f>
        <v>0.12102154318537749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684.33967423045976</v>
      </c>
      <c r="F2902" s="37">
        <f t="shared" si="365"/>
        <v>0</v>
      </c>
      <c r="G2902" s="14">
        <f t="shared" si="366"/>
        <v>0</v>
      </c>
      <c r="H2902" s="24">
        <f t="shared" si="364"/>
        <v>908.30192071216345</v>
      </c>
      <c r="I2902" s="12">
        <f t="shared" si="371"/>
        <v>0.12093107516345242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684.46060530562318</v>
      </c>
      <c r="F2903" s="37">
        <f t="shared" si="365"/>
        <v>0</v>
      </c>
      <c r="G2903" s="14">
        <f t="shared" si="366"/>
        <v>0</v>
      </c>
      <c r="H2903" s="24">
        <f t="shared" si="364"/>
        <v>908.84921550234833</v>
      </c>
      <c r="I2903" s="12">
        <f t="shared" si="371"/>
        <v>0.12084046119647708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684.58144576681968</v>
      </c>
      <c r="F2904" s="37">
        <f t="shared" si="365"/>
        <v>0</v>
      </c>
      <c r="G2904" s="14">
        <f t="shared" si="366"/>
        <v>0</v>
      </c>
      <c r="H2904" s="24">
        <f t="shared" si="364"/>
        <v>909.39857539468858</v>
      </c>
      <c r="I2904" s="12">
        <f t="shared" si="371"/>
        <v>0.12074970080768542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684.70219546762735</v>
      </c>
      <c r="F2905" s="37">
        <f t="shared" si="365"/>
        <v>0</v>
      </c>
      <c r="G2905" s="14">
        <f t="shared" si="366"/>
        <v>0</v>
      </c>
      <c r="H2905" s="24">
        <f t="shared" si="364"/>
        <v>909.95001096344765</v>
      </c>
      <c r="I2905" s="12">
        <f t="shared" si="371"/>
        <v>0.12065879351900079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684.8228542611464</v>
      </c>
      <c r="F2906" s="37">
        <f t="shared" si="365"/>
        <v>0</v>
      </c>
      <c r="G2906" s="14">
        <f t="shared" si="366"/>
        <v>0</v>
      </c>
      <c r="H2906" s="24">
        <f t="shared" si="364"/>
        <v>910.50353284945413</v>
      </c>
      <c r="I2906" s="12">
        <f t="shared" si="371"/>
        <v>0.12056773885103635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684.94342199999744</v>
      </c>
      <c r="F2907" s="37">
        <f t="shared" si="365"/>
        <v>0</v>
      </c>
      <c r="G2907" s="14">
        <f t="shared" si="366"/>
        <v>0</v>
      </c>
      <c r="H2907" s="24">
        <f t="shared" si="364"/>
        <v>911.05915176058602</v>
      </c>
      <c r="I2907" s="12">
        <f t="shared" si="371"/>
        <v>0.12047653632309767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685.06389853632049</v>
      </c>
      <c r="F2908" s="37">
        <f t="shared" si="365"/>
        <v>0</v>
      </c>
      <c r="G2908" s="14">
        <f t="shared" si="366"/>
        <v>0</v>
      </c>
      <c r="H2908" s="24">
        <f t="shared" si="364"/>
        <v>911.61687847226392</v>
      </c>
      <c r="I2908" s="12">
        <f t="shared" si="371"/>
        <v>0.12038518545318289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685.18428372177368</v>
      </c>
      <c r="F2909" s="37">
        <f t="shared" si="365"/>
        <v>0</v>
      </c>
      <c r="G2909" s="14">
        <f t="shared" si="366"/>
        <v>0</v>
      </c>
      <c r="H2909" s="24">
        <f t="shared" si="364"/>
        <v>912.17672382794467</v>
      </c>
      <c r="I2909" s="12">
        <f t="shared" si="371"/>
        <v>0.12029368575798474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685.30457740753161</v>
      </c>
      <c r="F2910" s="37">
        <f t="shared" si="365"/>
        <v>0</v>
      </c>
      <c r="G2910" s="14">
        <f t="shared" si="366"/>
        <v>0</v>
      </c>
      <c r="H2910" s="24">
        <f t="shared" si="364"/>
        <v>912.73869873961962</v>
      </c>
      <c r="I2910" s="12">
        <f t="shared" si="371"/>
        <v>0.1202020367528919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685.42477944428447</v>
      </c>
      <c r="F2911" s="37">
        <f t="shared" si="365"/>
        <v>0</v>
      </c>
      <c r="G2911" s="14">
        <f t="shared" si="366"/>
        <v>0</v>
      </c>
      <c r="H2911" s="24">
        <f t="shared" si="364"/>
        <v>913.30281418831885</v>
      </c>
      <c r="I2911" s="12">
        <f t="shared" si="371"/>
        <v>0.12011023795199081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685.54488968223643</v>
      </c>
      <c r="F2912" s="37">
        <f t="shared" si="365"/>
        <v>0</v>
      </c>
      <c r="G2912" s="14">
        <f t="shared" si="366"/>
        <v>0</v>
      </c>
      <c r="H2912" s="24">
        <f t="shared" si="364"/>
        <v>913.86908122461728</v>
      </c>
      <c r="I2912" s="12">
        <f t="shared" si="371"/>
        <v>0.12001828886806705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685.66490797110453</v>
      </c>
      <c r="F2913" s="37">
        <f t="shared" si="365"/>
        <v>0</v>
      </c>
      <c r="G2913" s="14">
        <f t="shared" si="366"/>
        <v>0</v>
      </c>
      <c r="H2913" s="24">
        <f t="shared" si="364"/>
        <v>914.43751096914627</v>
      </c>
      <c r="I2913" s="12">
        <f t="shared" si="371"/>
        <v>0.11992618901260735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685.78483416011716</v>
      </c>
      <c r="F2914" s="37">
        <f t="shared" si="365"/>
        <v>0</v>
      </c>
      <c r="G2914" s="14">
        <f t="shared" si="366"/>
        <v>0</v>
      </c>
      <c r="H2914" s="24">
        <f t="shared" si="364"/>
        <v>915.00811461310821</v>
      </c>
      <c r="I2914" s="12">
        <f t="shared" si="371"/>
        <v>0.11983393789580149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685.90466809801296</v>
      </c>
      <c r="F2915" s="37">
        <f t="shared" si="365"/>
        <v>0</v>
      </c>
      <c r="G2915" s="14">
        <f t="shared" si="366"/>
        <v>0</v>
      </c>
      <c r="H2915" s="24">
        <f t="shared" si="364"/>
        <v>915.58090341879699</v>
      </c>
      <c r="I2915" s="12">
        <f t="shared" si="371"/>
        <v>0.11974153502654407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686.02440963303945</v>
      </c>
      <c r="F2916" s="37">
        <f t="shared" si="365"/>
        <v>0</v>
      </c>
      <c r="G2916" s="14">
        <f t="shared" si="366"/>
        <v>0</v>
      </c>
      <c r="H2916" s="24">
        <f t="shared" si="364"/>
        <v>916.15588872012154</v>
      </c>
      <c r="I2916" s="12">
        <f t="shared" si="371"/>
        <v>0.11964897991243673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686.14405861295188</v>
      </c>
      <c r="F2917" s="37">
        <f t="shared" si="365"/>
        <v>0</v>
      </c>
      <c r="G2917" s="14">
        <f t="shared" si="366"/>
        <v>0</v>
      </c>
      <c r="H2917" s="24">
        <f t="shared" si="364"/>
        <v>916.73308192313459</v>
      </c>
      <c r="I2917" s="12">
        <f t="shared" si="371"/>
        <v>0.11955627205979022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686.26361488501163</v>
      </c>
      <c r="F2918" s="37">
        <f t="shared" si="365"/>
        <v>0</v>
      </c>
      <c r="G2918" s="14">
        <f t="shared" si="366"/>
        <v>0</v>
      </c>
      <c r="H2918" s="24">
        <f t="shared" si="364"/>
        <v>917.31249450656412</v>
      </c>
      <c r="I2918" s="12">
        <f t="shared" si="371"/>
        <v>0.11946341097362653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686.38307829598523</v>
      </c>
      <c r="F2919" s="37">
        <f t="shared" si="365"/>
        <v>0</v>
      </c>
      <c r="G2919" s="14">
        <f t="shared" si="366"/>
        <v>0</v>
      </c>
      <c r="H2919" s="24">
        <f t="shared" si="364"/>
        <v>917.8941380223514</v>
      </c>
      <c r="I2919" s="12">
        <f t="shared" si="371"/>
        <v>0.11937039615768154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686.50244869214293</v>
      </c>
      <c r="F2920" s="37">
        <f t="shared" si="365"/>
        <v>0</v>
      </c>
      <c r="G2920" s="14">
        <f t="shared" si="366"/>
        <v>0</v>
      </c>
      <c r="H2920" s="24">
        <f t="shared" si="364"/>
        <v>918.47802409619158</v>
      </c>
      <c r="I2920" s="12">
        <f t="shared" si="371"/>
        <v>0.11927722711440708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686.6217259192573</v>
      </c>
      <c r="F2921" s="37">
        <f t="shared" si="365"/>
        <v>0</v>
      </c>
      <c r="G2921" s="14">
        <f t="shared" si="366"/>
        <v>0</v>
      </c>
      <c r="H2921" s="24">
        <f t="shared" si="364"/>
        <v>919.06416442807938</v>
      </c>
      <c r="I2921" s="12">
        <f t="shared" si="371"/>
        <v>0.11918390334497363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686.74090982260225</v>
      </c>
      <c r="F2922" s="37">
        <f t="shared" si="365"/>
        <v>0</v>
      </c>
      <c r="G2922" s="14">
        <f t="shared" si="366"/>
        <v>0</v>
      </c>
      <c r="H2922" s="24">
        <f t="shared" si="364"/>
        <v>919.65257079286039</v>
      </c>
      <c r="I2922" s="12">
        <f t="shared" si="371"/>
        <v>0.119090424349273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686.86000024695147</v>
      </c>
      <c r="F2923" s="37">
        <f t="shared" si="365"/>
        <v>0</v>
      </c>
      <c r="G2923" s="14">
        <f t="shared" si="366"/>
        <v>0</v>
      </c>
      <c r="H2923" s="24">
        <f t="shared" si="364"/>
        <v>920.24325504078502</v>
      </c>
      <c r="I2923" s="12">
        <f t="shared" si="371"/>
        <v>0.11899678962592097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686.97899703657743</v>
      </c>
      <c r="F2924" s="37">
        <f t="shared" si="365"/>
        <v>0</v>
      </c>
      <c r="G2924" s="14">
        <f t="shared" si="366"/>
        <v>0</v>
      </c>
      <c r="H2924" s="24">
        <f t="shared" si="364"/>
        <v>920.83622909806877</v>
      </c>
      <c r="I2924" s="12">
        <f t="shared" si="371"/>
        <v>0.11890299867225985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687.09790003524972</v>
      </c>
      <c r="F2925" s="37">
        <f t="shared" si="365"/>
        <v>0</v>
      </c>
      <c r="G2925" s="14">
        <f t="shared" si="366"/>
        <v>0</v>
      </c>
      <c r="H2925" s="24">
        <f t="shared" si="364"/>
        <v>921.431504967455</v>
      </c>
      <c r="I2925" s="12">
        <f t="shared" si="371"/>
        <v>0.11880905098436206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687.21670908623412</v>
      </c>
      <c r="F2926" s="37">
        <f t="shared" si="365"/>
        <v>0</v>
      </c>
      <c r="G2926" s="14">
        <f t="shared" si="366"/>
        <v>0</v>
      </c>
      <c r="H2926" s="24">
        <f t="shared" si="364"/>
        <v>922.0290947287848</v>
      </c>
      <c r="I2926" s="12">
        <f t="shared" si="371"/>
        <v>0.11871494605703242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687.33542403229114</v>
      </c>
      <c r="F2927" s="37">
        <f t="shared" si="365"/>
        <v>0</v>
      </c>
      <c r="G2927" s="14">
        <f t="shared" si="366"/>
        <v>0</v>
      </c>
      <c r="H2927" s="24">
        <f t="shared" si="364"/>
        <v>922.62901053957</v>
      </c>
      <c r="I2927" s="12">
        <f t="shared" si="371"/>
        <v>0.11862068338381196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687.45404471567497</v>
      </c>
      <c r="F2928" s="37">
        <f t="shared" si="365"/>
        <v>0</v>
      </c>
      <c r="G2928" s="14">
        <f t="shared" si="366"/>
        <v>0</v>
      </c>
      <c r="H2928" s="24">
        <f t="shared" si="364"/>
        <v>923.23126463557196</v>
      </c>
      <c r="I2928" s="12">
        <f t="shared" si="371"/>
        <v>0.11852626245698052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687.57257097813192</v>
      </c>
      <c r="F2929" s="37">
        <f t="shared" si="365"/>
        <v>0</v>
      </c>
      <c r="G2929" s="14">
        <f t="shared" si="366"/>
        <v>0</v>
      </c>
      <c r="H2929" s="24">
        <f t="shared" si="364"/>
        <v>923.83586933138361</v>
      </c>
      <c r="I2929" s="12">
        <f t="shared" si="371"/>
        <v>0.11843168276756047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687.69100266089947</v>
      </c>
      <c r="F2930" s="37">
        <f t="shared" si="365"/>
        <v>0</v>
      </c>
      <c r="G2930" s="14">
        <f t="shared" si="366"/>
        <v>0</v>
      </c>
      <c r="H2930" s="24">
        <f t="shared" si="364"/>
        <v>924.44283702101825</v>
      </c>
      <c r="I2930" s="12">
        <f t="shared" si="371"/>
        <v>0.11833694380532007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687.80933960470475</v>
      </c>
      <c r="F2931" s="37">
        <f t="shared" si="365"/>
        <v>0</v>
      </c>
      <c r="G2931" s="14">
        <f t="shared" si="366"/>
        <v>0</v>
      </c>
      <c r="H2931" s="24">
        <f t="shared" si="364"/>
        <v>925.05218017850143</v>
      </c>
      <c r="I2931" s="12">
        <f t="shared" si="371"/>
        <v>0.11824204505877713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687.92758164976351</v>
      </c>
      <c r="F2932" s="37">
        <f t="shared" si="365"/>
        <v>0</v>
      </c>
      <c r="G2932" s="14">
        <f t="shared" si="366"/>
        <v>0</v>
      </c>
      <c r="H2932" s="24">
        <f t="shared" si="364"/>
        <v>925.66391135846925</v>
      </c>
      <c r="I2932" s="12">
        <f t="shared" si="371"/>
        <v>0.11814698601520249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688.04572863577869</v>
      </c>
      <c r="F2933" s="37">
        <f t="shared" si="365"/>
        <v>0</v>
      </c>
      <c r="G2933" s="14">
        <f t="shared" si="366"/>
        <v>0</v>
      </c>
      <c r="H2933" s="24">
        <f t="shared" si="364"/>
        <v>926.27804319677068</v>
      </c>
      <c r="I2933" s="12">
        <f t="shared" si="371"/>
        <v>0.11805176616062393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688.16378040193933</v>
      </c>
      <c r="F2934" s="37">
        <f t="shared" si="365"/>
        <v>0</v>
      </c>
      <c r="G2934" s="14">
        <f t="shared" si="366"/>
        <v>0</v>
      </c>
      <c r="H2934" s="24">
        <f t="shared" si="364"/>
        <v>926.89458841107535</v>
      </c>
      <c r="I2934" s="12">
        <f t="shared" si="371"/>
        <v>0.11795638497983006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688.28173678691917</v>
      </c>
      <c r="F2935" s="37">
        <f t="shared" si="365"/>
        <v>0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927.51355980148526</v>
      </c>
      <c r="I2935" s="12">
        <f t="shared" si="371"/>
        <v>0.11786084195637452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688.39959762887554</v>
      </c>
      <c r="F2936" s="37">
        <f t="shared" si="365"/>
        <v>0</v>
      </c>
      <c r="G2936" s="14">
        <f t="shared" si="366"/>
        <v>0</v>
      </c>
      <c r="H2936" s="24">
        <f t="shared" si="372"/>
        <v>928.13497025115441</v>
      </c>
      <c r="I2936" s="12">
        <f t="shared" si="371"/>
        <v>0.11776513657257971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688.51736276544807</v>
      </c>
      <c r="F2937" s="37">
        <f t="shared" si="365"/>
        <v>0</v>
      </c>
      <c r="G2937" s="14">
        <f t="shared" si="366"/>
        <v>0</v>
      </c>
      <c r="H2937" s="24">
        <f t="shared" si="372"/>
        <v>928.75883272690999</v>
      </c>
      <c r="I2937" s="12">
        <f t="shared" si="371"/>
        <v>0.11766926830954141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688.63503203375762</v>
      </c>
      <c r="F2938" s="37">
        <f t="shared" si="365"/>
        <v>0</v>
      </c>
      <c r="G2938" s="14">
        <f t="shared" si="366"/>
        <v>0</v>
      </c>
      <c r="H2938" s="24">
        <f t="shared" si="372"/>
        <v>929.38516027988226</v>
      </c>
      <c r="I2938" s="12">
        <f t="shared" si="371"/>
        <v>0.11757323664713284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688.75260527040473</v>
      </c>
      <c r="F2939" s="37">
        <f t="shared" si="365"/>
        <v>0</v>
      </c>
      <c r="G2939" s="14">
        <f t="shared" si="366"/>
        <v>0</v>
      </c>
      <c r="H2939" s="24">
        <f t="shared" si="372"/>
        <v>930.01396604613547</v>
      </c>
      <c r="I2939" s="12">
        <f t="shared" si="371"/>
        <v>0.11747704106400966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688.87008231146876</v>
      </c>
      <c r="F2940" s="37">
        <f t="shared" si="365"/>
        <v>0</v>
      </c>
      <c r="G2940" s="14">
        <f t="shared" si="366"/>
        <v>0</v>
      </c>
      <c r="H2940" s="24">
        <f t="shared" si="372"/>
        <v>930.64526324730957</v>
      </c>
      <c r="I2940" s="12">
        <f t="shared" si="371"/>
        <v>0.11738068103761395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688.98746299250638</v>
      </c>
      <c r="F2941" s="37">
        <f t="shared" si="365"/>
        <v>0</v>
      </c>
      <c r="G2941" s="14">
        <f t="shared" si="366"/>
        <v>0</v>
      </c>
      <c r="H2941" s="24">
        <f t="shared" si="372"/>
        <v>931.27906519126122</v>
      </c>
      <c r="I2941" s="12">
        <f t="shared" si="371"/>
        <v>0.11728415604417947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689.10474714855059</v>
      </c>
      <c r="F2942" s="37">
        <f t="shared" si="365"/>
        <v>0</v>
      </c>
      <c r="G2942" s="14">
        <f t="shared" si="366"/>
        <v>0</v>
      </c>
      <c r="H2942" s="24">
        <f t="shared" si="372"/>
        <v>931.91538527271518</v>
      </c>
      <c r="I2942" s="12">
        <f t="shared" si="371"/>
        <v>0.11718746555873635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689.22193461410927</v>
      </c>
      <c r="F2943" s="37">
        <f t="shared" si="365"/>
        <v>0</v>
      </c>
      <c r="G2943" s="14">
        <f t="shared" si="366"/>
        <v>0</v>
      </c>
      <c r="H2943" s="24">
        <f t="shared" si="372"/>
        <v>932.55423697391825</v>
      </c>
      <c r="I2943" s="12">
        <f t="shared" si="371"/>
        <v>0.11709060905511612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689.33902522316441</v>
      </c>
      <c r="F2944" s="37">
        <f t="shared" si="365"/>
        <v>0</v>
      </c>
      <c r="G2944" s="14">
        <f t="shared" si="366"/>
        <v>0</v>
      </c>
      <c r="H2944" s="24">
        <f t="shared" si="372"/>
        <v>933.19563386530081</v>
      </c>
      <c r="I2944" s="12">
        <f t="shared" si="371"/>
        <v>0.11699358600595669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689.45601880917036</v>
      </c>
      <c r="F2945" s="37">
        <f t="shared" si="365"/>
        <v>0</v>
      </c>
      <c r="G2945" s="14">
        <f t="shared" si="366"/>
        <v>0</v>
      </c>
      <c r="H2945" s="24">
        <f t="shared" si="372"/>
        <v>933.83958960614018</v>
      </c>
      <c r="I2945" s="12">
        <f t="shared" si="371"/>
        <v>0.11689639588270787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689.57291520505305</v>
      </c>
      <c r="F2946" s="37">
        <f t="shared" si="365"/>
        <v>0</v>
      </c>
      <c r="G2946" s="14">
        <f t="shared" si="366"/>
        <v>0</v>
      </c>
      <c r="H2946" s="24">
        <f t="shared" si="372"/>
        <v>934.48611794523458</v>
      </c>
      <c r="I2946" s="12">
        <f t="shared" si="371"/>
        <v>0.11679903815563661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689.68971424320864</v>
      </c>
      <c r="F2947" s="37">
        <f t="shared" si="365"/>
        <v>0</v>
      </c>
      <c r="G2947" s="14">
        <f t="shared" si="366"/>
        <v>0</v>
      </c>
      <c r="H2947" s="24">
        <f t="shared" si="372"/>
        <v>935.1352327215784</v>
      </c>
      <c r="I2947" s="12">
        <f t="shared" si="371"/>
        <v>0.11670151229383278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689.80641575550248</v>
      </c>
      <c r="F2948" s="37">
        <f t="shared" si="365"/>
        <v>0</v>
      </c>
      <c r="G2948" s="14">
        <f t="shared" si="366"/>
        <v>0</v>
      </c>
      <c r="H2948" s="24">
        <f t="shared" si="372"/>
        <v>935.78694786504695</v>
      </c>
      <c r="I2948" s="12">
        <f t="shared" si="371"/>
        <v>0.1166038177652142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689.92301957326765</v>
      </c>
      <c r="F2949" s="37">
        <f t="shared" si="365"/>
        <v>0</v>
      </c>
      <c r="G2949" s="14">
        <f t="shared" si="366"/>
        <v>0</v>
      </c>
      <c r="H2949" s="24">
        <f t="shared" si="372"/>
        <v>936.44127739708188</v>
      </c>
      <c r="I2949" s="12">
        <f t="shared" si="371"/>
        <v>0.11650595403653344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690.03952552730414</v>
      </c>
      <c r="F2950" s="37">
        <f t="shared" si="365"/>
        <v>0</v>
      </c>
      <c r="G2950" s="14">
        <f t="shared" si="366"/>
        <v>0</v>
      </c>
      <c r="H2950" s="24">
        <f t="shared" si="372"/>
        <v>937.0982354313885</v>
      </c>
      <c r="I2950" s="12">
        <f t="shared" si="371"/>
        <v>0.11640792057338283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690.15593344787749</v>
      </c>
      <c r="F2951" s="37">
        <f t="shared" si="365"/>
        <v>0</v>
      </c>
      <c r="G2951" s="14">
        <f t="shared" si="366"/>
        <v>0</v>
      </c>
      <c r="H2951" s="24">
        <f t="shared" si="372"/>
        <v>937.75783617463412</v>
      </c>
      <c r="I2951" s="12">
        <f t="shared" si="371"/>
        <v>0.11630971684020124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690.27224316471768</v>
      </c>
      <c r="F2952" s="37">
        <f t="shared" si="365"/>
        <v>0</v>
      </c>
      <c r="G2952" s="14">
        <f t="shared" si="366"/>
        <v>0</v>
      </c>
      <c r="H2952" s="24">
        <f t="shared" si="372"/>
        <v>938.42009392715454</v>
      </c>
      <c r="I2952" s="12">
        <f t="shared" si="371"/>
        <v>0.11621134230027971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690.38845450701797</v>
      </c>
      <c r="F2953" s="37">
        <f t="shared" si="365"/>
        <v>0</v>
      </c>
      <c r="G2953" s="14">
        <f t="shared" si="366"/>
        <v>0</v>
      </c>
      <c r="H2953" s="24">
        <f t="shared" si="372"/>
        <v>939.08502308366576</v>
      </c>
      <c r="I2953" s="12">
        <f t="shared" si="371"/>
        <v>0.11611279641576856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690.50456730343376</v>
      </c>
      <c r="F2954" s="37">
        <f t="shared" si="365"/>
        <v>0</v>
      </c>
      <c r="G2954" s="14">
        <f t="shared" si="366"/>
        <v>0</v>
      </c>
      <c r="H2954" s="24">
        <f t="shared" si="372"/>
        <v>939.75263813398215</v>
      </c>
      <c r="I2954" s="12">
        <f t="shared" si="371"/>
        <v>0.11601407864768332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690.62058138208147</v>
      </c>
      <c r="F2955" s="37">
        <f t="shared" si="365"/>
        <v>0</v>
      </c>
      <c r="G2955" s="14">
        <f t="shared" si="366"/>
        <v>0</v>
      </c>
      <c r="H2955" s="24">
        <f t="shared" si="372"/>
        <v>940.42295366374003</v>
      </c>
      <c r="I2955" s="12">
        <f t="shared" si="371"/>
        <v>0.11591518845591164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690.73649657053738</v>
      </c>
      <c r="F2956" s="37">
        <f t="shared" si="365"/>
        <v>0</v>
      </c>
      <c r="G2956" s="14">
        <f t="shared" si="366"/>
        <v>0</v>
      </c>
      <c r="H2956" s="24">
        <f t="shared" si="372"/>
        <v>941.09598435512828</v>
      </c>
      <c r="I2956" s="12">
        <f t="shared" si="371"/>
        <v>0.11581612529922011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690.85231269583664</v>
      </c>
      <c r="F2957" s="37">
        <f t="shared" si="365"/>
        <v>0</v>
      </c>
      <c r="G2957" s="14">
        <f t="shared" si="366"/>
        <v>0</v>
      </c>
      <c r="H2957" s="24">
        <f t="shared" si="372"/>
        <v>941.77174498762452</v>
      </c>
      <c r="I2957" s="12">
        <f t="shared" si="371"/>
        <v>0.11571688863526131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690.96802958447188</v>
      </c>
      <c r="F2958" s="37">
        <f t="shared" si="365"/>
        <v>0</v>
      </c>
      <c r="G2958" s="14">
        <f t="shared" si="366"/>
        <v>0</v>
      </c>
      <c r="H2958" s="24">
        <f t="shared" si="372"/>
        <v>942.45025043873659</v>
      </c>
      <c r="I2958" s="12">
        <f t="shared" si="371"/>
        <v>0.11561747792058089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691.08364706239252</v>
      </c>
      <c r="F2959" s="37">
        <f t="shared" si="365"/>
        <v>0</v>
      </c>
      <c r="G2959" s="14">
        <f t="shared" si="366"/>
        <v>0</v>
      </c>
      <c r="H2959" s="24">
        <f t="shared" si="372"/>
        <v>943.13151568475348</v>
      </c>
      <c r="I2959" s="12">
        <f t="shared" si="371"/>
        <v>0.1155178926106247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691.19916495500308</v>
      </c>
      <c r="F2960" s="37">
        <f t="shared" si="365"/>
        <v>0</v>
      </c>
      <c r="G2960" s="14">
        <f t="shared" si="366"/>
        <v>0</v>
      </c>
      <c r="H2960" s="24">
        <f t="shared" si="372"/>
        <v>943.81555580149711</v>
      </c>
      <c r="I2960" s="12">
        <f t="shared" si="371"/>
        <v>0.11541813215974667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691.31458308716287</v>
      </c>
      <c r="F2961" s="37">
        <f t="shared" si="365"/>
        <v>0</v>
      </c>
      <c r="G2961" s="14">
        <f t="shared" si="366"/>
        <v>0</v>
      </c>
      <c r="H2961" s="24">
        <f t="shared" si="372"/>
        <v>944.5023859650878</v>
      </c>
      <c r="I2961" s="12">
        <f t="shared" si="371"/>
        <v>0.11531819602121587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691.42990128318411</v>
      </c>
      <c r="F2962" s="37">
        <f t="shared" si="365"/>
        <v>0</v>
      </c>
      <c r="G2962" s="14">
        <f t="shared" si="366"/>
        <v>0</v>
      </c>
      <c r="H2962" s="24">
        <f t="shared" si="372"/>
        <v>945.1920214527081</v>
      </c>
      <c r="I2962" s="12">
        <f t="shared" si="371"/>
        <v>0.1152180836472249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691.54511936683139</v>
      </c>
      <c r="F2963" s="37">
        <f t="shared" si="365"/>
        <v>0</v>
      </c>
      <c r="G2963" s="14">
        <f t="shared" si="366"/>
        <v>0</v>
      </c>
      <c r="H2963" s="24">
        <f t="shared" si="372"/>
        <v>945.88447764338071</v>
      </c>
      <c r="I2963" s="12">
        <f t="shared" si="371"/>
        <v>0.11511779448889725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691.66023716132031</v>
      </c>
      <c r="F2964" s="37">
        <f t="shared" ref="F2964:F2972" si="373">Cp*RhoP/(RhoA*H2964)*dp/1000*MassivP</f>
        <v>0</v>
      </c>
      <c r="G2964" s="14">
        <f t="shared" ref="G2964:G2972" si="374">Phi*EpsilonF*Botzman/10^8*J2964*((D2964+273)^4-(E2964+273)^4)</f>
        <v>0</v>
      </c>
      <c r="H2964" s="24">
        <f t="shared" si="372"/>
        <v>946.57977001874644</v>
      </c>
      <c r="I2964" s="12">
        <f t="shared" si="371"/>
        <v>0.11501732799629594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691.77525448931658</v>
      </c>
      <c r="F2965" s="37">
        <f t="shared" si="373"/>
        <v>0</v>
      </c>
      <c r="G2965" s="14">
        <f t="shared" si="374"/>
        <v>0</v>
      </c>
      <c r="H2965" s="24">
        <f t="shared" si="372"/>
        <v>947.27791416385389</v>
      </c>
      <c r="I2965" s="12">
        <f t="shared" ref="I2965:I2972" si="379">LambdaP*MassivP/(dp/1000)/(H2965*RhoA)/(1+F2965/3)*(D2965-E2965)*DeltaT-(EXP(F2965/10)-1)*(D2965-D2964)</f>
        <v>0.11491668361843137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691.89017117293497</v>
      </c>
      <c r="F2966" s="37">
        <f t="shared" si="373"/>
        <v>0</v>
      </c>
      <c r="G2966" s="14">
        <f t="shared" si="374"/>
        <v>0</v>
      </c>
      <c r="H2966" s="24">
        <f t="shared" si="372"/>
        <v>947.97892576795323</v>
      </c>
      <c r="I2966" s="12">
        <f t="shared" si="379"/>
        <v>0.1148158608032701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692.00498703373819</v>
      </c>
      <c r="F2967" s="37">
        <f t="shared" si="373"/>
        <v>0</v>
      </c>
      <c r="G2967" s="14">
        <f t="shared" si="374"/>
        <v>0</v>
      </c>
      <c r="H2967" s="24">
        <f t="shared" si="372"/>
        <v>948.68282062529704</v>
      </c>
      <c r="I2967" s="12">
        <f t="shared" si="379"/>
        <v>0.11471485899774302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692.11970189273597</v>
      </c>
      <c r="F2968" s="37">
        <f t="shared" si="373"/>
        <v>0</v>
      </c>
      <c r="G2968" s="14">
        <f t="shared" si="374"/>
        <v>0</v>
      </c>
      <c r="H2968" s="24">
        <f t="shared" si="372"/>
        <v>949.38961463594865</v>
      </c>
      <c r="I2968" s="12">
        <f t="shared" si="379"/>
        <v>0.11461367764775458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692.23431557038373</v>
      </c>
      <c r="F2969" s="37">
        <f t="shared" si="373"/>
        <v>0</v>
      </c>
      <c r="G2969" s="14">
        <f t="shared" si="374"/>
        <v>0</v>
      </c>
      <c r="H2969" s="24">
        <f t="shared" si="372"/>
        <v>950.09932380659507</v>
      </c>
      <c r="I2969" s="12">
        <f t="shared" si="379"/>
        <v>0.1145123161981919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692.34882788658194</v>
      </c>
      <c r="F2970" s="37">
        <f t="shared" si="373"/>
        <v>0</v>
      </c>
      <c r="G2970" s="14">
        <f t="shared" si="374"/>
        <v>0</v>
      </c>
      <c r="H2970" s="24">
        <f t="shared" si="372"/>
        <v>950.8119642513708</v>
      </c>
      <c r="I2970" s="12">
        <f t="shared" si="379"/>
        <v>0.11441077409293329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692.46323866067485</v>
      </c>
      <c r="F2971" s="37">
        <f t="shared" si="373"/>
        <v>0</v>
      </c>
      <c r="G2971" s="14">
        <f t="shared" si="374"/>
        <v>0</v>
      </c>
      <c r="H2971" s="24">
        <f t="shared" si="372"/>
        <v>951.52755219268488</v>
      </c>
      <c r="I2971" s="12">
        <f t="shared" si="379"/>
        <v>0.11430905077485802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692.57754771144971</v>
      </c>
      <c r="F2972" s="37">
        <f t="shared" si="373"/>
        <v>0</v>
      </c>
      <c r="G2972" s="14">
        <f t="shared" si="374"/>
        <v>0</v>
      </c>
      <c r="H2972" s="24">
        <f t="shared" si="372"/>
        <v>952.24610396205833</v>
      </c>
      <c r="I2972" s="12">
        <f t="shared" si="379"/>
        <v>0.1142071456858558</v>
      </c>
      <c r="J2972" s="3"/>
    </row>
  </sheetData>
  <dataValidations count="3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 M18" xr:uid="{00000000-0002-0000-0000-000001000000}">
      <formula1>ListeOuiNon</formula1>
    </dataValidation>
    <dataValidation type="list" allowBlank="1" showInputMessage="1" showErrorMessage="1" sqref="M13" xr:uid="{00000000-0002-0000-0000-000002000000}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C2:U10"/>
  <sheetViews>
    <sheetView tabSelected="1" workbookViewId="0">
      <selection activeCell="F7" sqref="F7"/>
    </sheetView>
  </sheetViews>
  <sheetFormatPr baseColWidth="10" defaultRowHeight="15" x14ac:dyDescent="0.25"/>
  <sheetData>
    <row r="2" spans="3:21" x14ac:dyDescent="0.25">
      <c r="R2" s="2" t="s">
        <v>102</v>
      </c>
      <c r="S2" s="4">
        <v>3</v>
      </c>
    </row>
    <row r="3" spans="3:21" x14ac:dyDescent="0.25">
      <c r="C3" s="41" t="s">
        <v>49</v>
      </c>
      <c r="D3" s="8" t="s">
        <v>50</v>
      </c>
      <c r="E3" s="43" t="s">
        <v>51</v>
      </c>
      <c r="F3" s="44"/>
      <c r="G3" s="45"/>
      <c r="H3" s="49" t="s">
        <v>61</v>
      </c>
      <c r="I3" s="50" t="s">
        <v>65</v>
      </c>
      <c r="J3" s="53" t="s">
        <v>66</v>
      </c>
      <c r="K3" s="54" t="s">
        <v>65</v>
      </c>
      <c r="L3" s="66" t="s">
        <v>107</v>
      </c>
      <c r="M3" s="67" t="s">
        <v>108</v>
      </c>
      <c r="N3" s="67"/>
      <c r="O3" s="68"/>
      <c r="P3" s="89" t="s">
        <v>111</v>
      </c>
      <c r="Q3" s="90" t="s">
        <v>65</v>
      </c>
      <c r="S3" s="49"/>
      <c r="T3" s="93"/>
      <c r="U3" s="50"/>
    </row>
    <row r="4" spans="3:21" x14ac:dyDescent="0.25">
      <c r="C4" s="42" t="s">
        <v>14</v>
      </c>
      <c r="D4" s="10" t="s">
        <v>13</v>
      </c>
      <c r="E4" s="46" t="s">
        <v>13</v>
      </c>
      <c r="F4" s="47" t="s">
        <v>72</v>
      </c>
      <c r="G4" s="48" t="s">
        <v>73</v>
      </c>
      <c r="H4" s="51" t="s">
        <v>64</v>
      </c>
      <c r="I4" s="52"/>
      <c r="J4" s="55" t="s">
        <v>67</v>
      </c>
      <c r="K4" s="56"/>
      <c r="L4" s="85" t="s">
        <v>67</v>
      </c>
      <c r="M4" s="86"/>
      <c r="N4" s="86" t="s">
        <v>109</v>
      </c>
      <c r="O4" s="87" t="s">
        <v>110</v>
      </c>
      <c r="P4" s="91" t="s">
        <v>57</v>
      </c>
      <c r="Q4" s="92"/>
      <c r="S4" s="51" t="s">
        <v>112</v>
      </c>
      <c r="T4" s="94" t="s">
        <v>113</v>
      </c>
      <c r="U4" s="88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130.97690533382368</v>
      </c>
      <c r="F5" s="13">
        <f>reductionky(E5)</f>
        <v>1</v>
      </c>
      <c r="G5" s="13">
        <f>reductionke(E5)</f>
        <v>0.96902309466617631</v>
      </c>
      <c r="H5" s="69">
        <f t="shared" ref="H5:H10" si="0">IF(ClasseFeu=2,Wpl,Wel)*Fy*F5/GammaM/1000</f>
        <v>508.005</v>
      </c>
      <c r="I5" s="70">
        <f t="shared" ref="I5:I10" si="1">MEd/H5</f>
        <v>0.1771636105943839</v>
      </c>
      <c r="J5" s="75">
        <f t="shared" ref="J5:J10" si="2">Av*Fy*F5/SQRT(3)/GammaM/10</f>
        <v>780.48518790130379</v>
      </c>
      <c r="K5" s="78">
        <f>VEd/Echauffements!J5</f>
        <v>3.8437628881425545E-2</v>
      </c>
      <c r="L5" s="69">
        <f t="shared" ref="L5:L10" si="3">O5*F5*hw*tw*Fy/SQRT(3)/GammaM/1000</f>
        <v>640.58057791753492</v>
      </c>
      <c r="M5" s="78">
        <f>VEd/Echauffements!L5</f>
        <v>4.6832515743026548E-2</v>
      </c>
      <c r="N5" s="79">
        <f t="shared" ref="N5:N10" si="4">LambdaFi0*SQRT(F5/G5)</f>
        <v>1.0112743475052359</v>
      </c>
      <c r="O5" s="80">
        <f t="shared" ref="O5:O10" si="5">IF(N5&lt;=0.83/Eta,1,0.83/N5)</f>
        <v>0.82074661742144372</v>
      </c>
      <c r="P5" s="69">
        <f t="shared" ref="P5:P10" si="6">U5*F5*IF(ClasseLT=2,Wpl,Wel)*Fy/GammaM/1000</f>
        <v>285.00000860862752</v>
      </c>
      <c r="Q5" s="70">
        <f t="shared" ref="Q5:Q10" si="7">MEd/P5</f>
        <v>0.31578946414556536</v>
      </c>
      <c r="S5" s="12">
        <f t="shared" ref="S5:S10" si="8">LambdaLT*SQRT(F5/G5)</f>
        <v>0.86232776786767773</v>
      </c>
      <c r="T5" s="12">
        <f t="shared" ref="T5:T10" si="9">0.5*(1+AlphaLT*(S5)+S5^2)</f>
        <v>1.0998259260042185</v>
      </c>
      <c r="U5" s="12">
        <f>MIN(1,1/(T5+SQRT(T5^2-S5^2)))</f>
        <v>0.56101811716149941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245.21100389953818</v>
      </c>
      <c r="F6" s="13">
        <f t="shared" ref="F6:F10" si="10">reductionky(E6)</f>
        <v>1</v>
      </c>
      <c r="G6" s="13">
        <f t="shared" ref="G6:G10" si="11">reductionke(E6)</f>
        <v>0.85478899610046188</v>
      </c>
      <c r="H6" s="71">
        <f t="shared" si="0"/>
        <v>508.005</v>
      </c>
      <c r="I6" s="72">
        <f t="shared" si="1"/>
        <v>0.1771636105943839</v>
      </c>
      <c r="J6" s="76">
        <f t="shared" si="2"/>
        <v>780.48518790130379</v>
      </c>
      <c r="K6" s="37">
        <f>VEd/Echauffements!J6</f>
        <v>3.8437628881425545E-2</v>
      </c>
      <c r="L6" s="71">
        <f t="shared" si="3"/>
        <v>601.63925453176012</v>
      </c>
      <c r="M6" s="37">
        <f>VEd/Echauffements!L6</f>
        <v>4.9863767654835293E-2</v>
      </c>
      <c r="N6" s="12">
        <f t="shared" si="4"/>
        <v>1.0767294538689129</v>
      </c>
      <c r="O6" s="81">
        <f t="shared" si="5"/>
        <v>0.7708528795396441</v>
      </c>
      <c r="P6" s="71">
        <f t="shared" si="6"/>
        <v>270.18730221352575</v>
      </c>
      <c r="Q6" s="72">
        <f t="shared" si="7"/>
        <v>0.33310225633354928</v>
      </c>
      <c r="S6" s="12">
        <f t="shared" si="8"/>
        <v>0.91814225174673103</v>
      </c>
      <c r="T6" s="12">
        <f t="shared" si="9"/>
        <v>1.164272698984425</v>
      </c>
      <c r="U6" s="12">
        <f t="shared" ref="U6:U10" si="12">MIN(1,1/(T6+SQRT(T6^2-S6^2)))</f>
        <v>0.53185953329893554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347.11463489811285</v>
      </c>
      <c r="F7" s="13">
        <f t="shared" si="10"/>
        <v>1</v>
      </c>
      <c r="G7" s="13">
        <f t="shared" si="11"/>
        <v>0.75288536510188719</v>
      </c>
      <c r="H7" s="71">
        <f t="shared" si="0"/>
        <v>508.005</v>
      </c>
      <c r="I7" s="72">
        <f t="shared" si="1"/>
        <v>0.1771636105943839</v>
      </c>
      <c r="J7" s="76">
        <f t="shared" si="2"/>
        <v>780.48518790130379</v>
      </c>
      <c r="K7" s="37">
        <f>VEd/Echauffements!J7</f>
        <v>3.8437628881425545E-2</v>
      </c>
      <c r="L7" s="71">
        <f t="shared" si="3"/>
        <v>564.63933653006688</v>
      </c>
      <c r="M7" s="37">
        <f>VEd/Echauffements!L7</f>
        <v>5.3131261070760535E-2</v>
      </c>
      <c r="N7" s="12">
        <f t="shared" si="4"/>
        <v>1.1472858230867993</v>
      </c>
      <c r="O7" s="81">
        <f t="shared" si="5"/>
        <v>0.72344657564656867</v>
      </c>
      <c r="P7" s="71">
        <f t="shared" si="6"/>
        <v>254.686029880315</v>
      </c>
      <c r="Q7" s="72">
        <f t="shared" si="7"/>
        <v>0.35337627290469698</v>
      </c>
      <c r="S7" s="12">
        <f t="shared" si="8"/>
        <v>0.97830665374763581</v>
      </c>
      <c r="T7" s="12">
        <f t="shared" si="9"/>
        <v>1.2372310502186021</v>
      </c>
      <c r="U7" s="12">
        <f t="shared" si="12"/>
        <v>0.50134551801717508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436.19107571306523</v>
      </c>
      <c r="F8" s="13">
        <f t="shared" si="10"/>
        <v>0.92037963343125651</v>
      </c>
      <c r="G8" s="13">
        <f t="shared" si="11"/>
        <v>0.66380892428693472</v>
      </c>
      <c r="H8" s="71">
        <f t="shared" si="0"/>
        <v>467.55745568124547</v>
      </c>
      <c r="I8" s="72">
        <f t="shared" si="1"/>
        <v>0.19248971202665832</v>
      </c>
      <c r="J8" s="76">
        <f t="shared" si="2"/>
        <v>718.34267113912722</v>
      </c>
      <c r="K8" s="37">
        <f>VEd/Echauffements!J8</f>
        <v>4.1762798181579359E-2</v>
      </c>
      <c r="L8" s="71">
        <f t="shared" si="3"/>
        <v>508.64144740087772</v>
      </c>
      <c r="M8" s="37">
        <f>VEd/Echauffements!L8</f>
        <v>5.8980643738920424E-2</v>
      </c>
      <c r="N8" s="12">
        <f t="shared" si="4"/>
        <v>1.1721899976734904</v>
      </c>
      <c r="O8" s="81">
        <f t="shared" si="5"/>
        <v>0.70807633715297547</v>
      </c>
      <c r="P8" s="71">
        <f t="shared" si="6"/>
        <v>229.49891484947321</v>
      </c>
      <c r="Q8" s="72">
        <f t="shared" si="7"/>
        <v>0.39215871699885985</v>
      </c>
      <c r="S8" s="12">
        <f t="shared" si="8"/>
        <v>0.99954279143362323</v>
      </c>
      <c r="T8" s="12">
        <f t="shared" si="9"/>
        <v>1.2638473652872753</v>
      </c>
      <c r="U8" s="12">
        <f t="shared" si="12"/>
        <v>0.49084644477561867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578.79951298918365</v>
      </c>
      <c r="F9" s="13">
        <f t="shared" si="10"/>
        <v>0.53572150973353061</v>
      </c>
      <c r="G9" s="13">
        <f t="shared" si="11"/>
        <v>0.37148141233136739</v>
      </c>
      <c r="H9" s="71">
        <f t="shared" si="0"/>
        <v>272.1492055521822</v>
      </c>
      <c r="I9" s="72">
        <f t="shared" si="1"/>
        <v>0.33070094699483993</v>
      </c>
      <c r="J9" s="76">
        <f t="shared" si="2"/>
        <v>418.12270318714474</v>
      </c>
      <c r="K9" s="37">
        <f>VEd/Echauffements!J9</f>
        <v>7.1749273051486276E-2</v>
      </c>
      <c r="L9" s="71">
        <f t="shared" si="3"/>
        <v>290.29849822022987</v>
      </c>
      <c r="M9" s="37">
        <f>VEd/Echauffements!L9</f>
        <v>0.10334190560380035</v>
      </c>
      <c r="N9" s="12">
        <f t="shared" si="4"/>
        <v>1.1954655148854849</v>
      </c>
      <c r="O9" s="81">
        <f t="shared" si="5"/>
        <v>0.69429020717465584</v>
      </c>
      <c r="P9" s="71">
        <f t="shared" si="6"/>
        <v>130.95143342442873</v>
      </c>
      <c r="Q9" s="72">
        <f t="shared" si="7"/>
        <v>0.68727770018598877</v>
      </c>
      <c r="S9" s="12">
        <f t="shared" si="8"/>
        <v>1.0193901502170231</v>
      </c>
      <c r="T9" s="12">
        <f t="shared" si="9"/>
        <v>1.2891307536413921</v>
      </c>
      <c r="U9" s="12">
        <f t="shared" si="12"/>
        <v>0.48117514493100344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684.09754082153665</v>
      </c>
      <c r="F10" s="13">
        <f t="shared" si="10"/>
        <v>0.26816590202831203</v>
      </c>
      <c r="G10" s="13">
        <f t="shared" si="11"/>
        <v>0.15862442652123401</v>
      </c>
      <c r="H10" s="73">
        <f t="shared" si="0"/>
        <v>136.22961905989266</v>
      </c>
      <c r="I10" s="74">
        <f t="shared" si="1"/>
        <v>0.66064928186015082</v>
      </c>
      <c r="J10" s="77">
        <f t="shared" si="2"/>
        <v>209.29951443328974</v>
      </c>
      <c r="K10" s="82">
        <f>VEd/Echauffements!J10</f>
        <v>0.14333525847505935</v>
      </c>
      <c r="L10" s="73">
        <f t="shared" si="3"/>
        <v>134.21266909297529</v>
      </c>
      <c r="M10" s="82">
        <f>VEd/Echauffements!L10</f>
        <v>0.22352584299785902</v>
      </c>
      <c r="N10" s="83">
        <f t="shared" si="4"/>
        <v>1.2943531944759075</v>
      </c>
      <c r="O10" s="84">
        <f t="shared" si="5"/>
        <v>0.64124692050230747</v>
      </c>
      <c r="P10" s="73">
        <f t="shared" si="6"/>
        <v>60.178526768510189</v>
      </c>
      <c r="Q10" s="74">
        <f t="shared" si="7"/>
        <v>1.4955500713103962</v>
      </c>
      <c r="S10" s="12">
        <f t="shared" si="8"/>
        <v>1.1037130564799862</v>
      </c>
      <c r="T10" s="12">
        <f t="shared" si="9"/>
        <v>1.4009409854085415</v>
      </c>
      <c r="U10" s="12">
        <f t="shared" si="12"/>
        <v>0.44174333881131239</v>
      </c>
    </row>
  </sheetData>
  <pageMargins left="0.25" right="0.25" top="0.75" bottom="0.75" header="0.3" footer="0.3"/>
  <pageSetup paperSize="8" scale="9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J37"/>
  <sheetViews>
    <sheetView workbookViewId="0">
      <selection activeCell="I14" sqref="I14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0">
        <f>IF(ClasseLT=3,Wel,Wpl)*Fy/1000</f>
        <v>508.005</v>
      </c>
      <c r="J5" t="s">
        <v>57</v>
      </c>
    </row>
    <row r="6" spans="3:10" x14ac:dyDescent="0.25">
      <c r="C6" s="2" t="s">
        <v>56</v>
      </c>
      <c r="D6" s="30">
        <f>q*LL^2/8</f>
        <v>90</v>
      </c>
      <c r="E6" t="s">
        <v>57</v>
      </c>
      <c r="H6" s="2" t="s">
        <v>112</v>
      </c>
      <c r="I6" s="64">
        <f>SQRT(MRk/Mcr)</f>
        <v>0.84886657849458669</v>
      </c>
    </row>
    <row r="7" spans="3:10" x14ac:dyDescent="0.25">
      <c r="C7" s="2" t="s">
        <v>68</v>
      </c>
      <c r="D7" s="30">
        <f>q*LL/2</f>
        <v>30</v>
      </c>
      <c r="E7" t="s">
        <v>69</v>
      </c>
      <c r="H7" s="2" t="s">
        <v>118</v>
      </c>
      <c r="I7" s="62">
        <f>0.65*SQRT(235/Fy)</f>
        <v>0.52885073375343761</v>
      </c>
    </row>
    <row r="8" spans="3:10" x14ac:dyDescent="0.25">
      <c r="H8" s="2" t="s">
        <v>119</v>
      </c>
      <c r="I8" s="30">
        <f>h/b</f>
        <v>2.5</v>
      </c>
    </row>
    <row r="9" spans="3:10" x14ac:dyDescent="0.25">
      <c r="C9" s="2" t="s">
        <v>70</v>
      </c>
      <c r="D9" s="30">
        <f>Eta*hw*tw/100</f>
        <v>38.08</v>
      </c>
      <c r="E9" t="s">
        <v>71</v>
      </c>
    </row>
    <row r="10" spans="3:10" x14ac:dyDescent="0.25">
      <c r="C10" s="2" t="s">
        <v>58</v>
      </c>
      <c r="D10" s="65">
        <f>2*SUM(D17:D18)/1000</f>
        <v>1624.3520000000001</v>
      </c>
      <c r="E10" t="s">
        <v>60</v>
      </c>
    </row>
    <row r="11" spans="3:10" x14ac:dyDescent="0.25">
      <c r="C11" s="2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" t="s">
        <v>62</v>
      </c>
      <c r="D13" s="4">
        <v>355</v>
      </c>
      <c r="E13" t="s">
        <v>63</v>
      </c>
    </row>
    <row r="14" spans="3:10" x14ac:dyDescent="0.25">
      <c r="C14" s="2" t="s">
        <v>104</v>
      </c>
      <c r="D14" s="4">
        <v>1</v>
      </c>
    </row>
    <row r="15" spans="3:10" x14ac:dyDescent="0.25">
      <c r="C15" s="2" t="s">
        <v>105</v>
      </c>
      <c r="D15" s="4">
        <v>5.34</v>
      </c>
    </row>
    <row r="16" spans="3:10" x14ac:dyDescent="0.25">
      <c r="C16" s="57" t="s">
        <v>89</v>
      </c>
    </row>
    <row r="17" spans="3:5" x14ac:dyDescent="0.25">
      <c r="C17" s="57" t="s">
        <v>90</v>
      </c>
      <c r="D17" s="58">
        <f>b*tf*(h/2-tf/2)</f>
        <v>585600</v>
      </c>
    </row>
    <row r="18" spans="3:5" x14ac:dyDescent="0.25">
      <c r="C18" s="57" t="s">
        <v>91</v>
      </c>
      <c r="D18" s="58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0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59">
        <f>SQRT(235/Fy)</f>
        <v>0.81361651346682706</v>
      </c>
      <c r="E27" s="59">
        <f>D27*0.85</f>
        <v>0.69157403644680293</v>
      </c>
    </row>
    <row r="28" spans="3:5" x14ac:dyDescent="0.25">
      <c r="C28" s="2" t="s">
        <v>95</v>
      </c>
      <c r="D28" s="60">
        <f>41.5*D27/$D$24</f>
        <v>67.530170617746649</v>
      </c>
      <c r="E28" s="60">
        <f>41.5*E27/$D$24</f>
        <v>57.400645025084643</v>
      </c>
    </row>
    <row r="29" spans="3:5" x14ac:dyDescent="0.25">
      <c r="C29" s="2" t="s">
        <v>96</v>
      </c>
      <c r="D29" s="60">
        <f>62*D27*(1-$D$25)*SQRT(-$D$25)</f>
        <v>100.88844766988656</v>
      </c>
      <c r="E29" s="60">
        <f>62*E27*(1-$D$25)*SQRT(-$D$25)</f>
        <v>85.755180519403567</v>
      </c>
    </row>
    <row r="30" spans="3:5" x14ac:dyDescent="0.25">
      <c r="D30" s="3"/>
    </row>
    <row r="31" spans="3:5" x14ac:dyDescent="0.25">
      <c r="C31" s="2" t="s">
        <v>102</v>
      </c>
      <c r="D31" s="4">
        <v>2</v>
      </c>
      <c r="E31" s="61">
        <v>3</v>
      </c>
    </row>
    <row r="32" spans="3:5" x14ac:dyDescent="0.25">
      <c r="D32" s="3"/>
    </row>
    <row r="34" spans="3:5" x14ac:dyDescent="0.25">
      <c r="C34" s="2" t="s">
        <v>103</v>
      </c>
      <c r="D34" s="63">
        <f>72*D27/Eta</f>
        <v>58.580388969611548</v>
      </c>
      <c r="E34" s="63">
        <f>72*E27/Eta</f>
        <v>49.793330624169812</v>
      </c>
    </row>
    <row r="37" spans="3:5" x14ac:dyDescent="0.25">
      <c r="C37" s="2" t="s">
        <v>106</v>
      </c>
      <c r="D37" s="64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2024-10-31T13:03:30Z</cp:lastPrinted>
  <dcterms:created xsi:type="dcterms:W3CDTF">2024-10-21T13:00:30Z</dcterms:created>
  <dcterms:modified xsi:type="dcterms:W3CDTF">2025-04-15T09:40:23Z</dcterms:modified>
</cp:coreProperties>
</file>