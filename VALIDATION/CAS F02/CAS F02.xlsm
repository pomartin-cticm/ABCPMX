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2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  <definedName name="_xlnm.Print_Area" localSheetId="1">Echauffements!$C$1:$U$10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" i="2" l="1"/>
  <c r="U7" i="2"/>
  <c r="U8" i="2"/>
  <c r="U9" i="2"/>
  <c r="U10" i="2"/>
  <c r="U5" i="2"/>
  <c r="I7" i="3" l="1"/>
  <c r="T6" i="2" s="1"/>
  <c r="T8" i="2"/>
  <c r="I5" i="3"/>
  <c r="I6" i="3" s="1"/>
  <c r="S6" i="2" s="1"/>
  <c r="I8" i="3"/>
  <c r="P6" i="2" l="1"/>
  <c r="Q6" i="2" s="1"/>
  <c r="T5" i="2"/>
  <c r="T10" i="2"/>
  <c r="T9" i="2"/>
  <c r="T7" i="2"/>
  <c r="S9" i="2"/>
  <c r="S5" i="2"/>
  <c r="S10" i="2"/>
  <c r="S8" i="2"/>
  <c r="S7" i="2"/>
  <c r="O7" i="2"/>
  <c r="O8" i="2"/>
  <c r="O9" i="2"/>
  <c r="O10" i="2"/>
  <c r="L10" i="2" s="1"/>
  <c r="M10" i="2" s="1"/>
  <c r="O6" i="2"/>
  <c r="L6" i="2" s="1"/>
  <c r="M6" i="2" s="1"/>
  <c r="O5" i="2"/>
  <c r="L5" i="2" s="1"/>
  <c r="M5" i="2" s="1"/>
  <c r="L7" i="2"/>
  <c r="M7" i="2" s="1"/>
  <c r="L8" i="2"/>
  <c r="M8" i="2" s="1"/>
  <c r="L9" i="2"/>
  <c r="M9" i="2" s="1"/>
  <c r="D9" i="3"/>
  <c r="N6" i="2"/>
  <c r="N7" i="2"/>
  <c r="N8" i="2"/>
  <c r="N9" i="2"/>
  <c r="N10" i="2"/>
  <c r="N5" i="2"/>
  <c r="D37" i="3"/>
  <c r="E34" i="3"/>
  <c r="D34" i="3"/>
  <c r="H6" i="2"/>
  <c r="H7" i="2"/>
  <c r="H8" i="2"/>
  <c r="H9" i="2"/>
  <c r="H10" i="2"/>
  <c r="H5" i="2"/>
  <c r="E29" i="3"/>
  <c r="D29" i="3"/>
  <c r="D27" i="3"/>
  <c r="D28" i="3" s="1"/>
  <c r="D23" i="3"/>
  <c r="D10" i="3"/>
  <c r="D18" i="3"/>
  <c r="D17" i="3"/>
  <c r="P10" i="2" l="1"/>
  <c r="Q10" i="2" s="1"/>
  <c r="P7" i="2"/>
  <c r="Q7" i="2" s="1"/>
  <c r="P5" i="2"/>
  <c r="Q5" i="2" s="1"/>
  <c r="P9" i="2"/>
  <c r="Q9" i="2" s="1"/>
  <c r="P8" i="2"/>
  <c r="Q8" i="2" s="1"/>
  <c r="E27" i="3"/>
  <c r="E28" i="3" s="1"/>
  <c r="E21" i="1"/>
  <c r="D7" i="3" l="1"/>
  <c r="D6" i="3" l="1"/>
  <c r="D6" i="2"/>
  <c r="D7" i="2"/>
  <c r="D8" i="2"/>
  <c r="D9" i="2"/>
  <c r="D10" i="2"/>
  <c r="D5" i="2"/>
  <c r="B2818" i="1"/>
  <c r="C2818" i="1"/>
  <c r="D2818" i="1" s="1"/>
  <c r="B2819" i="1"/>
  <c r="C2819" i="1" s="1"/>
  <c r="D2819" i="1" s="1"/>
  <c r="B2801" i="1"/>
  <c r="C2801" i="1" s="1"/>
  <c r="D2801" i="1" s="1"/>
  <c r="B2783" i="1"/>
  <c r="C2783" i="1"/>
  <c r="D2783" i="1" s="1"/>
  <c r="B2784" i="1"/>
  <c r="C2784" i="1" s="1"/>
  <c r="D2784" i="1" s="1"/>
  <c r="B2690" i="1"/>
  <c r="C2690" i="1" s="1"/>
  <c r="D2690" i="1" s="1"/>
  <c r="B2410" i="1"/>
  <c r="C2410" i="1"/>
  <c r="D2410" i="1" s="1"/>
  <c r="B2411" i="1"/>
  <c r="C2411" i="1" s="1"/>
  <c r="D2411" i="1" s="1"/>
  <c r="B1236" i="1"/>
  <c r="C1236" i="1"/>
  <c r="D1236" i="1" s="1"/>
  <c r="B1237" i="1"/>
  <c r="C1237" i="1" s="1"/>
  <c r="D1237" i="1" s="1"/>
  <c r="B758" i="1"/>
  <c r="B759" i="1" s="1"/>
  <c r="C758" i="1"/>
  <c r="D758" i="1" s="1"/>
  <c r="M9" i="1"/>
  <c r="I10" i="1"/>
  <c r="M7" i="1" s="1"/>
  <c r="P9" i="1" s="1"/>
  <c r="M6" i="1"/>
  <c r="P8" i="1" s="1"/>
  <c r="P10" i="1" s="1"/>
  <c r="E20" i="1"/>
  <c r="H20" i="1" s="1"/>
  <c r="C20" i="1"/>
  <c r="D20" i="1" s="1"/>
  <c r="B21" i="1"/>
  <c r="B22" i="1" s="1"/>
  <c r="F20" i="1" l="1"/>
  <c r="I20" i="1" s="1"/>
  <c r="B2820" i="1"/>
  <c r="B2802" i="1"/>
  <c r="B2785" i="1"/>
  <c r="B2691" i="1"/>
  <c r="B2412" i="1"/>
  <c r="B1238" i="1"/>
  <c r="B760" i="1"/>
  <c r="C759" i="1"/>
  <c r="D759" i="1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M11" i="1" l="1"/>
  <c r="C2820" i="1"/>
  <c r="D2820" i="1" s="1"/>
  <c r="B2821" i="1"/>
  <c r="C2802" i="1"/>
  <c r="D2802" i="1" s="1"/>
  <c r="B2803" i="1"/>
  <c r="C2785" i="1"/>
  <c r="D2785" i="1" s="1"/>
  <c r="B2786" i="1"/>
  <c r="C2691" i="1"/>
  <c r="D2691" i="1" s="1"/>
  <c r="B2692" i="1"/>
  <c r="C2412" i="1"/>
  <c r="D2412" i="1" s="1"/>
  <c r="B2413" i="1"/>
  <c r="C1238" i="1"/>
  <c r="D1238" i="1" s="1"/>
  <c r="B1239" i="1"/>
  <c r="B761" i="1"/>
  <c r="C760" i="1"/>
  <c r="D760" i="1" s="1"/>
  <c r="B25" i="1"/>
  <c r="C25" i="1" s="1"/>
  <c r="D25" i="1" s="1"/>
  <c r="C2821" i="1" l="1"/>
  <c r="D2821" i="1" s="1"/>
  <c r="B2822" i="1"/>
  <c r="C2803" i="1"/>
  <c r="D2803" i="1" s="1"/>
  <c r="B2804" i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B762" i="1"/>
  <c r="C761" i="1"/>
  <c r="D761" i="1" s="1"/>
  <c r="G21" i="1"/>
  <c r="H21" i="1"/>
  <c r="B26" i="1"/>
  <c r="C26" i="1" s="1"/>
  <c r="D26" i="1" s="1"/>
  <c r="F21" i="1" l="1"/>
  <c r="I21" i="1" s="1"/>
  <c r="E22" i="1" s="1"/>
  <c r="C2822" i="1"/>
  <c r="D2822" i="1" s="1"/>
  <c r="B2823" i="1"/>
  <c r="C2804" i="1"/>
  <c r="D2804" i="1" s="1"/>
  <c r="B2805" i="1"/>
  <c r="C2787" i="1"/>
  <c r="D2787" i="1" s="1"/>
  <c r="B2788" i="1"/>
  <c r="C2693" i="1"/>
  <c r="D2693" i="1" s="1"/>
  <c r="B2694" i="1"/>
  <c r="C2414" i="1"/>
  <c r="D2414" i="1" s="1"/>
  <c r="B2415" i="1"/>
  <c r="C1240" i="1"/>
  <c r="D1240" i="1" s="1"/>
  <c r="B1241" i="1"/>
  <c r="C762" i="1"/>
  <c r="D762" i="1" s="1"/>
  <c r="B763" i="1"/>
  <c r="B27" i="1"/>
  <c r="C27" i="1" s="1"/>
  <c r="D27" i="1" s="1"/>
  <c r="G22" i="1" l="1"/>
  <c r="C2823" i="1"/>
  <c r="D2823" i="1" s="1"/>
  <c r="B2824" i="1"/>
  <c r="C2805" i="1"/>
  <c r="D2805" i="1" s="1"/>
  <c r="B2806" i="1"/>
  <c r="C2788" i="1"/>
  <c r="D2788" i="1" s="1"/>
  <c r="B2789" i="1"/>
  <c r="B2695" i="1"/>
  <c r="C2694" i="1"/>
  <c r="D2694" i="1" s="1"/>
  <c r="C2415" i="1"/>
  <c r="D2415" i="1" s="1"/>
  <c r="B2416" i="1"/>
  <c r="C1241" i="1"/>
  <c r="D1241" i="1" s="1"/>
  <c r="B1242" i="1"/>
  <c r="C763" i="1"/>
  <c r="D763" i="1" s="1"/>
  <c r="B764" i="1"/>
  <c r="B28" i="1"/>
  <c r="C28" i="1" s="1"/>
  <c r="D28" i="1" s="1"/>
  <c r="H22" i="1" l="1"/>
  <c r="C2824" i="1"/>
  <c r="D2824" i="1" s="1"/>
  <c r="B2825" i="1"/>
  <c r="B2807" i="1"/>
  <c r="C2806" i="1"/>
  <c r="D2806" i="1" s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B29" i="1"/>
  <c r="C29" i="1" s="1"/>
  <c r="D29" i="1" s="1"/>
  <c r="F22" i="1" l="1"/>
  <c r="I22" i="1" s="1"/>
  <c r="E23" i="1" s="1"/>
  <c r="C2825" i="1"/>
  <c r="D2825" i="1" s="1"/>
  <c r="B2826" i="1"/>
  <c r="C2807" i="1"/>
  <c r="D2807" i="1" s="1"/>
  <c r="B2808" i="1"/>
  <c r="C2790" i="1"/>
  <c r="D2790" i="1" s="1"/>
  <c r="B2791" i="1"/>
  <c r="B2697" i="1"/>
  <c r="C2696" i="1"/>
  <c r="D2696" i="1" s="1"/>
  <c r="C2417" i="1"/>
  <c r="D2417" i="1" s="1"/>
  <c r="B2418" i="1"/>
  <c r="C1243" i="1"/>
  <c r="D1243" i="1" s="1"/>
  <c r="B1244" i="1"/>
  <c r="B766" i="1"/>
  <c r="C765" i="1"/>
  <c r="D765" i="1" s="1"/>
  <c r="B30" i="1"/>
  <c r="C30" i="1" s="1"/>
  <c r="D30" i="1" s="1"/>
  <c r="H23" i="1" l="1"/>
  <c r="G23" i="1"/>
  <c r="C2826" i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C766" i="1"/>
  <c r="D766" i="1" s="1"/>
  <c r="B767" i="1"/>
  <c r="B31" i="1"/>
  <c r="C31" i="1" s="1"/>
  <c r="D31" i="1" s="1"/>
  <c r="F23" i="1" l="1"/>
  <c r="C2827" i="1"/>
  <c r="D2827" i="1" s="1"/>
  <c r="B2828" i="1"/>
  <c r="C2809" i="1"/>
  <c r="D2809" i="1" s="1"/>
  <c r="B2810" i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B32" i="1"/>
  <c r="C32" i="1" s="1"/>
  <c r="D32" i="1" s="1"/>
  <c r="I23" i="1" l="1"/>
  <c r="E24" i="1" s="1"/>
  <c r="C2828" i="1"/>
  <c r="D2828" i="1" s="1"/>
  <c r="B2829" i="1"/>
  <c r="C2810" i="1"/>
  <c r="D2810" i="1" s="1"/>
  <c r="B2811" i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B33" i="1"/>
  <c r="C33" i="1" s="1"/>
  <c r="D33" i="1" s="1"/>
  <c r="G24" i="1" l="1"/>
  <c r="H24" i="1"/>
  <c r="C2829" i="1"/>
  <c r="D2829" i="1" s="1"/>
  <c r="B2830" i="1"/>
  <c r="C2811" i="1"/>
  <c r="D2811" i="1" s="1"/>
  <c r="B2812" i="1"/>
  <c r="C2794" i="1"/>
  <c r="D2794" i="1" s="1"/>
  <c r="B2795" i="1"/>
  <c r="C2700" i="1"/>
  <c r="D2700" i="1" s="1"/>
  <c r="B2701" i="1"/>
  <c r="C2421" i="1"/>
  <c r="D2421" i="1" s="1"/>
  <c r="B2422" i="1"/>
  <c r="C1247" i="1"/>
  <c r="D1247" i="1" s="1"/>
  <c r="B1248" i="1"/>
  <c r="B770" i="1"/>
  <c r="C769" i="1"/>
  <c r="D769" i="1" s="1"/>
  <c r="B34" i="1"/>
  <c r="C34" i="1" s="1"/>
  <c r="D34" i="1" s="1"/>
  <c r="F24" i="1" l="1"/>
  <c r="I24" i="1" s="1"/>
  <c r="E25" i="1" s="1"/>
  <c r="C2830" i="1"/>
  <c r="D2830" i="1" s="1"/>
  <c r="B2831" i="1"/>
  <c r="B2813" i="1"/>
  <c r="C2812" i="1"/>
  <c r="D2812" i="1" s="1"/>
  <c r="C2795" i="1"/>
  <c r="D2795" i="1" s="1"/>
  <c r="B2796" i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B35" i="1"/>
  <c r="C35" i="1" s="1"/>
  <c r="D35" i="1" s="1"/>
  <c r="H25" i="1" l="1"/>
  <c r="G25" i="1"/>
  <c r="C2831" i="1"/>
  <c r="D2831" i="1" s="1"/>
  <c r="B2832" i="1"/>
  <c r="B2814" i="1"/>
  <c r="C2813" i="1"/>
  <c r="D2813" i="1" s="1"/>
  <c r="C2796" i="1"/>
  <c r="D2796" i="1" s="1"/>
  <c r="B2797" i="1"/>
  <c r="C2702" i="1"/>
  <c r="D2702" i="1" s="1"/>
  <c r="B2703" i="1"/>
  <c r="C2423" i="1"/>
  <c r="D2423" i="1" s="1"/>
  <c r="B2424" i="1"/>
  <c r="C1249" i="1"/>
  <c r="D1249" i="1" s="1"/>
  <c r="B1250" i="1"/>
  <c r="C771" i="1"/>
  <c r="D771" i="1" s="1"/>
  <c r="B772" i="1"/>
  <c r="B36" i="1"/>
  <c r="C36" i="1" s="1"/>
  <c r="D36" i="1" s="1"/>
  <c r="F25" i="1" l="1"/>
  <c r="I25" i="1" s="1"/>
  <c r="E26" i="1" s="1"/>
  <c r="C2832" i="1"/>
  <c r="D2832" i="1" s="1"/>
  <c r="B2833" i="1"/>
  <c r="B2815" i="1"/>
  <c r="C2814" i="1"/>
  <c r="D2814" i="1" s="1"/>
  <c r="C2797" i="1"/>
  <c r="D2797" i="1" s="1"/>
  <c r="B2798" i="1"/>
  <c r="B2704" i="1"/>
  <c r="C2703" i="1"/>
  <c r="D2703" i="1" s="1"/>
  <c r="C2424" i="1"/>
  <c r="D2424" i="1" s="1"/>
  <c r="B2425" i="1"/>
  <c r="C1250" i="1"/>
  <c r="D1250" i="1" s="1"/>
  <c r="B1251" i="1"/>
  <c r="C772" i="1"/>
  <c r="D772" i="1" s="1"/>
  <c r="B773" i="1"/>
  <c r="B37" i="1"/>
  <c r="C37" i="1" s="1"/>
  <c r="D37" i="1" s="1"/>
  <c r="G26" i="1" l="1"/>
  <c r="H26" i="1"/>
  <c r="C2833" i="1"/>
  <c r="D2833" i="1" s="1"/>
  <c r="B2834" i="1"/>
  <c r="B2816" i="1"/>
  <c r="C2815" i="1"/>
  <c r="D2815" i="1" s="1"/>
  <c r="B2799" i="1"/>
  <c r="C2798" i="1"/>
  <c r="D2798" i="1" s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B38" i="1"/>
  <c r="C38" i="1" s="1"/>
  <c r="D38" i="1" s="1"/>
  <c r="F26" i="1" l="1"/>
  <c r="I26" i="1" s="1"/>
  <c r="C2834" i="1"/>
  <c r="D2834" i="1" s="1"/>
  <c r="B2835" i="1"/>
  <c r="C2816" i="1"/>
  <c r="D2816" i="1" s="1"/>
  <c r="B2817" i="1"/>
  <c r="C2817" i="1" s="1"/>
  <c r="D2817" i="1" s="1"/>
  <c r="B2800" i="1"/>
  <c r="C2800" i="1" s="1"/>
  <c r="D2800" i="1" s="1"/>
  <c r="C2799" i="1"/>
  <c r="D2799" i="1" s="1"/>
  <c r="C2705" i="1"/>
  <c r="D2705" i="1" s="1"/>
  <c r="B2706" i="1"/>
  <c r="C2426" i="1"/>
  <c r="D2426" i="1" s="1"/>
  <c r="B2427" i="1"/>
  <c r="C1252" i="1"/>
  <c r="D1252" i="1" s="1"/>
  <c r="B1253" i="1"/>
  <c r="B775" i="1"/>
  <c r="C774" i="1"/>
  <c r="D774" i="1" s="1"/>
  <c r="B39" i="1"/>
  <c r="C39" i="1" s="1"/>
  <c r="D39" i="1" s="1"/>
  <c r="E27" i="1" l="1"/>
  <c r="G27" i="1" s="1"/>
  <c r="C2835" i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B776" i="1"/>
  <c r="C775" i="1"/>
  <c r="D775" i="1" s="1"/>
  <c r="B40" i="1"/>
  <c r="C40" i="1" s="1"/>
  <c r="D40" i="1" s="1"/>
  <c r="H27" i="1" l="1"/>
  <c r="F27" i="1" s="1"/>
  <c r="I27" i="1" s="1"/>
  <c r="E28" i="1" s="1"/>
  <c r="C2836" i="1"/>
  <c r="D2836" i="1" s="1"/>
  <c r="B2837" i="1"/>
  <c r="C2707" i="1"/>
  <c r="D2707" i="1" s="1"/>
  <c r="B2708" i="1"/>
  <c r="C2428" i="1"/>
  <c r="D2428" i="1" s="1"/>
  <c r="B2429" i="1"/>
  <c r="C1254" i="1"/>
  <c r="D1254" i="1" s="1"/>
  <c r="B1255" i="1"/>
  <c r="C776" i="1"/>
  <c r="D776" i="1" s="1"/>
  <c r="B777" i="1"/>
  <c r="B41" i="1"/>
  <c r="C41" i="1" s="1"/>
  <c r="D41" i="1" s="1"/>
  <c r="H28" i="1" l="1"/>
  <c r="G28" i="1"/>
  <c r="C2837" i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B42" i="1"/>
  <c r="F28" i="1" l="1"/>
  <c r="I28" i="1" s="1"/>
  <c r="E29" i="1" s="1"/>
  <c r="C2838" i="1"/>
  <c r="D2838" i="1" s="1"/>
  <c r="B2839" i="1"/>
  <c r="C2709" i="1"/>
  <c r="D2709" i="1" s="1"/>
  <c r="B2710" i="1"/>
  <c r="C2430" i="1"/>
  <c r="D2430" i="1" s="1"/>
  <c r="B2431" i="1"/>
  <c r="C1256" i="1"/>
  <c r="D1256" i="1" s="1"/>
  <c r="B1257" i="1"/>
  <c r="C778" i="1"/>
  <c r="D778" i="1" s="1"/>
  <c r="B779" i="1"/>
  <c r="C42" i="1"/>
  <c r="D42" i="1" s="1"/>
  <c r="B43" i="1"/>
  <c r="C2839" i="1" l="1"/>
  <c r="D2839" i="1" s="1"/>
  <c r="B2840" i="1"/>
  <c r="B2711" i="1"/>
  <c r="C2710" i="1"/>
  <c r="D2710" i="1" s="1"/>
  <c r="C2431" i="1"/>
  <c r="D2431" i="1" s="1"/>
  <c r="B2432" i="1"/>
  <c r="C1257" i="1"/>
  <c r="D1257" i="1" s="1"/>
  <c r="B1258" i="1"/>
  <c r="C779" i="1"/>
  <c r="D779" i="1" s="1"/>
  <c r="B780" i="1"/>
  <c r="C43" i="1"/>
  <c r="D43" i="1" s="1"/>
  <c r="B44" i="1"/>
  <c r="G29" i="1" l="1"/>
  <c r="H29" i="1"/>
  <c r="C2840" i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C780" i="1"/>
  <c r="D780" i="1" s="1"/>
  <c r="B781" i="1"/>
  <c r="C44" i="1"/>
  <c r="D44" i="1" s="1"/>
  <c r="B45" i="1"/>
  <c r="F29" i="1" l="1"/>
  <c r="I29" i="1" s="1"/>
  <c r="E30" i="1" s="1"/>
  <c r="C2841" i="1"/>
  <c r="D2841" i="1" s="1"/>
  <c r="B2842" i="1"/>
  <c r="B2713" i="1"/>
  <c r="C2712" i="1"/>
  <c r="D2712" i="1" s="1"/>
  <c r="C2433" i="1"/>
  <c r="D2433" i="1" s="1"/>
  <c r="B2434" i="1"/>
  <c r="C1259" i="1"/>
  <c r="D1259" i="1" s="1"/>
  <c r="B1260" i="1"/>
  <c r="B782" i="1"/>
  <c r="C781" i="1"/>
  <c r="D781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B783" i="1"/>
  <c r="C782" i="1"/>
  <c r="D782" i="1" s="1"/>
  <c r="C46" i="1"/>
  <c r="D46" i="1" s="1"/>
  <c r="B47" i="1"/>
  <c r="H30" i="1" l="1"/>
  <c r="G30" i="1"/>
  <c r="C2843" i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C47" i="1"/>
  <c r="D47" i="1" s="1"/>
  <c r="B48" i="1"/>
  <c r="F30" i="1" l="1"/>
  <c r="C2844" i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C48" i="1"/>
  <c r="D48" i="1" s="1"/>
  <c r="B49" i="1"/>
  <c r="I30" i="1" l="1"/>
  <c r="E31" i="1" s="1"/>
  <c r="C2845" i="1"/>
  <c r="D2845" i="1" s="1"/>
  <c r="B2846" i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B50" i="1"/>
  <c r="C49" i="1"/>
  <c r="D49" i="1" s="1"/>
  <c r="G31" i="1" l="1"/>
  <c r="H31" i="1"/>
  <c r="F31" i="1" s="1"/>
  <c r="C2846" i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B51" i="1"/>
  <c r="C50" i="1"/>
  <c r="D50" i="1" s="1"/>
  <c r="I31" i="1" l="1"/>
  <c r="E32" i="1" s="1"/>
  <c r="C2847" i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C51" i="1"/>
  <c r="D51" i="1" s="1"/>
  <c r="B52" i="1"/>
  <c r="H32" i="1" l="1"/>
  <c r="G32" i="1"/>
  <c r="F32" i="1"/>
  <c r="B2849" i="1"/>
  <c r="C2848" i="1"/>
  <c r="D2848" i="1" s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B53" i="1"/>
  <c r="C52" i="1"/>
  <c r="D52" i="1" s="1"/>
  <c r="I32" i="1" l="1"/>
  <c r="E33" i="1" s="1"/>
  <c r="C2849" i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B790" i="1"/>
  <c r="C789" i="1"/>
  <c r="D789" i="1" s="1"/>
  <c r="B54" i="1"/>
  <c r="C53" i="1"/>
  <c r="D53" i="1" s="1"/>
  <c r="H33" i="1" l="1"/>
  <c r="F33" i="1" s="1"/>
  <c r="G33" i="1"/>
  <c r="C2850" i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C54" i="1"/>
  <c r="D54" i="1" s="1"/>
  <c r="B55" i="1"/>
  <c r="I33" i="1" l="1"/>
  <c r="E34" i="1" s="1"/>
  <c r="C2851" i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C55" i="1"/>
  <c r="D55" i="1" s="1"/>
  <c r="B56" i="1"/>
  <c r="H34" i="1" l="1"/>
  <c r="G34" i="1"/>
  <c r="C2852" i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C56" i="1"/>
  <c r="D56" i="1" s="1"/>
  <c r="B57" i="1"/>
  <c r="F34" i="1" l="1"/>
  <c r="C2853" i="1"/>
  <c r="D2853" i="1" s="1"/>
  <c r="B2854" i="1"/>
  <c r="C2724" i="1"/>
  <c r="D2724" i="1" s="1"/>
  <c r="B2725" i="1"/>
  <c r="C2445" i="1"/>
  <c r="D2445" i="1" s="1"/>
  <c r="B2446" i="1"/>
  <c r="C1271" i="1"/>
  <c r="D1271" i="1" s="1"/>
  <c r="B1272" i="1"/>
  <c r="C793" i="1"/>
  <c r="D793" i="1" s="1"/>
  <c r="B794" i="1"/>
  <c r="C57" i="1"/>
  <c r="D57" i="1" s="1"/>
  <c r="B58" i="1"/>
  <c r="I34" i="1" l="1"/>
  <c r="E35" i="1" s="1"/>
  <c r="C2854" i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B59" i="1"/>
  <c r="C58" i="1"/>
  <c r="D58" i="1" s="1"/>
  <c r="H35" i="1" l="1"/>
  <c r="F35" i="1" s="1"/>
  <c r="G35" i="1"/>
  <c r="C2855" i="1"/>
  <c r="D2855" i="1" s="1"/>
  <c r="B2856" i="1"/>
  <c r="C2726" i="1"/>
  <c r="D2726" i="1" s="1"/>
  <c r="B2727" i="1"/>
  <c r="C2447" i="1"/>
  <c r="D2447" i="1" s="1"/>
  <c r="B2448" i="1"/>
  <c r="C1273" i="1"/>
  <c r="D1273" i="1" s="1"/>
  <c r="B1274" i="1"/>
  <c r="C795" i="1"/>
  <c r="D795" i="1" s="1"/>
  <c r="B796" i="1"/>
  <c r="C59" i="1"/>
  <c r="D59" i="1" s="1"/>
  <c r="B60" i="1"/>
  <c r="I35" i="1" l="1"/>
  <c r="E36" i="1" s="1"/>
  <c r="C2856" i="1"/>
  <c r="D2856" i="1" s="1"/>
  <c r="B2857" i="1"/>
  <c r="B2728" i="1"/>
  <c r="C2727" i="1"/>
  <c r="D2727" i="1" s="1"/>
  <c r="C2448" i="1"/>
  <c r="D2448" i="1" s="1"/>
  <c r="B2449" i="1"/>
  <c r="C1274" i="1"/>
  <c r="D1274" i="1" s="1"/>
  <c r="B1275" i="1"/>
  <c r="C796" i="1"/>
  <c r="D796" i="1" s="1"/>
  <c r="B797" i="1"/>
  <c r="C60" i="1"/>
  <c r="D60" i="1" s="1"/>
  <c r="B61" i="1"/>
  <c r="H36" i="1" l="1"/>
  <c r="G36" i="1"/>
  <c r="C2857" i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C797" i="1"/>
  <c r="D797" i="1" s="1"/>
  <c r="B798" i="1"/>
  <c r="C61" i="1"/>
  <c r="D61" i="1" s="1"/>
  <c r="B62" i="1"/>
  <c r="F36" i="1" l="1"/>
  <c r="I36" i="1" s="1"/>
  <c r="E37" i="1" s="1"/>
  <c r="B2859" i="1"/>
  <c r="C2858" i="1"/>
  <c r="D2858" i="1" s="1"/>
  <c r="C2729" i="1"/>
  <c r="D2729" i="1" s="1"/>
  <c r="B2730" i="1"/>
  <c r="C2450" i="1"/>
  <c r="D2450" i="1" s="1"/>
  <c r="B2451" i="1"/>
  <c r="B1277" i="1"/>
  <c r="C1276" i="1"/>
  <c r="D1276" i="1" s="1"/>
  <c r="B799" i="1"/>
  <c r="C798" i="1"/>
  <c r="D79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C63" i="1"/>
  <c r="D63" i="1" s="1"/>
  <c r="B64" i="1"/>
  <c r="H37" i="1" l="1"/>
  <c r="G37" i="1"/>
  <c r="C2860" i="1"/>
  <c r="D2860" i="1" s="1"/>
  <c r="B2861" i="1"/>
  <c r="C2731" i="1"/>
  <c r="D2731" i="1" s="1"/>
  <c r="B2732" i="1"/>
  <c r="C2452" i="1"/>
  <c r="D2452" i="1" s="1"/>
  <c r="B2453" i="1"/>
  <c r="C1278" i="1"/>
  <c r="D1278" i="1" s="1"/>
  <c r="B1279" i="1"/>
  <c r="B801" i="1"/>
  <c r="C800" i="1"/>
  <c r="D800" i="1" s="1"/>
  <c r="C64" i="1"/>
  <c r="D64" i="1" s="1"/>
  <c r="B65" i="1"/>
  <c r="F37" i="1" l="1"/>
  <c r="I37" i="1" s="1"/>
  <c r="E38" i="1" s="1"/>
  <c r="C2861" i="1"/>
  <c r="D2861" i="1" s="1"/>
  <c r="B2862" i="1"/>
  <c r="C2732" i="1"/>
  <c r="D2732" i="1" s="1"/>
  <c r="B2733" i="1"/>
  <c r="C2453" i="1"/>
  <c r="D2453" i="1" s="1"/>
  <c r="B2454" i="1"/>
  <c r="C1279" i="1"/>
  <c r="D1279" i="1" s="1"/>
  <c r="B1280" i="1"/>
  <c r="B802" i="1"/>
  <c r="C801" i="1"/>
  <c r="D801" i="1" s="1"/>
  <c r="C65" i="1"/>
  <c r="D65" i="1" s="1"/>
  <c r="B66" i="1"/>
  <c r="C2862" i="1" l="1"/>
  <c r="D2862" i="1" s="1"/>
  <c r="B2863" i="1"/>
  <c r="C2733" i="1"/>
  <c r="D2733" i="1" s="1"/>
  <c r="B2734" i="1"/>
  <c r="C2454" i="1"/>
  <c r="D2454" i="1" s="1"/>
  <c r="B2455" i="1"/>
  <c r="C1280" i="1"/>
  <c r="D1280" i="1" s="1"/>
  <c r="B1281" i="1"/>
  <c r="B803" i="1"/>
  <c r="C802" i="1"/>
  <c r="D802" i="1" s="1"/>
  <c r="C66" i="1"/>
  <c r="D66" i="1" s="1"/>
  <c r="B67" i="1"/>
  <c r="H38" i="1" l="1"/>
  <c r="G38" i="1"/>
  <c r="C2863" i="1"/>
  <c r="D2863" i="1" s="1"/>
  <c r="B2864" i="1"/>
  <c r="B2735" i="1"/>
  <c r="C2734" i="1"/>
  <c r="D2734" i="1" s="1"/>
  <c r="C2455" i="1"/>
  <c r="D2455" i="1" s="1"/>
  <c r="B2456" i="1"/>
  <c r="C1281" i="1"/>
  <c r="D1281" i="1" s="1"/>
  <c r="B1282" i="1"/>
  <c r="C803" i="1"/>
  <c r="D803" i="1" s="1"/>
  <c r="B804" i="1"/>
  <c r="C67" i="1"/>
  <c r="D67" i="1" s="1"/>
  <c r="B68" i="1"/>
  <c r="F38" i="1" l="1"/>
  <c r="C2864" i="1"/>
  <c r="D2864" i="1" s="1"/>
  <c r="B2865" i="1"/>
  <c r="C2735" i="1"/>
  <c r="D2735" i="1" s="1"/>
  <c r="B2736" i="1"/>
  <c r="B2457" i="1"/>
  <c r="C2456" i="1"/>
  <c r="D2456" i="1" s="1"/>
  <c r="C1282" i="1"/>
  <c r="D1282" i="1" s="1"/>
  <c r="B1283" i="1"/>
  <c r="C804" i="1"/>
  <c r="D804" i="1" s="1"/>
  <c r="B805" i="1"/>
  <c r="C68" i="1"/>
  <c r="D68" i="1" s="1"/>
  <c r="B69" i="1"/>
  <c r="I38" i="1" l="1"/>
  <c r="E39" i="1" s="1"/>
  <c r="C2865" i="1"/>
  <c r="D2865" i="1" s="1"/>
  <c r="B2866" i="1"/>
  <c r="B2737" i="1"/>
  <c r="C2736" i="1"/>
  <c r="D2736" i="1" s="1"/>
  <c r="C2457" i="1"/>
  <c r="D2457" i="1" s="1"/>
  <c r="B2458" i="1"/>
  <c r="C1283" i="1"/>
  <c r="D1283" i="1" s="1"/>
  <c r="B1284" i="1"/>
  <c r="C805" i="1"/>
  <c r="D805" i="1" s="1"/>
  <c r="B806" i="1"/>
  <c r="C69" i="1"/>
  <c r="D69" i="1" s="1"/>
  <c r="B70" i="1"/>
  <c r="H39" i="1" l="1"/>
  <c r="F39" i="1" s="1"/>
  <c r="G39" i="1"/>
  <c r="C2866" i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C70" i="1"/>
  <c r="D70" i="1" s="1"/>
  <c r="B71" i="1"/>
  <c r="I39" i="1" l="1"/>
  <c r="E40" i="1" s="1"/>
  <c r="C2867" i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B808" i="1"/>
  <c r="C807" i="1"/>
  <c r="D807" i="1" s="1"/>
  <c r="B72" i="1"/>
  <c r="C71" i="1"/>
  <c r="D71" i="1" s="1"/>
  <c r="H40" i="1" l="1"/>
  <c r="F40" i="1" s="1"/>
  <c r="G40" i="1"/>
  <c r="B2869" i="1"/>
  <c r="C2868" i="1"/>
  <c r="D2868" i="1" s="1"/>
  <c r="C2739" i="1"/>
  <c r="D2739" i="1" s="1"/>
  <c r="B2740" i="1"/>
  <c r="C2460" i="1"/>
  <c r="D2460" i="1" s="1"/>
  <c r="B2461" i="1"/>
  <c r="B1287" i="1"/>
  <c r="C1286" i="1"/>
  <c r="D1286" i="1" s="1"/>
  <c r="B809" i="1"/>
  <c r="C808" i="1"/>
  <c r="D808" i="1" s="1"/>
  <c r="C72" i="1"/>
  <c r="D72" i="1" s="1"/>
  <c r="B73" i="1"/>
  <c r="I40" i="1" l="1"/>
  <c r="E41" i="1" s="1"/>
  <c r="C2869" i="1"/>
  <c r="D2869" i="1" s="1"/>
  <c r="B2870" i="1"/>
  <c r="C2740" i="1"/>
  <c r="D2740" i="1" s="1"/>
  <c r="B2741" i="1"/>
  <c r="C2461" i="1"/>
  <c r="D2461" i="1" s="1"/>
  <c r="B2462" i="1"/>
  <c r="C1287" i="1"/>
  <c r="D1287" i="1" s="1"/>
  <c r="B1288" i="1"/>
  <c r="B810" i="1"/>
  <c r="C809" i="1"/>
  <c r="D809" i="1" s="1"/>
  <c r="C73" i="1"/>
  <c r="D73" i="1" s="1"/>
  <c r="B74" i="1"/>
  <c r="H41" i="1" l="1"/>
  <c r="F41" i="1" s="1"/>
  <c r="G41" i="1"/>
  <c r="C2870" i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C810" i="1"/>
  <c r="D810" i="1" s="1"/>
  <c r="B811" i="1"/>
  <c r="C74" i="1"/>
  <c r="D74" i="1" s="1"/>
  <c r="B75" i="1"/>
  <c r="I41" i="1" l="1"/>
  <c r="E42" i="1" s="1"/>
  <c r="C2871" i="1"/>
  <c r="D2871" i="1" s="1"/>
  <c r="B2872" i="1"/>
  <c r="C2742" i="1"/>
  <c r="D2742" i="1" s="1"/>
  <c r="B2743" i="1"/>
  <c r="C2463" i="1"/>
  <c r="D2463" i="1" s="1"/>
  <c r="B2464" i="1"/>
  <c r="C1289" i="1"/>
  <c r="D1289" i="1" s="1"/>
  <c r="B1290" i="1"/>
  <c r="C811" i="1"/>
  <c r="D811" i="1" s="1"/>
  <c r="B812" i="1"/>
  <c r="C75" i="1"/>
  <c r="D75" i="1" s="1"/>
  <c r="B76" i="1"/>
  <c r="H42" i="1" l="1"/>
  <c r="G42" i="1"/>
  <c r="F42" i="1"/>
  <c r="B2873" i="1"/>
  <c r="C2872" i="1"/>
  <c r="D2872" i="1" s="1"/>
  <c r="B2744" i="1"/>
  <c r="C2743" i="1"/>
  <c r="D2743" i="1" s="1"/>
  <c r="C2464" i="1"/>
  <c r="D2464" i="1" s="1"/>
  <c r="B2465" i="1"/>
  <c r="C1290" i="1"/>
  <c r="D1290" i="1" s="1"/>
  <c r="B1291" i="1"/>
  <c r="C812" i="1"/>
  <c r="D812" i="1" s="1"/>
  <c r="B813" i="1"/>
  <c r="C76" i="1"/>
  <c r="D76" i="1" s="1"/>
  <c r="B77" i="1"/>
  <c r="I42" i="1" l="1"/>
  <c r="E43" i="1" s="1"/>
  <c r="C2873" i="1"/>
  <c r="D2873" i="1" s="1"/>
  <c r="B2874" i="1"/>
  <c r="C2744" i="1"/>
  <c r="D2744" i="1" s="1"/>
  <c r="B2745" i="1"/>
  <c r="C2465" i="1"/>
  <c r="D2465" i="1" s="1"/>
  <c r="B2466" i="1"/>
  <c r="C1291" i="1"/>
  <c r="D1291" i="1" s="1"/>
  <c r="B1292" i="1"/>
  <c r="B814" i="1"/>
  <c r="C813" i="1"/>
  <c r="D813" i="1" s="1"/>
  <c r="C77" i="1"/>
  <c r="D77" i="1" s="1"/>
  <c r="B78" i="1"/>
  <c r="G43" i="1" l="1"/>
  <c r="H43" i="1"/>
  <c r="C2874" i="1"/>
  <c r="D2874" i="1" s="1"/>
  <c r="B2875" i="1"/>
  <c r="C2745" i="1"/>
  <c r="D2745" i="1" s="1"/>
  <c r="B2746" i="1"/>
  <c r="C2466" i="1"/>
  <c r="D2466" i="1" s="1"/>
  <c r="B2467" i="1"/>
  <c r="B1293" i="1"/>
  <c r="C1292" i="1"/>
  <c r="D1292" i="1" s="1"/>
  <c r="B815" i="1"/>
  <c r="C814" i="1"/>
  <c r="D814" i="1" s="1"/>
  <c r="C78" i="1"/>
  <c r="D78" i="1" s="1"/>
  <c r="B79" i="1"/>
  <c r="F43" i="1" l="1"/>
  <c r="I43" i="1" s="1"/>
  <c r="E44" i="1" s="1"/>
  <c r="C2875" i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B816" i="1"/>
  <c r="C815" i="1"/>
  <c r="D815" i="1" s="1"/>
  <c r="B80" i="1"/>
  <c r="C79" i="1"/>
  <c r="D79" i="1" s="1"/>
  <c r="C2876" i="1" l="1"/>
  <c r="D2876" i="1" s="1"/>
  <c r="B2877" i="1"/>
  <c r="C2747" i="1"/>
  <c r="D2747" i="1" s="1"/>
  <c r="B2748" i="1"/>
  <c r="B2469" i="1"/>
  <c r="C2468" i="1"/>
  <c r="D2468" i="1" s="1"/>
  <c r="B1295" i="1"/>
  <c r="C1294" i="1"/>
  <c r="D1294" i="1" s="1"/>
  <c r="C816" i="1"/>
  <c r="D816" i="1" s="1"/>
  <c r="B817" i="1"/>
  <c r="C80" i="1"/>
  <c r="D80" i="1" s="1"/>
  <c r="B81" i="1"/>
  <c r="H44" i="1" l="1"/>
  <c r="G44" i="1"/>
  <c r="C2877" i="1"/>
  <c r="D2877" i="1" s="1"/>
  <c r="B2878" i="1"/>
  <c r="C2748" i="1"/>
  <c r="D2748" i="1" s="1"/>
  <c r="B2749" i="1"/>
  <c r="C2469" i="1"/>
  <c r="D2469" i="1" s="1"/>
  <c r="B2470" i="1"/>
  <c r="C1295" i="1"/>
  <c r="D1295" i="1" s="1"/>
  <c r="B1296" i="1"/>
  <c r="C817" i="1"/>
  <c r="D817" i="1" s="1"/>
  <c r="B818" i="1"/>
  <c r="C81" i="1"/>
  <c r="D81" i="1" s="1"/>
  <c r="B82" i="1"/>
  <c r="F44" i="1" l="1"/>
  <c r="C2878" i="1"/>
  <c r="D2878" i="1" s="1"/>
  <c r="B2879" i="1"/>
  <c r="C2749" i="1"/>
  <c r="D2749" i="1" s="1"/>
  <c r="B2750" i="1"/>
  <c r="C2470" i="1"/>
  <c r="D2470" i="1" s="1"/>
  <c r="B2471" i="1"/>
  <c r="C1296" i="1"/>
  <c r="D1296" i="1" s="1"/>
  <c r="B1297" i="1"/>
  <c r="C818" i="1"/>
  <c r="D818" i="1" s="1"/>
  <c r="B819" i="1"/>
  <c r="C82" i="1"/>
  <c r="D82" i="1" s="1"/>
  <c r="B83" i="1"/>
  <c r="I44" i="1" l="1"/>
  <c r="E45" i="1" s="1"/>
  <c r="C2879" i="1"/>
  <c r="D2879" i="1" s="1"/>
  <c r="B2880" i="1"/>
  <c r="C2750" i="1"/>
  <c r="D2750" i="1" s="1"/>
  <c r="B2751" i="1"/>
  <c r="C2471" i="1"/>
  <c r="D2471" i="1" s="1"/>
  <c r="B2472" i="1"/>
  <c r="C1297" i="1"/>
  <c r="D1297" i="1" s="1"/>
  <c r="B1298" i="1"/>
  <c r="C819" i="1"/>
  <c r="D819" i="1" s="1"/>
  <c r="B820" i="1"/>
  <c r="B84" i="1"/>
  <c r="C83" i="1"/>
  <c r="D83" i="1" s="1"/>
  <c r="H45" i="1" l="1"/>
  <c r="F45" i="1" s="1"/>
  <c r="G45" i="1"/>
  <c r="C2880" i="1"/>
  <c r="D2880" i="1" s="1"/>
  <c r="B2881" i="1"/>
  <c r="C2751" i="1"/>
  <c r="D2751" i="1" s="1"/>
  <c r="B2752" i="1"/>
  <c r="B2473" i="1"/>
  <c r="C2472" i="1"/>
  <c r="D2472" i="1" s="1"/>
  <c r="B1299" i="1"/>
  <c r="C1298" i="1"/>
  <c r="D1298" i="1" s="1"/>
  <c r="C820" i="1"/>
  <c r="D820" i="1" s="1"/>
  <c r="B821" i="1"/>
  <c r="C84" i="1"/>
  <c r="D84" i="1" s="1"/>
  <c r="B85" i="1"/>
  <c r="I45" i="1" l="1"/>
  <c r="E46" i="1" s="1"/>
  <c r="B2882" i="1"/>
  <c r="C2881" i="1"/>
  <c r="D2881" i="1" s="1"/>
  <c r="C2752" i="1"/>
  <c r="D2752" i="1" s="1"/>
  <c r="B2753" i="1"/>
  <c r="B2474" i="1"/>
  <c r="C2473" i="1"/>
  <c r="D2473" i="1" s="1"/>
  <c r="B1300" i="1"/>
  <c r="C1299" i="1"/>
  <c r="D1299" i="1" s="1"/>
  <c r="B822" i="1"/>
  <c r="C821" i="1"/>
  <c r="D821" i="1" s="1"/>
  <c r="C85" i="1"/>
  <c r="D85" i="1" s="1"/>
  <c r="B86" i="1"/>
  <c r="H46" i="1" l="1"/>
  <c r="F46" i="1" s="1"/>
  <c r="G46" i="1"/>
  <c r="B2883" i="1"/>
  <c r="C2882" i="1"/>
  <c r="D2882" i="1" s="1"/>
  <c r="C2753" i="1"/>
  <c r="D2753" i="1" s="1"/>
  <c r="B2754" i="1"/>
  <c r="B2475" i="1"/>
  <c r="C2474" i="1"/>
  <c r="D2474" i="1" s="1"/>
  <c r="B1301" i="1"/>
  <c r="C1300" i="1"/>
  <c r="D1300" i="1" s="1"/>
  <c r="C822" i="1"/>
  <c r="D822" i="1" s="1"/>
  <c r="B823" i="1"/>
  <c r="C86" i="1"/>
  <c r="D86" i="1" s="1"/>
  <c r="B87" i="1"/>
  <c r="I46" i="1" l="1"/>
  <c r="E47" i="1" s="1"/>
  <c r="C2883" i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C823" i="1"/>
  <c r="D823" i="1" s="1"/>
  <c r="B824" i="1"/>
  <c r="C87" i="1"/>
  <c r="D87" i="1" s="1"/>
  <c r="B88" i="1"/>
  <c r="H47" i="1" l="1"/>
  <c r="F47" i="1" s="1"/>
  <c r="G47" i="1"/>
  <c r="C2884" i="1"/>
  <c r="D2884" i="1" s="1"/>
  <c r="B2885" i="1"/>
  <c r="C2755" i="1"/>
  <c r="D2755" i="1" s="1"/>
  <c r="B2756" i="1"/>
  <c r="B2477" i="1"/>
  <c r="C2476" i="1"/>
  <c r="D2476" i="1" s="1"/>
  <c r="C1302" i="1"/>
  <c r="D1302" i="1" s="1"/>
  <c r="B1303" i="1"/>
  <c r="C824" i="1"/>
  <c r="D824" i="1" s="1"/>
  <c r="B825" i="1"/>
  <c r="C88" i="1"/>
  <c r="D88" i="1" s="1"/>
  <c r="B89" i="1"/>
  <c r="I47" i="1" l="1"/>
  <c r="E48" i="1" s="1"/>
  <c r="C2885" i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C89" i="1"/>
  <c r="D89" i="1" s="1"/>
  <c r="B90" i="1"/>
  <c r="G48" i="1" l="1"/>
  <c r="H48" i="1"/>
  <c r="C2886" i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C90" i="1"/>
  <c r="D90" i="1" s="1"/>
  <c r="B91" i="1"/>
  <c r="F48" i="1" l="1"/>
  <c r="C2887" i="1"/>
  <c r="D2887" i="1" s="1"/>
  <c r="B2888" i="1"/>
  <c r="B2759" i="1"/>
  <c r="C2758" i="1"/>
  <c r="D2758" i="1" s="1"/>
  <c r="B2480" i="1"/>
  <c r="C2479" i="1"/>
  <c r="D2479" i="1" s="1"/>
  <c r="C1305" i="1"/>
  <c r="D1305" i="1" s="1"/>
  <c r="B1306" i="1"/>
  <c r="C827" i="1"/>
  <c r="D827" i="1" s="1"/>
  <c r="B828" i="1"/>
  <c r="B92" i="1"/>
  <c r="C91" i="1"/>
  <c r="D91" i="1" s="1"/>
  <c r="I48" i="1" l="1"/>
  <c r="E49" i="1" s="1"/>
  <c r="C2888" i="1"/>
  <c r="D2888" i="1" s="1"/>
  <c r="B2889" i="1"/>
  <c r="C2759" i="1"/>
  <c r="D2759" i="1" s="1"/>
  <c r="B2760" i="1"/>
  <c r="B2481" i="1"/>
  <c r="C2480" i="1"/>
  <c r="D2480" i="1" s="1"/>
  <c r="C1306" i="1"/>
  <c r="D1306" i="1" s="1"/>
  <c r="B1307" i="1"/>
  <c r="C828" i="1"/>
  <c r="D828" i="1" s="1"/>
  <c r="B829" i="1"/>
  <c r="C92" i="1"/>
  <c r="D92" i="1" s="1"/>
  <c r="B93" i="1"/>
  <c r="H49" i="1" l="1"/>
  <c r="G49" i="1"/>
  <c r="F49" i="1"/>
  <c r="C2889" i="1"/>
  <c r="D2889" i="1" s="1"/>
  <c r="B2890" i="1"/>
  <c r="C2760" i="1"/>
  <c r="D2760" i="1" s="1"/>
  <c r="B2761" i="1"/>
  <c r="C2481" i="1"/>
  <c r="D2481" i="1" s="1"/>
  <c r="B2482" i="1"/>
  <c r="C1307" i="1"/>
  <c r="D1307" i="1" s="1"/>
  <c r="B1308" i="1"/>
  <c r="B830" i="1"/>
  <c r="C829" i="1"/>
  <c r="D829" i="1" s="1"/>
  <c r="B94" i="1"/>
  <c r="C93" i="1"/>
  <c r="D93" i="1" s="1"/>
  <c r="I49" i="1" l="1"/>
  <c r="E50" i="1" s="1"/>
  <c r="C2890" i="1"/>
  <c r="D2890" i="1" s="1"/>
  <c r="B2891" i="1"/>
  <c r="C2761" i="1"/>
  <c r="D2761" i="1" s="1"/>
  <c r="B2762" i="1"/>
  <c r="C2482" i="1"/>
  <c r="D2482" i="1" s="1"/>
  <c r="B2483" i="1"/>
  <c r="B1309" i="1"/>
  <c r="C1308" i="1"/>
  <c r="D1308" i="1" s="1"/>
  <c r="B831" i="1"/>
  <c r="C830" i="1"/>
  <c r="D830" i="1" s="1"/>
  <c r="C94" i="1"/>
  <c r="D94" i="1" s="1"/>
  <c r="B95" i="1"/>
  <c r="G50" i="1" l="1"/>
  <c r="H50" i="1"/>
  <c r="F50" i="1" s="1"/>
  <c r="C2891" i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B832" i="1"/>
  <c r="C831" i="1"/>
  <c r="D831" i="1" s="1"/>
  <c r="B96" i="1"/>
  <c r="C95" i="1"/>
  <c r="D95" i="1" s="1"/>
  <c r="I50" i="1" l="1"/>
  <c r="E51" i="1" s="1"/>
  <c r="B2893" i="1"/>
  <c r="C2892" i="1"/>
  <c r="D2892" i="1" s="1"/>
  <c r="C2763" i="1"/>
  <c r="D2763" i="1" s="1"/>
  <c r="B2764" i="1"/>
  <c r="B2485" i="1"/>
  <c r="C2484" i="1"/>
  <c r="D2484" i="1" s="1"/>
  <c r="C1310" i="1"/>
  <c r="D1310" i="1" s="1"/>
  <c r="B1311" i="1"/>
  <c r="B833" i="1"/>
  <c r="C832" i="1"/>
  <c r="D832" i="1" s="1"/>
  <c r="C96" i="1"/>
  <c r="D96" i="1" s="1"/>
  <c r="B97" i="1"/>
  <c r="H51" i="1" l="1"/>
  <c r="F51" i="1" s="1"/>
  <c r="G51" i="1"/>
  <c r="C2893" i="1"/>
  <c r="D2893" i="1" s="1"/>
  <c r="B2894" i="1"/>
  <c r="B2765" i="1"/>
  <c r="C2764" i="1"/>
  <c r="D2764" i="1" s="1"/>
  <c r="B2486" i="1"/>
  <c r="C2485" i="1"/>
  <c r="D2485" i="1" s="1"/>
  <c r="C1311" i="1"/>
  <c r="D1311" i="1" s="1"/>
  <c r="B1312" i="1"/>
  <c r="B834" i="1"/>
  <c r="C833" i="1"/>
  <c r="D833" i="1" s="1"/>
  <c r="C97" i="1"/>
  <c r="D97" i="1" s="1"/>
  <c r="B98" i="1"/>
  <c r="I51" i="1" l="1"/>
  <c r="E52" i="1" s="1"/>
  <c r="C2894" i="1"/>
  <c r="D2894" i="1" s="1"/>
  <c r="B2895" i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C98" i="1"/>
  <c r="D98" i="1" s="1"/>
  <c r="B99" i="1"/>
  <c r="G52" i="1" l="1"/>
  <c r="H52" i="1"/>
  <c r="C2895" i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B100" i="1"/>
  <c r="C99" i="1"/>
  <c r="D99" i="1" s="1"/>
  <c r="F52" i="1" l="1"/>
  <c r="C2896" i="1"/>
  <c r="D2896" i="1" s="1"/>
  <c r="B2897" i="1"/>
  <c r="C2767" i="1"/>
  <c r="D2767" i="1" s="1"/>
  <c r="B2768" i="1"/>
  <c r="C2488" i="1"/>
  <c r="D2488" i="1" s="1"/>
  <c r="B2489" i="1"/>
  <c r="C1314" i="1"/>
  <c r="D1314" i="1" s="1"/>
  <c r="B1315" i="1"/>
  <c r="B837" i="1"/>
  <c r="C836" i="1"/>
  <c r="D836" i="1" s="1"/>
  <c r="B101" i="1"/>
  <c r="C100" i="1"/>
  <c r="D100" i="1" s="1"/>
  <c r="I52" i="1" l="1"/>
  <c r="E53" i="1" s="1"/>
  <c r="B2898" i="1"/>
  <c r="C2897" i="1"/>
  <c r="D2897" i="1" s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B102" i="1"/>
  <c r="C101" i="1"/>
  <c r="D101" i="1" s="1"/>
  <c r="G53" i="1" l="1"/>
  <c r="H53" i="1"/>
  <c r="C2898" i="1"/>
  <c r="D2898" i="1" s="1"/>
  <c r="B2899" i="1"/>
  <c r="C2769" i="1"/>
  <c r="D2769" i="1" s="1"/>
  <c r="B2770" i="1"/>
  <c r="C2490" i="1"/>
  <c r="D2490" i="1" s="1"/>
  <c r="B2491" i="1"/>
  <c r="C1316" i="1"/>
  <c r="D1316" i="1" s="1"/>
  <c r="B1317" i="1"/>
  <c r="C838" i="1"/>
  <c r="D838" i="1" s="1"/>
  <c r="B839" i="1"/>
  <c r="C102" i="1"/>
  <c r="D102" i="1" s="1"/>
  <c r="B103" i="1"/>
  <c r="F53" i="1" l="1"/>
  <c r="B2900" i="1"/>
  <c r="C2899" i="1"/>
  <c r="D2899" i="1" s="1"/>
  <c r="C2770" i="1"/>
  <c r="D2770" i="1" s="1"/>
  <c r="B2771" i="1"/>
  <c r="C2491" i="1"/>
  <c r="D2491" i="1" s="1"/>
  <c r="B2492" i="1"/>
  <c r="B1318" i="1"/>
  <c r="C1317" i="1"/>
  <c r="D1317" i="1" s="1"/>
  <c r="B840" i="1"/>
  <c r="C839" i="1"/>
  <c r="D839" i="1" s="1"/>
  <c r="C103" i="1"/>
  <c r="D103" i="1" s="1"/>
  <c r="B104" i="1"/>
  <c r="I53" i="1" l="1"/>
  <c r="E54" i="1" s="1"/>
  <c r="C2900" i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C840" i="1"/>
  <c r="D840" i="1" s="1"/>
  <c r="B841" i="1"/>
  <c r="C104" i="1"/>
  <c r="D104" i="1" s="1"/>
  <c r="B105" i="1"/>
  <c r="G54" i="1" l="1"/>
  <c r="H54" i="1"/>
  <c r="C2901" i="1"/>
  <c r="D2901" i="1" s="1"/>
  <c r="B2902" i="1"/>
  <c r="C2772" i="1"/>
  <c r="D2772" i="1" s="1"/>
  <c r="B2773" i="1"/>
  <c r="C2493" i="1"/>
  <c r="D2493" i="1" s="1"/>
  <c r="B2494" i="1"/>
  <c r="B1320" i="1"/>
  <c r="C1319" i="1"/>
  <c r="D1319" i="1" s="1"/>
  <c r="C841" i="1"/>
  <c r="D841" i="1" s="1"/>
  <c r="B842" i="1"/>
  <c r="B106" i="1"/>
  <c r="C105" i="1"/>
  <c r="D105" i="1" s="1"/>
  <c r="F54" i="1" l="1"/>
  <c r="C2902" i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C106" i="1"/>
  <c r="D106" i="1" s="1"/>
  <c r="B107" i="1"/>
  <c r="I54" i="1" l="1"/>
  <c r="E55" i="1" s="1"/>
  <c r="C2903" i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B108" i="1"/>
  <c r="C107" i="1"/>
  <c r="D107" i="1" s="1"/>
  <c r="G55" i="1" l="1"/>
  <c r="H55" i="1"/>
  <c r="C2904" i="1"/>
  <c r="D2904" i="1" s="1"/>
  <c r="B2905" i="1"/>
  <c r="C2775" i="1"/>
  <c r="D2775" i="1" s="1"/>
  <c r="B2776" i="1"/>
  <c r="C2496" i="1"/>
  <c r="D2496" i="1" s="1"/>
  <c r="B2497" i="1"/>
  <c r="C1322" i="1"/>
  <c r="D1322" i="1" s="1"/>
  <c r="B1323" i="1"/>
  <c r="B845" i="1"/>
  <c r="C844" i="1"/>
  <c r="D844" i="1" s="1"/>
  <c r="B109" i="1"/>
  <c r="C108" i="1"/>
  <c r="D108" i="1" s="1"/>
  <c r="F55" i="1" l="1"/>
  <c r="I55" i="1" s="1"/>
  <c r="E56" i="1" s="1"/>
  <c r="C2905" i="1"/>
  <c r="D2905" i="1" s="1"/>
  <c r="B2906" i="1"/>
  <c r="C2776" i="1"/>
  <c r="D2776" i="1" s="1"/>
  <c r="B2777" i="1"/>
  <c r="C2497" i="1"/>
  <c r="D2497" i="1" s="1"/>
  <c r="B2498" i="1"/>
  <c r="C1323" i="1"/>
  <c r="D1323" i="1" s="1"/>
  <c r="B1324" i="1"/>
  <c r="C845" i="1"/>
  <c r="D845" i="1" s="1"/>
  <c r="B846" i="1"/>
  <c r="B110" i="1"/>
  <c r="C109" i="1"/>
  <c r="D109" i="1" s="1"/>
  <c r="H56" i="1" l="1"/>
  <c r="G56" i="1"/>
  <c r="C2906" i="1"/>
  <c r="D2906" i="1" s="1"/>
  <c r="B2907" i="1"/>
  <c r="C2777" i="1"/>
  <c r="D2777" i="1" s="1"/>
  <c r="B2778" i="1"/>
  <c r="C2498" i="1"/>
  <c r="D2498" i="1" s="1"/>
  <c r="B2499" i="1"/>
  <c r="C1324" i="1"/>
  <c r="D1324" i="1" s="1"/>
  <c r="B1325" i="1"/>
  <c r="B847" i="1"/>
  <c r="C846" i="1"/>
  <c r="D846" i="1" s="1"/>
  <c r="C110" i="1"/>
  <c r="D110" i="1" s="1"/>
  <c r="B111" i="1"/>
  <c r="F56" i="1" l="1"/>
  <c r="I56" i="1" s="1"/>
  <c r="E57" i="1" s="1"/>
  <c r="C2907" i="1"/>
  <c r="D2907" i="1" s="1"/>
  <c r="B2908" i="1"/>
  <c r="C2778" i="1"/>
  <c r="D2778" i="1" s="1"/>
  <c r="B2779" i="1"/>
  <c r="B2500" i="1"/>
  <c r="C2499" i="1"/>
  <c r="D2499" i="1" s="1"/>
  <c r="C1325" i="1"/>
  <c r="D1325" i="1" s="1"/>
  <c r="B1326" i="1"/>
  <c r="C847" i="1"/>
  <c r="D847" i="1" s="1"/>
  <c r="B848" i="1"/>
  <c r="B112" i="1"/>
  <c r="C111" i="1"/>
  <c r="D111" i="1" s="1"/>
  <c r="G57" i="1" l="1"/>
  <c r="H57" i="1"/>
  <c r="C2908" i="1"/>
  <c r="D2908" i="1" s="1"/>
  <c r="B2909" i="1"/>
  <c r="B2780" i="1"/>
  <c r="C2779" i="1"/>
  <c r="D2779" i="1" s="1"/>
  <c r="C2500" i="1"/>
  <c r="D2500" i="1" s="1"/>
  <c r="B2501" i="1"/>
  <c r="C1326" i="1"/>
  <c r="D1326" i="1" s="1"/>
  <c r="B1327" i="1"/>
  <c r="C848" i="1"/>
  <c r="D848" i="1" s="1"/>
  <c r="B849" i="1"/>
  <c r="C112" i="1"/>
  <c r="D112" i="1" s="1"/>
  <c r="B113" i="1"/>
  <c r="F57" i="1" l="1"/>
  <c r="I57" i="1" s="1"/>
  <c r="E58" i="1" s="1"/>
  <c r="C2909" i="1"/>
  <c r="D2909" i="1" s="1"/>
  <c r="B2910" i="1"/>
  <c r="C2780" i="1"/>
  <c r="D2780" i="1" s="1"/>
  <c r="B2781" i="1"/>
  <c r="C2501" i="1"/>
  <c r="D2501" i="1" s="1"/>
  <c r="B2502" i="1"/>
  <c r="B1328" i="1"/>
  <c r="C1327" i="1"/>
  <c r="D1327" i="1" s="1"/>
  <c r="C849" i="1"/>
  <c r="D849" i="1" s="1"/>
  <c r="B850" i="1"/>
  <c r="C113" i="1"/>
  <c r="D113" i="1" s="1"/>
  <c r="B114" i="1"/>
  <c r="H58" i="1" l="1"/>
  <c r="F58" i="1" s="1"/>
  <c r="G58" i="1"/>
  <c r="C2910" i="1"/>
  <c r="D2910" i="1" s="1"/>
  <c r="B2911" i="1"/>
  <c r="B2782" i="1"/>
  <c r="C2782" i="1" s="1"/>
  <c r="D2782" i="1" s="1"/>
  <c r="C2781" i="1"/>
  <c r="D2781" i="1" s="1"/>
  <c r="C2502" i="1"/>
  <c r="D2502" i="1" s="1"/>
  <c r="B2503" i="1"/>
  <c r="C1328" i="1"/>
  <c r="D1328" i="1" s="1"/>
  <c r="B1329" i="1"/>
  <c r="B851" i="1"/>
  <c r="C850" i="1"/>
  <c r="D850" i="1" s="1"/>
  <c r="B115" i="1"/>
  <c r="C114" i="1"/>
  <c r="D114" i="1" s="1"/>
  <c r="I58" i="1" l="1"/>
  <c r="E59" i="1" s="1"/>
  <c r="B2912" i="1"/>
  <c r="C2911" i="1"/>
  <c r="D2911" i="1" s="1"/>
  <c r="C2503" i="1"/>
  <c r="D2503" i="1" s="1"/>
  <c r="B2504" i="1"/>
  <c r="C1329" i="1"/>
  <c r="D1329" i="1" s="1"/>
  <c r="B1330" i="1"/>
  <c r="B852" i="1"/>
  <c r="C851" i="1"/>
  <c r="D851" i="1" s="1"/>
  <c r="C115" i="1"/>
  <c r="D115" i="1" s="1"/>
  <c r="B116" i="1"/>
  <c r="G59" i="1" l="1"/>
  <c r="H59" i="1"/>
  <c r="C2912" i="1"/>
  <c r="D2912" i="1" s="1"/>
  <c r="B2913" i="1"/>
  <c r="C2504" i="1"/>
  <c r="D2504" i="1" s="1"/>
  <c r="B2505" i="1"/>
  <c r="B1331" i="1"/>
  <c r="C1330" i="1"/>
  <c r="D1330" i="1" s="1"/>
  <c r="B853" i="1"/>
  <c r="C852" i="1"/>
  <c r="D852" i="1" s="1"/>
  <c r="C116" i="1"/>
  <c r="D116" i="1" s="1"/>
  <c r="B117" i="1"/>
  <c r="F59" i="1" l="1"/>
  <c r="I59" i="1" s="1"/>
  <c r="E60" i="1" s="1"/>
  <c r="B2914" i="1"/>
  <c r="C2913" i="1"/>
  <c r="D2913" i="1" s="1"/>
  <c r="C2505" i="1"/>
  <c r="D2505" i="1" s="1"/>
  <c r="B2506" i="1"/>
  <c r="C1331" i="1"/>
  <c r="D1331" i="1" s="1"/>
  <c r="B1332" i="1"/>
  <c r="B854" i="1"/>
  <c r="C853" i="1"/>
  <c r="D853" i="1" s="1"/>
  <c r="C117" i="1"/>
  <c r="D117" i="1" s="1"/>
  <c r="B118" i="1"/>
  <c r="C2914" i="1" l="1"/>
  <c r="D2914" i="1" s="1"/>
  <c r="B2915" i="1"/>
  <c r="C2506" i="1"/>
  <c r="D2506" i="1" s="1"/>
  <c r="B2507" i="1"/>
  <c r="C1332" i="1"/>
  <c r="D1332" i="1" s="1"/>
  <c r="B1333" i="1"/>
  <c r="B855" i="1"/>
  <c r="C854" i="1"/>
  <c r="D854" i="1" s="1"/>
  <c r="B119" i="1"/>
  <c r="C118" i="1"/>
  <c r="D118" i="1" s="1"/>
  <c r="H60" i="1" l="1"/>
  <c r="G60" i="1"/>
  <c r="C2915" i="1"/>
  <c r="D2915" i="1" s="1"/>
  <c r="B2916" i="1"/>
  <c r="C2507" i="1"/>
  <c r="D2507" i="1" s="1"/>
  <c r="B2508" i="1"/>
  <c r="B1334" i="1"/>
  <c r="C1333" i="1"/>
  <c r="D1333" i="1" s="1"/>
  <c r="C855" i="1"/>
  <c r="D855" i="1" s="1"/>
  <c r="B856" i="1"/>
  <c r="C119" i="1"/>
  <c r="D119" i="1" s="1"/>
  <c r="B120" i="1"/>
  <c r="F60" i="1" l="1"/>
  <c r="I60" i="1" s="1"/>
  <c r="E61" i="1" s="1"/>
  <c r="C2916" i="1"/>
  <c r="D2916" i="1" s="1"/>
  <c r="B2917" i="1"/>
  <c r="C2508" i="1"/>
  <c r="D2508" i="1" s="1"/>
  <c r="B2509" i="1"/>
  <c r="B1335" i="1"/>
  <c r="C1334" i="1"/>
  <c r="D1334" i="1" s="1"/>
  <c r="B857" i="1"/>
  <c r="C856" i="1"/>
  <c r="D856" i="1" s="1"/>
  <c r="B121" i="1"/>
  <c r="C120" i="1"/>
  <c r="D120" i="1" s="1"/>
  <c r="B2918" i="1" l="1"/>
  <c r="C2917" i="1"/>
  <c r="D2917" i="1" s="1"/>
  <c r="C2509" i="1"/>
  <c r="D2509" i="1" s="1"/>
  <c r="B2510" i="1"/>
  <c r="C1335" i="1"/>
  <c r="D1335" i="1" s="1"/>
  <c r="B1336" i="1"/>
  <c r="C857" i="1"/>
  <c r="D857" i="1" s="1"/>
  <c r="B858" i="1"/>
  <c r="C121" i="1"/>
  <c r="D121" i="1" s="1"/>
  <c r="B122" i="1"/>
  <c r="G61" i="1" l="1"/>
  <c r="H61" i="1"/>
  <c r="C2918" i="1"/>
  <c r="D2918" i="1" s="1"/>
  <c r="B2919" i="1"/>
  <c r="B2511" i="1"/>
  <c r="C2510" i="1"/>
  <c r="D2510" i="1" s="1"/>
  <c r="C1336" i="1"/>
  <c r="D1336" i="1" s="1"/>
  <c r="B1337" i="1"/>
  <c r="C858" i="1"/>
  <c r="D858" i="1" s="1"/>
  <c r="B859" i="1"/>
  <c r="B123" i="1"/>
  <c r="C122" i="1"/>
  <c r="D122" i="1" s="1"/>
  <c r="F61" i="1" l="1"/>
  <c r="I61" i="1" s="1"/>
  <c r="E62" i="1" s="1"/>
  <c r="B2920" i="1"/>
  <c r="C2919" i="1"/>
  <c r="D2919" i="1" s="1"/>
  <c r="C2511" i="1"/>
  <c r="D2511" i="1" s="1"/>
  <c r="B2512" i="1"/>
  <c r="C1337" i="1"/>
  <c r="D1337" i="1" s="1"/>
  <c r="B1338" i="1"/>
  <c r="C859" i="1"/>
  <c r="D859" i="1" s="1"/>
  <c r="B860" i="1"/>
  <c r="C123" i="1"/>
  <c r="D123" i="1" s="1"/>
  <c r="B124" i="1"/>
  <c r="C2920" i="1" l="1"/>
  <c r="D2920" i="1" s="1"/>
  <c r="B2921" i="1"/>
  <c r="C2512" i="1"/>
  <c r="D2512" i="1" s="1"/>
  <c r="B2513" i="1"/>
  <c r="C1338" i="1"/>
  <c r="D1338" i="1" s="1"/>
  <c r="B1339" i="1"/>
  <c r="B861" i="1"/>
  <c r="C860" i="1"/>
  <c r="D860" i="1" s="1"/>
  <c r="C124" i="1"/>
  <c r="D124" i="1" s="1"/>
  <c r="B125" i="1"/>
  <c r="H62" i="1" l="1"/>
  <c r="G62" i="1"/>
  <c r="C2921" i="1"/>
  <c r="D2921" i="1" s="1"/>
  <c r="B2922" i="1"/>
  <c r="B2514" i="1"/>
  <c r="C2513" i="1"/>
  <c r="D2513" i="1" s="1"/>
  <c r="B1340" i="1"/>
  <c r="C1339" i="1"/>
  <c r="D1339" i="1" s="1"/>
  <c r="C861" i="1"/>
  <c r="D861" i="1" s="1"/>
  <c r="B862" i="1"/>
  <c r="B126" i="1"/>
  <c r="C125" i="1"/>
  <c r="D125" i="1" s="1"/>
  <c r="F62" i="1" l="1"/>
  <c r="I62" i="1" s="1"/>
  <c r="E63" i="1" s="1"/>
  <c r="C2922" i="1"/>
  <c r="D2922" i="1" s="1"/>
  <c r="B2923" i="1"/>
  <c r="C2514" i="1"/>
  <c r="D2514" i="1" s="1"/>
  <c r="B2515" i="1"/>
  <c r="C1340" i="1"/>
  <c r="D1340" i="1" s="1"/>
  <c r="B1341" i="1"/>
  <c r="C862" i="1"/>
  <c r="D862" i="1" s="1"/>
  <c r="B863" i="1"/>
  <c r="C126" i="1"/>
  <c r="D126" i="1" s="1"/>
  <c r="B127" i="1"/>
  <c r="B2924" i="1" l="1"/>
  <c r="C2923" i="1"/>
  <c r="D2923" i="1" s="1"/>
  <c r="C2515" i="1"/>
  <c r="D2515" i="1" s="1"/>
  <c r="B2516" i="1"/>
  <c r="C1341" i="1"/>
  <c r="D1341" i="1" s="1"/>
  <c r="B1342" i="1"/>
  <c r="B864" i="1"/>
  <c r="C863" i="1"/>
  <c r="D863" i="1" s="1"/>
  <c r="B128" i="1"/>
  <c r="C127" i="1"/>
  <c r="D127" i="1" s="1"/>
  <c r="H63" i="1" l="1"/>
  <c r="G63" i="1"/>
  <c r="C2924" i="1"/>
  <c r="D2924" i="1" s="1"/>
  <c r="B2925" i="1"/>
  <c r="C2516" i="1"/>
  <c r="D2516" i="1" s="1"/>
  <c r="B2517" i="1"/>
  <c r="C1342" i="1"/>
  <c r="D1342" i="1" s="1"/>
  <c r="B1343" i="1"/>
  <c r="C864" i="1"/>
  <c r="D864" i="1" s="1"/>
  <c r="B865" i="1"/>
  <c r="C128" i="1"/>
  <c r="D128" i="1" s="1"/>
  <c r="B129" i="1"/>
  <c r="F63" i="1" l="1"/>
  <c r="B2926" i="1"/>
  <c r="C2925" i="1"/>
  <c r="D2925" i="1" s="1"/>
  <c r="C2517" i="1"/>
  <c r="D2517" i="1" s="1"/>
  <c r="B2518" i="1"/>
  <c r="B1344" i="1"/>
  <c r="C1343" i="1"/>
  <c r="D1343" i="1" s="1"/>
  <c r="B866" i="1"/>
  <c r="C865" i="1"/>
  <c r="D865" i="1" s="1"/>
  <c r="B130" i="1"/>
  <c r="C129" i="1"/>
  <c r="D129" i="1" s="1"/>
  <c r="I63" i="1" l="1"/>
  <c r="E64" i="1" s="1"/>
  <c r="B2927" i="1"/>
  <c r="C2926" i="1"/>
  <c r="D2926" i="1" s="1"/>
  <c r="C2518" i="1"/>
  <c r="D2518" i="1" s="1"/>
  <c r="B2519" i="1"/>
  <c r="C1344" i="1"/>
  <c r="D1344" i="1" s="1"/>
  <c r="B1345" i="1"/>
  <c r="C866" i="1"/>
  <c r="D866" i="1" s="1"/>
  <c r="B867" i="1"/>
  <c r="B131" i="1"/>
  <c r="C130" i="1"/>
  <c r="D130" i="1" s="1"/>
  <c r="H64" i="1" l="1"/>
  <c r="G64" i="1"/>
  <c r="F64" i="1"/>
  <c r="C2927" i="1"/>
  <c r="D2927" i="1" s="1"/>
  <c r="B2928" i="1"/>
  <c r="B2520" i="1"/>
  <c r="C2519" i="1"/>
  <c r="D2519" i="1" s="1"/>
  <c r="C1345" i="1"/>
  <c r="D1345" i="1" s="1"/>
  <c r="B1346" i="1"/>
  <c r="C867" i="1"/>
  <c r="D867" i="1" s="1"/>
  <c r="B868" i="1"/>
  <c r="C131" i="1"/>
  <c r="D131" i="1" s="1"/>
  <c r="B132" i="1"/>
  <c r="I64" i="1" l="1"/>
  <c r="E65" i="1" s="1"/>
  <c r="C2928" i="1"/>
  <c r="D2928" i="1" s="1"/>
  <c r="B2929" i="1"/>
  <c r="C2520" i="1"/>
  <c r="D2520" i="1" s="1"/>
  <c r="B2521" i="1"/>
  <c r="B1347" i="1"/>
  <c r="C1346" i="1"/>
  <c r="D1346" i="1" s="1"/>
  <c r="B869" i="1"/>
  <c r="C868" i="1"/>
  <c r="D868" i="1" s="1"/>
  <c r="C132" i="1"/>
  <c r="D132" i="1" s="1"/>
  <c r="B133" i="1"/>
  <c r="G65" i="1" l="1"/>
  <c r="H65" i="1"/>
  <c r="F65" i="1" s="1"/>
  <c r="B2930" i="1"/>
  <c r="C2929" i="1"/>
  <c r="D2929" i="1" s="1"/>
  <c r="C2521" i="1"/>
  <c r="D2521" i="1" s="1"/>
  <c r="B2522" i="1"/>
  <c r="B1348" i="1"/>
  <c r="C1347" i="1"/>
  <c r="D1347" i="1" s="1"/>
  <c r="C869" i="1"/>
  <c r="D869" i="1" s="1"/>
  <c r="B870" i="1"/>
  <c r="C133" i="1"/>
  <c r="D133" i="1" s="1"/>
  <c r="B134" i="1"/>
  <c r="I65" i="1" l="1"/>
  <c r="E66" i="1" s="1"/>
  <c r="B2931" i="1"/>
  <c r="C2930" i="1"/>
  <c r="D2930" i="1" s="1"/>
  <c r="B2523" i="1"/>
  <c r="C2522" i="1"/>
  <c r="D2522" i="1" s="1"/>
  <c r="C1348" i="1"/>
  <c r="D1348" i="1" s="1"/>
  <c r="B1349" i="1"/>
  <c r="C870" i="1"/>
  <c r="D870" i="1" s="1"/>
  <c r="B871" i="1"/>
  <c r="C134" i="1"/>
  <c r="D134" i="1" s="1"/>
  <c r="B135" i="1"/>
  <c r="G66" i="1" l="1"/>
  <c r="H66" i="1"/>
  <c r="B2932" i="1"/>
  <c r="C2931" i="1"/>
  <c r="D2931" i="1" s="1"/>
  <c r="B2524" i="1"/>
  <c r="C2523" i="1"/>
  <c r="D2523" i="1" s="1"/>
  <c r="B1350" i="1"/>
  <c r="C1349" i="1"/>
  <c r="D1349" i="1" s="1"/>
  <c r="B872" i="1"/>
  <c r="C871" i="1"/>
  <c r="D871" i="1" s="1"/>
  <c r="C135" i="1"/>
  <c r="D135" i="1" s="1"/>
  <c r="B136" i="1"/>
  <c r="F66" i="1" l="1"/>
  <c r="I66" i="1" s="1"/>
  <c r="E67" i="1" s="1"/>
  <c r="C2932" i="1"/>
  <c r="D2932" i="1" s="1"/>
  <c r="B2933" i="1"/>
  <c r="C2524" i="1"/>
  <c r="D2524" i="1" s="1"/>
  <c r="B2525" i="1"/>
  <c r="B1351" i="1"/>
  <c r="C1350" i="1"/>
  <c r="D1350" i="1" s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B1352" i="1"/>
  <c r="C1351" i="1"/>
  <c r="D1351" i="1" s="1"/>
  <c r="B874" i="1"/>
  <c r="C873" i="1"/>
  <c r="D873" i="1" s="1"/>
  <c r="C137" i="1"/>
  <c r="D137" i="1" s="1"/>
  <c r="B138" i="1"/>
  <c r="G67" i="1" l="1"/>
  <c r="H67" i="1"/>
  <c r="C2934" i="1"/>
  <c r="D2934" i="1" s="1"/>
  <c r="B2935" i="1"/>
  <c r="B2527" i="1"/>
  <c r="C2526" i="1"/>
  <c r="D2526" i="1" s="1"/>
  <c r="C1352" i="1"/>
  <c r="D1352" i="1" s="1"/>
  <c r="B1353" i="1"/>
  <c r="B875" i="1"/>
  <c r="C874" i="1"/>
  <c r="D874" i="1" s="1"/>
  <c r="C138" i="1"/>
  <c r="D138" i="1" s="1"/>
  <c r="B139" i="1"/>
  <c r="F67" i="1" l="1"/>
  <c r="B2936" i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C139" i="1"/>
  <c r="D139" i="1" s="1"/>
  <c r="B140" i="1"/>
  <c r="I67" i="1" l="1"/>
  <c r="E68" i="1" s="1"/>
  <c r="C2936" i="1"/>
  <c r="D2936" i="1" s="1"/>
  <c r="B2937" i="1"/>
  <c r="C2528" i="1"/>
  <c r="D2528" i="1" s="1"/>
  <c r="B2529" i="1"/>
  <c r="C1354" i="1"/>
  <c r="D1354" i="1" s="1"/>
  <c r="B1355" i="1"/>
  <c r="C876" i="1"/>
  <c r="D876" i="1" s="1"/>
  <c r="B877" i="1"/>
  <c r="B141" i="1"/>
  <c r="C140" i="1"/>
  <c r="D140" i="1" s="1"/>
  <c r="G68" i="1" l="1"/>
  <c r="H68" i="1"/>
  <c r="F68" i="1" s="1"/>
  <c r="B2938" i="1"/>
  <c r="C2937" i="1"/>
  <c r="D2937" i="1" s="1"/>
  <c r="B2530" i="1"/>
  <c r="C2529" i="1"/>
  <c r="D2529" i="1" s="1"/>
  <c r="C1355" i="1"/>
  <c r="D1355" i="1" s="1"/>
  <c r="B1356" i="1"/>
  <c r="C877" i="1"/>
  <c r="D877" i="1" s="1"/>
  <c r="B878" i="1"/>
  <c r="B142" i="1"/>
  <c r="C141" i="1"/>
  <c r="D141" i="1" s="1"/>
  <c r="I68" i="1" l="1"/>
  <c r="E69" i="1" s="1"/>
  <c r="B2939" i="1"/>
  <c r="C2938" i="1"/>
  <c r="D2938" i="1" s="1"/>
  <c r="B2531" i="1"/>
  <c r="C2530" i="1"/>
  <c r="D2530" i="1" s="1"/>
  <c r="C1356" i="1"/>
  <c r="D1356" i="1" s="1"/>
  <c r="B1357" i="1"/>
  <c r="C878" i="1"/>
  <c r="D878" i="1" s="1"/>
  <c r="B879" i="1"/>
  <c r="C142" i="1"/>
  <c r="D142" i="1" s="1"/>
  <c r="B143" i="1"/>
  <c r="G69" i="1" l="1"/>
  <c r="H69" i="1"/>
  <c r="F69" i="1" s="1"/>
  <c r="B2940" i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C143" i="1"/>
  <c r="D143" i="1" s="1"/>
  <c r="B144" i="1"/>
  <c r="I69" i="1" l="1"/>
  <c r="E70" i="1" s="1"/>
  <c r="C2940" i="1"/>
  <c r="D2940" i="1" s="1"/>
  <c r="B2941" i="1"/>
  <c r="C2532" i="1"/>
  <c r="D2532" i="1" s="1"/>
  <c r="B2533" i="1"/>
  <c r="C1358" i="1"/>
  <c r="D1358" i="1" s="1"/>
  <c r="B1359" i="1"/>
  <c r="B881" i="1"/>
  <c r="C880" i="1"/>
  <c r="D880" i="1" s="1"/>
  <c r="C144" i="1"/>
  <c r="D144" i="1" s="1"/>
  <c r="B145" i="1"/>
  <c r="G70" i="1" l="1"/>
  <c r="H70" i="1"/>
  <c r="F70" i="1"/>
  <c r="B2942" i="1"/>
  <c r="C2941" i="1"/>
  <c r="D2941" i="1" s="1"/>
  <c r="C2533" i="1"/>
  <c r="D2533" i="1" s="1"/>
  <c r="B2534" i="1"/>
  <c r="C1359" i="1"/>
  <c r="D1359" i="1" s="1"/>
  <c r="B1360" i="1"/>
  <c r="B882" i="1"/>
  <c r="C881" i="1"/>
  <c r="D881" i="1" s="1"/>
  <c r="C145" i="1"/>
  <c r="D145" i="1" s="1"/>
  <c r="B146" i="1"/>
  <c r="I70" i="1" l="1"/>
  <c r="E71" i="1" s="1"/>
  <c r="B2943" i="1"/>
  <c r="C2942" i="1"/>
  <c r="D2942" i="1" s="1"/>
  <c r="C2534" i="1"/>
  <c r="D2534" i="1" s="1"/>
  <c r="B2535" i="1"/>
  <c r="C1360" i="1"/>
  <c r="D1360" i="1" s="1"/>
  <c r="B1361" i="1"/>
  <c r="B883" i="1"/>
  <c r="C882" i="1"/>
  <c r="D882" i="1" s="1"/>
  <c r="C146" i="1"/>
  <c r="D146" i="1" s="1"/>
  <c r="B147" i="1"/>
  <c r="H71" i="1" l="1"/>
  <c r="G71" i="1"/>
  <c r="F71" i="1"/>
  <c r="B2944" i="1"/>
  <c r="C2943" i="1"/>
  <c r="D2943" i="1" s="1"/>
  <c r="C2535" i="1"/>
  <c r="D2535" i="1" s="1"/>
  <c r="B2536" i="1"/>
  <c r="C1361" i="1"/>
  <c r="D1361" i="1" s="1"/>
  <c r="B1362" i="1"/>
  <c r="C883" i="1"/>
  <c r="D883" i="1" s="1"/>
  <c r="B884" i="1"/>
  <c r="C147" i="1"/>
  <c r="D147" i="1" s="1"/>
  <c r="B148" i="1"/>
  <c r="I71" i="1" l="1"/>
  <c r="E72" i="1" s="1"/>
  <c r="C2944" i="1"/>
  <c r="D2944" i="1" s="1"/>
  <c r="B2945" i="1"/>
  <c r="C2536" i="1"/>
  <c r="D2536" i="1" s="1"/>
  <c r="B2537" i="1"/>
  <c r="C1362" i="1"/>
  <c r="D1362" i="1" s="1"/>
  <c r="B1363" i="1"/>
  <c r="C884" i="1"/>
  <c r="D884" i="1" s="1"/>
  <c r="B885" i="1"/>
  <c r="B149" i="1"/>
  <c r="C148" i="1"/>
  <c r="D148" i="1" s="1"/>
  <c r="G72" i="1" l="1"/>
  <c r="H72" i="1"/>
  <c r="F72" i="1" s="1"/>
  <c r="C2945" i="1"/>
  <c r="D2945" i="1" s="1"/>
  <c r="B2946" i="1"/>
  <c r="B2538" i="1"/>
  <c r="C2537" i="1"/>
  <c r="D2537" i="1" s="1"/>
  <c r="C1363" i="1"/>
  <c r="D1363" i="1" s="1"/>
  <c r="B1364" i="1"/>
  <c r="C885" i="1"/>
  <c r="D885" i="1" s="1"/>
  <c r="B886" i="1"/>
  <c r="C149" i="1"/>
  <c r="D149" i="1" s="1"/>
  <c r="B150" i="1"/>
  <c r="I72" i="1" l="1"/>
  <c r="E73" i="1" s="1"/>
  <c r="C2946" i="1"/>
  <c r="D2946" i="1" s="1"/>
  <c r="B2947" i="1"/>
  <c r="B2539" i="1"/>
  <c r="C2538" i="1"/>
  <c r="D2538" i="1" s="1"/>
  <c r="C1364" i="1"/>
  <c r="D1364" i="1" s="1"/>
  <c r="B1365" i="1"/>
  <c r="B887" i="1"/>
  <c r="C886" i="1"/>
  <c r="D886" i="1" s="1"/>
  <c r="C150" i="1"/>
  <c r="D150" i="1" s="1"/>
  <c r="B151" i="1"/>
  <c r="G73" i="1" l="1"/>
  <c r="H73" i="1"/>
  <c r="F73" i="1"/>
  <c r="B2948" i="1"/>
  <c r="C2947" i="1"/>
  <c r="D2947" i="1" s="1"/>
  <c r="B2540" i="1"/>
  <c r="C2539" i="1"/>
  <c r="D2539" i="1" s="1"/>
  <c r="C1365" i="1"/>
  <c r="D1365" i="1" s="1"/>
  <c r="B1366" i="1"/>
  <c r="C887" i="1"/>
  <c r="D887" i="1" s="1"/>
  <c r="B888" i="1"/>
  <c r="C151" i="1"/>
  <c r="D151" i="1" s="1"/>
  <c r="B152" i="1"/>
  <c r="I73" i="1" l="1"/>
  <c r="E74" i="1" s="1"/>
  <c r="C2948" i="1"/>
  <c r="D2948" i="1" s="1"/>
  <c r="B2949" i="1"/>
  <c r="C2540" i="1"/>
  <c r="D2540" i="1" s="1"/>
  <c r="B2541" i="1"/>
  <c r="C1366" i="1"/>
  <c r="D1366" i="1" s="1"/>
  <c r="B1367" i="1"/>
  <c r="C888" i="1"/>
  <c r="D888" i="1" s="1"/>
  <c r="B889" i="1"/>
  <c r="C152" i="1"/>
  <c r="D152" i="1" s="1"/>
  <c r="B153" i="1"/>
  <c r="H74" i="1" l="1"/>
  <c r="F74" i="1" s="1"/>
  <c r="G74" i="1"/>
  <c r="C2949" i="1"/>
  <c r="D2949" i="1" s="1"/>
  <c r="B2950" i="1"/>
  <c r="C2541" i="1"/>
  <c r="D2541" i="1" s="1"/>
  <c r="B2542" i="1"/>
  <c r="B1368" i="1"/>
  <c r="C1367" i="1"/>
  <c r="D1367" i="1" s="1"/>
  <c r="C889" i="1"/>
  <c r="D889" i="1" s="1"/>
  <c r="B890" i="1"/>
  <c r="C153" i="1"/>
  <c r="D153" i="1" s="1"/>
  <c r="B154" i="1"/>
  <c r="I74" i="1" l="1"/>
  <c r="E75" i="1" s="1"/>
  <c r="C2950" i="1"/>
  <c r="D2950" i="1" s="1"/>
  <c r="B2951" i="1"/>
  <c r="C2542" i="1"/>
  <c r="D2542" i="1" s="1"/>
  <c r="B2543" i="1"/>
  <c r="C1368" i="1"/>
  <c r="D1368" i="1" s="1"/>
  <c r="B1369" i="1"/>
  <c r="B891" i="1"/>
  <c r="C890" i="1"/>
  <c r="D890" i="1" s="1"/>
  <c r="C154" i="1"/>
  <c r="D154" i="1" s="1"/>
  <c r="B155" i="1"/>
  <c r="H75" i="1" l="1"/>
  <c r="F75" i="1" s="1"/>
  <c r="G75" i="1"/>
  <c r="C2951" i="1"/>
  <c r="D2951" i="1" s="1"/>
  <c r="B2952" i="1"/>
  <c r="C2543" i="1"/>
  <c r="D2543" i="1" s="1"/>
  <c r="B2544" i="1"/>
  <c r="C1369" i="1"/>
  <c r="D1369" i="1" s="1"/>
  <c r="B1370" i="1"/>
  <c r="B892" i="1"/>
  <c r="C891" i="1"/>
  <c r="D891" i="1" s="1"/>
  <c r="C155" i="1"/>
  <c r="D155" i="1" s="1"/>
  <c r="B156" i="1"/>
  <c r="I75" i="1" l="1"/>
  <c r="E76" i="1" s="1"/>
  <c r="C2952" i="1"/>
  <c r="D2952" i="1" s="1"/>
  <c r="B2953" i="1"/>
  <c r="C2544" i="1"/>
  <c r="D2544" i="1" s="1"/>
  <c r="B2545" i="1"/>
  <c r="C1370" i="1"/>
  <c r="D1370" i="1" s="1"/>
  <c r="B1371" i="1"/>
  <c r="B893" i="1"/>
  <c r="C892" i="1"/>
  <c r="D892" i="1" s="1"/>
  <c r="B157" i="1"/>
  <c r="C156" i="1"/>
  <c r="D156" i="1" s="1"/>
  <c r="H76" i="1" l="1"/>
  <c r="F76" i="1" s="1"/>
  <c r="G76" i="1"/>
  <c r="C2953" i="1"/>
  <c r="D2953" i="1" s="1"/>
  <c r="B2954" i="1"/>
  <c r="C2545" i="1"/>
  <c r="D2545" i="1" s="1"/>
  <c r="B2546" i="1"/>
  <c r="B1372" i="1"/>
  <c r="C1371" i="1"/>
  <c r="D1371" i="1" s="1"/>
  <c r="B894" i="1"/>
  <c r="C893" i="1"/>
  <c r="D893" i="1" s="1"/>
  <c r="C157" i="1"/>
  <c r="D157" i="1" s="1"/>
  <c r="B158" i="1"/>
  <c r="I76" i="1" l="1"/>
  <c r="E77" i="1" s="1"/>
  <c r="C2954" i="1"/>
  <c r="D2954" i="1" s="1"/>
  <c r="B2955" i="1"/>
  <c r="C2546" i="1"/>
  <c r="D2546" i="1" s="1"/>
  <c r="B2547" i="1"/>
  <c r="C1372" i="1"/>
  <c r="D1372" i="1" s="1"/>
  <c r="B1373" i="1"/>
  <c r="C894" i="1"/>
  <c r="D894" i="1" s="1"/>
  <c r="B895" i="1"/>
  <c r="C158" i="1"/>
  <c r="D158" i="1" s="1"/>
  <c r="B159" i="1"/>
  <c r="G77" i="1" l="1"/>
  <c r="H77" i="1"/>
  <c r="F77" i="1" s="1"/>
  <c r="B2956" i="1"/>
  <c r="C2955" i="1"/>
  <c r="D2955" i="1" s="1"/>
  <c r="C2547" i="1"/>
  <c r="D2547" i="1" s="1"/>
  <c r="B2548" i="1"/>
  <c r="B1374" i="1"/>
  <c r="C1373" i="1"/>
  <c r="D1373" i="1" s="1"/>
  <c r="C895" i="1"/>
  <c r="D895" i="1" s="1"/>
  <c r="B896" i="1"/>
  <c r="C159" i="1"/>
  <c r="D159" i="1" s="1"/>
  <c r="B160" i="1"/>
  <c r="I77" i="1" l="1"/>
  <c r="E78" i="1" s="1"/>
  <c r="C2956" i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G78" i="1" l="1"/>
  <c r="H78" i="1"/>
  <c r="F78" i="1" s="1"/>
  <c r="C2957" i="1"/>
  <c r="D2957" i="1" s="1"/>
  <c r="B2958" i="1"/>
  <c r="C2549" i="1"/>
  <c r="D2549" i="1" s="1"/>
  <c r="B2550" i="1"/>
  <c r="B1376" i="1"/>
  <c r="C1375" i="1"/>
  <c r="D1375" i="1" s="1"/>
  <c r="C897" i="1"/>
  <c r="D897" i="1" s="1"/>
  <c r="B898" i="1"/>
  <c r="C161" i="1"/>
  <c r="D161" i="1" s="1"/>
  <c r="B162" i="1"/>
  <c r="I78" i="1" l="1"/>
  <c r="E79" i="1" s="1"/>
  <c r="C2958" i="1"/>
  <c r="D2958" i="1" s="1"/>
  <c r="B2959" i="1"/>
  <c r="C2550" i="1"/>
  <c r="D2550" i="1" s="1"/>
  <c r="B2551" i="1"/>
  <c r="C1376" i="1"/>
  <c r="D1376" i="1" s="1"/>
  <c r="B1377" i="1"/>
  <c r="C898" i="1"/>
  <c r="D898" i="1" s="1"/>
  <c r="B899" i="1"/>
  <c r="B163" i="1"/>
  <c r="C162" i="1"/>
  <c r="D162" i="1" s="1"/>
  <c r="G79" i="1" l="1"/>
  <c r="H79" i="1"/>
  <c r="F79" i="1" s="1"/>
  <c r="C2959" i="1"/>
  <c r="D2959" i="1" s="1"/>
  <c r="B2960" i="1"/>
  <c r="C2551" i="1"/>
  <c r="D2551" i="1" s="1"/>
  <c r="B2552" i="1"/>
  <c r="B1378" i="1"/>
  <c r="C1377" i="1"/>
  <c r="D1377" i="1" s="1"/>
  <c r="C899" i="1"/>
  <c r="D899" i="1" s="1"/>
  <c r="B900" i="1"/>
  <c r="C163" i="1"/>
  <c r="D163" i="1" s="1"/>
  <c r="B164" i="1"/>
  <c r="I79" i="1" l="1"/>
  <c r="E80" i="1" s="1"/>
  <c r="C2960" i="1"/>
  <c r="D2960" i="1" s="1"/>
  <c r="B2961" i="1"/>
  <c r="C2552" i="1"/>
  <c r="D2552" i="1" s="1"/>
  <c r="B2553" i="1"/>
  <c r="C1378" i="1"/>
  <c r="D1378" i="1" s="1"/>
  <c r="B1379" i="1"/>
  <c r="B901" i="1"/>
  <c r="C900" i="1"/>
  <c r="D900" i="1" s="1"/>
  <c r="C164" i="1"/>
  <c r="D164" i="1" s="1"/>
  <c r="B165" i="1"/>
  <c r="G80" i="1" l="1"/>
  <c r="H80" i="1"/>
  <c r="F80" i="1" s="1"/>
  <c r="B2962" i="1"/>
  <c r="C2961" i="1"/>
  <c r="D2961" i="1" s="1"/>
  <c r="C2553" i="1"/>
  <c r="D2553" i="1" s="1"/>
  <c r="B2554" i="1"/>
  <c r="C1379" i="1"/>
  <c r="D1379" i="1" s="1"/>
  <c r="B1380" i="1"/>
  <c r="B902" i="1"/>
  <c r="C901" i="1"/>
  <c r="D901" i="1" s="1"/>
  <c r="C165" i="1"/>
  <c r="D165" i="1" s="1"/>
  <c r="B166" i="1"/>
  <c r="I80" i="1" l="1"/>
  <c r="E81" i="1" s="1"/>
  <c r="C2962" i="1"/>
  <c r="D2962" i="1" s="1"/>
  <c r="B2963" i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H81" i="1" l="1"/>
  <c r="F81" i="1" s="1"/>
  <c r="G81" i="1"/>
  <c r="C2963" i="1"/>
  <c r="D2963" i="1" s="1"/>
  <c r="B2964" i="1"/>
  <c r="C2555" i="1"/>
  <c r="D2555" i="1" s="1"/>
  <c r="B2556" i="1"/>
  <c r="B1382" i="1"/>
  <c r="C1381" i="1"/>
  <c r="D1381" i="1" s="1"/>
  <c r="C903" i="1"/>
  <c r="D903" i="1" s="1"/>
  <c r="B904" i="1"/>
  <c r="C167" i="1"/>
  <c r="D167" i="1" s="1"/>
  <c r="B168" i="1"/>
  <c r="I81" i="1" l="1"/>
  <c r="E82" i="1" s="1"/>
  <c r="C2964" i="1"/>
  <c r="D2964" i="1" s="1"/>
  <c r="B2965" i="1"/>
  <c r="B2557" i="1"/>
  <c r="C2556" i="1"/>
  <c r="D2556" i="1" s="1"/>
  <c r="C1382" i="1"/>
  <c r="D1382" i="1" s="1"/>
  <c r="B1383" i="1"/>
  <c r="C904" i="1"/>
  <c r="D904" i="1" s="1"/>
  <c r="B905" i="1"/>
  <c r="C168" i="1"/>
  <c r="D168" i="1" s="1"/>
  <c r="B169" i="1"/>
  <c r="H82" i="1" l="1"/>
  <c r="F82" i="1" s="1"/>
  <c r="G82" i="1"/>
  <c r="B2966" i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C169" i="1"/>
  <c r="D169" i="1" s="1"/>
  <c r="B170" i="1"/>
  <c r="I82" i="1" l="1"/>
  <c r="E83" i="1" s="1"/>
  <c r="B2967" i="1"/>
  <c r="C2966" i="1"/>
  <c r="D2966" i="1" s="1"/>
  <c r="C2558" i="1"/>
  <c r="D2558" i="1" s="1"/>
  <c r="B2559" i="1"/>
  <c r="C1384" i="1"/>
  <c r="D1384" i="1" s="1"/>
  <c r="B1385" i="1"/>
  <c r="B907" i="1"/>
  <c r="C906" i="1"/>
  <c r="D906" i="1" s="1"/>
  <c r="C170" i="1"/>
  <c r="D170" i="1" s="1"/>
  <c r="B171" i="1"/>
  <c r="H83" i="1" l="1"/>
  <c r="F83" i="1" s="1"/>
  <c r="G83" i="1"/>
  <c r="C2967" i="1"/>
  <c r="D2967" i="1" s="1"/>
  <c r="B2968" i="1"/>
  <c r="C2559" i="1"/>
  <c r="D2559" i="1" s="1"/>
  <c r="B2560" i="1"/>
  <c r="B1386" i="1"/>
  <c r="C1385" i="1"/>
  <c r="D1385" i="1" s="1"/>
  <c r="B908" i="1"/>
  <c r="C907" i="1"/>
  <c r="D907" i="1" s="1"/>
  <c r="C171" i="1"/>
  <c r="D171" i="1" s="1"/>
  <c r="B172" i="1"/>
  <c r="I83" i="1" l="1"/>
  <c r="E84" i="1" s="1"/>
  <c r="B2969" i="1"/>
  <c r="C2968" i="1"/>
  <c r="D2968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H84" i="1" l="1"/>
  <c r="G84" i="1"/>
  <c r="B2970" i="1"/>
  <c r="C2969" i="1"/>
  <c r="D2969" i="1" s="1"/>
  <c r="C2561" i="1"/>
  <c r="D2561" i="1" s="1"/>
  <c r="B2562" i="1"/>
  <c r="B1388" i="1"/>
  <c r="C1387" i="1"/>
  <c r="D1387" i="1" s="1"/>
  <c r="B910" i="1"/>
  <c r="C909" i="1"/>
  <c r="D909" i="1" s="1"/>
  <c r="C173" i="1"/>
  <c r="D173" i="1" s="1"/>
  <c r="B174" i="1"/>
  <c r="F84" i="1" l="1"/>
  <c r="C2970" i="1"/>
  <c r="D2970" i="1" s="1"/>
  <c r="B2971" i="1"/>
  <c r="C2562" i="1"/>
  <c r="D2562" i="1" s="1"/>
  <c r="B2563" i="1"/>
  <c r="C1388" i="1"/>
  <c r="D1388" i="1" s="1"/>
  <c r="B1389" i="1"/>
  <c r="B911" i="1"/>
  <c r="C910" i="1"/>
  <c r="D910" i="1" s="1"/>
  <c r="C174" i="1"/>
  <c r="D174" i="1" s="1"/>
  <c r="B175" i="1"/>
  <c r="I84" i="1" l="1"/>
  <c r="E85" i="1" s="1"/>
  <c r="C2971" i="1"/>
  <c r="D2971" i="1" s="1"/>
  <c r="B2972" i="1"/>
  <c r="C2972" i="1" s="1"/>
  <c r="D2972" i="1" s="1"/>
  <c r="C2563" i="1"/>
  <c r="D2563" i="1" s="1"/>
  <c r="B2564" i="1"/>
  <c r="C1389" i="1"/>
  <c r="D1389" i="1" s="1"/>
  <c r="B1390" i="1"/>
  <c r="C911" i="1"/>
  <c r="D911" i="1" s="1"/>
  <c r="B912" i="1"/>
  <c r="C175" i="1"/>
  <c r="D175" i="1" s="1"/>
  <c r="B176" i="1"/>
  <c r="G85" i="1" l="1"/>
  <c r="H85" i="1"/>
  <c r="F85" i="1" s="1"/>
  <c r="B2565" i="1"/>
  <c r="C2564" i="1"/>
  <c r="D2564" i="1" s="1"/>
  <c r="B1391" i="1"/>
  <c r="C1390" i="1"/>
  <c r="D1390" i="1" s="1"/>
  <c r="C912" i="1"/>
  <c r="D912" i="1" s="1"/>
  <c r="B913" i="1"/>
  <c r="B177" i="1"/>
  <c r="C176" i="1"/>
  <c r="D176" i="1" s="1"/>
  <c r="I85" i="1" l="1"/>
  <c r="E86" i="1" s="1"/>
  <c r="C2565" i="1"/>
  <c r="D2565" i="1" s="1"/>
  <c r="B2566" i="1"/>
  <c r="B1392" i="1"/>
  <c r="C1391" i="1"/>
  <c r="D1391" i="1" s="1"/>
  <c r="C913" i="1"/>
  <c r="D913" i="1" s="1"/>
  <c r="B914" i="1"/>
  <c r="C177" i="1"/>
  <c r="D177" i="1" s="1"/>
  <c r="B178" i="1"/>
  <c r="H86" i="1" l="1"/>
  <c r="F86" i="1" s="1"/>
  <c r="G86" i="1"/>
  <c r="B2567" i="1"/>
  <c r="C2566" i="1"/>
  <c r="D2566" i="1" s="1"/>
  <c r="C1392" i="1"/>
  <c r="D1392" i="1" s="1"/>
  <c r="B1393" i="1"/>
  <c r="C914" i="1"/>
  <c r="D914" i="1" s="1"/>
  <c r="B915" i="1"/>
  <c r="C178" i="1"/>
  <c r="D178" i="1" s="1"/>
  <c r="B179" i="1"/>
  <c r="I86" i="1" l="1"/>
  <c r="E87" i="1" s="1"/>
  <c r="C2567" i="1"/>
  <c r="D2567" i="1" s="1"/>
  <c r="B2568" i="1"/>
  <c r="C1393" i="1"/>
  <c r="D1393" i="1" s="1"/>
  <c r="B1394" i="1"/>
  <c r="C915" i="1"/>
  <c r="D915" i="1" s="1"/>
  <c r="B916" i="1"/>
  <c r="C179" i="1"/>
  <c r="D179" i="1" s="1"/>
  <c r="B180" i="1"/>
  <c r="H87" i="1" l="1"/>
  <c r="F87" i="1" s="1"/>
  <c r="G87" i="1"/>
  <c r="C2568" i="1"/>
  <c r="D2568" i="1" s="1"/>
  <c r="B2569" i="1"/>
  <c r="C1394" i="1"/>
  <c r="D1394" i="1" s="1"/>
  <c r="B1395" i="1"/>
  <c r="B917" i="1"/>
  <c r="C916" i="1"/>
  <c r="D916" i="1" s="1"/>
  <c r="C180" i="1"/>
  <c r="D180" i="1" s="1"/>
  <c r="B181" i="1"/>
  <c r="I87" i="1" l="1"/>
  <c r="E88" i="1" s="1"/>
  <c r="B2570" i="1"/>
  <c r="C2569" i="1"/>
  <c r="D2569" i="1" s="1"/>
  <c r="B1396" i="1"/>
  <c r="C1395" i="1"/>
  <c r="D1395" i="1" s="1"/>
  <c r="C917" i="1"/>
  <c r="D917" i="1" s="1"/>
  <c r="B918" i="1"/>
  <c r="C181" i="1"/>
  <c r="D181" i="1" s="1"/>
  <c r="B182" i="1"/>
  <c r="H88" i="1" l="1"/>
  <c r="F88" i="1" s="1"/>
  <c r="G88" i="1"/>
  <c r="B2571" i="1"/>
  <c r="C2570" i="1"/>
  <c r="D2570" i="1" s="1"/>
  <c r="C1396" i="1"/>
  <c r="D1396" i="1" s="1"/>
  <c r="B1397" i="1"/>
  <c r="B919" i="1"/>
  <c r="C918" i="1"/>
  <c r="D918" i="1" s="1"/>
  <c r="C182" i="1"/>
  <c r="D182" i="1" s="1"/>
  <c r="B183" i="1"/>
  <c r="I88" i="1" l="1"/>
  <c r="E89" i="1" s="1"/>
  <c r="C2571" i="1"/>
  <c r="D2571" i="1" s="1"/>
  <c r="B2572" i="1"/>
  <c r="B1398" i="1"/>
  <c r="C1397" i="1"/>
  <c r="D1397" i="1" s="1"/>
  <c r="B920" i="1"/>
  <c r="C919" i="1"/>
  <c r="D919" i="1" s="1"/>
  <c r="C183" i="1"/>
  <c r="D183" i="1" s="1"/>
  <c r="B184" i="1"/>
  <c r="G89" i="1" l="1"/>
  <c r="H89" i="1"/>
  <c r="F89" i="1"/>
  <c r="C2572" i="1"/>
  <c r="D2572" i="1" s="1"/>
  <c r="B2573" i="1"/>
  <c r="C1398" i="1"/>
  <c r="D1398" i="1" s="1"/>
  <c r="B1399" i="1"/>
  <c r="C920" i="1"/>
  <c r="D920" i="1" s="1"/>
  <c r="B921" i="1"/>
  <c r="C184" i="1"/>
  <c r="D184" i="1" s="1"/>
  <c r="B185" i="1"/>
  <c r="I89" i="1" l="1"/>
  <c r="E90" i="1" s="1"/>
  <c r="C2573" i="1"/>
  <c r="D2573" i="1" s="1"/>
  <c r="B2574" i="1"/>
  <c r="C1399" i="1"/>
  <c r="D1399" i="1" s="1"/>
  <c r="B1400" i="1"/>
  <c r="B922" i="1"/>
  <c r="C921" i="1"/>
  <c r="D921" i="1" s="1"/>
  <c r="C185" i="1"/>
  <c r="D185" i="1" s="1"/>
  <c r="B186" i="1"/>
  <c r="H90" i="1" l="1"/>
  <c r="G90" i="1"/>
  <c r="B2575" i="1"/>
  <c r="C2574" i="1"/>
  <c r="D2574" i="1" s="1"/>
  <c r="C1400" i="1"/>
  <c r="D1400" i="1" s="1"/>
  <c r="B1401" i="1"/>
  <c r="C922" i="1"/>
  <c r="D922" i="1" s="1"/>
  <c r="B923" i="1"/>
  <c r="C186" i="1"/>
  <c r="D186" i="1" s="1"/>
  <c r="B187" i="1"/>
  <c r="F90" i="1" l="1"/>
  <c r="I90" i="1" s="1"/>
  <c r="E91" i="1" s="1"/>
  <c r="C2575" i="1"/>
  <c r="D2575" i="1" s="1"/>
  <c r="B2576" i="1"/>
  <c r="B1402" i="1"/>
  <c r="C1401" i="1"/>
  <c r="D1401" i="1" s="1"/>
  <c r="C923" i="1"/>
  <c r="D923" i="1" s="1"/>
  <c r="B924" i="1"/>
  <c r="C187" i="1"/>
  <c r="D187" i="1" s="1"/>
  <c r="B188" i="1"/>
  <c r="H91" i="1" l="1"/>
  <c r="G91" i="1"/>
  <c r="B2577" i="1"/>
  <c r="C2576" i="1"/>
  <c r="D2576" i="1" s="1"/>
  <c r="C1402" i="1"/>
  <c r="D1402" i="1" s="1"/>
  <c r="B1403" i="1"/>
  <c r="C924" i="1"/>
  <c r="D924" i="1" s="1"/>
  <c r="B925" i="1"/>
  <c r="C188" i="1"/>
  <c r="D188" i="1" s="1"/>
  <c r="B189" i="1"/>
  <c r="F91" i="1" l="1"/>
  <c r="B2578" i="1"/>
  <c r="C2577" i="1"/>
  <c r="D2577" i="1" s="1"/>
  <c r="B1404" i="1"/>
  <c r="C1403" i="1"/>
  <c r="D1403" i="1" s="1"/>
  <c r="B926" i="1"/>
  <c r="C925" i="1"/>
  <c r="D925" i="1" s="1"/>
  <c r="C189" i="1"/>
  <c r="D189" i="1" s="1"/>
  <c r="B190" i="1"/>
  <c r="I91" i="1" l="1"/>
  <c r="E92" i="1" s="1"/>
  <c r="C2578" i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G92" i="1" l="1"/>
  <c r="H92" i="1"/>
  <c r="F92" i="1"/>
  <c r="C2579" i="1"/>
  <c r="D2579" i="1" s="1"/>
  <c r="B2580" i="1"/>
  <c r="C1405" i="1"/>
  <c r="D1405" i="1" s="1"/>
  <c r="B1406" i="1"/>
  <c r="C927" i="1"/>
  <c r="D927" i="1" s="1"/>
  <c r="B928" i="1"/>
  <c r="B192" i="1"/>
  <c r="C191" i="1"/>
  <c r="D191" i="1" s="1"/>
  <c r="I92" i="1" l="1"/>
  <c r="E93" i="1" s="1"/>
  <c r="B2581" i="1"/>
  <c r="C2580" i="1"/>
  <c r="D2580" i="1" s="1"/>
  <c r="B1407" i="1"/>
  <c r="C1406" i="1"/>
  <c r="D1406" i="1" s="1"/>
  <c r="C928" i="1"/>
  <c r="D928" i="1" s="1"/>
  <c r="B929" i="1"/>
  <c r="B193" i="1"/>
  <c r="C192" i="1"/>
  <c r="D192" i="1" s="1"/>
  <c r="G93" i="1" l="1"/>
  <c r="H93" i="1"/>
  <c r="C2581" i="1"/>
  <c r="D2581" i="1" s="1"/>
  <c r="B2582" i="1"/>
  <c r="C1407" i="1"/>
  <c r="D1407" i="1" s="1"/>
  <c r="B1408" i="1"/>
  <c r="B930" i="1"/>
  <c r="C929" i="1"/>
  <c r="D929" i="1" s="1"/>
  <c r="C193" i="1"/>
  <c r="D193" i="1" s="1"/>
  <c r="B194" i="1"/>
  <c r="F93" i="1" l="1"/>
  <c r="C2582" i="1"/>
  <c r="D2582" i="1" s="1"/>
  <c r="B2583" i="1"/>
  <c r="B1409" i="1"/>
  <c r="C1408" i="1"/>
  <c r="D1408" i="1" s="1"/>
  <c r="C930" i="1"/>
  <c r="D930" i="1" s="1"/>
  <c r="B931" i="1"/>
  <c r="B195" i="1"/>
  <c r="C194" i="1"/>
  <c r="D194" i="1" s="1"/>
  <c r="I93" i="1" l="1"/>
  <c r="E94" i="1" s="1"/>
  <c r="C2583" i="1"/>
  <c r="D2583" i="1" s="1"/>
  <c r="B2584" i="1"/>
  <c r="C1409" i="1"/>
  <c r="D1409" i="1" s="1"/>
  <c r="B1410" i="1"/>
  <c r="B932" i="1"/>
  <c r="C931" i="1"/>
  <c r="D931" i="1" s="1"/>
  <c r="C195" i="1"/>
  <c r="D195" i="1" s="1"/>
  <c r="B196" i="1"/>
  <c r="H94" i="1" l="1"/>
  <c r="G94" i="1"/>
  <c r="F94" i="1"/>
  <c r="B2585" i="1"/>
  <c r="C2584" i="1"/>
  <c r="D2584" i="1" s="1"/>
  <c r="C1410" i="1"/>
  <c r="D1410" i="1" s="1"/>
  <c r="B1411" i="1"/>
  <c r="C932" i="1"/>
  <c r="D932" i="1" s="1"/>
  <c r="B933" i="1"/>
  <c r="C196" i="1"/>
  <c r="D196" i="1" s="1"/>
  <c r="B197" i="1"/>
  <c r="I94" i="1" l="1"/>
  <c r="E95" i="1" s="1"/>
  <c r="C2585" i="1"/>
  <c r="D2585" i="1" s="1"/>
  <c r="B2586" i="1"/>
  <c r="B1412" i="1"/>
  <c r="C1411" i="1"/>
  <c r="D1411" i="1" s="1"/>
  <c r="C933" i="1"/>
  <c r="D933" i="1" s="1"/>
  <c r="B934" i="1"/>
  <c r="C197" i="1"/>
  <c r="D197" i="1" s="1"/>
  <c r="B198" i="1"/>
  <c r="G95" i="1" l="1"/>
  <c r="H95" i="1"/>
  <c r="F95" i="1" s="1"/>
  <c r="B2587" i="1"/>
  <c r="C2586" i="1"/>
  <c r="D2586" i="1" s="1"/>
  <c r="B1413" i="1"/>
  <c r="C1412" i="1"/>
  <c r="D1412" i="1" s="1"/>
  <c r="C934" i="1"/>
  <c r="D934" i="1" s="1"/>
  <c r="B935" i="1"/>
  <c r="C198" i="1"/>
  <c r="D198" i="1" s="1"/>
  <c r="B199" i="1"/>
  <c r="I95" i="1" l="1"/>
  <c r="E96" i="1" s="1"/>
  <c r="C2587" i="1"/>
  <c r="D2587" i="1" s="1"/>
  <c r="B2588" i="1"/>
  <c r="C1413" i="1"/>
  <c r="D1413" i="1" s="1"/>
  <c r="B1414" i="1"/>
  <c r="B936" i="1"/>
  <c r="C935" i="1"/>
  <c r="D935" i="1" s="1"/>
  <c r="B200" i="1"/>
  <c r="C199" i="1"/>
  <c r="D199" i="1" s="1"/>
  <c r="H96" i="1" l="1"/>
  <c r="G96" i="1"/>
  <c r="C2588" i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F96" i="1" l="1"/>
  <c r="C2589" i="1"/>
  <c r="D2589" i="1" s="1"/>
  <c r="B2590" i="1"/>
  <c r="B1416" i="1"/>
  <c r="C1415" i="1"/>
  <c r="D1415" i="1" s="1"/>
  <c r="B938" i="1"/>
  <c r="C937" i="1"/>
  <c r="D937" i="1" s="1"/>
  <c r="C201" i="1"/>
  <c r="D201" i="1" s="1"/>
  <c r="B202" i="1"/>
  <c r="I96" i="1" l="1"/>
  <c r="E97" i="1" s="1"/>
  <c r="C2590" i="1"/>
  <c r="D2590" i="1" s="1"/>
  <c r="B2591" i="1"/>
  <c r="B1417" i="1"/>
  <c r="C1416" i="1"/>
  <c r="D1416" i="1" s="1"/>
  <c r="C938" i="1"/>
  <c r="D938" i="1" s="1"/>
  <c r="B939" i="1"/>
  <c r="C202" i="1"/>
  <c r="D202" i="1" s="1"/>
  <c r="B203" i="1"/>
  <c r="G97" i="1" l="1"/>
  <c r="H97" i="1"/>
  <c r="F97" i="1"/>
  <c r="C2591" i="1"/>
  <c r="D2591" i="1" s="1"/>
  <c r="B2592" i="1"/>
  <c r="C1417" i="1"/>
  <c r="D1417" i="1" s="1"/>
  <c r="B1418" i="1"/>
  <c r="C939" i="1"/>
  <c r="D939" i="1" s="1"/>
  <c r="B940" i="1"/>
  <c r="C203" i="1"/>
  <c r="D203" i="1" s="1"/>
  <c r="B204" i="1"/>
  <c r="I97" i="1" l="1"/>
  <c r="E98" i="1" s="1"/>
  <c r="C2592" i="1"/>
  <c r="D2592" i="1" s="1"/>
  <c r="B2593" i="1"/>
  <c r="C1418" i="1"/>
  <c r="D1418" i="1" s="1"/>
  <c r="B1419" i="1"/>
  <c r="C940" i="1"/>
  <c r="D940" i="1" s="1"/>
  <c r="B941" i="1"/>
  <c r="C204" i="1"/>
  <c r="D204" i="1" s="1"/>
  <c r="B205" i="1"/>
  <c r="H98" i="1" l="1"/>
  <c r="F98" i="1" s="1"/>
  <c r="G98" i="1"/>
  <c r="C2593" i="1"/>
  <c r="D2593" i="1" s="1"/>
  <c r="B2594" i="1"/>
  <c r="B1420" i="1"/>
  <c r="C1419" i="1"/>
  <c r="D1419" i="1" s="1"/>
  <c r="B942" i="1"/>
  <c r="C941" i="1"/>
  <c r="D941" i="1" s="1"/>
  <c r="B206" i="1"/>
  <c r="C205" i="1"/>
  <c r="D205" i="1" s="1"/>
  <c r="I98" i="1" l="1"/>
  <c r="E99" i="1" s="1"/>
  <c r="C2594" i="1"/>
  <c r="D2594" i="1" s="1"/>
  <c r="B2595" i="1"/>
  <c r="C1420" i="1"/>
  <c r="D1420" i="1" s="1"/>
  <c r="B1421" i="1"/>
  <c r="B943" i="1"/>
  <c r="C942" i="1"/>
  <c r="D942" i="1" s="1"/>
  <c r="C206" i="1"/>
  <c r="D206" i="1" s="1"/>
  <c r="B207" i="1"/>
  <c r="H99" i="1" l="1"/>
  <c r="F99" i="1" s="1"/>
  <c r="G99" i="1"/>
  <c r="C2595" i="1"/>
  <c r="D2595" i="1" s="1"/>
  <c r="B2596" i="1"/>
  <c r="C1421" i="1"/>
  <c r="D1421" i="1" s="1"/>
  <c r="B1422" i="1"/>
  <c r="B944" i="1"/>
  <c r="C943" i="1"/>
  <c r="D943" i="1" s="1"/>
  <c r="C207" i="1"/>
  <c r="D207" i="1" s="1"/>
  <c r="B208" i="1"/>
  <c r="I99" i="1" l="1"/>
  <c r="E100" i="1" s="1"/>
  <c r="C2596" i="1"/>
  <c r="D2596" i="1" s="1"/>
  <c r="B2597" i="1"/>
  <c r="B1423" i="1"/>
  <c r="C1422" i="1"/>
  <c r="D1422" i="1" s="1"/>
  <c r="C944" i="1"/>
  <c r="D944" i="1" s="1"/>
  <c r="B945" i="1"/>
  <c r="C208" i="1"/>
  <c r="D208" i="1" s="1"/>
  <c r="B209" i="1"/>
  <c r="H100" i="1" l="1"/>
  <c r="F100" i="1" s="1"/>
  <c r="G100" i="1"/>
  <c r="C2597" i="1"/>
  <c r="D2597" i="1" s="1"/>
  <c r="B2598" i="1"/>
  <c r="B1424" i="1"/>
  <c r="C1423" i="1"/>
  <c r="D1423" i="1" s="1"/>
  <c r="C945" i="1"/>
  <c r="D945" i="1" s="1"/>
  <c r="B946" i="1"/>
  <c r="C209" i="1"/>
  <c r="D209" i="1" s="1"/>
  <c r="B210" i="1"/>
  <c r="I100" i="1" l="1"/>
  <c r="E101" i="1" s="1"/>
  <c r="C2598" i="1"/>
  <c r="D2598" i="1" s="1"/>
  <c r="B2599" i="1"/>
  <c r="C1424" i="1"/>
  <c r="D1424" i="1" s="1"/>
  <c r="B1425" i="1"/>
  <c r="B947" i="1"/>
  <c r="C946" i="1"/>
  <c r="D946" i="1" s="1"/>
  <c r="C210" i="1"/>
  <c r="D210" i="1" s="1"/>
  <c r="B211" i="1"/>
  <c r="H101" i="1" l="1"/>
  <c r="F101" i="1" s="1"/>
  <c r="G101" i="1"/>
  <c r="C2599" i="1"/>
  <c r="D2599" i="1" s="1"/>
  <c r="B2600" i="1"/>
  <c r="C1425" i="1"/>
  <c r="D1425" i="1" s="1"/>
  <c r="B1426" i="1"/>
  <c r="B948" i="1"/>
  <c r="C947" i="1"/>
  <c r="D947" i="1" s="1"/>
  <c r="C211" i="1"/>
  <c r="D211" i="1" s="1"/>
  <c r="B212" i="1"/>
  <c r="I101" i="1" l="1"/>
  <c r="E102" i="1" s="1"/>
  <c r="C2600" i="1"/>
  <c r="D2600" i="1" s="1"/>
  <c r="B2601" i="1"/>
  <c r="C1426" i="1"/>
  <c r="D1426" i="1" s="1"/>
  <c r="B1427" i="1"/>
  <c r="C948" i="1"/>
  <c r="D948" i="1" s="1"/>
  <c r="B949" i="1"/>
  <c r="B213" i="1"/>
  <c r="C212" i="1"/>
  <c r="D212" i="1" s="1"/>
  <c r="H102" i="1" l="1"/>
  <c r="F102" i="1" s="1"/>
  <c r="G102" i="1"/>
  <c r="C2601" i="1"/>
  <c r="D2601" i="1" s="1"/>
  <c r="B2602" i="1"/>
  <c r="C1427" i="1"/>
  <c r="D1427" i="1" s="1"/>
  <c r="B1428" i="1"/>
  <c r="B950" i="1"/>
  <c r="C949" i="1"/>
  <c r="D949" i="1" s="1"/>
  <c r="B214" i="1"/>
  <c r="C213" i="1"/>
  <c r="D213" i="1" s="1"/>
  <c r="I102" i="1" l="1"/>
  <c r="E103" i="1" s="1"/>
  <c r="C2602" i="1"/>
  <c r="D2602" i="1" s="1"/>
  <c r="B2603" i="1"/>
  <c r="B1429" i="1"/>
  <c r="C1428" i="1"/>
  <c r="D1428" i="1" s="1"/>
  <c r="B951" i="1"/>
  <c r="C950" i="1"/>
  <c r="D950" i="1" s="1"/>
  <c r="C214" i="1"/>
  <c r="D214" i="1" s="1"/>
  <c r="B215" i="1"/>
  <c r="H103" i="1" l="1"/>
  <c r="G103" i="1"/>
  <c r="F103" i="1"/>
  <c r="C2603" i="1"/>
  <c r="D2603" i="1" s="1"/>
  <c r="B2604" i="1"/>
  <c r="C1429" i="1"/>
  <c r="D1429" i="1" s="1"/>
  <c r="B1430" i="1"/>
  <c r="C951" i="1"/>
  <c r="D951" i="1" s="1"/>
  <c r="B952" i="1"/>
  <c r="C215" i="1"/>
  <c r="D215" i="1" s="1"/>
  <c r="B216" i="1"/>
  <c r="I103" i="1" l="1"/>
  <c r="E104" i="1" s="1"/>
  <c r="C2604" i="1"/>
  <c r="D2604" i="1" s="1"/>
  <c r="B2605" i="1"/>
  <c r="C1430" i="1"/>
  <c r="D1430" i="1" s="1"/>
  <c r="B1431" i="1"/>
  <c r="C952" i="1"/>
  <c r="D952" i="1" s="1"/>
  <c r="B953" i="1"/>
  <c r="C216" i="1"/>
  <c r="D216" i="1" s="1"/>
  <c r="B217" i="1"/>
  <c r="H104" i="1" l="1"/>
  <c r="F104" i="1" s="1"/>
  <c r="G104" i="1"/>
  <c r="C2605" i="1"/>
  <c r="D2605" i="1" s="1"/>
  <c r="B2606" i="1"/>
  <c r="C1431" i="1"/>
  <c r="D1431" i="1" s="1"/>
  <c r="B1432" i="1"/>
  <c r="B954" i="1"/>
  <c r="C953" i="1"/>
  <c r="D953" i="1" s="1"/>
  <c r="C217" i="1"/>
  <c r="D217" i="1" s="1"/>
  <c r="B218" i="1"/>
  <c r="I104" i="1" l="1"/>
  <c r="E105" i="1" s="1"/>
  <c r="B2607" i="1"/>
  <c r="C2606" i="1"/>
  <c r="D2606" i="1" s="1"/>
  <c r="B1433" i="1"/>
  <c r="C1432" i="1"/>
  <c r="D1432" i="1" s="1"/>
  <c r="C954" i="1"/>
  <c r="D954" i="1" s="1"/>
  <c r="B955" i="1"/>
  <c r="C218" i="1"/>
  <c r="D218" i="1" s="1"/>
  <c r="B219" i="1"/>
  <c r="G105" i="1" l="1"/>
  <c r="H105" i="1"/>
  <c r="F105" i="1" s="1"/>
  <c r="C2607" i="1"/>
  <c r="D2607" i="1" s="1"/>
  <c r="B2608" i="1"/>
  <c r="C1433" i="1"/>
  <c r="D1433" i="1" s="1"/>
  <c r="B1434" i="1"/>
  <c r="C955" i="1"/>
  <c r="D955" i="1" s="1"/>
  <c r="B956" i="1"/>
  <c r="C219" i="1"/>
  <c r="D219" i="1" s="1"/>
  <c r="B220" i="1"/>
  <c r="I105" i="1" l="1"/>
  <c r="E106" i="1" s="1"/>
  <c r="C2608" i="1"/>
  <c r="D2608" i="1" s="1"/>
  <c r="B2609" i="1"/>
  <c r="C1434" i="1"/>
  <c r="D1434" i="1" s="1"/>
  <c r="B1435" i="1"/>
  <c r="C956" i="1"/>
  <c r="D956" i="1" s="1"/>
  <c r="B957" i="1"/>
  <c r="C220" i="1"/>
  <c r="D220" i="1" s="1"/>
  <c r="B221" i="1"/>
  <c r="H106" i="1" l="1"/>
  <c r="F106" i="1" s="1"/>
  <c r="G106" i="1"/>
  <c r="C2609" i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06" i="1" l="1"/>
  <c r="E107" i="1" s="1"/>
  <c r="C2610" i="1"/>
  <c r="D2610" i="1" s="1"/>
  <c r="B2611" i="1"/>
  <c r="B1437" i="1"/>
  <c r="C1436" i="1"/>
  <c r="D1436" i="1" s="1"/>
  <c r="C958" i="1"/>
  <c r="D958" i="1" s="1"/>
  <c r="B959" i="1"/>
  <c r="C222" i="1"/>
  <c r="D222" i="1" s="1"/>
  <c r="B223" i="1"/>
  <c r="H107" i="1" l="1"/>
  <c r="F107" i="1" s="1"/>
  <c r="G107" i="1"/>
  <c r="C2611" i="1"/>
  <c r="D2611" i="1" s="1"/>
  <c r="B2612" i="1"/>
  <c r="C1437" i="1"/>
  <c r="D1437" i="1" s="1"/>
  <c r="B1438" i="1"/>
  <c r="C959" i="1"/>
  <c r="D959" i="1" s="1"/>
  <c r="B960" i="1"/>
  <c r="C223" i="1"/>
  <c r="D223" i="1" s="1"/>
  <c r="B224" i="1"/>
  <c r="I107" i="1" l="1"/>
  <c r="E108" i="1" s="1"/>
  <c r="C2612" i="1"/>
  <c r="D2612" i="1" s="1"/>
  <c r="B2613" i="1"/>
  <c r="B1439" i="1"/>
  <c r="C1438" i="1"/>
  <c r="D1438" i="1" s="1"/>
  <c r="C960" i="1"/>
  <c r="D960" i="1" s="1"/>
  <c r="B961" i="1"/>
  <c r="C224" i="1"/>
  <c r="D224" i="1" s="1"/>
  <c r="B225" i="1"/>
  <c r="H108" i="1" l="1"/>
  <c r="F108" i="1" s="1"/>
  <c r="G108" i="1"/>
  <c r="C2613" i="1"/>
  <c r="D2613" i="1" s="1"/>
  <c r="B2614" i="1"/>
  <c r="B1440" i="1"/>
  <c r="C1439" i="1"/>
  <c r="D1439" i="1" s="1"/>
  <c r="C961" i="1"/>
  <c r="D961" i="1" s="1"/>
  <c r="B962" i="1"/>
  <c r="C225" i="1"/>
  <c r="D225" i="1" s="1"/>
  <c r="B226" i="1"/>
  <c r="I108" i="1" l="1"/>
  <c r="E109" i="1" s="1"/>
  <c r="C2614" i="1"/>
  <c r="D2614" i="1" s="1"/>
  <c r="B2615" i="1"/>
  <c r="B1441" i="1"/>
  <c r="C1440" i="1"/>
  <c r="D1440" i="1" s="1"/>
  <c r="C962" i="1"/>
  <c r="D962" i="1" s="1"/>
  <c r="B963" i="1"/>
  <c r="C226" i="1"/>
  <c r="D226" i="1" s="1"/>
  <c r="B227" i="1"/>
  <c r="H109" i="1" l="1"/>
  <c r="G109" i="1"/>
  <c r="C2615" i="1"/>
  <c r="D2615" i="1" s="1"/>
  <c r="B2616" i="1"/>
  <c r="C1441" i="1"/>
  <c r="D1441" i="1" s="1"/>
  <c r="B1442" i="1"/>
  <c r="C963" i="1"/>
  <c r="D963" i="1" s="1"/>
  <c r="B964" i="1"/>
  <c r="C227" i="1"/>
  <c r="D227" i="1" s="1"/>
  <c r="B228" i="1"/>
  <c r="F109" i="1" l="1"/>
  <c r="C2616" i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I109" i="1" l="1"/>
  <c r="E110" i="1" s="1"/>
  <c r="C2617" i="1"/>
  <c r="D2617" i="1" s="1"/>
  <c r="B2618" i="1"/>
  <c r="B1444" i="1"/>
  <c r="C1443" i="1"/>
  <c r="D1443" i="1" s="1"/>
  <c r="C965" i="1"/>
  <c r="D965" i="1" s="1"/>
  <c r="B966" i="1"/>
  <c r="B230" i="1"/>
  <c r="C229" i="1"/>
  <c r="D229" i="1" s="1"/>
  <c r="H110" i="1" l="1"/>
  <c r="F110" i="1" s="1"/>
  <c r="G110" i="1"/>
  <c r="B2619" i="1"/>
  <c r="C2618" i="1"/>
  <c r="D2618" i="1" s="1"/>
  <c r="C1444" i="1"/>
  <c r="D1444" i="1" s="1"/>
  <c r="B1445" i="1"/>
  <c r="C966" i="1"/>
  <c r="D966" i="1" s="1"/>
  <c r="B967" i="1"/>
  <c r="B231" i="1"/>
  <c r="C230" i="1"/>
  <c r="D230" i="1" s="1"/>
  <c r="I110" i="1" l="1"/>
  <c r="E111" i="1" s="1"/>
  <c r="C2619" i="1"/>
  <c r="D2619" i="1" s="1"/>
  <c r="B2620" i="1"/>
  <c r="C1445" i="1"/>
  <c r="D1445" i="1" s="1"/>
  <c r="B1446" i="1"/>
  <c r="C967" i="1"/>
  <c r="D967" i="1" s="1"/>
  <c r="B968" i="1"/>
  <c r="C231" i="1"/>
  <c r="D231" i="1" s="1"/>
  <c r="B232" i="1"/>
  <c r="G111" i="1" l="1"/>
  <c r="H111" i="1"/>
  <c r="F111" i="1" s="1"/>
  <c r="C2620" i="1"/>
  <c r="D2620" i="1" s="1"/>
  <c r="B2621" i="1"/>
  <c r="B1447" i="1"/>
  <c r="C1446" i="1"/>
  <c r="D1446" i="1" s="1"/>
  <c r="C968" i="1"/>
  <c r="D968" i="1" s="1"/>
  <c r="B969" i="1"/>
  <c r="C232" i="1"/>
  <c r="D232" i="1" s="1"/>
  <c r="B233" i="1"/>
  <c r="I111" i="1" l="1"/>
  <c r="E112" i="1" s="1"/>
  <c r="B2622" i="1"/>
  <c r="C2621" i="1"/>
  <c r="D2621" i="1" s="1"/>
  <c r="B1448" i="1"/>
  <c r="C1447" i="1"/>
  <c r="D1447" i="1" s="1"/>
  <c r="C969" i="1"/>
  <c r="D969" i="1" s="1"/>
  <c r="B970" i="1"/>
  <c r="C233" i="1"/>
  <c r="D233" i="1" s="1"/>
  <c r="B234" i="1"/>
  <c r="G112" i="1" l="1"/>
  <c r="H112" i="1"/>
  <c r="F112" i="1"/>
  <c r="B2623" i="1"/>
  <c r="C2622" i="1"/>
  <c r="D2622" i="1" s="1"/>
  <c r="B1449" i="1"/>
  <c r="C1448" i="1"/>
  <c r="D1448" i="1" s="1"/>
  <c r="C970" i="1"/>
  <c r="D970" i="1" s="1"/>
  <c r="B971" i="1"/>
  <c r="C234" i="1"/>
  <c r="D234" i="1" s="1"/>
  <c r="B235" i="1"/>
  <c r="I112" i="1" l="1"/>
  <c r="E113" i="1" s="1"/>
  <c r="C2623" i="1"/>
  <c r="D2623" i="1" s="1"/>
  <c r="B2624" i="1"/>
  <c r="C1449" i="1"/>
  <c r="D1449" i="1" s="1"/>
  <c r="B1450" i="1"/>
  <c r="C971" i="1"/>
  <c r="D971" i="1" s="1"/>
  <c r="B972" i="1"/>
  <c r="B236" i="1"/>
  <c r="C235" i="1"/>
  <c r="D235" i="1" s="1"/>
  <c r="H113" i="1" l="1"/>
  <c r="G113" i="1"/>
  <c r="F113" i="1"/>
  <c r="C2624" i="1"/>
  <c r="D2624" i="1" s="1"/>
  <c r="B2625" i="1"/>
  <c r="C1450" i="1"/>
  <c r="D1450" i="1" s="1"/>
  <c r="B1451" i="1"/>
  <c r="C972" i="1"/>
  <c r="D972" i="1" s="1"/>
  <c r="B973" i="1"/>
  <c r="C236" i="1"/>
  <c r="D236" i="1" s="1"/>
  <c r="B237" i="1"/>
  <c r="I113" i="1" l="1"/>
  <c r="E114" i="1" s="1"/>
  <c r="B2626" i="1"/>
  <c r="C2625" i="1"/>
  <c r="D2625" i="1" s="1"/>
  <c r="C1451" i="1"/>
  <c r="D1451" i="1" s="1"/>
  <c r="B1452" i="1"/>
  <c r="C973" i="1"/>
  <c r="D973" i="1" s="1"/>
  <c r="B974" i="1"/>
  <c r="B238" i="1"/>
  <c r="C237" i="1"/>
  <c r="D237" i="1" s="1"/>
  <c r="H114" i="1" l="1"/>
  <c r="F114" i="1" s="1"/>
  <c r="G114" i="1"/>
  <c r="B2627" i="1"/>
  <c r="C2626" i="1"/>
  <c r="D2626" i="1" s="1"/>
  <c r="C1452" i="1"/>
  <c r="D1452" i="1" s="1"/>
  <c r="B1453" i="1"/>
  <c r="C974" i="1"/>
  <c r="D974" i="1" s="1"/>
  <c r="B975" i="1"/>
  <c r="C238" i="1"/>
  <c r="D238" i="1" s="1"/>
  <c r="B239" i="1"/>
  <c r="I114" i="1" l="1"/>
  <c r="E115" i="1" s="1"/>
  <c r="C2627" i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G115" i="1" l="1"/>
  <c r="H115" i="1"/>
  <c r="F115" i="1"/>
  <c r="B2629" i="1"/>
  <c r="C2628" i="1"/>
  <c r="D2628" i="1" s="1"/>
  <c r="C1454" i="1"/>
  <c r="D1454" i="1" s="1"/>
  <c r="B1455" i="1"/>
  <c r="C976" i="1"/>
  <c r="D976" i="1" s="1"/>
  <c r="B977" i="1"/>
  <c r="C240" i="1"/>
  <c r="D240" i="1" s="1"/>
  <c r="B241" i="1"/>
  <c r="I115" i="1" l="1"/>
  <c r="E116" i="1" s="1"/>
  <c r="B2630" i="1"/>
  <c r="C2629" i="1"/>
  <c r="D2629" i="1" s="1"/>
  <c r="C1455" i="1"/>
  <c r="D1455" i="1" s="1"/>
  <c r="B1456" i="1"/>
  <c r="C977" i="1"/>
  <c r="D977" i="1" s="1"/>
  <c r="B978" i="1"/>
  <c r="C241" i="1"/>
  <c r="D241" i="1" s="1"/>
  <c r="B242" i="1"/>
  <c r="H116" i="1" l="1"/>
  <c r="G116" i="1"/>
  <c r="F116" i="1"/>
  <c r="C2630" i="1"/>
  <c r="D2630" i="1" s="1"/>
  <c r="B2631" i="1"/>
  <c r="C1456" i="1"/>
  <c r="D1456" i="1" s="1"/>
  <c r="B1457" i="1"/>
  <c r="C978" i="1"/>
  <c r="D978" i="1" s="1"/>
  <c r="B979" i="1"/>
  <c r="C242" i="1"/>
  <c r="D242" i="1" s="1"/>
  <c r="B243" i="1"/>
  <c r="I116" i="1" l="1"/>
  <c r="E117" i="1" s="1"/>
  <c r="C2631" i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G117" i="1" l="1"/>
  <c r="H117" i="1"/>
  <c r="C2632" i="1"/>
  <c r="D2632" i="1" s="1"/>
  <c r="B2633" i="1"/>
  <c r="C1458" i="1"/>
  <c r="D1458" i="1" s="1"/>
  <c r="B1459" i="1"/>
  <c r="C980" i="1"/>
  <c r="D980" i="1" s="1"/>
  <c r="B981" i="1"/>
  <c r="C244" i="1"/>
  <c r="D244" i="1" s="1"/>
  <c r="B245" i="1"/>
  <c r="F117" i="1" l="1"/>
  <c r="I117" i="1" s="1"/>
  <c r="E118" i="1" s="1"/>
  <c r="C2633" i="1"/>
  <c r="D2633" i="1" s="1"/>
  <c r="B2634" i="1"/>
  <c r="C1459" i="1"/>
  <c r="D1459" i="1" s="1"/>
  <c r="B1460" i="1"/>
  <c r="C981" i="1"/>
  <c r="D981" i="1" s="1"/>
  <c r="B982" i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C246" i="1"/>
  <c r="D246" i="1" s="1"/>
  <c r="B247" i="1"/>
  <c r="G118" i="1" l="1"/>
  <c r="H118" i="1"/>
  <c r="C2635" i="1"/>
  <c r="D2635" i="1" s="1"/>
  <c r="B2636" i="1"/>
  <c r="C1461" i="1"/>
  <c r="D1461" i="1" s="1"/>
  <c r="B1462" i="1"/>
  <c r="C983" i="1"/>
  <c r="D983" i="1" s="1"/>
  <c r="B984" i="1"/>
  <c r="B248" i="1"/>
  <c r="C247" i="1"/>
  <c r="D247" i="1" s="1"/>
  <c r="F118" i="1" l="1"/>
  <c r="I118" i="1" s="1"/>
  <c r="E119" i="1" s="1"/>
  <c r="B2637" i="1"/>
  <c r="C2636" i="1"/>
  <c r="D2636" i="1" s="1"/>
  <c r="C1462" i="1"/>
  <c r="D1462" i="1" s="1"/>
  <c r="B1463" i="1"/>
  <c r="C984" i="1"/>
  <c r="D984" i="1" s="1"/>
  <c r="B985" i="1"/>
  <c r="C248" i="1"/>
  <c r="D248" i="1" s="1"/>
  <c r="B249" i="1"/>
  <c r="C2637" i="1" l="1"/>
  <c r="D2637" i="1" s="1"/>
  <c r="B2638" i="1"/>
  <c r="C1463" i="1"/>
  <c r="D1463" i="1" s="1"/>
  <c r="B1464" i="1"/>
  <c r="C985" i="1"/>
  <c r="D985" i="1" s="1"/>
  <c r="B986" i="1"/>
  <c r="B250" i="1"/>
  <c r="C249" i="1"/>
  <c r="D249" i="1" s="1"/>
  <c r="H119" i="1" l="1"/>
  <c r="G119" i="1"/>
  <c r="B2639" i="1"/>
  <c r="C2638" i="1"/>
  <c r="D2638" i="1" s="1"/>
  <c r="C1464" i="1"/>
  <c r="D1464" i="1" s="1"/>
  <c r="B1465" i="1"/>
  <c r="C986" i="1"/>
  <c r="D986" i="1" s="1"/>
  <c r="B987" i="1"/>
  <c r="C250" i="1"/>
  <c r="D250" i="1" s="1"/>
  <c r="B251" i="1"/>
  <c r="F119" i="1" l="1"/>
  <c r="C2639" i="1"/>
  <c r="D2639" i="1" s="1"/>
  <c r="B2640" i="1"/>
  <c r="C1465" i="1"/>
  <c r="D1465" i="1" s="1"/>
  <c r="B1466" i="1"/>
  <c r="B988" i="1"/>
  <c r="C987" i="1"/>
  <c r="D987" i="1" s="1"/>
  <c r="B252" i="1"/>
  <c r="C251" i="1"/>
  <c r="D251" i="1" s="1"/>
  <c r="I119" i="1" l="1"/>
  <c r="E120" i="1" s="1"/>
  <c r="B2641" i="1"/>
  <c r="C2640" i="1"/>
  <c r="D2640" i="1" s="1"/>
  <c r="C1466" i="1"/>
  <c r="D1466" i="1" s="1"/>
  <c r="B1467" i="1"/>
  <c r="C988" i="1"/>
  <c r="D988" i="1" s="1"/>
  <c r="B989" i="1"/>
  <c r="B253" i="1"/>
  <c r="C252" i="1"/>
  <c r="D252" i="1" s="1"/>
  <c r="H120" i="1" l="1"/>
  <c r="F120" i="1" s="1"/>
  <c r="G120" i="1"/>
  <c r="B2642" i="1"/>
  <c r="C2641" i="1"/>
  <c r="D2641" i="1" s="1"/>
  <c r="C1467" i="1"/>
  <c r="D1467" i="1" s="1"/>
  <c r="B1468" i="1"/>
  <c r="C989" i="1"/>
  <c r="D989" i="1" s="1"/>
  <c r="B990" i="1"/>
  <c r="C253" i="1"/>
  <c r="D253" i="1" s="1"/>
  <c r="B254" i="1"/>
  <c r="I120" i="1" l="1"/>
  <c r="E121" i="1" s="1"/>
  <c r="B2643" i="1"/>
  <c r="C2642" i="1"/>
  <c r="D2642" i="1" s="1"/>
  <c r="C1468" i="1"/>
  <c r="D1468" i="1" s="1"/>
  <c r="B1469" i="1"/>
  <c r="B991" i="1"/>
  <c r="C990" i="1"/>
  <c r="D990" i="1" s="1"/>
  <c r="C254" i="1"/>
  <c r="D254" i="1" s="1"/>
  <c r="B255" i="1"/>
  <c r="G121" i="1" l="1"/>
  <c r="H121" i="1"/>
  <c r="B2644" i="1"/>
  <c r="C2643" i="1"/>
  <c r="D2643" i="1" s="1"/>
  <c r="C1469" i="1"/>
  <c r="D1469" i="1" s="1"/>
  <c r="B1470" i="1"/>
  <c r="C991" i="1"/>
  <c r="D991" i="1" s="1"/>
  <c r="B992" i="1"/>
  <c r="B256" i="1"/>
  <c r="C255" i="1"/>
  <c r="D255" i="1" s="1"/>
  <c r="F121" i="1" l="1"/>
  <c r="B2645" i="1"/>
  <c r="C2644" i="1"/>
  <c r="D2644" i="1" s="1"/>
  <c r="C1470" i="1"/>
  <c r="D1470" i="1" s="1"/>
  <c r="B1471" i="1"/>
  <c r="B993" i="1"/>
  <c r="C992" i="1"/>
  <c r="D992" i="1" s="1"/>
  <c r="C256" i="1"/>
  <c r="D256" i="1" s="1"/>
  <c r="B257" i="1"/>
  <c r="I121" i="1" l="1"/>
  <c r="E122" i="1" s="1"/>
  <c r="B2646" i="1"/>
  <c r="C2645" i="1"/>
  <c r="D2645" i="1" s="1"/>
  <c r="C1471" i="1"/>
  <c r="D1471" i="1" s="1"/>
  <c r="B1472" i="1"/>
  <c r="C993" i="1"/>
  <c r="D993" i="1" s="1"/>
  <c r="B994" i="1"/>
  <c r="B258" i="1"/>
  <c r="C257" i="1"/>
  <c r="D257" i="1" s="1"/>
  <c r="G122" i="1" l="1"/>
  <c r="H122" i="1"/>
  <c r="F122" i="1" s="1"/>
  <c r="C2646" i="1"/>
  <c r="D2646" i="1" s="1"/>
  <c r="B2647" i="1"/>
  <c r="C1472" i="1"/>
  <c r="D1472" i="1" s="1"/>
  <c r="B1473" i="1"/>
  <c r="C994" i="1"/>
  <c r="D994" i="1" s="1"/>
  <c r="B995" i="1"/>
  <c r="B259" i="1"/>
  <c r="C258" i="1"/>
  <c r="D258" i="1" s="1"/>
  <c r="I122" i="1" l="1"/>
  <c r="E123" i="1" s="1"/>
  <c r="C2647" i="1"/>
  <c r="D2647" i="1" s="1"/>
  <c r="B2648" i="1"/>
  <c r="C1473" i="1"/>
  <c r="D1473" i="1" s="1"/>
  <c r="B1474" i="1"/>
  <c r="B996" i="1"/>
  <c r="C995" i="1"/>
  <c r="D995" i="1" s="1"/>
  <c r="C259" i="1"/>
  <c r="D259" i="1" s="1"/>
  <c r="B260" i="1"/>
  <c r="G123" i="1" l="1"/>
  <c r="H123" i="1"/>
  <c r="F123" i="1"/>
  <c r="C2648" i="1"/>
  <c r="D2648" i="1" s="1"/>
  <c r="B2649" i="1"/>
  <c r="C1474" i="1"/>
  <c r="D1474" i="1" s="1"/>
  <c r="B1475" i="1"/>
  <c r="B997" i="1"/>
  <c r="C996" i="1"/>
  <c r="D996" i="1" s="1"/>
  <c r="B261" i="1"/>
  <c r="C260" i="1"/>
  <c r="D260" i="1" s="1"/>
  <c r="I123" i="1" l="1"/>
  <c r="E124" i="1" s="1"/>
  <c r="C2649" i="1"/>
  <c r="D2649" i="1" s="1"/>
  <c r="B2650" i="1"/>
  <c r="C1475" i="1"/>
  <c r="D1475" i="1" s="1"/>
  <c r="B1476" i="1"/>
  <c r="C997" i="1"/>
  <c r="D997" i="1" s="1"/>
  <c r="B998" i="1"/>
  <c r="B262" i="1"/>
  <c r="C261" i="1"/>
  <c r="D261" i="1" s="1"/>
  <c r="G124" i="1" l="1"/>
  <c r="H124" i="1"/>
  <c r="F124" i="1" s="1"/>
  <c r="C2650" i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I124" i="1" l="1"/>
  <c r="E125" i="1" s="1"/>
  <c r="C2651" i="1"/>
  <c r="D2651" i="1" s="1"/>
  <c r="B2652" i="1"/>
  <c r="C1477" i="1"/>
  <c r="D1477" i="1" s="1"/>
  <c r="B1478" i="1"/>
  <c r="C999" i="1"/>
  <c r="D999" i="1" s="1"/>
  <c r="B1000" i="1"/>
  <c r="C263" i="1"/>
  <c r="D263" i="1" s="1"/>
  <c r="B264" i="1"/>
  <c r="H125" i="1" l="1"/>
  <c r="F125" i="1" s="1"/>
  <c r="G125" i="1"/>
  <c r="C2652" i="1"/>
  <c r="D2652" i="1" s="1"/>
  <c r="B2653" i="1"/>
  <c r="C1478" i="1"/>
  <c r="D1478" i="1" s="1"/>
  <c r="B1479" i="1"/>
  <c r="B1001" i="1"/>
  <c r="C1000" i="1"/>
  <c r="D1000" i="1" s="1"/>
  <c r="C264" i="1"/>
  <c r="D264" i="1" s="1"/>
  <c r="B265" i="1"/>
  <c r="I125" i="1" l="1"/>
  <c r="E126" i="1" s="1"/>
  <c r="C2653" i="1"/>
  <c r="D2653" i="1" s="1"/>
  <c r="B2654" i="1"/>
  <c r="C1479" i="1"/>
  <c r="D1479" i="1" s="1"/>
  <c r="B1480" i="1"/>
  <c r="C1001" i="1"/>
  <c r="D1001" i="1" s="1"/>
  <c r="B1002" i="1"/>
  <c r="C265" i="1"/>
  <c r="D265" i="1" s="1"/>
  <c r="B266" i="1"/>
  <c r="G126" i="1" l="1"/>
  <c r="H126" i="1"/>
  <c r="F126" i="1" s="1"/>
  <c r="C2654" i="1"/>
  <c r="D2654" i="1" s="1"/>
  <c r="B2655" i="1"/>
  <c r="C1480" i="1"/>
  <c r="D1480" i="1" s="1"/>
  <c r="B1481" i="1"/>
  <c r="B1003" i="1"/>
  <c r="C1002" i="1"/>
  <c r="D1002" i="1" s="1"/>
  <c r="C266" i="1"/>
  <c r="D266" i="1" s="1"/>
  <c r="B267" i="1"/>
  <c r="I126" i="1" l="1"/>
  <c r="E127" i="1" s="1"/>
  <c r="C2655" i="1"/>
  <c r="D2655" i="1" s="1"/>
  <c r="B2656" i="1"/>
  <c r="C1481" i="1"/>
  <c r="D1481" i="1" s="1"/>
  <c r="B1482" i="1"/>
  <c r="B1004" i="1"/>
  <c r="C1003" i="1"/>
  <c r="D1003" i="1" s="1"/>
  <c r="B268" i="1"/>
  <c r="C267" i="1"/>
  <c r="D267" i="1" s="1"/>
  <c r="G127" i="1" l="1"/>
  <c r="H127" i="1"/>
  <c r="C2656" i="1"/>
  <c r="D2656" i="1" s="1"/>
  <c r="B2657" i="1"/>
  <c r="C1482" i="1"/>
  <c r="D1482" i="1" s="1"/>
  <c r="B1483" i="1"/>
  <c r="C1004" i="1"/>
  <c r="D1004" i="1" s="1"/>
  <c r="B1005" i="1"/>
  <c r="B269" i="1"/>
  <c r="C268" i="1"/>
  <c r="D268" i="1" s="1"/>
  <c r="F127" i="1" l="1"/>
  <c r="I127" i="1" s="1"/>
  <c r="E128" i="1" s="1"/>
  <c r="C2657" i="1"/>
  <c r="D2657" i="1" s="1"/>
  <c r="B2658" i="1"/>
  <c r="C1483" i="1"/>
  <c r="D1483" i="1" s="1"/>
  <c r="B1484" i="1"/>
  <c r="C1005" i="1"/>
  <c r="D1005" i="1" s="1"/>
  <c r="B1006" i="1"/>
  <c r="C269" i="1"/>
  <c r="D269" i="1" s="1"/>
  <c r="B270" i="1"/>
  <c r="C2658" i="1" l="1"/>
  <c r="D2658" i="1" s="1"/>
  <c r="B2659" i="1"/>
  <c r="C1484" i="1"/>
  <c r="D1484" i="1" s="1"/>
  <c r="B1485" i="1"/>
  <c r="B1007" i="1"/>
  <c r="C1006" i="1"/>
  <c r="D1006" i="1" s="1"/>
  <c r="C270" i="1"/>
  <c r="D270" i="1" s="1"/>
  <c r="B271" i="1"/>
  <c r="G128" i="1" l="1"/>
  <c r="H128" i="1"/>
  <c r="C2659" i="1"/>
  <c r="D2659" i="1" s="1"/>
  <c r="B2660" i="1"/>
  <c r="C1485" i="1"/>
  <c r="D1485" i="1" s="1"/>
  <c r="B1486" i="1"/>
  <c r="C1007" i="1"/>
  <c r="D1007" i="1" s="1"/>
  <c r="B1008" i="1"/>
  <c r="B272" i="1"/>
  <c r="C271" i="1"/>
  <c r="D271" i="1" s="1"/>
  <c r="F128" i="1" l="1"/>
  <c r="C2660" i="1"/>
  <c r="D2660" i="1" s="1"/>
  <c r="B2661" i="1"/>
  <c r="C1486" i="1"/>
  <c r="D1486" i="1" s="1"/>
  <c r="B1487" i="1"/>
  <c r="C1008" i="1"/>
  <c r="D1008" i="1" s="1"/>
  <c r="B1009" i="1"/>
  <c r="C272" i="1"/>
  <c r="D272" i="1" s="1"/>
  <c r="B273" i="1"/>
  <c r="I128" i="1" l="1"/>
  <c r="E129" i="1" s="1"/>
  <c r="C2661" i="1"/>
  <c r="D2661" i="1" s="1"/>
  <c r="B2662" i="1"/>
  <c r="B1488" i="1"/>
  <c r="C1487" i="1"/>
  <c r="D1487" i="1" s="1"/>
  <c r="C1009" i="1"/>
  <c r="D1009" i="1" s="1"/>
  <c r="B1010" i="1"/>
  <c r="B274" i="1"/>
  <c r="C273" i="1"/>
  <c r="D273" i="1" s="1"/>
  <c r="H129" i="1" l="1"/>
  <c r="F129" i="1" s="1"/>
  <c r="G129" i="1"/>
  <c r="C2662" i="1"/>
  <c r="D2662" i="1" s="1"/>
  <c r="B2663" i="1"/>
  <c r="C1488" i="1"/>
  <c r="D1488" i="1" s="1"/>
  <c r="B1489" i="1"/>
  <c r="B1011" i="1"/>
  <c r="C1010" i="1"/>
  <c r="D1010" i="1" s="1"/>
  <c r="C274" i="1"/>
  <c r="D274" i="1" s="1"/>
  <c r="B275" i="1"/>
  <c r="I129" i="1" l="1"/>
  <c r="E130" i="1" s="1"/>
  <c r="C2663" i="1"/>
  <c r="D2663" i="1" s="1"/>
  <c r="B2664" i="1"/>
  <c r="C1489" i="1"/>
  <c r="D1489" i="1" s="1"/>
  <c r="B1490" i="1"/>
  <c r="C1011" i="1"/>
  <c r="D1011" i="1" s="1"/>
  <c r="B1012" i="1"/>
  <c r="B276" i="1"/>
  <c r="C275" i="1"/>
  <c r="D275" i="1" s="1"/>
  <c r="G130" i="1" l="1"/>
  <c r="H130" i="1"/>
  <c r="F130" i="1" s="1"/>
  <c r="C2664" i="1"/>
  <c r="D2664" i="1" s="1"/>
  <c r="B2665" i="1"/>
  <c r="C1490" i="1"/>
  <c r="D1490" i="1" s="1"/>
  <c r="B1491" i="1"/>
  <c r="B1013" i="1"/>
  <c r="C1012" i="1"/>
  <c r="D1012" i="1" s="1"/>
  <c r="C276" i="1"/>
  <c r="D276" i="1" s="1"/>
  <c r="B277" i="1"/>
  <c r="I130" i="1" l="1"/>
  <c r="E131" i="1" s="1"/>
  <c r="C2665" i="1"/>
  <c r="D2665" i="1" s="1"/>
  <c r="B2666" i="1"/>
  <c r="B1492" i="1"/>
  <c r="C1491" i="1"/>
  <c r="D1491" i="1" s="1"/>
  <c r="C1013" i="1"/>
  <c r="D1013" i="1" s="1"/>
  <c r="B1014" i="1"/>
  <c r="B278" i="1"/>
  <c r="C277" i="1"/>
  <c r="D277" i="1" s="1"/>
  <c r="H131" i="1" l="1"/>
  <c r="F131" i="1" s="1"/>
  <c r="G131" i="1"/>
  <c r="C2666" i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31" i="1" l="1"/>
  <c r="E132" i="1" s="1"/>
  <c r="C2667" i="1"/>
  <c r="D2667" i="1" s="1"/>
  <c r="B2668" i="1"/>
  <c r="C1493" i="1"/>
  <c r="D1493" i="1" s="1"/>
  <c r="B1494" i="1"/>
  <c r="C1015" i="1"/>
  <c r="D1015" i="1" s="1"/>
  <c r="B1016" i="1"/>
  <c r="B280" i="1"/>
  <c r="C279" i="1"/>
  <c r="D279" i="1" s="1"/>
  <c r="G132" i="1" l="1"/>
  <c r="H132" i="1"/>
  <c r="F132" i="1"/>
  <c r="C2668" i="1"/>
  <c r="D2668" i="1" s="1"/>
  <c r="B2669" i="1"/>
  <c r="C1494" i="1"/>
  <c r="D1494" i="1" s="1"/>
  <c r="B1495" i="1"/>
  <c r="B1017" i="1"/>
  <c r="C1016" i="1"/>
  <c r="D1016" i="1" s="1"/>
  <c r="C280" i="1"/>
  <c r="D280" i="1" s="1"/>
  <c r="B281" i="1"/>
  <c r="I132" i="1" l="1"/>
  <c r="E133" i="1" s="1"/>
  <c r="C2669" i="1"/>
  <c r="D2669" i="1" s="1"/>
  <c r="B2670" i="1"/>
  <c r="B1496" i="1"/>
  <c r="C1495" i="1"/>
  <c r="D1495" i="1" s="1"/>
  <c r="C1017" i="1"/>
  <c r="D1017" i="1" s="1"/>
  <c r="B1018" i="1"/>
  <c r="C281" i="1"/>
  <c r="D281" i="1" s="1"/>
  <c r="B282" i="1"/>
  <c r="G133" i="1" l="1"/>
  <c r="H133" i="1"/>
  <c r="F133" i="1"/>
  <c r="C2670" i="1"/>
  <c r="D2670" i="1" s="1"/>
  <c r="B2671" i="1"/>
  <c r="C1496" i="1"/>
  <c r="D1496" i="1" s="1"/>
  <c r="B1497" i="1"/>
  <c r="C1018" i="1"/>
  <c r="D1018" i="1" s="1"/>
  <c r="B1019" i="1"/>
  <c r="C282" i="1"/>
  <c r="D282" i="1" s="1"/>
  <c r="B283" i="1"/>
  <c r="I133" i="1" l="1"/>
  <c r="E134" i="1" s="1"/>
  <c r="C2671" i="1"/>
  <c r="D2671" i="1" s="1"/>
  <c r="B2672" i="1"/>
  <c r="B1498" i="1"/>
  <c r="C1497" i="1"/>
  <c r="D1497" i="1" s="1"/>
  <c r="B1020" i="1"/>
  <c r="C1019" i="1"/>
  <c r="D1019" i="1" s="1"/>
  <c r="C283" i="1"/>
  <c r="D283" i="1" s="1"/>
  <c r="B284" i="1"/>
  <c r="G134" i="1" l="1"/>
  <c r="H134" i="1"/>
  <c r="F134" i="1" s="1"/>
  <c r="C2672" i="1"/>
  <c r="D2672" i="1" s="1"/>
  <c r="B2673" i="1"/>
  <c r="C1498" i="1"/>
  <c r="D1498" i="1" s="1"/>
  <c r="B1499" i="1"/>
  <c r="B1021" i="1"/>
  <c r="C1020" i="1"/>
  <c r="D1020" i="1" s="1"/>
  <c r="C284" i="1"/>
  <c r="D284" i="1" s="1"/>
  <c r="B285" i="1"/>
  <c r="I134" i="1" l="1"/>
  <c r="E135" i="1" s="1"/>
  <c r="C2673" i="1"/>
  <c r="D2673" i="1" s="1"/>
  <c r="B2674" i="1"/>
  <c r="C1499" i="1"/>
  <c r="D1499" i="1" s="1"/>
  <c r="B1500" i="1"/>
  <c r="C1021" i="1"/>
  <c r="D1021" i="1" s="1"/>
  <c r="B1022" i="1"/>
  <c r="B286" i="1"/>
  <c r="C285" i="1"/>
  <c r="D285" i="1" s="1"/>
  <c r="G135" i="1" l="1"/>
  <c r="H135" i="1"/>
  <c r="F135" i="1" s="1"/>
  <c r="I135" i="1" s="1"/>
  <c r="E136" i="1" s="1"/>
  <c r="B2675" i="1"/>
  <c r="C2674" i="1"/>
  <c r="D2674" i="1" s="1"/>
  <c r="C1500" i="1"/>
  <c r="D1500" i="1" s="1"/>
  <c r="B1501" i="1"/>
  <c r="B1023" i="1"/>
  <c r="C1022" i="1"/>
  <c r="D1022" i="1" s="1"/>
  <c r="C286" i="1"/>
  <c r="D286" i="1" s="1"/>
  <c r="B287" i="1"/>
  <c r="C2675" i="1" l="1"/>
  <c r="D2675" i="1" s="1"/>
  <c r="B2676" i="1"/>
  <c r="C1501" i="1"/>
  <c r="D1501" i="1" s="1"/>
  <c r="B1502" i="1"/>
  <c r="C1023" i="1"/>
  <c r="D1023" i="1" s="1"/>
  <c r="B1024" i="1"/>
  <c r="B288" i="1"/>
  <c r="C287" i="1"/>
  <c r="D287" i="1" s="1"/>
  <c r="G136" i="1" l="1"/>
  <c r="H136" i="1"/>
  <c r="B2677" i="1"/>
  <c r="C2676" i="1"/>
  <c r="D2676" i="1" s="1"/>
  <c r="C1502" i="1"/>
  <c r="D1502" i="1" s="1"/>
  <c r="B1503" i="1"/>
  <c r="B1025" i="1"/>
  <c r="C1024" i="1"/>
  <c r="D1024" i="1" s="1"/>
  <c r="C288" i="1"/>
  <c r="D288" i="1" s="1"/>
  <c r="B289" i="1"/>
  <c r="F136" i="1" l="1"/>
  <c r="C2677" i="1"/>
  <c r="D2677" i="1" s="1"/>
  <c r="B2678" i="1"/>
  <c r="C1503" i="1"/>
  <c r="D1503" i="1" s="1"/>
  <c r="B1504" i="1"/>
  <c r="C1025" i="1"/>
  <c r="D1025" i="1" s="1"/>
  <c r="B1026" i="1"/>
  <c r="B290" i="1"/>
  <c r="C289" i="1"/>
  <c r="D289" i="1" s="1"/>
  <c r="I136" i="1" l="1"/>
  <c r="E137" i="1" s="1"/>
  <c r="C2678" i="1"/>
  <c r="D2678" i="1" s="1"/>
  <c r="B2679" i="1"/>
  <c r="B1505" i="1"/>
  <c r="C1504" i="1"/>
  <c r="D1504" i="1" s="1"/>
  <c r="C1026" i="1"/>
  <c r="D1026" i="1" s="1"/>
  <c r="B1027" i="1"/>
  <c r="C290" i="1"/>
  <c r="D290" i="1" s="1"/>
  <c r="B291" i="1"/>
  <c r="H137" i="1" l="1"/>
  <c r="G137" i="1"/>
  <c r="F137" i="1"/>
  <c r="C2679" i="1"/>
  <c r="D2679" i="1" s="1"/>
  <c r="B2680" i="1"/>
  <c r="B1506" i="1"/>
  <c r="C1505" i="1"/>
  <c r="D1505" i="1" s="1"/>
  <c r="B1028" i="1"/>
  <c r="C1027" i="1"/>
  <c r="D1027" i="1" s="1"/>
  <c r="C291" i="1"/>
  <c r="D291" i="1" s="1"/>
  <c r="B292" i="1"/>
  <c r="I137" i="1" l="1"/>
  <c r="E138" i="1" s="1"/>
  <c r="C2680" i="1"/>
  <c r="D2680" i="1" s="1"/>
  <c r="B2681" i="1"/>
  <c r="C1506" i="1"/>
  <c r="D1506" i="1" s="1"/>
  <c r="B1507" i="1"/>
  <c r="B1029" i="1"/>
  <c r="C1028" i="1"/>
  <c r="D1028" i="1" s="1"/>
  <c r="B293" i="1"/>
  <c r="C292" i="1"/>
  <c r="D292" i="1" s="1"/>
  <c r="H138" i="1" l="1"/>
  <c r="F138" i="1" s="1"/>
  <c r="G138" i="1"/>
  <c r="C2681" i="1"/>
  <c r="D2681" i="1" s="1"/>
  <c r="B2682" i="1"/>
  <c r="B1508" i="1"/>
  <c r="C1507" i="1"/>
  <c r="D1507" i="1" s="1"/>
  <c r="C1029" i="1"/>
  <c r="D1029" i="1" s="1"/>
  <c r="B1030" i="1"/>
  <c r="B294" i="1"/>
  <c r="C293" i="1"/>
  <c r="D293" i="1" s="1"/>
  <c r="I138" i="1" l="1"/>
  <c r="E139" i="1" s="1"/>
  <c r="B2683" i="1"/>
  <c r="C2682" i="1"/>
  <c r="D2682" i="1" s="1"/>
  <c r="B1509" i="1"/>
  <c r="C1508" i="1"/>
  <c r="D1508" i="1" s="1"/>
  <c r="B1031" i="1"/>
  <c r="C1030" i="1"/>
  <c r="D1030" i="1" s="1"/>
  <c r="C294" i="1"/>
  <c r="D294" i="1" s="1"/>
  <c r="B295" i="1"/>
  <c r="H139" i="1" l="1"/>
  <c r="F139" i="1" s="1"/>
  <c r="G139" i="1"/>
  <c r="C2683" i="1"/>
  <c r="D2683" i="1" s="1"/>
  <c r="B2684" i="1"/>
  <c r="C1509" i="1"/>
  <c r="D1509" i="1" s="1"/>
  <c r="B1510" i="1"/>
  <c r="B1032" i="1"/>
  <c r="C1031" i="1"/>
  <c r="D1031" i="1" s="1"/>
  <c r="C295" i="1"/>
  <c r="D295" i="1" s="1"/>
  <c r="B296" i="1"/>
  <c r="I139" i="1" l="1"/>
  <c r="E140" i="1" s="1"/>
  <c r="B2685" i="1"/>
  <c r="C2684" i="1"/>
  <c r="D2684" i="1" s="1"/>
  <c r="C1510" i="1"/>
  <c r="D1510" i="1" s="1"/>
  <c r="B1511" i="1"/>
  <c r="C1032" i="1"/>
  <c r="D1032" i="1" s="1"/>
  <c r="B1033" i="1"/>
  <c r="B297" i="1"/>
  <c r="C296" i="1"/>
  <c r="D296" i="1" s="1"/>
  <c r="H140" i="1" l="1"/>
  <c r="G140" i="1"/>
  <c r="F140" i="1"/>
  <c r="C2685" i="1"/>
  <c r="D2685" i="1" s="1"/>
  <c r="B2686" i="1"/>
  <c r="B1512" i="1"/>
  <c r="C1511" i="1"/>
  <c r="D1511" i="1" s="1"/>
  <c r="C1033" i="1"/>
  <c r="D1033" i="1" s="1"/>
  <c r="B1034" i="1"/>
  <c r="B298" i="1"/>
  <c r="C297" i="1"/>
  <c r="D297" i="1" s="1"/>
  <c r="I140" i="1" l="1"/>
  <c r="E141" i="1" s="1"/>
  <c r="B2687" i="1"/>
  <c r="C2686" i="1"/>
  <c r="D2686" i="1" s="1"/>
  <c r="B1513" i="1"/>
  <c r="C1512" i="1"/>
  <c r="D1512" i="1" s="1"/>
  <c r="B1035" i="1"/>
  <c r="C1034" i="1"/>
  <c r="D1034" i="1" s="1"/>
  <c r="C298" i="1"/>
  <c r="D298" i="1" s="1"/>
  <c r="B299" i="1"/>
  <c r="G141" i="1" l="1"/>
  <c r="H141" i="1"/>
  <c r="F141" i="1"/>
  <c r="C2687" i="1"/>
  <c r="D2687" i="1" s="1"/>
  <c r="B2688" i="1"/>
  <c r="B1514" i="1"/>
  <c r="C1513" i="1"/>
  <c r="D1513" i="1" s="1"/>
  <c r="C1035" i="1"/>
  <c r="D1035" i="1" s="1"/>
  <c r="B1036" i="1"/>
  <c r="B300" i="1"/>
  <c r="C299" i="1"/>
  <c r="D299" i="1" s="1"/>
  <c r="I141" i="1" l="1"/>
  <c r="E142" i="1" s="1"/>
  <c r="B2689" i="1"/>
  <c r="C2689" i="1" s="1"/>
  <c r="D2689" i="1" s="1"/>
  <c r="C2688" i="1"/>
  <c r="D2688" i="1" s="1"/>
  <c r="C1514" i="1"/>
  <c r="D1514" i="1" s="1"/>
  <c r="B1515" i="1"/>
  <c r="C1036" i="1"/>
  <c r="D1036" i="1" s="1"/>
  <c r="B1037" i="1"/>
  <c r="C300" i="1"/>
  <c r="D300" i="1" s="1"/>
  <c r="B301" i="1"/>
  <c r="G142" i="1" l="1"/>
  <c r="H142" i="1"/>
  <c r="F142" i="1"/>
  <c r="C1515" i="1"/>
  <c r="D1515" i="1" s="1"/>
  <c r="B1516" i="1"/>
  <c r="C1037" i="1"/>
  <c r="D1037" i="1" s="1"/>
  <c r="B1038" i="1"/>
  <c r="B302" i="1"/>
  <c r="C301" i="1"/>
  <c r="D301" i="1" s="1"/>
  <c r="I142" i="1" l="1"/>
  <c r="E143" i="1" s="1"/>
  <c r="C1516" i="1"/>
  <c r="D1516" i="1" s="1"/>
  <c r="B1517" i="1"/>
  <c r="C1038" i="1"/>
  <c r="D1038" i="1" s="1"/>
  <c r="B1039" i="1"/>
  <c r="B303" i="1"/>
  <c r="C302" i="1"/>
  <c r="D302" i="1" s="1"/>
  <c r="H143" i="1" l="1"/>
  <c r="F143" i="1" s="1"/>
  <c r="G143" i="1"/>
  <c r="C1517" i="1"/>
  <c r="D1517" i="1" s="1"/>
  <c r="B1518" i="1"/>
  <c r="C1039" i="1"/>
  <c r="D1039" i="1" s="1"/>
  <c r="B1040" i="1"/>
  <c r="C303" i="1"/>
  <c r="D303" i="1" s="1"/>
  <c r="B304" i="1"/>
  <c r="I143" i="1" l="1"/>
  <c r="E144" i="1" s="1"/>
  <c r="C1518" i="1"/>
  <c r="D1518" i="1" s="1"/>
  <c r="B1519" i="1"/>
  <c r="C1040" i="1"/>
  <c r="D1040" i="1" s="1"/>
  <c r="B1041" i="1"/>
  <c r="C304" i="1"/>
  <c r="D304" i="1" s="1"/>
  <c r="B305" i="1"/>
  <c r="G144" i="1" l="1"/>
  <c r="H144" i="1"/>
  <c r="F144" i="1"/>
  <c r="C1519" i="1"/>
  <c r="D1519" i="1" s="1"/>
  <c r="B1520" i="1"/>
  <c r="C1041" i="1"/>
  <c r="D1041" i="1" s="1"/>
  <c r="B1042" i="1"/>
  <c r="B306" i="1"/>
  <c r="C305" i="1"/>
  <c r="D305" i="1" s="1"/>
  <c r="I144" i="1" l="1"/>
  <c r="E145" i="1" s="1"/>
  <c r="C1520" i="1"/>
  <c r="D1520" i="1" s="1"/>
  <c r="B1521" i="1"/>
  <c r="C1042" i="1"/>
  <c r="D1042" i="1" s="1"/>
  <c r="B1043" i="1"/>
  <c r="B307" i="1"/>
  <c r="C306" i="1"/>
  <c r="D306" i="1" s="1"/>
  <c r="H145" i="1" l="1"/>
  <c r="G145" i="1"/>
  <c r="F145" i="1"/>
  <c r="B1522" i="1"/>
  <c r="C1521" i="1"/>
  <c r="D1521" i="1" s="1"/>
  <c r="C1043" i="1"/>
  <c r="D1043" i="1" s="1"/>
  <c r="B1044" i="1"/>
  <c r="C307" i="1"/>
  <c r="D307" i="1" s="1"/>
  <c r="B308" i="1"/>
  <c r="I145" i="1" l="1"/>
  <c r="E146" i="1" s="1"/>
  <c r="C1522" i="1"/>
  <c r="D1522" i="1" s="1"/>
  <c r="B1523" i="1"/>
  <c r="B1045" i="1"/>
  <c r="C1044" i="1"/>
  <c r="D1044" i="1" s="1"/>
  <c r="C308" i="1"/>
  <c r="D308" i="1" s="1"/>
  <c r="B309" i="1"/>
  <c r="G146" i="1" l="1"/>
  <c r="H146" i="1"/>
  <c r="F146" i="1" s="1"/>
  <c r="B1524" i="1"/>
  <c r="C1523" i="1"/>
  <c r="D1523" i="1" s="1"/>
  <c r="C1045" i="1"/>
  <c r="D1045" i="1" s="1"/>
  <c r="B1046" i="1"/>
  <c r="B310" i="1"/>
  <c r="C309" i="1"/>
  <c r="D309" i="1" s="1"/>
  <c r="I146" i="1" l="1"/>
  <c r="C1524" i="1"/>
  <c r="D1524" i="1" s="1"/>
  <c r="B1525" i="1"/>
  <c r="B1047" i="1"/>
  <c r="C1046" i="1"/>
  <c r="D1046" i="1" s="1"/>
  <c r="C310" i="1"/>
  <c r="D310" i="1" s="1"/>
  <c r="B311" i="1"/>
  <c r="E147" i="1" l="1"/>
  <c r="G147" i="1" s="1"/>
  <c r="B1526" i="1"/>
  <c r="C1525" i="1"/>
  <c r="D1525" i="1" s="1"/>
  <c r="C1047" i="1"/>
  <c r="D1047" i="1" s="1"/>
  <c r="B1048" i="1"/>
  <c r="B312" i="1"/>
  <c r="C311" i="1"/>
  <c r="D311" i="1" s="1"/>
  <c r="H147" i="1" l="1"/>
  <c r="F147" i="1" s="1"/>
  <c r="I147" i="1" s="1"/>
  <c r="E148" i="1" s="1"/>
  <c r="C1526" i="1"/>
  <c r="D1526" i="1" s="1"/>
  <c r="B1527" i="1"/>
  <c r="C1048" i="1"/>
  <c r="D1048" i="1" s="1"/>
  <c r="B1049" i="1"/>
  <c r="B313" i="1"/>
  <c r="C312" i="1"/>
  <c r="D312" i="1" s="1"/>
  <c r="G148" i="1" l="1"/>
  <c r="H148" i="1"/>
  <c r="F148" i="1" s="1"/>
  <c r="B1528" i="1"/>
  <c r="C1527" i="1"/>
  <c r="D1527" i="1" s="1"/>
  <c r="C1049" i="1"/>
  <c r="D1049" i="1" s="1"/>
  <c r="B1050" i="1"/>
  <c r="C313" i="1"/>
  <c r="D313" i="1" s="1"/>
  <c r="B314" i="1"/>
  <c r="I148" i="1" l="1"/>
  <c r="E149" i="1" s="1"/>
  <c r="B1529" i="1"/>
  <c r="C1528" i="1"/>
  <c r="D1528" i="1" s="1"/>
  <c r="C1050" i="1"/>
  <c r="D1050" i="1" s="1"/>
  <c r="B1051" i="1"/>
  <c r="C314" i="1"/>
  <c r="D314" i="1" s="1"/>
  <c r="B315" i="1"/>
  <c r="G149" i="1" l="1"/>
  <c r="H149" i="1"/>
  <c r="F149" i="1" s="1"/>
  <c r="B1530" i="1"/>
  <c r="C1529" i="1"/>
  <c r="D1529" i="1" s="1"/>
  <c r="C1051" i="1"/>
  <c r="D1051" i="1" s="1"/>
  <c r="B1052" i="1"/>
  <c r="C315" i="1"/>
  <c r="D315" i="1" s="1"/>
  <c r="B316" i="1"/>
  <c r="I149" i="1" l="1"/>
  <c r="E150" i="1" s="1"/>
  <c r="C1530" i="1"/>
  <c r="D1530" i="1" s="1"/>
  <c r="B1531" i="1"/>
  <c r="C1052" i="1"/>
  <c r="D1052" i="1" s="1"/>
  <c r="B1053" i="1"/>
  <c r="C316" i="1"/>
  <c r="D316" i="1" s="1"/>
  <c r="B317" i="1"/>
  <c r="G150" i="1" l="1"/>
  <c r="H150" i="1"/>
  <c r="F150" i="1"/>
  <c r="B1532" i="1"/>
  <c r="C1531" i="1"/>
  <c r="D1531" i="1" s="1"/>
  <c r="C1053" i="1"/>
  <c r="D1053" i="1" s="1"/>
  <c r="B1054" i="1"/>
  <c r="C317" i="1"/>
  <c r="D317" i="1" s="1"/>
  <c r="B318" i="1"/>
  <c r="I150" i="1" l="1"/>
  <c r="E151" i="1" s="1"/>
  <c r="B1533" i="1"/>
  <c r="C1532" i="1"/>
  <c r="D1532" i="1" s="1"/>
  <c r="C1054" i="1"/>
  <c r="D1054" i="1" s="1"/>
  <c r="B1055" i="1"/>
  <c r="C318" i="1"/>
  <c r="D318" i="1" s="1"/>
  <c r="B319" i="1"/>
  <c r="H151" i="1" l="1"/>
  <c r="G151" i="1"/>
  <c r="C1533" i="1"/>
  <c r="D1533" i="1" s="1"/>
  <c r="B1534" i="1"/>
  <c r="C1055" i="1"/>
  <c r="D1055" i="1" s="1"/>
  <c r="B1056" i="1"/>
  <c r="C319" i="1"/>
  <c r="D319" i="1" s="1"/>
  <c r="B320" i="1"/>
  <c r="F151" i="1" l="1"/>
  <c r="C1534" i="1"/>
  <c r="D1534" i="1" s="1"/>
  <c r="B1535" i="1"/>
  <c r="C1056" i="1"/>
  <c r="D1056" i="1" s="1"/>
  <c r="B1057" i="1"/>
  <c r="C320" i="1"/>
  <c r="D320" i="1" s="1"/>
  <c r="B321" i="1"/>
  <c r="I151" i="1" l="1"/>
  <c r="E152" i="1" s="1"/>
  <c r="B1536" i="1"/>
  <c r="C1535" i="1"/>
  <c r="D1535" i="1" s="1"/>
  <c r="C1057" i="1"/>
  <c r="D1057" i="1" s="1"/>
  <c r="B1058" i="1"/>
  <c r="C321" i="1"/>
  <c r="D321" i="1" s="1"/>
  <c r="B322" i="1"/>
  <c r="G152" i="1" l="1"/>
  <c r="H152" i="1"/>
  <c r="F152" i="1" s="1"/>
  <c r="B1537" i="1"/>
  <c r="C1536" i="1"/>
  <c r="D1536" i="1" s="1"/>
  <c r="B1059" i="1"/>
  <c r="C1058" i="1"/>
  <c r="D1058" i="1" s="1"/>
  <c r="C322" i="1"/>
  <c r="D322" i="1" s="1"/>
  <c r="B323" i="1"/>
  <c r="I152" i="1" l="1"/>
  <c r="E153" i="1" s="1"/>
  <c r="C1537" i="1"/>
  <c r="D1537" i="1" s="1"/>
  <c r="B1538" i="1"/>
  <c r="C1059" i="1"/>
  <c r="D1059" i="1" s="1"/>
  <c r="B1060" i="1"/>
  <c r="C323" i="1"/>
  <c r="D323" i="1" s="1"/>
  <c r="B324" i="1"/>
  <c r="G153" i="1" l="1"/>
  <c r="H153" i="1"/>
  <c r="C1538" i="1"/>
  <c r="D1538" i="1" s="1"/>
  <c r="B1539" i="1"/>
  <c r="B1061" i="1"/>
  <c r="C1060" i="1"/>
  <c r="D1060" i="1" s="1"/>
  <c r="C324" i="1"/>
  <c r="D324" i="1" s="1"/>
  <c r="B325" i="1"/>
  <c r="F153" i="1" l="1"/>
  <c r="I153" i="1" s="1"/>
  <c r="E154" i="1" s="1"/>
  <c r="C1539" i="1"/>
  <c r="D1539" i="1" s="1"/>
  <c r="B1540" i="1"/>
  <c r="C1061" i="1"/>
  <c r="D1061" i="1" s="1"/>
  <c r="B1062" i="1"/>
  <c r="C325" i="1"/>
  <c r="D325" i="1" s="1"/>
  <c r="B326" i="1"/>
  <c r="B1541" i="1" l="1"/>
  <c r="C1540" i="1"/>
  <c r="D1540" i="1" s="1"/>
  <c r="C1062" i="1"/>
  <c r="D1062" i="1" s="1"/>
  <c r="B1063" i="1"/>
  <c r="C326" i="1"/>
  <c r="D326" i="1" s="1"/>
  <c r="B327" i="1"/>
  <c r="H154" i="1" l="1"/>
  <c r="G154" i="1"/>
  <c r="B1542" i="1"/>
  <c r="C1541" i="1"/>
  <c r="D1541" i="1" s="1"/>
  <c r="C1063" i="1"/>
  <c r="D1063" i="1" s="1"/>
  <c r="B1064" i="1"/>
  <c r="B328" i="1"/>
  <c r="C327" i="1"/>
  <c r="D327" i="1" s="1"/>
  <c r="F154" i="1" l="1"/>
  <c r="I154" i="1" s="1"/>
  <c r="E155" i="1" s="1"/>
  <c r="C1542" i="1"/>
  <c r="D1542" i="1" s="1"/>
  <c r="B1543" i="1"/>
  <c r="C1064" i="1"/>
  <c r="D1064" i="1" s="1"/>
  <c r="B1065" i="1"/>
  <c r="C328" i="1"/>
  <c r="D328" i="1" s="1"/>
  <c r="B329" i="1"/>
  <c r="C1543" i="1" l="1"/>
  <c r="D1543" i="1" s="1"/>
  <c r="B1544" i="1"/>
  <c r="C1065" i="1"/>
  <c r="D1065" i="1" s="1"/>
  <c r="B1066" i="1"/>
  <c r="B330" i="1"/>
  <c r="C329" i="1"/>
  <c r="D329" i="1" s="1"/>
  <c r="H155" i="1" l="1"/>
  <c r="G155" i="1"/>
  <c r="C1544" i="1"/>
  <c r="D1544" i="1" s="1"/>
  <c r="B1545" i="1"/>
  <c r="C1066" i="1"/>
  <c r="D1066" i="1" s="1"/>
  <c r="B1067" i="1"/>
  <c r="C330" i="1"/>
  <c r="D330" i="1" s="1"/>
  <c r="B331" i="1"/>
  <c r="F155" i="1" l="1"/>
  <c r="I155" i="1" s="1"/>
  <c r="E156" i="1" s="1"/>
  <c r="C1545" i="1"/>
  <c r="D1545" i="1" s="1"/>
  <c r="B1546" i="1"/>
  <c r="C1067" i="1"/>
  <c r="D1067" i="1" s="1"/>
  <c r="B1068" i="1"/>
  <c r="C331" i="1"/>
  <c r="D331" i="1" s="1"/>
  <c r="B332" i="1"/>
  <c r="C1546" i="1" l="1"/>
  <c r="D1546" i="1" s="1"/>
  <c r="B1547" i="1"/>
  <c r="C1068" i="1"/>
  <c r="D1068" i="1" s="1"/>
  <c r="B1069" i="1"/>
  <c r="B333" i="1"/>
  <c r="C332" i="1"/>
  <c r="D332" i="1" s="1"/>
  <c r="G156" i="1" l="1"/>
  <c r="H156" i="1"/>
  <c r="B1548" i="1"/>
  <c r="C1547" i="1"/>
  <c r="D1547" i="1" s="1"/>
  <c r="B1070" i="1"/>
  <c r="C1069" i="1"/>
  <c r="D1069" i="1" s="1"/>
  <c r="B334" i="1"/>
  <c r="C333" i="1"/>
  <c r="D333" i="1" s="1"/>
  <c r="F156" i="1" l="1"/>
  <c r="I156" i="1" s="1"/>
  <c r="E157" i="1" s="1"/>
  <c r="C1548" i="1"/>
  <c r="D1548" i="1" s="1"/>
  <c r="B1549" i="1"/>
  <c r="B1071" i="1"/>
  <c r="C1070" i="1"/>
  <c r="D1070" i="1" s="1"/>
  <c r="C334" i="1"/>
  <c r="D334" i="1" s="1"/>
  <c r="B335" i="1"/>
  <c r="C1549" i="1" l="1"/>
  <c r="D1549" i="1" s="1"/>
  <c r="B1550" i="1"/>
  <c r="C1071" i="1"/>
  <c r="D1071" i="1" s="1"/>
  <c r="B1072" i="1"/>
  <c r="C335" i="1"/>
  <c r="D335" i="1" s="1"/>
  <c r="B336" i="1"/>
  <c r="H157" i="1" l="1"/>
  <c r="G157" i="1"/>
  <c r="B1551" i="1"/>
  <c r="C1550" i="1"/>
  <c r="D1550" i="1" s="1"/>
  <c r="C1072" i="1"/>
  <c r="D1072" i="1" s="1"/>
  <c r="B1073" i="1"/>
  <c r="C336" i="1"/>
  <c r="D336" i="1" s="1"/>
  <c r="B337" i="1"/>
  <c r="F157" i="1" l="1"/>
  <c r="I157" i="1" s="1"/>
  <c r="E158" i="1" s="1"/>
  <c r="C1551" i="1"/>
  <c r="D1551" i="1" s="1"/>
  <c r="B1552" i="1"/>
  <c r="C1073" i="1"/>
  <c r="D1073" i="1" s="1"/>
  <c r="B1074" i="1"/>
  <c r="C337" i="1"/>
  <c r="D337" i="1" s="1"/>
  <c r="B338" i="1"/>
  <c r="B1553" i="1" l="1"/>
  <c r="C1552" i="1"/>
  <c r="D1552" i="1" s="1"/>
  <c r="B1075" i="1"/>
  <c r="C1074" i="1"/>
  <c r="D1074" i="1" s="1"/>
  <c r="B339" i="1"/>
  <c r="C338" i="1"/>
  <c r="D338" i="1" s="1"/>
  <c r="G158" i="1" l="1"/>
  <c r="H158" i="1"/>
  <c r="C1553" i="1"/>
  <c r="D1553" i="1" s="1"/>
  <c r="B1554" i="1"/>
  <c r="C1075" i="1"/>
  <c r="D1075" i="1" s="1"/>
  <c r="B1076" i="1"/>
  <c r="C339" i="1"/>
  <c r="D339" i="1" s="1"/>
  <c r="B340" i="1"/>
  <c r="F158" i="1" l="1"/>
  <c r="I158" i="1" s="1"/>
  <c r="E159" i="1" s="1"/>
  <c r="C1554" i="1"/>
  <c r="D1554" i="1" s="1"/>
  <c r="B1555" i="1"/>
  <c r="B1077" i="1"/>
  <c r="C1076" i="1"/>
  <c r="D1076" i="1" s="1"/>
  <c r="C340" i="1"/>
  <c r="D340" i="1" s="1"/>
  <c r="B341" i="1"/>
  <c r="C1555" i="1" l="1"/>
  <c r="D1555" i="1" s="1"/>
  <c r="B1556" i="1"/>
  <c r="B1078" i="1"/>
  <c r="C1077" i="1"/>
  <c r="D1077" i="1" s="1"/>
  <c r="C341" i="1"/>
  <c r="D341" i="1" s="1"/>
  <c r="B342" i="1"/>
  <c r="H159" i="1" l="1"/>
  <c r="G159" i="1"/>
  <c r="C1556" i="1"/>
  <c r="D1556" i="1" s="1"/>
  <c r="B1557" i="1"/>
  <c r="C1078" i="1"/>
  <c r="D1078" i="1" s="1"/>
  <c r="B1079" i="1"/>
  <c r="C342" i="1"/>
  <c r="D342" i="1" s="1"/>
  <c r="B343" i="1"/>
  <c r="F159" i="1" l="1"/>
  <c r="I159" i="1" s="1"/>
  <c r="E160" i="1" s="1"/>
  <c r="C1557" i="1"/>
  <c r="D1557" i="1" s="1"/>
  <c r="B1558" i="1"/>
  <c r="C1079" i="1"/>
  <c r="D1079" i="1" s="1"/>
  <c r="B1080" i="1"/>
  <c r="C343" i="1"/>
  <c r="D343" i="1" s="1"/>
  <c r="B344" i="1"/>
  <c r="C1558" i="1" l="1"/>
  <c r="D1558" i="1" s="1"/>
  <c r="B1559" i="1"/>
  <c r="B1081" i="1"/>
  <c r="C1080" i="1"/>
  <c r="D1080" i="1" s="1"/>
  <c r="B345" i="1"/>
  <c r="C344" i="1"/>
  <c r="D344" i="1" s="1"/>
  <c r="H160" i="1" l="1"/>
  <c r="G160" i="1"/>
  <c r="C1559" i="1"/>
  <c r="D1559" i="1" s="1"/>
  <c r="B1560" i="1"/>
  <c r="C1081" i="1"/>
  <c r="D1081" i="1" s="1"/>
  <c r="B1082" i="1"/>
  <c r="C345" i="1"/>
  <c r="D345" i="1" s="1"/>
  <c r="B346" i="1"/>
  <c r="F160" i="1" l="1"/>
  <c r="C1560" i="1"/>
  <c r="D1560" i="1" s="1"/>
  <c r="B1561" i="1"/>
  <c r="C1082" i="1"/>
  <c r="D1082" i="1" s="1"/>
  <c r="B1083" i="1"/>
  <c r="C346" i="1"/>
  <c r="D346" i="1" s="1"/>
  <c r="B347" i="1"/>
  <c r="I160" i="1" l="1"/>
  <c r="E161" i="1" s="1"/>
  <c r="C1561" i="1"/>
  <c r="D1561" i="1" s="1"/>
  <c r="B1562" i="1"/>
  <c r="C1083" i="1"/>
  <c r="D1083" i="1" s="1"/>
  <c r="B1084" i="1"/>
  <c r="B348" i="1"/>
  <c r="C347" i="1"/>
  <c r="D347" i="1" s="1"/>
  <c r="H161" i="1" l="1"/>
  <c r="F161" i="1" s="1"/>
  <c r="G161" i="1"/>
  <c r="C1562" i="1"/>
  <c r="D1562" i="1" s="1"/>
  <c r="B1563" i="1"/>
  <c r="B1085" i="1"/>
  <c r="C1084" i="1"/>
  <c r="D1084" i="1" s="1"/>
  <c r="C348" i="1"/>
  <c r="D348" i="1" s="1"/>
  <c r="B349" i="1"/>
  <c r="I161" i="1" l="1"/>
  <c r="E162" i="1" s="1"/>
  <c r="C1563" i="1"/>
  <c r="D1563" i="1" s="1"/>
  <c r="B1564" i="1"/>
  <c r="C1085" i="1"/>
  <c r="D1085" i="1" s="1"/>
  <c r="B1086" i="1"/>
  <c r="C349" i="1"/>
  <c r="D349" i="1" s="1"/>
  <c r="B350" i="1"/>
  <c r="G162" i="1" l="1"/>
  <c r="H162" i="1"/>
  <c r="F162" i="1"/>
  <c r="C1564" i="1"/>
  <c r="D1564" i="1" s="1"/>
  <c r="B1565" i="1"/>
  <c r="B1087" i="1"/>
  <c r="C1086" i="1"/>
  <c r="D1086" i="1" s="1"/>
  <c r="C350" i="1"/>
  <c r="D350" i="1" s="1"/>
  <c r="B351" i="1"/>
  <c r="I162" i="1" l="1"/>
  <c r="E163" i="1" s="1"/>
  <c r="C1565" i="1"/>
  <c r="D1565" i="1" s="1"/>
  <c r="B1566" i="1"/>
  <c r="C1087" i="1"/>
  <c r="D1087" i="1" s="1"/>
  <c r="B1088" i="1"/>
  <c r="C351" i="1"/>
  <c r="D351" i="1" s="1"/>
  <c r="B352" i="1"/>
  <c r="G163" i="1" l="1"/>
  <c r="H163" i="1"/>
  <c r="F163" i="1" s="1"/>
  <c r="B1567" i="1"/>
  <c r="C1566" i="1"/>
  <c r="D1566" i="1" s="1"/>
  <c r="B1089" i="1"/>
  <c r="C1088" i="1"/>
  <c r="D1088" i="1" s="1"/>
  <c r="C352" i="1"/>
  <c r="D352" i="1" s="1"/>
  <c r="B353" i="1"/>
  <c r="I163" i="1" l="1"/>
  <c r="E164" i="1" s="1"/>
  <c r="C1567" i="1"/>
  <c r="D1567" i="1" s="1"/>
  <c r="B1568" i="1"/>
  <c r="B1090" i="1"/>
  <c r="C1089" i="1"/>
  <c r="D1089" i="1" s="1"/>
  <c r="C353" i="1"/>
  <c r="D353" i="1" s="1"/>
  <c r="B354" i="1"/>
  <c r="H164" i="1" l="1"/>
  <c r="G164" i="1"/>
  <c r="C1568" i="1"/>
  <c r="D1568" i="1" s="1"/>
  <c r="B1569" i="1"/>
  <c r="B1091" i="1"/>
  <c r="C1090" i="1"/>
  <c r="D1090" i="1" s="1"/>
  <c r="C354" i="1"/>
  <c r="D354" i="1" s="1"/>
  <c r="B355" i="1"/>
  <c r="F164" i="1" l="1"/>
  <c r="C1569" i="1"/>
  <c r="D1569" i="1" s="1"/>
  <c r="B1570" i="1"/>
  <c r="C1091" i="1"/>
  <c r="D1091" i="1" s="1"/>
  <c r="B1092" i="1"/>
  <c r="B356" i="1"/>
  <c r="C355" i="1"/>
  <c r="D355" i="1" s="1"/>
  <c r="I164" i="1" l="1"/>
  <c r="E165" i="1" s="1"/>
  <c r="C1570" i="1"/>
  <c r="D1570" i="1" s="1"/>
  <c r="B1571" i="1"/>
  <c r="B1093" i="1"/>
  <c r="C1092" i="1"/>
  <c r="D1092" i="1" s="1"/>
  <c r="C356" i="1"/>
  <c r="D356" i="1" s="1"/>
  <c r="B357" i="1"/>
  <c r="G165" i="1" l="1"/>
  <c r="H165" i="1"/>
  <c r="F165" i="1" s="1"/>
  <c r="B1572" i="1"/>
  <c r="C1571" i="1"/>
  <c r="D1571" i="1" s="1"/>
  <c r="B1094" i="1"/>
  <c r="C1093" i="1"/>
  <c r="D1093" i="1" s="1"/>
  <c r="C357" i="1"/>
  <c r="D357" i="1" s="1"/>
  <c r="B358" i="1"/>
  <c r="I165" i="1" l="1"/>
  <c r="E166" i="1" s="1"/>
  <c r="C1572" i="1"/>
  <c r="D1572" i="1" s="1"/>
  <c r="B1573" i="1"/>
  <c r="B1095" i="1"/>
  <c r="C1094" i="1"/>
  <c r="D1094" i="1" s="1"/>
  <c r="C358" i="1"/>
  <c r="D358" i="1" s="1"/>
  <c r="B359" i="1"/>
  <c r="G166" i="1" l="1"/>
  <c r="H166" i="1"/>
  <c r="F166" i="1" s="1"/>
  <c r="C1573" i="1"/>
  <c r="D1573" i="1" s="1"/>
  <c r="B1574" i="1"/>
  <c r="C1095" i="1"/>
  <c r="D1095" i="1" s="1"/>
  <c r="B1096" i="1"/>
  <c r="C359" i="1"/>
  <c r="D359" i="1" s="1"/>
  <c r="B360" i="1"/>
  <c r="I166" i="1" l="1"/>
  <c r="E167" i="1" s="1"/>
  <c r="B1575" i="1"/>
  <c r="C1574" i="1"/>
  <c r="D1574" i="1" s="1"/>
  <c r="B1097" i="1"/>
  <c r="C1096" i="1"/>
  <c r="D1096" i="1" s="1"/>
  <c r="C360" i="1"/>
  <c r="D360" i="1" s="1"/>
  <c r="B361" i="1"/>
  <c r="H167" i="1" l="1"/>
  <c r="F167" i="1" s="1"/>
  <c r="G167" i="1"/>
  <c r="C1575" i="1"/>
  <c r="D1575" i="1" s="1"/>
  <c r="B1576" i="1"/>
  <c r="C1097" i="1"/>
  <c r="D1097" i="1" s="1"/>
  <c r="B1098" i="1"/>
  <c r="C361" i="1"/>
  <c r="D361" i="1" s="1"/>
  <c r="B362" i="1"/>
  <c r="I167" i="1" l="1"/>
  <c r="B1577" i="1"/>
  <c r="C1576" i="1"/>
  <c r="D1576" i="1" s="1"/>
  <c r="C1098" i="1"/>
  <c r="D1098" i="1" s="1"/>
  <c r="B1099" i="1"/>
  <c r="C362" i="1"/>
  <c r="D362" i="1" s="1"/>
  <c r="B363" i="1"/>
  <c r="E168" i="1" l="1"/>
  <c r="H168" i="1" s="1"/>
  <c r="F168" i="1" s="1"/>
  <c r="C1577" i="1"/>
  <c r="D1577" i="1" s="1"/>
  <c r="B1578" i="1"/>
  <c r="C1099" i="1"/>
  <c r="D1099" i="1" s="1"/>
  <c r="B1100" i="1"/>
  <c r="B364" i="1"/>
  <c r="C363" i="1"/>
  <c r="D363" i="1" s="1"/>
  <c r="G168" i="1" l="1"/>
  <c r="I168" i="1"/>
  <c r="E169" i="1" s="1"/>
  <c r="C1578" i="1"/>
  <c r="D1578" i="1" s="1"/>
  <c r="B1579" i="1"/>
  <c r="B1101" i="1"/>
  <c r="C1100" i="1"/>
  <c r="D1100" i="1" s="1"/>
  <c r="C364" i="1"/>
  <c r="D364" i="1" s="1"/>
  <c r="B365" i="1"/>
  <c r="H169" i="1" l="1"/>
  <c r="F169" i="1" s="1"/>
  <c r="G169" i="1"/>
  <c r="C1579" i="1"/>
  <c r="D1579" i="1" s="1"/>
  <c r="B1580" i="1"/>
  <c r="B1102" i="1"/>
  <c r="C1101" i="1"/>
  <c r="D1101" i="1" s="1"/>
  <c r="B366" i="1"/>
  <c r="C365" i="1"/>
  <c r="D365" i="1" s="1"/>
  <c r="I169" i="1" l="1"/>
  <c r="E170" i="1" s="1"/>
  <c r="C1580" i="1"/>
  <c r="D1580" i="1" s="1"/>
  <c r="B1581" i="1"/>
  <c r="B1103" i="1"/>
  <c r="C1102" i="1"/>
  <c r="D1102" i="1" s="1"/>
  <c r="C366" i="1"/>
  <c r="D366" i="1" s="1"/>
  <c r="B367" i="1"/>
  <c r="G170" i="1" l="1"/>
  <c r="H170" i="1"/>
  <c r="F170" i="1" s="1"/>
  <c r="C1581" i="1"/>
  <c r="D1581" i="1" s="1"/>
  <c r="B1582" i="1"/>
  <c r="C1103" i="1"/>
  <c r="D1103" i="1" s="1"/>
  <c r="B1104" i="1"/>
  <c r="C367" i="1"/>
  <c r="D367" i="1" s="1"/>
  <c r="B368" i="1"/>
  <c r="I170" i="1" l="1"/>
  <c r="E171" i="1" s="1"/>
  <c r="C1582" i="1"/>
  <c r="D1582" i="1" s="1"/>
  <c r="B1583" i="1"/>
  <c r="C1104" i="1"/>
  <c r="D1104" i="1" s="1"/>
  <c r="B1105" i="1"/>
  <c r="C368" i="1"/>
  <c r="D368" i="1" s="1"/>
  <c r="B369" i="1"/>
  <c r="G171" i="1" l="1"/>
  <c r="H171" i="1"/>
  <c r="F171" i="1" s="1"/>
  <c r="B1584" i="1"/>
  <c r="C1583" i="1"/>
  <c r="D1583" i="1" s="1"/>
  <c r="C1105" i="1"/>
  <c r="D1105" i="1" s="1"/>
  <c r="B1106" i="1"/>
  <c r="C369" i="1"/>
  <c r="D369" i="1" s="1"/>
  <c r="B370" i="1"/>
  <c r="I171" i="1" l="1"/>
  <c r="E172" i="1" s="1"/>
  <c r="B1585" i="1"/>
  <c r="C1584" i="1"/>
  <c r="D1584" i="1" s="1"/>
  <c r="C1106" i="1"/>
  <c r="D1106" i="1" s="1"/>
  <c r="B1107" i="1"/>
  <c r="B371" i="1"/>
  <c r="C370" i="1"/>
  <c r="D370" i="1" s="1"/>
  <c r="G172" i="1" l="1"/>
  <c r="H172" i="1"/>
  <c r="F172" i="1" s="1"/>
  <c r="C1585" i="1"/>
  <c r="D1585" i="1" s="1"/>
  <c r="B1586" i="1"/>
  <c r="C1107" i="1"/>
  <c r="D1107" i="1" s="1"/>
  <c r="B1108" i="1"/>
  <c r="B372" i="1"/>
  <c r="C371" i="1"/>
  <c r="D371" i="1" s="1"/>
  <c r="I172" i="1" l="1"/>
  <c r="E173" i="1" s="1"/>
  <c r="B1587" i="1"/>
  <c r="C1586" i="1"/>
  <c r="D1586" i="1" s="1"/>
  <c r="C1108" i="1"/>
  <c r="D1108" i="1" s="1"/>
  <c r="B1109" i="1"/>
  <c r="B373" i="1"/>
  <c r="C372" i="1"/>
  <c r="D372" i="1" s="1"/>
  <c r="G173" i="1" l="1"/>
  <c r="H173" i="1"/>
  <c r="F173" i="1" s="1"/>
  <c r="B1588" i="1"/>
  <c r="C1587" i="1"/>
  <c r="D1587" i="1" s="1"/>
  <c r="C1109" i="1"/>
  <c r="D1109" i="1" s="1"/>
  <c r="B1110" i="1"/>
  <c r="C373" i="1"/>
  <c r="D373" i="1" s="1"/>
  <c r="B374" i="1"/>
  <c r="I173" i="1" l="1"/>
  <c r="E174" i="1" s="1"/>
  <c r="C1588" i="1"/>
  <c r="D1588" i="1" s="1"/>
  <c r="B1589" i="1"/>
  <c r="C1110" i="1"/>
  <c r="D1110" i="1" s="1"/>
  <c r="B1111" i="1"/>
  <c r="B375" i="1"/>
  <c r="C374" i="1"/>
  <c r="D374" i="1" s="1"/>
  <c r="H174" i="1" l="1"/>
  <c r="G174" i="1"/>
  <c r="F174" i="1"/>
  <c r="C1589" i="1"/>
  <c r="D1589" i="1" s="1"/>
  <c r="B1590" i="1"/>
  <c r="C1111" i="1"/>
  <c r="D1111" i="1" s="1"/>
  <c r="B1112" i="1"/>
  <c r="C375" i="1"/>
  <c r="D375" i="1" s="1"/>
  <c r="B376" i="1"/>
  <c r="I174" i="1" l="1"/>
  <c r="E175" i="1" s="1"/>
  <c r="B1591" i="1"/>
  <c r="C1590" i="1"/>
  <c r="D1590" i="1" s="1"/>
  <c r="C1112" i="1"/>
  <c r="D1112" i="1" s="1"/>
  <c r="B1113" i="1"/>
  <c r="C376" i="1"/>
  <c r="D376" i="1" s="1"/>
  <c r="B377" i="1"/>
  <c r="G175" i="1" l="1"/>
  <c r="H175" i="1"/>
  <c r="F175" i="1" s="1"/>
  <c r="B1592" i="1"/>
  <c r="C1591" i="1"/>
  <c r="D1591" i="1" s="1"/>
  <c r="C1113" i="1"/>
  <c r="D1113" i="1" s="1"/>
  <c r="B1114" i="1"/>
  <c r="C377" i="1"/>
  <c r="D377" i="1" s="1"/>
  <c r="B378" i="1"/>
  <c r="I175" i="1" l="1"/>
  <c r="E176" i="1" s="1"/>
  <c r="B1593" i="1"/>
  <c r="C1592" i="1"/>
  <c r="D1592" i="1" s="1"/>
  <c r="C1114" i="1"/>
  <c r="D1114" i="1" s="1"/>
  <c r="B1115" i="1"/>
  <c r="C378" i="1"/>
  <c r="D378" i="1" s="1"/>
  <c r="B379" i="1"/>
  <c r="H176" i="1" l="1"/>
  <c r="G176" i="1"/>
  <c r="F176" i="1"/>
  <c r="C1593" i="1"/>
  <c r="D1593" i="1" s="1"/>
  <c r="B1594" i="1"/>
  <c r="C1115" i="1"/>
  <c r="D1115" i="1" s="1"/>
  <c r="B1116" i="1"/>
  <c r="C379" i="1"/>
  <c r="D379" i="1" s="1"/>
  <c r="B380" i="1"/>
  <c r="I176" i="1" l="1"/>
  <c r="E177" i="1" s="1"/>
  <c r="B1595" i="1"/>
  <c r="C1594" i="1"/>
  <c r="D1594" i="1" s="1"/>
  <c r="C1116" i="1"/>
  <c r="D1116" i="1" s="1"/>
  <c r="B1117" i="1"/>
  <c r="C380" i="1"/>
  <c r="D380" i="1" s="1"/>
  <c r="B381" i="1"/>
  <c r="H177" i="1" l="1"/>
  <c r="G177" i="1"/>
  <c r="F177" i="1"/>
  <c r="B1596" i="1"/>
  <c r="C1595" i="1"/>
  <c r="D1595" i="1" s="1"/>
  <c r="C1117" i="1"/>
  <c r="D1117" i="1" s="1"/>
  <c r="B1118" i="1"/>
  <c r="C381" i="1"/>
  <c r="D381" i="1" s="1"/>
  <c r="B382" i="1"/>
  <c r="I177" i="1" l="1"/>
  <c r="E178" i="1" s="1"/>
  <c r="B1597" i="1"/>
  <c r="C1596" i="1"/>
  <c r="D1596" i="1" s="1"/>
  <c r="C1118" i="1"/>
  <c r="D1118" i="1" s="1"/>
  <c r="B1119" i="1"/>
  <c r="B383" i="1"/>
  <c r="C382" i="1"/>
  <c r="D382" i="1" s="1"/>
  <c r="H178" i="1" l="1"/>
  <c r="G178" i="1"/>
  <c r="F178" i="1"/>
  <c r="C1597" i="1"/>
  <c r="D1597" i="1" s="1"/>
  <c r="B1598" i="1"/>
  <c r="C1119" i="1"/>
  <c r="D1119" i="1" s="1"/>
  <c r="B1120" i="1"/>
  <c r="C383" i="1"/>
  <c r="D383" i="1" s="1"/>
  <c r="B384" i="1"/>
  <c r="I178" i="1" l="1"/>
  <c r="E179" i="1" s="1"/>
  <c r="B1599" i="1"/>
  <c r="C1598" i="1"/>
  <c r="D1598" i="1" s="1"/>
  <c r="C1120" i="1"/>
  <c r="D1120" i="1" s="1"/>
  <c r="B1121" i="1"/>
  <c r="C384" i="1"/>
  <c r="D384" i="1" s="1"/>
  <c r="B385" i="1"/>
  <c r="G179" i="1" l="1"/>
  <c r="H179" i="1"/>
  <c r="F179" i="1" s="1"/>
  <c r="C1599" i="1"/>
  <c r="D1599" i="1" s="1"/>
  <c r="B1600" i="1"/>
  <c r="C1121" i="1"/>
  <c r="D1121" i="1" s="1"/>
  <c r="B1122" i="1"/>
  <c r="C385" i="1"/>
  <c r="D385" i="1" s="1"/>
  <c r="B386" i="1"/>
  <c r="I179" i="1" l="1"/>
  <c r="E180" i="1" s="1"/>
  <c r="C1600" i="1"/>
  <c r="D1600" i="1" s="1"/>
  <c r="B1601" i="1"/>
  <c r="B1123" i="1"/>
  <c r="C1122" i="1"/>
  <c r="D1122" i="1" s="1"/>
  <c r="C386" i="1"/>
  <c r="D386" i="1" s="1"/>
  <c r="B387" i="1"/>
  <c r="G180" i="1" l="1"/>
  <c r="H180" i="1"/>
  <c r="F180" i="1" s="1"/>
  <c r="C1601" i="1"/>
  <c r="D1601" i="1" s="1"/>
  <c r="B1602" i="1"/>
  <c r="C1123" i="1"/>
  <c r="D1123" i="1" s="1"/>
  <c r="B1124" i="1"/>
  <c r="B388" i="1"/>
  <c r="C387" i="1"/>
  <c r="D387" i="1" s="1"/>
  <c r="I180" i="1" l="1"/>
  <c r="E181" i="1" s="1"/>
  <c r="C1602" i="1"/>
  <c r="D1602" i="1" s="1"/>
  <c r="B1603" i="1"/>
  <c r="C1124" i="1"/>
  <c r="D1124" i="1" s="1"/>
  <c r="B1125" i="1"/>
  <c r="B389" i="1"/>
  <c r="C388" i="1"/>
  <c r="D388" i="1" s="1"/>
  <c r="H181" i="1" l="1"/>
  <c r="G181" i="1"/>
  <c r="C1603" i="1"/>
  <c r="D1603" i="1" s="1"/>
  <c r="B1604" i="1"/>
  <c r="C1125" i="1"/>
  <c r="D1125" i="1" s="1"/>
  <c r="B1126" i="1"/>
  <c r="C389" i="1"/>
  <c r="D389" i="1" s="1"/>
  <c r="B390" i="1"/>
  <c r="F181" i="1" l="1"/>
  <c r="C1604" i="1"/>
  <c r="D1604" i="1" s="1"/>
  <c r="B1605" i="1"/>
  <c r="C1126" i="1"/>
  <c r="D1126" i="1" s="1"/>
  <c r="B1127" i="1"/>
  <c r="C390" i="1"/>
  <c r="D390" i="1" s="1"/>
  <c r="B391" i="1"/>
  <c r="I181" i="1" l="1"/>
  <c r="E182" i="1" s="1"/>
  <c r="C1605" i="1"/>
  <c r="D1605" i="1" s="1"/>
  <c r="B1606" i="1"/>
  <c r="C1127" i="1"/>
  <c r="D1127" i="1" s="1"/>
  <c r="B1128" i="1"/>
  <c r="C391" i="1"/>
  <c r="D391" i="1" s="1"/>
  <c r="B392" i="1"/>
  <c r="H182" i="1" l="1"/>
  <c r="G182" i="1"/>
  <c r="F182" i="1"/>
  <c r="C1606" i="1"/>
  <c r="D1606" i="1" s="1"/>
  <c r="B1607" i="1"/>
  <c r="C1128" i="1"/>
  <c r="D1128" i="1" s="1"/>
  <c r="B1129" i="1"/>
  <c r="C392" i="1"/>
  <c r="D392" i="1" s="1"/>
  <c r="B393" i="1"/>
  <c r="I182" i="1" l="1"/>
  <c r="E183" i="1" s="1"/>
  <c r="C1607" i="1"/>
  <c r="D1607" i="1" s="1"/>
  <c r="B1608" i="1"/>
  <c r="C1129" i="1"/>
  <c r="D1129" i="1" s="1"/>
  <c r="B1130" i="1"/>
  <c r="C393" i="1"/>
  <c r="D393" i="1" s="1"/>
  <c r="B394" i="1"/>
  <c r="H183" i="1" l="1"/>
  <c r="F183" i="1" s="1"/>
  <c r="G183" i="1"/>
  <c r="C1608" i="1"/>
  <c r="D1608" i="1" s="1"/>
  <c r="B1609" i="1"/>
  <c r="C1130" i="1"/>
  <c r="D1130" i="1" s="1"/>
  <c r="B1131" i="1"/>
  <c r="C394" i="1"/>
  <c r="D394" i="1" s="1"/>
  <c r="B395" i="1"/>
  <c r="I183" i="1" l="1"/>
  <c r="E184" i="1" s="1"/>
  <c r="C1609" i="1"/>
  <c r="D1609" i="1" s="1"/>
  <c r="B1610" i="1"/>
  <c r="C1131" i="1"/>
  <c r="D1131" i="1" s="1"/>
  <c r="B1132" i="1"/>
  <c r="C395" i="1"/>
  <c r="D395" i="1" s="1"/>
  <c r="B396" i="1"/>
  <c r="H184" i="1" l="1"/>
  <c r="G184" i="1"/>
  <c r="F184" i="1"/>
  <c r="C1610" i="1"/>
  <c r="D1610" i="1" s="1"/>
  <c r="B1611" i="1"/>
  <c r="C1132" i="1"/>
  <c r="D1132" i="1" s="1"/>
  <c r="B1133" i="1"/>
  <c r="C396" i="1"/>
  <c r="D396" i="1" s="1"/>
  <c r="B397" i="1"/>
  <c r="I184" i="1" l="1"/>
  <c r="E185" i="1" s="1"/>
  <c r="C1611" i="1"/>
  <c r="D1611" i="1" s="1"/>
  <c r="B1612" i="1"/>
  <c r="C1133" i="1"/>
  <c r="D1133" i="1" s="1"/>
  <c r="B1134" i="1"/>
  <c r="C397" i="1"/>
  <c r="D397" i="1" s="1"/>
  <c r="B398" i="1"/>
  <c r="H185" i="1" l="1"/>
  <c r="G185" i="1"/>
  <c r="F185" i="1"/>
  <c r="C1612" i="1"/>
  <c r="D1612" i="1" s="1"/>
  <c r="B1613" i="1"/>
  <c r="B1135" i="1"/>
  <c r="C1134" i="1"/>
  <c r="D1134" i="1" s="1"/>
  <c r="B399" i="1"/>
  <c r="C398" i="1"/>
  <c r="D398" i="1" s="1"/>
  <c r="I185" i="1" l="1"/>
  <c r="C1613" i="1"/>
  <c r="D1613" i="1" s="1"/>
  <c r="B1614" i="1"/>
  <c r="C1135" i="1"/>
  <c r="D1135" i="1" s="1"/>
  <c r="B1136" i="1"/>
  <c r="B400" i="1"/>
  <c r="C399" i="1"/>
  <c r="D399" i="1" s="1"/>
  <c r="E186" i="1" l="1"/>
  <c r="G186" i="1" s="1"/>
  <c r="C1614" i="1"/>
  <c r="D1614" i="1" s="1"/>
  <c r="B1615" i="1"/>
  <c r="B1137" i="1"/>
  <c r="C1136" i="1"/>
  <c r="D1136" i="1" s="1"/>
  <c r="C400" i="1"/>
  <c r="D400" i="1" s="1"/>
  <c r="B401" i="1"/>
  <c r="H186" i="1" l="1"/>
  <c r="F186" i="1" s="1"/>
  <c r="C1615" i="1"/>
  <c r="D1615" i="1" s="1"/>
  <c r="B1616" i="1"/>
  <c r="C1137" i="1"/>
  <c r="D1137" i="1" s="1"/>
  <c r="B1138" i="1"/>
  <c r="C401" i="1"/>
  <c r="D401" i="1" s="1"/>
  <c r="B402" i="1"/>
  <c r="I186" i="1" l="1"/>
  <c r="E187" i="1" s="1"/>
  <c r="H187" i="1" s="1"/>
  <c r="F187" i="1" s="1"/>
  <c r="C1616" i="1"/>
  <c r="D1616" i="1" s="1"/>
  <c r="B1617" i="1"/>
  <c r="B1139" i="1"/>
  <c r="C1138" i="1"/>
  <c r="D1138" i="1" s="1"/>
  <c r="C402" i="1"/>
  <c r="D402" i="1" s="1"/>
  <c r="B403" i="1"/>
  <c r="G187" i="1" l="1"/>
  <c r="I187" i="1"/>
  <c r="E188" i="1" s="1"/>
  <c r="C1617" i="1"/>
  <c r="D1617" i="1" s="1"/>
  <c r="B1618" i="1"/>
  <c r="C1139" i="1"/>
  <c r="D1139" i="1" s="1"/>
  <c r="B1140" i="1"/>
  <c r="B404" i="1"/>
  <c r="C403" i="1"/>
  <c r="D403" i="1" s="1"/>
  <c r="H188" i="1" l="1"/>
  <c r="G188" i="1"/>
  <c r="F188" i="1"/>
  <c r="C1618" i="1"/>
  <c r="D1618" i="1" s="1"/>
  <c r="B1619" i="1"/>
  <c r="B1141" i="1"/>
  <c r="C1140" i="1"/>
  <c r="D1140" i="1" s="1"/>
  <c r="B405" i="1"/>
  <c r="C404" i="1"/>
  <c r="D404" i="1" s="1"/>
  <c r="I188" i="1" l="1"/>
  <c r="E189" i="1" s="1"/>
  <c r="C1619" i="1"/>
  <c r="D1619" i="1" s="1"/>
  <c r="B1620" i="1"/>
  <c r="C1141" i="1"/>
  <c r="D1141" i="1" s="1"/>
  <c r="B1142" i="1"/>
  <c r="B406" i="1"/>
  <c r="C405" i="1"/>
  <c r="D405" i="1" s="1"/>
  <c r="H189" i="1" l="1"/>
  <c r="G189" i="1"/>
  <c r="F189" i="1"/>
  <c r="C1620" i="1"/>
  <c r="D1620" i="1" s="1"/>
  <c r="B1621" i="1"/>
  <c r="C1142" i="1"/>
  <c r="D1142" i="1" s="1"/>
  <c r="B1143" i="1"/>
  <c r="C406" i="1"/>
  <c r="D406" i="1" s="1"/>
  <c r="B407" i="1"/>
  <c r="I189" i="1" l="1"/>
  <c r="E190" i="1" s="1"/>
  <c r="C1621" i="1"/>
  <c r="D1621" i="1" s="1"/>
  <c r="B1622" i="1"/>
  <c r="B1144" i="1"/>
  <c r="C1143" i="1"/>
  <c r="D1143" i="1" s="1"/>
  <c r="C407" i="1"/>
  <c r="D407" i="1" s="1"/>
  <c r="B408" i="1"/>
  <c r="H190" i="1" l="1"/>
  <c r="F190" i="1" s="1"/>
  <c r="G190" i="1"/>
  <c r="C1622" i="1"/>
  <c r="D1622" i="1" s="1"/>
  <c r="B1623" i="1"/>
  <c r="B1145" i="1"/>
  <c r="C1144" i="1"/>
  <c r="D1144" i="1" s="1"/>
  <c r="C408" i="1"/>
  <c r="D408" i="1" s="1"/>
  <c r="B409" i="1"/>
  <c r="I190" i="1" l="1"/>
  <c r="C1623" i="1"/>
  <c r="D1623" i="1" s="1"/>
  <c r="B1624" i="1"/>
  <c r="C1145" i="1"/>
  <c r="D1145" i="1" s="1"/>
  <c r="B1146" i="1"/>
  <c r="B410" i="1"/>
  <c r="C409" i="1"/>
  <c r="D409" i="1" s="1"/>
  <c r="E191" i="1" l="1"/>
  <c r="G191" i="1" s="1"/>
  <c r="C1624" i="1"/>
  <c r="D1624" i="1" s="1"/>
  <c r="B1625" i="1"/>
  <c r="C1146" i="1"/>
  <c r="D1146" i="1" s="1"/>
  <c r="B1147" i="1"/>
  <c r="C410" i="1"/>
  <c r="D410" i="1" s="1"/>
  <c r="B411" i="1"/>
  <c r="H191" i="1" l="1"/>
  <c r="F191" i="1" s="1"/>
  <c r="C1625" i="1"/>
  <c r="D1625" i="1" s="1"/>
  <c r="B1626" i="1"/>
  <c r="C1147" i="1"/>
  <c r="D1147" i="1" s="1"/>
  <c r="B1148" i="1"/>
  <c r="C411" i="1"/>
  <c r="D411" i="1" s="1"/>
  <c r="B412" i="1"/>
  <c r="I191" i="1" l="1"/>
  <c r="E192" i="1" s="1"/>
  <c r="H192" i="1" s="1"/>
  <c r="F192" i="1" s="1"/>
  <c r="C1626" i="1"/>
  <c r="D1626" i="1" s="1"/>
  <c r="B1627" i="1"/>
  <c r="B1149" i="1"/>
  <c r="C1148" i="1"/>
  <c r="D1148" i="1" s="1"/>
  <c r="C412" i="1"/>
  <c r="D412" i="1" s="1"/>
  <c r="B413" i="1"/>
  <c r="G192" i="1" l="1"/>
  <c r="I192" i="1"/>
  <c r="E193" i="1" s="1"/>
  <c r="C1627" i="1"/>
  <c r="D1627" i="1" s="1"/>
  <c r="B1628" i="1"/>
  <c r="C1149" i="1"/>
  <c r="D1149" i="1" s="1"/>
  <c r="B1150" i="1"/>
  <c r="C413" i="1"/>
  <c r="D413" i="1" s="1"/>
  <c r="B414" i="1"/>
  <c r="G193" i="1" l="1"/>
  <c r="H193" i="1"/>
  <c r="F193" i="1" s="1"/>
  <c r="B1629" i="1"/>
  <c r="C1628" i="1"/>
  <c r="D1628" i="1" s="1"/>
  <c r="B1151" i="1"/>
  <c r="C1150" i="1"/>
  <c r="D1150" i="1" s="1"/>
  <c r="B415" i="1"/>
  <c r="C414" i="1"/>
  <c r="D414" i="1" s="1"/>
  <c r="I193" i="1" l="1"/>
  <c r="E194" i="1" s="1"/>
  <c r="C1629" i="1"/>
  <c r="D1629" i="1" s="1"/>
  <c r="B1630" i="1"/>
  <c r="B1152" i="1"/>
  <c r="C1151" i="1"/>
  <c r="D1151" i="1" s="1"/>
  <c r="B416" i="1"/>
  <c r="C415" i="1"/>
  <c r="D415" i="1" s="1"/>
  <c r="G194" i="1" l="1"/>
  <c r="H194" i="1"/>
  <c r="F194" i="1" s="1"/>
  <c r="C1630" i="1"/>
  <c r="D1630" i="1" s="1"/>
  <c r="B1631" i="1"/>
  <c r="C1152" i="1"/>
  <c r="D1152" i="1" s="1"/>
  <c r="B1153" i="1"/>
  <c r="B417" i="1"/>
  <c r="C416" i="1"/>
  <c r="D416" i="1" s="1"/>
  <c r="I194" i="1" l="1"/>
  <c r="E195" i="1" s="1"/>
  <c r="C1631" i="1"/>
  <c r="D1631" i="1" s="1"/>
  <c r="B1632" i="1"/>
  <c r="C1153" i="1"/>
  <c r="D1153" i="1" s="1"/>
  <c r="B1154" i="1"/>
  <c r="C417" i="1"/>
  <c r="D417" i="1" s="1"/>
  <c r="B418" i="1"/>
  <c r="G195" i="1" l="1"/>
  <c r="H195" i="1"/>
  <c r="F195" i="1" s="1"/>
  <c r="C1632" i="1"/>
  <c r="D1632" i="1" s="1"/>
  <c r="B1633" i="1"/>
  <c r="B1155" i="1"/>
  <c r="C1154" i="1"/>
  <c r="D1154" i="1" s="1"/>
  <c r="B419" i="1"/>
  <c r="C418" i="1"/>
  <c r="D418" i="1" s="1"/>
  <c r="I195" i="1" l="1"/>
  <c r="E196" i="1" s="1"/>
  <c r="C1633" i="1"/>
  <c r="D1633" i="1" s="1"/>
  <c r="B1634" i="1"/>
  <c r="C1155" i="1"/>
  <c r="D1155" i="1" s="1"/>
  <c r="B1156" i="1"/>
  <c r="C419" i="1"/>
  <c r="D419" i="1" s="1"/>
  <c r="B420" i="1"/>
  <c r="G196" i="1" l="1"/>
  <c r="H196" i="1"/>
  <c r="F196" i="1" s="1"/>
  <c r="C1634" i="1"/>
  <c r="D1634" i="1" s="1"/>
  <c r="B1635" i="1"/>
  <c r="C1156" i="1"/>
  <c r="D1156" i="1" s="1"/>
  <c r="B1157" i="1"/>
  <c r="B421" i="1"/>
  <c r="C420" i="1"/>
  <c r="D420" i="1" s="1"/>
  <c r="I196" i="1" l="1"/>
  <c r="C1635" i="1"/>
  <c r="D1635" i="1" s="1"/>
  <c r="B1636" i="1"/>
  <c r="C1157" i="1"/>
  <c r="D1157" i="1" s="1"/>
  <c r="B1158" i="1"/>
  <c r="B422" i="1"/>
  <c r="C421" i="1"/>
  <c r="D421" i="1" s="1"/>
  <c r="E197" i="1" l="1"/>
  <c r="H197" i="1" s="1"/>
  <c r="F197" i="1" s="1"/>
  <c r="C1636" i="1"/>
  <c r="D1636" i="1" s="1"/>
  <c r="B1637" i="1"/>
  <c r="B1159" i="1"/>
  <c r="C1158" i="1"/>
  <c r="D1158" i="1" s="1"/>
  <c r="B423" i="1"/>
  <c r="C422" i="1"/>
  <c r="D422" i="1" s="1"/>
  <c r="G197" i="1" l="1"/>
  <c r="I197" i="1"/>
  <c r="E198" i="1" s="1"/>
  <c r="C1637" i="1"/>
  <c r="D1637" i="1" s="1"/>
  <c r="B1638" i="1"/>
  <c r="C1159" i="1"/>
  <c r="D1159" i="1" s="1"/>
  <c r="B1160" i="1"/>
  <c r="B424" i="1"/>
  <c r="C423" i="1"/>
  <c r="D423" i="1" s="1"/>
  <c r="H198" i="1" l="1"/>
  <c r="F198" i="1" s="1"/>
  <c r="G198" i="1"/>
  <c r="C1638" i="1"/>
  <c r="D1638" i="1" s="1"/>
  <c r="B1639" i="1"/>
  <c r="B1161" i="1"/>
  <c r="C1160" i="1"/>
  <c r="D1160" i="1" s="1"/>
  <c r="C424" i="1"/>
  <c r="D424" i="1" s="1"/>
  <c r="B425" i="1"/>
  <c r="I198" i="1" l="1"/>
  <c r="E199" i="1" s="1"/>
  <c r="C1639" i="1"/>
  <c r="D1639" i="1" s="1"/>
  <c r="B1640" i="1"/>
  <c r="C1161" i="1"/>
  <c r="D1161" i="1" s="1"/>
  <c r="B1162" i="1"/>
  <c r="C425" i="1"/>
  <c r="D425" i="1" s="1"/>
  <c r="B426" i="1"/>
  <c r="G199" i="1" l="1"/>
  <c r="H199" i="1"/>
  <c r="F199" i="1" s="1"/>
  <c r="C1640" i="1"/>
  <c r="D1640" i="1" s="1"/>
  <c r="B1641" i="1"/>
  <c r="C1162" i="1"/>
  <c r="D1162" i="1" s="1"/>
  <c r="B1163" i="1"/>
  <c r="B427" i="1"/>
  <c r="C426" i="1"/>
  <c r="D426" i="1" s="1"/>
  <c r="I199" i="1" l="1"/>
  <c r="E200" i="1" s="1"/>
  <c r="C1641" i="1"/>
  <c r="D1641" i="1" s="1"/>
  <c r="B1642" i="1"/>
  <c r="C1163" i="1"/>
  <c r="D1163" i="1" s="1"/>
  <c r="B1164" i="1"/>
  <c r="C427" i="1"/>
  <c r="D427" i="1" s="1"/>
  <c r="B428" i="1"/>
  <c r="H200" i="1" l="1"/>
  <c r="F200" i="1" s="1"/>
  <c r="G200" i="1"/>
  <c r="C1642" i="1"/>
  <c r="D1642" i="1" s="1"/>
  <c r="B1643" i="1"/>
  <c r="B1165" i="1"/>
  <c r="C1164" i="1"/>
  <c r="D1164" i="1" s="1"/>
  <c r="C428" i="1"/>
  <c r="D428" i="1" s="1"/>
  <c r="B429" i="1"/>
  <c r="I200" i="1" l="1"/>
  <c r="E201" i="1" s="1"/>
  <c r="C1643" i="1"/>
  <c r="D1643" i="1" s="1"/>
  <c r="B1644" i="1"/>
  <c r="C1165" i="1"/>
  <c r="D1165" i="1" s="1"/>
  <c r="B1166" i="1"/>
  <c r="C429" i="1"/>
  <c r="D429" i="1" s="1"/>
  <c r="B430" i="1"/>
  <c r="H201" i="1" l="1"/>
  <c r="G201" i="1"/>
  <c r="F201" i="1"/>
  <c r="C1644" i="1"/>
  <c r="D1644" i="1" s="1"/>
  <c r="B1645" i="1"/>
  <c r="C1166" i="1"/>
  <c r="D1166" i="1" s="1"/>
  <c r="B1167" i="1"/>
  <c r="B431" i="1"/>
  <c r="C430" i="1"/>
  <c r="D430" i="1" s="1"/>
  <c r="I201" i="1" l="1"/>
  <c r="E202" i="1" s="1"/>
  <c r="C1645" i="1"/>
  <c r="D1645" i="1" s="1"/>
  <c r="B1646" i="1"/>
  <c r="B1168" i="1"/>
  <c r="C1167" i="1"/>
  <c r="D1167" i="1" s="1"/>
  <c r="C431" i="1"/>
  <c r="D431" i="1" s="1"/>
  <c r="B432" i="1"/>
  <c r="H202" i="1" l="1"/>
  <c r="G202" i="1"/>
  <c r="F202" i="1"/>
  <c r="C1646" i="1"/>
  <c r="D1646" i="1" s="1"/>
  <c r="B1647" i="1"/>
  <c r="B1169" i="1"/>
  <c r="C1168" i="1"/>
  <c r="D1168" i="1" s="1"/>
  <c r="C432" i="1"/>
  <c r="D432" i="1" s="1"/>
  <c r="B433" i="1"/>
  <c r="I202" i="1" l="1"/>
  <c r="E203" i="1" s="1"/>
  <c r="C1647" i="1"/>
  <c r="D1647" i="1" s="1"/>
  <c r="B1648" i="1"/>
  <c r="C1169" i="1"/>
  <c r="D1169" i="1" s="1"/>
  <c r="B1170" i="1"/>
  <c r="C433" i="1"/>
  <c r="D433" i="1" s="1"/>
  <c r="B434" i="1"/>
  <c r="G203" i="1" l="1"/>
  <c r="H203" i="1"/>
  <c r="F203" i="1" s="1"/>
  <c r="C1648" i="1"/>
  <c r="D1648" i="1" s="1"/>
  <c r="B1649" i="1"/>
  <c r="B1171" i="1"/>
  <c r="C1170" i="1"/>
  <c r="D1170" i="1" s="1"/>
  <c r="C434" i="1"/>
  <c r="D434" i="1" s="1"/>
  <c r="B435" i="1"/>
  <c r="I203" i="1" l="1"/>
  <c r="E204" i="1" s="1"/>
  <c r="C1649" i="1"/>
  <c r="D1649" i="1" s="1"/>
  <c r="B1650" i="1"/>
  <c r="B1172" i="1"/>
  <c r="C1171" i="1"/>
  <c r="D1171" i="1" s="1"/>
  <c r="B436" i="1"/>
  <c r="C435" i="1"/>
  <c r="D435" i="1" s="1"/>
  <c r="H204" i="1" l="1"/>
  <c r="F204" i="1" s="1"/>
  <c r="G204" i="1"/>
  <c r="C1650" i="1"/>
  <c r="D1650" i="1" s="1"/>
  <c r="B1651" i="1"/>
  <c r="B1173" i="1"/>
  <c r="C1172" i="1"/>
  <c r="D1172" i="1" s="1"/>
  <c r="B437" i="1"/>
  <c r="C436" i="1"/>
  <c r="D436" i="1" s="1"/>
  <c r="I204" i="1" l="1"/>
  <c r="E205" i="1" s="1"/>
  <c r="C1651" i="1"/>
  <c r="D1651" i="1" s="1"/>
  <c r="B1652" i="1"/>
  <c r="C1173" i="1"/>
  <c r="D1173" i="1" s="1"/>
  <c r="B1174" i="1"/>
  <c r="C437" i="1"/>
  <c r="D437" i="1" s="1"/>
  <c r="B438" i="1"/>
  <c r="H205" i="1" l="1"/>
  <c r="F205" i="1" s="1"/>
  <c r="G205" i="1"/>
  <c r="C1652" i="1"/>
  <c r="D1652" i="1" s="1"/>
  <c r="B1653" i="1"/>
  <c r="B1175" i="1"/>
  <c r="C1174" i="1"/>
  <c r="D1174" i="1" s="1"/>
  <c r="C438" i="1"/>
  <c r="D438" i="1" s="1"/>
  <c r="B439" i="1"/>
  <c r="I205" i="1" l="1"/>
  <c r="E206" i="1" s="1"/>
  <c r="C1653" i="1"/>
  <c r="D1653" i="1" s="1"/>
  <c r="B1654" i="1"/>
  <c r="C1175" i="1"/>
  <c r="D1175" i="1" s="1"/>
  <c r="B1176" i="1"/>
  <c r="B440" i="1"/>
  <c r="C439" i="1"/>
  <c r="D439" i="1" s="1"/>
  <c r="G206" i="1" l="1"/>
  <c r="H206" i="1"/>
  <c r="C1654" i="1"/>
  <c r="D1654" i="1" s="1"/>
  <c r="B1655" i="1"/>
  <c r="C1176" i="1"/>
  <c r="D1176" i="1" s="1"/>
  <c r="B1177" i="1"/>
  <c r="C440" i="1"/>
  <c r="D440" i="1" s="1"/>
  <c r="B441" i="1"/>
  <c r="F206" i="1" l="1"/>
  <c r="I206" i="1" s="1"/>
  <c r="E207" i="1" s="1"/>
  <c r="C1655" i="1"/>
  <c r="D1655" i="1" s="1"/>
  <c r="B1656" i="1"/>
  <c r="C1177" i="1"/>
  <c r="D1177" i="1" s="1"/>
  <c r="B1178" i="1"/>
  <c r="B442" i="1"/>
  <c r="C441" i="1"/>
  <c r="D441" i="1" s="1"/>
  <c r="H207" i="1" l="1"/>
  <c r="F207" i="1" s="1"/>
  <c r="G207" i="1"/>
  <c r="C1656" i="1"/>
  <c r="D1656" i="1" s="1"/>
  <c r="B1657" i="1"/>
  <c r="B1179" i="1"/>
  <c r="C1178" i="1"/>
  <c r="D1178" i="1" s="1"/>
  <c r="B443" i="1"/>
  <c r="C442" i="1"/>
  <c r="D442" i="1" s="1"/>
  <c r="I207" i="1" l="1"/>
  <c r="E208" i="1" s="1"/>
  <c r="C1657" i="1"/>
  <c r="D1657" i="1" s="1"/>
  <c r="B1658" i="1"/>
  <c r="B1180" i="1"/>
  <c r="C1179" i="1"/>
  <c r="D1179" i="1" s="1"/>
  <c r="C443" i="1"/>
  <c r="D443" i="1" s="1"/>
  <c r="B444" i="1"/>
  <c r="G208" i="1" l="1"/>
  <c r="H208" i="1"/>
  <c r="F208" i="1" s="1"/>
  <c r="C1658" i="1"/>
  <c r="D1658" i="1" s="1"/>
  <c r="B1659" i="1"/>
  <c r="B1181" i="1"/>
  <c r="C1180" i="1"/>
  <c r="D1180" i="1" s="1"/>
  <c r="C444" i="1"/>
  <c r="D444" i="1" s="1"/>
  <c r="B445" i="1"/>
  <c r="I208" i="1" l="1"/>
  <c r="C1659" i="1"/>
  <c r="D1659" i="1" s="1"/>
  <c r="B1660" i="1"/>
  <c r="C1181" i="1"/>
  <c r="D1181" i="1" s="1"/>
  <c r="B1182" i="1"/>
  <c r="C445" i="1"/>
  <c r="D445" i="1" s="1"/>
  <c r="B446" i="1"/>
  <c r="E209" i="1" l="1"/>
  <c r="H209" i="1" s="1"/>
  <c r="F209" i="1" s="1"/>
  <c r="C1660" i="1"/>
  <c r="D1660" i="1" s="1"/>
  <c r="B1661" i="1"/>
  <c r="C1182" i="1"/>
  <c r="D1182" i="1" s="1"/>
  <c r="B1183" i="1"/>
  <c r="C446" i="1"/>
  <c r="D446" i="1" s="1"/>
  <c r="B447" i="1"/>
  <c r="G209" i="1" l="1"/>
  <c r="I209" i="1"/>
  <c r="E210" i="1" s="1"/>
  <c r="C1661" i="1"/>
  <c r="D1661" i="1" s="1"/>
  <c r="B1662" i="1"/>
  <c r="B1184" i="1"/>
  <c r="C1183" i="1"/>
  <c r="D1183" i="1" s="1"/>
  <c r="C447" i="1"/>
  <c r="D447" i="1" s="1"/>
  <c r="B448" i="1"/>
  <c r="H210" i="1" l="1"/>
  <c r="G210" i="1"/>
  <c r="F210" i="1"/>
  <c r="C1662" i="1"/>
  <c r="D1662" i="1" s="1"/>
  <c r="B1663" i="1"/>
  <c r="B1185" i="1"/>
  <c r="C1184" i="1"/>
  <c r="D1184" i="1" s="1"/>
  <c r="C448" i="1"/>
  <c r="D448" i="1" s="1"/>
  <c r="B449" i="1"/>
  <c r="I210" i="1" l="1"/>
  <c r="E211" i="1" s="1"/>
  <c r="C1663" i="1"/>
  <c r="D1663" i="1" s="1"/>
  <c r="B1664" i="1"/>
  <c r="C1185" i="1"/>
  <c r="D1185" i="1" s="1"/>
  <c r="B1186" i="1"/>
  <c r="C449" i="1"/>
  <c r="D449" i="1" s="1"/>
  <c r="B450" i="1"/>
  <c r="H211" i="1" l="1"/>
  <c r="G211" i="1"/>
  <c r="F211" i="1"/>
  <c r="C1664" i="1"/>
  <c r="D1664" i="1" s="1"/>
  <c r="B1665" i="1"/>
  <c r="B1187" i="1"/>
  <c r="C1186" i="1"/>
  <c r="D1186" i="1" s="1"/>
  <c r="C450" i="1"/>
  <c r="D450" i="1" s="1"/>
  <c r="B451" i="1"/>
  <c r="I211" i="1" l="1"/>
  <c r="C1665" i="1"/>
  <c r="D1665" i="1" s="1"/>
  <c r="B1666" i="1"/>
  <c r="C1187" i="1"/>
  <c r="D1187" i="1" s="1"/>
  <c r="B1188" i="1"/>
  <c r="B452" i="1"/>
  <c r="C451" i="1"/>
  <c r="D451" i="1" s="1"/>
  <c r="E212" i="1" l="1"/>
  <c r="G212" i="1" s="1"/>
  <c r="C1666" i="1"/>
  <c r="D1666" i="1" s="1"/>
  <c r="B1667" i="1"/>
  <c r="C1188" i="1"/>
  <c r="D1188" i="1" s="1"/>
  <c r="B1189" i="1"/>
  <c r="C452" i="1"/>
  <c r="D452" i="1" s="1"/>
  <c r="B453" i="1"/>
  <c r="H212" i="1" l="1"/>
  <c r="F212" i="1" s="1"/>
  <c r="C1667" i="1"/>
  <c r="D1667" i="1" s="1"/>
  <c r="B1668" i="1"/>
  <c r="B1190" i="1"/>
  <c r="C1189" i="1"/>
  <c r="D1189" i="1" s="1"/>
  <c r="C453" i="1"/>
  <c r="D453" i="1" s="1"/>
  <c r="B454" i="1"/>
  <c r="I212" i="1" l="1"/>
  <c r="E213" i="1"/>
  <c r="H213" i="1" s="1"/>
  <c r="C1668" i="1"/>
  <c r="D1668" i="1" s="1"/>
  <c r="B1669" i="1"/>
  <c r="C1190" i="1"/>
  <c r="D1190" i="1" s="1"/>
  <c r="B1191" i="1"/>
  <c r="C454" i="1"/>
  <c r="D454" i="1" s="1"/>
  <c r="B455" i="1"/>
  <c r="G213" i="1" l="1"/>
  <c r="F213" i="1"/>
  <c r="I213" i="1" s="1"/>
  <c r="E214" i="1" s="1"/>
  <c r="C1669" i="1"/>
  <c r="D1669" i="1" s="1"/>
  <c r="B1670" i="1"/>
  <c r="C1191" i="1"/>
  <c r="D1191" i="1" s="1"/>
  <c r="B1192" i="1"/>
  <c r="C455" i="1"/>
  <c r="D455" i="1" s="1"/>
  <c r="B456" i="1"/>
  <c r="C1670" i="1" l="1"/>
  <c r="D1670" i="1" s="1"/>
  <c r="B1671" i="1"/>
  <c r="C1192" i="1"/>
  <c r="D1192" i="1" s="1"/>
  <c r="B1193" i="1"/>
  <c r="C456" i="1"/>
  <c r="D456" i="1" s="1"/>
  <c r="B457" i="1"/>
  <c r="G214" i="1" l="1"/>
  <c r="H214" i="1"/>
  <c r="C1671" i="1"/>
  <c r="D1671" i="1" s="1"/>
  <c r="B1672" i="1"/>
  <c r="C1193" i="1"/>
  <c r="D1193" i="1" s="1"/>
  <c r="B1194" i="1"/>
  <c r="B458" i="1"/>
  <c r="C457" i="1"/>
  <c r="D457" i="1" s="1"/>
  <c r="F214" i="1" l="1"/>
  <c r="I214" i="1" s="1"/>
  <c r="E215" i="1" s="1"/>
  <c r="C1672" i="1"/>
  <c r="D1672" i="1" s="1"/>
  <c r="B1673" i="1"/>
  <c r="C1194" i="1"/>
  <c r="D1194" i="1" s="1"/>
  <c r="B1195" i="1"/>
  <c r="B459" i="1"/>
  <c r="C458" i="1"/>
  <c r="D458" i="1" s="1"/>
  <c r="H215" i="1" l="1"/>
  <c r="G215" i="1"/>
  <c r="F215" i="1"/>
  <c r="C1673" i="1"/>
  <c r="D1673" i="1" s="1"/>
  <c r="B1674" i="1"/>
  <c r="C1195" i="1"/>
  <c r="D1195" i="1" s="1"/>
  <c r="B1196" i="1"/>
  <c r="B460" i="1"/>
  <c r="C459" i="1"/>
  <c r="D459" i="1" s="1"/>
  <c r="I215" i="1" l="1"/>
  <c r="E216" i="1" s="1"/>
  <c r="C1674" i="1"/>
  <c r="D1674" i="1" s="1"/>
  <c r="B1675" i="1"/>
  <c r="C1196" i="1"/>
  <c r="D1196" i="1" s="1"/>
  <c r="B1197" i="1"/>
  <c r="B461" i="1"/>
  <c r="C460" i="1"/>
  <c r="D460" i="1" s="1"/>
  <c r="H216" i="1" l="1"/>
  <c r="G216" i="1"/>
  <c r="C1675" i="1"/>
  <c r="D1675" i="1" s="1"/>
  <c r="B1676" i="1"/>
  <c r="B1198" i="1"/>
  <c r="C1197" i="1"/>
  <c r="D1197" i="1" s="1"/>
  <c r="C461" i="1"/>
  <c r="D461" i="1" s="1"/>
  <c r="B462" i="1"/>
  <c r="F216" i="1" l="1"/>
  <c r="I216" i="1" s="1"/>
  <c r="E217" i="1" s="1"/>
  <c r="C1676" i="1"/>
  <c r="D1676" i="1" s="1"/>
  <c r="B1677" i="1"/>
  <c r="C1198" i="1"/>
  <c r="D1198" i="1" s="1"/>
  <c r="B1199" i="1"/>
  <c r="B463" i="1"/>
  <c r="C462" i="1"/>
  <c r="D462" i="1" s="1"/>
  <c r="C1677" i="1" l="1"/>
  <c r="D1677" i="1" s="1"/>
  <c r="B1678" i="1"/>
  <c r="C1199" i="1"/>
  <c r="D1199" i="1" s="1"/>
  <c r="B1200" i="1"/>
  <c r="C463" i="1"/>
  <c r="D463" i="1" s="1"/>
  <c r="B464" i="1"/>
  <c r="G217" i="1" l="1"/>
  <c r="H217" i="1"/>
  <c r="C1678" i="1"/>
  <c r="D1678" i="1" s="1"/>
  <c r="B1679" i="1"/>
  <c r="C1200" i="1"/>
  <c r="D1200" i="1" s="1"/>
  <c r="B1201" i="1"/>
  <c r="B465" i="1"/>
  <c r="C464" i="1"/>
  <c r="D464" i="1" s="1"/>
  <c r="F217" i="1" l="1"/>
  <c r="I217" i="1" s="1"/>
  <c r="E218" i="1" s="1"/>
  <c r="C1679" i="1"/>
  <c r="D1679" i="1" s="1"/>
  <c r="B1680" i="1"/>
  <c r="B1202" i="1"/>
  <c r="C1201" i="1"/>
  <c r="D1201" i="1" s="1"/>
  <c r="C465" i="1"/>
  <c r="D465" i="1" s="1"/>
  <c r="B466" i="1"/>
  <c r="C1680" i="1" l="1"/>
  <c r="D1680" i="1" s="1"/>
  <c r="B1681" i="1"/>
  <c r="C1202" i="1"/>
  <c r="D1202" i="1" s="1"/>
  <c r="B1203" i="1"/>
  <c r="C466" i="1"/>
  <c r="D466" i="1" s="1"/>
  <c r="B467" i="1"/>
  <c r="H218" i="1" l="1"/>
  <c r="G218" i="1"/>
  <c r="C1681" i="1"/>
  <c r="D1681" i="1" s="1"/>
  <c r="B1682" i="1"/>
  <c r="C1203" i="1"/>
  <c r="D1203" i="1" s="1"/>
  <c r="B1204" i="1"/>
  <c r="C467" i="1"/>
  <c r="D467" i="1" s="1"/>
  <c r="B468" i="1"/>
  <c r="F218" i="1" l="1"/>
  <c r="I218" i="1" s="1"/>
  <c r="E219" i="1" s="1"/>
  <c r="C1682" i="1"/>
  <c r="D1682" i="1" s="1"/>
  <c r="B1683" i="1"/>
  <c r="C1204" i="1"/>
  <c r="D1204" i="1" s="1"/>
  <c r="B1205" i="1"/>
  <c r="B469" i="1"/>
  <c r="C468" i="1"/>
  <c r="D468" i="1" s="1"/>
  <c r="C1683" i="1" l="1"/>
  <c r="D1683" i="1" s="1"/>
  <c r="B1684" i="1"/>
  <c r="C1205" i="1"/>
  <c r="D1205" i="1" s="1"/>
  <c r="B1206" i="1"/>
  <c r="C469" i="1"/>
  <c r="D469" i="1" s="1"/>
  <c r="B470" i="1"/>
  <c r="H219" i="1" l="1"/>
  <c r="G219" i="1"/>
  <c r="C1684" i="1"/>
  <c r="D1684" i="1" s="1"/>
  <c r="B1685" i="1"/>
  <c r="C1206" i="1"/>
  <c r="D1206" i="1" s="1"/>
  <c r="B1207" i="1"/>
  <c r="C470" i="1"/>
  <c r="D470" i="1" s="1"/>
  <c r="B471" i="1"/>
  <c r="F219" i="1" l="1"/>
  <c r="I219" i="1" s="1"/>
  <c r="E220" i="1" s="1"/>
  <c r="C1685" i="1"/>
  <c r="D1685" i="1" s="1"/>
  <c r="B1686" i="1"/>
  <c r="C1207" i="1"/>
  <c r="D1207" i="1" s="1"/>
  <c r="B1208" i="1"/>
  <c r="C471" i="1"/>
  <c r="D471" i="1" s="1"/>
  <c r="B472" i="1"/>
  <c r="C1686" i="1" l="1"/>
  <c r="D1686" i="1" s="1"/>
  <c r="B1687" i="1"/>
  <c r="C1208" i="1"/>
  <c r="D1208" i="1" s="1"/>
  <c r="B1209" i="1"/>
  <c r="C472" i="1"/>
  <c r="D472" i="1" s="1"/>
  <c r="B473" i="1"/>
  <c r="H220" i="1" l="1"/>
  <c r="G220" i="1"/>
  <c r="C1687" i="1"/>
  <c r="D1687" i="1" s="1"/>
  <c r="B1688" i="1"/>
  <c r="C1209" i="1"/>
  <c r="D1209" i="1" s="1"/>
  <c r="B1210" i="1"/>
  <c r="C473" i="1"/>
  <c r="D473" i="1" s="1"/>
  <c r="B474" i="1"/>
  <c r="F220" i="1" l="1"/>
  <c r="C1688" i="1"/>
  <c r="D1688" i="1" s="1"/>
  <c r="B1689" i="1"/>
  <c r="C1210" i="1"/>
  <c r="D1210" i="1" s="1"/>
  <c r="B1211" i="1"/>
  <c r="B475" i="1"/>
  <c r="C474" i="1"/>
  <c r="D474" i="1" s="1"/>
  <c r="I220" i="1" l="1"/>
  <c r="E221" i="1" s="1"/>
  <c r="B1690" i="1"/>
  <c r="C1689" i="1"/>
  <c r="D1689" i="1" s="1"/>
  <c r="B1212" i="1"/>
  <c r="C1211" i="1"/>
  <c r="D1211" i="1" s="1"/>
  <c r="B476" i="1"/>
  <c r="C475" i="1"/>
  <c r="D475" i="1" s="1"/>
  <c r="H221" i="1" l="1"/>
  <c r="G221" i="1"/>
  <c r="F221" i="1"/>
  <c r="C1690" i="1"/>
  <c r="D1690" i="1" s="1"/>
  <c r="B1691" i="1"/>
  <c r="C1212" i="1"/>
  <c r="D1212" i="1" s="1"/>
  <c r="B1213" i="1"/>
  <c r="B477" i="1"/>
  <c r="C476" i="1"/>
  <c r="D476" i="1" s="1"/>
  <c r="I221" i="1" l="1"/>
  <c r="E222" i="1" s="1"/>
  <c r="C1691" i="1"/>
  <c r="D1691" i="1" s="1"/>
  <c r="B1692" i="1"/>
  <c r="C1213" i="1"/>
  <c r="D1213" i="1" s="1"/>
  <c r="B1214" i="1"/>
  <c r="C477" i="1"/>
  <c r="D477" i="1" s="1"/>
  <c r="B478" i="1"/>
  <c r="H222" i="1" l="1"/>
  <c r="G222" i="1"/>
  <c r="C1692" i="1"/>
  <c r="D1692" i="1" s="1"/>
  <c r="B1693" i="1"/>
  <c r="C1214" i="1"/>
  <c r="D1214" i="1" s="1"/>
  <c r="B1215" i="1"/>
  <c r="B479" i="1"/>
  <c r="C478" i="1"/>
  <c r="D478" i="1" s="1"/>
  <c r="F222" i="1" l="1"/>
  <c r="I222" i="1" s="1"/>
  <c r="E223" i="1" s="1"/>
  <c r="C1693" i="1"/>
  <c r="D1693" i="1" s="1"/>
  <c r="B1694" i="1"/>
  <c r="C1215" i="1"/>
  <c r="D1215" i="1" s="1"/>
  <c r="B1216" i="1"/>
  <c r="C479" i="1"/>
  <c r="D479" i="1" s="1"/>
  <c r="B480" i="1"/>
  <c r="C1694" i="1" l="1"/>
  <c r="D1694" i="1" s="1"/>
  <c r="B1695" i="1"/>
  <c r="C1216" i="1"/>
  <c r="D1216" i="1" s="1"/>
  <c r="B1217" i="1"/>
  <c r="B481" i="1"/>
  <c r="C480" i="1"/>
  <c r="D480" i="1" s="1"/>
  <c r="G223" i="1" l="1"/>
  <c r="H223" i="1"/>
  <c r="C1695" i="1"/>
  <c r="D1695" i="1" s="1"/>
  <c r="B1696" i="1"/>
  <c r="B1218" i="1"/>
  <c r="C1217" i="1"/>
  <c r="D1217" i="1" s="1"/>
  <c r="B482" i="1"/>
  <c r="C481" i="1"/>
  <c r="D481" i="1" s="1"/>
  <c r="F223" i="1" l="1"/>
  <c r="I223" i="1" s="1"/>
  <c r="E224" i="1" s="1"/>
  <c r="B1697" i="1"/>
  <c r="C1696" i="1"/>
  <c r="D1696" i="1" s="1"/>
  <c r="C1218" i="1"/>
  <c r="D1218" i="1" s="1"/>
  <c r="B1219" i="1"/>
  <c r="C482" i="1"/>
  <c r="D482" i="1" s="1"/>
  <c r="B483" i="1"/>
  <c r="B1698" i="1" l="1"/>
  <c r="C1697" i="1"/>
  <c r="D1697" i="1" s="1"/>
  <c r="C1219" i="1"/>
  <c r="D1219" i="1" s="1"/>
  <c r="B1220" i="1"/>
  <c r="C483" i="1"/>
  <c r="D483" i="1" s="1"/>
  <c r="B484" i="1"/>
  <c r="G224" i="1" l="1"/>
  <c r="H224" i="1"/>
  <c r="C1698" i="1"/>
  <c r="D1698" i="1" s="1"/>
  <c r="B1699" i="1"/>
  <c r="C1220" i="1"/>
  <c r="D1220" i="1" s="1"/>
  <c r="B1221" i="1"/>
  <c r="C484" i="1"/>
  <c r="D484" i="1" s="1"/>
  <c r="B485" i="1"/>
  <c r="F224" i="1" l="1"/>
  <c r="I224" i="1" s="1"/>
  <c r="E225" i="1" s="1"/>
  <c r="C1699" i="1"/>
  <c r="D1699" i="1" s="1"/>
  <c r="B1700" i="1"/>
  <c r="B1222" i="1"/>
  <c r="C1221" i="1"/>
  <c r="D1221" i="1" s="1"/>
  <c r="C485" i="1"/>
  <c r="D485" i="1" s="1"/>
  <c r="B486" i="1"/>
  <c r="B1701" i="1" l="1"/>
  <c r="C1700" i="1"/>
  <c r="D1700" i="1" s="1"/>
  <c r="C1222" i="1"/>
  <c r="D1222" i="1" s="1"/>
  <c r="B1223" i="1"/>
  <c r="B487" i="1"/>
  <c r="C486" i="1"/>
  <c r="D486" i="1" s="1"/>
  <c r="G225" i="1" l="1"/>
  <c r="H225" i="1"/>
  <c r="B1702" i="1"/>
  <c r="C1701" i="1"/>
  <c r="D1701" i="1" s="1"/>
  <c r="C1223" i="1"/>
  <c r="D1223" i="1" s="1"/>
  <c r="B1224" i="1"/>
  <c r="C487" i="1"/>
  <c r="D487" i="1" s="1"/>
  <c r="B488" i="1"/>
  <c r="F225" i="1" l="1"/>
  <c r="I225" i="1" s="1"/>
  <c r="E226" i="1" s="1"/>
  <c r="B1703" i="1"/>
  <c r="C1702" i="1"/>
  <c r="D1702" i="1" s="1"/>
  <c r="C1224" i="1"/>
  <c r="D1224" i="1" s="1"/>
  <c r="B1225" i="1"/>
  <c r="C488" i="1"/>
  <c r="D488" i="1" s="1"/>
  <c r="B489" i="1"/>
  <c r="C1703" i="1" l="1"/>
  <c r="D1703" i="1" s="1"/>
  <c r="B1704" i="1"/>
  <c r="C1225" i="1"/>
  <c r="D1225" i="1" s="1"/>
  <c r="B1226" i="1"/>
  <c r="B490" i="1"/>
  <c r="C489" i="1"/>
  <c r="D489" i="1" s="1"/>
  <c r="H226" i="1" l="1"/>
  <c r="G226" i="1"/>
  <c r="C1704" i="1"/>
  <c r="D1704" i="1" s="1"/>
  <c r="B1705" i="1"/>
  <c r="C1226" i="1"/>
  <c r="D1226" i="1" s="1"/>
  <c r="B1227" i="1"/>
  <c r="B491" i="1"/>
  <c r="C490" i="1"/>
  <c r="D490" i="1" s="1"/>
  <c r="F226" i="1" l="1"/>
  <c r="I226" i="1" s="1"/>
  <c r="E227" i="1" s="1"/>
  <c r="B1706" i="1"/>
  <c r="C1705" i="1"/>
  <c r="D1705" i="1" s="1"/>
  <c r="B1228" i="1"/>
  <c r="C1227" i="1"/>
  <c r="D1227" i="1" s="1"/>
  <c r="C491" i="1"/>
  <c r="D491" i="1" s="1"/>
  <c r="B492" i="1"/>
  <c r="B1707" i="1" l="1"/>
  <c r="C1706" i="1"/>
  <c r="D1706" i="1" s="1"/>
  <c r="C1228" i="1"/>
  <c r="D1228" i="1" s="1"/>
  <c r="B1229" i="1"/>
  <c r="B493" i="1"/>
  <c r="C492" i="1"/>
  <c r="D492" i="1" s="1"/>
  <c r="H227" i="1" l="1"/>
  <c r="G227" i="1"/>
  <c r="C1707" i="1"/>
  <c r="D1707" i="1" s="1"/>
  <c r="B1708" i="1"/>
  <c r="B1230" i="1"/>
  <c r="C1229" i="1"/>
  <c r="D1229" i="1" s="1"/>
  <c r="C493" i="1"/>
  <c r="D493" i="1" s="1"/>
  <c r="B494" i="1"/>
  <c r="F227" i="1" l="1"/>
  <c r="I227" i="1" s="1"/>
  <c r="E228" i="1" s="1"/>
  <c r="B1709" i="1"/>
  <c r="C1708" i="1"/>
  <c r="D1708" i="1" s="1"/>
  <c r="C1230" i="1"/>
  <c r="D1230" i="1" s="1"/>
  <c r="B1231" i="1"/>
  <c r="B495" i="1"/>
  <c r="C494" i="1"/>
  <c r="D494" i="1" s="1"/>
  <c r="B1710" i="1" l="1"/>
  <c r="C1709" i="1"/>
  <c r="D1709" i="1" s="1"/>
  <c r="C1231" i="1"/>
  <c r="D1231" i="1" s="1"/>
  <c r="B1232" i="1"/>
  <c r="B496" i="1"/>
  <c r="C495" i="1"/>
  <c r="D495" i="1" s="1"/>
  <c r="G228" i="1" l="1"/>
  <c r="H228" i="1"/>
  <c r="C1710" i="1"/>
  <c r="D1710" i="1" s="1"/>
  <c r="B1711" i="1"/>
  <c r="C1232" i="1"/>
  <c r="D1232" i="1" s="1"/>
  <c r="B1233" i="1"/>
  <c r="C496" i="1"/>
  <c r="D496" i="1" s="1"/>
  <c r="B497" i="1"/>
  <c r="F228" i="1" l="1"/>
  <c r="I228" i="1" s="1"/>
  <c r="E229" i="1" s="1"/>
  <c r="C1711" i="1"/>
  <c r="D1711" i="1" s="1"/>
  <c r="B1712" i="1"/>
  <c r="C1233" i="1"/>
  <c r="D1233" i="1" s="1"/>
  <c r="B1234" i="1"/>
  <c r="B498" i="1"/>
  <c r="C497" i="1"/>
  <c r="D497" i="1" s="1"/>
  <c r="C1712" i="1" l="1"/>
  <c r="D1712" i="1" s="1"/>
  <c r="B1713" i="1"/>
  <c r="C1234" i="1"/>
  <c r="D1234" i="1" s="1"/>
  <c r="B1235" i="1"/>
  <c r="C1235" i="1" s="1"/>
  <c r="D1235" i="1" s="1"/>
  <c r="B499" i="1"/>
  <c r="C498" i="1"/>
  <c r="D498" i="1" s="1"/>
  <c r="H229" i="1" l="1"/>
  <c r="G229" i="1"/>
  <c r="B1714" i="1"/>
  <c r="C1713" i="1"/>
  <c r="D1713" i="1" s="1"/>
  <c r="B500" i="1"/>
  <c r="C499" i="1"/>
  <c r="D499" i="1" s="1"/>
  <c r="F229" i="1" l="1"/>
  <c r="I229" i="1" s="1"/>
  <c r="E230" i="1" s="1"/>
  <c r="C1714" i="1"/>
  <c r="D1714" i="1" s="1"/>
  <c r="B1715" i="1"/>
  <c r="B501" i="1"/>
  <c r="C500" i="1"/>
  <c r="D500" i="1" s="1"/>
  <c r="C1715" i="1" l="1"/>
  <c r="D1715" i="1" s="1"/>
  <c r="B1716" i="1"/>
  <c r="C501" i="1"/>
  <c r="D501" i="1" s="1"/>
  <c r="B502" i="1"/>
  <c r="G230" i="1" l="1"/>
  <c r="H230" i="1"/>
  <c r="C1716" i="1"/>
  <c r="D1716" i="1" s="1"/>
  <c r="B1717" i="1"/>
  <c r="C502" i="1"/>
  <c r="D502" i="1" s="1"/>
  <c r="B503" i="1"/>
  <c r="F230" i="1" l="1"/>
  <c r="I230" i="1" s="1"/>
  <c r="E231" i="1" s="1"/>
  <c r="C1717" i="1"/>
  <c r="D1717" i="1" s="1"/>
  <c r="B1718" i="1"/>
  <c r="B504" i="1"/>
  <c r="C503" i="1"/>
  <c r="D503" i="1" s="1"/>
  <c r="C1718" i="1" l="1"/>
  <c r="D1718" i="1" s="1"/>
  <c r="B1719" i="1"/>
  <c r="B505" i="1"/>
  <c r="C504" i="1"/>
  <c r="D504" i="1" s="1"/>
  <c r="H231" i="1" l="1"/>
  <c r="G231" i="1"/>
  <c r="C1719" i="1"/>
  <c r="D1719" i="1" s="1"/>
  <c r="B1720" i="1"/>
  <c r="C505" i="1"/>
  <c r="D505" i="1" s="1"/>
  <c r="B506" i="1"/>
  <c r="F231" i="1" l="1"/>
  <c r="I231" i="1" s="1"/>
  <c r="E232" i="1" s="1"/>
  <c r="C1720" i="1"/>
  <c r="D1720" i="1" s="1"/>
  <c r="B1721" i="1"/>
  <c r="C506" i="1"/>
  <c r="D506" i="1" s="1"/>
  <c r="B507" i="1"/>
  <c r="C1721" i="1" l="1"/>
  <c r="D1721" i="1" s="1"/>
  <c r="B1722" i="1"/>
  <c r="B508" i="1"/>
  <c r="C507" i="1"/>
  <c r="D507" i="1" s="1"/>
  <c r="G232" i="1" l="1"/>
  <c r="H232" i="1"/>
  <c r="C1722" i="1"/>
  <c r="D1722" i="1" s="1"/>
  <c r="B1723" i="1"/>
  <c r="B509" i="1"/>
  <c r="C508" i="1"/>
  <c r="D508" i="1" s="1"/>
  <c r="F232" i="1" l="1"/>
  <c r="I232" i="1" s="1"/>
  <c r="E233" i="1" s="1"/>
  <c r="C1723" i="1"/>
  <c r="D1723" i="1" s="1"/>
  <c r="B1724" i="1"/>
  <c r="C509" i="1"/>
  <c r="D509" i="1" s="1"/>
  <c r="B510" i="1"/>
  <c r="C1724" i="1" l="1"/>
  <c r="D1724" i="1" s="1"/>
  <c r="B1725" i="1"/>
  <c r="B511" i="1"/>
  <c r="C510" i="1"/>
  <c r="D510" i="1" s="1"/>
  <c r="H233" i="1" l="1"/>
  <c r="G233" i="1"/>
  <c r="C1725" i="1"/>
  <c r="D1725" i="1" s="1"/>
  <c r="B1726" i="1"/>
  <c r="B512" i="1"/>
  <c r="C511" i="1"/>
  <c r="D511" i="1" s="1"/>
  <c r="F233" i="1" l="1"/>
  <c r="I233" i="1" s="1"/>
  <c r="E234" i="1" s="1"/>
  <c r="C1726" i="1"/>
  <c r="D1726" i="1" s="1"/>
  <c r="B1727" i="1"/>
  <c r="B513" i="1"/>
  <c r="C512" i="1"/>
  <c r="D512" i="1" s="1"/>
  <c r="C1727" i="1" l="1"/>
  <c r="D1727" i="1" s="1"/>
  <c r="B1728" i="1"/>
  <c r="C513" i="1"/>
  <c r="D513" i="1" s="1"/>
  <c r="B514" i="1"/>
  <c r="G234" i="1" l="1"/>
  <c r="H234" i="1"/>
  <c r="C1728" i="1"/>
  <c r="D1728" i="1" s="1"/>
  <c r="B1729" i="1"/>
  <c r="B515" i="1"/>
  <c r="C514" i="1"/>
  <c r="D514" i="1" s="1"/>
  <c r="F234" i="1" l="1"/>
  <c r="I234" i="1" s="1"/>
  <c r="E235" i="1" s="1"/>
  <c r="C1729" i="1"/>
  <c r="D1729" i="1" s="1"/>
  <c r="B1730" i="1"/>
  <c r="C515" i="1"/>
  <c r="D515" i="1" s="1"/>
  <c r="B516" i="1"/>
  <c r="C1730" i="1" l="1"/>
  <c r="D1730" i="1" s="1"/>
  <c r="B1731" i="1"/>
  <c r="C516" i="1"/>
  <c r="D516" i="1" s="1"/>
  <c r="B517" i="1"/>
  <c r="G235" i="1" l="1"/>
  <c r="H235" i="1"/>
  <c r="C1731" i="1"/>
  <c r="D1731" i="1" s="1"/>
  <c r="B1732" i="1"/>
  <c r="C517" i="1"/>
  <c r="D517" i="1" s="1"/>
  <c r="B518" i="1"/>
  <c r="F235" i="1" l="1"/>
  <c r="I235" i="1" s="1"/>
  <c r="E236" i="1" s="1"/>
  <c r="C1732" i="1"/>
  <c r="D1732" i="1" s="1"/>
  <c r="B1733" i="1"/>
  <c r="C518" i="1"/>
  <c r="D518" i="1" s="1"/>
  <c r="B519" i="1"/>
  <c r="C1733" i="1" l="1"/>
  <c r="D1733" i="1" s="1"/>
  <c r="B1734" i="1"/>
  <c r="C519" i="1"/>
  <c r="D519" i="1" s="1"/>
  <c r="B520" i="1"/>
  <c r="G236" i="1" l="1"/>
  <c r="H236" i="1"/>
  <c r="C1734" i="1"/>
  <c r="D1734" i="1" s="1"/>
  <c r="B1735" i="1"/>
  <c r="B521" i="1"/>
  <c r="C520" i="1"/>
  <c r="D520" i="1" s="1"/>
  <c r="F236" i="1" l="1"/>
  <c r="I236" i="1" s="1"/>
  <c r="E237" i="1" s="1"/>
  <c r="C1735" i="1"/>
  <c r="D1735" i="1" s="1"/>
  <c r="B1736" i="1"/>
  <c r="C521" i="1"/>
  <c r="D521" i="1" s="1"/>
  <c r="B522" i="1"/>
  <c r="C1736" i="1" l="1"/>
  <c r="D1736" i="1" s="1"/>
  <c r="B1737" i="1"/>
  <c r="C522" i="1"/>
  <c r="D522" i="1" s="1"/>
  <c r="B523" i="1"/>
  <c r="H237" i="1" l="1"/>
  <c r="G237" i="1"/>
  <c r="C1737" i="1"/>
  <c r="D1737" i="1" s="1"/>
  <c r="B1738" i="1"/>
  <c r="B524" i="1"/>
  <c r="C523" i="1"/>
  <c r="D523" i="1" s="1"/>
  <c r="F237" i="1" l="1"/>
  <c r="I237" i="1" s="1"/>
  <c r="E238" i="1" s="1"/>
  <c r="C1738" i="1"/>
  <c r="D1738" i="1" s="1"/>
  <c r="B1739" i="1"/>
  <c r="C524" i="1"/>
  <c r="D524" i="1" s="1"/>
  <c r="B525" i="1"/>
  <c r="C1739" i="1" l="1"/>
  <c r="D1739" i="1" s="1"/>
  <c r="B1740" i="1"/>
  <c r="B526" i="1"/>
  <c r="C525" i="1"/>
  <c r="D525" i="1" s="1"/>
  <c r="H238" i="1" l="1"/>
  <c r="G238" i="1"/>
  <c r="C1740" i="1"/>
  <c r="D1740" i="1" s="1"/>
  <c r="B1741" i="1"/>
  <c r="B527" i="1"/>
  <c r="C526" i="1"/>
  <c r="D526" i="1" s="1"/>
  <c r="F238" i="1" l="1"/>
  <c r="I238" i="1" s="1"/>
  <c r="E239" i="1" s="1"/>
  <c r="C1741" i="1"/>
  <c r="D1741" i="1" s="1"/>
  <c r="B1742" i="1"/>
  <c r="C527" i="1"/>
  <c r="D527" i="1" s="1"/>
  <c r="B528" i="1"/>
  <c r="C1742" i="1" l="1"/>
  <c r="D1742" i="1" s="1"/>
  <c r="B1743" i="1"/>
  <c r="C528" i="1"/>
  <c r="D528" i="1" s="1"/>
  <c r="B529" i="1"/>
  <c r="H239" i="1" l="1"/>
  <c r="G239" i="1"/>
  <c r="C1743" i="1"/>
  <c r="D1743" i="1" s="1"/>
  <c r="B1744" i="1"/>
  <c r="C529" i="1"/>
  <c r="D529" i="1" s="1"/>
  <c r="B530" i="1"/>
  <c r="F239" i="1" l="1"/>
  <c r="I239" i="1" s="1"/>
  <c r="E240" i="1" s="1"/>
  <c r="C1744" i="1"/>
  <c r="D1744" i="1" s="1"/>
  <c r="B1745" i="1"/>
  <c r="C530" i="1"/>
  <c r="D530" i="1" s="1"/>
  <c r="B531" i="1"/>
  <c r="C1745" i="1" l="1"/>
  <c r="D1745" i="1" s="1"/>
  <c r="B1746" i="1"/>
  <c r="B532" i="1"/>
  <c r="C531" i="1"/>
  <c r="D531" i="1" s="1"/>
  <c r="G240" i="1" l="1"/>
  <c r="H240" i="1"/>
  <c r="C1746" i="1"/>
  <c r="D1746" i="1" s="1"/>
  <c r="B1747" i="1"/>
  <c r="C532" i="1"/>
  <c r="D532" i="1" s="1"/>
  <c r="B533" i="1"/>
  <c r="F240" i="1" l="1"/>
  <c r="I240" i="1" s="1"/>
  <c r="E241" i="1" s="1"/>
  <c r="C1747" i="1"/>
  <c r="D1747" i="1" s="1"/>
  <c r="B1748" i="1"/>
  <c r="B534" i="1"/>
  <c r="C533" i="1"/>
  <c r="D533" i="1" s="1"/>
  <c r="C1748" i="1" l="1"/>
  <c r="D1748" i="1" s="1"/>
  <c r="B1749" i="1"/>
  <c r="C534" i="1"/>
  <c r="D534" i="1" s="1"/>
  <c r="B535" i="1"/>
  <c r="H241" i="1" l="1"/>
  <c r="G241" i="1"/>
  <c r="C1749" i="1"/>
  <c r="D1749" i="1" s="1"/>
  <c r="B1750" i="1"/>
  <c r="C535" i="1"/>
  <c r="D535" i="1" s="1"/>
  <c r="B536" i="1"/>
  <c r="F241" i="1" l="1"/>
  <c r="I241" i="1" s="1"/>
  <c r="E242" i="1" s="1"/>
  <c r="C1750" i="1"/>
  <c r="D1750" i="1" s="1"/>
  <c r="B1751" i="1"/>
  <c r="C536" i="1"/>
  <c r="D536" i="1" s="1"/>
  <c r="B537" i="1"/>
  <c r="C1751" i="1" l="1"/>
  <c r="D1751" i="1" s="1"/>
  <c r="B1752" i="1"/>
  <c r="B538" i="1"/>
  <c r="C537" i="1"/>
  <c r="D537" i="1" s="1"/>
  <c r="H242" i="1" l="1"/>
  <c r="G242" i="1"/>
  <c r="C1752" i="1"/>
  <c r="D1752" i="1" s="1"/>
  <c r="B1753" i="1"/>
  <c r="C538" i="1"/>
  <c r="D538" i="1" s="1"/>
  <c r="B539" i="1"/>
  <c r="F242" i="1" l="1"/>
  <c r="I242" i="1" s="1"/>
  <c r="E243" i="1" s="1"/>
  <c r="C1753" i="1"/>
  <c r="D1753" i="1" s="1"/>
  <c r="B1754" i="1"/>
  <c r="C539" i="1"/>
  <c r="D539" i="1" s="1"/>
  <c r="B540" i="1"/>
  <c r="C1754" i="1" l="1"/>
  <c r="D1754" i="1" s="1"/>
  <c r="B1755" i="1"/>
  <c r="C540" i="1"/>
  <c r="D540" i="1" s="1"/>
  <c r="B541" i="1"/>
  <c r="H243" i="1" l="1"/>
  <c r="G243" i="1"/>
  <c r="C1755" i="1"/>
  <c r="D1755" i="1" s="1"/>
  <c r="B1756" i="1"/>
  <c r="B542" i="1"/>
  <c r="C541" i="1"/>
  <c r="D541" i="1" s="1"/>
  <c r="F243" i="1" l="1"/>
  <c r="I243" i="1" s="1"/>
  <c r="E244" i="1" s="1"/>
  <c r="C1756" i="1"/>
  <c r="D1756" i="1" s="1"/>
  <c r="B1757" i="1"/>
  <c r="C542" i="1"/>
  <c r="D542" i="1" s="1"/>
  <c r="B543" i="1"/>
  <c r="C1757" i="1" l="1"/>
  <c r="D1757" i="1" s="1"/>
  <c r="B1758" i="1"/>
  <c r="B544" i="1"/>
  <c r="C543" i="1"/>
  <c r="D543" i="1" s="1"/>
  <c r="G244" i="1" l="1"/>
  <c r="H244" i="1"/>
  <c r="C1758" i="1"/>
  <c r="D1758" i="1" s="1"/>
  <c r="B1759" i="1"/>
  <c r="C544" i="1"/>
  <c r="D544" i="1" s="1"/>
  <c r="B545" i="1"/>
  <c r="F244" i="1" l="1"/>
  <c r="I244" i="1" s="1"/>
  <c r="E245" i="1" s="1"/>
  <c r="C1759" i="1"/>
  <c r="D1759" i="1" s="1"/>
  <c r="B1760" i="1"/>
  <c r="C545" i="1"/>
  <c r="D545" i="1" s="1"/>
  <c r="B546" i="1"/>
  <c r="C1760" i="1" l="1"/>
  <c r="D1760" i="1" s="1"/>
  <c r="B1761" i="1"/>
  <c r="B547" i="1"/>
  <c r="C546" i="1"/>
  <c r="D546" i="1" s="1"/>
  <c r="G245" i="1" l="1"/>
  <c r="H245" i="1"/>
  <c r="C1761" i="1"/>
  <c r="D1761" i="1" s="1"/>
  <c r="B1762" i="1"/>
  <c r="B548" i="1"/>
  <c r="C547" i="1"/>
  <c r="D547" i="1" s="1"/>
  <c r="F245" i="1" l="1"/>
  <c r="I245" i="1" s="1"/>
  <c r="E246" i="1" s="1"/>
  <c r="C1762" i="1"/>
  <c r="D1762" i="1" s="1"/>
  <c r="B1763" i="1"/>
  <c r="B549" i="1"/>
  <c r="C548" i="1"/>
  <c r="D548" i="1" s="1"/>
  <c r="C1763" i="1" l="1"/>
  <c r="D1763" i="1" s="1"/>
  <c r="B1764" i="1"/>
  <c r="C549" i="1"/>
  <c r="D549" i="1" s="1"/>
  <c r="B550" i="1"/>
  <c r="G246" i="1" l="1"/>
  <c r="H246" i="1"/>
  <c r="C1764" i="1"/>
  <c r="D1764" i="1" s="1"/>
  <c r="B1765" i="1"/>
  <c r="C550" i="1"/>
  <c r="D550" i="1" s="1"/>
  <c r="B551" i="1"/>
  <c r="F246" i="1" l="1"/>
  <c r="I246" i="1" s="1"/>
  <c r="E247" i="1" s="1"/>
  <c r="C1765" i="1"/>
  <c r="D1765" i="1" s="1"/>
  <c r="B1766" i="1"/>
  <c r="B552" i="1"/>
  <c r="C551" i="1"/>
  <c r="D551" i="1" s="1"/>
  <c r="C1766" i="1" l="1"/>
  <c r="D1766" i="1" s="1"/>
  <c r="B1767" i="1"/>
  <c r="C552" i="1"/>
  <c r="D552" i="1" s="1"/>
  <c r="B553" i="1"/>
  <c r="H247" i="1" l="1"/>
  <c r="G247" i="1"/>
  <c r="C1767" i="1"/>
  <c r="D1767" i="1" s="1"/>
  <c r="B1768" i="1"/>
  <c r="C553" i="1"/>
  <c r="D553" i="1" s="1"/>
  <c r="B554" i="1"/>
  <c r="F247" i="1" l="1"/>
  <c r="I247" i="1" s="1"/>
  <c r="E248" i="1" s="1"/>
  <c r="C1768" i="1"/>
  <c r="D1768" i="1" s="1"/>
  <c r="B1769" i="1"/>
  <c r="B555" i="1"/>
  <c r="C554" i="1"/>
  <c r="D554" i="1" s="1"/>
  <c r="C1769" i="1" l="1"/>
  <c r="D1769" i="1" s="1"/>
  <c r="B1770" i="1"/>
  <c r="B556" i="1"/>
  <c r="C555" i="1"/>
  <c r="D555" i="1" s="1"/>
  <c r="H248" i="1" l="1"/>
  <c r="G248" i="1"/>
  <c r="C1770" i="1"/>
  <c r="D1770" i="1" s="1"/>
  <c r="B1771" i="1"/>
  <c r="B557" i="1"/>
  <c r="C556" i="1"/>
  <c r="D556" i="1" s="1"/>
  <c r="F248" i="1" l="1"/>
  <c r="I248" i="1" s="1"/>
  <c r="E249" i="1" s="1"/>
  <c r="C1771" i="1"/>
  <c r="D1771" i="1" s="1"/>
  <c r="B1772" i="1"/>
  <c r="B558" i="1"/>
  <c r="C557" i="1"/>
  <c r="D557" i="1" s="1"/>
  <c r="C1772" i="1" l="1"/>
  <c r="D1772" i="1" s="1"/>
  <c r="B1773" i="1"/>
  <c r="B559" i="1"/>
  <c r="C558" i="1"/>
  <c r="D558" i="1" s="1"/>
  <c r="H249" i="1" l="1"/>
  <c r="G249" i="1"/>
  <c r="C1773" i="1"/>
  <c r="D1773" i="1" s="1"/>
  <c r="B1774" i="1"/>
  <c r="C559" i="1"/>
  <c r="D559" i="1" s="1"/>
  <c r="B560" i="1"/>
  <c r="F249" i="1" l="1"/>
  <c r="I249" i="1" s="1"/>
  <c r="E250" i="1" s="1"/>
  <c r="C1774" i="1"/>
  <c r="D1774" i="1" s="1"/>
  <c r="B1775" i="1"/>
  <c r="C560" i="1"/>
  <c r="D560" i="1" s="1"/>
  <c r="B561" i="1"/>
  <c r="C1775" i="1" l="1"/>
  <c r="D1775" i="1" s="1"/>
  <c r="B1776" i="1"/>
  <c r="C561" i="1"/>
  <c r="D561" i="1" s="1"/>
  <c r="B562" i="1"/>
  <c r="H250" i="1" l="1"/>
  <c r="G250" i="1"/>
  <c r="C1776" i="1"/>
  <c r="D1776" i="1" s="1"/>
  <c r="B1777" i="1"/>
  <c r="B563" i="1"/>
  <c r="C562" i="1"/>
  <c r="D562" i="1" s="1"/>
  <c r="F250" i="1" l="1"/>
  <c r="I250" i="1" s="1"/>
  <c r="E251" i="1" s="1"/>
  <c r="B1778" i="1"/>
  <c r="C1777" i="1"/>
  <c r="D1777" i="1" s="1"/>
  <c r="C563" i="1"/>
  <c r="D563" i="1" s="1"/>
  <c r="B564" i="1"/>
  <c r="C1778" i="1" l="1"/>
  <c r="D1778" i="1" s="1"/>
  <c r="B1779" i="1"/>
  <c r="B565" i="1"/>
  <c r="C564" i="1"/>
  <c r="D564" i="1" s="1"/>
  <c r="G251" i="1" l="1"/>
  <c r="H251" i="1"/>
  <c r="C1779" i="1"/>
  <c r="D1779" i="1" s="1"/>
  <c r="B1780" i="1"/>
  <c r="C565" i="1"/>
  <c r="D565" i="1" s="1"/>
  <c r="B566" i="1"/>
  <c r="F251" i="1" l="1"/>
  <c r="I251" i="1" s="1"/>
  <c r="E252" i="1" s="1"/>
  <c r="C1780" i="1"/>
  <c r="D1780" i="1" s="1"/>
  <c r="B1781" i="1"/>
  <c r="C566" i="1"/>
  <c r="D566" i="1" s="1"/>
  <c r="B567" i="1"/>
  <c r="C1781" i="1" l="1"/>
  <c r="D1781" i="1" s="1"/>
  <c r="B1782" i="1"/>
  <c r="B568" i="1"/>
  <c r="C567" i="1"/>
  <c r="D567" i="1" s="1"/>
  <c r="H252" i="1" l="1"/>
  <c r="G252" i="1"/>
  <c r="C1782" i="1"/>
  <c r="D1782" i="1" s="1"/>
  <c r="B1783" i="1"/>
  <c r="B569" i="1"/>
  <c r="C568" i="1"/>
  <c r="D568" i="1" s="1"/>
  <c r="F252" i="1" l="1"/>
  <c r="I252" i="1" s="1"/>
  <c r="E253" i="1" s="1"/>
  <c r="C1783" i="1"/>
  <c r="D1783" i="1" s="1"/>
  <c r="B1784" i="1"/>
  <c r="C569" i="1"/>
  <c r="D569" i="1" s="1"/>
  <c r="B570" i="1"/>
  <c r="C1784" i="1" l="1"/>
  <c r="D1784" i="1" s="1"/>
  <c r="B1785" i="1"/>
  <c r="C570" i="1"/>
  <c r="D570" i="1" s="1"/>
  <c r="B571" i="1"/>
  <c r="G253" i="1" l="1"/>
  <c r="H253" i="1"/>
  <c r="C1785" i="1"/>
  <c r="D1785" i="1" s="1"/>
  <c r="B1786" i="1"/>
  <c r="C571" i="1"/>
  <c r="D571" i="1" s="1"/>
  <c r="B572" i="1"/>
  <c r="F253" i="1" l="1"/>
  <c r="I253" i="1" s="1"/>
  <c r="E254" i="1" s="1"/>
  <c r="C1786" i="1"/>
  <c r="D1786" i="1" s="1"/>
  <c r="B1787" i="1"/>
  <c r="B573" i="1"/>
  <c r="C572" i="1"/>
  <c r="D572" i="1" s="1"/>
  <c r="C1787" i="1" l="1"/>
  <c r="D1787" i="1" s="1"/>
  <c r="B1788" i="1"/>
  <c r="B574" i="1"/>
  <c r="C573" i="1"/>
  <c r="D573" i="1" s="1"/>
  <c r="H254" i="1" l="1"/>
  <c r="G254" i="1"/>
  <c r="C1788" i="1"/>
  <c r="D1788" i="1" s="1"/>
  <c r="B1789" i="1"/>
  <c r="C574" i="1"/>
  <c r="D574" i="1" s="1"/>
  <c r="B575" i="1"/>
  <c r="F254" i="1" l="1"/>
  <c r="I254" i="1" s="1"/>
  <c r="E255" i="1" s="1"/>
  <c r="C1789" i="1"/>
  <c r="D1789" i="1" s="1"/>
  <c r="B1790" i="1"/>
  <c r="C575" i="1"/>
  <c r="D575" i="1" s="1"/>
  <c r="B576" i="1"/>
  <c r="C1790" i="1" l="1"/>
  <c r="D1790" i="1" s="1"/>
  <c r="B1791" i="1"/>
  <c r="B577" i="1"/>
  <c r="C576" i="1"/>
  <c r="D576" i="1" s="1"/>
  <c r="H255" i="1" l="1"/>
  <c r="G255" i="1"/>
  <c r="C1791" i="1"/>
  <c r="D1791" i="1" s="1"/>
  <c r="B1792" i="1"/>
  <c r="C577" i="1"/>
  <c r="D577" i="1" s="1"/>
  <c r="B578" i="1"/>
  <c r="F255" i="1" l="1"/>
  <c r="C1792" i="1"/>
  <c r="D1792" i="1" s="1"/>
  <c r="B1793" i="1"/>
  <c r="C578" i="1"/>
  <c r="D578" i="1" s="1"/>
  <c r="B579" i="1"/>
  <c r="I255" i="1" l="1"/>
  <c r="E256" i="1" s="1"/>
  <c r="C1793" i="1"/>
  <c r="D1793" i="1" s="1"/>
  <c r="B1794" i="1"/>
  <c r="B580" i="1"/>
  <c r="C579" i="1"/>
  <c r="D579" i="1" s="1"/>
  <c r="H256" i="1" l="1"/>
  <c r="G256" i="1"/>
  <c r="F256" i="1"/>
  <c r="C1794" i="1"/>
  <c r="D1794" i="1" s="1"/>
  <c r="B1795" i="1"/>
  <c r="B581" i="1"/>
  <c r="C580" i="1"/>
  <c r="D580" i="1" s="1"/>
  <c r="I256" i="1" l="1"/>
  <c r="E257" i="1" s="1"/>
  <c r="C1795" i="1"/>
  <c r="D1795" i="1" s="1"/>
  <c r="B1796" i="1"/>
  <c r="C581" i="1"/>
  <c r="D581" i="1" s="1"/>
  <c r="B582" i="1"/>
  <c r="H257" i="1" l="1"/>
  <c r="G257" i="1"/>
  <c r="C1796" i="1"/>
  <c r="D1796" i="1" s="1"/>
  <c r="B1797" i="1"/>
  <c r="C582" i="1"/>
  <c r="D582" i="1" s="1"/>
  <c r="B583" i="1"/>
  <c r="F257" i="1" l="1"/>
  <c r="I257" i="1" s="1"/>
  <c r="E258" i="1" s="1"/>
  <c r="C1797" i="1"/>
  <c r="D1797" i="1" s="1"/>
  <c r="B1798" i="1"/>
  <c r="C583" i="1"/>
  <c r="D583" i="1" s="1"/>
  <c r="B584" i="1"/>
  <c r="C1798" i="1" l="1"/>
  <c r="D1798" i="1" s="1"/>
  <c r="B1799" i="1"/>
  <c r="C584" i="1"/>
  <c r="D584" i="1" s="1"/>
  <c r="B585" i="1"/>
  <c r="G258" i="1" l="1"/>
  <c r="H258" i="1"/>
  <c r="C1799" i="1"/>
  <c r="D1799" i="1" s="1"/>
  <c r="B1800" i="1"/>
  <c r="C585" i="1"/>
  <c r="D585" i="1" s="1"/>
  <c r="B586" i="1"/>
  <c r="F258" i="1" l="1"/>
  <c r="I258" i="1" s="1"/>
  <c r="E259" i="1" s="1"/>
  <c r="C1800" i="1"/>
  <c r="D1800" i="1" s="1"/>
  <c r="B1801" i="1"/>
  <c r="C586" i="1"/>
  <c r="D586" i="1" s="1"/>
  <c r="B587" i="1"/>
  <c r="C1801" i="1" l="1"/>
  <c r="D1801" i="1" s="1"/>
  <c r="B1802" i="1"/>
  <c r="B588" i="1"/>
  <c r="C587" i="1"/>
  <c r="D587" i="1" s="1"/>
  <c r="G259" i="1" l="1"/>
  <c r="H259" i="1"/>
  <c r="C1802" i="1"/>
  <c r="D1802" i="1" s="1"/>
  <c r="B1803" i="1"/>
  <c r="C588" i="1"/>
  <c r="D588" i="1" s="1"/>
  <c r="B589" i="1"/>
  <c r="F259" i="1" l="1"/>
  <c r="I259" i="1" s="1"/>
  <c r="E260" i="1" s="1"/>
  <c r="B1804" i="1"/>
  <c r="C1803" i="1"/>
  <c r="D1803" i="1" s="1"/>
  <c r="C589" i="1"/>
  <c r="D589" i="1" s="1"/>
  <c r="B590" i="1"/>
  <c r="C1804" i="1" l="1"/>
  <c r="D1804" i="1" s="1"/>
  <c r="B1805" i="1"/>
  <c r="C590" i="1"/>
  <c r="D590" i="1" s="1"/>
  <c r="B591" i="1"/>
  <c r="H260" i="1" l="1"/>
  <c r="G260" i="1"/>
  <c r="C1805" i="1"/>
  <c r="D1805" i="1" s="1"/>
  <c r="B1806" i="1"/>
  <c r="B592" i="1"/>
  <c r="C591" i="1"/>
  <c r="D591" i="1" s="1"/>
  <c r="F260" i="1" l="1"/>
  <c r="I260" i="1" s="1"/>
  <c r="E261" i="1" s="1"/>
  <c r="C1806" i="1"/>
  <c r="D1806" i="1" s="1"/>
  <c r="B1807" i="1"/>
  <c r="B593" i="1"/>
  <c r="C592" i="1"/>
  <c r="D592" i="1" s="1"/>
  <c r="C1807" i="1" l="1"/>
  <c r="D1807" i="1" s="1"/>
  <c r="B1808" i="1"/>
  <c r="C593" i="1"/>
  <c r="D593" i="1" s="1"/>
  <c r="B594" i="1"/>
  <c r="H261" i="1" l="1"/>
  <c r="G261" i="1"/>
  <c r="C1808" i="1"/>
  <c r="D1808" i="1" s="1"/>
  <c r="B1809" i="1"/>
  <c r="C594" i="1"/>
  <c r="D594" i="1" s="1"/>
  <c r="B595" i="1"/>
  <c r="F261" i="1" l="1"/>
  <c r="C1809" i="1"/>
  <c r="D1809" i="1" s="1"/>
  <c r="B1810" i="1"/>
  <c r="B596" i="1"/>
  <c r="C595" i="1"/>
  <c r="D595" i="1" s="1"/>
  <c r="I261" i="1" l="1"/>
  <c r="E262" i="1" s="1"/>
  <c r="C1810" i="1"/>
  <c r="D1810" i="1" s="1"/>
  <c r="B1811" i="1"/>
  <c r="C596" i="1"/>
  <c r="D596" i="1" s="1"/>
  <c r="B597" i="1"/>
  <c r="G262" i="1" l="1"/>
  <c r="H262" i="1"/>
  <c r="C1811" i="1"/>
  <c r="D1811" i="1" s="1"/>
  <c r="B1812" i="1"/>
  <c r="C597" i="1"/>
  <c r="D597" i="1" s="1"/>
  <c r="B598" i="1"/>
  <c r="F262" i="1" l="1"/>
  <c r="I262" i="1" s="1"/>
  <c r="E263" i="1" s="1"/>
  <c r="C1812" i="1"/>
  <c r="D1812" i="1" s="1"/>
  <c r="B1813" i="1"/>
  <c r="B599" i="1"/>
  <c r="C598" i="1"/>
  <c r="D598" i="1" s="1"/>
  <c r="G263" i="1" l="1"/>
  <c r="H263" i="1"/>
  <c r="C1813" i="1"/>
  <c r="D1813" i="1" s="1"/>
  <c r="B1814" i="1"/>
  <c r="C599" i="1"/>
  <c r="D599" i="1" s="1"/>
  <c r="B600" i="1"/>
  <c r="F263" i="1" l="1"/>
  <c r="I263" i="1" s="1"/>
  <c r="E264" i="1" s="1"/>
  <c r="C1814" i="1"/>
  <c r="D1814" i="1" s="1"/>
  <c r="B1815" i="1"/>
  <c r="C600" i="1"/>
  <c r="D600" i="1" s="1"/>
  <c r="B601" i="1"/>
  <c r="C1815" i="1" l="1"/>
  <c r="D1815" i="1" s="1"/>
  <c r="B1816" i="1"/>
  <c r="B602" i="1"/>
  <c r="C601" i="1"/>
  <c r="D601" i="1" s="1"/>
  <c r="H264" i="1" l="1"/>
  <c r="G264" i="1"/>
  <c r="C1816" i="1"/>
  <c r="D1816" i="1" s="1"/>
  <c r="B1817" i="1"/>
  <c r="B603" i="1"/>
  <c r="C602" i="1"/>
  <c r="D602" i="1" s="1"/>
  <c r="F264" i="1" l="1"/>
  <c r="I264" i="1" s="1"/>
  <c r="E265" i="1" s="1"/>
  <c r="B1818" i="1"/>
  <c r="C1817" i="1"/>
  <c r="D1817" i="1" s="1"/>
  <c r="C603" i="1"/>
  <c r="D603" i="1" s="1"/>
  <c r="B604" i="1"/>
  <c r="C1818" i="1" l="1"/>
  <c r="D1818" i="1" s="1"/>
  <c r="B1819" i="1"/>
  <c r="B605" i="1"/>
  <c r="C604" i="1"/>
  <c r="D604" i="1" s="1"/>
  <c r="H265" i="1" l="1"/>
  <c r="G265" i="1"/>
  <c r="B1820" i="1"/>
  <c r="C1819" i="1"/>
  <c r="D1819" i="1" s="1"/>
  <c r="C605" i="1"/>
  <c r="D605" i="1" s="1"/>
  <c r="B606" i="1"/>
  <c r="F265" i="1" l="1"/>
  <c r="I265" i="1" s="1"/>
  <c r="E266" i="1" s="1"/>
  <c r="B1821" i="1"/>
  <c r="C1820" i="1"/>
  <c r="D1820" i="1" s="1"/>
  <c r="C606" i="1"/>
  <c r="D606" i="1" s="1"/>
  <c r="B607" i="1"/>
  <c r="C1821" i="1" l="1"/>
  <c r="D1821" i="1" s="1"/>
  <c r="B1822" i="1"/>
  <c r="C607" i="1"/>
  <c r="D607" i="1" s="1"/>
  <c r="B608" i="1"/>
  <c r="G266" i="1" l="1"/>
  <c r="H266" i="1"/>
  <c r="B1823" i="1"/>
  <c r="C1822" i="1"/>
  <c r="D1822" i="1" s="1"/>
  <c r="B609" i="1"/>
  <c r="C608" i="1"/>
  <c r="D608" i="1" s="1"/>
  <c r="F266" i="1" l="1"/>
  <c r="I266" i="1" s="1"/>
  <c r="E267" i="1" s="1"/>
  <c r="C1823" i="1"/>
  <c r="D1823" i="1" s="1"/>
  <c r="B1824" i="1"/>
  <c r="B610" i="1"/>
  <c r="C609" i="1"/>
  <c r="D609" i="1" s="1"/>
  <c r="C1824" i="1" l="1"/>
  <c r="D1824" i="1" s="1"/>
  <c r="B1825" i="1"/>
  <c r="C610" i="1"/>
  <c r="D610" i="1" s="1"/>
  <c r="B611" i="1"/>
  <c r="H267" i="1" l="1"/>
  <c r="G267" i="1"/>
  <c r="C1825" i="1"/>
  <c r="D1825" i="1" s="1"/>
  <c r="B1826" i="1"/>
  <c r="C611" i="1"/>
  <c r="D611" i="1" s="1"/>
  <c r="B612" i="1"/>
  <c r="F267" i="1" l="1"/>
  <c r="I267" i="1" s="1"/>
  <c r="E268" i="1" s="1"/>
  <c r="C1826" i="1"/>
  <c r="D1826" i="1" s="1"/>
  <c r="B1827" i="1"/>
  <c r="C612" i="1"/>
  <c r="D612" i="1" s="1"/>
  <c r="B613" i="1"/>
  <c r="C1827" i="1" l="1"/>
  <c r="D1827" i="1" s="1"/>
  <c r="B1828" i="1"/>
  <c r="C613" i="1"/>
  <c r="D613" i="1" s="1"/>
  <c r="B614" i="1"/>
  <c r="H268" i="1" l="1"/>
  <c r="G268" i="1"/>
  <c r="C1828" i="1"/>
  <c r="D1828" i="1" s="1"/>
  <c r="B1829" i="1"/>
  <c r="C614" i="1"/>
  <c r="D614" i="1" s="1"/>
  <c r="B615" i="1"/>
  <c r="F268" i="1" l="1"/>
  <c r="C1829" i="1"/>
  <c r="D1829" i="1" s="1"/>
  <c r="B1830" i="1"/>
  <c r="C615" i="1"/>
  <c r="D615" i="1" s="1"/>
  <c r="B616" i="1"/>
  <c r="I268" i="1" l="1"/>
  <c r="E269" i="1" s="1"/>
  <c r="C1830" i="1"/>
  <c r="D1830" i="1" s="1"/>
  <c r="B1831" i="1"/>
  <c r="B617" i="1"/>
  <c r="C616" i="1"/>
  <c r="D616" i="1" s="1"/>
  <c r="H269" i="1" l="1"/>
  <c r="G269" i="1"/>
  <c r="F269" i="1"/>
  <c r="B1832" i="1"/>
  <c r="C1831" i="1"/>
  <c r="D1831" i="1" s="1"/>
  <c r="B618" i="1"/>
  <c r="C617" i="1"/>
  <c r="D617" i="1" s="1"/>
  <c r="I269" i="1" l="1"/>
  <c r="E270" i="1" s="1"/>
  <c r="B1833" i="1"/>
  <c r="C1832" i="1"/>
  <c r="D1832" i="1" s="1"/>
  <c r="B619" i="1"/>
  <c r="C618" i="1"/>
  <c r="D618" i="1" s="1"/>
  <c r="H270" i="1" l="1"/>
  <c r="F270" i="1" s="1"/>
  <c r="G270" i="1"/>
  <c r="C1833" i="1"/>
  <c r="D1833" i="1" s="1"/>
  <c r="B1834" i="1"/>
  <c r="C619" i="1"/>
  <c r="D619" i="1" s="1"/>
  <c r="B620" i="1"/>
  <c r="I270" i="1" l="1"/>
  <c r="E271" i="1" s="1"/>
  <c r="C1834" i="1"/>
  <c r="D1834" i="1" s="1"/>
  <c r="B1835" i="1"/>
  <c r="C620" i="1"/>
  <c r="D620" i="1" s="1"/>
  <c r="B621" i="1"/>
  <c r="G271" i="1" l="1"/>
  <c r="H271" i="1"/>
  <c r="C1835" i="1"/>
  <c r="D1835" i="1" s="1"/>
  <c r="B1836" i="1"/>
  <c r="C621" i="1"/>
  <c r="D621" i="1" s="1"/>
  <c r="B622" i="1"/>
  <c r="F271" i="1" l="1"/>
  <c r="I271" i="1" s="1"/>
  <c r="E272" i="1" s="1"/>
  <c r="C1836" i="1"/>
  <c r="D1836" i="1" s="1"/>
  <c r="B1837" i="1"/>
  <c r="B623" i="1"/>
  <c r="C622" i="1"/>
  <c r="D622" i="1" s="1"/>
  <c r="C1837" i="1" l="1"/>
  <c r="D1837" i="1" s="1"/>
  <c r="B1838" i="1"/>
  <c r="B624" i="1"/>
  <c r="C623" i="1"/>
  <c r="D623" i="1" s="1"/>
  <c r="G272" i="1" l="1"/>
  <c r="H272" i="1"/>
  <c r="C1838" i="1"/>
  <c r="D1838" i="1" s="1"/>
  <c r="B1839" i="1"/>
  <c r="C624" i="1"/>
  <c r="D624" i="1" s="1"/>
  <c r="B625" i="1"/>
  <c r="F272" i="1" l="1"/>
  <c r="I272" i="1" s="1"/>
  <c r="E273" i="1" s="1"/>
  <c r="C1839" i="1"/>
  <c r="D1839" i="1" s="1"/>
  <c r="B1840" i="1"/>
  <c r="C625" i="1"/>
  <c r="D625" i="1" s="1"/>
  <c r="B626" i="1"/>
  <c r="C1840" i="1" l="1"/>
  <c r="D1840" i="1" s="1"/>
  <c r="B1841" i="1"/>
  <c r="B627" i="1"/>
  <c r="C626" i="1"/>
  <c r="D626" i="1" s="1"/>
  <c r="H273" i="1" l="1"/>
  <c r="G273" i="1"/>
  <c r="C1841" i="1"/>
  <c r="D1841" i="1" s="1"/>
  <c r="B1842" i="1"/>
  <c r="B628" i="1"/>
  <c r="C627" i="1"/>
  <c r="D627" i="1" s="1"/>
  <c r="F273" i="1" l="1"/>
  <c r="I273" i="1" s="1"/>
  <c r="E274" i="1" s="1"/>
  <c r="C1842" i="1"/>
  <c r="D1842" i="1" s="1"/>
  <c r="B1843" i="1"/>
  <c r="C628" i="1"/>
  <c r="D628" i="1" s="1"/>
  <c r="B629" i="1"/>
  <c r="C1843" i="1" l="1"/>
  <c r="D1843" i="1" s="1"/>
  <c r="B1844" i="1"/>
  <c r="B630" i="1"/>
  <c r="C629" i="1"/>
  <c r="D629" i="1" s="1"/>
  <c r="H274" i="1" l="1"/>
  <c r="G274" i="1"/>
  <c r="C1844" i="1"/>
  <c r="D1844" i="1" s="1"/>
  <c r="B1845" i="1"/>
  <c r="B631" i="1"/>
  <c r="C630" i="1"/>
  <c r="D630" i="1" s="1"/>
  <c r="F274" i="1" l="1"/>
  <c r="I274" i="1" s="1"/>
  <c r="E275" i="1" s="1"/>
  <c r="C1845" i="1"/>
  <c r="D1845" i="1" s="1"/>
  <c r="B1846" i="1"/>
  <c r="C631" i="1"/>
  <c r="D631" i="1" s="1"/>
  <c r="B632" i="1"/>
  <c r="C1846" i="1" l="1"/>
  <c r="D1846" i="1" s="1"/>
  <c r="B1847" i="1"/>
  <c r="C632" i="1"/>
  <c r="D632" i="1" s="1"/>
  <c r="B633" i="1"/>
  <c r="G275" i="1" l="1"/>
  <c r="H275" i="1"/>
  <c r="C1847" i="1"/>
  <c r="D1847" i="1" s="1"/>
  <c r="B1848" i="1"/>
  <c r="B634" i="1"/>
  <c r="C633" i="1"/>
  <c r="D633" i="1" s="1"/>
  <c r="F275" i="1" l="1"/>
  <c r="I275" i="1" s="1"/>
  <c r="E276" i="1" s="1"/>
  <c r="C1848" i="1"/>
  <c r="D1848" i="1" s="1"/>
  <c r="B1849" i="1"/>
  <c r="C634" i="1"/>
  <c r="D634" i="1" s="1"/>
  <c r="B635" i="1"/>
  <c r="C1849" i="1" l="1"/>
  <c r="D1849" i="1" s="1"/>
  <c r="B1850" i="1"/>
  <c r="B636" i="1"/>
  <c r="C635" i="1"/>
  <c r="D635" i="1" s="1"/>
  <c r="H276" i="1" l="1"/>
  <c r="G276" i="1"/>
  <c r="C1850" i="1"/>
  <c r="D1850" i="1" s="1"/>
  <c r="B1851" i="1"/>
  <c r="C636" i="1"/>
  <c r="D636" i="1" s="1"/>
  <c r="B637" i="1"/>
  <c r="F276" i="1" l="1"/>
  <c r="I276" i="1" s="1"/>
  <c r="E277" i="1" s="1"/>
  <c r="C1851" i="1"/>
  <c r="D1851" i="1" s="1"/>
  <c r="B1852" i="1"/>
  <c r="B638" i="1"/>
  <c r="C637" i="1"/>
  <c r="D637" i="1" s="1"/>
  <c r="C1852" i="1" l="1"/>
  <c r="D1852" i="1" s="1"/>
  <c r="B1853" i="1"/>
  <c r="C638" i="1"/>
  <c r="D638" i="1" s="1"/>
  <c r="B639" i="1"/>
  <c r="G277" i="1" l="1"/>
  <c r="H277" i="1"/>
  <c r="C1853" i="1"/>
  <c r="D1853" i="1" s="1"/>
  <c r="B1854" i="1"/>
  <c r="B640" i="1"/>
  <c r="C639" i="1"/>
  <c r="D639" i="1" s="1"/>
  <c r="F277" i="1" l="1"/>
  <c r="I277" i="1" s="1"/>
  <c r="E278" i="1" s="1"/>
  <c r="C1854" i="1"/>
  <c r="D1854" i="1" s="1"/>
  <c r="B1855" i="1"/>
  <c r="C640" i="1"/>
  <c r="D640" i="1" s="1"/>
  <c r="B641" i="1"/>
  <c r="C1855" i="1" l="1"/>
  <c r="D1855" i="1" s="1"/>
  <c r="B1856" i="1"/>
  <c r="B642" i="1"/>
  <c r="C641" i="1"/>
  <c r="D641" i="1" s="1"/>
  <c r="G278" i="1" l="1"/>
  <c r="H278" i="1"/>
  <c r="C1856" i="1"/>
  <c r="D1856" i="1" s="1"/>
  <c r="B1857" i="1"/>
  <c r="B643" i="1"/>
  <c r="C642" i="1"/>
  <c r="D642" i="1" s="1"/>
  <c r="F278" i="1" l="1"/>
  <c r="I278" i="1" s="1"/>
  <c r="E279" i="1" s="1"/>
  <c r="C1857" i="1"/>
  <c r="D1857" i="1" s="1"/>
  <c r="B1858" i="1"/>
  <c r="B644" i="1"/>
  <c r="C643" i="1"/>
  <c r="D643" i="1" s="1"/>
  <c r="C1858" i="1" l="1"/>
  <c r="D1858" i="1" s="1"/>
  <c r="B1859" i="1"/>
  <c r="B645" i="1"/>
  <c r="C644" i="1"/>
  <c r="D644" i="1" s="1"/>
  <c r="H279" i="1" l="1"/>
  <c r="G279" i="1"/>
  <c r="C1859" i="1"/>
  <c r="D1859" i="1" s="1"/>
  <c r="B1860" i="1"/>
  <c r="C645" i="1"/>
  <c r="D645" i="1" s="1"/>
  <c r="B646" i="1"/>
  <c r="F279" i="1" l="1"/>
  <c r="I279" i="1" s="1"/>
  <c r="E280" i="1" s="1"/>
  <c r="C1860" i="1"/>
  <c r="D1860" i="1" s="1"/>
  <c r="B1861" i="1"/>
  <c r="B647" i="1"/>
  <c r="C646" i="1"/>
  <c r="D646" i="1" s="1"/>
  <c r="C1861" i="1" l="1"/>
  <c r="D1861" i="1" s="1"/>
  <c r="B1862" i="1"/>
  <c r="B648" i="1"/>
  <c r="C647" i="1"/>
  <c r="D647" i="1" s="1"/>
  <c r="H280" i="1" l="1"/>
  <c r="G280" i="1"/>
  <c r="C1862" i="1"/>
  <c r="D1862" i="1" s="1"/>
  <c r="B1863" i="1"/>
  <c r="B649" i="1"/>
  <c r="C648" i="1"/>
  <c r="D648" i="1" s="1"/>
  <c r="F280" i="1" l="1"/>
  <c r="I280" i="1" s="1"/>
  <c r="E281" i="1" s="1"/>
  <c r="C1863" i="1"/>
  <c r="D1863" i="1" s="1"/>
  <c r="B1864" i="1"/>
  <c r="B650" i="1"/>
  <c r="C649" i="1"/>
  <c r="D649" i="1" s="1"/>
  <c r="C1864" i="1" l="1"/>
  <c r="D1864" i="1" s="1"/>
  <c r="B1865" i="1"/>
  <c r="B651" i="1"/>
  <c r="C650" i="1"/>
  <c r="D650" i="1" s="1"/>
  <c r="H281" i="1" l="1"/>
  <c r="G281" i="1"/>
  <c r="C1865" i="1"/>
  <c r="D1865" i="1" s="1"/>
  <c r="B1866" i="1"/>
  <c r="B652" i="1"/>
  <c r="C651" i="1"/>
  <c r="D651" i="1" s="1"/>
  <c r="F281" i="1" l="1"/>
  <c r="I281" i="1" s="1"/>
  <c r="E282" i="1" s="1"/>
  <c r="C1866" i="1"/>
  <c r="D1866" i="1" s="1"/>
  <c r="B1867" i="1"/>
  <c r="C652" i="1"/>
  <c r="D652" i="1" s="1"/>
  <c r="B653" i="1"/>
  <c r="C1867" i="1" l="1"/>
  <c r="D1867" i="1" s="1"/>
  <c r="B1868" i="1"/>
  <c r="C653" i="1"/>
  <c r="D653" i="1" s="1"/>
  <c r="B654" i="1"/>
  <c r="H282" i="1" l="1"/>
  <c r="G282" i="1"/>
  <c r="C1868" i="1"/>
  <c r="D1868" i="1" s="1"/>
  <c r="B1869" i="1"/>
  <c r="B655" i="1"/>
  <c r="C654" i="1"/>
  <c r="D654" i="1" s="1"/>
  <c r="F282" i="1" l="1"/>
  <c r="I282" i="1" s="1"/>
  <c r="E283" i="1" s="1"/>
  <c r="C1869" i="1"/>
  <c r="D1869" i="1" s="1"/>
  <c r="B1870" i="1"/>
  <c r="C655" i="1"/>
  <c r="D655" i="1" s="1"/>
  <c r="B656" i="1"/>
  <c r="C1870" i="1" l="1"/>
  <c r="D1870" i="1" s="1"/>
  <c r="B1871" i="1"/>
  <c r="C656" i="1"/>
  <c r="D656" i="1" s="1"/>
  <c r="B657" i="1"/>
  <c r="G283" i="1" l="1"/>
  <c r="H283" i="1"/>
  <c r="C1871" i="1"/>
  <c r="D1871" i="1" s="1"/>
  <c r="B1872" i="1"/>
  <c r="C657" i="1"/>
  <c r="D657" i="1" s="1"/>
  <c r="B658" i="1"/>
  <c r="F283" i="1" l="1"/>
  <c r="I283" i="1" s="1"/>
  <c r="E284" i="1" s="1"/>
  <c r="C1872" i="1"/>
  <c r="D1872" i="1" s="1"/>
  <c r="B1873" i="1"/>
  <c r="B659" i="1"/>
  <c r="C658" i="1"/>
  <c r="D658" i="1" s="1"/>
  <c r="C1873" i="1" l="1"/>
  <c r="D1873" i="1" s="1"/>
  <c r="B1874" i="1"/>
  <c r="B660" i="1"/>
  <c r="C659" i="1"/>
  <c r="D659" i="1" s="1"/>
  <c r="H284" i="1" l="1"/>
  <c r="G284" i="1"/>
  <c r="C1874" i="1"/>
  <c r="D1874" i="1" s="1"/>
  <c r="B1875" i="1"/>
  <c r="B661" i="1"/>
  <c r="C660" i="1"/>
  <c r="D660" i="1" s="1"/>
  <c r="F284" i="1" l="1"/>
  <c r="I284" i="1" s="1"/>
  <c r="E285" i="1" s="1"/>
  <c r="C1875" i="1"/>
  <c r="D1875" i="1" s="1"/>
  <c r="B1876" i="1"/>
  <c r="C661" i="1"/>
  <c r="D661" i="1" s="1"/>
  <c r="B662" i="1"/>
  <c r="C1876" i="1" l="1"/>
  <c r="D1876" i="1" s="1"/>
  <c r="B1877" i="1"/>
  <c r="C662" i="1"/>
  <c r="D662" i="1" s="1"/>
  <c r="B663" i="1"/>
  <c r="G285" i="1" l="1"/>
  <c r="H285" i="1"/>
  <c r="C1877" i="1"/>
  <c r="D1877" i="1" s="1"/>
  <c r="B1878" i="1"/>
  <c r="C663" i="1"/>
  <c r="D663" i="1" s="1"/>
  <c r="B664" i="1"/>
  <c r="F285" i="1" l="1"/>
  <c r="I285" i="1" s="1"/>
  <c r="E286" i="1" s="1"/>
  <c r="C1878" i="1"/>
  <c r="D1878" i="1" s="1"/>
  <c r="B1879" i="1"/>
  <c r="C664" i="1"/>
  <c r="D664" i="1" s="1"/>
  <c r="B665" i="1"/>
  <c r="C1879" i="1" l="1"/>
  <c r="D1879" i="1" s="1"/>
  <c r="B1880" i="1"/>
  <c r="B666" i="1"/>
  <c r="C665" i="1"/>
  <c r="D665" i="1" s="1"/>
  <c r="H286" i="1" l="1"/>
  <c r="G286" i="1"/>
  <c r="C1880" i="1"/>
  <c r="D1880" i="1" s="1"/>
  <c r="B1881" i="1"/>
  <c r="B667" i="1"/>
  <c r="C666" i="1"/>
  <c r="D666" i="1" s="1"/>
  <c r="F286" i="1" l="1"/>
  <c r="I286" i="1" s="1"/>
  <c r="E287" i="1" s="1"/>
  <c r="C1881" i="1"/>
  <c r="D1881" i="1" s="1"/>
  <c r="B1882" i="1"/>
  <c r="C667" i="1"/>
  <c r="D667" i="1" s="1"/>
  <c r="B668" i="1"/>
  <c r="C1882" i="1" l="1"/>
  <c r="D1882" i="1" s="1"/>
  <c r="B1883" i="1"/>
  <c r="B669" i="1"/>
  <c r="C668" i="1"/>
  <c r="D668" i="1" s="1"/>
  <c r="H287" i="1" l="1"/>
  <c r="G287" i="1"/>
  <c r="C1883" i="1"/>
  <c r="D1883" i="1" s="1"/>
  <c r="B1884" i="1"/>
  <c r="C669" i="1"/>
  <c r="D669" i="1" s="1"/>
  <c r="B670" i="1"/>
  <c r="F287" i="1" l="1"/>
  <c r="I287" i="1" s="1"/>
  <c r="E288" i="1" s="1"/>
  <c r="C1884" i="1"/>
  <c r="D1884" i="1" s="1"/>
  <c r="B1885" i="1"/>
  <c r="B671" i="1"/>
  <c r="C670" i="1"/>
  <c r="D670" i="1" s="1"/>
  <c r="C1885" i="1" l="1"/>
  <c r="D1885" i="1" s="1"/>
  <c r="B1886" i="1"/>
  <c r="B672" i="1"/>
  <c r="C671" i="1"/>
  <c r="D671" i="1" s="1"/>
  <c r="G288" i="1" l="1"/>
  <c r="H288" i="1"/>
  <c r="C1886" i="1"/>
  <c r="D1886" i="1" s="1"/>
  <c r="B1887" i="1"/>
  <c r="B673" i="1"/>
  <c r="C672" i="1"/>
  <c r="D672" i="1" s="1"/>
  <c r="F288" i="1" l="1"/>
  <c r="I288" i="1" s="1"/>
  <c r="E289" i="1" s="1"/>
  <c r="C1887" i="1"/>
  <c r="D1887" i="1" s="1"/>
  <c r="B1888" i="1"/>
  <c r="C673" i="1"/>
  <c r="D673" i="1" s="1"/>
  <c r="B674" i="1"/>
  <c r="C1888" i="1" l="1"/>
  <c r="D1888" i="1" s="1"/>
  <c r="B1889" i="1"/>
  <c r="C674" i="1"/>
  <c r="D674" i="1" s="1"/>
  <c r="B675" i="1"/>
  <c r="H289" i="1" l="1"/>
  <c r="G289" i="1"/>
  <c r="C1889" i="1"/>
  <c r="D1889" i="1" s="1"/>
  <c r="B1890" i="1"/>
  <c r="C675" i="1"/>
  <c r="D675" i="1" s="1"/>
  <c r="B676" i="1"/>
  <c r="F289" i="1" l="1"/>
  <c r="I289" i="1" s="1"/>
  <c r="E290" i="1" s="1"/>
  <c r="C1890" i="1"/>
  <c r="D1890" i="1" s="1"/>
  <c r="B1891" i="1"/>
  <c r="B677" i="1"/>
  <c r="C676" i="1"/>
  <c r="D676" i="1" s="1"/>
  <c r="C1891" i="1" l="1"/>
  <c r="D1891" i="1" s="1"/>
  <c r="B1892" i="1"/>
  <c r="C677" i="1"/>
  <c r="D677" i="1" s="1"/>
  <c r="B678" i="1"/>
  <c r="H290" i="1" l="1"/>
  <c r="G290" i="1"/>
  <c r="C1892" i="1"/>
  <c r="D1892" i="1" s="1"/>
  <c r="B1893" i="1"/>
  <c r="B679" i="1"/>
  <c r="C678" i="1"/>
  <c r="D678" i="1" s="1"/>
  <c r="F290" i="1" l="1"/>
  <c r="C1893" i="1"/>
  <c r="D1893" i="1" s="1"/>
  <c r="B1894" i="1"/>
  <c r="C679" i="1"/>
  <c r="D679" i="1" s="1"/>
  <c r="B680" i="1"/>
  <c r="I290" i="1" l="1"/>
  <c r="E291" i="1" s="1"/>
  <c r="C1894" i="1"/>
  <c r="D1894" i="1" s="1"/>
  <c r="B1895" i="1"/>
  <c r="B681" i="1"/>
  <c r="C680" i="1"/>
  <c r="D680" i="1" s="1"/>
  <c r="H291" i="1" l="1"/>
  <c r="G291" i="1"/>
  <c r="F291" i="1"/>
  <c r="C1895" i="1"/>
  <c r="D1895" i="1" s="1"/>
  <c r="B1896" i="1"/>
  <c r="C681" i="1"/>
  <c r="D681" i="1" s="1"/>
  <c r="B682" i="1"/>
  <c r="I291" i="1" l="1"/>
  <c r="E292" i="1" s="1"/>
  <c r="C1896" i="1"/>
  <c r="D1896" i="1" s="1"/>
  <c r="B1897" i="1"/>
  <c r="C682" i="1"/>
  <c r="D682" i="1" s="1"/>
  <c r="B683" i="1"/>
  <c r="G292" i="1" l="1"/>
  <c r="H292" i="1"/>
  <c r="C1897" i="1"/>
  <c r="D1897" i="1" s="1"/>
  <c r="B1898" i="1"/>
  <c r="B684" i="1"/>
  <c r="C683" i="1"/>
  <c r="D683" i="1" s="1"/>
  <c r="F292" i="1" l="1"/>
  <c r="I292" i="1" s="1"/>
  <c r="E293" i="1" s="1"/>
  <c r="B1899" i="1"/>
  <c r="C1898" i="1"/>
  <c r="D1898" i="1" s="1"/>
  <c r="C684" i="1"/>
  <c r="D684" i="1" s="1"/>
  <c r="B685" i="1"/>
  <c r="C1899" i="1" l="1"/>
  <c r="D1899" i="1" s="1"/>
  <c r="B1900" i="1"/>
  <c r="C685" i="1"/>
  <c r="D685" i="1" s="1"/>
  <c r="B686" i="1"/>
  <c r="G293" i="1" l="1"/>
  <c r="H293" i="1"/>
  <c r="C1900" i="1"/>
  <c r="D1900" i="1" s="1"/>
  <c r="B1901" i="1"/>
  <c r="B687" i="1"/>
  <c r="C686" i="1"/>
  <c r="D686" i="1" s="1"/>
  <c r="F293" i="1" l="1"/>
  <c r="I293" i="1" s="1"/>
  <c r="E294" i="1" s="1"/>
  <c r="C1901" i="1"/>
  <c r="D1901" i="1" s="1"/>
  <c r="B1902" i="1"/>
  <c r="C687" i="1"/>
  <c r="D687" i="1" s="1"/>
  <c r="B688" i="1"/>
  <c r="C1902" i="1" l="1"/>
  <c r="D1902" i="1" s="1"/>
  <c r="B1903" i="1"/>
  <c r="B689" i="1"/>
  <c r="C688" i="1"/>
  <c r="D688" i="1" s="1"/>
  <c r="G294" i="1" l="1"/>
  <c r="H294" i="1"/>
  <c r="C1903" i="1"/>
  <c r="D1903" i="1" s="1"/>
  <c r="B1904" i="1"/>
  <c r="B690" i="1"/>
  <c r="C689" i="1"/>
  <c r="D689" i="1" s="1"/>
  <c r="F294" i="1" l="1"/>
  <c r="I294" i="1" s="1"/>
  <c r="E295" i="1" s="1"/>
  <c r="C1904" i="1"/>
  <c r="D1904" i="1" s="1"/>
  <c r="B1905" i="1"/>
  <c r="B691" i="1"/>
  <c r="C690" i="1"/>
  <c r="D690" i="1" s="1"/>
  <c r="C1905" i="1" l="1"/>
  <c r="D1905" i="1" s="1"/>
  <c r="B1906" i="1"/>
  <c r="C691" i="1"/>
  <c r="D691" i="1" s="1"/>
  <c r="B692" i="1"/>
  <c r="H295" i="1" l="1"/>
  <c r="G295" i="1"/>
  <c r="C1906" i="1"/>
  <c r="D1906" i="1" s="1"/>
  <c r="B1907" i="1"/>
  <c r="C692" i="1"/>
  <c r="D692" i="1" s="1"/>
  <c r="B693" i="1"/>
  <c r="F295" i="1" l="1"/>
  <c r="I295" i="1" s="1"/>
  <c r="E296" i="1" s="1"/>
  <c r="C1907" i="1"/>
  <c r="D1907" i="1" s="1"/>
  <c r="B1908" i="1"/>
  <c r="C693" i="1"/>
  <c r="D693" i="1" s="1"/>
  <c r="B694" i="1"/>
  <c r="C1908" i="1" l="1"/>
  <c r="D1908" i="1" s="1"/>
  <c r="B1909" i="1"/>
  <c r="C694" i="1"/>
  <c r="D694" i="1" s="1"/>
  <c r="B695" i="1"/>
  <c r="H296" i="1" l="1"/>
  <c r="G296" i="1"/>
  <c r="C1909" i="1"/>
  <c r="D1909" i="1" s="1"/>
  <c r="B1910" i="1"/>
  <c r="C695" i="1"/>
  <c r="D695" i="1" s="1"/>
  <c r="B696" i="1"/>
  <c r="F296" i="1" l="1"/>
  <c r="I296" i="1" s="1"/>
  <c r="E297" i="1" s="1"/>
  <c r="C1910" i="1"/>
  <c r="D1910" i="1" s="1"/>
  <c r="B1911" i="1"/>
  <c r="B697" i="1"/>
  <c r="C696" i="1"/>
  <c r="D696" i="1" s="1"/>
  <c r="C1911" i="1" l="1"/>
  <c r="D1911" i="1" s="1"/>
  <c r="B1912" i="1"/>
  <c r="C697" i="1"/>
  <c r="D697" i="1" s="1"/>
  <c r="B698" i="1"/>
  <c r="G297" i="1" l="1"/>
  <c r="H297" i="1"/>
  <c r="C1912" i="1"/>
  <c r="D1912" i="1" s="1"/>
  <c r="B1913" i="1"/>
  <c r="C698" i="1"/>
  <c r="D698" i="1" s="1"/>
  <c r="B699" i="1"/>
  <c r="F297" i="1" l="1"/>
  <c r="I297" i="1" s="1"/>
  <c r="E298" i="1" s="1"/>
  <c r="B1914" i="1"/>
  <c r="C1913" i="1"/>
  <c r="D1913" i="1" s="1"/>
  <c r="B700" i="1"/>
  <c r="C699" i="1"/>
  <c r="D699" i="1" s="1"/>
  <c r="C1914" i="1" l="1"/>
  <c r="D1914" i="1" s="1"/>
  <c r="B1915" i="1"/>
  <c r="C700" i="1"/>
  <c r="D700" i="1" s="1"/>
  <c r="B701" i="1"/>
  <c r="G298" i="1" l="1"/>
  <c r="H298" i="1"/>
  <c r="C1915" i="1"/>
  <c r="D1915" i="1" s="1"/>
  <c r="B1916" i="1"/>
  <c r="B702" i="1"/>
  <c r="C701" i="1"/>
  <c r="D701" i="1" s="1"/>
  <c r="F298" i="1" l="1"/>
  <c r="I298" i="1" s="1"/>
  <c r="E299" i="1" s="1"/>
  <c r="C1916" i="1"/>
  <c r="D1916" i="1" s="1"/>
  <c r="B1917" i="1"/>
  <c r="B703" i="1"/>
  <c r="C702" i="1"/>
  <c r="D702" i="1" s="1"/>
  <c r="C1917" i="1" l="1"/>
  <c r="D1917" i="1" s="1"/>
  <c r="B1918" i="1"/>
  <c r="B704" i="1"/>
  <c r="C703" i="1"/>
  <c r="D703" i="1" s="1"/>
  <c r="H299" i="1" l="1"/>
  <c r="G299" i="1"/>
  <c r="C1918" i="1"/>
  <c r="D1918" i="1" s="1"/>
  <c r="B1919" i="1"/>
  <c r="C704" i="1"/>
  <c r="D704" i="1" s="1"/>
  <c r="B705" i="1"/>
  <c r="F299" i="1" l="1"/>
  <c r="I299" i="1" s="1"/>
  <c r="E300" i="1" s="1"/>
  <c r="C1919" i="1"/>
  <c r="D1919" i="1" s="1"/>
  <c r="B1920" i="1"/>
  <c r="C705" i="1"/>
  <c r="D705" i="1" s="1"/>
  <c r="B706" i="1"/>
  <c r="C1920" i="1" l="1"/>
  <c r="D1920" i="1" s="1"/>
  <c r="B1921" i="1"/>
  <c r="B707" i="1"/>
  <c r="C706" i="1"/>
  <c r="D706" i="1" s="1"/>
  <c r="G300" i="1" l="1"/>
  <c r="H300" i="1"/>
  <c r="C1921" i="1"/>
  <c r="D1921" i="1" s="1"/>
  <c r="B1922" i="1"/>
  <c r="B708" i="1"/>
  <c r="C707" i="1"/>
  <c r="D707" i="1" s="1"/>
  <c r="F300" i="1" l="1"/>
  <c r="I300" i="1" s="1"/>
  <c r="E301" i="1" s="1"/>
  <c r="C1922" i="1"/>
  <c r="D1922" i="1" s="1"/>
  <c r="B1923" i="1"/>
  <c r="C708" i="1"/>
  <c r="D708" i="1" s="1"/>
  <c r="B709" i="1"/>
  <c r="C1923" i="1" l="1"/>
  <c r="D1923" i="1" s="1"/>
  <c r="B1924" i="1"/>
  <c r="C709" i="1"/>
  <c r="D709" i="1" s="1"/>
  <c r="B710" i="1"/>
  <c r="G301" i="1" l="1"/>
  <c r="H301" i="1"/>
  <c r="C1924" i="1"/>
  <c r="D1924" i="1" s="1"/>
  <c r="B1925" i="1"/>
  <c r="B711" i="1"/>
  <c r="C710" i="1"/>
  <c r="D710" i="1" s="1"/>
  <c r="F301" i="1" l="1"/>
  <c r="I301" i="1" s="1"/>
  <c r="E302" i="1" s="1"/>
  <c r="C1925" i="1"/>
  <c r="D1925" i="1" s="1"/>
  <c r="B1926" i="1"/>
  <c r="C711" i="1"/>
  <c r="D711" i="1" s="1"/>
  <c r="B712" i="1"/>
  <c r="C1926" i="1" l="1"/>
  <c r="D1926" i="1" s="1"/>
  <c r="B1927" i="1"/>
  <c r="B713" i="1"/>
  <c r="C712" i="1"/>
  <c r="D712" i="1" s="1"/>
  <c r="G302" i="1" l="1"/>
  <c r="H302" i="1"/>
  <c r="C1927" i="1"/>
  <c r="D1927" i="1" s="1"/>
  <c r="B1928" i="1"/>
  <c r="B714" i="1"/>
  <c r="C713" i="1"/>
  <c r="D713" i="1" s="1"/>
  <c r="F302" i="1" l="1"/>
  <c r="I302" i="1" s="1"/>
  <c r="E303" i="1" s="1"/>
  <c r="C1928" i="1"/>
  <c r="D1928" i="1" s="1"/>
  <c r="B1929" i="1"/>
  <c r="C714" i="1"/>
  <c r="D714" i="1" s="1"/>
  <c r="B715" i="1"/>
  <c r="B1930" i="1" l="1"/>
  <c r="C1929" i="1"/>
  <c r="D1929" i="1" s="1"/>
  <c r="C715" i="1"/>
  <c r="D715" i="1" s="1"/>
  <c r="B716" i="1"/>
  <c r="G303" i="1" l="1"/>
  <c r="H303" i="1"/>
  <c r="C1930" i="1"/>
  <c r="D1930" i="1" s="1"/>
  <c r="B1931" i="1"/>
  <c r="B717" i="1"/>
  <c r="C716" i="1"/>
  <c r="D716" i="1" s="1"/>
  <c r="F303" i="1" l="1"/>
  <c r="I303" i="1" s="1"/>
  <c r="E304" i="1" s="1"/>
  <c r="B1932" i="1"/>
  <c r="C1931" i="1"/>
  <c r="D1931" i="1" s="1"/>
  <c r="B718" i="1"/>
  <c r="C717" i="1"/>
  <c r="D717" i="1" s="1"/>
  <c r="C1932" i="1" l="1"/>
  <c r="D1932" i="1" s="1"/>
  <c r="B1933" i="1"/>
  <c r="B719" i="1"/>
  <c r="C718" i="1"/>
  <c r="D718" i="1" s="1"/>
  <c r="G304" i="1" l="1"/>
  <c r="H304" i="1"/>
  <c r="B1934" i="1"/>
  <c r="C1933" i="1"/>
  <c r="D1933" i="1" s="1"/>
  <c r="C719" i="1"/>
  <c r="D719" i="1" s="1"/>
  <c r="B720" i="1"/>
  <c r="F304" i="1" l="1"/>
  <c r="I304" i="1" s="1"/>
  <c r="E305" i="1" s="1"/>
  <c r="C1934" i="1"/>
  <c r="D1934" i="1" s="1"/>
  <c r="B1935" i="1"/>
  <c r="C720" i="1"/>
  <c r="D720" i="1" s="1"/>
  <c r="B721" i="1"/>
  <c r="C1935" i="1" l="1"/>
  <c r="D1935" i="1" s="1"/>
  <c r="B1936" i="1"/>
  <c r="B722" i="1"/>
  <c r="C721" i="1"/>
  <c r="D721" i="1" s="1"/>
  <c r="H305" i="1" l="1"/>
  <c r="G305" i="1"/>
  <c r="C1936" i="1"/>
  <c r="D1936" i="1" s="1"/>
  <c r="B1937" i="1"/>
  <c r="B723" i="1"/>
  <c r="C722" i="1"/>
  <c r="D722" i="1" s="1"/>
  <c r="F305" i="1" l="1"/>
  <c r="I305" i="1" s="1"/>
  <c r="E306" i="1" s="1"/>
  <c r="C1937" i="1"/>
  <c r="D1937" i="1" s="1"/>
  <c r="B1938" i="1"/>
  <c r="B724" i="1"/>
  <c r="C723" i="1"/>
  <c r="D723" i="1" s="1"/>
  <c r="B1939" i="1" l="1"/>
  <c r="C1938" i="1"/>
  <c r="D1938" i="1" s="1"/>
  <c r="C724" i="1"/>
  <c r="D724" i="1" s="1"/>
  <c r="B725" i="1"/>
  <c r="G306" i="1" l="1"/>
  <c r="H306" i="1"/>
  <c r="C1939" i="1"/>
  <c r="D1939" i="1" s="1"/>
  <c r="B1940" i="1"/>
  <c r="B726" i="1"/>
  <c r="C725" i="1"/>
  <c r="D725" i="1" s="1"/>
  <c r="F306" i="1" l="1"/>
  <c r="I306" i="1" s="1"/>
  <c r="E307" i="1" s="1"/>
  <c r="C1940" i="1"/>
  <c r="D1940" i="1" s="1"/>
  <c r="B1941" i="1"/>
  <c r="C726" i="1"/>
  <c r="D726" i="1" s="1"/>
  <c r="B727" i="1"/>
  <c r="C1941" i="1" l="1"/>
  <c r="D1941" i="1" s="1"/>
  <c r="B1942" i="1"/>
  <c r="C727" i="1"/>
  <c r="D727" i="1" s="1"/>
  <c r="B728" i="1"/>
  <c r="H307" i="1" l="1"/>
  <c r="G307" i="1"/>
  <c r="C1942" i="1"/>
  <c r="D1942" i="1" s="1"/>
  <c r="B1943" i="1"/>
  <c r="C728" i="1"/>
  <c r="D728" i="1" s="1"/>
  <c r="B729" i="1"/>
  <c r="F307" i="1" l="1"/>
  <c r="I307" i="1" s="1"/>
  <c r="E308" i="1" s="1"/>
  <c r="C1943" i="1"/>
  <c r="D1943" i="1" s="1"/>
  <c r="B1944" i="1"/>
  <c r="C729" i="1"/>
  <c r="D729" i="1" s="1"/>
  <c r="B730" i="1"/>
  <c r="C1944" i="1" l="1"/>
  <c r="D1944" i="1" s="1"/>
  <c r="B1945" i="1"/>
  <c r="B731" i="1"/>
  <c r="C730" i="1"/>
  <c r="D730" i="1" s="1"/>
  <c r="G308" i="1" l="1"/>
  <c r="H308" i="1"/>
  <c r="B1946" i="1"/>
  <c r="C1945" i="1"/>
  <c r="D1945" i="1" s="1"/>
  <c r="C731" i="1"/>
  <c r="D731" i="1" s="1"/>
  <c r="B732" i="1"/>
  <c r="F308" i="1" l="1"/>
  <c r="I308" i="1" s="1"/>
  <c r="E309" i="1" s="1"/>
  <c r="C1946" i="1"/>
  <c r="D1946" i="1" s="1"/>
  <c r="B1947" i="1"/>
  <c r="B733" i="1"/>
  <c r="C732" i="1"/>
  <c r="D732" i="1" s="1"/>
  <c r="B1948" i="1" l="1"/>
  <c r="C1947" i="1"/>
  <c r="D1947" i="1" s="1"/>
  <c r="B734" i="1"/>
  <c r="C733" i="1"/>
  <c r="D733" i="1" s="1"/>
  <c r="G309" i="1" l="1"/>
  <c r="H309" i="1"/>
  <c r="C1948" i="1"/>
  <c r="D1948" i="1" s="1"/>
  <c r="B1949" i="1"/>
  <c r="C734" i="1"/>
  <c r="D734" i="1" s="1"/>
  <c r="B735" i="1"/>
  <c r="F309" i="1" l="1"/>
  <c r="B1950" i="1"/>
  <c r="C1949" i="1"/>
  <c r="D1949" i="1" s="1"/>
  <c r="C735" i="1"/>
  <c r="D735" i="1" s="1"/>
  <c r="B736" i="1"/>
  <c r="I309" i="1" l="1"/>
  <c r="E310" i="1" s="1"/>
  <c r="B1951" i="1"/>
  <c r="C1950" i="1"/>
  <c r="D1950" i="1" s="1"/>
  <c r="B737" i="1"/>
  <c r="C736" i="1"/>
  <c r="D736" i="1" s="1"/>
  <c r="G310" i="1" l="1"/>
  <c r="H310" i="1"/>
  <c r="C1951" i="1"/>
  <c r="D1951" i="1" s="1"/>
  <c r="B1952" i="1"/>
  <c r="C737" i="1"/>
  <c r="D737" i="1" s="1"/>
  <c r="B738" i="1"/>
  <c r="F310" i="1" l="1"/>
  <c r="I310" i="1" s="1"/>
  <c r="E311" i="1" s="1"/>
  <c r="C1952" i="1"/>
  <c r="D1952" i="1" s="1"/>
  <c r="B1953" i="1"/>
  <c r="C738" i="1"/>
  <c r="D738" i="1" s="1"/>
  <c r="B739" i="1"/>
  <c r="G311" i="1" l="1"/>
  <c r="H311" i="1"/>
  <c r="C1953" i="1"/>
  <c r="D1953" i="1" s="1"/>
  <c r="B1954" i="1"/>
  <c r="C739" i="1"/>
  <c r="D739" i="1" s="1"/>
  <c r="B740" i="1"/>
  <c r="F311" i="1" l="1"/>
  <c r="I311" i="1" s="1"/>
  <c r="E312" i="1" s="1"/>
  <c r="C1954" i="1"/>
  <c r="D1954" i="1" s="1"/>
  <c r="B1955" i="1"/>
  <c r="C740" i="1"/>
  <c r="D740" i="1" s="1"/>
  <c r="B741" i="1"/>
  <c r="C1955" i="1" l="1"/>
  <c r="D1955" i="1" s="1"/>
  <c r="B1956" i="1"/>
  <c r="C741" i="1"/>
  <c r="D741" i="1" s="1"/>
  <c r="B742" i="1"/>
  <c r="G312" i="1" l="1"/>
  <c r="H312" i="1"/>
  <c r="C1956" i="1"/>
  <c r="D1956" i="1" s="1"/>
  <c r="B1957" i="1"/>
  <c r="C742" i="1"/>
  <c r="D742" i="1" s="1"/>
  <c r="B743" i="1"/>
  <c r="F312" i="1" l="1"/>
  <c r="I312" i="1" s="1"/>
  <c r="E313" i="1" s="1"/>
  <c r="C1957" i="1"/>
  <c r="D1957" i="1" s="1"/>
  <c r="B1958" i="1"/>
  <c r="B744" i="1"/>
  <c r="C743" i="1"/>
  <c r="D743" i="1" s="1"/>
  <c r="C1958" i="1" l="1"/>
  <c r="D1958" i="1" s="1"/>
  <c r="B1959" i="1"/>
  <c r="B745" i="1"/>
  <c r="C744" i="1"/>
  <c r="D744" i="1" s="1"/>
  <c r="G313" i="1" l="1"/>
  <c r="H313" i="1"/>
  <c r="C1959" i="1"/>
  <c r="D1959" i="1" s="1"/>
  <c r="B1960" i="1"/>
  <c r="C745" i="1"/>
  <c r="D745" i="1" s="1"/>
  <c r="B746" i="1"/>
  <c r="F313" i="1" l="1"/>
  <c r="I313" i="1" s="1"/>
  <c r="E314" i="1" s="1"/>
  <c r="C1960" i="1"/>
  <c r="D1960" i="1" s="1"/>
  <c r="B1961" i="1"/>
  <c r="C746" i="1"/>
  <c r="D746" i="1" s="1"/>
  <c r="B747" i="1"/>
  <c r="C1961" i="1" l="1"/>
  <c r="D1961" i="1" s="1"/>
  <c r="B1962" i="1"/>
  <c r="C747" i="1"/>
  <c r="D747" i="1" s="1"/>
  <c r="B748" i="1"/>
  <c r="H314" i="1" l="1"/>
  <c r="G314" i="1"/>
  <c r="C1962" i="1"/>
  <c r="D1962" i="1" s="1"/>
  <c r="B1963" i="1"/>
  <c r="B749" i="1"/>
  <c r="C748" i="1"/>
  <c r="D748" i="1" s="1"/>
  <c r="F314" i="1" l="1"/>
  <c r="C1963" i="1"/>
  <c r="D1963" i="1" s="1"/>
  <c r="B1964" i="1"/>
  <c r="B750" i="1"/>
  <c r="C749" i="1"/>
  <c r="D749" i="1" s="1"/>
  <c r="I314" i="1" l="1"/>
  <c r="E315" i="1" s="1"/>
  <c r="C1964" i="1"/>
  <c r="D1964" i="1" s="1"/>
  <c r="B1965" i="1"/>
  <c r="B751" i="1"/>
  <c r="C750" i="1"/>
  <c r="D750" i="1" s="1"/>
  <c r="G315" i="1" l="1"/>
  <c r="H315" i="1"/>
  <c r="C1965" i="1"/>
  <c r="D1965" i="1" s="1"/>
  <c r="B1966" i="1"/>
  <c r="B752" i="1"/>
  <c r="C751" i="1"/>
  <c r="D751" i="1" s="1"/>
  <c r="F315" i="1" l="1"/>
  <c r="I315" i="1" s="1"/>
  <c r="E316" i="1" s="1"/>
  <c r="C1966" i="1"/>
  <c r="D1966" i="1" s="1"/>
  <c r="B1967" i="1"/>
  <c r="C752" i="1"/>
  <c r="D752" i="1" s="1"/>
  <c r="B753" i="1"/>
  <c r="G316" i="1" l="1"/>
  <c r="H316" i="1"/>
  <c r="C1967" i="1"/>
  <c r="D1967" i="1" s="1"/>
  <c r="B1968" i="1"/>
  <c r="B754" i="1"/>
  <c r="C753" i="1"/>
  <c r="D753" i="1" s="1"/>
  <c r="F316" i="1" l="1"/>
  <c r="C1968" i="1"/>
  <c r="D1968" i="1" s="1"/>
  <c r="B1969" i="1"/>
  <c r="C754" i="1"/>
  <c r="D754" i="1" s="1"/>
  <c r="B755" i="1"/>
  <c r="I316" i="1" l="1"/>
  <c r="E317" i="1" s="1"/>
  <c r="C1969" i="1"/>
  <c r="D1969" i="1" s="1"/>
  <c r="B1970" i="1"/>
  <c r="C755" i="1"/>
  <c r="D755" i="1" s="1"/>
  <c r="B756" i="1"/>
  <c r="H317" i="1" l="1"/>
  <c r="F317" i="1" s="1"/>
  <c r="G317" i="1"/>
  <c r="C1970" i="1"/>
  <c r="D1970" i="1" s="1"/>
  <c r="B1971" i="1"/>
  <c r="C756" i="1"/>
  <c r="D756" i="1" s="1"/>
  <c r="B757" i="1"/>
  <c r="C757" i="1" s="1"/>
  <c r="D757" i="1" s="1"/>
  <c r="I317" i="1" l="1"/>
  <c r="E318" i="1" s="1"/>
  <c r="C1971" i="1"/>
  <c r="D1971" i="1" s="1"/>
  <c r="B1972" i="1"/>
  <c r="G318" i="1" l="1"/>
  <c r="H318" i="1"/>
  <c r="C1972" i="1"/>
  <c r="D1972" i="1" s="1"/>
  <c r="B1973" i="1"/>
  <c r="F318" i="1" l="1"/>
  <c r="C1973" i="1"/>
  <c r="D1973" i="1" s="1"/>
  <c r="B1974" i="1"/>
  <c r="I318" i="1" l="1"/>
  <c r="E319" i="1" s="1"/>
  <c r="C1974" i="1"/>
  <c r="D1974" i="1" s="1"/>
  <c r="B1975" i="1"/>
  <c r="H319" i="1" l="1"/>
  <c r="G319" i="1"/>
  <c r="C1975" i="1"/>
  <c r="D1975" i="1" s="1"/>
  <c r="B1976" i="1"/>
  <c r="F319" i="1" l="1"/>
  <c r="C1976" i="1"/>
  <c r="D1976" i="1" s="1"/>
  <c r="B1977" i="1"/>
  <c r="I319" i="1" l="1"/>
  <c r="E320" i="1" s="1"/>
  <c r="B1978" i="1"/>
  <c r="C1977" i="1"/>
  <c r="D1977" i="1" s="1"/>
  <c r="G320" i="1" l="1"/>
  <c r="H320" i="1"/>
  <c r="C1978" i="1"/>
  <c r="D1978" i="1" s="1"/>
  <c r="B1979" i="1"/>
  <c r="F320" i="1" l="1"/>
  <c r="I320" i="1" s="1"/>
  <c r="E321" i="1" s="1"/>
  <c r="C1979" i="1"/>
  <c r="D1979" i="1" s="1"/>
  <c r="B1980" i="1"/>
  <c r="H321" i="1" l="1"/>
  <c r="G321" i="1"/>
  <c r="C1980" i="1"/>
  <c r="D1980" i="1" s="1"/>
  <c r="B1981" i="1"/>
  <c r="F321" i="1" l="1"/>
  <c r="I321" i="1" s="1"/>
  <c r="E322" i="1" s="1"/>
  <c r="C1981" i="1"/>
  <c r="D1981" i="1" s="1"/>
  <c r="B1982" i="1"/>
  <c r="G322" i="1" l="1"/>
  <c r="H322" i="1"/>
  <c r="F322" i="1" s="1"/>
  <c r="C1982" i="1"/>
  <c r="D1982" i="1" s="1"/>
  <c r="B1983" i="1"/>
  <c r="I322" i="1" l="1"/>
  <c r="E323" i="1" s="1"/>
  <c r="C1983" i="1"/>
  <c r="D1983" i="1" s="1"/>
  <c r="B1984" i="1"/>
  <c r="G323" i="1" l="1"/>
  <c r="H323" i="1"/>
  <c r="C1984" i="1"/>
  <c r="D1984" i="1" s="1"/>
  <c r="B1985" i="1"/>
  <c r="F323" i="1" l="1"/>
  <c r="I323" i="1" s="1"/>
  <c r="E324" i="1" s="1"/>
  <c r="C1985" i="1"/>
  <c r="D1985" i="1" s="1"/>
  <c r="B1986" i="1"/>
  <c r="C1986" i="1" l="1"/>
  <c r="D1986" i="1" s="1"/>
  <c r="B1987" i="1"/>
  <c r="H324" i="1" l="1"/>
  <c r="G324" i="1"/>
  <c r="C1987" i="1"/>
  <c r="D1987" i="1" s="1"/>
  <c r="B1988" i="1"/>
  <c r="F324" i="1" l="1"/>
  <c r="I324" i="1" s="1"/>
  <c r="E325" i="1" s="1"/>
  <c r="C1988" i="1"/>
  <c r="D1988" i="1" s="1"/>
  <c r="B1989" i="1"/>
  <c r="C1989" i="1" l="1"/>
  <c r="D1989" i="1" s="1"/>
  <c r="B1990" i="1"/>
  <c r="G325" i="1" l="1"/>
  <c r="H325" i="1"/>
  <c r="C1990" i="1"/>
  <c r="D1990" i="1" s="1"/>
  <c r="B1991" i="1"/>
  <c r="F325" i="1" l="1"/>
  <c r="I325" i="1" s="1"/>
  <c r="E326" i="1" s="1"/>
  <c r="C1991" i="1"/>
  <c r="D1991" i="1" s="1"/>
  <c r="B1992" i="1"/>
  <c r="C1992" i="1" l="1"/>
  <c r="D1992" i="1" s="1"/>
  <c r="B1993" i="1"/>
  <c r="G326" i="1" l="1"/>
  <c r="H326" i="1"/>
  <c r="C1993" i="1"/>
  <c r="D1993" i="1" s="1"/>
  <c r="B1994" i="1"/>
  <c r="F326" i="1" l="1"/>
  <c r="I326" i="1" s="1"/>
  <c r="E327" i="1" s="1"/>
  <c r="C1994" i="1"/>
  <c r="D1994" i="1" s="1"/>
  <c r="B1995" i="1"/>
  <c r="C1995" i="1" l="1"/>
  <c r="D1995" i="1" s="1"/>
  <c r="B1996" i="1"/>
  <c r="G327" i="1" l="1"/>
  <c r="H327" i="1"/>
  <c r="C1996" i="1"/>
  <c r="D1996" i="1" s="1"/>
  <c r="B1997" i="1"/>
  <c r="F327" i="1" l="1"/>
  <c r="I327" i="1" s="1"/>
  <c r="E328" i="1" s="1"/>
  <c r="C1997" i="1"/>
  <c r="D1997" i="1" s="1"/>
  <c r="B1998" i="1"/>
  <c r="C1998" i="1" l="1"/>
  <c r="D1998" i="1" s="1"/>
  <c r="B1999" i="1"/>
  <c r="H328" i="1" l="1"/>
  <c r="G328" i="1"/>
  <c r="C1999" i="1"/>
  <c r="D1999" i="1" s="1"/>
  <c r="B2000" i="1"/>
  <c r="F328" i="1" l="1"/>
  <c r="I328" i="1" s="1"/>
  <c r="E329" i="1" s="1"/>
  <c r="C2000" i="1"/>
  <c r="D2000" i="1" s="1"/>
  <c r="B2001" i="1"/>
  <c r="C2001" i="1" l="1"/>
  <c r="D2001" i="1" s="1"/>
  <c r="B2002" i="1"/>
  <c r="H329" i="1" l="1"/>
  <c r="G329" i="1"/>
  <c r="C2002" i="1"/>
  <c r="D2002" i="1" s="1"/>
  <c r="B2003" i="1"/>
  <c r="F329" i="1" l="1"/>
  <c r="I329" i="1" s="1"/>
  <c r="E330" i="1" s="1"/>
  <c r="C2003" i="1"/>
  <c r="D2003" i="1" s="1"/>
  <c r="B2004" i="1"/>
  <c r="C2004" i="1" l="1"/>
  <c r="D2004" i="1" s="1"/>
  <c r="B2005" i="1"/>
  <c r="H330" i="1" l="1"/>
  <c r="G330" i="1"/>
  <c r="C2005" i="1"/>
  <c r="D2005" i="1" s="1"/>
  <c r="B2006" i="1"/>
  <c r="F330" i="1" l="1"/>
  <c r="I330" i="1" s="1"/>
  <c r="E331" i="1" s="1"/>
  <c r="C2006" i="1"/>
  <c r="D2006" i="1" s="1"/>
  <c r="B2007" i="1"/>
  <c r="C2007" i="1" l="1"/>
  <c r="D2007" i="1" s="1"/>
  <c r="B2008" i="1"/>
  <c r="H331" i="1" l="1"/>
  <c r="G331" i="1"/>
  <c r="C2008" i="1"/>
  <c r="D2008" i="1" s="1"/>
  <c r="B2009" i="1"/>
  <c r="F331" i="1" l="1"/>
  <c r="I331" i="1" s="1"/>
  <c r="E332" i="1" s="1"/>
  <c r="C2009" i="1"/>
  <c r="D2009" i="1" s="1"/>
  <c r="B2010" i="1"/>
  <c r="C2010" i="1" l="1"/>
  <c r="D2010" i="1" s="1"/>
  <c r="B2011" i="1"/>
  <c r="H332" i="1" l="1"/>
  <c r="G332" i="1"/>
  <c r="C2011" i="1"/>
  <c r="D2011" i="1" s="1"/>
  <c r="B2012" i="1"/>
  <c r="F332" i="1" l="1"/>
  <c r="I332" i="1" s="1"/>
  <c r="E333" i="1" s="1"/>
  <c r="C2012" i="1"/>
  <c r="D2012" i="1" s="1"/>
  <c r="B2013" i="1"/>
  <c r="C2013" i="1" l="1"/>
  <c r="D2013" i="1" s="1"/>
  <c r="B2014" i="1"/>
  <c r="H333" i="1" l="1"/>
  <c r="G333" i="1"/>
  <c r="C2014" i="1"/>
  <c r="D2014" i="1" s="1"/>
  <c r="B2015" i="1"/>
  <c r="F333" i="1" l="1"/>
  <c r="I333" i="1" s="1"/>
  <c r="E334" i="1" s="1"/>
  <c r="C2015" i="1"/>
  <c r="D2015" i="1" s="1"/>
  <c r="B2016" i="1"/>
  <c r="C2016" i="1" l="1"/>
  <c r="D2016" i="1" s="1"/>
  <c r="B2017" i="1"/>
  <c r="H334" i="1" l="1"/>
  <c r="G334" i="1"/>
  <c r="C2017" i="1"/>
  <c r="D2017" i="1" s="1"/>
  <c r="B2018" i="1"/>
  <c r="F334" i="1" l="1"/>
  <c r="C2018" i="1"/>
  <c r="D2018" i="1" s="1"/>
  <c r="B2019" i="1"/>
  <c r="I334" i="1" l="1"/>
  <c r="E335" i="1" s="1"/>
  <c r="C2019" i="1"/>
  <c r="D2019" i="1" s="1"/>
  <c r="B2020" i="1"/>
  <c r="G335" i="1" l="1"/>
  <c r="H335" i="1"/>
  <c r="C2020" i="1"/>
  <c r="D2020" i="1" s="1"/>
  <c r="B2021" i="1"/>
  <c r="F335" i="1" l="1"/>
  <c r="I335" i="1" s="1"/>
  <c r="E336" i="1" s="1"/>
  <c r="C2021" i="1"/>
  <c r="D2021" i="1" s="1"/>
  <c r="B2022" i="1"/>
  <c r="H336" i="1" l="1"/>
  <c r="F336" i="1" s="1"/>
  <c r="G336" i="1"/>
  <c r="C2022" i="1"/>
  <c r="D2022" i="1" s="1"/>
  <c r="B2023" i="1"/>
  <c r="I336" i="1" l="1"/>
  <c r="E337" i="1" s="1"/>
  <c r="C2023" i="1"/>
  <c r="D2023" i="1" s="1"/>
  <c r="B2024" i="1"/>
  <c r="H337" i="1" l="1"/>
  <c r="F337" i="1" s="1"/>
  <c r="G337" i="1"/>
  <c r="C2024" i="1"/>
  <c r="D2024" i="1" s="1"/>
  <c r="B2025" i="1"/>
  <c r="I337" i="1" l="1"/>
  <c r="E338" i="1" s="1"/>
  <c r="C2025" i="1"/>
  <c r="D2025" i="1" s="1"/>
  <c r="B2026" i="1"/>
  <c r="H338" i="1" l="1"/>
  <c r="G338" i="1"/>
  <c r="C2026" i="1"/>
  <c r="D2026" i="1" s="1"/>
  <c r="B2027" i="1"/>
  <c r="F338" i="1" l="1"/>
  <c r="I338" i="1" s="1"/>
  <c r="E339" i="1" s="1"/>
  <c r="C2027" i="1"/>
  <c r="D2027" i="1" s="1"/>
  <c r="B2028" i="1"/>
  <c r="C2028" i="1" l="1"/>
  <c r="D2028" i="1" s="1"/>
  <c r="B2029" i="1"/>
  <c r="G339" i="1" l="1"/>
  <c r="H339" i="1"/>
  <c r="C2029" i="1"/>
  <c r="D2029" i="1" s="1"/>
  <c r="B2030" i="1"/>
  <c r="F339" i="1" l="1"/>
  <c r="I339" i="1" s="1"/>
  <c r="E340" i="1" s="1"/>
  <c r="C2030" i="1"/>
  <c r="D2030" i="1" s="1"/>
  <c r="B2031" i="1"/>
  <c r="C2031" i="1" l="1"/>
  <c r="D2031" i="1" s="1"/>
  <c r="B2032" i="1"/>
  <c r="G340" i="1" l="1"/>
  <c r="H340" i="1"/>
  <c r="C2032" i="1"/>
  <c r="D2032" i="1" s="1"/>
  <c r="B2033" i="1"/>
  <c r="F340" i="1" l="1"/>
  <c r="I340" i="1" s="1"/>
  <c r="E341" i="1" s="1"/>
  <c r="C2033" i="1"/>
  <c r="D2033" i="1" s="1"/>
  <c r="B2034" i="1"/>
  <c r="C2034" i="1" l="1"/>
  <c r="D2034" i="1" s="1"/>
  <c r="B2035" i="1"/>
  <c r="G341" i="1" l="1"/>
  <c r="H341" i="1"/>
  <c r="C2035" i="1"/>
  <c r="D2035" i="1" s="1"/>
  <c r="B2036" i="1"/>
  <c r="F341" i="1" l="1"/>
  <c r="I341" i="1" s="1"/>
  <c r="E342" i="1" s="1"/>
  <c r="C2036" i="1"/>
  <c r="D2036" i="1" s="1"/>
  <c r="B2037" i="1"/>
  <c r="C2037" i="1" l="1"/>
  <c r="D2037" i="1" s="1"/>
  <c r="B2038" i="1"/>
  <c r="G342" i="1" l="1"/>
  <c r="H342" i="1"/>
  <c r="C2038" i="1"/>
  <c r="D2038" i="1" s="1"/>
  <c r="B2039" i="1"/>
  <c r="F342" i="1" l="1"/>
  <c r="I342" i="1" s="1"/>
  <c r="E343" i="1" s="1"/>
  <c r="C2039" i="1"/>
  <c r="D2039" i="1" s="1"/>
  <c r="B2040" i="1"/>
  <c r="C2040" i="1" l="1"/>
  <c r="D2040" i="1" s="1"/>
  <c r="B2041" i="1"/>
  <c r="H343" i="1" l="1"/>
  <c r="G343" i="1"/>
  <c r="B2042" i="1"/>
  <c r="C2041" i="1"/>
  <c r="D2041" i="1" s="1"/>
  <c r="F343" i="1" l="1"/>
  <c r="I343" i="1" s="1"/>
  <c r="E344" i="1" s="1"/>
  <c r="C2042" i="1"/>
  <c r="D2042" i="1" s="1"/>
  <c r="B2043" i="1"/>
  <c r="C2043" i="1" l="1"/>
  <c r="D2043" i="1" s="1"/>
  <c r="B2044" i="1"/>
  <c r="H344" i="1" l="1"/>
  <c r="G344" i="1"/>
  <c r="C2044" i="1"/>
  <c r="D2044" i="1" s="1"/>
  <c r="B2045" i="1"/>
  <c r="F344" i="1" l="1"/>
  <c r="I344" i="1" s="1"/>
  <c r="E345" i="1" s="1"/>
  <c r="C2045" i="1"/>
  <c r="D2045" i="1" s="1"/>
  <c r="B2046" i="1"/>
  <c r="C2046" i="1" l="1"/>
  <c r="D2046" i="1" s="1"/>
  <c r="B2047" i="1"/>
  <c r="H345" i="1" l="1"/>
  <c r="G345" i="1"/>
  <c r="C2047" i="1"/>
  <c r="D2047" i="1" s="1"/>
  <c r="B2048" i="1"/>
  <c r="F345" i="1" l="1"/>
  <c r="I345" i="1" s="1"/>
  <c r="E346" i="1" s="1"/>
  <c r="C2048" i="1"/>
  <c r="D2048" i="1" s="1"/>
  <c r="B2049" i="1"/>
  <c r="C2049" i="1" l="1"/>
  <c r="D2049" i="1" s="1"/>
  <c r="B2050" i="1"/>
  <c r="H346" i="1" l="1"/>
  <c r="G346" i="1"/>
  <c r="C2050" i="1"/>
  <c r="D2050" i="1" s="1"/>
  <c r="B2051" i="1"/>
  <c r="F346" i="1" l="1"/>
  <c r="I346" i="1" s="1"/>
  <c r="E347" i="1" s="1"/>
  <c r="C2051" i="1"/>
  <c r="D2051" i="1" s="1"/>
  <c r="B2052" i="1"/>
  <c r="H347" i="1" l="1"/>
  <c r="C2052" i="1"/>
  <c r="D2052" i="1" s="1"/>
  <c r="B2053" i="1"/>
  <c r="G347" i="1" l="1"/>
  <c r="F347" i="1"/>
  <c r="I347" i="1" s="1"/>
  <c r="E348" i="1" s="1"/>
  <c r="C2053" i="1"/>
  <c r="D2053" i="1" s="1"/>
  <c r="B2054" i="1"/>
  <c r="C2054" i="1" l="1"/>
  <c r="D2054" i="1" s="1"/>
  <c r="B2055" i="1"/>
  <c r="G348" i="1" l="1"/>
  <c r="H348" i="1"/>
  <c r="C2055" i="1"/>
  <c r="D2055" i="1" s="1"/>
  <c r="B2056" i="1"/>
  <c r="F348" i="1" l="1"/>
  <c r="I348" i="1" s="1"/>
  <c r="E349" i="1" s="1"/>
  <c r="C2056" i="1"/>
  <c r="D2056" i="1" s="1"/>
  <c r="B2057" i="1"/>
  <c r="C2057" i="1" l="1"/>
  <c r="D2057" i="1" s="1"/>
  <c r="B2058" i="1"/>
  <c r="H349" i="1" l="1"/>
  <c r="G349" i="1"/>
  <c r="C2058" i="1"/>
  <c r="D2058" i="1" s="1"/>
  <c r="B2059" i="1"/>
  <c r="F349" i="1" l="1"/>
  <c r="I349" i="1" s="1"/>
  <c r="E350" i="1" s="1"/>
  <c r="C2059" i="1"/>
  <c r="D2059" i="1" s="1"/>
  <c r="B2060" i="1"/>
  <c r="C2060" i="1" l="1"/>
  <c r="D2060" i="1" s="1"/>
  <c r="B2061" i="1"/>
  <c r="G350" i="1" l="1"/>
  <c r="H350" i="1"/>
  <c r="C2061" i="1"/>
  <c r="D2061" i="1" s="1"/>
  <c r="B2062" i="1"/>
  <c r="F350" i="1" l="1"/>
  <c r="I350" i="1" s="1"/>
  <c r="E351" i="1" s="1"/>
  <c r="C2062" i="1"/>
  <c r="D2062" i="1" s="1"/>
  <c r="B2063" i="1"/>
  <c r="C2063" i="1" l="1"/>
  <c r="D2063" i="1" s="1"/>
  <c r="B2064" i="1"/>
  <c r="H351" i="1" l="1"/>
  <c r="G351" i="1"/>
  <c r="C2064" i="1"/>
  <c r="D2064" i="1" s="1"/>
  <c r="B2065" i="1"/>
  <c r="F351" i="1" l="1"/>
  <c r="I351" i="1" s="1"/>
  <c r="E352" i="1" s="1"/>
  <c r="B2066" i="1"/>
  <c r="C2065" i="1"/>
  <c r="D2065" i="1" s="1"/>
  <c r="C2066" i="1" l="1"/>
  <c r="D2066" i="1" s="1"/>
  <c r="B2067" i="1"/>
  <c r="G352" i="1" l="1"/>
  <c r="H352" i="1"/>
  <c r="C2067" i="1"/>
  <c r="D2067" i="1" s="1"/>
  <c r="B2068" i="1"/>
  <c r="F352" i="1" l="1"/>
  <c r="I352" i="1" s="1"/>
  <c r="E353" i="1" s="1"/>
  <c r="C2068" i="1"/>
  <c r="D2068" i="1" s="1"/>
  <c r="B2069" i="1"/>
  <c r="B2070" i="1" l="1"/>
  <c r="C2069" i="1"/>
  <c r="D2069" i="1" s="1"/>
  <c r="H353" i="1" l="1"/>
  <c r="G353" i="1"/>
  <c r="C2070" i="1"/>
  <c r="D2070" i="1" s="1"/>
  <c r="B2071" i="1"/>
  <c r="F353" i="1" l="1"/>
  <c r="I353" i="1" s="1"/>
  <c r="E354" i="1" s="1"/>
  <c r="C2071" i="1"/>
  <c r="D2071" i="1" s="1"/>
  <c r="B2072" i="1"/>
  <c r="C2072" i="1" l="1"/>
  <c r="D2072" i="1" s="1"/>
  <c r="B2073" i="1"/>
  <c r="G354" i="1" l="1"/>
  <c r="H354" i="1"/>
  <c r="C2073" i="1"/>
  <c r="D2073" i="1" s="1"/>
  <c r="B2074" i="1"/>
  <c r="F354" i="1" l="1"/>
  <c r="I354" i="1" s="1"/>
  <c r="E355" i="1" s="1"/>
  <c r="C2074" i="1"/>
  <c r="D2074" i="1" s="1"/>
  <c r="B2075" i="1"/>
  <c r="C2075" i="1" l="1"/>
  <c r="D2075" i="1" s="1"/>
  <c r="B2076" i="1"/>
  <c r="H355" i="1" l="1"/>
  <c r="G355" i="1"/>
  <c r="C2076" i="1"/>
  <c r="D2076" i="1" s="1"/>
  <c r="B2077" i="1"/>
  <c r="F355" i="1" l="1"/>
  <c r="I355" i="1" s="1"/>
  <c r="E356" i="1" s="1"/>
  <c r="C2077" i="1"/>
  <c r="D2077" i="1" s="1"/>
  <c r="B2078" i="1"/>
  <c r="C2078" i="1" l="1"/>
  <c r="D2078" i="1" s="1"/>
  <c r="B2079" i="1"/>
  <c r="H356" i="1" l="1"/>
  <c r="G356" i="1"/>
  <c r="C2079" i="1"/>
  <c r="D2079" i="1" s="1"/>
  <c r="B2080" i="1"/>
  <c r="F356" i="1" l="1"/>
  <c r="I356" i="1" s="1"/>
  <c r="E357" i="1" s="1"/>
  <c r="C2080" i="1"/>
  <c r="D2080" i="1" s="1"/>
  <c r="B2081" i="1"/>
  <c r="C2081" i="1" l="1"/>
  <c r="D2081" i="1" s="1"/>
  <c r="B2082" i="1"/>
  <c r="G357" i="1" l="1"/>
  <c r="H357" i="1"/>
  <c r="C2082" i="1"/>
  <c r="D2082" i="1" s="1"/>
  <c r="B2083" i="1"/>
  <c r="F357" i="1" l="1"/>
  <c r="C2083" i="1"/>
  <c r="D2083" i="1" s="1"/>
  <c r="B2084" i="1"/>
  <c r="I357" i="1" l="1"/>
  <c r="E358" i="1" s="1"/>
  <c r="C2084" i="1"/>
  <c r="D2084" i="1" s="1"/>
  <c r="B2085" i="1"/>
  <c r="H358" i="1" l="1"/>
  <c r="G358" i="1"/>
  <c r="F358" i="1"/>
  <c r="C2085" i="1"/>
  <c r="D2085" i="1" s="1"/>
  <c r="B2086" i="1"/>
  <c r="I358" i="1" l="1"/>
  <c r="E359" i="1" s="1"/>
  <c r="C2086" i="1"/>
  <c r="D2086" i="1" s="1"/>
  <c r="B2087" i="1"/>
  <c r="H359" i="1" l="1"/>
  <c r="G359" i="1"/>
  <c r="C2087" i="1"/>
  <c r="D2087" i="1" s="1"/>
  <c r="B2088" i="1"/>
  <c r="F359" i="1" l="1"/>
  <c r="I359" i="1" s="1"/>
  <c r="E360" i="1" s="1"/>
  <c r="C2088" i="1"/>
  <c r="D2088" i="1" s="1"/>
  <c r="B2089" i="1"/>
  <c r="C2089" i="1" l="1"/>
  <c r="D2089" i="1" s="1"/>
  <c r="B2090" i="1"/>
  <c r="G360" i="1" l="1"/>
  <c r="H360" i="1"/>
  <c r="C2090" i="1"/>
  <c r="D2090" i="1" s="1"/>
  <c r="B2091" i="1"/>
  <c r="F360" i="1" l="1"/>
  <c r="C2091" i="1"/>
  <c r="D2091" i="1" s="1"/>
  <c r="B2092" i="1"/>
  <c r="I360" i="1" l="1"/>
  <c r="E361" i="1" s="1"/>
  <c r="C2092" i="1"/>
  <c r="D2092" i="1" s="1"/>
  <c r="B2093" i="1"/>
  <c r="G361" i="1" l="1"/>
  <c r="H361" i="1"/>
  <c r="F361" i="1" s="1"/>
  <c r="C2093" i="1"/>
  <c r="D2093" i="1" s="1"/>
  <c r="B2094" i="1"/>
  <c r="I361" i="1" l="1"/>
  <c r="E362" i="1" s="1"/>
  <c r="C2094" i="1"/>
  <c r="D2094" i="1" s="1"/>
  <c r="B2095" i="1"/>
  <c r="G362" i="1" l="1"/>
  <c r="H362" i="1"/>
  <c r="C2095" i="1"/>
  <c r="D2095" i="1" s="1"/>
  <c r="B2096" i="1"/>
  <c r="F362" i="1" l="1"/>
  <c r="I362" i="1" s="1"/>
  <c r="E363" i="1" s="1"/>
  <c r="C2096" i="1"/>
  <c r="D2096" i="1" s="1"/>
  <c r="B2097" i="1"/>
  <c r="C2097" i="1" l="1"/>
  <c r="D2097" i="1" s="1"/>
  <c r="B2098" i="1"/>
  <c r="G363" i="1" l="1"/>
  <c r="H363" i="1"/>
  <c r="C2098" i="1"/>
  <c r="D2098" i="1" s="1"/>
  <c r="B2099" i="1"/>
  <c r="F363" i="1" l="1"/>
  <c r="C2099" i="1"/>
  <c r="D2099" i="1" s="1"/>
  <c r="B2100" i="1"/>
  <c r="I363" i="1" l="1"/>
  <c r="E364" i="1" s="1"/>
  <c r="C2100" i="1"/>
  <c r="D2100" i="1" s="1"/>
  <c r="B2101" i="1"/>
  <c r="G364" i="1" l="1"/>
  <c r="H364" i="1"/>
  <c r="F364" i="1" s="1"/>
  <c r="C2101" i="1"/>
  <c r="D2101" i="1" s="1"/>
  <c r="B2102" i="1"/>
  <c r="I364" i="1" l="1"/>
  <c r="E365" i="1" s="1"/>
  <c r="C2102" i="1"/>
  <c r="D2102" i="1" s="1"/>
  <c r="B2103" i="1"/>
  <c r="H365" i="1" l="1"/>
  <c r="G365" i="1"/>
  <c r="C2103" i="1"/>
  <c r="D2103" i="1" s="1"/>
  <c r="B2104" i="1"/>
  <c r="F365" i="1" l="1"/>
  <c r="I365" i="1" s="1"/>
  <c r="E366" i="1" s="1"/>
  <c r="C2104" i="1"/>
  <c r="D2104" i="1" s="1"/>
  <c r="B2105" i="1"/>
  <c r="C2105" i="1" l="1"/>
  <c r="D2105" i="1" s="1"/>
  <c r="B2106" i="1"/>
  <c r="G366" i="1" l="1"/>
  <c r="H366" i="1"/>
  <c r="C2106" i="1"/>
  <c r="D2106" i="1" s="1"/>
  <c r="B2107" i="1"/>
  <c r="F366" i="1" l="1"/>
  <c r="I366" i="1" s="1"/>
  <c r="E367" i="1" s="1"/>
  <c r="C2107" i="1"/>
  <c r="D2107" i="1" s="1"/>
  <c r="B2108" i="1"/>
  <c r="C2108" i="1" l="1"/>
  <c r="D2108" i="1" s="1"/>
  <c r="B2109" i="1"/>
  <c r="H367" i="1" l="1"/>
  <c r="G367" i="1"/>
  <c r="C2109" i="1"/>
  <c r="D2109" i="1" s="1"/>
  <c r="B2110" i="1"/>
  <c r="F367" i="1" l="1"/>
  <c r="I367" i="1" s="1"/>
  <c r="E368" i="1" s="1"/>
  <c r="C2110" i="1"/>
  <c r="D2110" i="1" s="1"/>
  <c r="B2111" i="1"/>
  <c r="C2111" i="1" l="1"/>
  <c r="D2111" i="1" s="1"/>
  <c r="B2112" i="1"/>
  <c r="H368" i="1" l="1"/>
  <c r="G368" i="1"/>
  <c r="C2112" i="1"/>
  <c r="D2112" i="1" s="1"/>
  <c r="B2113" i="1"/>
  <c r="F368" i="1" l="1"/>
  <c r="I368" i="1" s="1"/>
  <c r="E369" i="1" s="1"/>
  <c r="B2114" i="1"/>
  <c r="C2113" i="1"/>
  <c r="D2113" i="1" s="1"/>
  <c r="C2114" i="1" l="1"/>
  <c r="D2114" i="1" s="1"/>
  <c r="B2115" i="1"/>
  <c r="G369" i="1" l="1"/>
  <c r="H369" i="1"/>
  <c r="C2115" i="1"/>
  <c r="D2115" i="1" s="1"/>
  <c r="B2116" i="1"/>
  <c r="F369" i="1" l="1"/>
  <c r="I369" i="1" s="1"/>
  <c r="E370" i="1" s="1"/>
  <c r="C2116" i="1"/>
  <c r="D2116" i="1" s="1"/>
  <c r="B2117" i="1"/>
  <c r="C2117" i="1" l="1"/>
  <c r="D2117" i="1" s="1"/>
  <c r="B2118" i="1"/>
  <c r="H370" i="1" l="1"/>
  <c r="G370" i="1"/>
  <c r="C2118" i="1"/>
  <c r="D2118" i="1" s="1"/>
  <c r="B2119" i="1"/>
  <c r="F370" i="1" l="1"/>
  <c r="I370" i="1" s="1"/>
  <c r="E371" i="1" s="1"/>
  <c r="C2119" i="1"/>
  <c r="D2119" i="1" s="1"/>
  <c r="B2120" i="1"/>
  <c r="C2120" i="1" l="1"/>
  <c r="D2120" i="1" s="1"/>
  <c r="B2121" i="1"/>
  <c r="H371" i="1" l="1"/>
  <c r="G371" i="1"/>
  <c r="C2121" i="1"/>
  <c r="D2121" i="1" s="1"/>
  <c r="B2122" i="1"/>
  <c r="F371" i="1" l="1"/>
  <c r="C2122" i="1"/>
  <c r="D2122" i="1" s="1"/>
  <c r="B2123" i="1"/>
  <c r="I371" i="1" l="1"/>
  <c r="E372" i="1" s="1"/>
  <c r="C2123" i="1"/>
  <c r="D2123" i="1" s="1"/>
  <c r="B2124" i="1"/>
  <c r="H372" i="1" l="1"/>
  <c r="F372" i="1" s="1"/>
  <c r="G372" i="1"/>
  <c r="C2124" i="1"/>
  <c r="D2124" i="1" s="1"/>
  <c r="B2125" i="1"/>
  <c r="I372" i="1" l="1"/>
  <c r="E373" i="1" s="1"/>
  <c r="C2125" i="1"/>
  <c r="D2125" i="1" s="1"/>
  <c r="B2126" i="1"/>
  <c r="H373" i="1" l="1"/>
  <c r="F373" i="1" s="1"/>
  <c r="G373" i="1"/>
  <c r="C2126" i="1"/>
  <c r="D2126" i="1" s="1"/>
  <c r="B2127" i="1"/>
  <c r="I373" i="1" l="1"/>
  <c r="E374" i="1" s="1"/>
  <c r="C2127" i="1"/>
  <c r="D2127" i="1" s="1"/>
  <c r="B2128" i="1"/>
  <c r="H374" i="1" l="1"/>
  <c r="F374" i="1" s="1"/>
  <c r="G374" i="1"/>
  <c r="C2128" i="1"/>
  <c r="D2128" i="1" s="1"/>
  <c r="B2129" i="1"/>
  <c r="I374" i="1" l="1"/>
  <c r="E375" i="1" s="1"/>
  <c r="C2129" i="1"/>
  <c r="D2129" i="1" s="1"/>
  <c r="B2130" i="1"/>
  <c r="G375" i="1" l="1"/>
  <c r="H375" i="1"/>
  <c r="F375" i="1" s="1"/>
  <c r="C2130" i="1"/>
  <c r="D2130" i="1" s="1"/>
  <c r="B2131" i="1"/>
  <c r="I375" i="1" l="1"/>
  <c r="E376" i="1" s="1"/>
  <c r="C2131" i="1"/>
  <c r="D2131" i="1" s="1"/>
  <c r="B2132" i="1"/>
  <c r="G376" i="1" l="1"/>
  <c r="H376" i="1"/>
  <c r="C2132" i="1"/>
  <c r="D2132" i="1" s="1"/>
  <c r="B2133" i="1"/>
  <c r="F376" i="1" l="1"/>
  <c r="I376" i="1" s="1"/>
  <c r="E377" i="1" s="1"/>
  <c r="C2133" i="1"/>
  <c r="D2133" i="1" s="1"/>
  <c r="B2134" i="1"/>
  <c r="C2134" i="1" l="1"/>
  <c r="D2134" i="1" s="1"/>
  <c r="B2135" i="1"/>
  <c r="H377" i="1" l="1"/>
  <c r="G377" i="1"/>
  <c r="C2135" i="1"/>
  <c r="D2135" i="1" s="1"/>
  <c r="B2136" i="1"/>
  <c r="F377" i="1" l="1"/>
  <c r="C2136" i="1"/>
  <c r="D2136" i="1" s="1"/>
  <c r="B2137" i="1"/>
  <c r="I377" i="1" l="1"/>
  <c r="E378" i="1" s="1"/>
  <c r="C2137" i="1"/>
  <c r="D2137" i="1" s="1"/>
  <c r="B2138" i="1"/>
  <c r="H378" i="1" l="1"/>
  <c r="G378" i="1"/>
  <c r="F378" i="1"/>
  <c r="C2138" i="1"/>
  <c r="D2138" i="1" s="1"/>
  <c r="B2139" i="1"/>
  <c r="I378" i="1" l="1"/>
  <c r="E379" i="1" s="1"/>
  <c r="C2139" i="1"/>
  <c r="D2139" i="1" s="1"/>
  <c r="B2140" i="1"/>
  <c r="H379" i="1" l="1"/>
  <c r="G379" i="1"/>
  <c r="C2140" i="1"/>
  <c r="D2140" i="1" s="1"/>
  <c r="B2141" i="1"/>
  <c r="F379" i="1" l="1"/>
  <c r="C2141" i="1"/>
  <c r="D2141" i="1" s="1"/>
  <c r="B2142" i="1"/>
  <c r="I379" i="1" l="1"/>
  <c r="E380" i="1" s="1"/>
  <c r="C2142" i="1"/>
  <c r="D2142" i="1" s="1"/>
  <c r="B2143" i="1"/>
  <c r="E5" i="2" l="1"/>
  <c r="H380" i="1"/>
  <c r="G380" i="1"/>
  <c r="F380" i="1"/>
  <c r="C2143" i="1"/>
  <c r="D2143" i="1" s="1"/>
  <c r="B2144" i="1"/>
  <c r="F5" i="2"/>
  <c r="G5" i="2"/>
  <c r="J5" i="2" l="1"/>
  <c r="K5" i="2" s="1"/>
  <c r="I5" i="2"/>
  <c r="I380" i="1"/>
  <c r="E381" i="1" s="1"/>
  <c r="C2144" i="1"/>
  <c r="D2144" i="1" s="1"/>
  <c r="B2145" i="1"/>
  <c r="G381" i="1" l="1"/>
  <c r="H381" i="1"/>
  <c r="C2145" i="1"/>
  <c r="D2145" i="1" s="1"/>
  <c r="B2146" i="1"/>
  <c r="F381" i="1" l="1"/>
  <c r="I381" i="1" s="1"/>
  <c r="E382" i="1" s="1"/>
  <c r="C2146" i="1"/>
  <c r="D2146" i="1" s="1"/>
  <c r="B2147" i="1"/>
  <c r="C2147" i="1" l="1"/>
  <c r="D2147" i="1" s="1"/>
  <c r="B2148" i="1"/>
  <c r="G382" i="1" l="1"/>
  <c r="H382" i="1"/>
  <c r="C2148" i="1"/>
  <c r="D2148" i="1" s="1"/>
  <c r="B2149" i="1"/>
  <c r="F382" i="1" l="1"/>
  <c r="I382" i="1" s="1"/>
  <c r="E383" i="1" s="1"/>
  <c r="C2149" i="1"/>
  <c r="D2149" i="1" s="1"/>
  <c r="B2150" i="1"/>
  <c r="C2150" i="1" l="1"/>
  <c r="D2150" i="1" s="1"/>
  <c r="B2151" i="1"/>
  <c r="H383" i="1" l="1"/>
  <c r="G383" i="1"/>
  <c r="C2151" i="1"/>
  <c r="D2151" i="1" s="1"/>
  <c r="B2152" i="1"/>
  <c r="F383" i="1" l="1"/>
  <c r="C2152" i="1"/>
  <c r="D2152" i="1" s="1"/>
  <c r="B2153" i="1"/>
  <c r="I383" i="1" l="1"/>
  <c r="E384" i="1" s="1"/>
  <c r="C2153" i="1"/>
  <c r="D2153" i="1" s="1"/>
  <c r="B2154" i="1"/>
  <c r="G384" i="1" l="1"/>
  <c r="H384" i="1"/>
  <c r="F384" i="1" s="1"/>
  <c r="C2154" i="1"/>
  <c r="D2154" i="1" s="1"/>
  <c r="B2155" i="1"/>
  <c r="I384" i="1" l="1"/>
  <c r="E385" i="1" s="1"/>
  <c r="C2155" i="1"/>
  <c r="D2155" i="1" s="1"/>
  <c r="B2156" i="1"/>
  <c r="H385" i="1" l="1"/>
  <c r="G385" i="1"/>
  <c r="C2156" i="1"/>
  <c r="D2156" i="1" s="1"/>
  <c r="B2157" i="1"/>
  <c r="F385" i="1" l="1"/>
  <c r="I385" i="1" s="1"/>
  <c r="E386" i="1" s="1"/>
  <c r="C2157" i="1"/>
  <c r="D2157" i="1" s="1"/>
  <c r="B2158" i="1"/>
  <c r="C2158" i="1" l="1"/>
  <c r="D2158" i="1" s="1"/>
  <c r="B2159" i="1"/>
  <c r="G386" i="1" l="1"/>
  <c r="H386" i="1"/>
  <c r="C2159" i="1"/>
  <c r="D2159" i="1" s="1"/>
  <c r="B2160" i="1"/>
  <c r="F386" i="1" l="1"/>
  <c r="I386" i="1" s="1"/>
  <c r="E387" i="1" s="1"/>
  <c r="C2160" i="1"/>
  <c r="D2160" i="1" s="1"/>
  <c r="B2161" i="1"/>
  <c r="C2161" i="1" l="1"/>
  <c r="D2161" i="1" s="1"/>
  <c r="B2162" i="1"/>
  <c r="H387" i="1" l="1"/>
  <c r="G387" i="1"/>
  <c r="C2162" i="1"/>
  <c r="D2162" i="1" s="1"/>
  <c r="B2163" i="1"/>
  <c r="F387" i="1" l="1"/>
  <c r="I387" i="1" s="1"/>
  <c r="E388" i="1" s="1"/>
  <c r="C2163" i="1"/>
  <c r="D2163" i="1" s="1"/>
  <c r="B2164" i="1"/>
  <c r="C2164" i="1" l="1"/>
  <c r="D2164" i="1" s="1"/>
  <c r="B2165" i="1"/>
  <c r="H388" i="1" l="1"/>
  <c r="G388" i="1"/>
  <c r="B2166" i="1"/>
  <c r="C2165" i="1"/>
  <c r="D2165" i="1" s="1"/>
  <c r="F388" i="1" l="1"/>
  <c r="I388" i="1" s="1"/>
  <c r="E389" i="1" s="1"/>
  <c r="C2166" i="1"/>
  <c r="D2166" i="1" s="1"/>
  <c r="B2167" i="1"/>
  <c r="C2167" i="1" l="1"/>
  <c r="D2167" i="1" s="1"/>
  <c r="B2168" i="1"/>
  <c r="G389" i="1" l="1"/>
  <c r="H389" i="1"/>
  <c r="C2168" i="1"/>
  <c r="D2168" i="1" s="1"/>
  <c r="B2169" i="1"/>
  <c r="F389" i="1" l="1"/>
  <c r="C2169" i="1"/>
  <c r="D2169" i="1" s="1"/>
  <c r="B2170" i="1"/>
  <c r="I389" i="1" l="1"/>
  <c r="E390" i="1" s="1"/>
  <c r="C2170" i="1"/>
  <c r="D2170" i="1" s="1"/>
  <c r="B2171" i="1"/>
  <c r="G390" i="1" l="1"/>
  <c r="H390" i="1"/>
  <c r="C2171" i="1"/>
  <c r="D2171" i="1" s="1"/>
  <c r="B2172" i="1"/>
  <c r="F390" i="1" l="1"/>
  <c r="I390" i="1" s="1"/>
  <c r="E391" i="1" s="1"/>
  <c r="C2172" i="1"/>
  <c r="D2172" i="1" s="1"/>
  <c r="B2173" i="1"/>
  <c r="H391" i="1" l="1"/>
  <c r="G391" i="1"/>
  <c r="C2173" i="1"/>
  <c r="D2173" i="1" s="1"/>
  <c r="B2174" i="1"/>
  <c r="F391" i="1" l="1"/>
  <c r="I391" i="1" s="1"/>
  <c r="E392" i="1" s="1"/>
  <c r="C2174" i="1"/>
  <c r="D2174" i="1" s="1"/>
  <c r="B2175" i="1"/>
  <c r="C2175" i="1" l="1"/>
  <c r="D2175" i="1" s="1"/>
  <c r="B2176" i="1"/>
  <c r="H392" i="1" l="1"/>
  <c r="G392" i="1"/>
  <c r="C2176" i="1"/>
  <c r="D2176" i="1" s="1"/>
  <c r="B2177" i="1"/>
  <c r="F392" i="1" l="1"/>
  <c r="I392" i="1" s="1"/>
  <c r="E393" i="1" s="1"/>
  <c r="B2178" i="1"/>
  <c r="C2177" i="1"/>
  <c r="D2177" i="1" s="1"/>
  <c r="C2178" i="1" l="1"/>
  <c r="D2178" i="1" s="1"/>
  <c r="B2179" i="1"/>
  <c r="H393" i="1" l="1"/>
  <c r="G393" i="1"/>
  <c r="C2179" i="1"/>
  <c r="D2179" i="1" s="1"/>
  <c r="B2180" i="1"/>
  <c r="F393" i="1" l="1"/>
  <c r="I393" i="1" s="1"/>
  <c r="E394" i="1" s="1"/>
  <c r="C2180" i="1"/>
  <c r="D2180" i="1" s="1"/>
  <c r="B2181" i="1"/>
  <c r="C2181" i="1" l="1"/>
  <c r="D2181" i="1" s="1"/>
  <c r="B2182" i="1"/>
  <c r="H394" i="1" l="1"/>
  <c r="G394" i="1"/>
  <c r="C2182" i="1"/>
  <c r="D2182" i="1" s="1"/>
  <c r="B2183" i="1"/>
  <c r="F394" i="1" l="1"/>
  <c r="I394" i="1" s="1"/>
  <c r="E395" i="1" s="1"/>
  <c r="C2183" i="1"/>
  <c r="D2183" i="1" s="1"/>
  <c r="B2184" i="1"/>
  <c r="C2184" i="1" l="1"/>
  <c r="D2184" i="1" s="1"/>
  <c r="B2185" i="1"/>
  <c r="G395" i="1" l="1"/>
  <c r="H395" i="1"/>
  <c r="C2185" i="1"/>
  <c r="D2185" i="1" s="1"/>
  <c r="B2186" i="1"/>
  <c r="F395" i="1" l="1"/>
  <c r="I395" i="1" s="1"/>
  <c r="E396" i="1" s="1"/>
  <c r="C2186" i="1"/>
  <c r="D2186" i="1" s="1"/>
  <c r="B2187" i="1"/>
  <c r="B2188" i="1" l="1"/>
  <c r="C2187" i="1"/>
  <c r="D2187" i="1" s="1"/>
  <c r="G396" i="1" l="1"/>
  <c r="H396" i="1"/>
  <c r="C2188" i="1"/>
  <c r="D2188" i="1" s="1"/>
  <c r="B2189" i="1"/>
  <c r="F396" i="1" l="1"/>
  <c r="I396" i="1" s="1"/>
  <c r="E397" i="1" s="1"/>
  <c r="B2190" i="1"/>
  <c r="C2189" i="1"/>
  <c r="D2189" i="1" s="1"/>
  <c r="C2190" i="1" l="1"/>
  <c r="D2190" i="1" s="1"/>
  <c r="B2191" i="1"/>
  <c r="H397" i="1" l="1"/>
  <c r="G397" i="1"/>
  <c r="C2191" i="1"/>
  <c r="D2191" i="1" s="1"/>
  <c r="B2192" i="1"/>
  <c r="F397" i="1" l="1"/>
  <c r="I397" i="1" s="1"/>
  <c r="E398" i="1" s="1"/>
  <c r="C2192" i="1"/>
  <c r="D2192" i="1" s="1"/>
  <c r="B2193" i="1"/>
  <c r="C2193" i="1" l="1"/>
  <c r="D2193" i="1" s="1"/>
  <c r="B2194" i="1"/>
  <c r="G398" i="1" l="1"/>
  <c r="H398" i="1"/>
  <c r="C2194" i="1"/>
  <c r="D2194" i="1" s="1"/>
  <c r="B2195" i="1"/>
  <c r="F398" i="1" l="1"/>
  <c r="I398" i="1" s="1"/>
  <c r="E399" i="1" s="1"/>
  <c r="C2195" i="1"/>
  <c r="D2195" i="1" s="1"/>
  <c r="B2196" i="1"/>
  <c r="C2196" i="1" l="1"/>
  <c r="D2196" i="1" s="1"/>
  <c r="B2197" i="1"/>
  <c r="H399" i="1" l="1"/>
  <c r="G399" i="1"/>
  <c r="B2198" i="1"/>
  <c r="C2197" i="1"/>
  <c r="D2197" i="1" s="1"/>
  <c r="F399" i="1" l="1"/>
  <c r="I399" i="1" s="1"/>
  <c r="E400" i="1" s="1"/>
  <c r="C2198" i="1"/>
  <c r="D2198" i="1" s="1"/>
  <c r="B2199" i="1"/>
  <c r="C2199" i="1" l="1"/>
  <c r="D2199" i="1" s="1"/>
  <c r="B2200" i="1"/>
  <c r="G400" i="1" l="1"/>
  <c r="H400" i="1"/>
  <c r="C2200" i="1"/>
  <c r="D2200" i="1" s="1"/>
  <c r="B2201" i="1"/>
  <c r="F400" i="1" l="1"/>
  <c r="I400" i="1" s="1"/>
  <c r="E401" i="1" s="1"/>
  <c r="C2201" i="1"/>
  <c r="D2201" i="1" s="1"/>
  <c r="B2202" i="1"/>
  <c r="C2202" i="1" l="1"/>
  <c r="D2202" i="1" s="1"/>
  <c r="B2203" i="1"/>
  <c r="H401" i="1" l="1"/>
  <c r="G401" i="1"/>
  <c r="C2203" i="1"/>
  <c r="D2203" i="1" s="1"/>
  <c r="B2204" i="1"/>
  <c r="F401" i="1" l="1"/>
  <c r="I401" i="1" s="1"/>
  <c r="E402" i="1" s="1"/>
  <c r="C2204" i="1"/>
  <c r="D2204" i="1" s="1"/>
  <c r="B2205" i="1"/>
  <c r="C2205" i="1" l="1"/>
  <c r="D2205" i="1" s="1"/>
  <c r="B2206" i="1"/>
  <c r="H402" i="1" l="1"/>
  <c r="G402" i="1"/>
  <c r="C2206" i="1"/>
  <c r="D2206" i="1" s="1"/>
  <c r="B2207" i="1"/>
  <c r="F402" i="1" l="1"/>
  <c r="C2207" i="1"/>
  <c r="D2207" i="1" s="1"/>
  <c r="B2208" i="1"/>
  <c r="I402" i="1" l="1"/>
  <c r="E403" i="1" s="1"/>
  <c r="B2209" i="1"/>
  <c r="C2208" i="1"/>
  <c r="D2208" i="1" s="1"/>
  <c r="G403" i="1" l="1"/>
  <c r="H403" i="1"/>
  <c r="F403" i="1" s="1"/>
  <c r="C2209" i="1"/>
  <c r="D2209" i="1" s="1"/>
  <c r="B2210" i="1"/>
  <c r="I403" i="1" l="1"/>
  <c r="E404" i="1" s="1"/>
  <c r="G404" i="1" s="1"/>
  <c r="C2210" i="1"/>
  <c r="D2210" i="1" s="1"/>
  <c r="B2211" i="1"/>
  <c r="H404" i="1" l="1"/>
  <c r="F404" i="1" s="1"/>
  <c r="I404" i="1" s="1"/>
  <c r="E405" i="1" s="1"/>
  <c r="C2211" i="1"/>
  <c r="D2211" i="1" s="1"/>
  <c r="B2212" i="1"/>
  <c r="C2212" i="1" l="1"/>
  <c r="D2212" i="1" s="1"/>
  <c r="B2213" i="1"/>
  <c r="G405" i="1" l="1"/>
  <c r="H405" i="1"/>
  <c r="C2213" i="1"/>
  <c r="D2213" i="1" s="1"/>
  <c r="B2214" i="1"/>
  <c r="F405" i="1" l="1"/>
  <c r="I405" i="1" s="1"/>
  <c r="E406" i="1" s="1"/>
  <c r="C2214" i="1"/>
  <c r="D2214" i="1" s="1"/>
  <c r="B2215" i="1"/>
  <c r="C2215" i="1" l="1"/>
  <c r="D2215" i="1" s="1"/>
  <c r="B2216" i="1"/>
  <c r="H406" i="1" l="1"/>
  <c r="G406" i="1"/>
  <c r="C2216" i="1"/>
  <c r="D2216" i="1" s="1"/>
  <c r="B2217" i="1"/>
  <c r="F406" i="1" l="1"/>
  <c r="I406" i="1" s="1"/>
  <c r="E407" i="1" s="1"/>
  <c r="C2217" i="1"/>
  <c r="D2217" i="1" s="1"/>
  <c r="B2218" i="1"/>
  <c r="C2218" i="1" l="1"/>
  <c r="D2218" i="1" s="1"/>
  <c r="B2219" i="1"/>
  <c r="H407" i="1" l="1"/>
  <c r="G407" i="1"/>
  <c r="C2219" i="1"/>
  <c r="D2219" i="1" s="1"/>
  <c r="B2220" i="1"/>
  <c r="F407" i="1" l="1"/>
  <c r="I407" i="1" s="1"/>
  <c r="E408" i="1" s="1"/>
  <c r="C2220" i="1"/>
  <c r="D2220" i="1" s="1"/>
  <c r="B2221" i="1"/>
  <c r="C2221" i="1" l="1"/>
  <c r="D2221" i="1" s="1"/>
  <c r="B2222" i="1"/>
  <c r="G408" i="1" l="1"/>
  <c r="H408" i="1"/>
  <c r="C2222" i="1"/>
  <c r="D2222" i="1" s="1"/>
  <c r="B2223" i="1"/>
  <c r="F408" i="1" l="1"/>
  <c r="I408" i="1" s="1"/>
  <c r="E409" i="1" s="1"/>
  <c r="C2223" i="1"/>
  <c r="D2223" i="1" s="1"/>
  <c r="B2224" i="1"/>
  <c r="C2224" i="1" l="1"/>
  <c r="D2224" i="1" s="1"/>
  <c r="B2225" i="1"/>
  <c r="H409" i="1" l="1"/>
  <c r="G409" i="1"/>
  <c r="C2225" i="1"/>
  <c r="D2225" i="1" s="1"/>
  <c r="B2226" i="1"/>
  <c r="F409" i="1" l="1"/>
  <c r="I409" i="1" s="1"/>
  <c r="E410" i="1" s="1"/>
  <c r="C2226" i="1"/>
  <c r="D2226" i="1" s="1"/>
  <c r="B2227" i="1"/>
  <c r="H410" i="1" l="1"/>
  <c r="G410" i="1"/>
  <c r="C2227" i="1"/>
  <c r="D2227" i="1" s="1"/>
  <c r="B2228" i="1"/>
  <c r="F410" i="1" l="1"/>
  <c r="I410" i="1" s="1"/>
  <c r="E411" i="1" s="1"/>
  <c r="C2228" i="1"/>
  <c r="D2228" i="1" s="1"/>
  <c r="B2229" i="1"/>
  <c r="C2229" i="1" l="1"/>
  <c r="D2229" i="1" s="1"/>
  <c r="B2230" i="1"/>
  <c r="H411" i="1" l="1"/>
  <c r="G411" i="1"/>
  <c r="C2230" i="1"/>
  <c r="D2230" i="1" s="1"/>
  <c r="B2231" i="1"/>
  <c r="F411" i="1" l="1"/>
  <c r="I411" i="1" s="1"/>
  <c r="E412" i="1" s="1"/>
  <c r="C2231" i="1"/>
  <c r="D2231" i="1" s="1"/>
  <c r="B2232" i="1"/>
  <c r="C2232" i="1" l="1"/>
  <c r="D2232" i="1" s="1"/>
  <c r="B2233" i="1"/>
  <c r="G412" i="1" l="1"/>
  <c r="H412" i="1"/>
  <c r="C2233" i="1"/>
  <c r="D2233" i="1" s="1"/>
  <c r="B2234" i="1"/>
  <c r="F412" i="1" l="1"/>
  <c r="I412" i="1" s="1"/>
  <c r="E413" i="1" s="1"/>
  <c r="C2234" i="1"/>
  <c r="D2234" i="1" s="1"/>
  <c r="B2235" i="1"/>
  <c r="C2235" i="1" l="1"/>
  <c r="D2235" i="1" s="1"/>
  <c r="B2236" i="1"/>
  <c r="H413" i="1" l="1"/>
  <c r="G413" i="1"/>
  <c r="C2236" i="1"/>
  <c r="D2236" i="1" s="1"/>
  <c r="B2237" i="1"/>
  <c r="F413" i="1" l="1"/>
  <c r="I413" i="1" s="1"/>
  <c r="E414" i="1" s="1"/>
  <c r="C2237" i="1"/>
  <c r="D2237" i="1" s="1"/>
  <c r="B2238" i="1"/>
  <c r="H414" i="1" l="1"/>
  <c r="G414" i="1"/>
  <c r="C2238" i="1"/>
  <c r="D2238" i="1" s="1"/>
  <c r="B2239" i="1"/>
  <c r="F414" i="1" l="1"/>
  <c r="C2239" i="1"/>
  <c r="D2239" i="1" s="1"/>
  <c r="B2240" i="1"/>
  <c r="I414" i="1" l="1"/>
  <c r="E415" i="1" s="1"/>
  <c r="C2240" i="1"/>
  <c r="D2240" i="1" s="1"/>
  <c r="B2241" i="1"/>
  <c r="H415" i="1" l="1"/>
  <c r="G415" i="1"/>
  <c r="F415" i="1"/>
  <c r="C2241" i="1"/>
  <c r="D2241" i="1" s="1"/>
  <c r="B2242" i="1"/>
  <c r="I415" i="1" l="1"/>
  <c r="E416" i="1" s="1"/>
  <c r="C2242" i="1"/>
  <c r="D2242" i="1" s="1"/>
  <c r="B2243" i="1"/>
  <c r="H416" i="1" l="1"/>
  <c r="G416" i="1"/>
  <c r="C2243" i="1"/>
  <c r="D2243" i="1" s="1"/>
  <c r="B2244" i="1"/>
  <c r="F416" i="1" l="1"/>
  <c r="I416" i="1" s="1"/>
  <c r="E417" i="1" s="1"/>
  <c r="C2244" i="1"/>
  <c r="D2244" i="1" s="1"/>
  <c r="B2245" i="1"/>
  <c r="C2245" i="1" l="1"/>
  <c r="D2245" i="1" s="1"/>
  <c r="B2246" i="1"/>
  <c r="G417" i="1" l="1"/>
  <c r="H417" i="1"/>
  <c r="C2246" i="1"/>
  <c r="D2246" i="1" s="1"/>
  <c r="B2247" i="1"/>
  <c r="F417" i="1" l="1"/>
  <c r="I417" i="1" s="1"/>
  <c r="E418" i="1" s="1"/>
  <c r="C2247" i="1"/>
  <c r="D2247" i="1" s="1"/>
  <c r="B2248" i="1"/>
  <c r="C2248" i="1" l="1"/>
  <c r="D2248" i="1" s="1"/>
  <c r="B2249" i="1"/>
  <c r="G418" i="1" l="1"/>
  <c r="H418" i="1"/>
  <c r="C2249" i="1"/>
  <c r="D2249" i="1" s="1"/>
  <c r="B2250" i="1"/>
  <c r="F418" i="1" l="1"/>
  <c r="I418" i="1" s="1"/>
  <c r="E419" i="1" s="1"/>
  <c r="C2250" i="1"/>
  <c r="D2250" i="1" s="1"/>
  <c r="B2251" i="1"/>
  <c r="C2251" i="1" l="1"/>
  <c r="D2251" i="1" s="1"/>
  <c r="B2252" i="1"/>
  <c r="H419" i="1" l="1"/>
  <c r="G419" i="1"/>
  <c r="C2252" i="1"/>
  <c r="D2252" i="1" s="1"/>
  <c r="B2253" i="1"/>
  <c r="F419" i="1" l="1"/>
  <c r="I419" i="1" s="1"/>
  <c r="E420" i="1" s="1"/>
  <c r="C2253" i="1"/>
  <c r="D2253" i="1" s="1"/>
  <c r="B2254" i="1"/>
  <c r="C2254" i="1" l="1"/>
  <c r="D2254" i="1" s="1"/>
  <c r="B2255" i="1"/>
  <c r="H420" i="1" l="1"/>
  <c r="G420" i="1"/>
  <c r="C2255" i="1"/>
  <c r="D2255" i="1" s="1"/>
  <c r="B2256" i="1"/>
  <c r="F420" i="1" l="1"/>
  <c r="I420" i="1" s="1"/>
  <c r="E421" i="1" s="1"/>
  <c r="C2256" i="1"/>
  <c r="D2256" i="1" s="1"/>
  <c r="B2257" i="1"/>
  <c r="C2257" i="1" l="1"/>
  <c r="D2257" i="1" s="1"/>
  <c r="B2258" i="1"/>
  <c r="H421" i="1" l="1"/>
  <c r="G421" i="1"/>
  <c r="C2258" i="1"/>
  <c r="D2258" i="1" s="1"/>
  <c r="B2259" i="1"/>
  <c r="F421" i="1" l="1"/>
  <c r="I421" i="1" s="1"/>
  <c r="E422" i="1" s="1"/>
  <c r="C2259" i="1"/>
  <c r="D2259" i="1" s="1"/>
  <c r="B2260" i="1"/>
  <c r="G422" i="1" l="1"/>
  <c r="H422" i="1"/>
  <c r="C2260" i="1"/>
  <c r="D2260" i="1" s="1"/>
  <c r="B2261" i="1"/>
  <c r="F422" i="1" l="1"/>
  <c r="I422" i="1" s="1"/>
  <c r="E423" i="1" s="1"/>
  <c r="C2261" i="1"/>
  <c r="D2261" i="1" s="1"/>
  <c r="B2262" i="1"/>
  <c r="H423" i="1" l="1"/>
  <c r="G423" i="1"/>
  <c r="C2262" i="1"/>
  <c r="D2262" i="1" s="1"/>
  <c r="B2263" i="1"/>
  <c r="F423" i="1" l="1"/>
  <c r="C2263" i="1"/>
  <c r="D2263" i="1" s="1"/>
  <c r="B2264" i="1"/>
  <c r="I423" i="1" l="1"/>
  <c r="E424" i="1" s="1"/>
  <c r="C2264" i="1"/>
  <c r="D2264" i="1" s="1"/>
  <c r="B2265" i="1"/>
  <c r="H424" i="1" l="1"/>
  <c r="G424" i="1"/>
  <c r="F424" i="1"/>
  <c r="C2265" i="1"/>
  <c r="D2265" i="1" s="1"/>
  <c r="B2266" i="1"/>
  <c r="I424" i="1" l="1"/>
  <c r="E425" i="1" s="1"/>
  <c r="C2266" i="1"/>
  <c r="D2266" i="1" s="1"/>
  <c r="B2267" i="1"/>
  <c r="G425" i="1" l="1"/>
  <c r="H425" i="1"/>
  <c r="C2267" i="1"/>
  <c r="D2267" i="1" s="1"/>
  <c r="B2268" i="1"/>
  <c r="F425" i="1" l="1"/>
  <c r="I425" i="1" s="1"/>
  <c r="E426" i="1" s="1"/>
  <c r="C2268" i="1"/>
  <c r="D2268" i="1" s="1"/>
  <c r="B2269" i="1"/>
  <c r="H426" i="1" l="1"/>
  <c r="G426" i="1"/>
  <c r="C2269" i="1"/>
  <c r="D2269" i="1" s="1"/>
  <c r="B2270" i="1"/>
  <c r="F426" i="1" l="1"/>
  <c r="C2270" i="1"/>
  <c r="D2270" i="1" s="1"/>
  <c r="B2271" i="1"/>
  <c r="I426" i="1" l="1"/>
  <c r="E427" i="1" s="1"/>
  <c r="C2271" i="1"/>
  <c r="D2271" i="1" s="1"/>
  <c r="B2272" i="1"/>
  <c r="H427" i="1" l="1"/>
  <c r="G427" i="1"/>
  <c r="F427" i="1"/>
  <c r="B2273" i="1"/>
  <c r="C2272" i="1"/>
  <c r="D2272" i="1" s="1"/>
  <c r="I427" i="1" l="1"/>
  <c r="E428" i="1" s="1"/>
  <c r="C2273" i="1"/>
  <c r="D2273" i="1" s="1"/>
  <c r="B2274" i="1"/>
  <c r="H428" i="1" l="1"/>
  <c r="G428" i="1"/>
  <c r="C2274" i="1"/>
  <c r="D2274" i="1" s="1"/>
  <c r="B2275" i="1"/>
  <c r="F428" i="1" l="1"/>
  <c r="I428" i="1" s="1"/>
  <c r="E429" i="1" s="1"/>
  <c r="C2275" i="1"/>
  <c r="D2275" i="1" s="1"/>
  <c r="B2276" i="1"/>
  <c r="C2276" i="1" l="1"/>
  <c r="D2276" i="1" s="1"/>
  <c r="B2277" i="1"/>
  <c r="G429" i="1" l="1"/>
  <c r="H429" i="1"/>
  <c r="C2277" i="1"/>
  <c r="D2277" i="1" s="1"/>
  <c r="B2278" i="1"/>
  <c r="F429" i="1" l="1"/>
  <c r="I429" i="1" s="1"/>
  <c r="E430" i="1" s="1"/>
  <c r="C2278" i="1"/>
  <c r="D2278" i="1" s="1"/>
  <c r="B2279" i="1"/>
  <c r="C2279" i="1" l="1"/>
  <c r="D2279" i="1" s="1"/>
  <c r="B2280" i="1"/>
  <c r="H430" i="1" l="1"/>
  <c r="G430" i="1"/>
  <c r="C2280" i="1"/>
  <c r="D2280" i="1" s="1"/>
  <c r="B2281" i="1"/>
  <c r="F430" i="1" l="1"/>
  <c r="I430" i="1" s="1"/>
  <c r="E431" i="1" s="1"/>
  <c r="C2281" i="1"/>
  <c r="D2281" i="1" s="1"/>
  <c r="B2282" i="1"/>
  <c r="C2282" i="1" l="1"/>
  <c r="D2282" i="1" s="1"/>
  <c r="B2283" i="1"/>
  <c r="G431" i="1" l="1"/>
  <c r="H431" i="1"/>
  <c r="C2283" i="1"/>
  <c r="D2283" i="1" s="1"/>
  <c r="B2284" i="1"/>
  <c r="F431" i="1" l="1"/>
  <c r="I431" i="1" s="1"/>
  <c r="E432" i="1" s="1"/>
  <c r="C2284" i="1"/>
  <c r="D2284" i="1" s="1"/>
  <c r="B2285" i="1"/>
  <c r="C2285" i="1" l="1"/>
  <c r="D2285" i="1" s="1"/>
  <c r="B2286" i="1"/>
  <c r="H432" i="1" l="1"/>
  <c r="G432" i="1"/>
  <c r="C2286" i="1"/>
  <c r="D2286" i="1" s="1"/>
  <c r="B2287" i="1"/>
  <c r="F432" i="1" l="1"/>
  <c r="I432" i="1" s="1"/>
  <c r="E433" i="1" s="1"/>
  <c r="C2287" i="1"/>
  <c r="D2287" i="1" s="1"/>
  <c r="B2288" i="1"/>
  <c r="C2288" i="1" l="1"/>
  <c r="D2288" i="1" s="1"/>
  <c r="B2289" i="1"/>
  <c r="H433" i="1" l="1"/>
  <c r="G433" i="1"/>
  <c r="C2289" i="1"/>
  <c r="D2289" i="1" s="1"/>
  <c r="B2290" i="1"/>
  <c r="F433" i="1" l="1"/>
  <c r="I433" i="1" s="1"/>
  <c r="E434" i="1" s="1"/>
  <c r="B2291" i="1"/>
  <c r="C2290" i="1"/>
  <c r="D2290" i="1" s="1"/>
  <c r="C2291" i="1" l="1"/>
  <c r="D2291" i="1" s="1"/>
  <c r="B2292" i="1"/>
  <c r="G434" i="1" l="1"/>
  <c r="H434" i="1"/>
  <c r="C2292" i="1"/>
  <c r="D2292" i="1" s="1"/>
  <c r="B2293" i="1"/>
  <c r="F434" i="1" l="1"/>
  <c r="I434" i="1" s="1"/>
  <c r="E435" i="1" s="1"/>
  <c r="C2293" i="1"/>
  <c r="D2293" i="1" s="1"/>
  <c r="B2294" i="1"/>
  <c r="C2294" i="1" l="1"/>
  <c r="D2294" i="1" s="1"/>
  <c r="B2295" i="1"/>
  <c r="G435" i="1" l="1"/>
  <c r="H435" i="1"/>
  <c r="C2295" i="1"/>
  <c r="D2295" i="1" s="1"/>
  <c r="B2296" i="1"/>
  <c r="F435" i="1" l="1"/>
  <c r="C2296" i="1"/>
  <c r="D2296" i="1" s="1"/>
  <c r="B2297" i="1"/>
  <c r="I435" i="1" l="1"/>
  <c r="E436" i="1" s="1"/>
  <c r="C2297" i="1"/>
  <c r="D2297" i="1" s="1"/>
  <c r="B2298" i="1"/>
  <c r="G436" i="1" l="1"/>
  <c r="H436" i="1"/>
  <c r="F436" i="1" s="1"/>
  <c r="C2298" i="1"/>
  <c r="D2298" i="1" s="1"/>
  <c r="B2299" i="1"/>
  <c r="I436" i="1" l="1"/>
  <c r="E437" i="1" s="1"/>
  <c r="C2299" i="1"/>
  <c r="D2299" i="1" s="1"/>
  <c r="B2300" i="1"/>
  <c r="G437" i="1" l="1"/>
  <c r="H437" i="1"/>
  <c r="C2300" i="1"/>
  <c r="D2300" i="1" s="1"/>
  <c r="B2301" i="1"/>
  <c r="F437" i="1" l="1"/>
  <c r="I437" i="1" s="1"/>
  <c r="E438" i="1" s="1"/>
  <c r="C2301" i="1"/>
  <c r="D2301" i="1" s="1"/>
  <c r="B2302" i="1"/>
  <c r="C2302" i="1" l="1"/>
  <c r="D2302" i="1" s="1"/>
  <c r="B2303" i="1"/>
  <c r="G438" i="1" l="1"/>
  <c r="H438" i="1"/>
  <c r="C2303" i="1"/>
  <c r="D2303" i="1" s="1"/>
  <c r="B2304" i="1"/>
  <c r="F438" i="1" l="1"/>
  <c r="I438" i="1" s="1"/>
  <c r="E439" i="1" s="1"/>
  <c r="B2305" i="1"/>
  <c r="C2304" i="1"/>
  <c r="D2304" i="1" s="1"/>
  <c r="C2305" i="1" l="1"/>
  <c r="D2305" i="1" s="1"/>
  <c r="B2306" i="1"/>
  <c r="G439" i="1" l="1"/>
  <c r="H439" i="1"/>
  <c r="C2306" i="1"/>
  <c r="D2306" i="1" s="1"/>
  <c r="B2307" i="1"/>
  <c r="F439" i="1" l="1"/>
  <c r="I439" i="1" s="1"/>
  <c r="E440" i="1" s="1"/>
  <c r="C2307" i="1"/>
  <c r="D2307" i="1" s="1"/>
  <c r="B2308" i="1"/>
  <c r="C2308" i="1" l="1"/>
  <c r="D2308" i="1" s="1"/>
  <c r="B2309" i="1"/>
  <c r="H440" i="1" l="1"/>
  <c r="G440" i="1"/>
  <c r="B2310" i="1"/>
  <c r="C2309" i="1"/>
  <c r="D2309" i="1" s="1"/>
  <c r="F440" i="1" l="1"/>
  <c r="I440" i="1" s="1"/>
  <c r="E441" i="1" s="1"/>
  <c r="C2310" i="1"/>
  <c r="D2310" i="1" s="1"/>
  <c r="B2311" i="1"/>
  <c r="C2311" i="1" l="1"/>
  <c r="D2311" i="1" s="1"/>
  <c r="B2312" i="1"/>
  <c r="G441" i="1" l="1"/>
  <c r="H441" i="1"/>
  <c r="C2312" i="1"/>
  <c r="D2312" i="1" s="1"/>
  <c r="B2313" i="1"/>
  <c r="F441" i="1" l="1"/>
  <c r="I441" i="1" s="1"/>
  <c r="E442" i="1" s="1"/>
  <c r="C2313" i="1"/>
  <c r="D2313" i="1" s="1"/>
  <c r="B2314" i="1"/>
  <c r="B2315" i="1" l="1"/>
  <c r="C2314" i="1"/>
  <c r="D2314" i="1" s="1"/>
  <c r="H442" i="1" l="1"/>
  <c r="G442" i="1"/>
  <c r="C2315" i="1"/>
  <c r="D2315" i="1" s="1"/>
  <c r="B2316" i="1"/>
  <c r="F442" i="1" l="1"/>
  <c r="I442" i="1" s="1"/>
  <c r="E443" i="1" s="1"/>
  <c r="C2316" i="1"/>
  <c r="D2316" i="1" s="1"/>
  <c r="B2317" i="1"/>
  <c r="C2317" i="1" l="1"/>
  <c r="D2317" i="1" s="1"/>
  <c r="B2318" i="1"/>
  <c r="H443" i="1" l="1"/>
  <c r="G443" i="1"/>
  <c r="C2318" i="1"/>
  <c r="D2318" i="1" s="1"/>
  <c r="B2319" i="1"/>
  <c r="F443" i="1" l="1"/>
  <c r="I443" i="1" s="1"/>
  <c r="E444" i="1" s="1"/>
  <c r="C2319" i="1"/>
  <c r="D2319" i="1" s="1"/>
  <c r="B2320" i="1"/>
  <c r="C2320" i="1" l="1"/>
  <c r="D2320" i="1" s="1"/>
  <c r="B2321" i="1"/>
  <c r="H444" i="1" l="1"/>
  <c r="G444" i="1"/>
  <c r="C2321" i="1"/>
  <c r="D2321" i="1" s="1"/>
  <c r="B2322" i="1"/>
  <c r="F444" i="1" l="1"/>
  <c r="I444" i="1" s="1"/>
  <c r="E445" i="1" s="1"/>
  <c r="B2323" i="1"/>
  <c r="C2322" i="1"/>
  <c r="D2322" i="1" s="1"/>
  <c r="C2323" i="1" l="1"/>
  <c r="D2323" i="1" s="1"/>
  <c r="B2324" i="1"/>
  <c r="H445" i="1" l="1"/>
  <c r="G445" i="1"/>
  <c r="C2324" i="1"/>
  <c r="D2324" i="1" s="1"/>
  <c r="B2325" i="1"/>
  <c r="F445" i="1" l="1"/>
  <c r="I445" i="1" s="1"/>
  <c r="E446" i="1" s="1"/>
  <c r="C2325" i="1"/>
  <c r="D2325" i="1" s="1"/>
  <c r="B2326" i="1"/>
  <c r="C2326" i="1" l="1"/>
  <c r="D2326" i="1" s="1"/>
  <c r="B2327" i="1"/>
  <c r="H446" i="1" l="1"/>
  <c r="G446" i="1"/>
  <c r="C2327" i="1"/>
  <c r="D2327" i="1" s="1"/>
  <c r="B2328" i="1"/>
  <c r="F446" i="1" l="1"/>
  <c r="I446" i="1" s="1"/>
  <c r="E447" i="1" s="1"/>
  <c r="C2328" i="1"/>
  <c r="D2328" i="1" s="1"/>
  <c r="B2329" i="1"/>
  <c r="C2329" i="1" l="1"/>
  <c r="D2329" i="1" s="1"/>
  <c r="B2330" i="1"/>
  <c r="H447" i="1" l="1"/>
  <c r="G447" i="1"/>
  <c r="C2330" i="1"/>
  <c r="D2330" i="1" s="1"/>
  <c r="B2331" i="1"/>
  <c r="F447" i="1" l="1"/>
  <c r="I447" i="1" s="1"/>
  <c r="E448" i="1" s="1"/>
  <c r="C2331" i="1"/>
  <c r="D2331" i="1" s="1"/>
  <c r="B2332" i="1"/>
  <c r="C2332" i="1" l="1"/>
  <c r="D2332" i="1" s="1"/>
  <c r="B2333" i="1"/>
  <c r="G448" i="1" l="1"/>
  <c r="H448" i="1"/>
  <c r="C2333" i="1"/>
  <c r="D2333" i="1" s="1"/>
  <c r="B2334" i="1"/>
  <c r="F448" i="1" l="1"/>
  <c r="C2334" i="1"/>
  <c r="D2334" i="1" s="1"/>
  <c r="B2335" i="1"/>
  <c r="I448" i="1" l="1"/>
  <c r="E449" i="1" s="1"/>
  <c r="B2336" i="1"/>
  <c r="C2335" i="1"/>
  <c r="D2335" i="1" s="1"/>
  <c r="G449" i="1" l="1"/>
  <c r="H449" i="1"/>
  <c r="F449" i="1" s="1"/>
  <c r="C2336" i="1"/>
  <c r="D2336" i="1" s="1"/>
  <c r="B2337" i="1"/>
  <c r="I449" i="1" l="1"/>
  <c r="E450" i="1" s="1"/>
  <c r="C2337" i="1"/>
  <c r="D2337" i="1" s="1"/>
  <c r="B2338" i="1"/>
  <c r="G450" i="1" l="1"/>
  <c r="H450" i="1"/>
  <c r="C2338" i="1"/>
  <c r="D2338" i="1" s="1"/>
  <c r="B2339" i="1"/>
  <c r="F450" i="1" l="1"/>
  <c r="B2340" i="1"/>
  <c r="C2339" i="1"/>
  <c r="D2339" i="1" s="1"/>
  <c r="I450" i="1" l="1"/>
  <c r="E451" i="1" s="1"/>
  <c r="B2341" i="1"/>
  <c r="C2340" i="1"/>
  <c r="D2340" i="1" s="1"/>
  <c r="H451" i="1" l="1"/>
  <c r="G451" i="1"/>
  <c r="F451" i="1"/>
  <c r="C2341" i="1"/>
  <c r="D2341" i="1" s="1"/>
  <c r="B2342" i="1"/>
  <c r="I451" i="1" l="1"/>
  <c r="E452" i="1" s="1"/>
  <c r="C2342" i="1"/>
  <c r="D2342" i="1" s="1"/>
  <c r="B2343" i="1"/>
  <c r="H452" i="1" l="1"/>
  <c r="G452" i="1"/>
  <c r="F452" i="1"/>
  <c r="C2343" i="1"/>
  <c r="D2343" i="1" s="1"/>
  <c r="B2344" i="1"/>
  <c r="I452" i="1" l="1"/>
  <c r="E453" i="1" s="1"/>
  <c r="B2345" i="1"/>
  <c r="C2344" i="1"/>
  <c r="D2344" i="1" s="1"/>
  <c r="H453" i="1" l="1"/>
  <c r="F453" i="1" s="1"/>
  <c r="G453" i="1"/>
  <c r="C2345" i="1"/>
  <c r="D2345" i="1" s="1"/>
  <c r="B2346" i="1"/>
  <c r="I453" i="1" l="1"/>
  <c r="E454" i="1" s="1"/>
  <c r="C2346" i="1"/>
  <c r="D2346" i="1" s="1"/>
  <c r="B2347" i="1"/>
  <c r="H454" i="1" l="1"/>
  <c r="G454" i="1"/>
  <c r="C2347" i="1"/>
  <c r="D2347" i="1" s="1"/>
  <c r="B2348" i="1"/>
  <c r="F454" i="1" l="1"/>
  <c r="I454" i="1" s="1"/>
  <c r="E455" i="1" s="1"/>
  <c r="C2348" i="1"/>
  <c r="D2348" i="1" s="1"/>
  <c r="B2349" i="1"/>
  <c r="C2349" i="1" l="1"/>
  <c r="D2349" i="1" s="1"/>
  <c r="B2350" i="1"/>
  <c r="H455" i="1" l="1"/>
  <c r="G455" i="1"/>
  <c r="C2350" i="1"/>
  <c r="D2350" i="1" s="1"/>
  <c r="B2351" i="1"/>
  <c r="F455" i="1" l="1"/>
  <c r="I455" i="1" s="1"/>
  <c r="E456" i="1" s="1"/>
  <c r="B2352" i="1"/>
  <c r="C2351" i="1"/>
  <c r="D2351" i="1" s="1"/>
  <c r="C2352" i="1" l="1"/>
  <c r="D2352" i="1" s="1"/>
  <c r="B2353" i="1"/>
  <c r="H456" i="1" l="1"/>
  <c r="G456" i="1"/>
  <c r="C2353" i="1"/>
  <c r="D2353" i="1" s="1"/>
  <c r="B2354" i="1"/>
  <c r="F456" i="1" l="1"/>
  <c r="C2354" i="1"/>
  <c r="D2354" i="1" s="1"/>
  <c r="B2355" i="1"/>
  <c r="I456" i="1" l="1"/>
  <c r="E457" i="1" s="1"/>
  <c r="B2356" i="1"/>
  <c r="C2355" i="1"/>
  <c r="D2355" i="1" s="1"/>
  <c r="G457" i="1" l="1"/>
  <c r="H457" i="1"/>
  <c r="F457" i="1" s="1"/>
  <c r="B2357" i="1"/>
  <c r="C2356" i="1"/>
  <c r="D2356" i="1" s="1"/>
  <c r="I457" i="1" l="1"/>
  <c r="E458" i="1" s="1"/>
  <c r="C2357" i="1"/>
  <c r="D2357" i="1" s="1"/>
  <c r="B2358" i="1"/>
  <c r="H458" i="1" l="1"/>
  <c r="G458" i="1"/>
  <c r="C2358" i="1"/>
  <c r="D2358" i="1" s="1"/>
  <c r="B2359" i="1"/>
  <c r="F458" i="1" l="1"/>
  <c r="I458" i="1" s="1"/>
  <c r="E459" i="1" s="1"/>
  <c r="C2359" i="1"/>
  <c r="D2359" i="1" s="1"/>
  <c r="B2360" i="1"/>
  <c r="B2361" i="1" l="1"/>
  <c r="C2360" i="1"/>
  <c r="D2360" i="1" s="1"/>
  <c r="H459" i="1" l="1"/>
  <c r="G459" i="1"/>
  <c r="C2361" i="1"/>
  <c r="D2361" i="1" s="1"/>
  <c r="B2362" i="1"/>
  <c r="F459" i="1" l="1"/>
  <c r="I459" i="1" s="1"/>
  <c r="E460" i="1" s="1"/>
  <c r="C2362" i="1"/>
  <c r="D2362" i="1" s="1"/>
  <c r="B2363" i="1"/>
  <c r="C2363" i="1" l="1"/>
  <c r="D2363" i="1" s="1"/>
  <c r="B2364" i="1"/>
  <c r="H460" i="1" l="1"/>
  <c r="G460" i="1"/>
  <c r="C2364" i="1"/>
  <c r="D2364" i="1" s="1"/>
  <c r="B2365" i="1"/>
  <c r="F460" i="1" l="1"/>
  <c r="C2365" i="1"/>
  <c r="D2365" i="1" s="1"/>
  <c r="B2366" i="1"/>
  <c r="I460" i="1" l="1"/>
  <c r="E461" i="1" s="1"/>
  <c r="C2366" i="1"/>
  <c r="D2366" i="1" s="1"/>
  <c r="B2367" i="1"/>
  <c r="G461" i="1" l="1"/>
  <c r="H461" i="1"/>
  <c r="F461" i="1" s="1"/>
  <c r="B2368" i="1"/>
  <c r="C2367" i="1"/>
  <c r="D2367" i="1" s="1"/>
  <c r="I461" i="1" l="1"/>
  <c r="E462" i="1" s="1"/>
  <c r="C2368" i="1"/>
  <c r="D2368" i="1" s="1"/>
  <c r="B2369" i="1"/>
  <c r="H462" i="1" l="1"/>
  <c r="G462" i="1"/>
  <c r="F462" i="1"/>
  <c r="C2369" i="1"/>
  <c r="D2369" i="1" s="1"/>
  <c r="B2370" i="1"/>
  <c r="I462" i="1" l="1"/>
  <c r="E463" i="1" s="1"/>
  <c r="B2371" i="1"/>
  <c r="C2370" i="1"/>
  <c r="D2370" i="1" s="1"/>
  <c r="H463" i="1" l="1"/>
  <c r="G463" i="1"/>
  <c r="B2372" i="1"/>
  <c r="C2371" i="1"/>
  <c r="D2371" i="1" s="1"/>
  <c r="F463" i="1" l="1"/>
  <c r="I463" i="1" s="1"/>
  <c r="E464" i="1" s="1"/>
  <c r="C2372" i="1"/>
  <c r="D2372" i="1" s="1"/>
  <c r="B2373" i="1"/>
  <c r="C2373" i="1" l="1"/>
  <c r="D2373" i="1" s="1"/>
  <c r="B2374" i="1"/>
  <c r="G464" i="1" l="1"/>
  <c r="H464" i="1"/>
  <c r="C2374" i="1"/>
  <c r="D2374" i="1" s="1"/>
  <c r="B2375" i="1"/>
  <c r="F464" i="1" l="1"/>
  <c r="I464" i="1" s="1"/>
  <c r="E465" i="1" s="1"/>
  <c r="C2375" i="1"/>
  <c r="D2375" i="1" s="1"/>
  <c r="B2376" i="1"/>
  <c r="B2377" i="1" l="1"/>
  <c r="C2376" i="1"/>
  <c r="D2376" i="1" s="1"/>
  <c r="H465" i="1" l="1"/>
  <c r="G465" i="1"/>
  <c r="C2377" i="1"/>
  <c r="D2377" i="1" s="1"/>
  <c r="B2378" i="1"/>
  <c r="F465" i="1" l="1"/>
  <c r="I465" i="1" s="1"/>
  <c r="E466" i="1" s="1"/>
  <c r="C2378" i="1"/>
  <c r="D2378" i="1" s="1"/>
  <c r="B2379" i="1"/>
  <c r="C2379" i="1" l="1"/>
  <c r="D2379" i="1" s="1"/>
  <c r="B2380" i="1"/>
  <c r="G466" i="1" l="1"/>
  <c r="H466" i="1"/>
  <c r="C2380" i="1"/>
  <c r="D2380" i="1" s="1"/>
  <c r="B2381" i="1"/>
  <c r="F466" i="1" l="1"/>
  <c r="C2381" i="1"/>
  <c r="D2381" i="1" s="1"/>
  <c r="B2382" i="1"/>
  <c r="I466" i="1" l="1"/>
  <c r="E467" i="1" s="1"/>
  <c r="C2382" i="1"/>
  <c r="D2382" i="1" s="1"/>
  <c r="B2383" i="1"/>
  <c r="H467" i="1" l="1"/>
  <c r="F467" i="1" s="1"/>
  <c r="G467" i="1"/>
  <c r="C2383" i="1"/>
  <c r="D2383" i="1" s="1"/>
  <c r="B2384" i="1"/>
  <c r="I467" i="1" l="1"/>
  <c r="E468" i="1" s="1"/>
  <c r="C2384" i="1"/>
  <c r="D2384" i="1" s="1"/>
  <c r="B2385" i="1"/>
  <c r="G468" i="1" l="1"/>
  <c r="H468" i="1"/>
  <c r="C2385" i="1"/>
  <c r="D2385" i="1" s="1"/>
  <c r="B2386" i="1"/>
  <c r="F468" i="1" l="1"/>
  <c r="I468" i="1" s="1"/>
  <c r="E469" i="1" s="1"/>
  <c r="C2386" i="1"/>
  <c r="D2386" i="1" s="1"/>
  <c r="B2387" i="1"/>
  <c r="C2387" i="1" l="1"/>
  <c r="D2387" i="1" s="1"/>
  <c r="B2388" i="1"/>
  <c r="G469" i="1" l="1"/>
  <c r="H469" i="1"/>
  <c r="B2389" i="1"/>
  <c r="C2388" i="1"/>
  <c r="D2388" i="1" s="1"/>
  <c r="F469" i="1" l="1"/>
  <c r="I469" i="1" s="1"/>
  <c r="E470" i="1" s="1"/>
  <c r="C2389" i="1"/>
  <c r="D2389" i="1" s="1"/>
  <c r="B2390" i="1"/>
  <c r="C2390" i="1" l="1"/>
  <c r="D2390" i="1" s="1"/>
  <c r="B2391" i="1"/>
  <c r="H470" i="1" l="1"/>
  <c r="G470" i="1"/>
  <c r="C2391" i="1"/>
  <c r="D2391" i="1" s="1"/>
  <c r="B2392" i="1"/>
  <c r="F470" i="1" l="1"/>
  <c r="C2392" i="1"/>
  <c r="D2392" i="1" s="1"/>
  <c r="B2393" i="1"/>
  <c r="I470" i="1" l="1"/>
  <c r="E471" i="1" s="1"/>
  <c r="C2393" i="1"/>
  <c r="D2393" i="1" s="1"/>
  <c r="B2394" i="1"/>
  <c r="H471" i="1" l="1"/>
  <c r="G471" i="1"/>
  <c r="F471" i="1"/>
  <c r="C2394" i="1"/>
  <c r="D2394" i="1" s="1"/>
  <c r="B2395" i="1"/>
  <c r="I471" i="1" l="1"/>
  <c r="E472" i="1" s="1"/>
  <c r="C2395" i="1"/>
  <c r="D2395" i="1" s="1"/>
  <c r="B2396" i="1"/>
  <c r="G472" i="1" l="1"/>
  <c r="H472" i="1"/>
  <c r="B2397" i="1"/>
  <c r="C2396" i="1"/>
  <c r="D2396" i="1" s="1"/>
  <c r="F472" i="1" l="1"/>
  <c r="I472" i="1" s="1"/>
  <c r="E473" i="1" s="1"/>
  <c r="C2397" i="1"/>
  <c r="D2397" i="1" s="1"/>
  <c r="B2398" i="1"/>
  <c r="C2398" i="1" l="1"/>
  <c r="D2398" i="1" s="1"/>
  <c r="B2399" i="1"/>
  <c r="G473" i="1" l="1"/>
  <c r="H473" i="1"/>
  <c r="C2399" i="1"/>
  <c r="D2399" i="1" s="1"/>
  <c r="B2400" i="1"/>
  <c r="F473" i="1" l="1"/>
  <c r="C2400" i="1"/>
  <c r="D2400" i="1" s="1"/>
  <c r="B2401" i="1"/>
  <c r="I473" i="1" l="1"/>
  <c r="E474" i="1" s="1"/>
  <c r="C2401" i="1"/>
  <c r="D2401" i="1" s="1"/>
  <c r="B2402" i="1"/>
  <c r="H474" i="1" l="1"/>
  <c r="G474" i="1"/>
  <c r="F474" i="1"/>
  <c r="C2402" i="1"/>
  <c r="D2402" i="1" s="1"/>
  <c r="B2403" i="1"/>
  <c r="I474" i="1" l="1"/>
  <c r="E475" i="1" s="1"/>
  <c r="C2403" i="1"/>
  <c r="D2403" i="1" s="1"/>
  <c r="B2404" i="1"/>
  <c r="H475" i="1" l="1"/>
  <c r="G475" i="1"/>
  <c r="F475" i="1"/>
  <c r="C2404" i="1"/>
  <c r="D2404" i="1" s="1"/>
  <c r="B2405" i="1"/>
  <c r="I475" i="1" l="1"/>
  <c r="E476" i="1" s="1"/>
  <c r="C2405" i="1"/>
  <c r="D2405" i="1" s="1"/>
  <c r="B2406" i="1"/>
  <c r="G476" i="1" l="1"/>
  <c r="H476" i="1"/>
  <c r="F476" i="1" s="1"/>
  <c r="C2406" i="1"/>
  <c r="D2406" i="1" s="1"/>
  <c r="B2407" i="1"/>
  <c r="I476" i="1" l="1"/>
  <c r="E477" i="1" s="1"/>
  <c r="C2407" i="1"/>
  <c r="D2407" i="1" s="1"/>
  <c r="B2408" i="1"/>
  <c r="H477" i="1" l="1"/>
  <c r="G477" i="1"/>
  <c r="B2409" i="1"/>
  <c r="C2409" i="1" s="1"/>
  <c r="D2409" i="1" s="1"/>
  <c r="C2408" i="1"/>
  <c r="D2408" i="1" s="1"/>
  <c r="F477" i="1" l="1"/>
  <c r="I477" i="1" s="1"/>
  <c r="E478" i="1" s="1"/>
  <c r="H478" i="1" l="1"/>
  <c r="G478" i="1"/>
  <c r="F478" i="1" l="1"/>
  <c r="I478" i="1" s="1"/>
  <c r="E479" i="1" s="1"/>
  <c r="H479" i="1" l="1"/>
  <c r="G479" i="1"/>
  <c r="F479" i="1" l="1"/>
  <c r="I479" i="1" l="1"/>
  <c r="E480" i="1" s="1"/>
  <c r="G480" i="1" l="1"/>
  <c r="H480" i="1"/>
  <c r="F480" i="1" s="1"/>
  <c r="I480" i="1" l="1"/>
  <c r="E481" i="1" s="1"/>
  <c r="H481" i="1" l="1"/>
  <c r="G481" i="1"/>
  <c r="F481" i="1"/>
  <c r="I481" i="1" l="1"/>
  <c r="E482" i="1" s="1"/>
  <c r="G482" i="1" l="1"/>
  <c r="H482" i="1"/>
  <c r="F482" i="1" s="1"/>
  <c r="I482" i="1" l="1"/>
  <c r="E483" i="1" s="1"/>
  <c r="H483" i="1" l="1"/>
  <c r="G483" i="1"/>
  <c r="F483" i="1" l="1"/>
  <c r="I483" i="1" l="1"/>
  <c r="E484" i="1" s="1"/>
  <c r="G484" i="1" l="1"/>
  <c r="H484" i="1"/>
  <c r="F484" i="1" s="1"/>
  <c r="I484" i="1" l="1"/>
  <c r="E485" i="1" s="1"/>
  <c r="G485" i="1" l="1"/>
  <c r="H485" i="1"/>
  <c r="F485" i="1" l="1"/>
  <c r="I485" i="1" s="1"/>
  <c r="E486" i="1" s="1"/>
  <c r="G486" i="1" l="1"/>
  <c r="H486" i="1"/>
  <c r="F486" i="1" l="1"/>
  <c r="I486" i="1" s="1"/>
  <c r="E487" i="1" s="1"/>
  <c r="H487" i="1" l="1"/>
  <c r="G487" i="1"/>
  <c r="F487" i="1" l="1"/>
  <c r="I487" i="1" s="1"/>
  <c r="E488" i="1" s="1"/>
  <c r="G488" i="1" l="1"/>
  <c r="H488" i="1"/>
  <c r="F488" i="1" l="1"/>
  <c r="I488" i="1" s="1"/>
  <c r="E489" i="1" s="1"/>
  <c r="H489" i="1" l="1"/>
  <c r="G489" i="1"/>
  <c r="F489" i="1" l="1"/>
  <c r="I489" i="1" s="1"/>
  <c r="E490" i="1" s="1"/>
  <c r="G490" i="1" l="1"/>
  <c r="H490" i="1"/>
  <c r="F490" i="1" l="1"/>
  <c r="I490" i="1" l="1"/>
  <c r="E491" i="1" s="1"/>
  <c r="H491" i="1" l="1"/>
  <c r="G491" i="1"/>
  <c r="F491" i="1"/>
  <c r="I491" i="1" l="1"/>
  <c r="E492" i="1" s="1"/>
  <c r="H492" i="1" l="1"/>
  <c r="F492" i="1" s="1"/>
  <c r="I492" i="1" s="1"/>
  <c r="E493" i="1" s="1"/>
  <c r="G492" i="1"/>
  <c r="H493" i="1" l="1"/>
  <c r="G493" i="1"/>
  <c r="F493" i="1" l="1"/>
  <c r="I493" i="1" l="1"/>
  <c r="E494" i="1" s="1"/>
  <c r="G494" i="1" l="1"/>
  <c r="H494" i="1"/>
  <c r="F494" i="1" l="1"/>
  <c r="I494" i="1" s="1"/>
  <c r="E495" i="1" s="1"/>
  <c r="G495" i="1" l="1"/>
  <c r="H495" i="1"/>
  <c r="F495" i="1" l="1"/>
  <c r="I495" i="1" l="1"/>
  <c r="E496" i="1" s="1"/>
  <c r="H496" i="1" l="1"/>
  <c r="G496" i="1"/>
  <c r="F496" i="1"/>
  <c r="I496" i="1" l="1"/>
  <c r="E497" i="1" s="1"/>
  <c r="H497" i="1" l="1"/>
  <c r="G497" i="1"/>
  <c r="F497" i="1" l="1"/>
  <c r="I497" i="1" s="1"/>
  <c r="E498" i="1" s="1"/>
  <c r="H498" i="1" l="1"/>
  <c r="G498" i="1"/>
  <c r="F498" i="1" l="1"/>
  <c r="I498" i="1" s="1"/>
  <c r="E499" i="1" s="1"/>
  <c r="G499" i="1" l="1"/>
  <c r="H499" i="1"/>
  <c r="F499" i="1" l="1"/>
  <c r="I499" i="1" s="1"/>
  <c r="E500" i="1" s="1"/>
  <c r="G500" i="1" l="1"/>
  <c r="H500" i="1"/>
  <c r="F500" i="1" l="1"/>
  <c r="I500" i="1" l="1"/>
  <c r="E501" i="1" s="1"/>
  <c r="H501" i="1" l="1"/>
  <c r="F501" i="1" s="1"/>
  <c r="G501" i="1"/>
  <c r="I501" i="1" l="1"/>
  <c r="E502" i="1" s="1"/>
  <c r="G502" i="1" l="1"/>
  <c r="H502" i="1"/>
  <c r="F502" i="1" s="1"/>
  <c r="I502" i="1" s="1"/>
  <c r="E503" i="1" s="1"/>
  <c r="H503" i="1" l="1"/>
  <c r="G503" i="1"/>
  <c r="F503" i="1" l="1"/>
  <c r="I503" i="1" l="1"/>
  <c r="E504" i="1" s="1"/>
  <c r="H504" i="1" l="1"/>
  <c r="G504" i="1"/>
  <c r="F504" i="1"/>
  <c r="I504" i="1" l="1"/>
  <c r="E505" i="1" s="1"/>
  <c r="H505" i="1" l="1"/>
  <c r="F505" i="1" s="1"/>
  <c r="G505" i="1"/>
  <c r="I505" i="1" l="1"/>
  <c r="E506" i="1" s="1"/>
  <c r="H506" i="1" l="1"/>
  <c r="G506" i="1"/>
  <c r="F506" i="1" l="1"/>
  <c r="I506" i="1" s="1"/>
  <c r="E507" i="1" s="1"/>
  <c r="G507" i="1" l="1"/>
  <c r="H507" i="1"/>
  <c r="F507" i="1" l="1"/>
  <c r="I507" i="1" s="1"/>
  <c r="E508" i="1" s="1"/>
  <c r="G508" i="1" l="1"/>
  <c r="H508" i="1"/>
  <c r="F508" i="1" l="1"/>
  <c r="I508" i="1" s="1"/>
  <c r="E509" i="1" s="1"/>
  <c r="H509" i="1" l="1"/>
  <c r="G509" i="1"/>
  <c r="F509" i="1" l="1"/>
  <c r="I509" i="1" l="1"/>
  <c r="E510" i="1" s="1"/>
  <c r="H510" i="1" l="1"/>
  <c r="F510" i="1" s="1"/>
  <c r="G510" i="1"/>
  <c r="I510" i="1" l="1"/>
  <c r="E511" i="1" s="1"/>
  <c r="H511" i="1" l="1"/>
  <c r="G511" i="1"/>
  <c r="F511" i="1"/>
  <c r="I511" i="1" l="1"/>
  <c r="E512" i="1" s="1"/>
  <c r="G512" i="1" l="1"/>
  <c r="H512" i="1"/>
  <c r="F512" i="1" l="1"/>
  <c r="I512" i="1" s="1"/>
  <c r="E513" i="1" s="1"/>
  <c r="H513" i="1" l="1"/>
  <c r="G513" i="1"/>
  <c r="F513" i="1" l="1"/>
  <c r="I513" i="1" s="1"/>
  <c r="E514" i="1" s="1"/>
  <c r="H514" i="1" l="1"/>
  <c r="G514" i="1"/>
  <c r="F514" i="1" l="1"/>
  <c r="I514" i="1" l="1"/>
  <c r="E515" i="1" s="1"/>
  <c r="G515" i="1" l="1"/>
  <c r="H515" i="1"/>
  <c r="F515" i="1" s="1"/>
  <c r="I515" i="1" l="1"/>
  <c r="E516" i="1" s="1"/>
  <c r="H516" i="1" l="1"/>
  <c r="G516" i="1"/>
  <c r="F516" i="1" l="1"/>
  <c r="I516" i="1" s="1"/>
  <c r="E517" i="1" s="1"/>
  <c r="H517" i="1" l="1"/>
  <c r="G517" i="1"/>
  <c r="F517" i="1" l="1"/>
  <c r="I517" i="1" l="1"/>
  <c r="E518" i="1" s="1"/>
  <c r="G518" i="1" l="1"/>
  <c r="H518" i="1"/>
  <c r="F518" i="1" l="1"/>
  <c r="I518" i="1" s="1"/>
  <c r="E519" i="1" s="1"/>
  <c r="H519" i="1" l="1"/>
  <c r="G519" i="1"/>
  <c r="F519" i="1" l="1"/>
  <c r="I519" i="1" s="1"/>
  <c r="E520" i="1" s="1"/>
  <c r="H520" i="1" l="1"/>
  <c r="G520" i="1"/>
  <c r="F520" i="1" l="1"/>
  <c r="I520" i="1" l="1"/>
  <c r="E521" i="1" s="1"/>
  <c r="G521" i="1" l="1"/>
  <c r="H521" i="1"/>
  <c r="F521" i="1" l="1"/>
  <c r="I521" i="1" s="1"/>
  <c r="E522" i="1" s="1"/>
  <c r="G522" i="1" l="1"/>
  <c r="H522" i="1"/>
  <c r="F522" i="1" l="1"/>
  <c r="I522" i="1" s="1"/>
  <c r="E523" i="1" s="1"/>
  <c r="G523" i="1" l="1"/>
  <c r="H523" i="1"/>
  <c r="F523" i="1" l="1"/>
  <c r="I523" i="1" s="1"/>
  <c r="E524" i="1" s="1"/>
  <c r="H524" i="1" l="1"/>
  <c r="G524" i="1"/>
  <c r="F524" i="1" l="1"/>
  <c r="I524" i="1" s="1"/>
  <c r="E525" i="1" s="1"/>
  <c r="H525" i="1" l="1"/>
  <c r="G525" i="1"/>
  <c r="F525" i="1" l="1"/>
  <c r="I525" i="1" s="1"/>
  <c r="E526" i="1" s="1"/>
  <c r="H526" i="1" l="1"/>
  <c r="G526" i="1"/>
  <c r="F526" i="1" l="1"/>
  <c r="I526" i="1" s="1"/>
  <c r="E527" i="1" s="1"/>
  <c r="H527" i="1" l="1"/>
  <c r="G527" i="1"/>
  <c r="F527" i="1" l="1"/>
  <c r="I527" i="1" l="1"/>
  <c r="E528" i="1" s="1"/>
  <c r="H528" i="1" l="1"/>
  <c r="G528" i="1"/>
  <c r="F528" i="1" l="1"/>
  <c r="I528" i="1" s="1"/>
  <c r="E529" i="1" s="1"/>
  <c r="H529" i="1" l="1"/>
  <c r="G529" i="1"/>
  <c r="F529" i="1" l="1"/>
  <c r="I529" i="1" l="1"/>
  <c r="E530" i="1" s="1"/>
  <c r="H530" i="1" l="1"/>
  <c r="F530" i="1" s="1"/>
  <c r="G530" i="1"/>
  <c r="I530" i="1" l="1"/>
  <c r="E531" i="1" s="1"/>
  <c r="H531" i="1" l="1"/>
  <c r="F531" i="1" s="1"/>
  <c r="G531" i="1"/>
  <c r="I531" i="1" l="1"/>
  <c r="E532" i="1" s="1"/>
  <c r="G532" i="1" l="1"/>
  <c r="H532" i="1"/>
  <c r="F532" i="1" l="1"/>
  <c r="I532" i="1" s="1"/>
  <c r="E533" i="1" s="1"/>
  <c r="H533" i="1" l="1"/>
  <c r="G533" i="1"/>
  <c r="F533" i="1" l="1"/>
  <c r="I533" i="1" s="1"/>
  <c r="E534" i="1" s="1"/>
  <c r="H534" i="1" l="1"/>
  <c r="G534" i="1"/>
  <c r="F534" i="1" l="1"/>
  <c r="I534" i="1" s="1"/>
  <c r="E535" i="1" s="1"/>
  <c r="G535" i="1" l="1"/>
  <c r="H535" i="1"/>
  <c r="F535" i="1" l="1"/>
  <c r="I535" i="1" l="1"/>
  <c r="E536" i="1" s="1"/>
  <c r="G536" i="1" l="1"/>
  <c r="H536" i="1"/>
  <c r="F536" i="1" s="1"/>
  <c r="I536" i="1" l="1"/>
  <c r="E537" i="1" s="1"/>
  <c r="G537" i="1" l="1"/>
  <c r="H537" i="1"/>
  <c r="F537" i="1" l="1"/>
  <c r="I537" i="1" s="1"/>
  <c r="E538" i="1" s="1"/>
  <c r="H538" i="1" l="1"/>
  <c r="G538" i="1"/>
  <c r="F538" i="1" l="1"/>
  <c r="I538" i="1" s="1"/>
  <c r="E539" i="1" s="1"/>
  <c r="G539" i="1" l="1"/>
  <c r="H539" i="1"/>
  <c r="F539" i="1" l="1"/>
  <c r="I539" i="1" l="1"/>
  <c r="E540" i="1" s="1"/>
  <c r="H540" i="1" l="1"/>
  <c r="F540" i="1" s="1"/>
  <c r="G540" i="1"/>
  <c r="I540" i="1" l="1"/>
  <c r="E541" i="1" s="1"/>
  <c r="G541" i="1" l="1"/>
  <c r="H541" i="1"/>
  <c r="F541" i="1" s="1"/>
  <c r="I541" i="1" l="1"/>
  <c r="E542" i="1" s="1"/>
  <c r="G542" i="1" l="1"/>
  <c r="H542" i="1"/>
  <c r="F542" i="1" l="1"/>
  <c r="I542" i="1" l="1"/>
  <c r="E543" i="1" s="1"/>
  <c r="G543" i="1" l="1"/>
  <c r="H543" i="1"/>
  <c r="F543" i="1" l="1"/>
  <c r="I543" i="1" l="1"/>
  <c r="E544" i="1" s="1"/>
  <c r="H544" i="1" l="1"/>
  <c r="G544" i="1"/>
  <c r="F544" i="1" l="1"/>
  <c r="I544" i="1" s="1"/>
  <c r="E545" i="1" s="1"/>
  <c r="H545" i="1" l="1"/>
  <c r="G545" i="1"/>
  <c r="F545" i="1" l="1"/>
  <c r="I545" i="1" l="1"/>
  <c r="E546" i="1" s="1"/>
  <c r="H546" i="1" l="1"/>
  <c r="G546" i="1"/>
  <c r="F546" i="1" l="1"/>
  <c r="I546" i="1" l="1"/>
  <c r="E547" i="1" s="1"/>
  <c r="H547" i="1" l="1"/>
  <c r="G547" i="1"/>
  <c r="F547" i="1" l="1"/>
  <c r="I547" i="1" s="1"/>
  <c r="E548" i="1" s="1"/>
  <c r="H548" i="1" l="1"/>
  <c r="G548" i="1"/>
  <c r="F548" i="1" l="1"/>
  <c r="I548" i="1" s="1"/>
  <c r="E549" i="1" s="1"/>
  <c r="H549" i="1" l="1"/>
  <c r="G549" i="1"/>
  <c r="F549" i="1" l="1"/>
  <c r="I549" i="1" s="1"/>
  <c r="E550" i="1" s="1"/>
  <c r="H550" i="1" l="1"/>
  <c r="G550" i="1"/>
  <c r="F550" i="1"/>
  <c r="I550" i="1" l="1"/>
  <c r="E551" i="1" s="1"/>
  <c r="H551" i="1" l="1"/>
  <c r="G551" i="1"/>
  <c r="F551" i="1" l="1"/>
  <c r="I551" i="1" s="1"/>
  <c r="E552" i="1" s="1"/>
  <c r="H552" i="1" l="1"/>
  <c r="G552" i="1"/>
  <c r="F552" i="1" l="1"/>
  <c r="I552" i="1" s="1"/>
  <c r="E553" i="1" s="1"/>
  <c r="H553" i="1" l="1"/>
  <c r="G553" i="1"/>
  <c r="F553" i="1" l="1"/>
  <c r="I553" i="1" s="1"/>
  <c r="E554" i="1" s="1"/>
  <c r="H554" i="1" l="1"/>
  <c r="G554" i="1"/>
  <c r="F554" i="1" l="1"/>
  <c r="I554" i="1" s="1"/>
  <c r="E555" i="1" s="1"/>
  <c r="G555" i="1" l="1"/>
  <c r="H555" i="1"/>
  <c r="F555" i="1" l="1"/>
  <c r="I555" i="1" s="1"/>
  <c r="E556" i="1" s="1"/>
  <c r="H556" i="1" l="1"/>
  <c r="G556" i="1"/>
  <c r="F556" i="1" l="1"/>
  <c r="I556" i="1" l="1"/>
  <c r="E557" i="1" s="1"/>
  <c r="H557" i="1" l="1"/>
  <c r="F557" i="1" s="1"/>
  <c r="G557" i="1"/>
  <c r="I557" i="1" l="1"/>
  <c r="E558" i="1" s="1"/>
  <c r="H558" i="1" l="1"/>
  <c r="G558" i="1"/>
  <c r="F558" i="1" l="1"/>
  <c r="I558" i="1" l="1"/>
  <c r="E559" i="1" s="1"/>
  <c r="G559" i="1" l="1"/>
  <c r="H559" i="1"/>
  <c r="F559" i="1"/>
  <c r="I559" i="1" l="1"/>
  <c r="E560" i="1" s="1"/>
  <c r="H560" i="1" l="1"/>
  <c r="G560" i="1"/>
  <c r="F560" i="1" l="1"/>
  <c r="I560" i="1" l="1"/>
  <c r="E561" i="1" s="1"/>
  <c r="H561" i="1" l="1"/>
  <c r="G561" i="1"/>
  <c r="F561" i="1"/>
  <c r="I561" i="1" l="1"/>
  <c r="E562" i="1" s="1"/>
  <c r="H562" i="1" l="1"/>
  <c r="G562" i="1"/>
  <c r="F562" i="1" l="1"/>
  <c r="I562" i="1" s="1"/>
  <c r="E563" i="1" s="1"/>
  <c r="H563" i="1" l="1"/>
  <c r="G563" i="1"/>
  <c r="F563" i="1" l="1"/>
  <c r="I563" i="1" s="1"/>
  <c r="E564" i="1" s="1"/>
  <c r="H564" i="1" l="1"/>
  <c r="G564" i="1"/>
  <c r="F564" i="1" l="1"/>
  <c r="I564" i="1" s="1"/>
  <c r="E565" i="1" s="1"/>
  <c r="H565" i="1" l="1"/>
  <c r="G565" i="1"/>
  <c r="F565" i="1" l="1"/>
  <c r="I565" i="1" s="1"/>
  <c r="E566" i="1" s="1"/>
  <c r="H566" i="1" l="1"/>
  <c r="G566" i="1"/>
  <c r="F566" i="1" l="1"/>
  <c r="I566" i="1" s="1"/>
  <c r="E567" i="1" s="1"/>
  <c r="H567" i="1" l="1"/>
  <c r="G567" i="1"/>
  <c r="F567" i="1" l="1"/>
  <c r="I567" i="1" s="1"/>
  <c r="E568" i="1" s="1"/>
  <c r="G568" i="1" l="1"/>
  <c r="H568" i="1"/>
  <c r="F568" i="1" l="1"/>
  <c r="I568" i="1" l="1"/>
  <c r="E569" i="1" s="1"/>
  <c r="H569" i="1" l="1"/>
  <c r="F569" i="1" s="1"/>
  <c r="G569" i="1"/>
  <c r="I569" i="1" l="1"/>
  <c r="E570" i="1" s="1"/>
  <c r="G570" i="1" l="1"/>
  <c r="H570" i="1"/>
  <c r="F570" i="1" l="1"/>
  <c r="I570" i="1" s="1"/>
  <c r="E571" i="1" s="1"/>
  <c r="H571" i="1" l="1"/>
  <c r="G571" i="1"/>
  <c r="F571" i="1" l="1"/>
  <c r="I571" i="1" s="1"/>
  <c r="E572" i="1" s="1"/>
  <c r="G572" i="1" l="1"/>
  <c r="H572" i="1"/>
  <c r="F572" i="1" l="1"/>
  <c r="I572" i="1" l="1"/>
  <c r="E573" i="1" s="1"/>
  <c r="G573" i="1" l="1"/>
  <c r="H573" i="1"/>
  <c r="F573" i="1"/>
  <c r="I573" i="1" l="1"/>
  <c r="E574" i="1" s="1"/>
  <c r="H574" i="1" l="1"/>
  <c r="F574" i="1" s="1"/>
  <c r="G574" i="1"/>
  <c r="I574" i="1" l="1"/>
  <c r="E575" i="1" s="1"/>
  <c r="G575" i="1" l="1"/>
  <c r="H575" i="1"/>
  <c r="F575" i="1" s="1"/>
  <c r="I575" i="1" l="1"/>
  <c r="E576" i="1" s="1"/>
  <c r="G576" i="1" l="1"/>
  <c r="H576" i="1"/>
  <c r="F576" i="1" l="1"/>
  <c r="I576" i="1" s="1"/>
  <c r="E577" i="1" s="1"/>
  <c r="H577" i="1" l="1"/>
  <c r="G577" i="1"/>
  <c r="F577" i="1" l="1"/>
  <c r="I577" i="1" s="1"/>
  <c r="E578" i="1" s="1"/>
  <c r="H578" i="1" l="1"/>
  <c r="G578" i="1"/>
  <c r="F578" i="1" l="1"/>
  <c r="I578" i="1" s="1"/>
  <c r="E579" i="1" s="1"/>
  <c r="G579" i="1" l="1"/>
  <c r="H579" i="1"/>
  <c r="F579" i="1" l="1"/>
  <c r="I579" i="1" s="1"/>
  <c r="E580" i="1" s="1"/>
  <c r="G580" i="1" l="1"/>
  <c r="H580" i="1"/>
  <c r="F580" i="1" l="1"/>
  <c r="I580" i="1" s="1"/>
  <c r="E581" i="1" s="1"/>
  <c r="G581" i="1" l="1"/>
  <c r="H581" i="1"/>
  <c r="F581" i="1" l="1"/>
  <c r="I581" i="1" s="1"/>
  <c r="E582" i="1" s="1"/>
  <c r="H582" i="1" l="1"/>
  <c r="G582" i="1"/>
  <c r="F582" i="1" l="1"/>
  <c r="I582" i="1" s="1"/>
  <c r="E583" i="1" s="1"/>
  <c r="H583" i="1" l="1"/>
  <c r="G583" i="1"/>
  <c r="F583" i="1" l="1"/>
  <c r="I583" i="1" s="1"/>
  <c r="E584" i="1" s="1"/>
  <c r="G584" i="1" l="1"/>
  <c r="H584" i="1"/>
  <c r="F584" i="1" l="1"/>
  <c r="I584" i="1" s="1"/>
  <c r="E585" i="1" s="1"/>
  <c r="H585" i="1" l="1"/>
  <c r="G585" i="1"/>
  <c r="F585" i="1" l="1"/>
  <c r="I585" i="1" l="1"/>
  <c r="E586" i="1" s="1"/>
  <c r="H586" i="1" l="1"/>
  <c r="G586" i="1"/>
  <c r="F586" i="1"/>
  <c r="I586" i="1" l="1"/>
  <c r="E587" i="1" s="1"/>
  <c r="H587" i="1" l="1"/>
  <c r="G587" i="1"/>
  <c r="F587" i="1" l="1"/>
  <c r="I587" i="1" s="1"/>
  <c r="E588" i="1" s="1"/>
  <c r="G588" i="1" l="1"/>
  <c r="H588" i="1"/>
  <c r="F588" i="1" l="1"/>
  <c r="I588" i="1" s="1"/>
  <c r="E589" i="1" s="1"/>
  <c r="G589" i="1" l="1"/>
  <c r="H589" i="1"/>
  <c r="F589" i="1" l="1"/>
  <c r="I589" i="1" l="1"/>
  <c r="E590" i="1" s="1"/>
  <c r="G590" i="1" l="1"/>
  <c r="H590" i="1"/>
  <c r="F590" i="1" s="1"/>
  <c r="I590" i="1" l="1"/>
  <c r="E591" i="1" s="1"/>
  <c r="G591" i="1" l="1"/>
  <c r="H591" i="1"/>
  <c r="F591" i="1" l="1"/>
  <c r="I591" i="1" s="1"/>
  <c r="E592" i="1" s="1"/>
  <c r="G592" i="1" l="1"/>
  <c r="H592" i="1"/>
  <c r="F592" i="1" l="1"/>
  <c r="I592" i="1" s="1"/>
  <c r="E593" i="1" s="1"/>
  <c r="G593" i="1" l="1"/>
  <c r="H593" i="1"/>
  <c r="F593" i="1" l="1"/>
  <c r="I593" i="1" s="1"/>
  <c r="E594" i="1" s="1"/>
  <c r="H594" i="1" l="1"/>
  <c r="G594" i="1"/>
  <c r="F594" i="1" l="1"/>
  <c r="I594" i="1" s="1"/>
  <c r="E595" i="1" s="1"/>
  <c r="G595" i="1" l="1"/>
  <c r="H595" i="1"/>
  <c r="F595" i="1" l="1"/>
  <c r="I595" i="1" s="1"/>
  <c r="E596" i="1" s="1"/>
  <c r="H596" i="1" l="1"/>
  <c r="G596" i="1"/>
  <c r="F596" i="1" l="1"/>
  <c r="I596" i="1" l="1"/>
  <c r="E597" i="1" s="1"/>
  <c r="H597" i="1" l="1"/>
  <c r="G597" i="1"/>
  <c r="F597" i="1"/>
  <c r="I597" i="1" l="1"/>
  <c r="E598" i="1" s="1"/>
  <c r="G598" i="1" l="1"/>
  <c r="H598" i="1"/>
  <c r="F598" i="1" l="1"/>
  <c r="I598" i="1" s="1"/>
  <c r="E599" i="1" s="1"/>
  <c r="H599" i="1" l="1"/>
  <c r="G599" i="1"/>
  <c r="F599" i="1" l="1"/>
  <c r="I599" i="1" l="1"/>
  <c r="E600" i="1" s="1"/>
  <c r="H600" i="1" l="1"/>
  <c r="F600" i="1" s="1"/>
  <c r="G600" i="1"/>
  <c r="I600" i="1" l="1"/>
  <c r="E601" i="1" s="1"/>
  <c r="G601" i="1" l="1"/>
  <c r="H601" i="1"/>
  <c r="F601" i="1" l="1"/>
  <c r="I601" i="1" s="1"/>
  <c r="E602" i="1" s="1"/>
  <c r="H602" i="1" l="1"/>
  <c r="G602" i="1"/>
  <c r="F602" i="1" l="1"/>
  <c r="I602" i="1" l="1"/>
  <c r="E603" i="1" s="1"/>
  <c r="H603" i="1" l="1"/>
  <c r="G603" i="1"/>
  <c r="F603" i="1"/>
  <c r="I603" i="1" l="1"/>
  <c r="E604" i="1" s="1"/>
  <c r="H604" i="1" l="1"/>
  <c r="G604" i="1"/>
  <c r="F604" i="1" l="1"/>
  <c r="I604" i="1" l="1"/>
  <c r="E605" i="1" s="1"/>
  <c r="G605" i="1" l="1"/>
  <c r="H605" i="1"/>
  <c r="F605" i="1" l="1"/>
  <c r="I605" i="1" s="1"/>
  <c r="E606" i="1" s="1"/>
  <c r="H606" i="1" l="1"/>
  <c r="G606" i="1"/>
  <c r="F606" i="1" l="1"/>
  <c r="I606" i="1" s="1"/>
  <c r="E607" i="1" s="1"/>
  <c r="H607" i="1" l="1"/>
  <c r="G607" i="1"/>
  <c r="F607" i="1" l="1"/>
  <c r="I607" i="1" l="1"/>
  <c r="E608" i="1" s="1"/>
  <c r="G608" i="1" l="1"/>
  <c r="H608" i="1"/>
  <c r="F608" i="1" s="1"/>
  <c r="I608" i="1" l="1"/>
  <c r="E609" i="1" s="1"/>
  <c r="H609" i="1" l="1"/>
  <c r="G609" i="1"/>
  <c r="F609" i="1" l="1"/>
  <c r="I609" i="1" s="1"/>
  <c r="E610" i="1" s="1"/>
  <c r="H610" i="1" l="1"/>
  <c r="G610" i="1"/>
  <c r="F610" i="1" l="1"/>
  <c r="I610" i="1" s="1"/>
  <c r="E611" i="1" s="1"/>
  <c r="H611" i="1" l="1"/>
  <c r="G611" i="1"/>
  <c r="F611" i="1" l="1"/>
  <c r="I611" i="1" s="1"/>
  <c r="E612" i="1" s="1"/>
  <c r="H612" i="1" l="1"/>
  <c r="G612" i="1"/>
  <c r="F612" i="1" l="1"/>
  <c r="I612" i="1" l="1"/>
  <c r="E613" i="1" s="1"/>
  <c r="G613" i="1" l="1"/>
  <c r="H613" i="1"/>
  <c r="F613" i="1" s="1"/>
  <c r="I613" i="1" l="1"/>
  <c r="E614" i="1" s="1"/>
  <c r="H614" i="1" l="1"/>
  <c r="G614" i="1"/>
  <c r="F614" i="1"/>
  <c r="I614" i="1" s="1"/>
  <c r="E615" i="1" s="1"/>
  <c r="G615" i="1" l="1"/>
  <c r="H615" i="1"/>
  <c r="F615" i="1" l="1"/>
  <c r="I615" i="1" s="1"/>
  <c r="E616" i="1" s="1"/>
  <c r="G616" i="1" l="1"/>
  <c r="H616" i="1"/>
  <c r="F616" i="1" l="1"/>
  <c r="I616" i="1" l="1"/>
  <c r="E617" i="1" s="1"/>
  <c r="G617" i="1" l="1"/>
  <c r="H617" i="1"/>
  <c r="F617" i="1" l="1"/>
  <c r="I617" i="1" s="1"/>
  <c r="E618" i="1" s="1"/>
  <c r="G618" i="1" l="1"/>
  <c r="H618" i="1"/>
  <c r="F618" i="1" l="1"/>
  <c r="I618" i="1" s="1"/>
  <c r="E619" i="1" s="1"/>
  <c r="H619" i="1" l="1"/>
  <c r="G619" i="1"/>
  <c r="F619" i="1" l="1"/>
  <c r="I619" i="1" s="1"/>
  <c r="E620" i="1" s="1"/>
  <c r="H620" i="1" l="1"/>
  <c r="G620" i="1"/>
  <c r="F620" i="1" l="1"/>
  <c r="I620" i="1" l="1"/>
  <c r="E621" i="1" s="1"/>
  <c r="H621" i="1" l="1"/>
  <c r="G621" i="1"/>
  <c r="F621" i="1"/>
  <c r="I621" i="1" l="1"/>
  <c r="E622" i="1" s="1"/>
  <c r="G622" i="1" l="1"/>
  <c r="H622" i="1"/>
  <c r="F622" i="1" l="1"/>
  <c r="I622" i="1" l="1"/>
  <c r="E623" i="1" s="1"/>
  <c r="H623" i="1" l="1"/>
  <c r="G623" i="1"/>
  <c r="F623" i="1"/>
  <c r="I623" i="1" l="1"/>
  <c r="E624" i="1" s="1"/>
  <c r="G624" i="1" l="1"/>
  <c r="H624" i="1"/>
  <c r="F624" i="1" l="1"/>
  <c r="I624" i="1" s="1"/>
  <c r="E625" i="1" s="1"/>
  <c r="H625" i="1" l="1"/>
  <c r="G625" i="1"/>
  <c r="F625" i="1" l="1"/>
  <c r="I625" i="1" s="1"/>
  <c r="E626" i="1" s="1"/>
  <c r="G626" i="1" l="1"/>
  <c r="H626" i="1"/>
  <c r="F626" i="1" l="1"/>
  <c r="I626" i="1" s="1"/>
  <c r="E627" i="1" s="1"/>
  <c r="G627" i="1" l="1"/>
  <c r="H627" i="1"/>
  <c r="F627" i="1" l="1"/>
  <c r="I627" i="1" s="1"/>
  <c r="E628" i="1" s="1"/>
  <c r="G628" i="1" l="1"/>
  <c r="H628" i="1"/>
  <c r="F628" i="1" l="1"/>
  <c r="I628" i="1" s="1"/>
  <c r="E629" i="1" s="1"/>
  <c r="H629" i="1" l="1"/>
  <c r="G629" i="1"/>
  <c r="F629" i="1" l="1"/>
  <c r="I629" i="1" s="1"/>
  <c r="E630" i="1" s="1"/>
  <c r="H630" i="1" l="1"/>
  <c r="G630" i="1"/>
  <c r="F630" i="1" l="1"/>
  <c r="I630" i="1" s="1"/>
  <c r="E631" i="1" s="1"/>
  <c r="G631" i="1" l="1"/>
  <c r="H631" i="1"/>
  <c r="F631" i="1" l="1"/>
  <c r="I631" i="1" s="1"/>
  <c r="E632" i="1" s="1"/>
  <c r="G632" i="1" l="1"/>
  <c r="H632" i="1"/>
  <c r="F632" i="1" l="1"/>
  <c r="I632" i="1" s="1"/>
  <c r="E633" i="1" s="1"/>
  <c r="G633" i="1" l="1"/>
  <c r="H633" i="1"/>
  <c r="F633" i="1" l="1"/>
  <c r="I633" i="1" s="1"/>
  <c r="E634" i="1" s="1"/>
  <c r="H634" i="1" l="1"/>
  <c r="G634" i="1"/>
  <c r="F634" i="1" l="1"/>
  <c r="I634" i="1" s="1"/>
  <c r="E635" i="1" s="1"/>
  <c r="G635" i="1" l="1"/>
  <c r="H635" i="1"/>
  <c r="F635" i="1" l="1"/>
  <c r="I635" i="1" s="1"/>
  <c r="E636" i="1" s="1"/>
  <c r="H636" i="1" l="1"/>
  <c r="G636" i="1"/>
  <c r="F636" i="1" l="1"/>
  <c r="I636" i="1" s="1"/>
  <c r="E637" i="1" s="1"/>
  <c r="G637" i="1" l="1"/>
  <c r="H637" i="1"/>
  <c r="F637" i="1" l="1"/>
  <c r="I637" i="1" s="1"/>
  <c r="E638" i="1" s="1"/>
  <c r="H638" i="1" l="1"/>
  <c r="G638" i="1"/>
  <c r="F638" i="1" l="1"/>
  <c r="I638" i="1" s="1"/>
  <c r="E639" i="1" s="1"/>
  <c r="G639" i="1" l="1"/>
  <c r="H639" i="1"/>
  <c r="F639" i="1" l="1"/>
  <c r="I639" i="1" l="1"/>
  <c r="E640" i="1" s="1"/>
  <c r="G640" i="1" l="1"/>
  <c r="H640" i="1"/>
  <c r="F640" i="1" l="1"/>
  <c r="I640" i="1" s="1"/>
  <c r="E641" i="1" s="1"/>
  <c r="G641" i="1" l="1"/>
  <c r="H641" i="1"/>
  <c r="F641" i="1" l="1"/>
  <c r="I641" i="1" s="1"/>
  <c r="E642" i="1" s="1"/>
  <c r="G642" i="1" l="1"/>
  <c r="H642" i="1"/>
  <c r="F642" i="1" l="1"/>
  <c r="I642" i="1" s="1"/>
  <c r="E643" i="1" s="1"/>
  <c r="G643" i="1" l="1"/>
  <c r="H643" i="1"/>
  <c r="F643" i="1" l="1"/>
  <c r="I643" i="1" l="1"/>
  <c r="E644" i="1" s="1"/>
  <c r="G644" i="1" l="1"/>
  <c r="H644" i="1"/>
  <c r="F644" i="1" l="1"/>
  <c r="I644" i="1" s="1"/>
  <c r="E645" i="1" s="1"/>
  <c r="G645" i="1" l="1"/>
  <c r="H645" i="1"/>
  <c r="F645" i="1" l="1"/>
  <c r="I645" i="1" l="1"/>
  <c r="E646" i="1" s="1"/>
  <c r="H646" i="1" l="1"/>
  <c r="F646" i="1" s="1"/>
  <c r="G646" i="1"/>
  <c r="I646" i="1" l="1"/>
  <c r="E647" i="1" s="1"/>
  <c r="H647" i="1" l="1"/>
  <c r="G647" i="1"/>
  <c r="F647" i="1" l="1"/>
  <c r="I647" i="1" l="1"/>
  <c r="E648" i="1" s="1"/>
  <c r="H648" i="1" l="1"/>
  <c r="F648" i="1" s="1"/>
  <c r="G648" i="1"/>
  <c r="I648" i="1" l="1"/>
  <c r="E649" i="1" s="1"/>
  <c r="H649" i="1" l="1"/>
  <c r="G649" i="1"/>
  <c r="F649" i="1" l="1"/>
  <c r="I649" i="1" s="1"/>
  <c r="E650" i="1" s="1"/>
  <c r="H650" i="1" l="1"/>
  <c r="G650" i="1"/>
  <c r="F650" i="1" l="1"/>
  <c r="I650" i="1" s="1"/>
  <c r="E651" i="1" s="1"/>
  <c r="G651" i="1" l="1"/>
  <c r="H651" i="1"/>
  <c r="F651" i="1" l="1"/>
  <c r="I651" i="1" s="1"/>
  <c r="E652" i="1" s="1"/>
  <c r="H652" i="1" l="1"/>
  <c r="G652" i="1"/>
  <c r="F652" i="1" l="1"/>
  <c r="I652" i="1" l="1"/>
  <c r="E653" i="1" s="1"/>
  <c r="G653" i="1" l="1"/>
  <c r="H653" i="1"/>
  <c r="F653" i="1" l="1"/>
  <c r="I653" i="1" s="1"/>
  <c r="E654" i="1" s="1"/>
  <c r="G654" i="1" l="1"/>
  <c r="H654" i="1"/>
  <c r="F654" i="1" l="1"/>
  <c r="I654" i="1" s="1"/>
  <c r="E655" i="1" s="1"/>
  <c r="G655" i="1" l="1"/>
  <c r="H655" i="1"/>
  <c r="F655" i="1" l="1"/>
  <c r="I655" i="1" s="1"/>
  <c r="E656" i="1" s="1"/>
  <c r="H656" i="1" l="1"/>
  <c r="G656" i="1"/>
  <c r="F656" i="1" l="1"/>
  <c r="I656" i="1" s="1"/>
  <c r="E657" i="1" s="1"/>
  <c r="H657" i="1" l="1"/>
  <c r="G657" i="1"/>
  <c r="F657" i="1" l="1"/>
  <c r="I657" i="1" s="1"/>
  <c r="E658" i="1" s="1"/>
  <c r="G658" i="1" l="1"/>
  <c r="H658" i="1"/>
  <c r="F658" i="1" l="1"/>
  <c r="I658" i="1" s="1"/>
  <c r="E659" i="1" s="1"/>
  <c r="G659" i="1" l="1"/>
  <c r="H659" i="1"/>
  <c r="F659" i="1" l="1"/>
  <c r="I659" i="1" s="1"/>
  <c r="E660" i="1" s="1"/>
  <c r="H660" i="1" l="1"/>
  <c r="G660" i="1"/>
  <c r="F660" i="1" l="1"/>
  <c r="I660" i="1" s="1"/>
  <c r="E661" i="1" s="1"/>
  <c r="H661" i="1" l="1"/>
  <c r="G661" i="1"/>
  <c r="F661" i="1" l="1"/>
  <c r="I661" i="1" s="1"/>
  <c r="E662" i="1" s="1"/>
  <c r="G662" i="1" l="1"/>
  <c r="H662" i="1"/>
  <c r="F662" i="1" l="1"/>
  <c r="I662" i="1" l="1"/>
  <c r="E663" i="1" s="1"/>
  <c r="G663" i="1" l="1"/>
  <c r="H663" i="1"/>
  <c r="F663" i="1" l="1"/>
  <c r="I663" i="1" s="1"/>
  <c r="E664" i="1" s="1"/>
  <c r="H664" i="1" l="1"/>
  <c r="G664" i="1"/>
  <c r="F664" i="1" l="1"/>
  <c r="I664" i="1" s="1"/>
  <c r="E665" i="1" s="1"/>
  <c r="H665" i="1" l="1"/>
  <c r="G665" i="1"/>
  <c r="F665" i="1" l="1"/>
  <c r="I665" i="1" l="1"/>
  <c r="E666" i="1" s="1"/>
  <c r="H666" i="1" l="1"/>
  <c r="G666" i="1"/>
  <c r="F666" i="1"/>
  <c r="I666" i="1" l="1"/>
  <c r="E667" i="1" s="1"/>
  <c r="H667" i="1" l="1"/>
  <c r="G667" i="1"/>
  <c r="F667" i="1" l="1"/>
  <c r="I667" i="1" s="1"/>
  <c r="E668" i="1" s="1"/>
  <c r="H668" i="1" l="1"/>
  <c r="G668" i="1"/>
  <c r="F668" i="1" l="1"/>
  <c r="I668" i="1" s="1"/>
  <c r="E669" i="1" s="1"/>
  <c r="H669" i="1" l="1"/>
  <c r="G669" i="1"/>
  <c r="F669" i="1" l="1"/>
  <c r="I669" i="1" l="1"/>
  <c r="E670" i="1" s="1"/>
  <c r="H670" i="1" l="1"/>
  <c r="F670" i="1" s="1"/>
  <c r="G670" i="1"/>
  <c r="I670" i="1" l="1"/>
  <c r="E671" i="1" l="1"/>
  <c r="G671" i="1" s="1"/>
  <c r="H671" i="1" l="1"/>
  <c r="F671" i="1" s="1"/>
  <c r="I671" i="1" s="1"/>
  <c r="E672" i="1" s="1"/>
  <c r="G672" i="1" l="1"/>
  <c r="H672" i="1"/>
  <c r="F672" i="1" s="1"/>
  <c r="I672" i="1" l="1"/>
  <c r="E673" i="1" s="1"/>
  <c r="H673" i="1" l="1"/>
  <c r="G673" i="1"/>
  <c r="F673" i="1"/>
  <c r="I673" i="1" l="1"/>
  <c r="E674" i="1" s="1"/>
  <c r="H674" i="1" l="1"/>
  <c r="G674" i="1"/>
  <c r="F674" i="1"/>
  <c r="I674" i="1" s="1"/>
  <c r="E675" i="1" s="1"/>
  <c r="H675" i="1" l="1"/>
  <c r="G675" i="1"/>
  <c r="F675" i="1" l="1"/>
  <c r="I675" i="1" s="1"/>
  <c r="E676" i="1" s="1"/>
  <c r="H676" i="1" l="1"/>
  <c r="G676" i="1"/>
  <c r="F676" i="1" l="1"/>
  <c r="I676" i="1" l="1"/>
  <c r="E677" i="1" s="1"/>
  <c r="H677" i="1" l="1"/>
  <c r="G677" i="1"/>
  <c r="F677" i="1"/>
  <c r="I677" i="1" l="1"/>
  <c r="E678" i="1" s="1"/>
  <c r="H678" i="1" l="1"/>
  <c r="G678" i="1"/>
  <c r="F678" i="1" l="1"/>
  <c r="I678" i="1" l="1"/>
  <c r="E679" i="1" s="1"/>
  <c r="H679" i="1" l="1"/>
  <c r="F679" i="1" s="1"/>
  <c r="G679" i="1"/>
  <c r="I679" i="1" l="1"/>
  <c r="E680" i="1" s="1"/>
  <c r="H680" i="1" l="1"/>
  <c r="G680" i="1"/>
  <c r="F680" i="1" l="1"/>
  <c r="I680" i="1" s="1"/>
  <c r="E681" i="1" s="1"/>
  <c r="H681" i="1" l="1"/>
  <c r="G681" i="1"/>
  <c r="F681" i="1" l="1"/>
  <c r="I681" i="1" l="1"/>
  <c r="E682" i="1" s="1"/>
  <c r="G682" i="1" l="1"/>
  <c r="H682" i="1"/>
  <c r="F682" i="1" s="1"/>
  <c r="I682" i="1" l="1"/>
  <c r="E683" i="1" s="1"/>
  <c r="H683" i="1" l="1"/>
  <c r="G683" i="1"/>
  <c r="F683" i="1" l="1"/>
  <c r="I683" i="1" s="1"/>
  <c r="E684" i="1" s="1"/>
  <c r="G684" i="1" l="1"/>
  <c r="H684" i="1"/>
  <c r="F684" i="1" l="1"/>
  <c r="I684" i="1" s="1"/>
  <c r="E685" i="1" s="1"/>
  <c r="H685" i="1" l="1"/>
  <c r="G685" i="1"/>
  <c r="F685" i="1" l="1"/>
  <c r="I685" i="1" l="1"/>
  <c r="E686" i="1" s="1"/>
  <c r="H686" i="1" l="1"/>
  <c r="G686" i="1"/>
  <c r="F686" i="1"/>
  <c r="I686" i="1" l="1"/>
  <c r="E687" i="1" s="1"/>
  <c r="H687" i="1" l="1"/>
  <c r="G687" i="1"/>
  <c r="F687" i="1" l="1"/>
  <c r="I687" i="1" l="1"/>
  <c r="E688" i="1" s="1"/>
  <c r="G688" i="1" l="1"/>
  <c r="H688" i="1"/>
  <c r="F688" i="1" l="1"/>
  <c r="I688" i="1" s="1"/>
  <c r="E689" i="1" s="1"/>
  <c r="H689" i="1" l="1"/>
  <c r="G689" i="1"/>
  <c r="F689" i="1" l="1"/>
  <c r="I689" i="1" l="1"/>
  <c r="E690" i="1" s="1"/>
  <c r="G690" i="1" l="1"/>
  <c r="H690" i="1"/>
  <c r="F690" i="1" s="1"/>
  <c r="I690" i="1" l="1"/>
  <c r="E691" i="1" s="1"/>
  <c r="G691" i="1" l="1"/>
  <c r="H691" i="1"/>
  <c r="F691" i="1" l="1"/>
  <c r="I691" i="1" s="1"/>
  <c r="E692" i="1" s="1"/>
  <c r="H692" i="1" l="1"/>
  <c r="G692" i="1"/>
  <c r="F692" i="1" l="1"/>
  <c r="I692" i="1" s="1"/>
  <c r="E693" i="1" s="1"/>
  <c r="H693" i="1" l="1"/>
  <c r="G693" i="1"/>
  <c r="F693" i="1" l="1"/>
  <c r="I693" i="1" s="1"/>
  <c r="E694" i="1" s="1"/>
  <c r="G694" i="1" l="1"/>
  <c r="H694" i="1"/>
  <c r="F694" i="1" l="1"/>
  <c r="I694" i="1" s="1"/>
  <c r="E695" i="1" s="1"/>
  <c r="H695" i="1" l="1"/>
  <c r="G695" i="1"/>
  <c r="F695" i="1" l="1"/>
  <c r="I695" i="1" s="1"/>
  <c r="E696" i="1" s="1"/>
  <c r="H696" i="1" l="1"/>
  <c r="G696" i="1"/>
  <c r="F696" i="1" l="1"/>
  <c r="I696" i="1" s="1"/>
  <c r="E697" i="1" s="1"/>
  <c r="G697" i="1" l="1"/>
  <c r="H697" i="1"/>
  <c r="F697" i="1" l="1"/>
  <c r="I697" i="1" s="1"/>
  <c r="E698" i="1" s="1"/>
  <c r="G698" i="1" l="1"/>
  <c r="H698" i="1"/>
  <c r="F698" i="1" l="1"/>
  <c r="I698" i="1" s="1"/>
  <c r="E699" i="1" s="1"/>
  <c r="G699" i="1" l="1"/>
  <c r="H699" i="1"/>
  <c r="F699" i="1" l="1"/>
  <c r="I699" i="1" s="1"/>
  <c r="E700" i="1" s="1"/>
  <c r="H700" i="1" l="1"/>
  <c r="G700" i="1"/>
  <c r="F700" i="1" l="1"/>
  <c r="I700" i="1" s="1"/>
  <c r="E701" i="1" s="1"/>
  <c r="H701" i="1" l="1"/>
  <c r="G701" i="1"/>
  <c r="F701" i="1" l="1"/>
  <c r="I701" i="1" s="1"/>
  <c r="E702" i="1" s="1"/>
  <c r="H702" i="1" l="1"/>
  <c r="G702" i="1"/>
  <c r="F702" i="1" l="1"/>
  <c r="I702" i="1" s="1"/>
  <c r="E703" i="1" s="1"/>
  <c r="H703" i="1" l="1"/>
  <c r="G703" i="1"/>
  <c r="F703" i="1" l="1"/>
  <c r="I703" i="1" s="1"/>
  <c r="E704" i="1" s="1"/>
  <c r="G704" i="1" l="1"/>
  <c r="H704" i="1"/>
  <c r="F704" i="1" l="1"/>
  <c r="I704" i="1" s="1"/>
  <c r="E705" i="1" s="1"/>
  <c r="H705" i="1" l="1"/>
  <c r="G705" i="1"/>
  <c r="F705" i="1" l="1"/>
  <c r="I705" i="1" s="1"/>
  <c r="E706" i="1" s="1"/>
  <c r="G706" i="1" l="1"/>
  <c r="H706" i="1"/>
  <c r="F706" i="1" l="1"/>
  <c r="I706" i="1" s="1"/>
  <c r="E707" i="1" s="1"/>
  <c r="H707" i="1" l="1"/>
  <c r="G707" i="1"/>
  <c r="F707" i="1" l="1"/>
  <c r="I707" i="1" s="1"/>
  <c r="E708" i="1" s="1"/>
  <c r="H708" i="1" l="1"/>
  <c r="G708" i="1"/>
  <c r="F708" i="1" l="1"/>
  <c r="I708" i="1" s="1"/>
  <c r="E709" i="1" s="1"/>
  <c r="G709" i="1" l="1"/>
  <c r="H709" i="1"/>
  <c r="F709" i="1" l="1"/>
  <c r="I709" i="1" s="1"/>
  <c r="E710" i="1" s="1"/>
  <c r="G710" i="1" l="1"/>
  <c r="H710" i="1"/>
  <c r="F710" i="1" l="1"/>
  <c r="I710" i="1" s="1"/>
  <c r="E711" i="1" s="1"/>
  <c r="H711" i="1" l="1"/>
  <c r="G711" i="1"/>
  <c r="F711" i="1" l="1"/>
  <c r="I711" i="1" l="1"/>
  <c r="E712" i="1" s="1"/>
  <c r="H712" i="1" l="1"/>
  <c r="G712" i="1"/>
  <c r="F712" i="1"/>
  <c r="I712" i="1" l="1"/>
  <c r="E713" i="1" s="1"/>
  <c r="H713" i="1" l="1"/>
  <c r="G713" i="1"/>
  <c r="F713" i="1" l="1"/>
  <c r="I713" i="1" s="1"/>
  <c r="E714" i="1" s="1"/>
  <c r="H714" i="1" l="1"/>
  <c r="G714" i="1"/>
  <c r="F714" i="1" l="1"/>
  <c r="I714" i="1" s="1"/>
  <c r="E715" i="1" s="1"/>
  <c r="G715" i="1" l="1"/>
  <c r="H715" i="1"/>
  <c r="F715" i="1" l="1"/>
  <c r="I715" i="1" s="1"/>
  <c r="E716" i="1" s="1"/>
  <c r="H716" i="1" l="1"/>
  <c r="G716" i="1"/>
  <c r="F716" i="1" l="1"/>
  <c r="I716" i="1" s="1"/>
  <c r="E717" i="1" s="1"/>
  <c r="G717" i="1" l="1"/>
  <c r="H717" i="1"/>
  <c r="F717" i="1" l="1"/>
  <c r="I717" i="1" s="1"/>
  <c r="E718" i="1" s="1"/>
  <c r="H718" i="1" l="1"/>
  <c r="G718" i="1"/>
  <c r="F718" i="1" l="1"/>
  <c r="I718" i="1" s="1"/>
  <c r="E719" i="1" s="1"/>
  <c r="H719" i="1" l="1"/>
  <c r="G719" i="1"/>
  <c r="F719" i="1" l="1"/>
  <c r="I719" i="1" s="1"/>
  <c r="E720" i="1" s="1"/>
  <c r="H720" i="1" l="1"/>
  <c r="G720" i="1"/>
  <c r="F720" i="1" l="1"/>
  <c r="I720" i="1" s="1"/>
  <c r="E721" i="1" s="1"/>
  <c r="H721" i="1" l="1"/>
  <c r="G721" i="1"/>
  <c r="F721" i="1" l="1"/>
  <c r="I721" i="1" s="1"/>
  <c r="E722" i="1" s="1"/>
  <c r="H722" i="1" l="1"/>
  <c r="G722" i="1"/>
  <c r="F722" i="1" l="1"/>
  <c r="I722" i="1" s="1"/>
  <c r="E723" i="1" s="1"/>
  <c r="H723" i="1" l="1"/>
  <c r="G723" i="1"/>
  <c r="F723" i="1" l="1"/>
  <c r="I723" i="1" s="1"/>
  <c r="E724" i="1" s="1"/>
  <c r="G724" i="1" l="1"/>
  <c r="H724" i="1"/>
  <c r="F724" i="1" l="1"/>
  <c r="I724" i="1" s="1"/>
  <c r="E725" i="1" s="1"/>
  <c r="H725" i="1" l="1"/>
  <c r="G725" i="1"/>
  <c r="F725" i="1" l="1"/>
  <c r="I725" i="1" s="1"/>
  <c r="E726" i="1" s="1"/>
  <c r="H726" i="1" l="1"/>
  <c r="G726" i="1"/>
  <c r="F726" i="1" l="1"/>
  <c r="I726" i="1" s="1"/>
  <c r="E727" i="1" s="1"/>
  <c r="H727" i="1" l="1"/>
  <c r="G727" i="1"/>
  <c r="F727" i="1" l="1"/>
  <c r="I727" i="1" l="1"/>
  <c r="E728" i="1" s="1"/>
  <c r="G728" i="1" l="1"/>
  <c r="H728" i="1"/>
  <c r="F728" i="1" l="1"/>
  <c r="I728" i="1" s="1"/>
  <c r="E729" i="1" s="1"/>
  <c r="G729" i="1" l="1"/>
  <c r="H729" i="1"/>
  <c r="F729" i="1" l="1"/>
  <c r="I729" i="1" s="1"/>
  <c r="E730" i="1" s="1"/>
  <c r="G730" i="1" l="1"/>
  <c r="H730" i="1"/>
  <c r="F730" i="1" l="1"/>
  <c r="I730" i="1" s="1"/>
  <c r="E731" i="1" s="1"/>
  <c r="H731" i="1" l="1"/>
  <c r="G731" i="1"/>
  <c r="F731" i="1" l="1"/>
  <c r="I731" i="1" s="1"/>
  <c r="E732" i="1" s="1"/>
  <c r="G732" i="1" l="1"/>
  <c r="H732" i="1"/>
  <c r="F732" i="1" l="1"/>
  <c r="I732" i="1" s="1"/>
  <c r="E733" i="1" s="1"/>
  <c r="G733" i="1" l="1"/>
  <c r="H733" i="1"/>
  <c r="F733" i="1" l="1"/>
  <c r="I733" i="1" s="1"/>
  <c r="E734" i="1" s="1"/>
  <c r="G734" i="1" l="1"/>
  <c r="H734" i="1"/>
  <c r="F734" i="1" l="1"/>
  <c r="I734" i="1" s="1"/>
  <c r="E735" i="1" s="1"/>
  <c r="H735" i="1" l="1"/>
  <c r="G735" i="1"/>
  <c r="F735" i="1" l="1"/>
  <c r="I735" i="1" s="1"/>
  <c r="E736" i="1" s="1"/>
  <c r="G736" i="1" l="1"/>
  <c r="H736" i="1"/>
  <c r="F736" i="1" l="1"/>
  <c r="I736" i="1" s="1"/>
  <c r="E737" i="1" s="1"/>
  <c r="H737" i="1" l="1"/>
  <c r="G737" i="1"/>
  <c r="F737" i="1" l="1"/>
  <c r="I737" i="1" s="1"/>
  <c r="E738" i="1" s="1"/>
  <c r="G738" i="1" l="1"/>
  <c r="H738" i="1"/>
  <c r="F738" i="1" l="1"/>
  <c r="I738" i="1" s="1"/>
  <c r="E739" i="1" s="1"/>
  <c r="H739" i="1" l="1"/>
  <c r="G739" i="1"/>
  <c r="F739" i="1" l="1"/>
  <c r="I739" i="1" l="1"/>
  <c r="E740" i="1" s="1"/>
  <c r="H740" i="1" l="1"/>
  <c r="G740" i="1"/>
  <c r="E6" i="2"/>
  <c r="F740" i="1"/>
  <c r="F6" i="2"/>
  <c r="G6" i="2"/>
  <c r="J6" i="2" l="1"/>
  <c r="K6" i="2" s="1"/>
  <c r="I6" i="2"/>
  <c r="I740" i="1"/>
  <c r="E741" i="1" s="1"/>
  <c r="G741" i="1" l="1"/>
  <c r="H741" i="1"/>
  <c r="F741" i="1" s="1"/>
  <c r="I741" i="1" l="1"/>
  <c r="E742" i="1" s="1"/>
  <c r="H742" i="1" l="1"/>
  <c r="G742" i="1"/>
  <c r="F742" i="1" l="1"/>
  <c r="I742" i="1" s="1"/>
  <c r="E743" i="1" s="1"/>
  <c r="H743" i="1" l="1"/>
  <c r="G743" i="1"/>
  <c r="F743" i="1" l="1"/>
  <c r="I743" i="1" s="1"/>
  <c r="E744" i="1" s="1"/>
  <c r="H744" i="1" l="1"/>
  <c r="G744" i="1"/>
  <c r="F744" i="1" l="1"/>
  <c r="I744" i="1" s="1"/>
  <c r="E745" i="1" s="1"/>
  <c r="H745" i="1" l="1"/>
  <c r="G745" i="1"/>
  <c r="F745" i="1" l="1"/>
  <c r="I745" i="1" l="1"/>
  <c r="E746" i="1" s="1"/>
  <c r="G746" i="1" l="1"/>
  <c r="H746" i="1"/>
  <c r="F746" i="1"/>
  <c r="I746" i="1" l="1"/>
  <c r="E747" i="1" s="1"/>
  <c r="H747" i="1" l="1"/>
  <c r="G747" i="1"/>
  <c r="F747" i="1" l="1"/>
  <c r="I747" i="1" l="1"/>
  <c r="E748" i="1" s="1"/>
  <c r="H748" i="1" l="1"/>
  <c r="G748" i="1"/>
  <c r="F748" i="1"/>
  <c r="I748" i="1" l="1"/>
  <c r="E749" i="1" s="1"/>
  <c r="G749" i="1" l="1"/>
  <c r="H749" i="1"/>
  <c r="F749" i="1" l="1"/>
  <c r="I749" i="1" s="1"/>
  <c r="E750" i="1" s="1"/>
  <c r="G750" i="1" l="1"/>
  <c r="H750" i="1"/>
  <c r="F750" i="1" l="1"/>
  <c r="I750" i="1" s="1"/>
  <c r="E751" i="1" s="1"/>
  <c r="G751" i="1" l="1"/>
  <c r="H751" i="1"/>
  <c r="F751" i="1" l="1"/>
  <c r="I751" i="1" s="1"/>
  <c r="E752" i="1" s="1"/>
  <c r="G752" i="1" l="1"/>
  <c r="H752" i="1"/>
  <c r="F752" i="1" l="1"/>
  <c r="I752" i="1" s="1"/>
  <c r="E753" i="1" s="1"/>
  <c r="G753" i="1" l="1"/>
  <c r="H753" i="1"/>
  <c r="F753" i="1" l="1"/>
  <c r="I753" i="1" l="1"/>
  <c r="E754" i="1" s="1"/>
  <c r="H754" i="1" l="1"/>
  <c r="G754" i="1"/>
  <c r="F754" i="1"/>
  <c r="I754" i="1" l="1"/>
  <c r="E755" i="1" s="1"/>
  <c r="H755" i="1" l="1"/>
  <c r="G755" i="1"/>
  <c r="F755" i="1"/>
  <c r="I755" i="1" l="1"/>
  <c r="E756" i="1" s="1"/>
  <c r="H756" i="1" l="1"/>
  <c r="F756" i="1" s="1"/>
  <c r="G756" i="1"/>
  <c r="I756" i="1" l="1"/>
  <c r="E757" i="1" s="1"/>
  <c r="H757" i="1" l="1"/>
  <c r="G757" i="1"/>
  <c r="F757" i="1" l="1"/>
  <c r="I757" i="1" s="1"/>
  <c r="E758" i="1" s="1"/>
  <c r="H758" i="1" l="1"/>
  <c r="G758" i="1"/>
  <c r="F758" i="1" l="1"/>
  <c r="I758" i="1" l="1"/>
  <c r="E759" i="1" s="1"/>
  <c r="G759" i="1" l="1"/>
  <c r="H759" i="1"/>
  <c r="F759" i="1" s="1"/>
  <c r="I759" i="1" l="1"/>
  <c r="E760" i="1" s="1"/>
  <c r="H760" i="1" l="1"/>
  <c r="G760" i="1"/>
  <c r="F760" i="1" l="1"/>
  <c r="I760" i="1" s="1"/>
  <c r="E761" i="1" s="1"/>
  <c r="H761" i="1" l="1"/>
  <c r="G761" i="1"/>
  <c r="F761" i="1" l="1"/>
  <c r="I761" i="1" l="1"/>
  <c r="E762" i="1" s="1"/>
  <c r="G762" i="1" l="1"/>
  <c r="H762" i="1"/>
  <c r="F762" i="1"/>
  <c r="I762" i="1" l="1"/>
  <c r="E763" i="1" s="1"/>
  <c r="H763" i="1" l="1"/>
  <c r="F763" i="1" s="1"/>
  <c r="G763" i="1"/>
  <c r="I763" i="1" l="1"/>
  <c r="E764" i="1" s="1"/>
  <c r="G764" i="1" l="1"/>
  <c r="H764" i="1"/>
  <c r="F764" i="1" s="1"/>
  <c r="I764" i="1" l="1"/>
  <c r="E765" i="1" s="1"/>
  <c r="G765" i="1" l="1"/>
  <c r="H765" i="1"/>
  <c r="F765" i="1" l="1"/>
  <c r="I765" i="1" s="1"/>
  <c r="E766" i="1" s="1"/>
  <c r="G766" i="1" l="1"/>
  <c r="H766" i="1"/>
  <c r="F766" i="1" l="1"/>
  <c r="I766" i="1" l="1"/>
  <c r="E767" i="1" s="1"/>
  <c r="H767" i="1" l="1"/>
  <c r="G767" i="1"/>
  <c r="F767" i="1"/>
  <c r="I767" i="1" l="1"/>
  <c r="E768" i="1" s="1"/>
  <c r="G768" i="1" l="1"/>
  <c r="H768" i="1"/>
  <c r="F768" i="1" l="1"/>
  <c r="I768" i="1" l="1"/>
  <c r="E769" i="1" s="1"/>
  <c r="H769" i="1" l="1"/>
  <c r="F769" i="1" s="1"/>
  <c r="G769" i="1"/>
  <c r="I769" i="1" l="1"/>
  <c r="E770" i="1" s="1"/>
  <c r="H770" i="1" l="1"/>
  <c r="F770" i="1" s="1"/>
  <c r="G770" i="1"/>
  <c r="I770" i="1" l="1"/>
  <c r="E771" i="1" s="1"/>
  <c r="G771" i="1" l="1"/>
  <c r="H771" i="1"/>
  <c r="F771" i="1" l="1"/>
  <c r="I771" i="1" s="1"/>
  <c r="E772" i="1" s="1"/>
  <c r="H772" i="1" l="1"/>
  <c r="G772" i="1"/>
  <c r="F772" i="1" l="1"/>
  <c r="I772" i="1" l="1"/>
  <c r="E773" i="1" s="1"/>
  <c r="G773" i="1" l="1"/>
  <c r="H773" i="1"/>
  <c r="F773" i="1" s="1"/>
  <c r="I773" i="1" l="1"/>
  <c r="E774" i="1" s="1"/>
  <c r="H774" i="1" l="1"/>
  <c r="G774" i="1"/>
  <c r="F774" i="1" l="1"/>
  <c r="I774" i="1" s="1"/>
  <c r="E775" i="1" s="1"/>
  <c r="G775" i="1" l="1"/>
  <c r="H775" i="1"/>
  <c r="F775" i="1" l="1"/>
  <c r="I775" i="1" l="1"/>
  <c r="E776" i="1" s="1"/>
  <c r="G776" i="1" l="1"/>
  <c r="H776" i="1"/>
  <c r="F776" i="1" s="1"/>
  <c r="I776" i="1" l="1"/>
  <c r="E777" i="1" s="1"/>
  <c r="G777" i="1" l="1"/>
  <c r="H777" i="1"/>
  <c r="F777" i="1" l="1"/>
  <c r="I777" i="1" s="1"/>
  <c r="E778" i="1" s="1"/>
  <c r="H778" i="1" l="1"/>
  <c r="G778" i="1"/>
  <c r="F778" i="1" l="1"/>
  <c r="I778" i="1" s="1"/>
  <c r="E779" i="1" s="1"/>
  <c r="G779" i="1" l="1"/>
  <c r="H779" i="1"/>
  <c r="F779" i="1" l="1"/>
  <c r="I779" i="1" l="1"/>
  <c r="E780" i="1" s="1"/>
  <c r="G780" i="1" l="1"/>
  <c r="H780" i="1"/>
  <c r="F780" i="1"/>
  <c r="I780" i="1" l="1"/>
  <c r="E781" i="1" s="1"/>
  <c r="G781" i="1" l="1"/>
  <c r="H781" i="1"/>
  <c r="F781" i="1" l="1"/>
  <c r="I781" i="1" l="1"/>
  <c r="E782" i="1" s="1"/>
  <c r="G782" i="1" l="1"/>
  <c r="H782" i="1"/>
  <c r="F782" i="1" s="1"/>
  <c r="I782" i="1" l="1"/>
  <c r="E783" i="1" s="1"/>
  <c r="H783" i="1" l="1"/>
  <c r="G783" i="1"/>
  <c r="F783" i="1"/>
  <c r="I783" i="1" l="1"/>
  <c r="E784" i="1" s="1"/>
  <c r="G784" i="1" l="1"/>
  <c r="H784" i="1"/>
  <c r="F784" i="1" l="1"/>
  <c r="I784" i="1" l="1"/>
  <c r="E785" i="1" s="1"/>
  <c r="G785" i="1" l="1"/>
  <c r="H785" i="1"/>
  <c r="F785" i="1"/>
  <c r="I785" i="1" l="1"/>
  <c r="E786" i="1" l="1"/>
  <c r="H786" i="1" s="1"/>
  <c r="F786" i="1" s="1"/>
  <c r="G786" i="1" l="1"/>
  <c r="I786" i="1"/>
  <c r="E787" i="1" s="1"/>
  <c r="H787" i="1" l="1"/>
  <c r="G787" i="1"/>
  <c r="F787" i="1" l="1"/>
  <c r="I787" i="1" l="1"/>
  <c r="E788" i="1" s="1"/>
  <c r="H788" i="1" l="1"/>
  <c r="G788" i="1"/>
  <c r="F788" i="1"/>
  <c r="I788" i="1" l="1"/>
  <c r="E789" i="1" s="1"/>
  <c r="H789" i="1" l="1"/>
  <c r="G789" i="1"/>
  <c r="F789" i="1"/>
  <c r="I789" i="1" l="1"/>
  <c r="E790" i="1" s="1"/>
  <c r="H790" i="1" l="1"/>
  <c r="G790" i="1"/>
  <c r="F790" i="1"/>
  <c r="I790" i="1" l="1"/>
  <c r="E791" i="1" s="1"/>
  <c r="H791" i="1" l="1"/>
  <c r="G791" i="1"/>
  <c r="F791" i="1"/>
  <c r="I791" i="1" l="1"/>
  <c r="E792" i="1" s="1"/>
  <c r="H792" i="1" l="1"/>
  <c r="G792" i="1"/>
  <c r="F792" i="1"/>
  <c r="I792" i="1" l="1"/>
  <c r="E793" i="1" s="1"/>
  <c r="G793" i="1" l="1"/>
  <c r="H793" i="1"/>
  <c r="F793" i="1" s="1"/>
  <c r="I793" i="1" l="1"/>
  <c r="E794" i="1" s="1"/>
  <c r="G794" i="1" l="1"/>
  <c r="H794" i="1"/>
  <c r="F794" i="1" l="1"/>
  <c r="I794" i="1" s="1"/>
  <c r="E795" i="1" s="1"/>
  <c r="H795" i="1" l="1"/>
  <c r="G795" i="1"/>
  <c r="F795" i="1"/>
  <c r="I795" i="1" s="1"/>
  <c r="E796" i="1" s="1"/>
  <c r="H796" i="1" l="1"/>
  <c r="G796" i="1"/>
  <c r="F796" i="1" l="1"/>
  <c r="I796" i="1" s="1"/>
  <c r="E797" i="1" s="1"/>
  <c r="G797" i="1" l="1"/>
  <c r="H797" i="1"/>
  <c r="F797" i="1" l="1"/>
  <c r="I797" i="1" s="1"/>
  <c r="E798" i="1" s="1"/>
  <c r="G798" i="1" l="1"/>
  <c r="H798" i="1"/>
  <c r="F798" i="1" l="1"/>
  <c r="I798" i="1" s="1"/>
  <c r="E799" i="1" s="1"/>
  <c r="H799" i="1" l="1"/>
  <c r="G799" i="1"/>
  <c r="F799" i="1" l="1"/>
  <c r="I799" i="1" l="1"/>
  <c r="E800" i="1" s="1"/>
  <c r="G800" i="1" l="1"/>
  <c r="H800" i="1"/>
  <c r="F800" i="1" s="1"/>
  <c r="I800" i="1" l="1"/>
  <c r="E801" i="1" s="1"/>
  <c r="H801" i="1" l="1"/>
  <c r="F801" i="1" s="1"/>
  <c r="I801" i="1" s="1"/>
  <c r="E802" i="1" s="1"/>
  <c r="G801" i="1"/>
  <c r="G802" i="1" l="1"/>
  <c r="H802" i="1"/>
  <c r="F802" i="1" l="1"/>
  <c r="I802" i="1" s="1"/>
  <c r="E803" i="1" s="1"/>
  <c r="H803" i="1" l="1"/>
  <c r="G803" i="1"/>
  <c r="F803" i="1" l="1"/>
  <c r="I803" i="1" s="1"/>
  <c r="E804" i="1" s="1"/>
  <c r="H804" i="1" l="1"/>
  <c r="G804" i="1"/>
  <c r="F804" i="1" l="1"/>
  <c r="I804" i="1" s="1"/>
  <c r="E805" i="1" s="1"/>
  <c r="H805" i="1" l="1"/>
  <c r="G805" i="1"/>
  <c r="F805" i="1" l="1"/>
  <c r="I805" i="1" l="1"/>
  <c r="E806" i="1" s="1"/>
  <c r="H806" i="1" l="1"/>
  <c r="G806" i="1"/>
  <c r="F806" i="1"/>
  <c r="I806" i="1" l="1"/>
  <c r="E807" i="1" s="1"/>
  <c r="H807" i="1" l="1"/>
  <c r="G807" i="1"/>
  <c r="F807" i="1"/>
  <c r="I807" i="1" l="1"/>
  <c r="E808" i="1" s="1"/>
  <c r="H808" i="1" l="1"/>
  <c r="G808" i="1"/>
  <c r="F808" i="1" l="1"/>
  <c r="I808" i="1" l="1"/>
  <c r="E809" i="1" s="1"/>
  <c r="G809" i="1" l="1"/>
  <c r="H809" i="1"/>
  <c r="F809" i="1" s="1"/>
  <c r="I809" i="1" l="1"/>
  <c r="E810" i="1" s="1"/>
  <c r="G810" i="1" l="1"/>
  <c r="H810" i="1"/>
  <c r="F810" i="1" l="1"/>
  <c r="I810" i="1" s="1"/>
  <c r="E811" i="1" s="1"/>
  <c r="H811" i="1" l="1"/>
  <c r="G811" i="1"/>
  <c r="F811" i="1" l="1"/>
  <c r="I811" i="1" l="1"/>
  <c r="E812" i="1" s="1"/>
  <c r="H812" i="1" l="1"/>
  <c r="G812" i="1"/>
  <c r="F812" i="1"/>
  <c r="I812" i="1" l="1"/>
  <c r="E813" i="1" s="1"/>
  <c r="G813" i="1" l="1"/>
  <c r="H813" i="1"/>
  <c r="F813" i="1" l="1"/>
  <c r="I813" i="1" s="1"/>
  <c r="E814" i="1" s="1"/>
  <c r="H814" i="1" l="1"/>
  <c r="G814" i="1"/>
  <c r="F814" i="1" l="1"/>
  <c r="I814" i="1" l="1"/>
  <c r="E815" i="1" s="1"/>
  <c r="H815" i="1" l="1"/>
  <c r="G815" i="1"/>
  <c r="F815" i="1"/>
  <c r="I815" i="1" l="1"/>
  <c r="E816" i="1" s="1"/>
  <c r="G816" i="1" l="1"/>
  <c r="H816" i="1"/>
  <c r="F816" i="1" s="1"/>
  <c r="I816" i="1" l="1"/>
  <c r="E817" i="1" s="1"/>
  <c r="H817" i="1" l="1"/>
  <c r="G817" i="1"/>
  <c r="F817" i="1" l="1"/>
  <c r="I817" i="1" s="1"/>
  <c r="E818" i="1" s="1"/>
  <c r="G818" i="1" l="1"/>
  <c r="H818" i="1"/>
  <c r="F818" i="1" l="1"/>
  <c r="I818" i="1" l="1"/>
  <c r="E819" i="1" s="1"/>
  <c r="H819" i="1" l="1"/>
  <c r="F819" i="1" s="1"/>
  <c r="G819" i="1"/>
  <c r="I819" i="1" l="1"/>
  <c r="E820" i="1" s="1"/>
  <c r="G820" i="1" l="1"/>
  <c r="H820" i="1"/>
  <c r="F820" i="1" l="1"/>
  <c r="I820" i="1" s="1"/>
  <c r="E821" i="1" s="1"/>
  <c r="H821" i="1" l="1"/>
  <c r="G821" i="1"/>
  <c r="F821" i="1" l="1"/>
  <c r="I821" i="1" l="1"/>
  <c r="E822" i="1" s="1"/>
  <c r="G822" i="1" l="1"/>
  <c r="H822" i="1"/>
  <c r="F822" i="1" s="1"/>
  <c r="I822" i="1" l="1"/>
  <c r="E823" i="1" s="1"/>
  <c r="H823" i="1" l="1"/>
  <c r="F823" i="1" s="1"/>
  <c r="I823" i="1" s="1"/>
  <c r="E824" i="1" s="1"/>
  <c r="G823" i="1"/>
  <c r="H824" i="1" l="1"/>
  <c r="G824" i="1"/>
  <c r="F824" i="1" l="1"/>
  <c r="I824" i="1" l="1"/>
  <c r="E825" i="1" s="1"/>
  <c r="H825" i="1" l="1"/>
  <c r="G825" i="1"/>
  <c r="F825" i="1"/>
  <c r="I825" i="1" l="1"/>
  <c r="E826" i="1" s="1"/>
  <c r="H826" i="1" l="1"/>
  <c r="G826" i="1"/>
  <c r="F826" i="1"/>
  <c r="I826" i="1" l="1"/>
  <c r="E827" i="1" s="1"/>
  <c r="H827" i="1" l="1"/>
  <c r="G827" i="1"/>
  <c r="F827" i="1"/>
  <c r="I827" i="1" l="1"/>
  <c r="E828" i="1" s="1"/>
  <c r="H828" i="1" l="1"/>
  <c r="G828" i="1"/>
  <c r="F828" i="1"/>
  <c r="I828" i="1" l="1"/>
  <c r="E829" i="1" s="1"/>
  <c r="H829" i="1" l="1"/>
  <c r="G829" i="1"/>
  <c r="F829" i="1" l="1"/>
  <c r="I829" i="1" l="1"/>
  <c r="E830" i="1" s="1"/>
  <c r="H830" i="1" l="1"/>
  <c r="G830" i="1"/>
  <c r="F830" i="1"/>
  <c r="I830" i="1" l="1"/>
  <c r="E831" i="1" s="1"/>
  <c r="H831" i="1" l="1"/>
  <c r="F831" i="1" s="1"/>
  <c r="G831" i="1"/>
  <c r="I831" i="1" l="1"/>
  <c r="E832" i="1" s="1"/>
  <c r="H832" i="1" l="1"/>
  <c r="F832" i="1" s="1"/>
  <c r="G832" i="1"/>
  <c r="I832" i="1" l="1"/>
  <c r="E833" i="1" s="1"/>
  <c r="H833" i="1" l="1"/>
  <c r="F833" i="1" s="1"/>
  <c r="G833" i="1"/>
  <c r="I833" i="1" l="1"/>
  <c r="E834" i="1" s="1"/>
  <c r="H834" i="1" l="1"/>
  <c r="F834" i="1" s="1"/>
  <c r="G834" i="1"/>
  <c r="I834" i="1" l="1"/>
  <c r="E835" i="1" s="1"/>
  <c r="H835" i="1" l="1"/>
  <c r="F835" i="1" s="1"/>
  <c r="G835" i="1"/>
  <c r="I835" i="1" l="1"/>
  <c r="E836" i="1" s="1"/>
  <c r="G836" i="1" l="1"/>
  <c r="H836" i="1"/>
  <c r="F836" i="1" l="1"/>
  <c r="I836" i="1" s="1"/>
  <c r="E837" i="1" s="1"/>
  <c r="H837" i="1" l="1"/>
  <c r="G837" i="1"/>
  <c r="F837" i="1" l="1"/>
  <c r="I837" i="1" s="1"/>
  <c r="E838" i="1" s="1"/>
  <c r="H838" i="1" l="1"/>
  <c r="G838" i="1"/>
  <c r="F838" i="1" l="1"/>
  <c r="I838" i="1" l="1"/>
  <c r="E839" i="1" s="1"/>
  <c r="H839" i="1" l="1"/>
  <c r="G839" i="1"/>
  <c r="F839" i="1"/>
  <c r="I839" i="1" l="1"/>
  <c r="E840" i="1" l="1"/>
  <c r="G840" i="1" s="1"/>
  <c r="H840" i="1" l="1"/>
  <c r="F840" i="1" s="1"/>
  <c r="I840" i="1" s="1"/>
  <c r="E841" i="1" s="1"/>
  <c r="H841" i="1" l="1"/>
  <c r="G841" i="1"/>
  <c r="F841" i="1"/>
  <c r="I841" i="1" l="1"/>
  <c r="E842" i="1" s="1"/>
  <c r="G842" i="1" l="1"/>
  <c r="H842" i="1"/>
  <c r="F842" i="1" l="1"/>
  <c r="I842" i="1" l="1"/>
  <c r="E843" i="1" s="1"/>
  <c r="H843" i="1" l="1"/>
  <c r="G843" i="1"/>
  <c r="F843" i="1" l="1"/>
  <c r="I843" i="1" s="1"/>
  <c r="E844" i="1" s="1"/>
  <c r="H844" i="1" l="1"/>
  <c r="G844" i="1"/>
  <c r="F844" i="1"/>
  <c r="I844" i="1" l="1"/>
  <c r="E845" i="1" s="1"/>
  <c r="H845" i="1" l="1"/>
  <c r="G845" i="1"/>
  <c r="F845" i="1" l="1"/>
  <c r="I845" i="1" s="1"/>
  <c r="E846" i="1" s="1"/>
  <c r="G846" i="1" l="1"/>
  <c r="H846" i="1"/>
  <c r="F846" i="1" l="1"/>
  <c r="I846" i="1" l="1"/>
  <c r="E847" i="1" s="1"/>
  <c r="G847" i="1" l="1"/>
  <c r="H847" i="1"/>
  <c r="F847" i="1" l="1"/>
  <c r="I847" i="1" s="1"/>
  <c r="E848" i="1" s="1"/>
  <c r="G848" i="1" l="1"/>
  <c r="H848" i="1"/>
  <c r="F848" i="1" l="1"/>
  <c r="I848" i="1" s="1"/>
  <c r="E849" i="1" s="1"/>
  <c r="H849" i="1" l="1"/>
  <c r="G849" i="1"/>
  <c r="F849" i="1" l="1"/>
  <c r="I849" i="1" s="1"/>
  <c r="E850" i="1" s="1"/>
  <c r="H850" i="1" l="1"/>
  <c r="G850" i="1"/>
  <c r="F850" i="1" l="1"/>
  <c r="I850" i="1" s="1"/>
  <c r="E851" i="1" s="1"/>
  <c r="G851" i="1" l="1"/>
  <c r="H851" i="1"/>
  <c r="F851" i="1" l="1"/>
  <c r="I851" i="1" s="1"/>
  <c r="E852" i="1" s="1"/>
  <c r="H852" i="1" l="1"/>
  <c r="G852" i="1"/>
  <c r="F852" i="1" l="1"/>
  <c r="I852" i="1" l="1"/>
  <c r="E853" i="1" s="1"/>
  <c r="H853" i="1" l="1"/>
  <c r="G853" i="1"/>
  <c r="F853" i="1"/>
  <c r="I853" i="1" l="1"/>
  <c r="E854" i="1" s="1"/>
  <c r="H854" i="1" l="1"/>
  <c r="G854" i="1"/>
  <c r="F854" i="1"/>
  <c r="I854" i="1" l="1"/>
  <c r="E855" i="1" s="1"/>
  <c r="H855" i="1" l="1"/>
  <c r="G855" i="1"/>
  <c r="F855" i="1" l="1"/>
  <c r="I855" i="1" s="1"/>
  <c r="E856" i="1" s="1"/>
  <c r="G856" i="1" l="1"/>
  <c r="H856" i="1"/>
  <c r="F856" i="1" l="1"/>
  <c r="I856" i="1" s="1"/>
  <c r="E857" i="1" s="1"/>
  <c r="H857" i="1" l="1"/>
  <c r="G857" i="1"/>
  <c r="F857" i="1" l="1"/>
  <c r="I857" i="1" s="1"/>
  <c r="E858" i="1" s="1"/>
  <c r="G858" i="1" l="1"/>
  <c r="H858" i="1"/>
  <c r="F858" i="1" l="1"/>
  <c r="I858" i="1" s="1"/>
  <c r="E859" i="1" s="1"/>
  <c r="H859" i="1" l="1"/>
  <c r="G859" i="1"/>
  <c r="F859" i="1" l="1"/>
  <c r="I859" i="1" l="1"/>
  <c r="E860" i="1" s="1"/>
  <c r="H860" i="1" l="1"/>
  <c r="G860" i="1"/>
  <c r="F860" i="1"/>
  <c r="I860" i="1" l="1"/>
  <c r="E861" i="1" s="1"/>
  <c r="H861" i="1" l="1"/>
  <c r="G861" i="1"/>
  <c r="F861" i="1" l="1"/>
  <c r="I861" i="1" l="1"/>
  <c r="E862" i="1" s="1"/>
  <c r="H862" i="1" l="1"/>
  <c r="G862" i="1"/>
  <c r="F862" i="1"/>
  <c r="I862" i="1" l="1"/>
  <c r="E863" i="1" s="1"/>
  <c r="H863" i="1" l="1"/>
  <c r="G863" i="1"/>
  <c r="F863" i="1" l="1"/>
  <c r="I863" i="1" s="1"/>
  <c r="E864" i="1" s="1"/>
  <c r="H864" i="1" l="1"/>
  <c r="G864" i="1"/>
  <c r="F864" i="1" l="1"/>
  <c r="I864" i="1" l="1"/>
  <c r="E865" i="1" s="1"/>
  <c r="H865" i="1" l="1"/>
  <c r="F865" i="1" s="1"/>
  <c r="G865" i="1"/>
  <c r="I865" i="1" l="1"/>
  <c r="E866" i="1" s="1"/>
  <c r="H866" i="1" l="1"/>
  <c r="G866" i="1"/>
  <c r="F866" i="1" l="1"/>
  <c r="I866" i="1" l="1"/>
  <c r="E867" i="1" s="1"/>
  <c r="H867" i="1" l="1"/>
  <c r="G867" i="1"/>
  <c r="F867" i="1"/>
  <c r="I867" i="1" l="1"/>
  <c r="E868" i="1" s="1"/>
  <c r="H868" i="1" l="1"/>
  <c r="G868" i="1"/>
  <c r="F868" i="1"/>
  <c r="I868" i="1" l="1"/>
  <c r="E869" i="1" s="1"/>
  <c r="G869" i="1" l="1"/>
  <c r="H869" i="1"/>
  <c r="F869" i="1" l="1"/>
  <c r="I869" i="1" l="1"/>
  <c r="E870" i="1" s="1"/>
  <c r="H870" i="1" l="1"/>
  <c r="G870" i="1"/>
  <c r="F870" i="1"/>
  <c r="I870" i="1" l="1"/>
  <c r="E871" i="1" s="1"/>
  <c r="H871" i="1" l="1"/>
  <c r="G871" i="1"/>
  <c r="F871" i="1" l="1"/>
  <c r="I871" i="1" s="1"/>
  <c r="E872" i="1" s="1"/>
  <c r="H872" i="1" l="1"/>
  <c r="G872" i="1"/>
  <c r="F872" i="1" l="1"/>
  <c r="I872" i="1" s="1"/>
  <c r="E873" i="1" s="1"/>
  <c r="H873" i="1" l="1"/>
  <c r="G873" i="1"/>
  <c r="F873" i="1" l="1"/>
  <c r="I873" i="1" l="1"/>
  <c r="E874" i="1" s="1"/>
  <c r="G874" i="1" l="1"/>
  <c r="H874" i="1"/>
  <c r="F874" i="1" s="1"/>
  <c r="I874" i="1" l="1"/>
  <c r="E875" i="1" s="1"/>
  <c r="H875" i="1" l="1"/>
  <c r="G875" i="1"/>
  <c r="F875" i="1"/>
  <c r="I875" i="1" l="1"/>
  <c r="E876" i="1" s="1"/>
  <c r="G876" i="1" l="1"/>
  <c r="H876" i="1"/>
  <c r="F876" i="1" s="1"/>
  <c r="I876" i="1" l="1"/>
  <c r="E877" i="1" s="1"/>
  <c r="H877" i="1" l="1"/>
  <c r="G877" i="1"/>
  <c r="F877" i="1" l="1"/>
  <c r="I877" i="1" s="1"/>
  <c r="E878" i="1" s="1"/>
  <c r="H878" i="1" l="1"/>
  <c r="G878" i="1"/>
  <c r="F878" i="1" l="1"/>
  <c r="I878" i="1" l="1"/>
  <c r="E879" i="1" s="1"/>
  <c r="G879" i="1" l="1"/>
  <c r="H879" i="1"/>
  <c r="F879" i="1" s="1"/>
  <c r="I879" i="1" l="1"/>
  <c r="E880" i="1" s="1"/>
  <c r="H880" i="1" l="1"/>
  <c r="G880" i="1"/>
  <c r="F880" i="1" l="1"/>
  <c r="I880" i="1" s="1"/>
  <c r="E881" i="1" s="1"/>
  <c r="G881" i="1" l="1"/>
  <c r="H881" i="1"/>
  <c r="F881" i="1" l="1"/>
  <c r="I881" i="1" s="1"/>
  <c r="E882" i="1" s="1"/>
  <c r="G882" i="1" l="1"/>
  <c r="H882" i="1"/>
  <c r="F882" i="1" l="1"/>
  <c r="I882" i="1" s="1"/>
  <c r="E883" i="1" s="1"/>
  <c r="H883" i="1" l="1"/>
  <c r="G883" i="1"/>
  <c r="F883" i="1" l="1"/>
  <c r="I883" i="1" l="1"/>
  <c r="E884" i="1" s="1"/>
  <c r="H884" i="1" l="1"/>
  <c r="G884" i="1"/>
  <c r="F884" i="1"/>
  <c r="I884" i="1" l="1"/>
  <c r="E885" i="1" s="1"/>
  <c r="G885" i="1" l="1"/>
  <c r="H885" i="1"/>
  <c r="F885" i="1" s="1"/>
  <c r="I885" i="1" l="1"/>
  <c r="E886" i="1" s="1"/>
  <c r="H886" i="1" l="1"/>
  <c r="G886" i="1"/>
  <c r="F886" i="1" l="1"/>
  <c r="I886" i="1" l="1"/>
  <c r="E887" i="1" s="1"/>
  <c r="H887" i="1" l="1"/>
  <c r="G887" i="1"/>
  <c r="F887" i="1"/>
  <c r="I887" i="1" l="1"/>
  <c r="E888" i="1" s="1"/>
  <c r="G888" i="1" l="1"/>
  <c r="H888" i="1"/>
  <c r="F888" i="1" s="1"/>
  <c r="I888" i="1" l="1"/>
  <c r="E889" i="1" s="1"/>
  <c r="G889" i="1" l="1"/>
  <c r="H889" i="1"/>
  <c r="F889" i="1" l="1"/>
  <c r="I889" i="1" s="1"/>
  <c r="E890" i="1" s="1"/>
  <c r="G890" i="1" l="1"/>
  <c r="H890" i="1"/>
  <c r="F890" i="1" l="1"/>
  <c r="I890" i="1" s="1"/>
  <c r="E891" i="1" s="1"/>
  <c r="G891" i="1" l="1"/>
  <c r="H891" i="1"/>
  <c r="F891" i="1" l="1"/>
  <c r="I891" i="1" l="1"/>
  <c r="E892" i="1" s="1"/>
  <c r="G892" i="1" l="1"/>
  <c r="H892" i="1"/>
  <c r="F892" i="1" s="1"/>
  <c r="I892" i="1" l="1"/>
  <c r="E893" i="1" s="1"/>
  <c r="H893" i="1" l="1"/>
  <c r="G893" i="1"/>
  <c r="F893" i="1" l="1"/>
  <c r="I893" i="1" s="1"/>
  <c r="E894" i="1" s="1"/>
  <c r="H894" i="1" l="1"/>
  <c r="G894" i="1"/>
  <c r="F894" i="1" l="1"/>
  <c r="I894" i="1" s="1"/>
  <c r="E895" i="1" s="1"/>
  <c r="H895" i="1" l="1"/>
  <c r="G895" i="1"/>
  <c r="F895" i="1" l="1"/>
  <c r="I895" i="1" l="1"/>
  <c r="E896" i="1" s="1"/>
  <c r="G896" i="1" l="1"/>
  <c r="H896" i="1"/>
  <c r="F896" i="1"/>
  <c r="I896" i="1" l="1"/>
  <c r="E897" i="1" s="1"/>
  <c r="H897" i="1" l="1"/>
  <c r="G897" i="1"/>
  <c r="F897" i="1" l="1"/>
  <c r="I897" i="1" s="1"/>
  <c r="E898" i="1" s="1"/>
  <c r="G898" i="1" l="1"/>
  <c r="H898" i="1"/>
  <c r="F898" i="1" l="1"/>
  <c r="I898" i="1" s="1"/>
  <c r="E899" i="1" s="1"/>
  <c r="H899" i="1" l="1"/>
  <c r="G899" i="1"/>
  <c r="F899" i="1" l="1"/>
  <c r="I899" i="1" s="1"/>
  <c r="E900" i="1" s="1"/>
  <c r="H900" i="1" l="1"/>
  <c r="G900" i="1"/>
  <c r="F900" i="1" l="1"/>
  <c r="I900" i="1" s="1"/>
  <c r="E901" i="1" s="1"/>
  <c r="H901" i="1" l="1"/>
  <c r="G901" i="1"/>
  <c r="F901" i="1" l="1"/>
  <c r="I901" i="1" s="1"/>
  <c r="E902" i="1" s="1"/>
  <c r="H902" i="1" l="1"/>
  <c r="G902" i="1"/>
  <c r="F902" i="1" l="1"/>
  <c r="I902" i="1" s="1"/>
  <c r="E903" i="1" s="1"/>
  <c r="H903" i="1" l="1"/>
  <c r="G903" i="1"/>
  <c r="F903" i="1" l="1"/>
  <c r="I903" i="1" s="1"/>
  <c r="E904" i="1" s="1"/>
  <c r="H904" i="1" l="1"/>
  <c r="G904" i="1"/>
  <c r="F904" i="1" l="1"/>
  <c r="I904" i="1" s="1"/>
  <c r="E905" i="1" s="1"/>
  <c r="G905" i="1" l="1"/>
  <c r="H905" i="1"/>
  <c r="F905" i="1" l="1"/>
  <c r="I905" i="1" l="1"/>
  <c r="E906" i="1" s="1"/>
  <c r="H906" i="1" l="1"/>
  <c r="G906" i="1"/>
  <c r="F906" i="1"/>
  <c r="I906" i="1" l="1"/>
  <c r="E907" i="1" s="1"/>
  <c r="H907" i="1" l="1"/>
  <c r="G907" i="1"/>
  <c r="F907" i="1" l="1"/>
  <c r="I907" i="1" s="1"/>
  <c r="E908" i="1" s="1"/>
  <c r="H908" i="1" l="1"/>
  <c r="G908" i="1"/>
  <c r="F908" i="1" l="1"/>
  <c r="I908" i="1" s="1"/>
  <c r="E909" i="1" s="1"/>
  <c r="H909" i="1" l="1"/>
  <c r="G909" i="1"/>
  <c r="F909" i="1" l="1"/>
  <c r="I909" i="1" s="1"/>
  <c r="E910" i="1" s="1"/>
  <c r="H910" i="1" l="1"/>
  <c r="G910" i="1"/>
  <c r="F910" i="1" l="1"/>
  <c r="I910" i="1" l="1"/>
  <c r="E911" i="1" s="1"/>
  <c r="H911" i="1" l="1"/>
  <c r="F911" i="1" s="1"/>
  <c r="G911" i="1"/>
  <c r="I911" i="1" l="1"/>
  <c r="E912" i="1" s="1"/>
  <c r="H912" i="1" l="1"/>
  <c r="G912" i="1"/>
  <c r="F912" i="1" l="1"/>
  <c r="I912" i="1" s="1"/>
  <c r="E913" i="1" s="1"/>
  <c r="H913" i="1" l="1"/>
  <c r="G913" i="1"/>
  <c r="F913" i="1" l="1"/>
  <c r="I913" i="1" s="1"/>
  <c r="E914" i="1" s="1"/>
  <c r="H914" i="1" l="1"/>
  <c r="G914" i="1"/>
  <c r="F914" i="1" l="1"/>
  <c r="I914" i="1" l="1"/>
  <c r="E915" i="1" s="1"/>
  <c r="H915" i="1" l="1"/>
  <c r="G915" i="1"/>
  <c r="F915" i="1"/>
  <c r="I915" i="1" l="1"/>
  <c r="E916" i="1" s="1"/>
  <c r="H916" i="1" l="1"/>
  <c r="G916" i="1"/>
  <c r="F916" i="1" l="1"/>
  <c r="I916" i="1" s="1"/>
  <c r="E917" i="1" s="1"/>
  <c r="G917" i="1" l="1"/>
  <c r="H917" i="1"/>
  <c r="F917" i="1" l="1"/>
  <c r="I917" i="1" l="1"/>
  <c r="E918" i="1" s="1"/>
  <c r="G918" i="1" l="1"/>
  <c r="H918" i="1"/>
  <c r="F918" i="1" l="1"/>
  <c r="I918" i="1" l="1"/>
  <c r="E919" i="1" s="1"/>
  <c r="H919" i="1" l="1"/>
  <c r="G919" i="1"/>
  <c r="F919" i="1" l="1"/>
  <c r="I919" i="1" s="1"/>
  <c r="E920" i="1" s="1"/>
  <c r="H920" i="1" l="1"/>
  <c r="G920" i="1"/>
  <c r="F920" i="1"/>
  <c r="I920" i="1" l="1"/>
  <c r="E921" i="1" s="1"/>
  <c r="H921" i="1" l="1"/>
  <c r="G921" i="1"/>
  <c r="F921" i="1" l="1"/>
  <c r="I921" i="1" s="1"/>
  <c r="E922" i="1" s="1"/>
  <c r="G922" i="1" l="1"/>
  <c r="H922" i="1"/>
  <c r="F922" i="1" l="1"/>
  <c r="I922" i="1" s="1"/>
  <c r="E923" i="1" s="1"/>
  <c r="G923" i="1" l="1"/>
  <c r="H923" i="1"/>
  <c r="F923" i="1" l="1"/>
  <c r="I923" i="1" l="1"/>
  <c r="E924" i="1" s="1"/>
  <c r="H924" i="1" l="1"/>
  <c r="G924" i="1"/>
  <c r="F924" i="1"/>
  <c r="I924" i="1" l="1"/>
  <c r="E925" i="1" s="1"/>
  <c r="H925" i="1" l="1"/>
  <c r="G925" i="1"/>
  <c r="F925" i="1" l="1"/>
  <c r="I925" i="1" s="1"/>
  <c r="E926" i="1" s="1"/>
  <c r="H926" i="1" l="1"/>
  <c r="G926" i="1"/>
  <c r="F926" i="1" l="1"/>
  <c r="I926" i="1" s="1"/>
  <c r="E927" i="1" s="1"/>
  <c r="G927" i="1" l="1"/>
  <c r="H927" i="1"/>
  <c r="F927" i="1" l="1"/>
  <c r="I927" i="1" s="1"/>
  <c r="E928" i="1" s="1"/>
  <c r="G928" i="1" l="1"/>
  <c r="H928" i="1"/>
  <c r="F928" i="1" l="1"/>
  <c r="I928" i="1" s="1"/>
  <c r="E929" i="1" s="1"/>
  <c r="H929" i="1" l="1"/>
  <c r="G929" i="1"/>
  <c r="F929" i="1" l="1"/>
  <c r="I929" i="1" l="1"/>
  <c r="E930" i="1" s="1"/>
  <c r="G930" i="1" l="1"/>
  <c r="H930" i="1"/>
  <c r="F930" i="1" s="1"/>
  <c r="I930" i="1" l="1"/>
  <c r="E931" i="1" s="1"/>
  <c r="H931" i="1" l="1"/>
  <c r="G931" i="1"/>
  <c r="F931" i="1" l="1"/>
  <c r="I931" i="1" s="1"/>
  <c r="E932" i="1" s="1"/>
  <c r="H932" i="1" l="1"/>
  <c r="G932" i="1"/>
  <c r="F932" i="1" l="1"/>
  <c r="I932" i="1" l="1"/>
  <c r="E933" i="1" s="1"/>
  <c r="H933" i="1" l="1"/>
  <c r="G933" i="1"/>
  <c r="F933" i="1"/>
  <c r="I933" i="1" l="1"/>
  <c r="E934" i="1" l="1"/>
  <c r="G934" i="1" s="1"/>
  <c r="H934" i="1" l="1"/>
  <c r="F934" i="1" s="1"/>
  <c r="I934" i="1" s="1"/>
  <c r="E935" i="1" s="1"/>
  <c r="H935" i="1" l="1"/>
  <c r="G935" i="1"/>
  <c r="F935" i="1"/>
  <c r="I935" i="1" l="1"/>
  <c r="E936" i="1" s="1"/>
  <c r="H936" i="1" l="1"/>
  <c r="G936" i="1"/>
  <c r="F936" i="1" l="1"/>
  <c r="I936" i="1" s="1"/>
  <c r="E937" i="1" s="1"/>
  <c r="G937" i="1" l="1"/>
  <c r="H937" i="1"/>
  <c r="F937" i="1" l="1"/>
  <c r="I937" i="1" s="1"/>
  <c r="E938" i="1" s="1"/>
  <c r="H938" i="1" l="1"/>
  <c r="G938" i="1"/>
  <c r="F938" i="1" l="1"/>
  <c r="I938" i="1" s="1"/>
  <c r="E939" i="1" s="1"/>
  <c r="H939" i="1" l="1"/>
  <c r="G939" i="1"/>
  <c r="F939" i="1" l="1"/>
  <c r="I939" i="1" l="1"/>
  <c r="E940" i="1" s="1"/>
  <c r="H940" i="1" l="1"/>
  <c r="G940" i="1"/>
  <c r="F940" i="1"/>
  <c r="I940" i="1" l="1"/>
  <c r="E941" i="1" s="1"/>
  <c r="G941" i="1" l="1"/>
  <c r="H941" i="1"/>
  <c r="F941" i="1" s="1"/>
  <c r="I941" i="1" l="1"/>
  <c r="E942" i="1" s="1"/>
  <c r="H942" i="1" l="1"/>
  <c r="G942" i="1"/>
  <c r="F942" i="1"/>
  <c r="I942" i="1" s="1"/>
  <c r="E943" i="1" s="1"/>
  <c r="G943" i="1" l="1"/>
  <c r="H943" i="1"/>
  <c r="F943" i="1" l="1"/>
  <c r="I943" i="1" s="1"/>
  <c r="E944" i="1" s="1"/>
  <c r="G944" i="1" l="1"/>
  <c r="H944" i="1"/>
  <c r="F944" i="1" l="1"/>
  <c r="I944" i="1" s="1"/>
  <c r="E945" i="1" s="1"/>
  <c r="H945" i="1" l="1"/>
  <c r="G945" i="1"/>
  <c r="F945" i="1" l="1"/>
  <c r="I945" i="1" s="1"/>
  <c r="E946" i="1" s="1"/>
  <c r="H946" i="1" l="1"/>
  <c r="G946" i="1"/>
  <c r="F946" i="1" l="1"/>
  <c r="I946" i="1" s="1"/>
  <c r="E947" i="1" s="1"/>
  <c r="H947" i="1" l="1"/>
  <c r="G947" i="1"/>
  <c r="F947" i="1" l="1"/>
  <c r="I947" i="1" s="1"/>
  <c r="E948" i="1" s="1"/>
  <c r="H948" i="1" l="1"/>
  <c r="G948" i="1"/>
  <c r="F948" i="1" l="1"/>
  <c r="I948" i="1" l="1"/>
  <c r="E949" i="1" s="1"/>
  <c r="H949" i="1" l="1"/>
  <c r="G949" i="1"/>
  <c r="F949" i="1"/>
  <c r="I949" i="1" l="1"/>
  <c r="E950" i="1" s="1"/>
  <c r="H950" i="1" l="1"/>
  <c r="G950" i="1"/>
  <c r="F950" i="1" l="1"/>
  <c r="I950" i="1" s="1"/>
  <c r="E951" i="1" s="1"/>
  <c r="H951" i="1" l="1"/>
  <c r="G951" i="1"/>
  <c r="F951" i="1" l="1"/>
  <c r="I951" i="1" s="1"/>
  <c r="E952" i="1" s="1"/>
  <c r="H952" i="1" l="1"/>
  <c r="G952" i="1"/>
  <c r="F952" i="1" l="1"/>
  <c r="I952" i="1" s="1"/>
  <c r="E953" i="1" s="1"/>
  <c r="H953" i="1" l="1"/>
  <c r="G953" i="1"/>
  <c r="F953" i="1" l="1"/>
  <c r="I953" i="1" s="1"/>
  <c r="E954" i="1" s="1"/>
  <c r="G954" i="1" l="1"/>
  <c r="H954" i="1"/>
  <c r="F954" i="1" l="1"/>
  <c r="I954" i="1" s="1"/>
  <c r="E955" i="1" s="1"/>
  <c r="H955" i="1" l="1"/>
  <c r="G955" i="1"/>
  <c r="F955" i="1" l="1"/>
  <c r="I955" i="1" l="1"/>
  <c r="E956" i="1" s="1"/>
  <c r="G956" i="1" l="1"/>
  <c r="H956" i="1"/>
  <c r="F956" i="1" s="1"/>
  <c r="I956" i="1" l="1"/>
  <c r="E957" i="1" s="1"/>
  <c r="G957" i="1" l="1"/>
  <c r="H957" i="1"/>
  <c r="F957" i="1" l="1"/>
  <c r="I957" i="1" s="1"/>
  <c r="E958" i="1" s="1"/>
  <c r="H958" i="1" l="1"/>
  <c r="G958" i="1"/>
  <c r="F958" i="1" l="1"/>
  <c r="I958" i="1" l="1"/>
  <c r="E959" i="1" s="1"/>
  <c r="H959" i="1" l="1"/>
  <c r="G959" i="1"/>
  <c r="F959" i="1"/>
  <c r="I959" i="1" l="1"/>
  <c r="E960" i="1" s="1"/>
  <c r="H960" i="1" l="1"/>
  <c r="F960" i="1" s="1"/>
  <c r="G960" i="1"/>
  <c r="I960" i="1" l="1"/>
  <c r="E961" i="1" s="1"/>
  <c r="H961" i="1" l="1"/>
  <c r="G961" i="1"/>
  <c r="F961" i="1" l="1"/>
  <c r="I961" i="1" s="1"/>
  <c r="E962" i="1" s="1"/>
  <c r="H962" i="1" l="1"/>
  <c r="G962" i="1"/>
  <c r="F962" i="1" l="1"/>
  <c r="I962" i="1" s="1"/>
  <c r="E963" i="1" s="1"/>
  <c r="H963" i="1" l="1"/>
  <c r="G963" i="1"/>
  <c r="F963" i="1" l="1"/>
  <c r="I963" i="1" s="1"/>
  <c r="E964" i="1" s="1"/>
  <c r="G964" i="1" l="1"/>
  <c r="H964" i="1"/>
  <c r="F964" i="1" l="1"/>
  <c r="I964" i="1" l="1"/>
  <c r="E965" i="1" s="1"/>
  <c r="G965" i="1" l="1"/>
  <c r="H965" i="1"/>
  <c r="F965" i="1" s="1"/>
  <c r="I965" i="1" l="1"/>
  <c r="E966" i="1" s="1"/>
  <c r="G966" i="1" l="1"/>
  <c r="H966" i="1"/>
  <c r="F966" i="1" l="1"/>
  <c r="I966" i="1" s="1"/>
  <c r="E967" i="1" s="1"/>
  <c r="H967" i="1" l="1"/>
  <c r="G967" i="1"/>
  <c r="F967" i="1" l="1"/>
  <c r="I967" i="1" s="1"/>
  <c r="E968" i="1" s="1"/>
  <c r="G968" i="1" l="1"/>
  <c r="H968" i="1"/>
  <c r="F968" i="1" l="1"/>
  <c r="I968" i="1" s="1"/>
  <c r="E969" i="1" s="1"/>
  <c r="H969" i="1" l="1"/>
  <c r="G969" i="1"/>
  <c r="F969" i="1" l="1"/>
  <c r="I969" i="1" s="1"/>
  <c r="E970" i="1" s="1"/>
  <c r="H970" i="1" l="1"/>
  <c r="G970" i="1"/>
  <c r="F970" i="1" l="1"/>
  <c r="I970" i="1" l="1"/>
  <c r="E971" i="1" s="1"/>
  <c r="H971" i="1" l="1"/>
  <c r="G971" i="1"/>
  <c r="F971" i="1"/>
  <c r="I971" i="1" l="1"/>
  <c r="E972" i="1" s="1"/>
  <c r="H972" i="1" l="1"/>
  <c r="G972" i="1"/>
  <c r="F972" i="1" l="1"/>
  <c r="I972" i="1" s="1"/>
  <c r="E973" i="1" s="1"/>
  <c r="H973" i="1" l="1"/>
  <c r="G973" i="1"/>
  <c r="F973" i="1" l="1"/>
  <c r="I973" i="1" l="1"/>
  <c r="E974" i="1" s="1"/>
  <c r="G974" i="1" l="1"/>
  <c r="H974" i="1"/>
  <c r="F974" i="1" s="1"/>
  <c r="I974" i="1" l="1"/>
  <c r="E975" i="1" s="1"/>
  <c r="H975" i="1" l="1"/>
  <c r="G975" i="1"/>
  <c r="F975" i="1" l="1"/>
  <c r="I975" i="1" s="1"/>
  <c r="E976" i="1" s="1"/>
  <c r="G976" i="1" l="1"/>
  <c r="H976" i="1"/>
  <c r="F976" i="1" l="1"/>
  <c r="I976" i="1" l="1"/>
  <c r="E977" i="1" s="1"/>
  <c r="G977" i="1" l="1"/>
  <c r="H977" i="1"/>
  <c r="F977" i="1" s="1"/>
  <c r="I977" i="1" l="1"/>
  <c r="E978" i="1" s="1"/>
  <c r="H978" i="1" l="1"/>
  <c r="G978" i="1"/>
  <c r="F978" i="1" l="1"/>
  <c r="I978" i="1" s="1"/>
  <c r="E979" i="1" s="1"/>
  <c r="H979" i="1" l="1"/>
  <c r="G979" i="1"/>
  <c r="F979" i="1" l="1"/>
  <c r="I979" i="1" s="1"/>
  <c r="E980" i="1" s="1"/>
  <c r="H980" i="1" l="1"/>
  <c r="G980" i="1"/>
  <c r="F980" i="1" l="1"/>
  <c r="I980" i="1" s="1"/>
  <c r="E981" i="1" s="1"/>
  <c r="G981" i="1" l="1"/>
  <c r="H981" i="1"/>
  <c r="F981" i="1" l="1"/>
  <c r="I981" i="1" s="1"/>
  <c r="E982" i="1" s="1"/>
  <c r="H982" i="1" l="1"/>
  <c r="G982" i="1"/>
  <c r="F982" i="1" l="1"/>
  <c r="I982" i="1" s="1"/>
  <c r="E983" i="1" s="1"/>
  <c r="H983" i="1" l="1"/>
  <c r="G983" i="1"/>
  <c r="F983" i="1" l="1"/>
  <c r="I983" i="1" s="1"/>
  <c r="E984" i="1" s="1"/>
  <c r="H984" i="1" l="1"/>
  <c r="G984" i="1"/>
  <c r="F984" i="1" l="1"/>
  <c r="I984" i="1" s="1"/>
  <c r="E985" i="1" s="1"/>
  <c r="H985" i="1" l="1"/>
  <c r="G985" i="1"/>
  <c r="F985" i="1" l="1"/>
  <c r="I985" i="1" l="1"/>
  <c r="E986" i="1" s="1"/>
  <c r="H986" i="1" l="1"/>
  <c r="G986" i="1"/>
  <c r="F986" i="1"/>
  <c r="I986" i="1" l="1"/>
  <c r="E987" i="1" s="1"/>
  <c r="H987" i="1" l="1"/>
  <c r="G987" i="1"/>
  <c r="F987" i="1"/>
  <c r="I987" i="1" s="1"/>
  <c r="E988" i="1" s="1"/>
  <c r="H988" i="1" l="1"/>
  <c r="G988" i="1"/>
  <c r="F988" i="1" l="1"/>
  <c r="I988" i="1" s="1"/>
  <c r="E989" i="1" s="1"/>
  <c r="H989" i="1" l="1"/>
  <c r="G989" i="1"/>
  <c r="F989" i="1" l="1"/>
  <c r="I989" i="1" s="1"/>
  <c r="E990" i="1" s="1"/>
  <c r="H990" i="1" l="1"/>
  <c r="G990" i="1"/>
  <c r="F990" i="1" l="1"/>
  <c r="I990" i="1" l="1"/>
  <c r="E991" i="1" s="1"/>
  <c r="H991" i="1" l="1"/>
  <c r="G991" i="1"/>
  <c r="F991" i="1"/>
  <c r="I991" i="1" l="1"/>
  <c r="E992" i="1" s="1"/>
  <c r="G992" i="1" l="1"/>
  <c r="H992" i="1"/>
  <c r="F992" i="1" l="1"/>
  <c r="I992" i="1" s="1"/>
  <c r="E993" i="1" s="1"/>
  <c r="G993" i="1" l="1"/>
  <c r="H993" i="1"/>
  <c r="F993" i="1" l="1"/>
  <c r="I993" i="1" l="1"/>
  <c r="E994" i="1" s="1"/>
  <c r="H994" i="1" l="1"/>
  <c r="G994" i="1"/>
  <c r="F994" i="1"/>
  <c r="I994" i="1" l="1"/>
  <c r="E995" i="1" s="1"/>
  <c r="H995" i="1" l="1"/>
  <c r="G995" i="1"/>
  <c r="F995" i="1" l="1"/>
  <c r="I995" i="1" s="1"/>
  <c r="E996" i="1" s="1"/>
  <c r="H996" i="1" l="1"/>
  <c r="G996" i="1"/>
  <c r="F996" i="1" l="1"/>
  <c r="I996" i="1" s="1"/>
  <c r="E997" i="1" s="1"/>
  <c r="H997" i="1" l="1"/>
  <c r="G997" i="1"/>
  <c r="F997" i="1" l="1"/>
  <c r="I997" i="1" l="1"/>
  <c r="E998" i="1" s="1"/>
  <c r="G998" i="1" l="1"/>
  <c r="H998" i="1"/>
  <c r="F998" i="1" s="1"/>
  <c r="I998" i="1" l="1"/>
  <c r="E999" i="1" s="1"/>
  <c r="G999" i="1" l="1"/>
  <c r="H999" i="1"/>
  <c r="F999" i="1" s="1"/>
  <c r="I999" i="1" l="1"/>
  <c r="E1000" i="1" s="1"/>
  <c r="G1000" i="1" l="1"/>
  <c r="H1000" i="1"/>
  <c r="F1000" i="1" l="1"/>
  <c r="I1000" i="1" s="1"/>
  <c r="E1001" i="1" s="1"/>
  <c r="H1001" i="1" l="1"/>
  <c r="G1001" i="1"/>
  <c r="F1001" i="1" l="1"/>
  <c r="I1001" i="1" l="1"/>
  <c r="E1002" i="1" s="1"/>
  <c r="H1002" i="1" l="1"/>
  <c r="G1002" i="1"/>
  <c r="F1002" i="1"/>
  <c r="I1002" i="1" l="1"/>
  <c r="E1003" i="1" s="1"/>
  <c r="G1003" i="1" l="1"/>
  <c r="H1003" i="1"/>
  <c r="F1003" i="1" l="1"/>
  <c r="I1003" i="1" s="1"/>
  <c r="E1004" i="1" s="1"/>
  <c r="H1004" i="1" l="1"/>
  <c r="G1004" i="1"/>
  <c r="F1004" i="1" l="1"/>
  <c r="I1004" i="1" s="1"/>
  <c r="E1005" i="1" s="1"/>
  <c r="H1005" i="1" l="1"/>
  <c r="G1005" i="1"/>
  <c r="F1005" i="1" l="1"/>
  <c r="I1005" i="1" s="1"/>
  <c r="E1006" i="1" s="1"/>
  <c r="G1006" i="1" l="1"/>
  <c r="H1006" i="1"/>
  <c r="F1006" i="1" l="1"/>
  <c r="I1006" i="1" l="1"/>
  <c r="E1007" i="1" s="1"/>
  <c r="G1007" i="1" l="1"/>
  <c r="H1007" i="1"/>
  <c r="F1007" i="1" s="1"/>
  <c r="I1007" i="1" l="1"/>
  <c r="E1008" i="1" s="1"/>
  <c r="H1008" i="1" l="1"/>
  <c r="G1008" i="1"/>
  <c r="F1008" i="1" l="1"/>
  <c r="I1008" i="1" s="1"/>
  <c r="E1009" i="1" s="1"/>
  <c r="H1009" i="1" l="1"/>
  <c r="G1009" i="1"/>
  <c r="F1009" i="1" l="1"/>
  <c r="I1009" i="1" s="1"/>
  <c r="E1010" i="1" s="1"/>
  <c r="H1010" i="1" l="1"/>
  <c r="G1010" i="1"/>
  <c r="F1010" i="1" l="1"/>
  <c r="I1010" i="1" l="1"/>
  <c r="E1011" i="1" s="1"/>
  <c r="H1011" i="1" l="1"/>
  <c r="F1011" i="1" s="1"/>
  <c r="G1011" i="1"/>
  <c r="I1011" i="1" l="1"/>
  <c r="E1012" i="1" s="1"/>
  <c r="G1012" i="1" l="1"/>
  <c r="H1012" i="1"/>
  <c r="F1012" i="1" l="1"/>
  <c r="I1012" i="1" s="1"/>
  <c r="E1013" i="1" s="1"/>
  <c r="H1013" i="1" l="1"/>
  <c r="G1013" i="1"/>
  <c r="F1013" i="1" l="1"/>
  <c r="I1013" i="1" s="1"/>
  <c r="E1014" i="1" s="1"/>
  <c r="G1014" i="1" l="1"/>
  <c r="H1014" i="1"/>
  <c r="F1014" i="1" l="1"/>
  <c r="I1014" i="1" s="1"/>
  <c r="E1015" i="1" s="1"/>
  <c r="H1015" i="1" l="1"/>
  <c r="G1015" i="1"/>
  <c r="F1015" i="1" l="1"/>
  <c r="I1015" i="1" s="1"/>
  <c r="E1016" i="1" s="1"/>
  <c r="G1016" i="1" l="1"/>
  <c r="H1016" i="1"/>
  <c r="F1016" i="1" l="1"/>
  <c r="I1016" i="1" s="1"/>
  <c r="E1017" i="1" s="1"/>
  <c r="G1017" i="1" l="1"/>
  <c r="H1017" i="1"/>
  <c r="F1017" i="1" l="1"/>
  <c r="I1017" i="1" s="1"/>
  <c r="E1018" i="1" s="1"/>
  <c r="H1018" i="1" l="1"/>
  <c r="G1018" i="1"/>
  <c r="F1018" i="1" l="1"/>
  <c r="I1018" i="1" l="1"/>
  <c r="E1019" i="1" s="1"/>
  <c r="H1019" i="1" l="1"/>
  <c r="G1019" i="1"/>
  <c r="F1019" i="1"/>
  <c r="I1019" i="1" l="1"/>
  <c r="E1020" i="1" s="1"/>
  <c r="H1020" i="1" l="1"/>
  <c r="G1020" i="1"/>
  <c r="F1020" i="1"/>
  <c r="I1020" i="1" l="1"/>
  <c r="E1021" i="1" s="1"/>
  <c r="G1021" i="1" l="1"/>
  <c r="H1021" i="1"/>
  <c r="F1021" i="1" l="1"/>
  <c r="I1021" i="1" s="1"/>
  <c r="E1022" i="1" s="1"/>
  <c r="G1022" i="1" l="1"/>
  <c r="H1022" i="1"/>
  <c r="F1022" i="1" l="1"/>
  <c r="I1022" i="1" s="1"/>
  <c r="E1023" i="1" s="1"/>
  <c r="H1023" i="1" l="1"/>
  <c r="G1023" i="1"/>
  <c r="F1023" i="1" l="1"/>
  <c r="I1023" i="1" l="1"/>
  <c r="E1024" i="1" s="1"/>
  <c r="H1024" i="1" l="1"/>
  <c r="G1024" i="1"/>
  <c r="F1024" i="1"/>
  <c r="I1024" i="1" l="1"/>
  <c r="E1025" i="1" s="1"/>
  <c r="G1025" i="1" l="1"/>
  <c r="H1025" i="1"/>
  <c r="F1025" i="1" s="1"/>
  <c r="I1025" i="1" s="1"/>
  <c r="E1026" i="1" s="1"/>
  <c r="H1026" i="1" l="1"/>
  <c r="G1026" i="1"/>
  <c r="F1026" i="1" l="1"/>
  <c r="I1026" i="1" s="1"/>
  <c r="E1027" i="1" s="1"/>
  <c r="H1027" i="1" l="1"/>
  <c r="G1027" i="1"/>
  <c r="F1027" i="1" l="1"/>
  <c r="I1027" i="1" s="1"/>
  <c r="E1028" i="1" s="1"/>
  <c r="H1028" i="1" l="1"/>
  <c r="G1028" i="1"/>
  <c r="F1028" i="1" l="1"/>
  <c r="I1028" i="1" l="1"/>
  <c r="E1029" i="1" s="1"/>
  <c r="H1029" i="1" l="1"/>
  <c r="G1029" i="1"/>
  <c r="F1029" i="1"/>
  <c r="I1029" i="1" l="1"/>
  <c r="E1030" i="1" s="1"/>
  <c r="H1030" i="1" l="1"/>
  <c r="G1030" i="1"/>
  <c r="F1030" i="1" l="1"/>
  <c r="I1030" i="1" s="1"/>
  <c r="E1031" i="1" s="1"/>
  <c r="G1031" i="1" l="1"/>
  <c r="H1031" i="1"/>
  <c r="F1031" i="1" l="1"/>
  <c r="I1031" i="1" s="1"/>
  <c r="E1032" i="1" s="1"/>
  <c r="G1032" i="1" l="1"/>
  <c r="H1032" i="1"/>
  <c r="F1032" i="1" l="1"/>
  <c r="I1032" i="1" s="1"/>
  <c r="E1033" i="1" s="1"/>
  <c r="H1033" i="1" l="1"/>
  <c r="G1033" i="1"/>
  <c r="F1033" i="1" l="1"/>
  <c r="I1033" i="1" s="1"/>
  <c r="E1034" i="1" s="1"/>
  <c r="G1034" i="1" l="1"/>
  <c r="H1034" i="1"/>
  <c r="F1034" i="1" l="1"/>
  <c r="I1034" i="1" s="1"/>
  <c r="E1035" i="1" s="1"/>
  <c r="H1035" i="1" l="1"/>
  <c r="G1035" i="1"/>
  <c r="F1035" i="1" l="1"/>
  <c r="I1035" i="1" s="1"/>
  <c r="E1036" i="1" s="1"/>
  <c r="G1036" i="1" l="1"/>
  <c r="H1036" i="1"/>
  <c r="F1036" i="1" l="1"/>
  <c r="I1036" i="1" s="1"/>
  <c r="E1037" i="1" s="1"/>
  <c r="H1037" i="1" l="1"/>
  <c r="G1037" i="1"/>
  <c r="F1037" i="1" l="1"/>
  <c r="I1037" i="1" s="1"/>
  <c r="E1038" i="1" s="1"/>
  <c r="H1038" i="1" l="1"/>
  <c r="G1038" i="1"/>
  <c r="F1038" i="1" l="1"/>
  <c r="I1038" i="1" s="1"/>
  <c r="E1039" i="1" s="1"/>
  <c r="H1039" i="1" l="1"/>
  <c r="G1039" i="1"/>
  <c r="F1039" i="1" l="1"/>
  <c r="I1039" i="1" s="1"/>
  <c r="E1040" i="1" s="1"/>
  <c r="H1040" i="1" l="1"/>
  <c r="G1040" i="1"/>
  <c r="F1040" i="1" l="1"/>
  <c r="I1040" i="1" s="1"/>
  <c r="E1041" i="1" s="1"/>
  <c r="G1041" i="1" l="1"/>
  <c r="H1041" i="1"/>
  <c r="F1041" i="1" l="1"/>
  <c r="I1041" i="1" s="1"/>
  <c r="E1042" i="1" s="1"/>
  <c r="G1042" i="1" l="1"/>
  <c r="H1042" i="1"/>
  <c r="F1042" i="1" l="1"/>
  <c r="I1042" i="1" s="1"/>
  <c r="E1043" i="1" s="1"/>
  <c r="H1043" i="1" l="1"/>
  <c r="G1043" i="1"/>
  <c r="F1043" i="1" l="1"/>
  <c r="I1043" i="1" s="1"/>
  <c r="E1044" i="1" s="1"/>
  <c r="H1044" i="1" l="1"/>
  <c r="G1044" i="1"/>
  <c r="F1044" i="1" l="1"/>
  <c r="I1044" i="1" s="1"/>
  <c r="E1045" i="1" s="1"/>
  <c r="H1045" i="1" l="1"/>
  <c r="G1045" i="1"/>
  <c r="F1045" i="1" l="1"/>
  <c r="I1045" i="1" s="1"/>
  <c r="E1046" i="1" s="1"/>
  <c r="H1046" i="1" l="1"/>
  <c r="G1046" i="1"/>
  <c r="F1046" i="1" l="1"/>
  <c r="I1046" i="1" s="1"/>
  <c r="E1047" i="1" s="1"/>
  <c r="H1047" i="1" l="1"/>
  <c r="G1047" i="1"/>
  <c r="F1047" i="1" l="1"/>
  <c r="I1047" i="1" s="1"/>
  <c r="E1048" i="1" s="1"/>
  <c r="G1048" i="1" l="1"/>
  <c r="H1048" i="1"/>
  <c r="F1048" i="1" l="1"/>
  <c r="I1048" i="1" s="1"/>
  <c r="E1049" i="1" s="1"/>
  <c r="G1049" i="1" l="1"/>
  <c r="H1049" i="1"/>
  <c r="F1049" i="1" l="1"/>
  <c r="I1049" i="1" s="1"/>
  <c r="E1050" i="1" s="1"/>
  <c r="H1050" i="1" l="1"/>
  <c r="G1050" i="1"/>
  <c r="F1050" i="1" l="1"/>
  <c r="I1050" i="1" s="1"/>
  <c r="E1051" i="1" s="1"/>
  <c r="G1051" i="1" l="1"/>
  <c r="H1051" i="1"/>
  <c r="F1051" i="1" l="1"/>
  <c r="I1051" i="1" s="1"/>
  <c r="E1052" i="1" s="1"/>
  <c r="G1052" i="1" l="1"/>
  <c r="H1052" i="1"/>
  <c r="F1052" i="1" l="1"/>
  <c r="I1052" i="1" s="1"/>
  <c r="E1053" i="1" s="1"/>
  <c r="H1053" i="1" l="1"/>
  <c r="G1053" i="1"/>
  <c r="F1053" i="1" l="1"/>
  <c r="I1053" i="1" s="1"/>
  <c r="E1054" i="1" s="1"/>
  <c r="G1054" i="1" l="1"/>
  <c r="H1054" i="1"/>
  <c r="F1054" i="1" l="1"/>
  <c r="I1054" i="1" s="1"/>
  <c r="E1055" i="1" s="1"/>
  <c r="G1055" i="1" l="1"/>
  <c r="H1055" i="1"/>
  <c r="F1055" i="1" l="1"/>
  <c r="I1055" i="1" s="1"/>
  <c r="E1056" i="1" s="1"/>
  <c r="H1056" i="1" l="1"/>
  <c r="G1056" i="1"/>
  <c r="F1056" i="1" l="1"/>
  <c r="I1056" i="1" s="1"/>
  <c r="E1057" i="1" s="1"/>
  <c r="G1057" i="1" l="1"/>
  <c r="H1057" i="1"/>
  <c r="F1057" i="1" l="1"/>
  <c r="I1057" i="1" l="1"/>
  <c r="E1058" i="1" s="1"/>
  <c r="G1058" i="1" l="1"/>
  <c r="H1058" i="1"/>
  <c r="F1058" i="1" s="1"/>
  <c r="I1058" i="1" l="1"/>
  <c r="E1059" i="1" s="1"/>
  <c r="H1059" i="1" l="1"/>
  <c r="G1059" i="1"/>
  <c r="F1059" i="1" l="1"/>
  <c r="I1059" i="1" l="1"/>
  <c r="E1060" i="1" s="1"/>
  <c r="H1060" i="1" l="1"/>
  <c r="F1060" i="1" s="1"/>
  <c r="G1060" i="1"/>
  <c r="I1060" i="1" l="1"/>
  <c r="E1061" i="1" s="1"/>
  <c r="G1061" i="1" l="1"/>
  <c r="H1061" i="1"/>
  <c r="F1061" i="1" l="1"/>
  <c r="I1061" i="1" s="1"/>
  <c r="E1062" i="1" s="1"/>
  <c r="G1062" i="1" l="1"/>
  <c r="H1062" i="1"/>
  <c r="F1062" i="1" l="1"/>
  <c r="I1062" i="1" s="1"/>
  <c r="E1063" i="1" s="1"/>
  <c r="H1063" i="1" l="1"/>
  <c r="G1063" i="1"/>
  <c r="F1063" i="1" l="1"/>
  <c r="I1063" i="1" s="1"/>
  <c r="E1064" i="1" s="1"/>
  <c r="H1064" i="1" l="1"/>
  <c r="G1064" i="1"/>
  <c r="F1064" i="1" l="1"/>
  <c r="I1064" i="1" s="1"/>
  <c r="E1065" i="1" s="1"/>
  <c r="G1065" i="1" l="1"/>
  <c r="H1065" i="1"/>
  <c r="F1065" i="1" l="1"/>
  <c r="I1065" i="1" s="1"/>
  <c r="E1066" i="1" s="1"/>
  <c r="G1066" i="1" l="1"/>
  <c r="H1066" i="1"/>
  <c r="F1066" i="1" l="1"/>
  <c r="I1066" i="1" s="1"/>
  <c r="E1067" i="1" s="1"/>
  <c r="H1067" i="1" l="1"/>
  <c r="G1067" i="1"/>
  <c r="F1067" i="1" l="1"/>
  <c r="I1067" i="1" l="1"/>
  <c r="E1068" i="1" s="1"/>
  <c r="H1068" i="1" l="1"/>
  <c r="F1068" i="1" s="1"/>
  <c r="G1068" i="1"/>
  <c r="I1068" i="1" l="1"/>
  <c r="E1069" i="1" s="1"/>
  <c r="G1069" i="1" l="1"/>
  <c r="H1069" i="1"/>
  <c r="F1069" i="1" s="1"/>
  <c r="I1069" i="1" l="1"/>
  <c r="E1070" i="1" s="1"/>
  <c r="H1070" i="1" l="1"/>
  <c r="G1070" i="1"/>
  <c r="F1070" i="1" l="1"/>
  <c r="I1070" i="1" s="1"/>
  <c r="E1071" i="1" s="1"/>
  <c r="G1071" i="1" l="1"/>
  <c r="H1071" i="1"/>
  <c r="F1071" i="1" l="1"/>
  <c r="I1071" i="1" s="1"/>
  <c r="E1072" i="1" s="1"/>
  <c r="H1072" i="1" l="1"/>
  <c r="G1072" i="1"/>
  <c r="F1072" i="1" l="1"/>
  <c r="I1072" i="1" s="1"/>
  <c r="E1073" i="1" s="1"/>
  <c r="H1073" i="1" l="1"/>
  <c r="G1073" i="1"/>
  <c r="F1073" i="1" l="1"/>
  <c r="I1073" i="1" s="1"/>
  <c r="E1074" i="1" s="1"/>
  <c r="G1074" i="1" l="1"/>
  <c r="H1074" i="1"/>
  <c r="F1074" i="1" l="1"/>
  <c r="I1074" i="1" s="1"/>
  <c r="E1075" i="1" s="1"/>
  <c r="H1075" i="1" l="1"/>
  <c r="G1075" i="1"/>
  <c r="F1075" i="1" l="1"/>
  <c r="I1075" i="1" s="1"/>
  <c r="E1076" i="1" s="1"/>
  <c r="H1076" i="1" l="1"/>
  <c r="G1076" i="1"/>
  <c r="F1076" i="1" l="1"/>
  <c r="I1076" i="1" s="1"/>
  <c r="E1077" i="1" s="1"/>
  <c r="G1077" i="1" l="1"/>
  <c r="H1077" i="1"/>
  <c r="F1077" i="1" l="1"/>
  <c r="I1077" i="1" s="1"/>
  <c r="E1078" i="1" s="1"/>
  <c r="H1078" i="1" l="1"/>
  <c r="G1078" i="1"/>
  <c r="F1078" i="1" l="1"/>
  <c r="I1078" i="1" s="1"/>
  <c r="E1079" i="1" s="1"/>
  <c r="G1079" i="1" l="1"/>
  <c r="H1079" i="1"/>
  <c r="F1079" i="1" l="1"/>
  <c r="I1079" i="1" s="1"/>
  <c r="E1080" i="1" s="1"/>
  <c r="H1080" i="1" l="1"/>
  <c r="G1080" i="1"/>
  <c r="F1080" i="1" l="1"/>
  <c r="I1080" i="1" s="1"/>
  <c r="E1081" i="1" s="1"/>
  <c r="H1081" i="1" l="1"/>
  <c r="G1081" i="1"/>
  <c r="F1081" i="1" l="1"/>
  <c r="I1081" i="1" s="1"/>
  <c r="E1082" i="1" s="1"/>
  <c r="H1082" i="1" l="1"/>
  <c r="G1082" i="1"/>
  <c r="F1082" i="1" l="1"/>
  <c r="I1082" i="1" s="1"/>
  <c r="E1083" i="1" s="1"/>
  <c r="G1083" i="1" l="1"/>
  <c r="H1083" i="1"/>
  <c r="F1083" i="1" l="1"/>
  <c r="I1083" i="1" s="1"/>
  <c r="E1084" i="1" s="1"/>
  <c r="H1084" i="1" l="1"/>
  <c r="G1084" i="1"/>
  <c r="F1084" i="1" l="1"/>
  <c r="I1084" i="1" s="1"/>
  <c r="E1085" i="1" s="1"/>
  <c r="H1085" i="1" l="1"/>
  <c r="G1085" i="1"/>
  <c r="F1085" i="1" l="1"/>
  <c r="I1085" i="1" s="1"/>
  <c r="E1086" i="1" s="1"/>
  <c r="H1086" i="1" l="1"/>
  <c r="G1086" i="1"/>
  <c r="F1086" i="1" l="1"/>
  <c r="I1086" i="1" s="1"/>
  <c r="E1087" i="1" s="1"/>
  <c r="H1087" i="1" l="1"/>
  <c r="G1087" i="1"/>
  <c r="F1087" i="1" l="1"/>
  <c r="I1087" i="1" s="1"/>
  <c r="E1088" i="1" s="1"/>
  <c r="H1088" i="1" l="1"/>
  <c r="G1088" i="1"/>
  <c r="F1088" i="1" l="1"/>
  <c r="I1088" i="1" s="1"/>
  <c r="E1089" i="1" s="1"/>
  <c r="H1089" i="1" l="1"/>
  <c r="G1089" i="1"/>
  <c r="F1089" i="1" l="1"/>
  <c r="I1089" i="1" s="1"/>
  <c r="E1090" i="1" s="1"/>
  <c r="H1090" i="1" l="1"/>
  <c r="G1090" i="1"/>
  <c r="F1090" i="1" l="1"/>
  <c r="I1090" i="1" s="1"/>
  <c r="E1091" i="1" s="1"/>
  <c r="H1091" i="1" l="1"/>
  <c r="G1091" i="1"/>
  <c r="F1091" i="1" l="1"/>
  <c r="I1091" i="1" s="1"/>
  <c r="E1092" i="1" s="1"/>
  <c r="H1092" i="1" l="1"/>
  <c r="G1092" i="1"/>
  <c r="F1092" i="1" l="1"/>
  <c r="I1092" i="1" s="1"/>
  <c r="E1093" i="1" s="1"/>
  <c r="H1093" i="1" l="1"/>
  <c r="G1093" i="1"/>
  <c r="F1093" i="1" l="1"/>
  <c r="I1093" i="1" s="1"/>
  <c r="E1094" i="1" s="1"/>
  <c r="H1094" i="1" l="1"/>
  <c r="G1094" i="1"/>
  <c r="F1094" i="1" l="1"/>
  <c r="I1094" i="1" l="1"/>
  <c r="E1095" i="1" s="1"/>
  <c r="H1095" i="1" l="1"/>
  <c r="G1095" i="1"/>
  <c r="F1095" i="1"/>
  <c r="I1095" i="1" l="1"/>
  <c r="E1096" i="1" s="1"/>
  <c r="H1096" i="1" l="1"/>
  <c r="G1096" i="1"/>
  <c r="F1096" i="1"/>
  <c r="I1096" i="1" l="1"/>
  <c r="E1097" i="1" s="1"/>
  <c r="H1097" i="1" l="1"/>
  <c r="G1097" i="1"/>
  <c r="F1097" i="1" l="1"/>
  <c r="I1097" i="1" s="1"/>
  <c r="E1098" i="1" s="1"/>
  <c r="H1098" i="1" l="1"/>
  <c r="G1098" i="1"/>
  <c r="F1098" i="1" l="1"/>
  <c r="I1098" i="1" l="1"/>
  <c r="E1099" i="1" s="1"/>
  <c r="H1099" i="1" l="1"/>
  <c r="G1099" i="1"/>
  <c r="F1099" i="1"/>
  <c r="I1099" i="1" l="1"/>
  <c r="E1100" i="1" s="1"/>
  <c r="E7" i="2" l="1"/>
  <c r="H1100" i="1"/>
  <c r="G1100" i="1"/>
  <c r="G7" i="2"/>
  <c r="F7" i="2"/>
  <c r="J7" i="2" l="1"/>
  <c r="K7" i="2" s="1"/>
  <c r="I7" i="2"/>
  <c r="F1100" i="1"/>
  <c r="I1100" i="1" s="1"/>
  <c r="E1101" i="1" s="1"/>
  <c r="H1101" i="1" l="1"/>
  <c r="G1101" i="1"/>
  <c r="F1101" i="1" l="1"/>
  <c r="I1101" i="1" s="1"/>
  <c r="E1102" i="1" s="1"/>
  <c r="H1102" i="1" l="1"/>
  <c r="G1102" i="1"/>
  <c r="F1102" i="1" l="1"/>
  <c r="I1102" i="1" s="1"/>
  <c r="E1103" i="1" s="1"/>
  <c r="H1103" i="1" l="1"/>
  <c r="G1103" i="1"/>
  <c r="F1103" i="1" l="1"/>
  <c r="I1103" i="1" s="1"/>
  <c r="E1104" i="1" s="1"/>
  <c r="G1104" i="1" l="1"/>
  <c r="H1104" i="1"/>
  <c r="F1104" i="1" l="1"/>
  <c r="I1104" i="1" s="1"/>
  <c r="E1105" i="1" s="1"/>
  <c r="G1105" i="1" l="1"/>
  <c r="H1105" i="1"/>
  <c r="F1105" i="1" l="1"/>
  <c r="I1105" i="1" s="1"/>
  <c r="E1106" i="1" s="1"/>
  <c r="G1106" i="1" l="1"/>
  <c r="H1106" i="1"/>
  <c r="F1106" i="1" l="1"/>
  <c r="I1106" i="1" s="1"/>
  <c r="E1107" i="1" s="1"/>
  <c r="G1107" i="1" l="1"/>
  <c r="H1107" i="1"/>
  <c r="F1107" i="1" l="1"/>
  <c r="I1107" i="1" s="1"/>
  <c r="E1108" i="1" s="1"/>
  <c r="H1108" i="1" l="1"/>
  <c r="G1108" i="1"/>
  <c r="F1108" i="1" l="1"/>
  <c r="I1108" i="1" s="1"/>
  <c r="E1109" i="1" s="1"/>
  <c r="H1109" i="1" l="1"/>
  <c r="G1109" i="1"/>
  <c r="F1109" i="1" l="1"/>
  <c r="I1109" i="1" s="1"/>
  <c r="E1110" i="1" s="1"/>
  <c r="G1110" i="1" l="1"/>
  <c r="H1110" i="1"/>
  <c r="F1110" i="1" l="1"/>
  <c r="I1110" i="1" s="1"/>
  <c r="E1111" i="1" s="1"/>
  <c r="H1111" i="1" l="1"/>
  <c r="G1111" i="1"/>
  <c r="F1111" i="1" l="1"/>
  <c r="I1111" i="1" s="1"/>
  <c r="E1112" i="1" s="1"/>
  <c r="H1112" i="1" l="1"/>
  <c r="G1112" i="1"/>
  <c r="F1112" i="1" l="1"/>
  <c r="I1112" i="1" s="1"/>
  <c r="E1113" i="1" s="1"/>
  <c r="H1113" i="1" l="1"/>
  <c r="G1113" i="1"/>
  <c r="F1113" i="1" l="1"/>
  <c r="I1113" i="1" s="1"/>
  <c r="E1114" i="1" s="1"/>
  <c r="H1114" i="1" l="1"/>
  <c r="G1114" i="1"/>
  <c r="F1114" i="1" l="1"/>
  <c r="I1114" i="1" s="1"/>
  <c r="E1115" i="1" s="1"/>
  <c r="H1115" i="1" l="1"/>
  <c r="G1115" i="1"/>
  <c r="F1115" i="1" l="1"/>
  <c r="I1115" i="1" s="1"/>
  <c r="E1116" i="1" s="1"/>
  <c r="G1116" i="1" l="1"/>
  <c r="H1116" i="1"/>
  <c r="F1116" i="1" l="1"/>
  <c r="I1116" i="1" s="1"/>
  <c r="E1117" i="1" s="1"/>
  <c r="H1117" i="1" l="1"/>
  <c r="G1117" i="1"/>
  <c r="F1117" i="1" l="1"/>
  <c r="I1117" i="1" s="1"/>
  <c r="E1118" i="1" s="1"/>
  <c r="H1118" i="1" l="1"/>
  <c r="G1118" i="1"/>
  <c r="F1118" i="1" l="1"/>
  <c r="I1118" i="1" s="1"/>
  <c r="E1119" i="1" s="1"/>
  <c r="G1119" i="1" l="1"/>
  <c r="H1119" i="1"/>
  <c r="F1119" i="1" l="1"/>
  <c r="I1119" i="1" s="1"/>
  <c r="E1120" i="1" s="1"/>
  <c r="H1120" i="1" l="1"/>
  <c r="G1120" i="1"/>
  <c r="F1120" i="1" l="1"/>
  <c r="I1120" i="1" s="1"/>
  <c r="E1121" i="1" s="1"/>
  <c r="G1121" i="1" l="1"/>
  <c r="H1121" i="1"/>
  <c r="F1121" i="1" l="1"/>
  <c r="I1121" i="1" s="1"/>
  <c r="E1122" i="1" s="1"/>
  <c r="H1122" i="1" l="1"/>
  <c r="G1122" i="1"/>
  <c r="F1122" i="1" l="1"/>
  <c r="I1122" i="1" s="1"/>
  <c r="E1123" i="1" s="1"/>
  <c r="H1123" i="1" l="1"/>
  <c r="G1123" i="1"/>
  <c r="F1123" i="1" l="1"/>
  <c r="I1123" i="1" s="1"/>
  <c r="E1124" i="1" s="1"/>
  <c r="G1124" i="1" l="1"/>
  <c r="H1124" i="1"/>
  <c r="F1124" i="1" l="1"/>
  <c r="I1124" i="1" l="1"/>
  <c r="E1125" i="1" s="1"/>
  <c r="G1125" i="1" l="1"/>
  <c r="H1125" i="1"/>
  <c r="F1125" i="1" l="1"/>
  <c r="I1125" i="1" s="1"/>
  <c r="E1126" i="1" s="1"/>
  <c r="H1126" i="1" l="1"/>
  <c r="G1126" i="1"/>
  <c r="F1126" i="1" l="1"/>
  <c r="I1126" i="1" s="1"/>
  <c r="E1127" i="1" s="1"/>
  <c r="H1127" i="1" l="1"/>
  <c r="G1127" i="1"/>
  <c r="F1127" i="1" l="1"/>
  <c r="I1127" i="1" l="1"/>
  <c r="E1128" i="1" s="1"/>
  <c r="G1128" i="1" l="1"/>
  <c r="H1128" i="1"/>
  <c r="F1128" i="1" l="1"/>
  <c r="I1128" i="1" s="1"/>
  <c r="E1129" i="1" s="1"/>
  <c r="G1129" i="1" l="1"/>
  <c r="H1129" i="1"/>
  <c r="F1129" i="1" l="1"/>
  <c r="I1129" i="1" s="1"/>
  <c r="E1130" i="1" s="1"/>
  <c r="G1130" i="1" l="1"/>
  <c r="H1130" i="1"/>
  <c r="F1130" i="1" l="1"/>
  <c r="I1130" i="1" s="1"/>
  <c r="E1131" i="1" s="1"/>
  <c r="H1131" i="1" l="1"/>
  <c r="G1131" i="1"/>
  <c r="F1131" i="1" l="1"/>
  <c r="I1131" i="1" s="1"/>
  <c r="E1132" i="1" s="1"/>
  <c r="G1132" i="1" l="1"/>
  <c r="H1132" i="1"/>
  <c r="F1132" i="1" l="1"/>
  <c r="I1132" i="1" s="1"/>
  <c r="E1133" i="1" s="1"/>
  <c r="H1133" i="1" l="1"/>
  <c r="G1133" i="1"/>
  <c r="F1133" i="1" l="1"/>
  <c r="I1133" i="1" l="1"/>
  <c r="E1134" i="1" s="1"/>
  <c r="H1134" i="1" l="1"/>
  <c r="G1134" i="1"/>
  <c r="F1134" i="1"/>
  <c r="I1134" i="1" l="1"/>
  <c r="E1135" i="1" s="1"/>
  <c r="G1135" i="1" l="1"/>
  <c r="H1135" i="1"/>
  <c r="F1135" i="1" l="1"/>
  <c r="I1135" i="1" s="1"/>
  <c r="E1136" i="1" s="1"/>
  <c r="G1136" i="1" l="1"/>
  <c r="H1136" i="1"/>
  <c r="F1136" i="1" l="1"/>
  <c r="I1136" i="1" s="1"/>
  <c r="E1137" i="1" s="1"/>
  <c r="H1137" i="1" l="1"/>
  <c r="G1137" i="1"/>
  <c r="F1137" i="1" l="1"/>
  <c r="I1137" i="1" l="1"/>
  <c r="E1138" i="1" s="1"/>
  <c r="G1138" i="1" l="1"/>
  <c r="H1138" i="1"/>
  <c r="F1138" i="1" l="1"/>
  <c r="I1138" i="1" s="1"/>
  <c r="E1139" i="1" s="1"/>
  <c r="G1139" i="1" l="1"/>
  <c r="H1139" i="1"/>
  <c r="F1139" i="1" l="1"/>
  <c r="I1139" i="1" s="1"/>
  <c r="E1140" i="1" s="1"/>
  <c r="H1140" i="1" l="1"/>
  <c r="G1140" i="1"/>
  <c r="F1140" i="1" l="1"/>
  <c r="I1140" i="1" s="1"/>
  <c r="E1141" i="1" s="1"/>
  <c r="H1141" i="1" l="1"/>
  <c r="G1141" i="1"/>
  <c r="F1141" i="1" l="1"/>
  <c r="I1141" i="1" s="1"/>
  <c r="E1142" i="1" s="1"/>
  <c r="H1142" i="1" l="1"/>
  <c r="G1142" i="1"/>
  <c r="F1142" i="1" l="1"/>
  <c r="I1142" i="1" s="1"/>
  <c r="E1143" i="1" s="1"/>
  <c r="H1143" i="1" l="1"/>
  <c r="G1143" i="1"/>
  <c r="F1143" i="1" l="1"/>
  <c r="I1143" i="1" s="1"/>
  <c r="E1144" i="1" s="1"/>
  <c r="G1144" i="1" l="1"/>
  <c r="H1144" i="1"/>
  <c r="F1144" i="1" l="1"/>
  <c r="I1144" i="1" s="1"/>
  <c r="E1145" i="1" s="1"/>
  <c r="H1145" i="1" l="1"/>
  <c r="G1145" i="1"/>
  <c r="F1145" i="1" l="1"/>
  <c r="I1145" i="1" l="1"/>
  <c r="E1146" i="1" s="1"/>
  <c r="G1146" i="1" l="1"/>
  <c r="H1146" i="1"/>
  <c r="F1146" i="1"/>
  <c r="I1146" i="1" l="1"/>
  <c r="E1147" i="1" s="1"/>
  <c r="H1147" i="1" l="1"/>
  <c r="G1147" i="1"/>
  <c r="F1147" i="1" l="1"/>
  <c r="I1147" i="1" s="1"/>
  <c r="E1148" i="1" s="1"/>
  <c r="H1148" i="1" l="1"/>
  <c r="G1148" i="1"/>
  <c r="F1148" i="1" l="1"/>
  <c r="I1148" i="1" s="1"/>
  <c r="E1149" i="1" s="1"/>
  <c r="H1149" i="1" l="1"/>
  <c r="G1149" i="1"/>
  <c r="F1149" i="1" l="1"/>
  <c r="I1149" i="1" s="1"/>
  <c r="E1150" i="1" s="1"/>
  <c r="H1150" i="1" l="1"/>
  <c r="G1150" i="1"/>
  <c r="F1150" i="1" l="1"/>
  <c r="I1150" i="1" s="1"/>
  <c r="E1151" i="1" s="1"/>
  <c r="G1151" i="1" l="1"/>
  <c r="H1151" i="1"/>
  <c r="F1151" i="1" l="1"/>
  <c r="I1151" i="1" s="1"/>
  <c r="E1152" i="1" s="1"/>
  <c r="G1152" i="1" l="1"/>
  <c r="H1152" i="1"/>
  <c r="F1152" i="1" l="1"/>
  <c r="I1152" i="1" l="1"/>
  <c r="E1153" i="1" s="1"/>
  <c r="G1153" i="1" l="1"/>
  <c r="H1153" i="1"/>
  <c r="F1153" i="1" l="1"/>
  <c r="I1153" i="1" s="1"/>
  <c r="E1154" i="1" s="1"/>
  <c r="H1154" i="1" l="1"/>
  <c r="G1154" i="1"/>
  <c r="F1154" i="1" l="1"/>
  <c r="I1154" i="1" s="1"/>
  <c r="E1155" i="1" s="1"/>
  <c r="G1155" i="1" l="1"/>
  <c r="H1155" i="1"/>
  <c r="F1155" i="1" l="1"/>
  <c r="I1155" i="1" s="1"/>
  <c r="E1156" i="1" s="1"/>
  <c r="H1156" i="1" l="1"/>
  <c r="G1156" i="1"/>
  <c r="F1156" i="1" l="1"/>
  <c r="I1156" i="1" s="1"/>
  <c r="E1157" i="1" s="1"/>
  <c r="H1157" i="1" l="1"/>
  <c r="G1157" i="1"/>
  <c r="F1157" i="1" l="1"/>
  <c r="I1157" i="1" s="1"/>
  <c r="E1158" i="1" s="1"/>
  <c r="H1158" i="1" l="1"/>
  <c r="G1158" i="1"/>
  <c r="F1158" i="1" l="1"/>
  <c r="I1158" i="1" s="1"/>
  <c r="E1159" i="1" s="1"/>
  <c r="H1159" i="1" l="1"/>
  <c r="G1159" i="1"/>
  <c r="F1159" i="1" l="1"/>
  <c r="I1159" i="1" s="1"/>
  <c r="E1160" i="1" s="1"/>
  <c r="H1160" i="1" l="1"/>
  <c r="G1160" i="1"/>
  <c r="F1160" i="1" l="1"/>
  <c r="I1160" i="1" s="1"/>
  <c r="E1161" i="1" s="1"/>
  <c r="G1161" i="1" l="1"/>
  <c r="H1161" i="1"/>
  <c r="F1161" i="1" l="1"/>
  <c r="I1161" i="1" s="1"/>
  <c r="E1162" i="1" s="1"/>
  <c r="H1162" i="1" l="1"/>
  <c r="G1162" i="1"/>
  <c r="F1162" i="1" l="1"/>
  <c r="I1162" i="1" l="1"/>
  <c r="E1163" i="1" s="1"/>
  <c r="H1163" i="1" l="1"/>
  <c r="F1163" i="1" s="1"/>
  <c r="G1163" i="1"/>
  <c r="I1163" i="1" l="1"/>
  <c r="E1164" i="1" s="1"/>
  <c r="H1164" i="1" l="1"/>
  <c r="G1164" i="1"/>
  <c r="F1164" i="1" l="1"/>
  <c r="I1164" i="1" s="1"/>
  <c r="E1165" i="1" s="1"/>
  <c r="H1165" i="1" l="1"/>
  <c r="G1165" i="1"/>
  <c r="F1165" i="1" l="1"/>
  <c r="I1165" i="1" s="1"/>
  <c r="E1166" i="1" s="1"/>
  <c r="H1166" i="1" l="1"/>
  <c r="G1166" i="1"/>
  <c r="F1166" i="1" l="1"/>
  <c r="I1166" i="1" s="1"/>
  <c r="E1167" i="1" s="1"/>
  <c r="G1167" i="1" l="1"/>
  <c r="H1167" i="1"/>
  <c r="F1167" i="1" l="1"/>
  <c r="I1167" i="1" s="1"/>
  <c r="E1168" i="1" s="1"/>
  <c r="H1168" i="1" l="1"/>
  <c r="G1168" i="1"/>
  <c r="F1168" i="1" l="1"/>
  <c r="I1168" i="1" s="1"/>
  <c r="E1169" i="1" s="1"/>
  <c r="H1169" i="1" l="1"/>
  <c r="G1169" i="1"/>
  <c r="F1169" i="1" l="1"/>
  <c r="I1169" i="1" s="1"/>
  <c r="E1170" i="1" s="1"/>
  <c r="G1170" i="1" l="1"/>
  <c r="H1170" i="1"/>
  <c r="F1170" i="1" l="1"/>
  <c r="I1170" i="1" s="1"/>
  <c r="E1171" i="1" s="1"/>
  <c r="H1171" i="1" l="1"/>
  <c r="G1171" i="1"/>
  <c r="F1171" i="1" l="1"/>
  <c r="I1171" i="1" s="1"/>
  <c r="E1172" i="1" s="1"/>
  <c r="H1172" i="1" l="1"/>
  <c r="G1172" i="1"/>
  <c r="F1172" i="1" l="1"/>
  <c r="I1172" i="1" s="1"/>
  <c r="E1173" i="1" s="1"/>
  <c r="G1173" i="1" l="1"/>
  <c r="H1173" i="1"/>
  <c r="F1173" i="1" l="1"/>
  <c r="I1173" i="1" s="1"/>
  <c r="E1174" i="1" s="1"/>
  <c r="H1174" i="1" l="1"/>
  <c r="G1174" i="1"/>
  <c r="F1174" i="1" l="1"/>
  <c r="I1174" i="1" s="1"/>
  <c r="E1175" i="1" s="1"/>
  <c r="H1175" i="1" l="1"/>
  <c r="G1175" i="1"/>
  <c r="F1175" i="1" l="1"/>
  <c r="I1175" i="1" s="1"/>
  <c r="E1176" i="1" s="1"/>
  <c r="H1176" i="1" l="1"/>
  <c r="G1176" i="1"/>
  <c r="F1176" i="1" l="1"/>
  <c r="I1176" i="1" s="1"/>
  <c r="E1177" i="1" s="1"/>
  <c r="H1177" i="1" l="1"/>
  <c r="G1177" i="1"/>
  <c r="F1177" i="1" l="1"/>
  <c r="I1177" i="1" s="1"/>
  <c r="E1178" i="1" s="1"/>
  <c r="G1178" i="1" l="1"/>
  <c r="H1178" i="1"/>
  <c r="F1178" i="1" l="1"/>
  <c r="I1178" i="1" s="1"/>
  <c r="E1179" i="1" s="1"/>
  <c r="G1179" i="1" l="1"/>
  <c r="H1179" i="1"/>
  <c r="F1179" i="1" l="1"/>
  <c r="I1179" i="1" s="1"/>
  <c r="E1180" i="1" s="1"/>
  <c r="H1180" i="1" l="1"/>
  <c r="G1180" i="1"/>
  <c r="F1180" i="1" l="1"/>
  <c r="I1180" i="1" s="1"/>
  <c r="E1181" i="1" s="1"/>
  <c r="H1181" i="1" l="1"/>
  <c r="G1181" i="1"/>
  <c r="F1181" i="1" l="1"/>
  <c r="I1181" i="1" s="1"/>
  <c r="E1182" i="1" s="1"/>
  <c r="H1182" i="1" l="1"/>
  <c r="G1182" i="1"/>
  <c r="F1182" i="1" l="1"/>
  <c r="I1182" i="1" s="1"/>
  <c r="E1183" i="1" s="1"/>
  <c r="H1183" i="1" l="1"/>
  <c r="G1183" i="1"/>
  <c r="F1183" i="1" l="1"/>
  <c r="I1183" i="1" s="1"/>
  <c r="E1184" i="1" s="1"/>
  <c r="H1184" i="1" l="1"/>
  <c r="G1184" i="1"/>
  <c r="F1184" i="1" l="1"/>
  <c r="I1184" i="1" s="1"/>
  <c r="E1185" i="1" s="1"/>
  <c r="H1185" i="1" l="1"/>
  <c r="G1185" i="1"/>
  <c r="F1185" i="1" l="1"/>
  <c r="I1185" i="1" s="1"/>
  <c r="E1186" i="1" s="1"/>
  <c r="G1186" i="1" l="1"/>
  <c r="H1186" i="1"/>
  <c r="F1186" i="1" l="1"/>
  <c r="I1186" i="1" s="1"/>
  <c r="E1187" i="1" s="1"/>
  <c r="H1187" i="1" l="1"/>
  <c r="G1187" i="1"/>
  <c r="F1187" i="1" l="1"/>
  <c r="I1187" i="1" s="1"/>
  <c r="E1188" i="1" s="1"/>
  <c r="G1188" i="1" l="1"/>
  <c r="H1188" i="1"/>
  <c r="F1188" i="1" l="1"/>
  <c r="I1188" i="1" s="1"/>
  <c r="E1189" i="1" s="1"/>
  <c r="H1189" i="1" l="1"/>
  <c r="G1189" i="1"/>
  <c r="F1189" i="1" l="1"/>
  <c r="I1189" i="1" s="1"/>
  <c r="E1190" i="1" s="1"/>
  <c r="H1190" i="1" l="1"/>
  <c r="G1190" i="1"/>
  <c r="F1190" i="1" l="1"/>
  <c r="I1190" i="1" s="1"/>
  <c r="E1191" i="1" s="1"/>
  <c r="G1191" i="1" l="1"/>
  <c r="H1191" i="1"/>
  <c r="F1191" i="1" l="1"/>
  <c r="I1191" i="1" s="1"/>
  <c r="E1192" i="1" s="1"/>
  <c r="G1192" i="1" l="1"/>
  <c r="H1192" i="1"/>
  <c r="F1192" i="1" l="1"/>
  <c r="I1192" i="1" s="1"/>
  <c r="E1193" i="1" s="1"/>
  <c r="H1193" i="1" l="1"/>
  <c r="G1193" i="1"/>
  <c r="F1193" i="1" l="1"/>
  <c r="I1193" i="1" s="1"/>
  <c r="E1194" i="1" s="1"/>
  <c r="G1194" i="1" l="1"/>
  <c r="H1194" i="1"/>
  <c r="F1194" i="1" l="1"/>
  <c r="I1194" i="1" l="1"/>
  <c r="E1195" i="1" s="1"/>
  <c r="H1195" i="1" l="1"/>
  <c r="G1195" i="1"/>
  <c r="F1195" i="1"/>
  <c r="I1195" i="1" l="1"/>
  <c r="E1196" i="1" s="1"/>
  <c r="H1196" i="1" l="1"/>
  <c r="G1196" i="1"/>
  <c r="F1196" i="1" l="1"/>
  <c r="I1196" i="1" s="1"/>
  <c r="E1197" i="1" s="1"/>
  <c r="G1197" i="1" l="1"/>
  <c r="H1197" i="1"/>
  <c r="F1197" i="1" l="1"/>
  <c r="I1197" i="1" s="1"/>
  <c r="E1198" i="1" s="1"/>
  <c r="G1198" i="1" l="1"/>
  <c r="H1198" i="1"/>
  <c r="F1198" i="1" l="1"/>
  <c r="I1198" i="1" l="1"/>
  <c r="E1199" i="1" s="1"/>
  <c r="H1199" i="1" l="1"/>
  <c r="G1199" i="1"/>
  <c r="F1199" i="1"/>
  <c r="I1199" i="1" l="1"/>
  <c r="E1200" i="1" s="1"/>
  <c r="H1200" i="1" l="1"/>
  <c r="G1200" i="1"/>
  <c r="F1200" i="1" l="1"/>
  <c r="I1200" i="1" s="1"/>
  <c r="E1201" i="1" s="1"/>
  <c r="G1201" i="1" l="1"/>
  <c r="H1201" i="1"/>
  <c r="F1201" i="1" l="1"/>
  <c r="I1201" i="1" s="1"/>
  <c r="E1202" i="1" s="1"/>
  <c r="H1202" i="1" l="1"/>
  <c r="G1202" i="1"/>
  <c r="F1202" i="1" l="1"/>
  <c r="I1202" i="1" s="1"/>
  <c r="E1203" i="1" s="1"/>
  <c r="G1203" i="1" l="1"/>
  <c r="H1203" i="1"/>
  <c r="F1203" i="1" l="1"/>
  <c r="I1203" i="1" s="1"/>
  <c r="E1204" i="1" s="1"/>
  <c r="G1204" i="1" l="1"/>
  <c r="H1204" i="1"/>
  <c r="F1204" i="1" l="1"/>
  <c r="I1204" i="1" s="1"/>
  <c r="E1205" i="1" s="1"/>
  <c r="H1205" i="1" l="1"/>
  <c r="G1205" i="1"/>
  <c r="F1205" i="1" l="1"/>
  <c r="I1205" i="1" s="1"/>
  <c r="E1206" i="1" s="1"/>
  <c r="H1206" i="1" l="1"/>
  <c r="G1206" i="1"/>
  <c r="F1206" i="1" l="1"/>
  <c r="I1206" i="1" s="1"/>
  <c r="E1207" i="1" s="1"/>
  <c r="G1207" i="1" l="1"/>
  <c r="H1207" i="1"/>
  <c r="F1207" i="1" l="1"/>
  <c r="I1207" i="1" s="1"/>
  <c r="E1208" i="1" s="1"/>
  <c r="H1208" i="1" l="1"/>
  <c r="G1208" i="1"/>
  <c r="F1208" i="1" l="1"/>
  <c r="I1208" i="1" l="1"/>
  <c r="E1209" i="1" s="1"/>
  <c r="G1209" i="1" l="1"/>
  <c r="H1209" i="1"/>
  <c r="F1209" i="1" l="1"/>
  <c r="I1209" i="1" s="1"/>
  <c r="E1210" i="1" s="1"/>
  <c r="H1210" i="1" l="1"/>
  <c r="G1210" i="1"/>
  <c r="F1210" i="1" l="1"/>
  <c r="I1210" i="1" l="1"/>
  <c r="E1211" i="1" s="1"/>
  <c r="H1211" i="1" l="1"/>
  <c r="G1211" i="1"/>
  <c r="F1211" i="1"/>
  <c r="I1211" i="1" l="1"/>
  <c r="E1212" i="1" s="1"/>
  <c r="H1212" i="1" l="1"/>
  <c r="G1212" i="1"/>
  <c r="F1212" i="1"/>
  <c r="I1212" i="1" l="1"/>
  <c r="E1213" i="1" s="1"/>
  <c r="H1213" i="1" l="1"/>
  <c r="F1213" i="1" s="1"/>
  <c r="G1213" i="1"/>
  <c r="I1213" i="1" l="1"/>
  <c r="E1214" i="1" s="1"/>
  <c r="G1214" i="1" l="1"/>
  <c r="H1214" i="1"/>
  <c r="F1214" i="1" l="1"/>
  <c r="I1214" i="1" s="1"/>
  <c r="E1215" i="1" s="1"/>
  <c r="G1215" i="1" l="1"/>
  <c r="H1215" i="1"/>
  <c r="F1215" i="1" l="1"/>
  <c r="I1215" i="1" s="1"/>
  <c r="E1216" i="1" s="1"/>
  <c r="G1216" i="1" l="1"/>
  <c r="H1216" i="1"/>
  <c r="F1216" i="1" l="1"/>
  <c r="I1216" i="1" s="1"/>
  <c r="E1217" i="1" s="1"/>
  <c r="G1217" i="1" l="1"/>
  <c r="H1217" i="1"/>
  <c r="F1217" i="1" l="1"/>
  <c r="I1217" i="1" l="1"/>
  <c r="E1218" i="1" s="1"/>
  <c r="H1218" i="1" l="1"/>
  <c r="G1218" i="1"/>
  <c r="F1218" i="1"/>
  <c r="I1218" i="1" l="1"/>
  <c r="E1219" i="1" s="1"/>
  <c r="H1219" i="1" l="1"/>
  <c r="F1219" i="1" s="1"/>
  <c r="I1219" i="1" s="1"/>
  <c r="E1220" i="1" s="1"/>
  <c r="G1219" i="1"/>
  <c r="H1220" i="1" l="1"/>
  <c r="G1220" i="1"/>
  <c r="F1220" i="1" l="1"/>
  <c r="I1220" i="1" l="1"/>
  <c r="E1221" i="1" s="1"/>
  <c r="H1221" i="1" l="1"/>
  <c r="G1221" i="1"/>
  <c r="F1221" i="1"/>
  <c r="I1221" i="1" l="1"/>
  <c r="E1222" i="1" s="1"/>
  <c r="G1222" i="1" l="1"/>
  <c r="H1222" i="1"/>
  <c r="F1222" i="1" l="1"/>
  <c r="I1222" i="1" s="1"/>
  <c r="E1223" i="1" s="1"/>
  <c r="G1223" i="1" l="1"/>
  <c r="H1223" i="1"/>
  <c r="F1223" i="1" l="1"/>
  <c r="I1223" i="1" s="1"/>
  <c r="E1224" i="1" s="1"/>
  <c r="H1224" i="1" l="1"/>
  <c r="G1224" i="1"/>
  <c r="F1224" i="1" l="1"/>
  <c r="I1224" i="1" s="1"/>
  <c r="E1225" i="1" s="1"/>
  <c r="G1225" i="1" l="1"/>
  <c r="H1225" i="1"/>
  <c r="F1225" i="1" l="1"/>
  <c r="I1225" i="1" s="1"/>
  <c r="E1226" i="1" s="1"/>
  <c r="H1226" i="1" l="1"/>
  <c r="G1226" i="1"/>
  <c r="F1226" i="1" l="1"/>
  <c r="I1226" i="1" s="1"/>
  <c r="E1227" i="1" s="1"/>
  <c r="G1227" i="1" l="1"/>
  <c r="H1227" i="1"/>
  <c r="F1227" i="1" l="1"/>
  <c r="I1227" i="1" s="1"/>
  <c r="E1228" i="1" s="1"/>
  <c r="H1228" i="1" l="1"/>
  <c r="G1228" i="1"/>
  <c r="F1228" i="1" l="1"/>
  <c r="I1228" i="1" l="1"/>
  <c r="E1229" i="1" s="1"/>
  <c r="H1229" i="1" l="1"/>
  <c r="G1229" i="1"/>
  <c r="F1229" i="1"/>
  <c r="I1229" i="1" l="1"/>
  <c r="E1230" i="1" s="1"/>
  <c r="G1230" i="1" l="1"/>
  <c r="H1230" i="1"/>
  <c r="F1230" i="1" l="1"/>
  <c r="I1230" i="1" s="1"/>
  <c r="E1231" i="1" s="1"/>
  <c r="H1231" i="1" l="1"/>
  <c r="G1231" i="1"/>
  <c r="F1231" i="1" l="1"/>
  <c r="I1231" i="1" s="1"/>
  <c r="E1232" i="1" s="1"/>
  <c r="H1232" i="1" l="1"/>
  <c r="G1232" i="1"/>
  <c r="F1232" i="1" l="1"/>
  <c r="I1232" i="1" s="1"/>
  <c r="E1233" i="1" s="1"/>
  <c r="H1233" i="1" l="1"/>
  <c r="G1233" i="1"/>
  <c r="F1233" i="1" l="1"/>
  <c r="I1233" i="1" s="1"/>
  <c r="E1234" i="1" s="1"/>
  <c r="H1234" i="1" l="1"/>
  <c r="G1234" i="1"/>
  <c r="F1234" i="1" l="1"/>
  <c r="I1234" i="1" s="1"/>
  <c r="E1235" i="1" s="1"/>
  <c r="G1235" i="1" l="1"/>
  <c r="H1235" i="1"/>
  <c r="F1235" i="1" l="1"/>
  <c r="I1235" i="1" s="1"/>
  <c r="E1236" i="1" s="1"/>
  <c r="G1236" i="1" l="1"/>
  <c r="H1236" i="1"/>
  <c r="F1236" i="1" l="1"/>
  <c r="I1236" i="1" s="1"/>
  <c r="E1237" i="1" s="1"/>
  <c r="H1237" i="1" l="1"/>
  <c r="G1237" i="1"/>
  <c r="F1237" i="1" l="1"/>
  <c r="I1237" i="1" l="1"/>
  <c r="E1238" i="1" s="1"/>
  <c r="H1238" i="1" l="1"/>
  <c r="G1238" i="1"/>
  <c r="F1238" i="1"/>
  <c r="I1238" i="1" l="1"/>
  <c r="E1239" i="1" s="1"/>
  <c r="G1239" i="1" l="1"/>
  <c r="H1239" i="1"/>
  <c r="F1239" i="1" l="1"/>
  <c r="I1239" i="1" s="1"/>
  <c r="E1240" i="1" s="1"/>
  <c r="H1240" i="1" l="1"/>
  <c r="G1240" i="1"/>
  <c r="F1240" i="1" l="1"/>
  <c r="I1240" i="1" s="1"/>
  <c r="E1241" i="1" s="1"/>
  <c r="H1241" i="1" l="1"/>
  <c r="G1241" i="1"/>
  <c r="F1241" i="1" l="1"/>
  <c r="I1241" i="1" s="1"/>
  <c r="E1242" i="1" s="1"/>
  <c r="H1242" i="1" l="1"/>
  <c r="G1242" i="1"/>
  <c r="F1242" i="1" l="1"/>
  <c r="I1242" i="1" s="1"/>
  <c r="E1243" i="1" s="1"/>
  <c r="H1243" i="1" l="1"/>
  <c r="G1243" i="1"/>
  <c r="F1243" i="1" l="1"/>
  <c r="I1243" i="1" s="1"/>
  <c r="E1244" i="1" s="1"/>
  <c r="H1244" i="1" l="1"/>
  <c r="G1244" i="1"/>
  <c r="F1244" i="1" l="1"/>
  <c r="I1244" i="1" s="1"/>
  <c r="E1245" i="1" s="1"/>
  <c r="G1245" i="1" l="1"/>
  <c r="H1245" i="1"/>
  <c r="F1245" i="1" l="1"/>
  <c r="I1245" i="1" l="1"/>
  <c r="E1246" i="1" s="1"/>
  <c r="H1246" i="1" l="1"/>
  <c r="G1246" i="1"/>
  <c r="F1246" i="1"/>
  <c r="I1246" i="1" l="1"/>
  <c r="E1247" i="1" l="1"/>
  <c r="G1247" i="1"/>
  <c r="H1247" i="1" l="1"/>
  <c r="F1247" i="1" s="1"/>
  <c r="I1247" i="1" s="1"/>
  <c r="E1248" i="1" s="1"/>
  <c r="H1248" i="1" l="1"/>
  <c r="G1248" i="1"/>
  <c r="F1248" i="1"/>
  <c r="I1248" i="1" s="1"/>
  <c r="E1249" i="1" s="1"/>
  <c r="H1249" i="1" l="1"/>
  <c r="G1249" i="1"/>
  <c r="F1249" i="1" l="1"/>
  <c r="I1249" i="1" s="1"/>
  <c r="E1250" i="1" s="1"/>
  <c r="G1250" i="1" l="1"/>
  <c r="H1250" i="1"/>
  <c r="F1250" i="1" l="1"/>
  <c r="I1250" i="1" s="1"/>
  <c r="E1251" i="1" s="1"/>
  <c r="G1251" i="1" l="1"/>
  <c r="H1251" i="1"/>
  <c r="F1251" i="1" l="1"/>
  <c r="I1251" i="1" s="1"/>
  <c r="E1252" i="1" s="1"/>
  <c r="G1252" i="1" l="1"/>
  <c r="H1252" i="1"/>
  <c r="F1252" i="1" l="1"/>
  <c r="I1252" i="1" s="1"/>
  <c r="E1253" i="1" s="1"/>
  <c r="H1253" i="1" l="1"/>
  <c r="G1253" i="1"/>
  <c r="F1253" i="1" l="1"/>
  <c r="I1253" i="1" s="1"/>
  <c r="E1254" i="1" s="1"/>
  <c r="H1254" i="1" l="1"/>
  <c r="G1254" i="1"/>
  <c r="F1254" i="1" l="1"/>
  <c r="I1254" i="1" s="1"/>
  <c r="E1255" i="1" s="1"/>
  <c r="H1255" i="1" l="1"/>
  <c r="G1255" i="1"/>
  <c r="F1255" i="1" l="1"/>
  <c r="I1255" i="1" l="1"/>
  <c r="E1256" i="1" s="1"/>
  <c r="G1256" i="1" l="1"/>
  <c r="H1256" i="1"/>
  <c r="F1256" i="1" l="1"/>
  <c r="I1256" i="1" s="1"/>
  <c r="E1257" i="1" s="1"/>
  <c r="H1257" i="1" l="1"/>
  <c r="G1257" i="1"/>
  <c r="F1257" i="1" l="1"/>
  <c r="I1257" i="1" s="1"/>
  <c r="E1258" i="1" s="1"/>
  <c r="H1258" i="1" l="1"/>
  <c r="G1258" i="1"/>
  <c r="F1258" i="1" l="1"/>
  <c r="I1258" i="1" s="1"/>
  <c r="E1259" i="1" s="1"/>
  <c r="H1259" i="1" l="1"/>
  <c r="G1259" i="1"/>
  <c r="F1259" i="1" l="1"/>
  <c r="I1259" i="1" l="1"/>
  <c r="E1260" i="1" s="1"/>
  <c r="G1260" i="1" l="1"/>
  <c r="H1260" i="1"/>
  <c r="F1260" i="1" l="1"/>
  <c r="I1260" i="1" l="1"/>
  <c r="E1261" i="1" s="1"/>
  <c r="H1261" i="1" l="1"/>
  <c r="G1261" i="1"/>
  <c r="F1261" i="1" l="1"/>
  <c r="I1261" i="1" s="1"/>
  <c r="E1262" i="1" s="1"/>
  <c r="G1262" i="1" l="1"/>
  <c r="H1262" i="1"/>
  <c r="F1262" i="1" l="1"/>
  <c r="I1262" i="1" s="1"/>
  <c r="E1263" i="1" s="1"/>
  <c r="G1263" i="1" l="1"/>
  <c r="H1263" i="1"/>
  <c r="F1263" i="1" l="1"/>
  <c r="I1263" i="1" s="1"/>
  <c r="E1264" i="1" s="1"/>
  <c r="H1264" i="1" l="1"/>
  <c r="G1264" i="1"/>
  <c r="F1264" i="1" l="1"/>
  <c r="I1264" i="1" s="1"/>
  <c r="E1265" i="1" s="1"/>
  <c r="H1265" i="1" l="1"/>
  <c r="G1265" i="1"/>
  <c r="F1265" i="1" l="1"/>
  <c r="I1265" i="1" s="1"/>
  <c r="E1266" i="1" s="1"/>
  <c r="G1266" i="1" l="1"/>
  <c r="H1266" i="1"/>
  <c r="F1266" i="1" l="1"/>
  <c r="I1266" i="1" s="1"/>
  <c r="E1267" i="1" s="1"/>
  <c r="G1267" i="1" l="1"/>
  <c r="H1267" i="1"/>
  <c r="F1267" i="1" l="1"/>
  <c r="I1267" i="1" s="1"/>
  <c r="E1268" i="1" s="1"/>
  <c r="G1268" i="1" l="1"/>
  <c r="H1268" i="1"/>
  <c r="F1268" i="1" l="1"/>
  <c r="I1268" i="1" s="1"/>
  <c r="E1269" i="1" s="1"/>
  <c r="H1269" i="1" l="1"/>
  <c r="G1269" i="1"/>
  <c r="F1269" i="1" l="1"/>
  <c r="I1269" i="1" s="1"/>
  <c r="E1270" i="1" s="1"/>
  <c r="G1270" i="1" l="1"/>
  <c r="H1270" i="1"/>
  <c r="F1270" i="1" l="1"/>
  <c r="I1270" i="1" s="1"/>
  <c r="E1271" i="1" s="1"/>
  <c r="G1271" i="1" l="1"/>
  <c r="H1271" i="1"/>
  <c r="F1271" i="1" l="1"/>
  <c r="I1271" i="1" s="1"/>
  <c r="E1272" i="1" s="1"/>
  <c r="G1272" i="1" l="1"/>
  <c r="H1272" i="1"/>
  <c r="F1272" i="1" l="1"/>
  <c r="I1272" i="1" s="1"/>
  <c r="E1273" i="1" s="1"/>
  <c r="H1273" i="1" l="1"/>
  <c r="G1273" i="1"/>
  <c r="F1273" i="1" l="1"/>
  <c r="I1273" i="1" s="1"/>
  <c r="E1274" i="1" s="1"/>
  <c r="H1274" i="1" l="1"/>
  <c r="G1274" i="1"/>
  <c r="F1274" i="1" l="1"/>
  <c r="I1274" i="1" s="1"/>
  <c r="E1275" i="1" s="1"/>
  <c r="G1275" i="1" l="1"/>
  <c r="H1275" i="1"/>
  <c r="F1275" i="1" l="1"/>
  <c r="I1275" i="1" s="1"/>
  <c r="E1276" i="1" s="1"/>
  <c r="G1276" i="1" l="1"/>
  <c r="H1276" i="1"/>
  <c r="F1276" i="1" l="1"/>
  <c r="I1276" i="1" s="1"/>
  <c r="E1277" i="1" s="1"/>
  <c r="G1277" i="1" l="1"/>
  <c r="H1277" i="1"/>
  <c r="F1277" i="1" l="1"/>
  <c r="I1277" i="1" s="1"/>
  <c r="E1278" i="1" s="1"/>
  <c r="H1278" i="1" l="1"/>
  <c r="G1278" i="1"/>
  <c r="F1278" i="1" l="1"/>
  <c r="I1278" i="1" l="1"/>
  <c r="E1279" i="1" s="1"/>
  <c r="H1279" i="1" l="1"/>
  <c r="G1279" i="1"/>
  <c r="F1279" i="1"/>
  <c r="I1279" i="1" l="1"/>
  <c r="E1280" i="1" s="1"/>
  <c r="H1280" i="1" l="1"/>
  <c r="G1280" i="1"/>
  <c r="F1280" i="1" l="1"/>
  <c r="I1280" i="1" s="1"/>
  <c r="E1281" i="1" s="1"/>
  <c r="G1281" i="1" l="1"/>
  <c r="H1281" i="1"/>
  <c r="F1281" i="1" l="1"/>
  <c r="I1281" i="1" s="1"/>
  <c r="E1282" i="1" s="1"/>
  <c r="G1282" i="1" l="1"/>
  <c r="H1282" i="1"/>
  <c r="F1282" i="1" l="1"/>
  <c r="I1282" i="1" l="1"/>
  <c r="E1283" i="1" s="1"/>
  <c r="G1283" i="1" l="1"/>
  <c r="H1283" i="1"/>
  <c r="F1283" i="1" l="1"/>
  <c r="I1283" i="1" s="1"/>
  <c r="E1284" i="1" s="1"/>
  <c r="H1284" i="1" l="1"/>
  <c r="G1284" i="1"/>
  <c r="F1284" i="1" l="1"/>
  <c r="I1284" i="1" s="1"/>
  <c r="E1285" i="1" s="1"/>
  <c r="H1285" i="1" l="1"/>
  <c r="G1285" i="1"/>
  <c r="F1285" i="1" l="1"/>
  <c r="I1285" i="1" s="1"/>
  <c r="E1286" i="1" s="1"/>
  <c r="G1286" i="1" l="1"/>
  <c r="H1286" i="1"/>
  <c r="F1286" i="1" l="1"/>
  <c r="I1286" i="1" l="1"/>
  <c r="E1287" i="1" s="1"/>
  <c r="G1287" i="1" l="1"/>
  <c r="H1287" i="1"/>
  <c r="F1287" i="1" l="1"/>
  <c r="I1287" i="1" l="1"/>
  <c r="E1288" i="1" s="1"/>
  <c r="G1288" i="1" l="1"/>
  <c r="H1288" i="1"/>
  <c r="F1288" i="1" l="1"/>
  <c r="I1288" i="1" s="1"/>
  <c r="E1289" i="1" s="1"/>
  <c r="H1289" i="1" l="1"/>
  <c r="G1289" i="1"/>
  <c r="F1289" i="1"/>
  <c r="I1289" i="1" l="1"/>
  <c r="E1290" i="1" s="1"/>
  <c r="H1290" i="1" l="1"/>
  <c r="G1290" i="1"/>
  <c r="F1290" i="1" l="1"/>
  <c r="I1290" i="1" s="1"/>
  <c r="E1291" i="1" s="1"/>
  <c r="H1291" i="1" l="1"/>
  <c r="G1291" i="1"/>
  <c r="F1291" i="1" l="1"/>
  <c r="I1291" i="1" s="1"/>
  <c r="E1292" i="1" s="1"/>
  <c r="H1292" i="1" l="1"/>
  <c r="G1292" i="1"/>
  <c r="F1292" i="1" l="1"/>
  <c r="I1292" i="1" l="1"/>
  <c r="E1293" i="1" s="1"/>
  <c r="H1293" i="1" l="1"/>
  <c r="F1293" i="1" s="1"/>
  <c r="G1293" i="1"/>
  <c r="I1293" i="1" l="1"/>
  <c r="E1294" i="1" s="1"/>
  <c r="H1294" i="1" l="1"/>
  <c r="G1294" i="1"/>
  <c r="F1294" i="1" l="1"/>
  <c r="I1294" i="1" l="1"/>
  <c r="E1295" i="1" s="1"/>
  <c r="H1295" i="1" l="1"/>
  <c r="G1295" i="1"/>
  <c r="F1295" i="1"/>
  <c r="I1295" i="1" l="1"/>
  <c r="E1296" i="1" l="1"/>
  <c r="G1296" i="1" l="1"/>
  <c r="H1296" i="1"/>
  <c r="F1296" i="1" s="1"/>
  <c r="I1296" i="1" s="1"/>
  <c r="E1297" i="1" s="1"/>
  <c r="G1297" i="1" l="1"/>
  <c r="H1297" i="1"/>
  <c r="F1297" i="1"/>
  <c r="I1297" i="1" l="1"/>
  <c r="E1298" i="1" s="1"/>
  <c r="G1298" i="1" l="1"/>
  <c r="H1298" i="1"/>
  <c r="F1298" i="1" l="1"/>
  <c r="I1298" i="1" s="1"/>
  <c r="E1299" i="1" s="1"/>
  <c r="H1299" i="1" l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G1313" i="1"/>
  <c r="F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G1340" i="1"/>
  <c r="F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G1345" i="1"/>
  <c r="F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F8" i="2"/>
  <c r="G8" i="2"/>
  <c r="J8" i="2" l="1"/>
  <c r="K8" i="2" s="1"/>
  <c r="I8" i="2"/>
  <c r="F1460" i="1"/>
  <c r="I1460" i="1" s="1"/>
  <c r="E1461" i="1" s="1"/>
  <c r="H1461" i="1" l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G1511" i="1"/>
  <c r="F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G1537" i="1"/>
  <c r="F1537" i="1"/>
  <c r="I1537" i="1" l="1"/>
  <c r="E1538" i="1" s="1"/>
  <c r="H1538" i="1" l="1"/>
  <c r="G1538" i="1"/>
  <c r="F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G1575" i="1"/>
  <c r="F1575" i="1"/>
  <c r="I1575" i="1" l="1"/>
  <c r="E1576" i="1" s="1"/>
  <c r="H1576" i="1" l="1"/>
  <c r="G1576" i="1"/>
  <c r="F1576" i="1" l="1"/>
  <c r="I1576" i="1" l="1"/>
  <c r="E1577" i="1" s="1"/>
  <c r="H1577" i="1" l="1"/>
  <c r="G1577" i="1"/>
  <c r="F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G1610" i="1"/>
  <c r="F1610" i="1"/>
  <c r="I1610" i="1" s="1"/>
  <c r="E1611" i="1" s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G1635" i="1"/>
  <c r="F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G1668" i="1"/>
  <c r="F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G1677" i="1"/>
  <c r="F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G1689" i="1"/>
  <c r="F1689" i="1"/>
  <c r="I1689" i="1" l="1"/>
  <c r="E1690" i="1" s="1"/>
  <c r="H1690" i="1" l="1"/>
  <c r="G1690" i="1"/>
  <c r="F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G1708" i="1"/>
  <c r="F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G1711" i="1"/>
  <c r="F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G1714" i="1"/>
  <c r="F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G1732" i="1"/>
  <c r="F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G1735" i="1"/>
  <c r="F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G1802" i="1"/>
  <c r="F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G1810" i="1"/>
  <c r="F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G1827" i="1"/>
  <c r="F1827" i="1"/>
  <c r="I1827" i="1" l="1"/>
  <c r="E1828" i="1" s="1"/>
  <c r="H1828" i="1" l="1"/>
  <c r="G1828" i="1"/>
  <c r="F1828" i="1" l="1"/>
  <c r="I1828" i="1" l="1"/>
  <c r="E1829" i="1" s="1"/>
  <c r="H1829" i="1" l="1"/>
  <c r="G1829" i="1"/>
  <c r="F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G1848" i="1"/>
  <c r="F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G1862" i="1"/>
  <c r="F1862" i="1"/>
  <c r="I1862" i="1" l="1"/>
  <c r="E1863" i="1" s="1"/>
  <c r="H1863" i="1" l="1"/>
  <c r="G1863" i="1"/>
  <c r="F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G1870" i="1"/>
  <c r="F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G1876" i="1"/>
  <c r="F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G1899" i="1"/>
  <c r="F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G1903" i="1"/>
  <c r="F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G1948" i="1"/>
  <c r="F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G1971" i="1"/>
  <c r="F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G1982" i="1"/>
  <c r="F1982" i="1"/>
  <c r="I1982" i="1" l="1"/>
  <c r="E1983" i="1" s="1"/>
  <c r="H1983" i="1" l="1"/>
  <c r="G1983" i="1"/>
  <c r="F1983" i="1"/>
  <c r="I1983" i="1" l="1"/>
  <c r="E1984" i="1" s="1"/>
  <c r="H1984" i="1" l="1"/>
  <c r="G1984" i="1"/>
  <c r="F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G1997" i="1"/>
  <c r="F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G2001" i="1"/>
  <c r="F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G2008" i="1"/>
  <c r="F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G2015" i="1"/>
  <c r="F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G2018" i="1"/>
  <c r="F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G2078" i="1"/>
  <c r="F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G2099" i="1"/>
  <c r="F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G2108" i="1"/>
  <c r="F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G2147" i="1"/>
  <c r="F2147" i="1"/>
  <c r="I2147" i="1" l="1"/>
  <c r="E2148" i="1" s="1"/>
  <c r="H2148" i="1" l="1"/>
  <c r="G2148" i="1"/>
  <c r="F2148" i="1"/>
  <c r="I2148" i="1" l="1"/>
  <c r="E2149" i="1" s="1"/>
  <c r="H2149" i="1" l="1"/>
  <c r="G2149" i="1"/>
  <c r="F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G2155" i="1"/>
  <c r="F2155" i="1"/>
  <c r="I2155" i="1" l="1"/>
  <c r="E2156" i="1" s="1"/>
  <c r="G2156" i="1" l="1"/>
  <c r="H2156" i="1"/>
  <c r="F2156" i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G2160" i="1"/>
  <c r="F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G2173" i="1"/>
  <c r="F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J9" i="2" l="1"/>
  <c r="K9" i="2" s="1"/>
  <c r="I9" i="2"/>
  <c r="F2180" i="1"/>
  <c r="I2180" i="1" s="1"/>
  <c r="E2181" i="1" s="1"/>
  <c r="H2181" i="1" l="1"/>
  <c r="G2181" i="1"/>
  <c r="F2181" i="1" l="1"/>
  <c r="I2181" i="1" l="1"/>
  <c r="E2182" i="1" s="1"/>
  <c r="H2182" i="1" l="1"/>
  <c r="F2182" i="1" s="1"/>
  <c r="G2182" i="1"/>
  <c r="I2182" i="1" l="1"/>
  <c r="E2183" i="1" l="1"/>
  <c r="G2183" i="1"/>
  <c r="H2183" i="1" l="1"/>
  <c r="F2183" i="1" s="1"/>
  <c r="I2183" i="1" s="1"/>
  <c r="E2184" i="1" s="1"/>
  <c r="H2184" i="1" l="1"/>
  <c r="G2184" i="1"/>
  <c r="F2184" i="1"/>
  <c r="I2184" i="1" s="1"/>
  <c r="E2185" i="1" s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G2187" i="1"/>
  <c r="F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G2192" i="1"/>
  <c r="F2192" i="1"/>
  <c r="I2192" i="1" l="1"/>
  <c r="E2193" i="1" s="1"/>
  <c r="H2193" i="1" l="1"/>
  <c r="G2193" i="1"/>
  <c r="F2193" i="1"/>
  <c r="I2193" i="1" l="1"/>
  <c r="E2194" i="1" s="1"/>
  <c r="H2194" i="1" l="1"/>
  <c r="G2194" i="1"/>
  <c r="F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G2200" i="1"/>
  <c r="F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G2203" i="1"/>
  <c r="F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G2215" i="1"/>
  <c r="F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G2234" i="1"/>
  <c r="F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G2237" i="1"/>
  <c r="F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G2252" i="1"/>
  <c r="F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G2300" i="1"/>
  <c r="I2300" i="1"/>
  <c r="E2301" i="1" s="1"/>
  <c r="H2301" i="1" l="1"/>
  <c r="G2301" i="1"/>
  <c r="F2301" i="1"/>
  <c r="I2301" i="1" l="1"/>
  <c r="E2302" i="1" s="1"/>
  <c r="H2302" i="1" l="1"/>
  <c r="G2302" i="1"/>
  <c r="F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G2310" i="1"/>
  <c r="F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G2322" i="1"/>
  <c r="F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G2325" i="1"/>
  <c r="F2325" i="1"/>
  <c r="I2325" i="1" l="1"/>
  <c r="E2326" i="1" l="1"/>
  <c r="G2326" i="1" s="1"/>
  <c r="H2326" i="1" l="1"/>
  <c r="F2326" i="1" s="1"/>
  <c r="I2326" i="1"/>
  <c r="E2327" i="1" s="1"/>
  <c r="H2327" i="1" l="1"/>
  <c r="G2327" i="1"/>
  <c r="F2327" i="1"/>
  <c r="I2327" i="1" l="1"/>
  <c r="E2328" i="1" s="1"/>
  <c r="G2328" i="1" l="1"/>
  <c r="H2328" i="1"/>
  <c r="F2328" i="1" l="1"/>
  <c r="I2328" i="1" l="1"/>
  <c r="E2329" i="1" s="1"/>
  <c r="H2329" i="1" l="1"/>
  <c r="G2329" i="1"/>
  <c r="F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G2353" i="1"/>
  <c r="F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G2376" i="1"/>
  <c r="F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G2384" i="1"/>
  <c r="F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G2391" i="1"/>
  <c r="F2391" i="1"/>
  <c r="I2391" i="1" l="1"/>
  <c r="E2392" i="1" s="1"/>
  <c r="H2392" i="1" l="1"/>
  <c r="G2392" i="1"/>
  <c r="F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G2401" i="1"/>
  <c r="F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G2407" i="1"/>
  <c r="F2407" i="1"/>
  <c r="I2407" i="1" l="1"/>
  <c r="E2408" i="1" l="1"/>
  <c r="G2408" i="1" l="1"/>
  <c r="H2408" i="1"/>
  <c r="F2408" i="1" s="1"/>
  <c r="I2408" i="1" s="1"/>
  <c r="E2409" i="1" s="1"/>
  <c r="H2409" i="1" l="1"/>
  <c r="G2409" i="1"/>
  <c r="F2409" i="1"/>
  <c r="I2409" i="1" s="1"/>
  <c r="E2410" i="1" s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G2413" i="1"/>
  <c r="F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G2422" i="1"/>
  <c r="F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G2449" i="1"/>
  <c r="F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G2469" i="1"/>
  <c r="F2469" i="1"/>
  <c r="I2469" i="1" s="1"/>
  <c r="E2470" i="1" s="1"/>
  <c r="H2470" i="1" l="1"/>
  <c r="G2470" i="1"/>
  <c r="F2470" i="1" l="1"/>
  <c r="I2470" i="1" l="1"/>
  <c r="E2471" i="1" s="1"/>
  <c r="H2471" i="1" l="1"/>
  <c r="G2471" i="1"/>
  <c r="F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G2476" i="1"/>
  <c r="F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G2493" i="1"/>
  <c r="F2493" i="1"/>
  <c r="I2493" i="1" l="1"/>
  <c r="E2494" i="1" s="1"/>
  <c r="H2494" i="1" l="1"/>
  <c r="G2494" i="1"/>
  <c r="F2494" i="1"/>
  <c r="I2494" i="1" l="1"/>
  <c r="E2495" i="1" s="1"/>
  <c r="H2495" i="1" l="1"/>
  <c r="G2495" i="1"/>
  <c r="F2495" i="1"/>
  <c r="I2495" i="1" l="1"/>
  <c r="E2496" i="1" s="1"/>
  <c r="H2496" i="1" l="1"/>
  <c r="G2496" i="1"/>
  <c r="F2496" i="1"/>
  <c r="I2496" i="1" l="1"/>
  <c r="E2497" i="1" s="1"/>
  <c r="H2497" i="1" l="1"/>
  <c r="G2497" i="1"/>
  <c r="F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G2501" i="1"/>
  <c r="F2501" i="1"/>
  <c r="I2501" i="1" l="1"/>
  <c r="E2502" i="1" s="1"/>
  <c r="H2502" i="1" l="1"/>
  <c r="G2502" i="1"/>
  <c r="F2502" i="1"/>
  <c r="I2502" i="1" l="1"/>
  <c r="E2503" i="1" l="1"/>
  <c r="G2503" i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G2524" i="1"/>
  <c r="F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G2528" i="1"/>
  <c r="F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G2533" i="1"/>
  <c r="F2533" i="1"/>
  <c r="I2533" i="1" l="1"/>
  <c r="E2534" i="1" s="1"/>
  <c r="H2534" i="1" l="1"/>
  <c r="G2534" i="1"/>
  <c r="F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G2538" i="1"/>
  <c r="F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G2542" i="1"/>
  <c r="F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G2545" i="1"/>
  <c r="F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G2551" i="1"/>
  <c r="F2551" i="1"/>
  <c r="I2551" i="1" s="1"/>
  <c r="E2552" i="1" s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G2568" i="1"/>
  <c r="F2568" i="1"/>
  <c r="I2568" i="1" l="1"/>
  <c r="E2569" i="1" s="1"/>
  <c r="H2569" i="1" l="1"/>
  <c r="G2569" i="1"/>
  <c r="F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G2582" i="1"/>
  <c r="F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G2597" i="1"/>
  <c r="F2597" i="1"/>
  <c r="I2597" i="1" s="1"/>
  <c r="E2598" i="1" s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G2608" i="1"/>
  <c r="F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/>
  <c r="I2617" i="1" l="1"/>
  <c r="E2618" i="1" s="1"/>
  <c r="G2618" i="1" l="1"/>
  <c r="H2618" i="1"/>
  <c r="F2618" i="1" l="1"/>
  <c r="I2618" i="1" l="1"/>
  <c r="E2619" i="1" s="1"/>
  <c r="H2619" i="1" l="1"/>
  <c r="G2619" i="1"/>
  <c r="F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G2626" i="1"/>
  <c r="F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G2645" i="1"/>
  <c r="F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G2659" i="1"/>
  <c r="F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G2664" i="1"/>
  <c r="F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G2696" i="1"/>
  <c r="F2696" i="1"/>
  <c r="I2696" i="1" l="1"/>
  <c r="E2697" i="1" s="1"/>
  <c r="H2697" i="1" l="1"/>
  <c r="G2697" i="1"/>
  <c r="F2697" i="1"/>
  <c r="I2697" i="1" l="1"/>
  <c r="E2698" i="1" s="1"/>
  <c r="H2698" i="1" l="1"/>
  <c r="G2698" i="1"/>
  <c r="F2698" i="1"/>
  <c r="I2698" i="1" l="1"/>
  <c r="E2699" i="1" s="1"/>
  <c r="H2699" i="1" l="1"/>
  <c r="G2699" i="1"/>
  <c r="F2699" i="1" l="1"/>
  <c r="I2699" i="1" l="1"/>
  <c r="E2700" i="1" s="1"/>
  <c r="H2700" i="1" l="1"/>
  <c r="G2700" i="1"/>
  <c r="F2700" i="1"/>
  <c r="I2700" i="1" l="1"/>
  <c r="E2701" i="1" s="1"/>
  <c r="H2701" i="1" l="1"/>
  <c r="G2701" i="1"/>
  <c r="F2701" i="1"/>
  <c r="I2701" i="1" l="1"/>
  <c r="E2702" i="1" s="1"/>
  <c r="H2702" i="1" l="1"/>
  <c r="G2702" i="1"/>
  <c r="F2702" i="1"/>
  <c r="I2702" i="1" l="1"/>
  <c r="E2703" i="1" s="1"/>
  <c r="G2703" i="1" l="1"/>
  <c r="H2703" i="1"/>
  <c r="F2703" i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G2707" i="1"/>
  <c r="F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G2715" i="1"/>
  <c r="F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G2725" i="1"/>
  <c r="F2725" i="1"/>
  <c r="I2725" i="1" l="1"/>
  <c r="E2726" i="1" s="1"/>
  <c r="H2726" i="1" l="1"/>
  <c r="G2726" i="1"/>
  <c r="F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G2730" i="1"/>
  <c r="F2730" i="1"/>
  <c r="I2730" i="1" l="1"/>
  <c r="E2731" i="1" s="1"/>
  <c r="H2731" i="1" l="1"/>
  <c r="G2731" i="1"/>
  <c r="F2731" i="1" l="1"/>
  <c r="I2731" i="1" l="1"/>
  <c r="E2732" i="1" s="1"/>
  <c r="H2732" i="1" l="1"/>
  <c r="G2732" i="1"/>
  <c r="F2732" i="1"/>
  <c r="I2732" i="1" l="1"/>
  <c r="E2733" i="1" s="1"/>
  <c r="H2733" i="1" l="1"/>
  <c r="G2733" i="1"/>
  <c r="F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G2796" i="1"/>
  <c r="F2796" i="1"/>
  <c r="I2796" i="1" l="1"/>
  <c r="E2797" i="1" s="1"/>
  <c r="H2797" i="1" l="1"/>
  <c r="G2797" i="1"/>
  <c r="F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G2814" i="1"/>
  <c r="F2814" i="1"/>
  <c r="I2814" i="1" l="1"/>
  <c r="E2815" i="1" s="1"/>
  <c r="H2815" i="1" l="1"/>
  <c r="G2815" i="1"/>
  <c r="F2815" i="1"/>
  <c r="I2815" i="1" l="1"/>
  <c r="E2816" i="1" s="1"/>
  <c r="G2816" i="1" l="1"/>
  <c r="H2816" i="1"/>
  <c r="F2816" i="1" l="1"/>
  <c r="I2816" i="1" l="1"/>
  <c r="E2817" i="1" s="1"/>
  <c r="H2817" i="1" l="1"/>
  <c r="G2817" i="1"/>
  <c r="F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G2828" i="1"/>
  <c r="F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G2831" i="1"/>
  <c r="F2831" i="1"/>
  <c r="I2831" i="1" l="1"/>
  <c r="E2832" i="1" s="1"/>
  <c r="H2832" i="1" l="1"/>
  <c r="G2832" i="1"/>
  <c r="F2832" i="1"/>
  <c r="I2832" i="1" l="1"/>
  <c r="E2833" i="1" s="1"/>
  <c r="H2833" i="1" l="1"/>
  <c r="G2833" i="1"/>
  <c r="F2833" i="1"/>
  <c r="I2833" i="1" l="1"/>
  <c r="E2834" i="1" s="1"/>
  <c r="H2834" i="1" l="1"/>
  <c r="G2834" i="1"/>
  <c r="F2834" i="1"/>
  <c r="I2834" i="1" s="1"/>
  <c r="E2835" i="1" s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G2844" i="1"/>
  <c r="F2844" i="1"/>
  <c r="I2844" i="1" l="1"/>
  <c r="E2845" i="1" s="1"/>
  <c r="H2845" i="1" l="1"/>
  <c r="G2845" i="1"/>
  <c r="F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G2872" i="1"/>
  <c r="F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G2888" i="1"/>
  <c r="F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G10" i="2"/>
  <c r="F10" i="2"/>
  <c r="I10" i="2" l="1"/>
  <c r="J10" i="2"/>
  <c r="K10" i="2" s="1"/>
  <c r="F2900" i="1"/>
  <c r="I2900" i="1" s="1"/>
  <c r="E2901" i="1" s="1"/>
  <c r="H2901" i="1" l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G2904" i="1"/>
  <c r="F2904" i="1"/>
  <c r="I2904" i="1" l="1"/>
  <c r="E2905" i="1" s="1"/>
  <c r="H2905" i="1" l="1"/>
  <c r="G2905" i="1"/>
  <c r="F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G2909" i="1"/>
  <c r="F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G2923" i="1" l="1"/>
  <c r="H2923" i="1"/>
  <c r="F2923" i="1" l="1"/>
  <c r="I2923" i="1" l="1"/>
  <c r="E2924" i="1" s="1"/>
  <c r="H2924" i="1" l="1"/>
  <c r="G2924" i="1"/>
  <c r="F2924" i="1"/>
  <c r="I2924" i="1" l="1"/>
  <c r="E2925" i="1" s="1"/>
  <c r="H2925" i="1" l="1"/>
  <c r="G2925" i="1"/>
  <c r="F2925" i="1"/>
  <c r="I2925" i="1" l="1"/>
  <c r="E2926" i="1" s="1"/>
  <c r="H2926" i="1" l="1"/>
  <c r="G2926" i="1"/>
  <c r="F2926" i="1"/>
  <c r="I2926" i="1" l="1"/>
  <c r="E2927" i="1" s="1"/>
  <c r="H2927" i="1" l="1"/>
  <c r="G2927" i="1"/>
  <c r="F2927" i="1"/>
  <c r="I2927" i="1" l="1"/>
  <c r="E2928" i="1" s="1"/>
  <c r="H2928" i="1" l="1"/>
  <c r="G2928" i="1"/>
  <c r="F2928" i="1"/>
  <c r="I2928" i="1" l="1"/>
  <c r="E2929" i="1" s="1"/>
  <c r="H2929" i="1" l="1"/>
  <c r="G2929" i="1"/>
  <c r="F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G2932" i="1"/>
  <c r="F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G2935" i="1"/>
  <c r="F2935" i="1"/>
  <c r="I2935" i="1" l="1"/>
  <c r="E2936" i="1" s="1"/>
  <c r="H2936" i="1" l="1"/>
  <c r="G2936" i="1"/>
  <c r="F2936" i="1" l="1"/>
  <c r="I2936" i="1" l="1"/>
  <c r="E2937" i="1" s="1"/>
  <c r="H2937" i="1" l="1"/>
  <c r="G2937" i="1"/>
  <c r="F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<sst xmlns="http://schemas.openxmlformats.org/spreadsheetml/2006/main" count="154" uniqueCount="121">
  <si>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</si>
  <si>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</si>
  <si>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</si>
  <si>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</si>
  <si>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</si>
  <si>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</si>
  <si>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</si>
  <si>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</si>
  <si>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</si>
  <si>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</si>
  <si>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</si>
  <si>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</si>
  <si>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</si>
  <si>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</si>
  <si>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</si>
  <si>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</si>
  <si>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</si>
  <si>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</si>
  <si>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</si>
  <si>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</si>
  <si>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</si>
  <si>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</si>
  <si>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</si>
  <si>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</si>
  <si>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</si>
  <si>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</si>
  <si>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</si>
  <si>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</si>
  <si>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</si>
  <si>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</si>
  <si>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</si>
  <si>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</si>
  <si>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</si>
  <si>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</si>
  <si>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</si>
  <si>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</si>
  <si>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</si>
  <si>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</si>
  <si>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</si>
  <si>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</si>
  <si>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</si>
  <si>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</si>
  <si>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</si>
  <si>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</si>
  <si>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</si>
  <si>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</si>
  <si>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</si>
  <si>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</si>
  <si>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</si>
  <si>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</si>
  <si>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</si>
  <si>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</si>
  <si>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</si>
  <si>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</si>
  <si>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</si>
  <si>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</si>
  <si>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</si>
  <si>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</si>
  <si>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</si>
  <si>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</si>
  <si>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</si>
  <si>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</si>
  <si>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</si>
  <si>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</si>
  <si>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</si>
  <si>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</si>
  <si>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</si>
  <si>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</si>
  <si>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</si>
  <si>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</si>
  <si>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</si>
  <si>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</si>
  <si>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</si>
  <si>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</si>
  <si>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</si>
  <si>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</si>
  <si>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</si>
  <si>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</si>
  <si>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</si>
  <si>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</si>
  <si>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</si>
  <si>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</si>
  <si>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</si>
  <si>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</si>
  <si>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</si>
  <si>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</si>
  <si>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</si>
  <si>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</si>
  <si>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</si>
  <si>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</si>
  <si>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</si>
  <si>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</si>
  <si>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</si>
  <si>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</si>
  <si>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</si>
  <si>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</si>
  <si>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</si>
  <si>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</si>
  <si>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</si>
  <si>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</si>
  <si>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</si>
  <si>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</si>
  <si>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</si>
  <si>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</si>
  <si>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</si>
  <si>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</si>
  <si>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</si>
  <si>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</si>
  <si>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</si>
  <si>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</si>
  <si>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</si>
  <si>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</si>
  <si>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</si>
  <si>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</si>
  <si>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</si>
  <si>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</si>
  <si>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</si>
  <si>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</si>
  <si>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</si>
  <si>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</si>
  <si>
    <t>CAS F02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</si>
</sst>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4" fillId="16" borderId="5" xfId="0" applyFont="1" applyFill="1" applyBorder="1"/>
    <xf numFmtId="0" fontId="5" fillId="16" borderId="6" xfId="0" applyFont="1" applyFill="1" applyBorder="1"/>
    <xf numFmtId="0" fontId="5" fillId="16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Q2972"/>
  <sheetViews>
    <sheetView workbookViewId="0">
      <pane ySplit="19" topLeftCell="A110" activePane="bottomLeft" state="frozen"/>
      <selection pane="bottomLeft" activeCell="M117" sqref="M117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46</v>
      </c>
      <c r="P2" s="39" t="s">
        <v>77</v>
      </c>
    </row>
    <row r="3" spans="2:17" x14ac:dyDescent="0.25">
      <c r="M3" s="26">
        <v>4</v>
      </c>
      <c r="N3" s="32" t="s">
        <v>47</v>
      </c>
      <c r="P3" s="39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9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5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5" t="s">
        <v>33</v>
      </c>
      <c r="M7" s="27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5" t="s">
        <v>34</v>
      </c>
      <c r="M8" s="29">
        <f>p/Aa*1000</f>
        <v>184.01486988847586</v>
      </c>
      <c r="N8" t="s">
        <v>37</v>
      </c>
      <c r="O8" s="2" t="s">
        <v>85</v>
      </c>
      <c r="P8" s="31">
        <f>IF(Protection=pBoard,2*h+b,p)</f>
        <v>1584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1200</v>
      </c>
      <c r="N9" t="s">
        <v>29</v>
      </c>
      <c r="O9" s="2" t="s">
        <v>33</v>
      </c>
      <c r="P9" s="31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8">
        <f>h-2*tf</f>
        <v>476</v>
      </c>
      <c r="J10" t="s">
        <v>29</v>
      </c>
      <c r="L10" s="25" t="s">
        <v>39</v>
      </c>
      <c r="M10" s="29">
        <f>pb/Aa*1000</f>
        <v>139.40520446096656</v>
      </c>
      <c r="N10" t="s">
        <v>37</v>
      </c>
      <c r="O10" s="2" t="s">
        <v>84</v>
      </c>
      <c r="P10" s="41">
        <f>P8/Aa*1000</f>
        <v>184.01486988847586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5" t="s">
        <v>40</v>
      </c>
      <c r="M11" s="30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40" t="s">
        <v>78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300</v>
      </c>
      <c r="N14" t="s">
        <v>22</v>
      </c>
    </row>
    <row r="15" spans="2:17" x14ac:dyDescent="0.25">
      <c r="C15" s="2"/>
      <c r="D15" s="3"/>
      <c r="L15" s="25" t="s">
        <v>80</v>
      </c>
      <c r="M15" s="4">
        <v>0.12</v>
      </c>
      <c r="N15" t="s">
        <v>82</v>
      </c>
    </row>
    <row r="16" spans="2:17" x14ac:dyDescent="0.25">
      <c r="C16" s="2"/>
      <c r="D16" s="3"/>
      <c r="L16" s="25" t="s">
        <v>81</v>
      </c>
      <c r="M16" s="4">
        <v>1200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5" t="s">
        <v>86</v>
      </c>
      <c r="M17" s="4">
        <v>20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5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8">
        <f t="shared" ref="F20:F83" si="0">Cp*RhoP/(RhoA*H20)*dp/1000*MassivP</f>
        <v>0.38375919603872444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8">
        <f t="shared" si="0"/>
        <v>0.38375919603872444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 t="shared" ref="I21:I84" si="6">LambdaP*MassivP/(dp/1000)/(H21*RhoA)/(1+F21/3)*(D21-E21)*DeltaT-(EXP(F21/10)-1)*(D21-D20)</f>
        <v>-2.8857922162612373</v>
      </c>
      <c r="J21" s="3"/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</v>
      </c>
      <c r="F22" s="38">
        <f t="shared" si="0"/>
        <v>0.38375919603872444</v>
      </c>
      <c r="G22" s="14">
        <f t="shared" si="1"/>
        <v>0</v>
      </c>
      <c r="H22" s="24">
        <f t="shared" ref="H22:H29" si="7">IF(E22&lt;600,425+0.773*E22-1.69/1000*E22^2+2.22/1000^2*E22^3,IF(E22&lt;735,666+13002/(738-E22),IF(E22&lt;900,545+17820/(E22-731),650)))</f>
        <v>439.80176</v>
      </c>
      <c r="I22" s="12">
        <f t="shared" si="6"/>
        <v>-1.7923188163704937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</v>
      </c>
      <c r="F23" s="38">
        <f t="shared" si="0"/>
        <v>0.38375919603872444</v>
      </c>
      <c r="G23" s="14">
        <f t="shared" si="1"/>
        <v>0</v>
      </c>
      <c r="H23" s="24">
        <f t="shared" si="7"/>
        <v>439.80176</v>
      </c>
      <c r="I23" s="12">
        <f t="shared" si="6"/>
        <v>-1.2397696000958067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</v>
      </c>
      <c r="F24" s="38">
        <f t="shared" si="0"/>
        <v>0.38375919603872444</v>
      </c>
      <c r="G24" s="14">
        <f t="shared" si="1"/>
        <v>0</v>
      </c>
      <c r="H24" s="24">
        <f t="shared" si="7"/>
        <v>439.80176</v>
      </c>
      <c r="I24" s="12">
        <f t="shared" si="6"/>
        <v>-0.90028801726349506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</v>
      </c>
      <c r="F25" s="38">
        <f t="shared" si="0"/>
        <v>0.38375919603872444</v>
      </c>
      <c r="G25" s="14">
        <f t="shared" si="1"/>
        <v>0</v>
      </c>
      <c r="H25" s="24">
        <f t="shared" si="7"/>
        <v>439.80176</v>
      </c>
      <c r="I25" s="12">
        <f t="shared" si="6"/>
        <v>-0.66775443650219413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</v>
      </c>
      <c r="F26" s="38">
        <f t="shared" si="0"/>
        <v>0.38375919603872444</v>
      </c>
      <c r="G26" s="14">
        <f t="shared" si="1"/>
        <v>0</v>
      </c>
      <c r="H26" s="24">
        <f t="shared" si="7"/>
        <v>439.80176</v>
      </c>
      <c r="I26" s="12">
        <f t="shared" si="6"/>
        <v>-0.49695231548226876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</v>
      </c>
      <c r="F27" s="38">
        <f t="shared" si="0"/>
        <v>0.38375919603872444</v>
      </c>
      <c r="G27" s="14">
        <f t="shared" si="1"/>
        <v>0</v>
      </c>
      <c r="H27" s="24">
        <f t="shared" si="7"/>
        <v>439.80176</v>
      </c>
      <c r="I27" s="12">
        <f t="shared" si="6"/>
        <v>-0.36522149230843926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</v>
      </c>
      <c r="F28" s="38">
        <f t="shared" si="0"/>
        <v>0.38375919603872444</v>
      </c>
      <c r="G28" s="14">
        <f t="shared" si="1"/>
        <v>0</v>
      </c>
      <c r="H28" s="24">
        <f t="shared" si="7"/>
        <v>439.80176</v>
      </c>
      <c r="I28" s="12">
        <f t="shared" si="6"/>
        <v>-0.2598989690187351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</v>
      </c>
      <c r="F29" s="38">
        <f t="shared" si="0"/>
        <v>0.38375919603872444</v>
      </c>
      <c r="G29" s="14">
        <f t="shared" si="1"/>
        <v>0</v>
      </c>
      <c r="H29" s="24">
        <f t="shared" si="7"/>
        <v>439.80176</v>
      </c>
      <c r="I29" s="12">
        <f t="shared" si="6"/>
        <v>-0.17332847990706812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</v>
      </c>
      <c r="F30" s="38">
        <f t="shared" si="0"/>
        <v>0.38375919603872444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439.80176</v>
      </c>
      <c r="I30" s="12">
        <f t="shared" si="6"/>
        <v>-0.10059551121540511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20</v>
      </c>
      <c r="F31" s="38">
        <f t="shared" si="0"/>
        <v>0.38375919603872444</v>
      </c>
      <c r="G31" s="14">
        <f t="shared" si="1"/>
        <v>0</v>
      </c>
      <c r="H31" s="24">
        <f t="shared" si="8"/>
        <v>439.80176</v>
      </c>
      <c r="I31" s="12">
        <f t="shared" si="6"/>
        <v>-3.8393372725676445E-2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20</v>
      </c>
      <c r="F32" s="38">
        <f t="shared" si="0"/>
        <v>0.38375919603872444</v>
      </c>
      <c r="G32" s="14">
        <f t="shared" si="1"/>
        <v>0</v>
      </c>
      <c r="H32" s="24">
        <f t="shared" si="8"/>
        <v>439.80176</v>
      </c>
      <c r="I32" s="12">
        <f t="shared" si="6"/>
        <v>1.5589150800766172E-2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20.015589150800768</v>
      </c>
      <c r="F33" s="38">
        <f t="shared" si="0"/>
        <v>0.38374956504676982</v>
      </c>
      <c r="G33" s="14">
        <f t="shared" si="1"/>
        <v>0</v>
      </c>
      <c r="H33" s="24">
        <f t="shared" si="8"/>
        <v>439.81279773814492</v>
      </c>
      <c r="I33" s="12">
        <f t="shared" si="6"/>
        <v>6.2996979610194515E-2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20.078586130410962</v>
      </c>
      <c r="F34" s="38">
        <f t="shared" si="0"/>
        <v>0.38371065709966812</v>
      </c>
      <c r="G34" s="14">
        <f t="shared" si="1"/>
        <v>0</v>
      </c>
      <c r="H34" s="24">
        <f t="shared" si="8"/>
        <v>439.85739439646659</v>
      </c>
      <c r="I34" s="12">
        <f t="shared" si="6"/>
        <v>0.10501438862589846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20.183600519036862</v>
      </c>
      <c r="F35" s="38">
        <f t="shared" si="0"/>
        <v>0.38364584000417262</v>
      </c>
      <c r="G35" s="14">
        <f t="shared" si="1"/>
        <v>0</v>
      </c>
      <c r="H35" s="24">
        <f t="shared" si="8"/>
        <v>439.93170845324528</v>
      </c>
      <c r="I35" s="12">
        <f t="shared" si="6"/>
        <v>0.14257679797293299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20.326177317009794</v>
      </c>
      <c r="F36" s="38">
        <f t="shared" si="0"/>
        <v>0.38355792150008294</v>
      </c>
      <c r="G36" s="14">
        <f t="shared" si="1"/>
        <v>0</v>
      </c>
      <c r="H36" s="24">
        <f t="shared" si="8"/>
        <v>440.03254886232241</v>
      </c>
      <c r="I36" s="12">
        <f t="shared" si="6"/>
        <v>0.17640798229195714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20.502585299301749</v>
      </c>
      <c r="F37" s="38">
        <f t="shared" si="0"/>
        <v>0.38344927331050516</v>
      </c>
      <c r="G37" s="14">
        <f t="shared" si="1"/>
        <v>0</v>
      </c>
      <c r="H37" s="24">
        <f t="shared" si="8"/>
        <v>440.15722960399239</v>
      </c>
      <c r="I37" s="12">
        <f t="shared" si="6"/>
        <v>0.20707751446845996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20.709662813770208</v>
      </c>
      <c r="F38" s="38">
        <f t="shared" si="0"/>
        <v>0.38332192191484499</v>
      </c>
      <c r="G38" s="14">
        <f t="shared" si="1"/>
        <v>0</v>
      </c>
      <c r="H38" s="24">
        <f t="shared" si="8"/>
        <v>440.30346344634609</v>
      </c>
      <c r="I38" s="12">
        <f t="shared" si="6"/>
        <v>0.23504034108328181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20.944703154853489</v>
      </c>
      <c r="F39" s="38">
        <f t="shared" si="0"/>
        <v>0.38317761631282782</v>
      </c>
      <c r="G39" s="14">
        <f t="shared" si="1"/>
        <v>0</v>
      </c>
      <c r="H39" s="24">
        <f t="shared" si="8"/>
        <v>440.46928277831609</v>
      </c>
      <c r="I39" s="12">
        <f t="shared" si="6"/>
        <v>0.26066467881630534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21.205367833669793</v>
      </c>
      <c r="F40" s="38">
        <f t="shared" si="0"/>
        <v>0.38301787951300564</v>
      </c>
      <c r="G40" s="14">
        <f t="shared" si="1"/>
        <v>0</v>
      </c>
      <c r="H40" s="24">
        <f t="shared" si="8"/>
        <v>440.65297956484852</v>
      </c>
      <c r="I40" s="12">
        <f t="shared" si="6"/>
        <v>0.28425208058353274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21.489619914253325</v>
      </c>
      <c r="F41" s="38">
        <f t="shared" si="0"/>
        <v>0.38284404827437346</v>
      </c>
      <c r="G41" s="14">
        <f t="shared" si="1"/>
        <v>0</v>
      </c>
      <c r="H41" s="24">
        <f t="shared" si="8"/>
        <v>440.85305908440733</v>
      </c>
      <c r="I41" s="12">
        <f t="shared" si="6"/>
        <v>0.30605213209666537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21.795672046349992</v>
      </c>
      <c r="F42" s="38">
        <f t="shared" si="0"/>
        <v>0.38265730421597322</v>
      </c>
      <c r="G42" s="14">
        <f t="shared" si="1"/>
        <v>0</v>
      </c>
      <c r="H42" s="24">
        <f t="shared" si="8"/>
        <v>441.06820378046973</v>
      </c>
      <c r="I42" s="12">
        <f t="shared" si="6"/>
        <v>0.32627339133522903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22.12194543768522</v>
      </c>
      <c r="F43" s="38">
        <f t="shared" si="0"/>
        <v>0.3824586984803372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441.2972446557996</v>
      </c>
      <c r="I43" s="12">
        <f t="shared" si="6"/>
        <v>0.34509165116762253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22.467037088852841</v>
      </c>
      <c r="F44" s="38">
        <f t="shared" si="0"/>
        <v>0.3822491715125757</v>
      </c>
      <c r="G44" s="14">
        <f t="shared" si="1"/>
        <v>0</v>
      </c>
      <c r="H44" s="24">
        <f t="shared" si="9"/>
        <v>441.53913837446578</v>
      </c>
      <c r="I44" s="12">
        <f t="shared" si="6"/>
        <v>0.36265626330910916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22.82969335216195</v>
      </c>
      <c r="F45" s="38">
        <f t="shared" si="0"/>
        <v>0.38202956908934754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441.79294874042313</v>
      </c>
      <c r="I45" s="12">
        <f t="shared" si="6"/>
        <v>0.37909503721665749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23.208788389378608</v>
      </c>
      <c r="F46" s="38">
        <f t="shared" si="0"/>
        <v>0.38180065543372432</v>
      </c>
      <c r="G46" s="14">
        <f t="shared" si="1"/>
        <v>0</v>
      </c>
      <c r="H46" s="24">
        <f t="shared" si="10"/>
        <v>442.05783157256462</v>
      </c>
      <c r="I46" s="12">
        <f t="shared" si="6"/>
        <v>0.39451807715519366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23.603306466533802</v>
      </c>
      <c r="F47" s="38">
        <f t="shared" si="0"/>
        <v>0.38156312404051151</v>
      </c>
      <c r="G47" s="14">
        <f t="shared" si="1"/>
        <v>0</v>
      </c>
      <c r="H47" s="24">
        <f t="shared" si="10"/>
        <v>442.33302224482384</v>
      </c>
      <c r="I47" s="12">
        <f t="shared" si="6"/>
        <v>0.40902081819538322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24.012327284729185</v>
      </c>
      <c r="F48" s="38">
        <f t="shared" si="0"/>
        <v>0.38131760668444403</v>
      </c>
      <c r="G48" s="14">
        <f t="shared" si="1"/>
        <v>0</v>
      </c>
      <c r="H48" s="24">
        <f t="shared" si="10"/>
        <v>442.61782533867307</v>
      </c>
      <c r="I48" s="12">
        <f t="shared" si="6"/>
        <v>0.42268645092288781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24">
        <f t="shared" si="5"/>
        <v>24.435013735652074</v>
      </c>
      <c r="F49" s="38">
        <f t="shared" si="0"/>
        <v>0.38106468097266871</v>
      </c>
      <c r="G49" s="14">
        <f t="shared" si="1"/>
        <v>0</v>
      </c>
      <c r="H49" s="24">
        <f t="shared" si="10"/>
        <v>442.91160598565529</v>
      </c>
      <c r="I49" s="12">
        <f t="shared" si="6"/>
        <v>0.43558787473520399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24">
        <f t="shared" si="5"/>
        <v>24.870601610387279</v>
      </c>
      <c r="F50" s="38">
        <f t="shared" si="0"/>
        <v>0.38080487672093705</v>
      </c>
      <c r="G50" s="14">
        <f t="shared" si="1"/>
        <v>0</v>
      </c>
      <c r="H50" s="24">
        <f t="shared" si="10"/>
        <v>443.21378257374738</v>
      </c>
      <c r="I50" s="12">
        <f t="shared" si="6"/>
        <v>0.44778928403046681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24">
        <f t="shared" si="5"/>
        <v>25.318390894417746</v>
      </c>
      <c r="F51" s="38">
        <f t="shared" si="0"/>
        <v>0.38053868137164232</v>
      </c>
      <c r="G51" s="14">
        <f t="shared" si="1"/>
        <v>0</v>
      </c>
      <c r="H51" s="24">
        <f t="shared" si="10"/>
        <v>443.52382056315537</v>
      </c>
      <c r="I51" s="12">
        <f t="shared" si="6"/>
        <v>0.45934746591241515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24">
        <f t="shared" si="5"/>
        <v>25.777738360330162</v>
      </c>
      <c r="F52" s="38">
        <f t="shared" si="0"/>
        <v>0.38026654462554488</v>
      </c>
      <c r="G52" s="14">
        <f t="shared" si="1"/>
        <v>0</v>
      </c>
      <c r="H52" s="24">
        <f t="shared" si="10"/>
        <v>443.84122721133599</v>
      </c>
      <c r="I52" s="12">
        <f t="shared" si="6"/>
        <v>0.47031286927665367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24">
        <f t="shared" si="5"/>
        <v>26.248051229606816</v>
      </c>
      <c r="F53" s="38">
        <f t="shared" si="0"/>
        <v>0.37998888242369588</v>
      </c>
      <c r="G53" s="14">
        <f t="shared" si="1"/>
        <v>0</v>
      </c>
      <c r="H53" s="24">
        <f t="shared" si="10"/>
        <v>444.16554704836068</v>
      </c>
      <c r="I53" s="12">
        <f t="shared" si="6"/>
        <v>0.48073049128860007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24">
        <f t="shared" si="5"/>
        <v>26.728781720895416</v>
      </c>
      <c r="F54" s="38">
        <f t="shared" si="0"/>
        <v>0.37970608038886838</v>
      </c>
      <c r="G54" s="14">
        <f t="shared" si="1"/>
        <v>0</v>
      </c>
      <c r="H54" s="24">
        <f t="shared" si="10"/>
        <v>444.49635797553066</v>
      </c>
      <c r="I54" s="12">
        <f t="shared" si="6"/>
        <v>0.49064061692600203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24">
        <f t="shared" si="5"/>
        <v>27.219422337821417</v>
      </c>
      <c r="F55" s="38">
        <f t="shared" si="0"/>
        <v>0.37941849681465606</v>
      </c>
      <c r="G55" s="14">
        <f t="shared" si="1"/>
        <v>0</v>
      </c>
      <c r="H55" s="24">
        <f t="shared" si="10"/>
        <v>444.83326788483697</v>
      </c>
      <c r="I55" s="12">
        <f t="shared" si="6"/>
        <v>0.50007943947102618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24">
        <f t="shared" si="5"/>
        <v>27.719501777292443</v>
      </c>
      <c r="F56" s="38">
        <f t="shared" si="0"/>
        <v>0.37912646527384414</v>
      </c>
      <c r="G56" s="14">
        <f t="shared" si="1"/>
        <v>0</v>
      </c>
      <c r="H56" s="24">
        <f t="shared" si="10"/>
        <v>445.17591171617971</v>
      </c>
      <c r="I56" s="12">
        <f t="shared" si="6"/>
        <v>0.50907958391775054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24">
        <f t="shared" si="5"/>
        <v>28.228581361210193</v>
      </c>
      <c r="F57" s="38">
        <f t="shared" si="0"/>
        <v>0.37883029690458758</v>
      </c>
      <c r="G57" s="14">
        <f t="shared" si="1"/>
        <v>0</v>
      </c>
      <c r="H57" s="24">
        <f t="shared" si="10"/>
        <v>445.52394888449118</v>
      </c>
      <c r="I57" s="12">
        <f t="shared" si="6"/>
        <v>0.51767055072332013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24">
        <f t="shared" si="5"/>
        <v>28.746251911933513</v>
      </c>
      <c r="F58" s="38">
        <f t="shared" si="0"/>
        <v>0.378530282422534</v>
      </c>
      <c r="G58" s="14">
        <f t="shared" si="1"/>
        <v>0</v>
      </c>
      <c r="H58" s="24">
        <f t="shared" si="10"/>
        <v>445.87706102101987</v>
      </c>
      <c r="I58" s="12">
        <f t="shared" si="6"/>
        <v>0.52587909382502485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24">
        <f t="shared" si="5"/>
        <v>29.272131005758538</v>
      </c>
      <c r="F59" s="38">
        <f t="shared" si="0"/>
        <v>0.37822669389871372</v>
      </c>
      <c r="G59" s="14">
        <f t="shared" si="1"/>
        <v>0</v>
      </c>
      <c r="H59" s="24">
        <f t="shared" si="10"/>
        <v>446.23494998270422</v>
      </c>
      <c r="I59" s="12">
        <f t="shared" si="6"/>
        <v>0.53372954411700779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24">
        <f t="shared" si="5"/>
        <v>29.805860549875547</v>
      </c>
      <c r="F60" s="38">
        <f t="shared" si="0"/>
        <v>0.37791978633631707</v>
      </c>
      <c r="G60" s="14">
        <f t="shared" si="1"/>
        <v>0</v>
      </c>
      <c r="H60" s="24">
        <f t="shared" si="10"/>
        <v>446.59733609136242</v>
      </c>
      <c r="I60" s="12">
        <f t="shared" si="6"/>
        <v>0.54124408744052621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24">
        <f t="shared" si="5"/>
        <v>30.347104637316072</v>
      </c>
      <c r="F61" s="38">
        <f t="shared" si="0"/>
        <v>0.37760979907404779</v>
      </c>
      <c r="G61" s="14">
        <f t="shared" si="1"/>
        <v>0</v>
      </c>
      <c r="H61" s="24">
        <f t="shared" si="10"/>
        <v>446.96395657073344</v>
      </c>
      <c r="I61" s="12">
        <f t="shared" si="6"/>
        <v>0.54844300445383898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24">
        <f t="shared" si="5"/>
        <v>30.895547641769912</v>
      </c>
      <c r="F62" s="38">
        <f t="shared" si="0"/>
        <v>0.37729695703931143</v>
      </c>
      <c r="G62" s="14">
        <f t="shared" si="1"/>
        <v>0</v>
      </c>
      <c r="H62" s="24">
        <f t="shared" si="10"/>
        <v>447.33456415454401</v>
      </c>
      <c r="I62" s="12">
        <f t="shared" si="6"/>
        <v>0.5553448784066034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24">
        <f t="shared" si="5"/>
        <v>31.450892520176517</v>
      </c>
      <c r="F63" s="38">
        <f t="shared" si="0"/>
        <v>0.37698147187087327</v>
      </c>
      <c r="G63" s="14">
        <f t="shared" si="1"/>
        <v>0</v>
      </c>
      <c r="H63" s="24">
        <f t="shared" si="10"/>
        <v>447.70892584298491</v>
      </c>
      <c r="I63" s="12">
        <f t="shared" si="6"/>
        <v>0.56196677577288445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24">
        <f t="shared" si="5"/>
        <v>32.012859295949404</v>
      </c>
      <c r="F64" s="38">
        <f t="shared" si="0"/>
        <v>0.37666354292762699</v>
      </c>
      <c r="G64" s="14">
        <f t="shared" si="1"/>
        <v>0</v>
      </c>
      <c r="H64" s="24">
        <f t="shared" si="10"/>
        <v>448.08682178844549</v>
      </c>
      <c r="I64" s="12">
        <f t="shared" si="6"/>
        <v>0.56832440383577043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24">
        <f t="shared" si="5"/>
        <v>32.581183699785171</v>
      </c>
      <c r="F65" s="38">
        <f t="shared" si="0"/>
        <v>0.37634335819764192</v>
      </c>
      <c r="G65" s="14">
        <f t="shared" si="1"/>
        <v>0</v>
      </c>
      <c r="H65" s="24">
        <f t="shared" si="10"/>
        <v>448.46804429422127</v>
      </c>
      <c r="I65" s="12">
        <f t="shared" si="6"/>
        <v>0.57443224862173681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24">
        <f t="shared" si="5"/>
        <v>33.155615948406911</v>
      </c>
      <c r="F66" s="38">
        <f t="shared" si="0"/>
        <v>0.3760210951195988</v>
      </c>
      <c r="G66" s="14">
        <f t="shared" si="1"/>
        <v>0</v>
      </c>
      <c r="H66" s="24">
        <f t="shared" si="10"/>
        <v>448.85239691228986</v>
      </c>
      <c r="I66" s="12">
        <f t="shared" si="6"/>
        <v>0.58030369601778753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33.735919644424698</v>
      </c>
      <c r="F67" s="38">
        <f t="shared" si="0"/>
        <v>0.37569692132700266</v>
      </c>
      <c r="G67" s="14">
        <f t="shared" si="1"/>
        <v>0</v>
      </c>
      <c r="H67" s="24">
        <f t="shared" si="10"/>
        <v>449.23969362824113</v>
      </c>
      <c r="I67" s="12">
        <f t="shared" si="6"/>
        <v>0.58595113844415014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34.321870782868849</v>
      </c>
      <c r="F68" s="38">
        <f t="shared" si="0"/>
        <v>0.37537099532411961</v>
      </c>
      <c r="G68" s="14">
        <f t="shared" si="1"/>
        <v>0</v>
      </c>
      <c r="H68" s="24">
        <f t="shared" si="10"/>
        <v>449.62975812311305</v>
      </c>
      <c r="I68" s="12">
        <f t="shared" si="6"/>
        <v>0.59138606907717561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34.913256851946024</v>
      </c>
      <c r="F69" s="38">
        <f t="shared" si="0"/>
        <v>0.3750434671013696</v>
      </c>
      <c r="G69" s="14">
        <f t="shared" si="1"/>
        <v>0</v>
      </c>
      <c r="H69" s="24">
        <f t="shared" si="10"/>
        <v>450.0224231032866</v>
      </c>
      <c r="I69" s="12">
        <f t="shared" si="6"/>
        <v>0.59661916530638026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35.509876017252402</v>
      </c>
      <c r="F70" s="38">
        <f t="shared" si="0"/>
        <v>0.37471447869687513</v>
      </c>
      <c r="G70" s="14">
        <f t="shared" si="1"/>
        <v>0</v>
      </c>
      <c r="H70" s="24">
        <f t="shared" si="10"/>
        <v>450.41752969078311</v>
      </c>
      <c r="I70" s="12">
        <f t="shared" si="6"/>
        <v>0.60166036285187718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36.111536380104276</v>
      </c>
      <c r="F71" s="38">
        <f t="shared" si="0"/>
        <v>0.37438416470999997</v>
      </c>
      <c r="G71" s="14">
        <f t="shared" si="1"/>
        <v>0</v>
      </c>
      <c r="H71" s="24">
        <f t="shared" si="10"/>
        <v>450.81492686730604</v>
      </c>
      <c r="I71" s="12">
        <f t="shared" si="6"/>
        <v>0.60651892175527244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36.71805530185955</v>
      </c>
      <c r="F72" s="38">
        <f t="shared" si="0"/>
        <v>0.37405265277196009</v>
      </c>
      <c r="G72" s="14">
        <f t="shared" si="1"/>
        <v>0</v>
      </c>
      <c r="H72" s="24">
        <f t="shared" si="10"/>
        <v>451.21447096623314</v>
      </c>
      <c r="I72" s="12">
        <f t="shared" si="6"/>
        <v>0.61120348527849666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37.329258787138045</v>
      </c>
      <c r="F73" s="38">
        <f t="shared" si="0"/>
        <v>0.37372006397796276</v>
      </c>
      <c r="G73" s="14">
        <f t="shared" si="1"/>
        <v>0</v>
      </c>
      <c r="H73" s="24">
        <f t="shared" si="10"/>
        <v>451.61602520748903</v>
      </c>
      <c r="I73" s="12">
        <f t="shared" si="6"/>
        <v>0.61572213259624498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37.944980919734292</v>
      </c>
      <c r="F74" s="38">
        <f t="shared" si="0"/>
        <v>0.3733865132847764</v>
      </c>
      <c r="G74" s="14">
        <f t="shared" si="1"/>
        <v>0</v>
      </c>
      <c r="H74" s="24">
        <f t="shared" si="10"/>
        <v>452.01945927085916</v>
      </c>
      <c r="I74" s="12">
        <f t="shared" si="6"/>
        <v>0.62008242604253527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38.565063345776828</v>
      </c>
      <c r="F75" s="38">
        <f t="shared" si="0"/>
        <v>0.37305210987716919</v>
      </c>
      <c r="G75" s="14">
        <f t="shared" si="1"/>
        <v>0</v>
      </c>
      <c r="H75" s="24">
        <f t="shared" si="10"/>
        <v>452.42464890384281</v>
      </c>
      <c r="I75" s="12">
        <f t="shared" si="6"/>
        <v>0.62429145356597826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39.189354799342809</v>
      </c>
      <c r="F76" s="38">
        <f t="shared" si="0"/>
        <v>0.37271695750625172</v>
      </c>
      <c r="G76" s="14">
        <f t="shared" si="1"/>
        <v>0</v>
      </c>
      <c r="H76" s="24">
        <f t="shared" si="10"/>
        <v>452.83147556060709</v>
      </c>
      <c r="I76" s="12">
        <f t="shared" si="6"/>
        <v>0.62835586695965218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39.81771066630246</v>
      </c>
      <c r="F77" s="38">
        <f t="shared" si="0"/>
        <v>0.37238115480240241</v>
      </c>
      <c r="G77" s="14">
        <f t="shared" si="1"/>
        <v>0</v>
      </c>
      <c r="H77" s="24">
        <f t="shared" si="10"/>
        <v>453.23982606900501</v>
      </c>
      <c r="I77" s="12">
        <f t="shared" si="6"/>
        <v>0.63228191635530318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40.449992582657764</v>
      </c>
      <c r="F78" s="38">
        <f t="shared" si="0"/>
        <v>0.37204479556515618</v>
      </c>
      <c r="G78" s="14">
        <f t="shared" si="1"/>
        <v>0</v>
      </c>
      <c r="H78" s="24">
        <f t="shared" si="10"/>
        <v>453.6495923229707</v>
      </c>
      <c r="I78" s="12">
        <f t="shared" si="6"/>
        <v>0.63607548140733838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41.086068064065103</v>
      </c>
      <c r="F79" s="38">
        <f t="shared" si="0"/>
        <v>0.3717079690321709</v>
      </c>
      <c r="G79" s="14">
        <f t="shared" si="1"/>
        <v>0</v>
      </c>
      <c r="H79" s="24">
        <f t="shared" si="10"/>
        <v>454.06067099790511</v>
      </c>
      <c r="I79" s="12">
        <f t="shared" si="6"/>
        <v>0.63974209953721561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41.725810163602318</v>
      </c>
      <c r="F80" s="38">
        <f t="shared" si="0"/>
        <v>0.37137076012915371</v>
      </c>
      <c r="G80" s="14">
        <f t="shared" si="1"/>
        <v>0</v>
      </c>
      <c r="H80" s="24">
        <f t="shared" si="10"/>
        <v>454.47296328692983</v>
      </c>
      <c r="I80" s="12">
        <f t="shared" si="6"/>
        <v>0.64328699156139468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42.369097155163715</v>
      </c>
      <c r="F81" s="38">
        <f t="shared" si="0"/>
        <v>0.37103324970242813</v>
      </c>
      <c r="G81" s="14">
        <f t="shared" si="1"/>
        <v>0</v>
      </c>
      <c r="H81" s="24">
        <f t="shared" si="10"/>
        <v>454.88637465611902</v>
      </c>
      <c r="I81" s="12">
        <f t="shared" si="6"/>
        <v>0.64671508498604202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43.015812240149756</v>
      </c>
      <c r="F82" s="38">
        <f t="shared" si="0"/>
        <v>0.37069551473564821</v>
      </c>
      <c r="G82" s="14">
        <f t="shared" si="1"/>
        <v>0</v>
      </c>
      <c r="H82" s="24">
        <f t="shared" si="10"/>
        <v>455.30081461701968</v>
      </c>
      <c r="I82" s="12">
        <f t="shared" si="6"/>
        <v>0.6500310352164852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43.665843275366242</v>
      </c>
      <c r="F83" s="38">
        <f t="shared" si="0"/>
        <v>0.37035762855200588</v>
      </c>
      <c r="G83" s="14">
        <f t="shared" si="1"/>
        <v>0</v>
      </c>
      <c r="H83" s="24">
        <f t="shared" si="10"/>
        <v>455.71619651494808</v>
      </c>
      <c r="I83" s="12">
        <f t="shared" si="6"/>
        <v>0.65323924489973839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44.319082520265979</v>
      </c>
      <c r="F84" s="38">
        <f t="shared" ref="F84:F147" si="11">Cp*RhoP/(RhoA*H84)*dp/1000*MassivP</f>
        <v>0.37001966100314482</v>
      </c>
      <c r="G84" s="14">
        <f t="shared" ref="G84:G147" si="12">Phi*EpsilonF*Botzman/10^8*J84*((D84+273)^4-(E84+273)^4)</f>
        <v>0</v>
      </c>
      <c r="H84" s="24">
        <f t="shared" si="10"/>
        <v>456.13243733170606</v>
      </c>
      <c r="I84" s="12">
        <f t="shared" si="6"/>
        <v>0.65634388159221013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44.975426401858186</v>
      </c>
      <c r="F85" s="38">
        <f t="shared" si="11"/>
        <v>0.36968167864587015</v>
      </c>
      <c r="G85" s="14">
        <f t="shared" si="12"/>
        <v>0</v>
      </c>
      <c r="H85" s="24">
        <f t="shared" si="10"/>
        <v>456.54945750150051</v>
      </c>
      <c r="I85" s="12">
        <f t="shared" ref="I85:I148" si="17">LambdaP*MassivP/(dp/1000)/(H85*RhoA)/(1+F85/3)*(D85-E85)*DeltaT-(EXP(F85/10)-1)*(D85-D84)</f>
        <v>0.65934889392229279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45.634775295780479</v>
      </c>
      <c r="F86" s="38">
        <f t="shared" si="11"/>
        <v>0.36934374490763838</v>
      </c>
      <c r="G86" s="14">
        <f t="shared" si="12"/>
        <v>0</v>
      </c>
      <c r="H86" s="24">
        <f t="shared" si="10"/>
        <v>456.96718073896795</v>
      </c>
      <c r="I86" s="12">
        <f t="shared" si="17"/>
        <v>0.66225802639801046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46.297033322178493</v>
      </c>
      <c r="F87" s="38">
        <f t="shared" si="11"/>
        <v>0.36900592024171447</v>
      </c>
      <c r="G87" s="14">
        <f t="shared" si="12"/>
        <v>0</v>
      </c>
      <c r="H87" s="24">
        <f t="shared" si="10"/>
        <v>457.38553387831655</v>
      </c>
      <c r="I87" s="12">
        <f t="shared" si="17"/>
        <v>0.66507483299269565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46.962108155171187</v>
      </c>
      <c r="F88" s="38">
        <f t="shared" si="11"/>
        <v>0.36866826227280153</v>
      </c>
      <c r="G88" s="14">
        <f t="shared" si="12"/>
        <v>0</v>
      </c>
      <c r="H88" s="24">
        <f t="shared" si="10"/>
        <v>457.80444672269164</v>
      </c>
      <c r="I88" s="12">
        <f t="shared" si="17"/>
        <v>0.66780268962691214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47.629910844798097</v>
      </c>
      <c r="F89" s="38">
        <f t="shared" si="11"/>
        <v>0.36833082593387056</v>
      </c>
      <c r="G89" s="14">
        <f t="shared" si="12"/>
        <v>0</v>
      </c>
      <c r="H89" s="24">
        <f t="shared" si="10"/>
        <v>458.22385190295785</v>
      </c>
      <c r="I89" s="12">
        <f t="shared" si="17"/>
        <v>0.67044480565182862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48.300355650449923</v>
      </c>
      <c r="F90" s="38">
        <f t="shared" si="11"/>
        <v>0.3679936635948538</v>
      </c>
      <c r="G90" s="14">
        <f t="shared" si="12"/>
        <v>0</v>
      </c>
      <c r="H90" s="24">
        <f t="shared" si="10"/>
        <v>458.64368474516402</v>
      </c>
      <c r="I90" s="12">
        <f t="shared" si="17"/>
        <v>0.67300423442763535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48.97335988487756</v>
      </c>
      <c r="F91" s="38">
        <f t="shared" si="11"/>
        <v>0.36765682518380094</v>
      </c>
      <c r="G91" s="14">
        <f t="shared" si="12"/>
        <v>0</v>
      </c>
      <c r="H91" s="24">
        <f t="shared" si="10"/>
        <v>459.06388314602799</v>
      </c>
      <c r="I91" s="12">
        <f t="shared" si="17"/>
        <v>0.67548388308077789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49.64884376795834</v>
      </c>
      <c r="F92" s="38">
        <f t="shared" si="11"/>
        <v>0.3673203583010502</v>
      </c>
      <c r="G92" s="14">
        <f t="shared" si="12"/>
        <v>0</v>
      </c>
      <c r="H92" s="24">
        <f t="shared" si="10"/>
        <v>459.48438745583547</v>
      </c>
      <c r="I92" s="12">
        <f t="shared" si="17"/>
        <v>0.67788652151493334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50.326730289473275</v>
      </c>
      <c r="F93" s="38">
        <f t="shared" si="11"/>
        <v>0.36698430832691042</v>
      </c>
      <c r="G93" s="14">
        <f t="shared" si="12"/>
        <v>0</v>
      </c>
      <c r="H93" s="24">
        <f t="shared" si="10"/>
        <v>459.90514036820417</v>
      </c>
      <c r="I93" s="12">
        <f t="shared" si="17"/>
        <v>0.68021479074260416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51.006945080215878</v>
      </c>
      <c r="F94" s="38">
        <f t="shared" si="11"/>
        <v>0.36664871852331526</v>
      </c>
      <c r="G94" s="14">
        <f t="shared" si="12"/>
        <v>0</v>
      </c>
      <c r="H94" s="24">
        <f t="shared" si="10"/>
        <v>460.32608681621076</v>
      </c>
      <c r="I94" s="12">
        <f t="shared" si="17"/>
        <v>0.68247121059769289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51.689416290813568</v>
      </c>
      <c r="F95" s="38">
        <f t="shared" si="11"/>
        <v>0.3663136301298649</v>
      </c>
      <c r="G95" s="14">
        <f t="shared" si="12"/>
        <v>0</v>
      </c>
      <c r="H95" s="24">
        <f t="shared" si="10"/>
        <v>460.74717387442342</v>
      </c>
      <c r="I95" s="12">
        <f t="shared" si="17"/>
        <v>0.68465818688307767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52.374074477696645</v>
      </c>
      <c r="F96" s="38">
        <f t="shared" si="11"/>
        <v>0.36597908245463961</v>
      </c>
      <c r="G96" s="14">
        <f t="shared" si="12"/>
        <v>0</v>
      </c>
      <c r="H96" s="24">
        <f t="shared" si="10"/>
        <v>461.16835066642057</v>
      </c>
      <c r="I96" s="12">
        <f t="shared" si="17"/>
        <v>0.68677801800184002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53.060852495698484</v>
      </c>
      <c r="F97" s="38">
        <f t="shared" si="11"/>
        <v>0.36564511296013735</v>
      </c>
      <c r="G97" s="14">
        <f t="shared" si="12"/>
        <v>0</v>
      </c>
      <c r="H97" s="24">
        <f t="shared" si="10"/>
        <v>461.589568277414</v>
      </c>
      <c r="I97" s="12">
        <f t="shared" si="17"/>
        <v>0.68883290111613904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53.74968539681462</v>
      </c>
      <c r="F98" s="38">
        <f t="shared" si="11"/>
        <v>0.36531175734465771</v>
      </c>
      <c r="G98" s="14">
        <f t="shared" si="12"/>
        <v>0</v>
      </c>
      <c r="H98" s="24">
        <f t="shared" si="10"/>
        <v>462.01077967162303</v>
      </c>
      <c r="I98" s="12">
        <f t="shared" si="17"/>
        <v>0.69082493787327504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54.440510334687893</v>
      </c>
      <c r="F99" s="38">
        <f t="shared" si="11"/>
        <v>0.36497904961942945</v>
      </c>
      <c r="G99" s="14">
        <f t="shared" si="12"/>
        <v>0</v>
      </c>
      <c r="H99" s="24">
        <f t="shared" si="10"/>
        <v>462.43193961407928</v>
      </c>
      <c r="I99" s="12">
        <f t="shared" si="17"/>
        <v>0.6927561397347346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55.133266474422626</v>
      </c>
      <c r="F100" s="38">
        <f t="shared" si="11"/>
        <v>0.36464702218175621</v>
      </c>
      <c r="G100" s="14">
        <f t="shared" si="12"/>
        <v>0</v>
      </c>
      <c r="H100" s="24">
        <f t="shared" si="10"/>
        <v>462.85300459656474</v>
      </c>
      <c r="I100" s="12">
        <f t="shared" si="17"/>
        <v>0.69462843294077958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55.827894907363408</v>
      </c>
      <c r="F101" s="38">
        <f t="shared" si="11"/>
        <v>0.36431570588443241</v>
      </c>
      <c r="G101" s="14">
        <f t="shared" si="12"/>
        <v>0</v>
      </c>
      <c r="H101" s="24">
        <f t="shared" si="10"/>
        <v>463.27393276741009</v>
      </c>
      <c r="I101" s="12">
        <f t="shared" si="17"/>
        <v>0.6964436631398836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56.524338570503289</v>
      </c>
      <c r="F102" s="38">
        <f t="shared" si="11"/>
        <v>0.36398513010166178</v>
      </c>
      <c r="G102" s="14">
        <f t="shared" si="12"/>
        <v>0</v>
      </c>
      <c r="H102" s="24">
        <f t="shared" si="10"/>
        <v>463.69468386490411</v>
      </c>
      <c r="I102" s="12">
        <f t="shared" si="17"/>
        <v>0.69820359970961887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57.222542170212911</v>
      </c>
      <c r="F103" s="38">
        <f t="shared" si="11"/>
        <v>0.36365532279169688</v>
      </c>
      <c r="G103" s="14">
        <f t="shared" si="12"/>
        <v>0</v>
      </c>
      <c r="H103" s="24">
        <f t="shared" si="10"/>
        <v>464.11521915407985</v>
      </c>
      <c r="I103" s="12">
        <f t="shared" si="17"/>
        <v>0.69990993979343119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57.92245211000634</v>
      </c>
      <c r="F104" s="38">
        <f t="shared" si="11"/>
        <v>0.36332631055639492</v>
      </c>
      <c r="G104" s="14">
        <f t="shared" si="12"/>
        <v>0</v>
      </c>
      <c r="H104" s="24">
        <f t="shared" si="10"/>
        <v>464.53550136666638</v>
      </c>
      <c r="I104" s="12">
        <f t="shared" si="17"/>
        <v>0.70156431207524728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58.624016422081588</v>
      </c>
      <c r="F105" s="38">
        <f t="shared" si="11"/>
        <v>0.36299811869787824</v>
      </c>
      <c r="G105" s="14">
        <f t="shared" si="12"/>
        <v>0</v>
      </c>
      <c r="H105" s="24">
        <f t="shared" si="10"/>
        <v>464.95549464400733</v>
      </c>
      <c r="I105" s="12">
        <f t="shared" si="17"/>
        <v>0.70316828031194734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59.327184702393538</v>
      </c>
      <c r="F106" s="38">
        <f t="shared" si="11"/>
        <v>0.36267077127246938</v>
      </c>
      <c r="G106" s="14">
        <f t="shared" si="12"/>
        <v>0</v>
      </c>
      <c r="H106" s="24">
        <f t="shared" si="10"/>
        <v>465.37516448276324</v>
      </c>
      <c r="I106" s="12">
        <f t="shared" si="17"/>
        <v>0.7047233466422459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60.031908049035785</v>
      </c>
      <c r="F107" s="38">
        <f t="shared" si="11"/>
        <v>0.36234429114206052</v>
      </c>
      <c r="G107" s="14">
        <f t="shared" si="12"/>
        <v>0</v>
      </c>
      <c r="H107" s="24">
        <f t="shared" si="10"/>
        <v>465.79447768322933</v>
      </c>
      <c r="I107" s="12">
        <f t="shared" si="17"/>
        <v>0.70623095468843333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60.738139003724221</v>
      </c>
      <c r="F108" s="38">
        <f t="shared" si="11"/>
        <v>0.36201870002306441</v>
      </c>
      <c r="G108" s="14">
        <f t="shared" si="12"/>
        <v>0</v>
      </c>
      <c r="H108" s="24">
        <f t="shared" si="10"/>
        <v>466.21340230011083</v>
      </c>
      <c r="I108" s="12">
        <f t="shared" si="17"/>
        <v>0.70769249246662624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61.445831496190848</v>
      </c>
      <c r="F109" s="38">
        <f t="shared" si="11"/>
        <v>0.36169401853308547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466.63190759561138</v>
      </c>
      <c r="I109" s="12">
        <f t="shared" si="17"/>
        <v>0.70910929511914622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62.154940791309997</v>
      </c>
      <c r="F110" s="38">
        <f t="shared" si="11"/>
        <v>0.36137026623543855</v>
      </c>
      <c r="G110" s="14">
        <f t="shared" si="12"/>
        <v>0</v>
      </c>
      <c r="H110" s="24">
        <f t="shared" si="18"/>
        <v>467.04996399469815</v>
      </c>
      <c r="I110" s="12">
        <f t="shared" si="17"/>
        <v>0.71048264748218937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62.865423438792185</v>
      </c>
      <c r="F111" s="38">
        <f t="shared" si="11"/>
        <v>0.36104746168163604</v>
      </c>
      <c r="G111" s="14">
        <f t="shared" si="12"/>
        <v>0</v>
      </c>
      <c r="H111" s="24">
        <f t="shared" si="18"/>
        <v>467.4675430424183</v>
      </c>
      <c r="I111" s="12">
        <f t="shared" si="17"/>
        <v>0.71181378650035887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63.577237225292542</v>
      </c>
      <c r="F112" s="38">
        <f t="shared" si="11"/>
        <v>0.36072562245195239</v>
      </c>
      <c r="G112" s="14">
        <f t="shared" si="12"/>
        <v>0</v>
      </c>
      <c r="H112" s="24">
        <f t="shared" si="18"/>
        <v>467.8846173631506</v>
      </c>
      <c r="I112" s="12">
        <f t="shared" si="17"/>
        <v>0.71310390349888708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64.290341128791425</v>
      </c>
      <c r="F113" s="38">
        <f t="shared" si="11"/>
        <v>0.36040476519417342</v>
      </c>
      <c r="G113" s="14">
        <f t="shared" si="12"/>
        <v>0</v>
      </c>
      <c r="H113" s="24">
        <f t="shared" si="18"/>
        <v>468.30116062168167</v>
      </c>
      <c r="I113" s="12">
        <f t="shared" si="17"/>
        <v>0.71435414632355232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65.004695275114983</v>
      </c>
      <c r="F114" s="38">
        <f t="shared" si="11"/>
        <v>0.36008490566062529</v>
      </c>
      <c r="G114" s="14">
        <f t="shared" si="12"/>
        <v>0</v>
      </c>
      <c r="H114" s="24">
        <f t="shared" si="18"/>
        <v>468.71714748600664</v>
      </c>
      <c r="I114" s="12">
        <f t="shared" si="17"/>
        <v>0.71556562135731061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65.720260896472297</v>
      </c>
      <c r="F115" s="38">
        <f t="shared" si="11"/>
        <v>0.35976605874357531</v>
      </c>
      <c r="G115" s="14">
        <f t="shared" si="12"/>
        <v>0</v>
      </c>
      <c r="H115" s="24">
        <f t="shared" si="18"/>
        <v>469.13255359175855</v>
      </c>
      <c r="I115" s="12">
        <f t="shared" si="17"/>
        <v>0.71673939542214105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66.437000291894435</v>
      </c>
      <c r="F116" s="38">
        <f t="shared" si="11"/>
        <v>0.35944823850908969</v>
      </c>
      <c r="G116" s="14">
        <f t="shared" si="12"/>
        <v>0</v>
      </c>
      <c r="H116" s="24">
        <f t="shared" si="18"/>
        <v>469.54735550817844</v>
      </c>
      <c r="I116" s="12">
        <f t="shared" si="17"/>
        <v>0.71787649757376681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67.154876789468204</v>
      </c>
      <c r="F117" s="38">
        <f t="shared" si="11"/>
        <v>0.3591314582294286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469.96153070554311</v>
      </c>
      <c r="I117" s="12">
        <f t="shared" si="17"/>
        <v>0.71897792079646139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67.873854710264666</v>
      </c>
      <c r="F118" s="38">
        <f t="shared" si="11"/>
        <v>0.35881573041405135</v>
      </c>
      <c r="G118" s="14">
        <f t="shared" si="12"/>
        <v>0</v>
      </c>
      <c r="H118" s="24">
        <f t="shared" si="19"/>
        <v>470.37505752397379</v>
      </c>
      <c r="I118" s="12">
        <f t="shared" si="17"/>
        <v>0.72004462360450794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68.593899333869174</v>
      </c>
      <c r="F119" s="38">
        <f t="shared" si="11"/>
        <v>0.35850106683930638</v>
      </c>
      <c r="G119" s="14">
        <f t="shared" si="12"/>
        <v>0</v>
      </c>
      <c r="H119" s="24">
        <f t="shared" si="19"/>
        <v>470.78791514355157</v>
      </c>
      <c r="I119" s="12">
        <f t="shared" si="17"/>
        <v>0.72107753155637866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69.31497686542555</v>
      </c>
      <c r="F120" s="38">
        <f t="shared" si="11"/>
        <v>0.35818747857686689</v>
      </c>
      <c r="G120" s="14">
        <f t="shared" si="12"/>
        <v>0</v>
      </c>
      <c r="H120" s="24">
        <f t="shared" si="19"/>
        <v>471.20008355567455</v>
      </c>
      <c r="I120" s="12">
        <f t="shared" si="17"/>
        <v>0.72207753868734903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70.037054404112894</v>
      </c>
      <c r="F121" s="38">
        <f t="shared" si="11"/>
        <v>0.35787497602097862</v>
      </c>
      <c r="G121" s="14">
        <f t="shared" si="12"/>
        <v>0</v>
      </c>
      <c r="H121" s="24">
        <f t="shared" si="19"/>
        <v>471.61154353559022</v>
      </c>
      <c r="I121" s="12">
        <f t="shared" si="17"/>
        <v>0.72304550886566055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70.760099912978561</v>
      </c>
      <c r="F122" s="38">
        <f t="shared" si="11"/>
        <v>0.35756356891457558</v>
      </c>
      <c r="G122" s="14">
        <f t="shared" si="12"/>
        <v>0</v>
      </c>
      <c r="H122" s="24">
        <f t="shared" si="19"/>
        <v>472.02227661604502</v>
      </c>
      <c r="I122" s="12">
        <f t="shared" si="17"/>
        <v>0.72398227707713103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71.484082190055688</v>
      </c>
      <c r="F123" s="38">
        <f t="shared" si="11"/>
        <v>0.35725326637431953</v>
      </c>
      <c r="G123" s="14">
        <f t="shared" si="12"/>
        <v>0</v>
      </c>
      <c r="H123" s="24">
        <f t="shared" si="19"/>
        <v>472.43226506199511</v>
      </c>
      <c r="I123" s="12">
        <f t="shared" si="17"/>
        <v>0.724888650642732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72.208970840698413</v>
      </c>
      <c r="F124" s="38">
        <f t="shared" si="11"/>
        <v>0.3569440769146156</v>
      </c>
      <c r="G124" s="14">
        <f t="shared" si="12"/>
        <v>0</v>
      </c>
      <c r="H124" s="24">
        <f t="shared" si="19"/>
        <v>472.84149184632457</v>
      </c>
      <c r="I124" s="12">
        <f t="shared" si="17"/>
        <v>0.72576541037312559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72.934736251071541</v>
      </c>
      <c r="F125" s="38">
        <f t="shared" si="11"/>
        <v>0.35663600847065197</v>
      </c>
      <c r="G125" s="14">
        <f t="shared" si="12"/>
        <v>0</v>
      </c>
      <c r="H125" s="24">
        <f t="shared" si="19"/>
        <v>473.24994062652263</v>
      </c>
      <c r="I125" s="12">
        <f t="shared" si="17"/>
        <v>0.72661331166423526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73.661349562735779</v>
      </c>
      <c r="F126" s="38">
        <f t="shared" si="11"/>
        <v>0.35632906842051021</v>
      </c>
      <c r="G126" s="14">
        <f t="shared" si="12"/>
        <v>0</v>
      </c>
      <c r="H126" s="24">
        <f t="shared" si="19"/>
        <v>473.65759572227273</v>
      </c>
      <c r="I126" s="12">
        <f t="shared" si="17"/>
        <v>0.72743308553726471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74.38878264827305</v>
      </c>
      <c r="F127" s="38">
        <f t="shared" si="11"/>
        <v>0.35602326360638942</v>
      </c>
      <c r="G127" s="14">
        <f t="shared" si="12"/>
        <v>0</v>
      </c>
      <c r="H127" s="24">
        <f t="shared" si="19"/>
        <v>474.06444209391003</v>
      </c>
      <c r="I127" s="12">
        <f t="shared" si="17"/>
        <v>0.72822543962663555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75.117008087899691</v>
      </c>
      <c r="F128" s="38">
        <f t="shared" si="11"/>
        <v>0.35571860035498615</v>
      </c>
      <c r="G128" s="14">
        <f t="shared" si="12"/>
        <v>0</v>
      </c>
      <c r="H128" s="24">
        <f t="shared" si="19"/>
        <v>474.47046532170543</v>
      </c>
      <c r="I128" s="12">
        <f t="shared" si="17"/>
        <v>0.72899105911876239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75.84599914701846</v>
      </c>
      <c r="F129" s="38">
        <f t="shared" si="11"/>
        <v>0.35541508449706738</v>
      </c>
      <c r="G129" s="14">
        <f t="shared" si="12"/>
        <v>0</v>
      </c>
      <c r="H129" s="24">
        <f t="shared" si="19"/>
        <v>474.87565158593793</v>
      </c>
      <c r="I129" s="12">
        <f t="shared" si="17"/>
        <v>0.72973060764482811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76.575729754663286</v>
      </c>
      <c r="F130" s="38">
        <f t="shared" si="11"/>
        <v>0.35511272138627481</v>
      </c>
      <c r="G130" s="14">
        <f t="shared" si="12"/>
        <v>0</v>
      </c>
      <c r="H130" s="24">
        <f t="shared" si="19"/>
        <v>475.27998764771758</v>
      </c>
      <c r="I130" s="12">
        <f t="shared" si="17"/>
        <v>0.73044472812996164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77.306174482793253</v>
      </c>
      <c r="F131" s="38">
        <f t="shared" si="11"/>
        <v>0.35481151591719401</v>
      </c>
      <c r="G131" s="14">
        <f t="shared" si="12"/>
        <v>0</v>
      </c>
      <c r="H131" s="24">
        <f t="shared" si="19"/>
        <v>475.68346083052592</v>
      </c>
      <c r="I131" s="12">
        <f t="shared" si="17"/>
        <v>0.73113404360155942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78.03730852639481</v>
      </c>
      <c r="F132" s="38">
        <f t="shared" si="11"/>
        <v>0.35451147254272225</v>
      </c>
      <c r="G132" s="14">
        <f t="shared" si="12"/>
        <v>0</v>
      </c>
      <c r="H132" s="24">
        <f t="shared" si="19"/>
        <v>476.08605900243919</v>
      </c>
      <c r="I132" s="12">
        <f t="shared" si="17"/>
        <v>0.7317991579589318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78.769107684353742</v>
      </c>
      <c r="F133" s="38">
        <f t="shared" si="11"/>
        <v>0.35421259529076576</v>
      </c>
      <c r="G133" s="14">
        <f t="shared" si="12"/>
        <v>0</v>
      </c>
      <c r="H133" s="24">
        <f t="shared" si="19"/>
        <v>476.4877705590049</v>
      </c>
      <c r="I133" s="12">
        <f t="shared" si="17"/>
        <v>0.73244065670662961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79.501548341060371</v>
      </c>
      <c r="F134" s="38">
        <f t="shared" si="11"/>
        <v>0.35391488778029528</v>
      </c>
      <c r="G134" s="14">
        <f t="shared" si="12"/>
        <v>0</v>
      </c>
      <c r="H134" s="24">
        <f t="shared" si="19"/>
        <v>476.88858440674232</v>
      </c>
      <c r="I134" s="12">
        <f t="shared" si="17"/>
        <v>0.73305910765327975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80.234607448713646</v>
      </c>
      <c r="F135" s="38">
        <f t="shared" si="11"/>
        <v>0.35361835323678892</v>
      </c>
      <c r="G135" s="14">
        <f t="shared" si="12"/>
        <v>0</v>
      </c>
      <c r="H135" s="24">
        <f t="shared" si="19"/>
        <v>477.28848994723825</v>
      </c>
      <c r="I135" s="12">
        <f t="shared" si="17"/>
        <v>0.73365506157808746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80.968262510291737</v>
      </c>
      <c r="F136" s="38">
        <f t="shared" si="11"/>
        <v>0.35332299450708926</v>
      </c>
      <c r="G136" s="14">
        <f t="shared" si="12"/>
        <v>0</v>
      </c>
      <c r="H136" s="24">
        <f t="shared" si="19"/>
        <v>477.68747706181239</v>
      </c>
      <c r="I136" s="12">
        <f t="shared" si="17"/>
        <v>0.73422905286658091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81.702491563158318</v>
      </c>
      <c r="F137" s="38">
        <f t="shared" si="11"/>
        <v>0.35302881407369763</v>
      </c>
      <c r="G137" s="14">
        <f t="shared" si="12"/>
        <v>0</v>
      </c>
      <c r="H137" s="24">
        <f t="shared" si="19"/>
        <v>478.08553609672867</v>
      </c>
      <c r="I137" s="12">
        <f t="shared" si="17"/>
        <v>0.73478160011742633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82.437273163275748</v>
      </c>
      <c r="F138" s="38">
        <f t="shared" si="11"/>
        <v>0.35273581406853216</v>
      </c>
      <c r="G138" s="14">
        <f t="shared" si="12"/>
        <v>0</v>
      </c>
      <c r="H138" s="24">
        <f t="shared" si="19"/>
        <v>478.48265784892669</v>
      </c>
      <c r="I138" s="12">
        <f t="shared" si="17"/>
        <v>0.73531320672180434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83.172586369997546</v>
      </c>
      <c r="F139" s="38">
        <f t="shared" si="11"/>
        <v>0.35244399628617079</v>
      </c>
      <c r="G139" s="14">
        <f t="shared" si="12"/>
        <v>0</v>
      </c>
      <c r="H139" s="24">
        <f t="shared" si="19"/>
        <v>478.87883355225307</v>
      </c>
      <c r="I139" s="12">
        <f t="shared" si="17"/>
        <v>0.73582436141683072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83.908410731414378</v>
      </c>
      <c r="F140" s="38">
        <f t="shared" si="11"/>
        <v>0.35215336219660154</v>
      </c>
      <c r="G140" s="14">
        <f t="shared" si="12"/>
        <v>0</v>
      </c>
      <c r="H140" s="24">
        <f t="shared" si="19"/>
        <v>479.27405486417047</v>
      </c>
      <c r="I140" s="12">
        <f t="shared" si="17"/>
        <v>0.73631553881441913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84.644726270228801</v>
      </c>
      <c r="F141" s="38">
        <f t="shared" si="11"/>
        <v>0.3518639129574998</v>
      </c>
      <c r="G141" s="14">
        <f t="shared" si="12"/>
        <v>0</v>
      </c>
      <c r="H141" s="24">
        <f t="shared" si="19"/>
        <v>479.66831385292431</v>
      </c>
      <c r="I141" s="12">
        <f t="shared" si="17"/>
        <v>0.73678719990687069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85.381513470135673</v>
      </c>
      <c r="F142" s="38">
        <f t="shared" si="11"/>
        <v>0.35157564942605385</v>
      </c>
      <c r="G142" s="14">
        <f t="shared" si="12"/>
        <v>0</v>
      </c>
      <c r="H142" s="24">
        <f t="shared" si="19"/>
        <v>480.06160298514862</v>
      </c>
      <c r="I142" s="12">
        <f t="shared" si="17"/>
        <v>0.73723979255042227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86.118753262686099</v>
      </c>
      <c r="F143" s="38">
        <f t="shared" si="11"/>
        <v>0.3512885721703547</v>
      </c>
      <c r="G143" s="14">
        <f t="shared" si="12"/>
        <v>0</v>
      </c>
      <c r="H143" s="24">
        <f t="shared" si="19"/>
        <v>480.45391511389244</v>
      </c>
      <c r="I143" s="12">
        <f t="shared" si="17"/>
        <v>0.73767375192785223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86.856427014613956</v>
      </c>
      <c r="F144" s="38">
        <f t="shared" si="11"/>
        <v>0.35100268148037084</v>
      </c>
      <c r="G144" s="14">
        <f t="shared" si="12"/>
        <v>0</v>
      </c>
      <c r="H144" s="24">
        <f t="shared" si="19"/>
        <v>480.84524346704939</v>
      </c>
      <c r="I144" s="12">
        <f t="shared" si="17"/>
        <v>0.73808950099129755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87.59451651560525</v>
      </c>
      <c r="F145" s="38">
        <f t="shared" si="11"/>
        <v>0.35071797737852256</v>
      </c>
      <c r="G145" s="14">
        <f t="shared" si="12"/>
        <v>0</v>
      </c>
      <c r="H145" s="24">
        <f t="shared" si="19"/>
        <v>481.23558163617474</v>
      </c>
      <c r="I145" s="12">
        <f t="shared" si="17"/>
        <v>0.73848745088616163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88.333003966491418</v>
      </c>
      <c r="F146" s="38">
        <f t="shared" si="11"/>
        <v>0.35043445962987324</v>
      </c>
      <c r="G146" s="14">
        <f t="shared" si="12"/>
        <v>0</v>
      </c>
      <c r="H146" s="24">
        <f t="shared" si="19"/>
        <v>481.62492356567424</v>
      </c>
      <c r="I146" s="12">
        <f t="shared" si="17"/>
        <v>0.73886800135724184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89.071871967848665</v>
      </c>
      <c r="F147" s="38">
        <f t="shared" si="11"/>
        <v>0.35015212775195254</v>
      </c>
      <c r="G147" s="14">
        <f t="shared" si="12"/>
        <v>0</v>
      </c>
      <c r="H147" s="24">
        <f t="shared" si="19"/>
        <v>482.01326354234874</v>
      </c>
      <c r="I147" s="12">
        <f t="shared" si="17"/>
        <v>0.73923154113781875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89.811103508986477</v>
      </c>
      <c r="F148" s="38">
        <f t="shared" ref="F148:F211" si="20">Cp*RhoP/(RhoA*H148)*dp/1000*MassivP</f>
        <v>0.34987098102422565</v>
      </c>
      <c r="G148" s="14">
        <f t="shared" ref="G148:G211" si="21">Phi*EpsilonF*Botzman/10^8*J148*((D148+273)^4-(E148+273)^4)</f>
        <v>0</v>
      </c>
      <c r="H148" s="24">
        <f t="shared" si="19"/>
        <v>482.40059618528238</v>
      </c>
      <c r="I148" s="12">
        <f t="shared" si="17"/>
        <v>0.73957844832259745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90.550681957309081</v>
      </c>
      <c r="F149" s="38">
        <f t="shared" si="20"/>
        <v>0.34959101849722368</v>
      </c>
      <c r="G149" s="14">
        <f t="shared" si="21"/>
        <v>0</v>
      </c>
      <c r="H149" s="24">
        <f t="shared" si="19"/>
        <v>482.78691643605953</v>
      </c>
      <c r="I149" s="12">
        <f t="shared" ref="I149:I212" si="26">LambdaP*MassivP/(dp/1000)/(H149*RhoA)/(1+F149/3)*(D149-E149)*DeltaT-(EXP(F149/10)-1)*(D149-D148)</f>
        <v>0.73990909072533995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91.290591048034415</v>
      </c>
      <c r="F150" s="38">
        <f t="shared" si="20"/>
        <v>0.34931223900134806</v>
      </c>
      <c r="G150" s="14">
        <f t="shared" si="21"/>
        <v>0</v>
      </c>
      <c r="H150" s="24">
        <f t="shared" si="19"/>
        <v>483.17221954929767</v>
      </c>
      <c r="I150" s="12">
        <f t="shared" si="26"/>
        <v>0.74022382622189176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92.030814874256308</v>
      </c>
      <c r="F151" s="38">
        <f t="shared" si="20"/>
        <v>0.34903464115536048</v>
      </c>
      <c r="G151" s="14">
        <f t="shared" si="21"/>
        <v>0</v>
      </c>
      <c r="H151" s="24">
        <f t="shared" si="19"/>
        <v>483.55650108348556</v>
      </c>
      <c r="I151" s="12">
        <f t="shared" si="26"/>
        <v>0.74052300307931695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92.771337877335625</v>
      </c>
      <c r="F152" s="38">
        <f t="shared" si="20"/>
        <v>0.34875822337457346</v>
      </c>
      <c r="G152" s="14">
        <f t="shared" si="21"/>
        <v>0</v>
      </c>
      <c r="H152" s="24">
        <f t="shared" si="19"/>
        <v>483.93975689211226</v>
      </c>
      <c r="I152" s="12">
        <f t="shared" si="26"/>
        <v>0.74080696027178761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93.512144837607408</v>
      </c>
      <c r="F153" s="38">
        <f t="shared" si="20"/>
        <v>0.34848298387874943</v>
      </c>
      <c r="G153" s="14">
        <f t="shared" si="21"/>
        <v>0</v>
      </c>
      <c r="H153" s="24">
        <f t="shared" si="19"/>
        <v>484.32198311507909</v>
      </c>
      <c r="I153" s="12">
        <f t="shared" si="26"/>
        <v>0.74107602778396164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94.25322086539137</v>
      </c>
      <c r="F154" s="38">
        <f t="shared" si="20"/>
        <v>0.34820892069972303</v>
      </c>
      <c r="G154" s="14">
        <f t="shared" si="21"/>
        <v>0</v>
      </c>
      <c r="H154" s="24">
        <f t="shared" si="19"/>
        <v>484.70317617038103</v>
      </c>
      <c r="I154" s="12">
        <f t="shared" si="26"/>
        <v>0.74133052690226131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94.99455139229363</v>
      </c>
      <c r="F155" s="38">
        <f t="shared" si="20"/>
        <v>0.34793603168875431</v>
      </c>
      <c r="G155" s="14">
        <f t="shared" si="21"/>
        <v>0</v>
      </c>
      <c r="H155" s="24">
        <f t="shared" si="19"/>
        <v>485.08333274604962</v>
      </c>
      <c r="I155" s="12">
        <f t="shared" si="26"/>
        <v>0.74157077049481401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95.736122162788448</v>
      </c>
      <c r="F156" s="38">
        <f t="shared" si="20"/>
        <v>0.34766431452362551</v>
      </c>
      <c r="G156" s="14">
        <f t="shared" si="21"/>
        <v>0</v>
      </c>
      <c r="H156" s="24">
        <f t="shared" si="19"/>
        <v>485.46244979234632</v>
      </c>
      <c r="I156" s="12">
        <f t="shared" si="26"/>
        <v>0.74179706328040029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96.477919226068849</v>
      </c>
      <c r="F157" s="38">
        <f t="shared" si="20"/>
        <v>0.34739376671548911</v>
      </c>
      <c r="G157" s="14">
        <f t="shared" si="21"/>
        <v>0</v>
      </c>
      <c r="H157" s="24">
        <f t="shared" si="19"/>
        <v>485.84052451419768</v>
      </c>
      <c r="I157" s="12">
        <f t="shared" si="26"/>
        <v>0.74200970208714689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97.219928928155994</v>
      </c>
      <c r="F158" s="38">
        <f t="shared" si="20"/>
        <v>0.34712438561547776</v>
      </c>
      <c r="G158" s="14">
        <f t="shared" si="21"/>
        <v>0</v>
      </c>
      <c r="H158" s="24">
        <f t="shared" si="19"/>
        <v>486.21755436386292</v>
      </c>
      <c r="I158" s="12">
        <f t="shared" si="26"/>
        <v>0.7422089761011027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97.962137904257091</v>
      </c>
      <c r="F159" s="38">
        <f t="shared" si="20"/>
        <v>0.34685616842108435</v>
      </c>
      <c r="G159" s="14">
        <f t="shared" si="21"/>
        <v>0</v>
      </c>
      <c r="H159" s="24">
        <f t="shared" si="19"/>
        <v>486.59353703382652</v>
      </c>
      <c r="I159" s="12">
        <f t="shared" si="26"/>
        <v>0.74239516710555109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98.704533071362647</v>
      </c>
      <c r="F160" s="38">
        <f t="shared" si="20"/>
        <v>0.3465891121823213</v>
      </c>
      <c r="G160" s="14">
        <f t="shared" si="21"/>
        <v>0</v>
      </c>
      <c r="H160" s="24">
        <f t="shared" si="19"/>
        <v>486.96847044990659</v>
      </c>
      <c r="I160" s="12">
        <f t="shared" si="26"/>
        <v>0.74256854971111941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99.44710162107377</v>
      </c>
      <c r="F161" s="38">
        <f t="shared" si="20"/>
        <v>0.34632321380766662</v>
      </c>
      <c r="G161" s="14">
        <f t="shared" si="21"/>
        <v>0</v>
      </c>
      <c r="H161" s="24">
        <f t="shared" si="19"/>
        <v>487.34235276457179</v>
      </c>
      <c r="I161" s="12">
        <f t="shared" si="26"/>
        <v>0.74272939157734008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100.18983101265111</v>
      </c>
      <c r="F162" s="38">
        <f t="shared" si="20"/>
        <v>0.34605847006980539</v>
      </c>
      <c r="G162" s="14">
        <f t="shared" si="21"/>
        <v>0</v>
      </c>
      <c r="H162" s="24">
        <f t="shared" si="19"/>
        <v>487.71518235045926</v>
      </c>
      <c r="I162" s="12">
        <f t="shared" si="26"/>
        <v>0.74287795362595954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100.93270896627708</v>
      </c>
      <c r="F163" s="38">
        <f t="shared" si="20"/>
        <v>0.34579487761117311</v>
      </c>
      <c r="G163" s="14">
        <f t="shared" si="21"/>
        <v>0</v>
      </c>
      <c r="H163" s="24">
        <f t="shared" si="19"/>
        <v>488.0869577940868</v>
      </c>
      <c r="I163" s="12">
        <f t="shared" si="26"/>
        <v>0.74301449024630606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101.67572345652339</v>
      </c>
      <c r="F164" s="38">
        <f t="shared" si="20"/>
        <v>0.34553243294930969</v>
      </c>
      <c r="G164" s="14">
        <f t="shared" si="21"/>
        <v>0</v>
      </c>
      <c r="H164" s="24">
        <f t="shared" si="19"/>
        <v>488.45767788975144</v>
      </c>
      <c r="I164" s="12">
        <f t="shared" si="26"/>
        <v>0.74313924949315924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102.41886270601654</v>
      </c>
      <c r="F165" s="38">
        <f t="shared" si="20"/>
        <v>0.34527113248202873</v>
      </c>
      <c r="G165" s="14">
        <f t="shared" si="21"/>
        <v>0</v>
      </c>
      <c r="H165" s="24">
        <f t="shared" si="19"/>
        <v>488.82734163360999</v>
      </c>
      <c r="I165" s="12">
        <f t="shared" si="26"/>
        <v>0.74325247327740229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103.16211517929395</v>
      </c>
      <c r="F166" s="38">
        <f t="shared" si="20"/>
        <v>0.34501097249241131</v>
      </c>
      <c r="G166" s="14">
        <f t="shared" si="21"/>
        <v>0</v>
      </c>
      <c r="H166" s="24">
        <f t="shared" si="19"/>
        <v>489.19594821793231</v>
      </c>
      <c r="I166" s="12">
        <f t="shared" si="26"/>
        <v>0.74335439754974431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103.9054695768437</v>
      </c>
      <c r="F167" s="38">
        <f t="shared" si="20"/>
        <v>0.34475194915362839</v>
      </c>
      <c r="G167" s="14">
        <f t="shared" si="21"/>
        <v>0</v>
      </c>
      <c r="H167" s="24">
        <f t="shared" si="19"/>
        <v>489.56349702552427</v>
      </c>
      <c r="I167" s="12">
        <f t="shared" si="26"/>
        <v>0.74344525247785875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104.64891482932155</v>
      </c>
      <c r="F168" s="38">
        <f t="shared" si="20"/>
        <v>0.3444940585336006</v>
      </c>
      <c r="G168" s="14">
        <f t="shared" si="21"/>
        <v>0</v>
      </c>
      <c r="H168" s="24">
        <f t="shared" si="19"/>
        <v>489.92998762431228</v>
      </c>
      <c r="I168" s="12">
        <f t="shared" si="26"/>
        <v>0.7435252626172173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105.39244009193877</v>
      </c>
      <c r="F169" s="38">
        <f t="shared" si="20"/>
        <v>0.34423729659949709</v>
      </c>
      <c r="G169" s="14">
        <f t="shared" si="21"/>
        <v>0</v>
      </c>
      <c r="H169" s="24">
        <f t="shared" si="19"/>
        <v>490.29541976208583</v>
      </c>
      <c r="I169" s="12">
        <f t="shared" si="26"/>
        <v>0.74359464707579515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106.13603473901456</v>
      </c>
      <c r="F170" s="38">
        <f t="shared" si="20"/>
        <v>0.34398165922208374</v>
      </c>
      <c r="G170" s="14">
        <f t="shared" si="21"/>
        <v>0</v>
      </c>
      <c r="H170" s="24">
        <f t="shared" si="19"/>
        <v>490.65979336139111</v>
      </c>
      <c r="I170" s="12">
        <f t="shared" si="26"/>
        <v>0.74365361967306121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106.87968835868762</v>
      </c>
      <c r="F171" s="38">
        <f t="shared" si="20"/>
        <v>0.34372714217992351</v>
      </c>
      <c r="G171" s="14">
        <f t="shared" si="21"/>
        <v>0</v>
      </c>
      <c r="H171" s="24">
        <f t="shared" si="19"/>
        <v>491.02310851457145</v>
      </c>
      <c r="I171" s="12">
        <f t="shared" si="26"/>
        <v>0.74370238909331399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107.62339074778093</v>
      </c>
      <c r="F172" s="38">
        <f t="shared" si="20"/>
        <v>0.34347374116343371</v>
      </c>
      <c r="G172" s="14">
        <f t="shared" si="21"/>
        <v>0</v>
      </c>
      <c r="H172" s="24">
        <f t="shared" si="19"/>
        <v>491.38536547894984</v>
      </c>
      <c r="I172" s="12">
        <f t="shared" si="26"/>
        <v>0.74374115903377291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108.36713190681471</v>
      </c>
      <c r="F173" s="38">
        <f t="shared" si="20"/>
        <v>0.34322145177880775</v>
      </c>
      <c r="G173" s="14">
        <f t="shared" si="21"/>
        <v>0</v>
      </c>
      <c r="H173" s="24">
        <f t="shared" si="19"/>
        <v>491.74656467214817</v>
      </c>
      <c r="I173" s="12">
        <f t="shared" si="26"/>
        <v>0.74377012834751854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109.11090203516223</v>
      </c>
      <c r="F174" s="38">
        <f t="shared" si="20"/>
        <v>0.3429702695518031</v>
      </c>
      <c r="G174" s="14">
        <f t="shared" si="21"/>
        <v>0</v>
      </c>
      <c r="H174" s="24">
        <f t="shared" si="19"/>
        <v>492.10670666753936</v>
      </c>
      <c r="I174" s="12">
        <f t="shared" si="26"/>
        <v>0.74378949118146465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109.85469152634369</v>
      </c>
      <c r="F175" s="38">
        <f t="shared" si="20"/>
        <v>0.3427201899314023</v>
      </c>
      <c r="G175" s="14">
        <f t="shared" si="21"/>
        <v>0</v>
      </c>
      <c r="H175" s="24">
        <f t="shared" si="19"/>
        <v>492.46579218982725</v>
      </c>
      <c r="I175" s="12">
        <f t="shared" si="26"/>
        <v>0.74379943710978469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110.59849096345347</v>
      </c>
      <c r="F176" s="38">
        <f t="shared" si="20"/>
        <v>0.34247120829335026</v>
      </c>
      <c r="G176" s="14">
        <f t="shared" si="21"/>
        <v>0</v>
      </c>
      <c r="H176" s="24">
        <f t="shared" si="19"/>
        <v>492.82382211075117</v>
      </c>
      <c r="I176" s="12">
        <f t="shared" si="26"/>
        <v>0.74380015126264631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111.34229111471612</v>
      </c>
      <c r="F177" s="38">
        <f t="shared" si="20"/>
        <v>0.3422233199435733</v>
      </c>
      <c r="G177" s="14">
        <f t="shared" si="21"/>
        <v>0</v>
      </c>
      <c r="H177" s="24">
        <f t="shared" si="19"/>
        <v>493.18079744491007</v>
      </c>
      <c r="I177" s="12">
        <f t="shared" si="26"/>
        <v>0.74379181445069087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112.08608292916681</v>
      </c>
      <c r="F178" s="38">
        <f t="shared" si="20"/>
        <v>0.34197652012148205</v>
      </c>
      <c r="G178" s="14">
        <f t="shared" si="21"/>
        <v>0</v>
      </c>
      <c r="H178" s="24">
        <f t="shared" si="19"/>
        <v>493.53671934570303</v>
      </c>
      <c r="I178" s="12">
        <f t="shared" si="26"/>
        <v>0.74377460328541911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112.82985753245222</v>
      </c>
      <c r="F179" s="38">
        <f t="shared" si="20"/>
        <v>0.34173080400316491</v>
      </c>
      <c r="G179" s="14">
        <f t="shared" si="21"/>
        <v>0</v>
      </c>
      <c r="H179" s="24">
        <f t="shared" si="19"/>
        <v>493.89158910138212</v>
      </c>
      <c r="I179" s="12">
        <f t="shared" si="26"/>
        <v>0.74374869029542534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113.57360622274764</v>
      </c>
      <c r="F180" s="38">
        <f t="shared" si="20"/>
        <v>0.3414861667044729</v>
      </c>
      <c r="G180" s="14">
        <f t="shared" si="21"/>
        <v>0</v>
      </c>
      <c r="H180" s="24">
        <f t="shared" si="19"/>
        <v>494.24540813121422</v>
      </c>
      <c r="I180" s="12">
        <f t="shared" si="26"/>
        <v>0.74371424403889397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114.31732046678654</v>
      </c>
      <c r="F181" s="38">
        <f t="shared" si="20"/>
        <v>0.34124260328400208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494.59817798174851</v>
      </c>
      <c r="I181" s="12">
        <f t="shared" si="26"/>
        <v>0.74367142921242724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115.06099189599897</v>
      </c>
      <c r="F182" s="38">
        <f t="shared" si="20"/>
        <v>0.34100010874597581</v>
      </c>
      <c r="G182" s="14">
        <f t="shared" si="21"/>
        <v>0</v>
      </c>
      <c r="H182" s="24">
        <f t="shared" si="27"/>
        <v>494.94990032318537</v>
      </c>
      <c r="I182" s="12">
        <f t="shared" si="26"/>
        <v>0.74362040675621555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115.80461230275519</v>
      </c>
      <c r="F183" s="38">
        <f t="shared" si="20"/>
        <v>0.34075867804302973</v>
      </c>
      <c r="G183" s="14">
        <f t="shared" si="21"/>
        <v>0</v>
      </c>
      <c r="H183" s="24">
        <f t="shared" si="27"/>
        <v>495.30057694584497</v>
      </c>
      <c r="I183" s="12">
        <f t="shared" si="26"/>
        <v>0.74356133395587165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116.54817363671106</v>
      </c>
      <c r="F184" s="38">
        <f t="shared" si="20"/>
        <v>0.34051830607890471</v>
      </c>
      <c r="G184" s="14">
        <f t="shared" si="21"/>
        <v>0</v>
      </c>
      <c r="H184" s="24">
        <f t="shared" si="27"/>
        <v>495.65020975673173</v>
      </c>
      <c r="I184" s="12">
        <f t="shared" si="26"/>
        <v>0.7434943645409875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117.29166800125205</v>
      </c>
      <c r="F185" s="38">
        <f t="shared" si="20"/>
        <v>0.3402789877110482</v>
      </c>
      <c r="G185" s="14">
        <f t="shared" si="21"/>
        <v>0</v>
      </c>
      <c r="H185" s="24">
        <f t="shared" si="27"/>
        <v>495.99880077619076</v>
      </c>
      <c r="I185" s="12">
        <f t="shared" si="26"/>
        <v>0.74341964878050804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118.03508765003255</v>
      </c>
      <c r="F186" s="38">
        <f t="shared" si="20"/>
        <v>0.34004071775313038</v>
      </c>
      <c r="G186" s="14">
        <f t="shared" si="21"/>
        <v>0</v>
      </c>
      <c r="H186" s="24">
        <f t="shared" si="27"/>
        <v>496.34635213465498</v>
      </c>
      <c r="I186" s="12">
        <f t="shared" si="26"/>
        <v>0.74333733357505805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118.77842498360761</v>
      </c>
      <c r="F187" s="38">
        <f t="shared" si="20"/>
        <v>0.33980349097747364</v>
      </c>
      <c r="G187" s="14">
        <f t="shared" si="21"/>
        <v>0</v>
      </c>
      <c r="H187" s="24">
        <f t="shared" si="27"/>
        <v>496.69286606948003</v>
      </c>
      <c r="I187" s="12">
        <f t="shared" si="26"/>
        <v>0.74324756254635049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119.52167254615395</v>
      </c>
      <c r="F188" s="38">
        <f t="shared" si="20"/>
        <v>0.33956730211740299</v>
      </c>
      <c r="G188" s="14">
        <f t="shared" si="21"/>
        <v>0</v>
      </c>
      <c r="H188" s="24">
        <f t="shared" si="27"/>
        <v>497.03834492186257</v>
      </c>
      <c r="I188" s="12">
        <f t="shared" si="26"/>
        <v>0.74315047612383056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120.26482302227778</v>
      </c>
      <c r="F189" s="38">
        <f t="shared" si="20"/>
        <v>0.33933214586951665</v>
      </c>
      <c r="G189" s="14">
        <f t="shared" si="21"/>
        <v>0</v>
      </c>
      <c r="H189" s="24">
        <f t="shared" si="27"/>
        <v>497.38279113384158</v>
      </c>
      <c r="I189" s="12">
        <f t="shared" si="26"/>
        <v>0.74304621162851014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121.00786923390629</v>
      </c>
      <c r="F190" s="38">
        <f t="shared" si="20"/>
        <v>0.33909801689588087</v>
      </c>
      <c r="G190" s="14">
        <f t="shared" si="21"/>
        <v>0</v>
      </c>
      <c r="H190" s="24">
        <f t="shared" si="27"/>
        <v>497.72620724537853</v>
      </c>
      <c r="I190" s="12">
        <f t="shared" si="26"/>
        <v>0.74293490335427237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121.75080413726056</v>
      </c>
      <c r="F191" s="38">
        <f t="shared" si="20"/>
        <v>0.33886490982615103</v>
      </c>
      <c r="G191" s="14">
        <f t="shared" si="21"/>
        <v>0</v>
      </c>
      <c r="H191" s="24">
        <f t="shared" si="27"/>
        <v>498.0685958915156</v>
      </c>
      <c r="I191" s="12">
        <f t="shared" si="26"/>
        <v>0.7428166826466559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122.49362081990722</v>
      </c>
      <c r="F192" s="38">
        <f t="shared" si="20"/>
        <v>0.33863281925962202</v>
      </c>
      <c r="G192" s="14">
        <f t="shared" si="21"/>
        <v>0</v>
      </c>
      <c r="H192" s="24">
        <f t="shared" si="27"/>
        <v>498.40995979960786</v>
      </c>
      <c r="I192" s="12">
        <f t="shared" si="26"/>
        <v>0.74269167797913438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123.23631249788636</v>
      </c>
      <c r="F193" s="38">
        <f t="shared" si="20"/>
        <v>0.33840173976720983</v>
      </c>
      <c r="G193" s="14">
        <f t="shared" si="21"/>
        <v>0</v>
      </c>
      <c r="H193" s="24">
        <f t="shared" si="27"/>
        <v>498.75030178662865</v>
      </c>
      <c r="I193" s="12">
        <f t="shared" si="26"/>
        <v>0.74256001502717295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123.97887251291353</v>
      </c>
      <c r="F194" s="38">
        <f t="shared" si="20"/>
        <v>0.33817166589336645</v>
      </c>
      <c r="G194" s="14">
        <f t="shared" si="21"/>
        <v>0</v>
      </c>
      <c r="H194" s="24">
        <f t="shared" si="27"/>
        <v>499.08962475654528</v>
      </c>
      <c r="I194" s="12">
        <f t="shared" si="26"/>
        <v>0.74242181673994512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124.72129432965347</v>
      </c>
      <c r="F195" s="38">
        <f t="shared" si="20"/>
        <v>0.33794259215793093</v>
      </c>
      <c r="G195" s="14">
        <f t="shared" si="21"/>
        <v>0</v>
      </c>
      <c r="H195" s="24">
        <f t="shared" si="27"/>
        <v>499.42793169776292</v>
      </c>
      <c r="I195" s="12">
        <f t="shared" si="26"/>
        <v>0.74227720340993841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125.46357153306342</v>
      </c>
      <c r="F196" s="38">
        <f t="shared" si="20"/>
        <v>0.33771451305791728</v>
      </c>
      <c r="G196" s="14">
        <f t="shared" si="21"/>
        <v>0</v>
      </c>
      <c r="H196" s="24">
        <f t="shared" si="27"/>
        <v>499.76522568063581</v>
      </c>
      <c r="I196" s="12">
        <f t="shared" si="26"/>
        <v>0.74212629274038877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126.20569782580381</v>
      </c>
      <c r="F197" s="38">
        <f t="shared" si="20"/>
        <v>0.33748742306924373</v>
      </c>
      <c r="G197" s="14">
        <f t="shared" si="21"/>
        <v>0</v>
      </c>
      <c r="H197" s="24">
        <f t="shared" si="27"/>
        <v>500.1015098550418</v>
      </c>
      <c r="I197" s="12">
        <f t="shared" si="26"/>
        <v>0.74196919991078669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126.94766702571459</v>
      </c>
      <c r="F198" s="38">
        <f t="shared" si="20"/>
        <v>0.33726131664840275</v>
      </c>
      <c r="G198" s="14">
        <f t="shared" si="21"/>
        <v>0</v>
      </c>
      <c r="H198" s="24">
        <f t="shared" si="27"/>
        <v>500.43678744801991</v>
      </c>
      <c r="I198" s="12">
        <f t="shared" si="26"/>
        <v>0.74180603764035569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127.68947306335495</v>
      </c>
      <c r="F199" s="38">
        <f t="shared" si="20"/>
        <v>0.33703618823407505</v>
      </c>
      <c r="G199" s="14">
        <f t="shared" si="21"/>
        <v>0</v>
      </c>
      <c r="H199" s="24">
        <f t="shared" si="27"/>
        <v>500.77106176146896</v>
      </c>
      <c r="I199" s="12">
        <f t="shared" si="26"/>
        <v>0.74163691624973105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128.43110997960468</v>
      </c>
      <c r="F200" s="38">
        <f t="shared" si="20"/>
        <v>0.33681203224868911</v>
      </c>
      <c r="G200" s="14">
        <f t="shared" si="21"/>
        <v>0</v>
      </c>
      <c r="H200" s="24">
        <f t="shared" si="27"/>
        <v>501.10433616990525</v>
      </c>
      <c r="I200" s="12">
        <f t="shared" si="26"/>
        <v>0.74146194372070129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129.17257192332539</v>
      </c>
      <c r="F201" s="38">
        <f t="shared" si="20"/>
        <v>0.33658884309992815</v>
      </c>
      <c r="G201" s="14">
        <f t="shared" si="21"/>
        <v>0</v>
      </c>
      <c r="H201" s="24">
        <f t="shared" si="27"/>
        <v>501.43661411827736</v>
      </c>
      <c r="I201" s="12">
        <f t="shared" si="26"/>
        <v>0.74128122575431399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129.9138531490797</v>
      </c>
      <c r="F202" s="38">
        <f t="shared" si="20"/>
        <v>0.3363666151821863</v>
      </c>
      <c r="G202" s="14">
        <f t="shared" si="21"/>
        <v>0</v>
      </c>
      <c r="H202" s="24">
        <f t="shared" si="27"/>
        <v>501.76789911983633</v>
      </c>
      <c r="I202" s="12">
        <f t="shared" si="26"/>
        <v>0.74109486582724549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130.65494801490695</v>
      </c>
      <c r="F203" s="38">
        <f t="shared" si="20"/>
        <v>0.3361453428779751</v>
      </c>
      <c r="G203" s="14">
        <f t="shared" si="21"/>
        <v>0</v>
      </c>
      <c r="H203" s="24">
        <f t="shared" si="27"/>
        <v>502.09819475406073</v>
      </c>
      <c r="I203" s="12">
        <f t="shared" si="26"/>
        <v>0.740902965246514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131.39585098015345</v>
      </c>
      <c r="F204" s="38">
        <f t="shared" si="20"/>
        <v>0.33592502055928231</v>
      </c>
      <c r="G204" s="14">
        <f t="shared" si="21"/>
        <v>0</v>
      </c>
      <c r="H204" s="24">
        <f t="shared" si="27"/>
        <v>502.427504664634</v>
      </c>
      <c r="I204" s="12">
        <f t="shared" si="26"/>
        <v>0.74070562320261635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132.13655660335607</v>
      </c>
      <c r="F205" s="38">
        <f t="shared" si="20"/>
        <v>0.33570564258888447</v>
      </c>
      <c r="G205" s="14">
        <f t="shared" si="21"/>
        <v>0</v>
      </c>
      <c r="H205" s="24">
        <f t="shared" si="27"/>
        <v>502.75583255747301</v>
      </c>
      <c r="I205" s="12">
        <f t="shared" si="26"/>
        <v>0.74050293682120094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132.87705954017727</v>
      </c>
      <c r="F206" s="38">
        <f t="shared" si="20"/>
        <v>0.3354872033216153</v>
      </c>
      <c r="G206" s="14">
        <f t="shared" si="21"/>
        <v>0</v>
      </c>
      <c r="H206" s="24">
        <f t="shared" si="27"/>
        <v>503.08318219880601</v>
      </c>
      <c r="I206" s="12">
        <f t="shared" si="26"/>
        <v>0.74029500121315261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133.61735454139043</v>
      </c>
      <c r="F207" s="38">
        <f t="shared" si="20"/>
        <v>0.33526969710559057</v>
      </c>
      <c r="G207" s="14">
        <f t="shared" si="21"/>
        <v>0</v>
      </c>
      <c r="H207" s="24">
        <f t="shared" si="27"/>
        <v>503.40955741329878</v>
      </c>
      <c r="I207" s="12">
        <f t="shared" si="26"/>
        <v>0.74008190952335884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134.35743645091378</v>
      </c>
      <c r="F208" s="38">
        <f t="shared" si="20"/>
        <v>0.33505311828339002</v>
      </c>
      <c r="G208" s="14">
        <f t="shared" si="21"/>
        <v>0</v>
      </c>
      <c r="H208" s="24">
        <f t="shared" si="27"/>
        <v>503.73496208222906</v>
      </c>
      <c r="I208" s="12">
        <f t="shared" si="26"/>
        <v>0.7398637529780453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135.09730020389182</v>
      </c>
      <c r="F209" s="38">
        <f t="shared" si="20"/>
        <v>0.33483746119320079</v>
      </c>
      <c r="G209" s="14">
        <f t="shared" si="21"/>
        <v>0</v>
      </c>
      <c r="H209" s="24">
        <f t="shared" si="27"/>
        <v>504.0594001417046</v>
      </c>
      <c r="I209" s="12">
        <f t="shared" si="26"/>
        <v>0.73964062093078164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135.83694082482259</v>
      </c>
      <c r="F210" s="38">
        <f t="shared" si="20"/>
        <v>0.33462272016991967</v>
      </c>
      <c r="G210" s="14">
        <f t="shared" si="21"/>
        <v>0</v>
      </c>
      <c r="H210" s="24">
        <f t="shared" si="27"/>
        <v>504.3828755809273</v>
      </c>
      <c r="I210" s="12">
        <f t="shared" si="26"/>
        <v>0.73941260090721128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136.57635342572979</v>
      </c>
      <c r="F211" s="38">
        <f t="shared" si="20"/>
        <v>0.33440888954621878</v>
      </c>
      <c r="G211" s="14">
        <f t="shared" si="21"/>
        <v>0</v>
      </c>
      <c r="H211" s="24">
        <f t="shared" si="27"/>
        <v>504.70539244049985</v>
      </c>
      <c r="I211" s="12">
        <f t="shared" si="26"/>
        <v>0.73917977864849216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137.31553320437828</v>
      </c>
      <c r="F212" s="38">
        <f t="shared" ref="F212:F275" si="28">Cp*RhoP/(RhoA*H212)*dp/1000*MassivP</f>
        <v>0.33419596365357279</v>
      </c>
      <c r="G212" s="14">
        <f t="shared" ref="G212:G275" si="29">Phi*EpsilonF*Botzman/10^8*J212*((D212+273)^4-(E212+273)^4)</f>
        <v>0</v>
      </c>
      <c r="H212" s="24">
        <f t="shared" si="27"/>
        <v>505.02695481077421</v>
      </c>
      <c r="I212" s="12">
        <f t="shared" si="26"/>
        <v>0.73894223815361249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138.0544754425319</v>
      </c>
      <c r="F213" s="38">
        <f t="shared" si="28"/>
        <v>0.33398393682325339</v>
      </c>
      <c r="G213" s="14">
        <f t="shared" si="29"/>
        <v>0</v>
      </c>
      <c r="H213" s="24">
        <f t="shared" si="27"/>
        <v>505.34756683024108</v>
      </c>
      <c r="I213" s="12">
        <f t="shared" ref="I213:I276" si="34">LambdaP*MassivP/(dp/1000)/(H213*RhoA)/(1+F213/3)*(D213-E213)*DeltaT-(EXP(F213/10)-1)*(D213-D212)</f>
        <v>0.73870006172047276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138.79317550425236</v>
      </c>
      <c r="F214" s="38">
        <f t="shared" si="28"/>
        <v>0.33377280338728549</v>
      </c>
      <c r="G214" s="14">
        <f t="shared" si="29"/>
        <v>0</v>
      </c>
      <c r="H214" s="24">
        <f t="shared" si="27"/>
        <v>505.66723268395992</v>
      </c>
      <c r="I214" s="12">
        <f t="shared" si="34"/>
        <v>0.73845332998583779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139.53162883423821</v>
      </c>
      <c r="F215" s="38">
        <f t="shared" si="28"/>
        <v>0.33356255767937293</v>
      </c>
      <c r="G215" s="14">
        <f t="shared" si="29"/>
        <v>0</v>
      </c>
      <c r="H215" s="24">
        <f t="shared" si="27"/>
        <v>505.98595660202625</v>
      </c>
      <c r="I215" s="12">
        <f t="shared" si="34"/>
        <v>0.73820212196424773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140.26983095620244</v>
      </c>
      <c r="F216" s="38">
        <f t="shared" si="28"/>
        <v>0.33335319403579133</v>
      </c>
      <c r="G216" s="14">
        <f t="shared" si="29"/>
        <v>0</v>
      </c>
      <c r="H216" s="24">
        <f t="shared" si="27"/>
        <v>506.30374285807738</v>
      </c>
      <c r="I216" s="12">
        <f t="shared" si="34"/>
        <v>0.73794651508579523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141.00777747128822</v>
      </c>
      <c r="F217" s="38">
        <f t="shared" si="28"/>
        <v>0.3331447067962483</v>
      </c>
      <c r="G217" s="14">
        <f t="shared" si="29"/>
        <v>0</v>
      </c>
      <c r="H217" s="24">
        <f t="shared" si="27"/>
        <v>506.62059576783508</v>
      </c>
      <c r="I217" s="12">
        <f t="shared" si="34"/>
        <v>0.73768658523297326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141.7454640565212</v>
      </c>
      <c r="F218" s="38">
        <f t="shared" si="28"/>
        <v>0.33293709030471491</v>
      </c>
      <c r="G218" s="14">
        <f t="shared" si="29"/>
        <v>0</v>
      </c>
      <c r="H218" s="24">
        <f t="shared" si="27"/>
        <v>506.93651968768319</v>
      </c>
      <c r="I218" s="12">
        <f t="shared" si="34"/>
        <v>0.73742240677641513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142.4828864632976</v>
      </c>
      <c r="F219" s="38">
        <f t="shared" si="28"/>
        <v>0.33273033891022674</v>
      </c>
      <c r="G219" s="14">
        <f t="shared" si="29"/>
        <v>0</v>
      </c>
      <c r="H219" s="24">
        <f t="shared" si="27"/>
        <v>507.25151901328024</v>
      </c>
      <c r="I219" s="12">
        <f t="shared" si="34"/>
        <v>0.7371540526097965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143.22004051590741</v>
      </c>
      <c r="F220" s="38">
        <f t="shared" si="28"/>
        <v>0.33252444696765732</v>
      </c>
      <c r="G220" s="14">
        <f t="shared" si="29"/>
        <v>0</v>
      </c>
      <c r="H220" s="24">
        <f t="shared" si="27"/>
        <v>507.56559817820585</v>
      </c>
      <c r="I220" s="12">
        <f t="shared" si="34"/>
        <v>0.73688159418366084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143.95692211009109</v>
      </c>
      <c r="F221" s="38">
        <f t="shared" si="28"/>
        <v>0.33231940883846317</v>
      </c>
      <c r="G221" s="14">
        <f t="shared" si="29"/>
        <v>0</v>
      </c>
      <c r="H221" s="24">
        <f t="shared" si="27"/>
        <v>507.87876165264004</v>
      </c>
      <c r="I221" s="12">
        <f t="shared" si="34"/>
        <v>0.73660510153854353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144.69352721162963</v>
      </c>
      <c r="F222" s="38">
        <f t="shared" si="28"/>
        <v>0.33211521889140277</v>
      </c>
      <c r="G222" s="14">
        <f t="shared" si="29"/>
        <v>0</v>
      </c>
      <c r="H222" s="24">
        <f t="shared" si="27"/>
        <v>508.19101394207479</v>
      </c>
      <c r="I222" s="12">
        <f t="shared" si="34"/>
        <v>0.73632464333697767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145.42985185496661</v>
      </c>
      <c r="F223" s="38">
        <f t="shared" si="28"/>
        <v>0.33191187150322959</v>
      </c>
      <c r="G223" s="14">
        <f t="shared" si="29"/>
        <v>0</v>
      </c>
      <c r="H223" s="24">
        <f t="shared" si="27"/>
        <v>508.502359586056</v>
      </c>
      <c r="I223" s="12">
        <f t="shared" si="34"/>
        <v>0.73604028689483758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146.16589214186146</v>
      </c>
      <c r="F224" s="38">
        <f t="shared" si="28"/>
        <v>0.33170936105936011</v>
      </c>
      <c r="G224" s="14">
        <f t="shared" si="29"/>
        <v>0</v>
      </c>
      <c r="H224" s="24">
        <f t="shared" si="27"/>
        <v>508.81280315695676</v>
      </c>
      <c r="I224" s="12">
        <f t="shared" si="34"/>
        <v>0.73575209821184018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146.9016442400733</v>
      </c>
      <c r="F225" s="38">
        <f t="shared" si="28"/>
        <v>0.33150768195451713</v>
      </c>
      <c r="G225" s="14">
        <f t="shared" si="29"/>
        <v>0</v>
      </c>
      <c r="H225" s="24">
        <f t="shared" si="27"/>
        <v>509.12234925877948</v>
      </c>
      <c r="I225" s="12">
        <f t="shared" si="34"/>
        <v>0.73546014200110921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147.6371043820744</v>
      </c>
      <c r="F226" s="38">
        <f t="shared" si="28"/>
        <v>0.3313068285933507</v>
      </c>
      <c r="G226" s="14">
        <f t="shared" si="29"/>
        <v>0</v>
      </c>
      <c r="H226" s="24">
        <f t="shared" si="27"/>
        <v>509.43100252598725</v>
      </c>
      <c r="I226" s="12">
        <f t="shared" si="34"/>
        <v>0.73516448171816018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148.37226886379256</v>
      </c>
      <c r="F227" s="38">
        <f t="shared" si="28"/>
        <v>0.33110679539103494</v>
      </c>
      <c r="G227" s="14">
        <f t="shared" si="29"/>
        <v>0</v>
      </c>
      <c r="H227" s="24">
        <f t="shared" si="27"/>
        <v>509.73876762236307</v>
      </c>
      <c r="I227" s="12">
        <f t="shared" si="34"/>
        <v>0.73486517958899911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149.10713404338156</v>
      </c>
      <c r="F228" s="38">
        <f t="shared" si="28"/>
        <v>0.33090757677384397</v>
      </c>
      <c r="G228" s="14">
        <f t="shared" si="29"/>
        <v>0</v>
      </c>
      <c r="H228" s="24">
        <f t="shared" si="27"/>
        <v>510.04564923989631</v>
      </c>
      <c r="I228" s="12">
        <f t="shared" si="34"/>
        <v>0.73456229663752981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149.8416963400191</v>
      </c>
      <c r="F229" s="38">
        <f t="shared" si="28"/>
        <v>0.33070916717970572</v>
      </c>
      <c r="G229" s="14">
        <f t="shared" si="29"/>
        <v>0</v>
      </c>
      <c r="H229" s="24">
        <f t="shared" si="27"/>
        <v>510.35165209769633</v>
      </c>
      <c r="I229" s="12">
        <f t="shared" si="34"/>
        <v>0.73425589271232317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150.57595223273142</v>
      </c>
      <c r="F230" s="38">
        <f t="shared" si="28"/>
        <v>0.33051156105873586</v>
      </c>
      <c r="G230" s="14">
        <f t="shared" si="29"/>
        <v>0</v>
      </c>
      <c r="H230" s="24">
        <f t="shared" si="27"/>
        <v>510.65678094093113</v>
      </c>
      <c r="I230" s="12">
        <f t="shared" si="34"/>
        <v>0.73394602651254592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151.30989825924397</v>
      </c>
      <c r="F231" s="38">
        <f t="shared" si="28"/>
        <v>0.33031475287375089</v>
      </c>
      <c r="G231" s="14">
        <f t="shared" si="29"/>
        <v>0</v>
      </c>
      <c r="H231" s="24">
        <f t="shared" si="27"/>
        <v>510.96104053979224</v>
      </c>
      <c r="I231" s="12">
        <f t="shared" si="34"/>
        <v>0.73363275561344654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152.04353101485742</v>
      </c>
      <c r="F232" s="38">
        <f t="shared" si="28"/>
        <v>0.33011873710076223</v>
      </c>
      <c r="G232" s="14">
        <f t="shared" si="29"/>
        <v>0</v>
      </c>
      <c r="H232" s="24">
        <f t="shared" si="27"/>
        <v>511.26443568848362</v>
      </c>
      <c r="I232" s="12">
        <f t="shared" si="34"/>
        <v>0.73331613649098593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152.77684715134842</v>
      </c>
      <c r="F233" s="38">
        <f t="shared" si="28"/>
        <v>0.32992350822945204</v>
      </c>
      <c r="G233" s="14">
        <f t="shared" si="29"/>
        <v>0</v>
      </c>
      <c r="H233" s="24">
        <f t="shared" si="27"/>
        <v>511.56697120423439</v>
      </c>
      <c r="I233" s="12">
        <f t="shared" si="34"/>
        <v>0.73299622454595126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153.50984337589438</v>
      </c>
      <c r="F234" s="38">
        <f t="shared" si="28"/>
        <v>0.3297290607636294</v>
      </c>
      <c r="G234" s="14">
        <f t="shared" si="29"/>
        <v>0</v>
      </c>
      <c r="H234" s="24">
        <f t="shared" si="27"/>
        <v>511.8686519263365</v>
      </c>
      <c r="I234" s="12">
        <f t="shared" si="34"/>
        <v>0.7326730741274744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154.24251645002184</v>
      </c>
      <c r="F235" s="38">
        <f t="shared" si="28"/>
        <v>0.32953538922167075</v>
      </c>
      <c r="G235" s="14">
        <f t="shared" si="29"/>
        <v>0</v>
      </c>
      <c r="H235" s="24">
        <f t="shared" si="27"/>
        <v>512.16948271520266</v>
      </c>
      <c r="I235" s="12">
        <f t="shared" si="34"/>
        <v>0.73234673855591714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154.97486318857776</v>
      </c>
      <c r="F236" s="38">
        <f t="shared" si="28"/>
        <v>0.32934248813694167</v>
      </c>
      <c r="G236" s="14">
        <f t="shared" si="29"/>
        <v>0</v>
      </c>
      <c r="H236" s="24">
        <f t="shared" si="27"/>
        <v>512.46946845144873</v>
      </c>
      <c r="I236" s="12">
        <f t="shared" si="34"/>
        <v>0.73201727014518347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155.70688045872294</v>
      </c>
      <c r="F237" s="38">
        <f t="shared" si="28"/>
        <v>0.32915035205820309</v>
      </c>
      <c r="G237" s="14">
        <f t="shared" si="29"/>
        <v>0</v>
      </c>
      <c r="H237" s="24">
        <f t="shared" si="27"/>
        <v>512.76861403499686</v>
      </c>
      <c r="I237" s="12">
        <f t="shared" si="34"/>
        <v>0.73168472022450293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156.43856517894744</v>
      </c>
      <c r="F238" s="38">
        <f t="shared" si="28"/>
        <v>0.32895897555000081</v>
      </c>
      <c r="G238" s="14">
        <f t="shared" si="29"/>
        <v>0</v>
      </c>
      <c r="H238" s="24">
        <f t="shared" si="27"/>
        <v>513.06692438419975</v>
      </c>
      <c r="I238" s="12">
        <f t="shared" si="34"/>
        <v>0.73134913915968913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157.16991431810712</v>
      </c>
      <c r="F239" s="38">
        <f t="shared" si="28"/>
        <v>0.32876835319304021</v>
      </c>
      <c r="G239" s="14">
        <f t="shared" si="29"/>
        <v>0</v>
      </c>
      <c r="H239" s="24">
        <f t="shared" si="27"/>
        <v>513.36440443498566</v>
      </c>
      <c r="I239" s="12">
        <f t="shared" si="34"/>
        <v>0.73101057637380085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157.90092489448091</v>
      </c>
      <c r="F240" s="38">
        <f t="shared" si="28"/>
        <v>0.328578479584545</v>
      </c>
      <c r="G240" s="14">
        <f t="shared" si="29"/>
        <v>0</v>
      </c>
      <c r="H240" s="24">
        <f t="shared" si="27"/>
        <v>513.66105914002378</v>
      </c>
      <c r="I240" s="12">
        <f t="shared" si="34"/>
        <v>0.73066908036737244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158.63159397484827</v>
      </c>
      <c r="F241" s="38">
        <f t="shared" si="28"/>
        <v>0.32838934933860275</v>
      </c>
      <c r="G241" s="14">
        <f t="shared" si="29"/>
        <v>0</v>
      </c>
      <c r="H241" s="24">
        <f t="shared" si="27"/>
        <v>513.95689346790857</v>
      </c>
      <c r="I241" s="12">
        <f t="shared" si="34"/>
        <v>0.73032469873814954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159.36191867358642</v>
      </c>
      <c r="F242" s="38">
        <f t="shared" si="28"/>
        <v>0.32820095708649472</v>
      </c>
      <c r="G242" s="14">
        <f t="shared" si="29"/>
        <v>0</v>
      </c>
      <c r="H242" s="24">
        <f t="shared" si="27"/>
        <v>514.25191240236393</v>
      </c>
      <c r="I242" s="12">
        <f t="shared" si="34"/>
        <v>0.72997747820022629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160.09189615178664</v>
      </c>
      <c r="F243" s="38">
        <f t="shared" si="28"/>
        <v>0.32801329747701313</v>
      </c>
      <c r="G243" s="14">
        <f t="shared" si="29"/>
        <v>0</v>
      </c>
      <c r="H243" s="24">
        <f t="shared" si="27"/>
        <v>514.54612094146546</v>
      </c>
      <c r="I243" s="12">
        <f t="shared" si="34"/>
        <v>0.72962746460290651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160.82152361638956</v>
      </c>
      <c r="F244" s="38">
        <f t="shared" si="28"/>
        <v>0.327826365176765</v>
      </c>
      <c r="G244" s="14">
        <f t="shared" si="29"/>
        <v>0</v>
      </c>
      <c r="H244" s="24">
        <f t="shared" si="27"/>
        <v>514.83952409688118</v>
      </c>
      <c r="I244" s="12">
        <f t="shared" si="34"/>
        <v>0.72927470294892383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161.55079831933847</v>
      </c>
      <c r="F245" s="38">
        <f t="shared" si="28"/>
        <v>0.32764015487046277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515.13212689313025</v>
      </c>
      <c r="I245" s="12">
        <f t="shared" si="34"/>
        <v>0.72891923741235132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162.27971755675082</v>
      </c>
      <c r="F246" s="38">
        <f t="shared" si="28"/>
        <v>0.32745466126120298</v>
      </c>
      <c r="G246" s="14">
        <f t="shared" si="29"/>
        <v>0</v>
      </c>
      <c r="H246" s="24">
        <f t="shared" si="35"/>
        <v>515.42393436685813</v>
      </c>
      <c r="I246" s="12">
        <f t="shared" si="34"/>
        <v>0.7285611113560484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163.00827866810687</v>
      </c>
      <c r="F247" s="38">
        <f t="shared" si="28"/>
        <v>0.32726987907073279</v>
      </c>
      <c r="G247" s="14">
        <f t="shared" si="29"/>
        <v>0</v>
      </c>
      <c r="H247" s="24">
        <f t="shared" si="35"/>
        <v>515.71495156612968</v>
      </c>
      <c r="I247" s="12">
        <f t="shared" si="34"/>
        <v>0.72820036734859939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163.73647903545546</v>
      </c>
      <c r="F248" s="38">
        <f t="shared" si="28"/>
        <v>0.32708580303970419</v>
      </c>
      <c r="G248" s="14">
        <f t="shared" si="29"/>
        <v>0</v>
      </c>
      <c r="H248" s="24">
        <f t="shared" si="35"/>
        <v>516.00518354973815</v>
      </c>
      <c r="I248" s="12">
        <f t="shared" si="34"/>
        <v>0.72783704718103703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164.46431608263649</v>
      </c>
      <c r="F249" s="38">
        <f t="shared" si="28"/>
        <v>0.32690242792791824</v>
      </c>
      <c r="G249" s="14">
        <f t="shared" si="29"/>
        <v>0</v>
      </c>
      <c r="H249" s="24">
        <f t="shared" si="35"/>
        <v>516.29463538653033</v>
      </c>
      <c r="I249" s="12">
        <f t="shared" si="34"/>
        <v>0.72747119188294995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165.19178727451944</v>
      </c>
      <c r="F250" s="38">
        <f t="shared" si="28"/>
        <v>0.3267197485145571</v>
      </c>
      <c r="G250" s="14">
        <f t="shared" si="29"/>
        <v>0</v>
      </c>
      <c r="H250" s="24">
        <f t="shared" si="35"/>
        <v>516.58331215474755</v>
      </c>
      <c r="I250" s="12">
        <f t="shared" si="34"/>
        <v>0.72710284173839024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165.91889011625784</v>
      </c>
      <c r="F251" s="38">
        <f t="shared" si="28"/>
        <v>0.32653775959840631</v>
      </c>
      <c r="G251" s="14">
        <f t="shared" si="29"/>
        <v>0</v>
      </c>
      <c r="H251" s="24">
        <f t="shared" si="35"/>
        <v>516.87121894138147</v>
      </c>
      <c r="I251" s="12">
        <f t="shared" si="34"/>
        <v>0.72673203630129546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166.64562215255913</v>
      </c>
      <c r="F252" s="38">
        <f t="shared" si="28"/>
        <v>0.32635645599806629</v>
      </c>
      <c r="G252" s="14">
        <f t="shared" si="29"/>
        <v>0</v>
      </c>
      <c r="H252" s="24">
        <f t="shared" si="35"/>
        <v>517.15836084154603</v>
      </c>
      <c r="I252" s="12">
        <f t="shared" si="34"/>
        <v>0.72635881441060723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167.37198096696974</v>
      </c>
      <c r="F253" s="38">
        <f t="shared" si="28"/>
        <v>0.32617583255215404</v>
      </c>
      <c r="G253" s="14">
        <f t="shared" si="29"/>
        <v>0</v>
      </c>
      <c r="H253" s="24">
        <f t="shared" si="35"/>
        <v>517.44474295786233</v>
      </c>
      <c r="I253" s="12">
        <f t="shared" si="34"/>
        <v>0.72598321420498535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168.09796418117472</v>
      </c>
      <c r="F254" s="38">
        <f t="shared" si="28"/>
        <v>0.32599588411949593</v>
      </c>
      <c r="G254" s="14">
        <f t="shared" si="29"/>
        <v>0</v>
      </c>
      <c r="H254" s="24">
        <f t="shared" si="35"/>
        <v>517.73037039985877</v>
      </c>
      <c r="I254" s="12">
        <f t="shared" si="34"/>
        <v>0.72560527313722822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168.82356945431195</v>
      </c>
      <c r="F255" s="38">
        <f t="shared" si="28"/>
        <v>0.32581660557930958</v>
      </c>
      <c r="G255" s="14">
        <f t="shared" si="29"/>
        <v>0</v>
      </c>
      <c r="H255" s="24">
        <f t="shared" si="35"/>
        <v>518.01524828338586</v>
      </c>
      <c r="I255" s="12">
        <f t="shared" si="34"/>
        <v>0.72522502798833033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169.54879448230028</v>
      </c>
      <c r="F256" s="38">
        <f t="shared" si="28"/>
        <v>0.32563799183137854</v>
      </c>
      <c r="G256" s="14">
        <f t="shared" si="29"/>
        <v>0</v>
      </c>
      <c r="H256" s="24">
        <f t="shared" si="35"/>
        <v>518.29938173004234</v>
      </c>
      <c r="I256" s="12">
        <f t="shared" si="34"/>
        <v>0.72484251488122864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170.27363699718151</v>
      </c>
      <c r="F257" s="38">
        <f t="shared" si="28"/>
        <v>0.32546003779621674</v>
      </c>
      <c r="G257" s="14">
        <f t="shared" si="29"/>
        <v>0</v>
      </c>
      <c r="H257" s="24">
        <f t="shared" si="35"/>
        <v>518.58277586661666</v>
      </c>
      <c r="I257" s="12">
        <f t="shared" si="34"/>
        <v>0.72445776929418781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170.9980947664757</v>
      </c>
      <c r="F258" s="38">
        <f t="shared" si="28"/>
        <v>0.32528273841522576</v>
      </c>
      <c r="G258" s="14">
        <f t="shared" si="29"/>
        <v>0</v>
      </c>
      <c r="H258" s="24">
        <f t="shared" si="35"/>
        <v>518.86543582454044</v>
      </c>
      <c r="I258" s="12">
        <f t="shared" si="34"/>
        <v>0.72407082607397455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171.72216559254969</v>
      </c>
      <c r="F259" s="38">
        <f t="shared" si="28"/>
        <v>0.32510608865084228</v>
      </c>
      <c r="G259" s="14">
        <f t="shared" si="29"/>
        <v>0</v>
      </c>
      <c r="H259" s="24">
        <f t="shared" si="35"/>
        <v>519.14736673935499</v>
      </c>
      <c r="I259" s="12">
        <f t="shared" si="34"/>
        <v>0.72368171944860338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172.44584731199828</v>
      </c>
      <c r="F260" s="38">
        <f t="shared" si="28"/>
        <v>0.32493008348668018</v>
      </c>
      <c r="G260" s="14">
        <f t="shared" si="29"/>
        <v>0</v>
      </c>
      <c r="H260" s="24">
        <f t="shared" si="35"/>
        <v>519.42857375018889</v>
      </c>
      <c r="I260" s="12">
        <f t="shared" si="34"/>
        <v>0.72329048303990573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173.16913779503818</v>
      </c>
      <c r="F261" s="38">
        <f t="shared" si="28"/>
        <v>0.32475471792766136</v>
      </c>
      <c r="G261" s="14">
        <f t="shared" si="29"/>
        <v>0</v>
      </c>
      <c r="H261" s="24">
        <f t="shared" si="35"/>
        <v>519.70906199925048</v>
      </c>
      <c r="I261" s="12">
        <f t="shared" si="34"/>
        <v>0.72289714987572773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173.89203494491392</v>
      </c>
      <c r="F262" s="38">
        <f t="shared" si="28"/>
        <v>0.32457998700014312</v>
      </c>
      <c r="G262" s="14">
        <f t="shared" si="29"/>
        <v>0</v>
      </c>
      <c r="H262" s="24">
        <f t="shared" si="35"/>
        <v>519.98883663132835</v>
      </c>
      <c r="I262" s="12">
        <f t="shared" si="34"/>
        <v>0.72250175240190362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174.61453669731583</v>
      </c>
      <c r="F263" s="38">
        <f t="shared" si="28"/>
        <v>0.32440588575203472</v>
      </c>
      <c r="G263" s="14">
        <f t="shared" si="29"/>
        <v>0</v>
      </c>
      <c r="H263" s="24">
        <f t="shared" si="35"/>
        <v>520.26790279330646</v>
      </c>
      <c r="I263" s="12">
        <f t="shared" si="34"/>
        <v>0.72210432249395728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175.33664101980978</v>
      </c>
      <c r="F264" s="38">
        <f t="shared" si="28"/>
        <v>0.32423240925290975</v>
      </c>
      <c r="G264" s="14">
        <f t="shared" si="29"/>
        <v>0</v>
      </c>
      <c r="H264" s="24">
        <f t="shared" si="35"/>
        <v>520.54626563368879</v>
      </c>
      <c r="I264" s="12">
        <f t="shared" si="34"/>
        <v>0.72170489146847383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176.05834591127825</v>
      </c>
      <c r="F265" s="38">
        <f t="shared" si="28"/>
        <v>0.32405955259411023</v>
      </c>
      <c r="G265" s="14">
        <f t="shared" si="29"/>
        <v>0</v>
      </c>
      <c r="H265" s="24">
        <f t="shared" si="35"/>
        <v>520.82393030213541</v>
      </c>
      <c r="I265" s="12">
        <f t="shared" si="34"/>
        <v>0.72130349009433248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176.77964940137258</v>
      </c>
      <c r="F266" s="38">
        <f t="shared" si="28"/>
        <v>0.32388731088884437</v>
      </c>
      <c r="G266" s="14">
        <f t="shared" si="29"/>
        <v>0</v>
      </c>
      <c r="H266" s="24">
        <f t="shared" si="35"/>
        <v>521.10090194900965</v>
      </c>
      <c r="I266" s="12">
        <f t="shared" si="34"/>
        <v>0.72090014860355678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177.50054954997614</v>
      </c>
      <c r="F267" s="38">
        <f t="shared" si="28"/>
        <v>0.3237156792722784</v>
      </c>
      <c r="G267" s="14">
        <f t="shared" si="29"/>
        <v>0</v>
      </c>
      <c r="H267" s="24">
        <f t="shared" si="35"/>
        <v>521.37718572493463</v>
      </c>
      <c r="I267" s="12">
        <f t="shared" si="34"/>
        <v>0.72049489670203026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178.22104444667818</v>
      </c>
      <c r="F268" s="38">
        <f t="shared" si="28"/>
        <v>0.32354465290162254</v>
      </c>
      <c r="G268" s="14">
        <f t="shared" si="29"/>
        <v>0</v>
      </c>
      <c r="H268" s="24">
        <f t="shared" si="35"/>
        <v>521.65278678036111</v>
      </c>
      <c r="I268" s="12">
        <f t="shared" si="34"/>
        <v>0.7200877635799271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178.9411322102581</v>
      </c>
      <c r="F269" s="38">
        <f t="shared" si="28"/>
        <v>0.32337422695620976</v>
      </c>
      <c r="G269" s="14">
        <f t="shared" si="29"/>
        <v>0</v>
      </c>
      <c r="H269" s="24">
        <f t="shared" si="35"/>
        <v>521.92771026514549</v>
      </c>
      <c r="I269" s="12">
        <f t="shared" si="34"/>
        <v>0.71967877792188195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179.66081098817997</v>
      </c>
      <c r="F270" s="38">
        <f t="shared" si="28"/>
        <v>0.32320439663757045</v>
      </c>
      <c r="G270" s="14">
        <f t="shared" si="29"/>
        <v>0</v>
      </c>
      <c r="H270" s="24">
        <f t="shared" si="35"/>
        <v>522.20196132813589</v>
      </c>
      <c r="I270" s="12">
        <f t="shared" si="34"/>
        <v>0.71926796791702707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180.38007895609701</v>
      </c>
      <c r="F271" s="38">
        <f t="shared" si="28"/>
        <v>0.32303515716950049</v>
      </c>
      <c r="G271" s="14">
        <f t="shared" si="29"/>
        <v>0</v>
      </c>
      <c r="H271" s="24">
        <f t="shared" si="35"/>
        <v>522.47554511676947</v>
      </c>
      <c r="I271" s="12">
        <f t="shared" si="34"/>
        <v>0.71885536126866256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181.09893431736566</v>
      </c>
      <c r="F272" s="38">
        <f t="shared" si="28"/>
        <v>0.32286650379812415</v>
      </c>
      <c r="G272" s="14">
        <f t="shared" si="29"/>
        <v>0</v>
      </c>
      <c r="H272" s="24">
        <f t="shared" si="35"/>
        <v>522.74846677667858</v>
      </c>
      <c r="I272" s="12">
        <f t="shared" si="34"/>
        <v>0.71844098520390354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181.81737530256956</v>
      </c>
      <c r="F273" s="38">
        <f t="shared" si="28"/>
        <v>0.32269843179195207</v>
      </c>
      <c r="G273" s="14">
        <f t="shared" si="29"/>
        <v>0</v>
      </c>
      <c r="H273" s="24">
        <f t="shared" si="35"/>
        <v>523.02073145130578</v>
      </c>
      <c r="I273" s="12">
        <f t="shared" si="34"/>
        <v>0.71802486648292729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182.53540016905248</v>
      </c>
      <c r="F274" s="38">
        <f t="shared" si="28"/>
        <v>0.32253093644193415</v>
      </c>
      <c r="G274" s="14">
        <f t="shared" si="29"/>
        <v>0</v>
      </c>
      <c r="H274" s="24">
        <f t="shared" si="35"/>
        <v>523.29234428152745</v>
      </c>
      <c r="I274" s="12">
        <f t="shared" si="34"/>
        <v>0.71760703140815518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183.25300720046064</v>
      </c>
      <c r="F275" s="38">
        <f t="shared" si="28"/>
        <v>0.32236401306150764</v>
      </c>
      <c r="G275" s="14">
        <f t="shared" si="29"/>
        <v>0</v>
      </c>
      <c r="H275" s="24">
        <f t="shared" si="35"/>
        <v>523.56331040528687</v>
      </c>
      <c r="I275" s="12">
        <f t="shared" si="34"/>
        <v>0.71718750583315638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183.9701947062938</v>
      </c>
      <c r="F276" s="38">
        <f t="shared" ref="F276:F339" si="36">Cp*RhoP/(RhoA*H276)*dp/1000*MassivP</f>
        <v>0.32219765698663971</v>
      </c>
      <c r="G276" s="14">
        <f t="shared" ref="G276:G339" si="37">Phi*EpsilonF*Botzman/10^8*J276*((D276+273)^4-(E276+273)^4)</f>
        <v>0</v>
      </c>
      <c r="H276" s="24">
        <f t="shared" si="35"/>
        <v>523.83363495723574</v>
      </c>
      <c r="I276" s="12">
        <f t="shared" si="34"/>
        <v>0.71676631517141676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184.68696102146521</v>
      </c>
      <c r="F277" s="38">
        <f t="shared" si="36"/>
        <v>0.32203186357586722</v>
      </c>
      <c r="G277" s="14">
        <f t="shared" si="37"/>
        <v>0</v>
      </c>
      <c r="H277" s="24">
        <f t="shared" si="35"/>
        <v>524.10332306838268</v>
      </c>
      <c r="I277" s="12">
        <f t="shared" ref="I277:I340" si="42">LambdaP*MassivP/(dp/1000)/(H277*RhoA)/(1+F277/3)*(D277-E277)*DeltaT-(EXP(F277/10)-1)*(D277-D276)</f>
        <v>0.71634348440484208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185.40330450587004</v>
      </c>
      <c r="F278" s="38">
        <f t="shared" si="36"/>
        <v>0.32186662821033024</v>
      </c>
      <c r="G278" s="14">
        <f t="shared" si="37"/>
        <v>0</v>
      </c>
      <c r="H278" s="24">
        <f t="shared" si="35"/>
        <v>524.37237986575201</v>
      </c>
      <c r="I278" s="12">
        <f t="shared" si="42"/>
        <v>0.71591903809217783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186.11922354396222</v>
      </c>
      <c r="F279" s="38">
        <f t="shared" si="36"/>
        <v>0.32170194629380283</v>
      </c>
      <c r="G279" s="14">
        <f t="shared" si="37"/>
        <v>0</v>
      </c>
      <c r="H279" s="24">
        <f t="shared" si="35"/>
        <v>524.64081047204832</v>
      </c>
      <c r="I279" s="12">
        <f t="shared" si="42"/>
        <v>0.71549300037715713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186.83471654433939</v>
      </c>
      <c r="F280" s="38">
        <f t="shared" si="36"/>
        <v>0.32153781325271835</v>
      </c>
      <c r="G280" s="14">
        <f t="shared" si="37"/>
        <v>0</v>
      </c>
      <c r="H280" s="24">
        <f t="shared" si="35"/>
        <v>524.90862000533059</v>
      </c>
      <c r="I280" s="12">
        <f t="shared" si="42"/>
        <v>0.71506539499649213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187.54978193933587</v>
      </c>
      <c r="F281" s="38">
        <f t="shared" si="36"/>
        <v>0.3213742245361923</v>
      </c>
      <c r="G281" s="14">
        <f t="shared" si="37"/>
        <v>0</v>
      </c>
      <c r="H281" s="24">
        <f t="shared" si="35"/>
        <v>525.1758135786921</v>
      </c>
      <c r="I281" s="12">
        <f t="shared" si="42"/>
        <v>0.71463624528779102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188.26441818462365</v>
      </c>
      <c r="F282" s="38">
        <f t="shared" si="36"/>
        <v>0.32121117561604001</v>
      </c>
      <c r="G282" s="14">
        <f t="shared" si="37"/>
        <v>0</v>
      </c>
      <c r="H282" s="24">
        <f t="shared" si="35"/>
        <v>525.44239629994979</v>
      </c>
      <c r="I282" s="12">
        <f t="shared" si="42"/>
        <v>0.71420557419714215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188.97862375882079</v>
      </c>
      <c r="F283" s="38">
        <f t="shared" si="36"/>
        <v>0.32104866198679138</v>
      </c>
      <c r="G283" s="14">
        <f t="shared" si="37"/>
        <v>0</v>
      </c>
      <c r="H283" s="24">
        <f t="shared" si="35"/>
        <v>525.70837327133904</v>
      </c>
      <c r="I283" s="12">
        <f t="shared" si="42"/>
        <v>0.71377340428664993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189.69239716310744</v>
      </c>
      <c r="F284" s="38">
        <f t="shared" si="36"/>
        <v>0.32088667916570185</v>
      </c>
      <c r="G284" s="14">
        <f t="shared" si="37"/>
        <v>0</v>
      </c>
      <c r="H284" s="24">
        <f t="shared" si="35"/>
        <v>525.97374958921625</v>
      </c>
      <c r="I284" s="12">
        <f t="shared" si="42"/>
        <v>0.71333975774183245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190.40573692084928</v>
      </c>
      <c r="F285" s="38">
        <f t="shared" si="36"/>
        <v>0.3207252226927601</v>
      </c>
      <c r="G285" s="14">
        <f t="shared" si="37"/>
        <v>0</v>
      </c>
      <c r="H285" s="24">
        <f t="shared" si="35"/>
        <v>526.23853034376884</v>
      </c>
      <c r="I285" s="12">
        <f t="shared" si="42"/>
        <v>0.71290465637874767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191.11864157722803</v>
      </c>
      <c r="F286" s="38">
        <f t="shared" si="36"/>
        <v>0.32056428813069182</v>
      </c>
      <c r="G286" s="14">
        <f t="shared" si="37"/>
        <v>0</v>
      </c>
      <c r="H286" s="24">
        <f t="shared" si="35"/>
        <v>526.50272061873113</v>
      </c>
      <c r="I286" s="12">
        <f t="shared" si="42"/>
        <v>0.71246812165106466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191.83110969887909</v>
      </c>
      <c r="F287" s="38">
        <f t="shared" si="36"/>
        <v>0.32040387106496088</v>
      </c>
      <c r="G287" s="14">
        <f t="shared" si="37"/>
        <v>0</v>
      </c>
      <c r="H287" s="24">
        <f t="shared" si="35"/>
        <v>526.76632549110764</v>
      </c>
      <c r="I287" s="12">
        <f t="shared" si="42"/>
        <v>0.71203017465697338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192.54313987353606</v>
      </c>
      <c r="F288" s="38">
        <f t="shared" si="36"/>
        <v>0.32024396710376707</v>
      </c>
      <c r="G288" s="14">
        <f t="shared" si="37"/>
        <v>0</v>
      </c>
      <c r="H288" s="24">
        <f t="shared" si="35"/>
        <v>527.02935003090249</v>
      </c>
      <c r="I288" s="12">
        <f t="shared" si="42"/>
        <v>0.71159083614589635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193.25473070968195</v>
      </c>
      <c r="F289" s="38">
        <f t="shared" si="36"/>
        <v>0.32008457187804146</v>
      </c>
      <c r="G289" s="14">
        <f t="shared" si="37"/>
        <v>0</v>
      </c>
      <c r="H289" s="24">
        <f t="shared" si="35"/>
        <v>527.29179930085422</v>
      </c>
      <c r="I289" s="12">
        <f t="shared" si="42"/>
        <v>0.71115012652515008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193.96588083620711</v>
      </c>
      <c r="F290" s="38">
        <f t="shared" si="36"/>
        <v>0.31992568104143754</v>
      </c>
      <c r="G290" s="14">
        <f t="shared" si="37"/>
        <v>0</v>
      </c>
      <c r="H290" s="24">
        <f t="shared" si="35"/>
        <v>527.55367835617903</v>
      </c>
      <c r="I290" s="12">
        <f t="shared" si="42"/>
        <v>0.71070806586635638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194.67658890207346</v>
      </c>
      <c r="F291" s="38">
        <f t="shared" si="36"/>
        <v>0.31976729027032114</v>
      </c>
      <c r="G291" s="14">
        <f t="shared" si="37"/>
        <v>0</v>
      </c>
      <c r="H291" s="24">
        <f t="shared" si="35"/>
        <v>527.81499224431786</v>
      </c>
      <c r="I291" s="12">
        <f t="shared" si="42"/>
        <v>0.71026467391185399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195.38685357598533</v>
      </c>
      <c r="F292" s="38">
        <f t="shared" si="36"/>
        <v>0.31960939526375604</v>
      </c>
      <c r="G292" s="14">
        <f t="shared" si="37"/>
        <v>0</v>
      </c>
      <c r="H292" s="24">
        <f t="shared" si="35"/>
        <v>528.07574600469081</v>
      </c>
      <c r="I292" s="12">
        <f t="shared" si="42"/>
        <v>0.70981997008080722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196.09667354606614</v>
      </c>
      <c r="F293" s="38">
        <f t="shared" si="36"/>
        <v>0.31945199174348871</v>
      </c>
      <c r="G293" s="14">
        <f t="shared" si="37"/>
        <v>0</v>
      </c>
      <c r="H293" s="24">
        <f t="shared" si="35"/>
        <v>528.33594466845648</v>
      </c>
      <c r="I293" s="12">
        <f t="shared" si="42"/>
        <v>0.70937397347537845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196.80604751954152</v>
      </c>
      <c r="F294" s="38">
        <f t="shared" si="36"/>
        <v>0.31929507545392904</v>
      </c>
      <c r="G294" s="14">
        <f t="shared" si="37"/>
        <v>0</v>
      </c>
      <c r="H294" s="24">
        <f t="shared" si="35"/>
        <v>528.5955932582774</v>
      </c>
      <c r="I294" s="12">
        <f t="shared" si="42"/>
        <v>0.70892670288664716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197.51497422242818</v>
      </c>
      <c r="F295" s="38">
        <f t="shared" si="36"/>
        <v>0.31913864216212945</v>
      </c>
      <c r="G295" s="14">
        <f t="shared" si="37"/>
        <v>0</v>
      </c>
      <c r="H295" s="24">
        <f t="shared" si="35"/>
        <v>528.85469678809113</v>
      </c>
      <c r="I295" s="12">
        <f t="shared" si="42"/>
        <v>0.70847817680039693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198.22345239922856</v>
      </c>
      <c r="F296" s="38">
        <f t="shared" si="36"/>
        <v>0.31898268765776105</v>
      </c>
      <c r="G296" s="14">
        <f t="shared" si="37"/>
        <v>0</v>
      </c>
      <c r="H296" s="24">
        <f t="shared" si="35"/>
        <v>529.1132602628868</v>
      </c>
      <c r="I296" s="12">
        <f t="shared" si="42"/>
        <v>0.70802841340289324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198.93148081263146</v>
      </c>
      <c r="F297" s="38">
        <f t="shared" si="36"/>
        <v>0.31882720775308915</v>
      </c>
      <c r="G297" s="14">
        <f t="shared" si="37"/>
        <v>0</v>
      </c>
      <c r="H297" s="24">
        <f t="shared" si="35"/>
        <v>529.3712886784856</v>
      </c>
      <c r="I297" s="12">
        <f t="shared" si="42"/>
        <v>0.70757743058643507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199.6390582432179</v>
      </c>
      <c r="F298" s="38">
        <f t="shared" si="36"/>
        <v>0.3186721982829438</v>
      </c>
      <c r="G298" s="14">
        <f t="shared" si="37"/>
        <v>0</v>
      </c>
      <c r="H298" s="24">
        <f t="shared" si="35"/>
        <v>529.62878702132934</v>
      </c>
      <c r="I298" s="12">
        <f t="shared" si="42"/>
        <v>0.70712524595486348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200.34618348917277</v>
      </c>
      <c r="F299" s="38">
        <f t="shared" si="36"/>
        <v>0.31851765510469088</v>
      </c>
      <c r="G299" s="14">
        <f t="shared" si="37"/>
        <v>0</v>
      </c>
      <c r="H299" s="24">
        <f t="shared" si="35"/>
        <v>529.88576026827104</v>
      </c>
      <c r="I299" s="12">
        <f t="shared" si="42"/>
        <v>0.70667187682889387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201.05285536600167</v>
      </c>
      <c r="F300" s="38">
        <f t="shared" si="36"/>
        <v>0.31836357409819982</v>
      </c>
      <c r="G300" s="14">
        <f t="shared" si="37"/>
        <v>0</v>
      </c>
      <c r="H300" s="24">
        <f t="shared" si="35"/>
        <v>530.14221338637253</v>
      </c>
      <c r="I300" s="12">
        <f t="shared" si="42"/>
        <v>0.70621734025142635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201.75907270625308</v>
      </c>
      <c r="F301" s="38">
        <f t="shared" si="36"/>
        <v>0.3182099511658098</v>
      </c>
      <c r="G301" s="14">
        <f t="shared" si="37"/>
        <v>0</v>
      </c>
      <c r="H301" s="24">
        <f t="shared" si="35"/>
        <v>530.39815133270565</v>
      </c>
      <c r="I301" s="12">
        <f t="shared" si="42"/>
        <v>0.70576165299263482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202.46483435924571</v>
      </c>
      <c r="F302" s="38">
        <f t="shared" si="36"/>
        <v>0.31805678223229372</v>
      </c>
      <c r="G302" s="14">
        <f t="shared" si="37"/>
        <v>0</v>
      </c>
      <c r="H302" s="24">
        <f t="shared" si="35"/>
        <v>530.65357905415954</v>
      </c>
      <c r="I302" s="12">
        <f t="shared" si="42"/>
        <v>0.7053048315550835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203.1701391908008</v>
      </c>
      <c r="F303" s="38">
        <f t="shared" si="36"/>
        <v>0.3179040632448209</v>
      </c>
      <c r="G303" s="14">
        <f t="shared" si="37"/>
        <v>0</v>
      </c>
      <c r="H303" s="24">
        <f t="shared" si="35"/>
        <v>530.90850148725076</v>
      </c>
      <c r="I303" s="12">
        <f t="shared" si="42"/>
        <v>0.7048468921786244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203.87498608297943</v>
      </c>
      <c r="F304" s="38">
        <f t="shared" si="36"/>
        <v>0.31775179017291788</v>
      </c>
      <c r="G304" s="14">
        <f t="shared" si="37"/>
        <v>0</v>
      </c>
      <c r="H304" s="24">
        <f t="shared" si="35"/>
        <v>531.16292355793973</v>
      </c>
      <c r="I304" s="12">
        <f t="shared" si="42"/>
        <v>0.70438785084528255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204.57937393382471</v>
      </c>
      <c r="F305" s="38">
        <f t="shared" si="36"/>
        <v>0.31759995900842664</v>
      </c>
      <c r="G305" s="14">
        <f t="shared" si="37"/>
        <v>0</v>
      </c>
      <c r="H305" s="24">
        <f t="shared" si="35"/>
        <v>531.4168501814512</v>
      </c>
      <c r="I305" s="12">
        <f t="shared" si="42"/>
        <v>0.70392772328398434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205.28330165710869</v>
      </c>
      <c r="F306" s="38">
        <f t="shared" si="36"/>
        <v>0.31744856576546282</v>
      </c>
      <c r="G306" s="14">
        <f t="shared" si="37"/>
        <v>0</v>
      </c>
      <c r="H306" s="24">
        <f t="shared" si="35"/>
        <v>531.67028626209799</v>
      </c>
      <c r="I306" s="12">
        <f t="shared" si="42"/>
        <v>0.7034665249752039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205.98676818208389</v>
      </c>
      <c r="F307" s="38">
        <f t="shared" si="36"/>
        <v>0.31729760648037147</v>
      </c>
      <c r="G307" s="14">
        <f t="shared" si="37"/>
        <v>0</v>
      </c>
      <c r="H307" s="24">
        <f t="shared" si="35"/>
        <v>531.92323669311054</v>
      </c>
      <c r="I307" s="12">
        <f t="shared" si="42"/>
        <v>0.70300427115559017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206.68977245323947</v>
      </c>
      <c r="F308" s="38">
        <f t="shared" si="36"/>
        <v>0.31714707721168134</v>
      </c>
      <c r="G308" s="14">
        <f t="shared" si="37"/>
        <v>0</v>
      </c>
      <c r="H308" s="24">
        <f t="shared" si="35"/>
        <v>532.17570635646882</v>
      </c>
      <c r="I308" s="12">
        <f t="shared" si="42"/>
        <v>0.70254097682233696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207.39231343006182</v>
      </c>
      <c r="F309" s="38">
        <f t="shared" si="36"/>
        <v>0.31699697404005739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532.42770012274127</v>
      </c>
      <c r="I309" s="12">
        <f t="shared" si="42"/>
        <v>0.7020766567376644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208.09439008679948</v>
      </c>
      <c r="F310" s="38">
        <f t="shared" si="36"/>
        <v>0.31684729306825327</v>
      </c>
      <c r="G310" s="14">
        <f t="shared" si="37"/>
        <v>0</v>
      </c>
      <c r="H310" s="24">
        <f t="shared" si="43"/>
        <v>532.67922285092391</v>
      </c>
      <c r="I310" s="12">
        <f t="shared" si="42"/>
        <v>0.70161132543307181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208.79600141223256</v>
      </c>
      <c r="F311" s="38">
        <f t="shared" si="36"/>
        <v>0.31669803042106076</v>
      </c>
      <c r="G311" s="14">
        <f t="shared" si="37"/>
        <v>0</v>
      </c>
      <c r="H311" s="24">
        <f t="shared" si="43"/>
        <v>532.93027938828686</v>
      </c>
      <c r="I311" s="12">
        <f t="shared" si="42"/>
        <v>0.70114499721355783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209.49714640944612</v>
      </c>
      <c r="F312" s="38">
        <f t="shared" si="36"/>
        <v>0.31654918224525935</v>
      </c>
      <c r="G312" s="14">
        <f t="shared" si="37"/>
        <v>0</v>
      </c>
      <c r="H312" s="24">
        <f t="shared" si="43"/>
        <v>533.18087457022227</v>
      </c>
      <c r="I312" s="12">
        <f t="shared" si="42"/>
        <v>0.70067768616173531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210.19782409560784</v>
      </c>
      <c r="F313" s="38">
        <f t="shared" si="36"/>
        <v>0.31640074470956397</v>
      </c>
      <c r="G313" s="14">
        <f t="shared" si="37"/>
        <v>0</v>
      </c>
      <c r="H313" s="24">
        <f t="shared" si="43"/>
        <v>533.43101322009738</v>
      </c>
      <c r="I313" s="12">
        <f t="shared" si="42"/>
        <v>0.70020940614190952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210.89803350174975</v>
      </c>
      <c r="F314" s="38">
        <f t="shared" si="36"/>
        <v>0.31625271400457111</v>
      </c>
      <c r="G314" s="14">
        <f t="shared" si="37"/>
        <v>0</v>
      </c>
      <c r="H314" s="24">
        <f t="shared" si="43"/>
        <v>533.68070014911098</v>
      </c>
      <c r="I314" s="12">
        <f t="shared" si="42"/>
        <v>0.69974017080404127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211.59777367255379</v>
      </c>
      <c r="F315" s="38">
        <f t="shared" si="36"/>
        <v>0.31610508634270523</v>
      </c>
      <c r="G315" s="14">
        <f t="shared" si="37"/>
        <v>0</v>
      </c>
      <c r="H315" s="24">
        <f t="shared" si="43"/>
        <v>533.92994015615272</v>
      </c>
      <c r="I315" s="12">
        <f t="shared" si="42"/>
        <v>0.69926999358761266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212.29704366614141</v>
      </c>
      <c r="F316" s="38">
        <f t="shared" si="36"/>
        <v>0.31595785795816228</v>
      </c>
      <c r="G316" s="14">
        <f t="shared" si="37"/>
        <v>0</v>
      </c>
      <c r="H316" s="24">
        <f t="shared" si="43"/>
        <v>534.17873802766724</v>
      </c>
      <c r="I316" s="12">
        <f t="shared" si="42"/>
        <v>0.6987988877254766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212.99584255386688</v>
      </c>
      <c r="F317" s="38">
        <f t="shared" si="36"/>
        <v>0.31581102510685422</v>
      </c>
      <c r="G317" s="14">
        <f t="shared" si="37"/>
        <v>0</v>
      </c>
      <c r="H317" s="24">
        <f t="shared" si="43"/>
        <v>534.42709853752035</v>
      </c>
      <c r="I317" s="12">
        <f t="shared" si="42"/>
        <v>0.69832686624757578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213.69416942011446</v>
      </c>
      <c r="F318" s="38">
        <f t="shared" si="36"/>
        <v>0.31566458406635017</v>
      </c>
      <c r="G318" s="14">
        <f t="shared" si="37"/>
        <v>0</v>
      </c>
      <c r="H318" s="24">
        <f t="shared" si="43"/>
        <v>534.67502644687022</v>
      </c>
      <c r="I318" s="12">
        <f t="shared" si="42"/>
        <v>0.69785394198464012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214.39202336209911</v>
      </c>
      <c r="F319" s="38">
        <f t="shared" si="36"/>
        <v>0.31551853113581962</v>
      </c>
      <c r="G319" s="14">
        <f t="shared" si="37"/>
        <v>0</v>
      </c>
      <c r="H319" s="24">
        <f t="shared" si="43"/>
        <v>534.92252650403941</v>
      </c>
      <c r="I319" s="12">
        <f t="shared" si="42"/>
        <v>0.69738012757174161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215.08940348967084</v>
      </c>
      <c r="F320" s="38">
        <f t="shared" si="36"/>
        <v>0.31537286263597136</v>
      </c>
      <c r="G320" s="14">
        <f t="shared" si="37"/>
        <v>0</v>
      </c>
      <c r="H320" s="24">
        <f t="shared" si="43"/>
        <v>535.16960344439383</v>
      </c>
      <c r="I320" s="12">
        <f t="shared" si="42"/>
        <v>0.69690543545187056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215.78630892512271</v>
      </c>
      <c r="F321" s="38">
        <f t="shared" si="36"/>
        <v>0.31522757490899417</v>
      </c>
      <c r="G321" s="14">
        <f t="shared" si="37"/>
        <v>0</v>
      </c>
      <c r="H321" s="24">
        <f t="shared" si="43"/>
        <v>535.41626199022096</v>
      </c>
      <c r="I321" s="12">
        <f t="shared" si="42"/>
        <v>0.69642987787936661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216.48273880300206</v>
      </c>
      <c r="F322" s="38">
        <f t="shared" si="36"/>
        <v>0.31508266431849646</v>
      </c>
      <c r="G322" s="14">
        <f t="shared" si="37"/>
        <v>0</v>
      </c>
      <c r="H322" s="24">
        <f t="shared" si="43"/>
        <v>535.66250685061323</v>
      </c>
      <c r="I322" s="12">
        <f t="shared" si="42"/>
        <v>0.69595346692332782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217.17869226992539</v>
      </c>
      <c r="F323" s="38">
        <f t="shared" si="36"/>
        <v>0.31493812724944242</v>
      </c>
      <c r="G323" s="14">
        <f t="shared" si="37"/>
        <v>0</v>
      </c>
      <c r="H323" s="24">
        <f t="shared" si="43"/>
        <v>535.90834272135555</v>
      </c>
      <c r="I323" s="12">
        <f t="shared" si="42"/>
        <v>0.6954762144709068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217.87416848439631</v>
      </c>
      <c r="F324" s="38">
        <f t="shared" si="36"/>
        <v>0.31479396010809185</v>
      </c>
      <c r="G324" s="14">
        <f t="shared" si="37"/>
        <v>0</v>
      </c>
      <c r="H324" s="24">
        <f t="shared" si="43"/>
        <v>536.15377428481224</v>
      </c>
      <c r="I324" s="12">
        <f t="shared" si="42"/>
        <v>0.69499813223063234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218.56916661662694</v>
      </c>
      <c r="F325" s="38">
        <f t="shared" si="36"/>
        <v>0.31465015932193519</v>
      </c>
      <c r="G325" s="14">
        <f t="shared" si="37"/>
        <v>0</v>
      </c>
      <c r="H325" s="24">
        <f t="shared" si="43"/>
        <v>536.39880620982115</v>
      </c>
      <c r="I325" s="12">
        <f t="shared" si="42"/>
        <v>0.69451923173557129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219.26368584836251</v>
      </c>
      <c r="F326" s="38">
        <f t="shared" si="36"/>
        <v>0.31450672133963054</v>
      </c>
      <c r="G326" s="14">
        <f t="shared" si="37"/>
        <v>0</v>
      </c>
      <c r="H326" s="24">
        <f t="shared" si="43"/>
        <v>536.64344315158712</v>
      </c>
      <c r="I326" s="12">
        <f t="shared" si="42"/>
        <v>0.69403952434648886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219.95772537270901</v>
      </c>
      <c r="F327" s="38">
        <f t="shared" si="36"/>
        <v>0.31436364263093858</v>
      </c>
      <c r="G327" s="14">
        <f t="shared" si="37"/>
        <v>0</v>
      </c>
      <c r="H327" s="24">
        <f t="shared" si="43"/>
        <v>536.88768975158052</v>
      </c>
      <c r="I327" s="12">
        <f t="shared" si="42"/>
        <v>0.69355902125490976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220.65128439396392</v>
      </c>
      <c r="F328" s="38">
        <f t="shared" si="36"/>
        <v>0.31422091968665772</v>
      </c>
      <c r="G328" s="14">
        <f t="shared" si="37"/>
        <v>0</v>
      </c>
      <c r="H328" s="24">
        <f t="shared" si="43"/>
        <v>537.13155063743704</v>
      </c>
      <c r="I328" s="12">
        <f t="shared" si="42"/>
        <v>0.69307773348616153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221.34436212745007</v>
      </c>
      <c r="F329" s="38">
        <f t="shared" si="36"/>
        <v>0.31407854901855836</v>
      </c>
      <c r="G329" s="14">
        <f t="shared" si="37"/>
        <v>0</v>
      </c>
      <c r="H329" s="24">
        <f t="shared" si="43"/>
        <v>537.37503042286176</v>
      </c>
      <c r="I329" s="12">
        <f t="shared" si="42"/>
        <v>0.69259567190232796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222.03695779935239</v>
      </c>
      <c r="F330" s="38">
        <f t="shared" si="36"/>
        <v>0.31393652715931614</v>
      </c>
      <c r="G330" s="14">
        <f t="shared" si="37"/>
        <v>0</v>
      </c>
      <c r="H330" s="24">
        <f t="shared" si="43"/>
        <v>537.61813370753396</v>
      </c>
      <c r="I330" s="12">
        <f t="shared" si="42"/>
        <v>0.6921128472051945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222.72907064655757</v>
      </c>
      <c r="F331" s="38">
        <f t="shared" si="36"/>
        <v>0.31379485066244556</v>
      </c>
      <c r="G331" s="14">
        <f t="shared" si="37"/>
        <v>0</v>
      </c>
      <c r="H331" s="24">
        <f t="shared" si="43"/>
        <v>537.86086507701623</v>
      </c>
      <c r="I331" s="12">
        <f t="shared" si="42"/>
        <v>0.69162926993901719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223.4206999164966</v>
      </c>
      <c r="F332" s="38">
        <f t="shared" si="36"/>
        <v>0.31365351610223274</v>
      </c>
      <c r="G332" s="14">
        <f t="shared" si="37"/>
        <v>0</v>
      </c>
      <c r="H332" s="24">
        <f t="shared" si="43"/>
        <v>538.10322910266473</v>
      </c>
      <c r="I332" s="12">
        <f t="shared" si="42"/>
        <v>0.69114495049346136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224.11184486699005</v>
      </c>
      <c r="F333" s="38">
        <f t="shared" si="36"/>
        <v>0.31351252007366731</v>
      </c>
      <c r="G333" s="14">
        <f t="shared" si="37"/>
        <v>0</v>
      </c>
      <c r="H333" s="24">
        <f t="shared" si="43"/>
        <v>538.34523034154302</v>
      </c>
      <c r="I333" s="12">
        <f t="shared" si="42"/>
        <v>0.69065989910618164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224.80250476609623</v>
      </c>
      <c r="F334" s="38">
        <f t="shared" si="36"/>
        <v>0.31337185919237448</v>
      </c>
      <c r="G334" s="14">
        <f t="shared" si="37"/>
        <v>0</v>
      </c>
      <c r="H334" s="24">
        <f t="shared" si="43"/>
        <v>538.58687333633782</v>
      </c>
      <c r="I334" s="12">
        <f t="shared" si="42"/>
        <v>0.69017412586567373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225.4926788919619</v>
      </c>
      <c r="F335" s="38">
        <f t="shared" si="36"/>
        <v>0.31323153009454618</v>
      </c>
      <c r="G335" s="14">
        <f t="shared" si="37"/>
        <v>0</v>
      </c>
      <c r="H335" s="24">
        <f t="shared" si="43"/>
        <v>538.82816261527671</v>
      </c>
      <c r="I335" s="12">
        <f t="shared" si="42"/>
        <v>0.6896876407138155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226.18236653267573</v>
      </c>
      <c r="F336" s="38">
        <f t="shared" si="36"/>
        <v>0.31309152943687224</v>
      </c>
      <c r="G336" s="14">
        <f t="shared" si="37"/>
        <v>0</v>
      </c>
      <c r="H336" s="24">
        <f t="shared" si="43"/>
        <v>539.06910269204934</v>
      </c>
      <c r="I336" s="12">
        <f t="shared" si="42"/>
        <v>0.68920045344853798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226.87156698612426</v>
      </c>
      <c r="F337" s="38">
        <f t="shared" si="36"/>
        <v>0.31295185389647084</v>
      </c>
      <c r="G337" s="14">
        <f t="shared" si="37"/>
        <v>0</v>
      </c>
      <c r="H337" s="24">
        <f t="shared" si="43"/>
        <v>539.30969806572978</v>
      </c>
      <c r="I337" s="12">
        <f t="shared" si="42"/>
        <v>0.68871257372629446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227.56027955985056</v>
      </c>
      <c r="F338" s="38">
        <f t="shared" si="36"/>
        <v>0.31281250017081913</v>
      </c>
      <c r="G338" s="14">
        <f t="shared" si="37"/>
        <v>0</v>
      </c>
      <c r="H338" s="24">
        <f t="shared" si="43"/>
        <v>539.54995322070124</v>
      </c>
      <c r="I338" s="12">
        <f t="shared" si="42"/>
        <v>0.6882240110646396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228.2485035709152</v>
      </c>
      <c r="F339" s="38">
        <f t="shared" si="36"/>
        <v>0.31267346497768272</v>
      </c>
      <c r="G339" s="14">
        <f t="shared" si="37"/>
        <v>0</v>
      </c>
      <c r="H339" s="24">
        <f t="shared" si="43"/>
        <v>539.78987262658416</v>
      </c>
      <c r="I339" s="12">
        <f t="shared" si="42"/>
        <v>0.68773477484464363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228.93623834575985</v>
      </c>
      <c r="F340" s="38">
        <f t="shared" ref="F340:F403" si="44">Cp*RhoP/(RhoA*H340)*dp/1000*MassivP</f>
        <v>0.31253474505504558</v>
      </c>
      <c r="G340" s="14">
        <f t="shared" ref="G340:G403" si="45">Phi*EpsilonF*Botzman/10^8*J340*((D340+273)^4-(E340+273)^4)</f>
        <v>0</v>
      </c>
      <c r="H340" s="24">
        <f t="shared" si="43"/>
        <v>540.02946073816486</v>
      </c>
      <c r="I340" s="12">
        <f t="shared" si="42"/>
        <v>0.68724487431328918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229.62348322007313</v>
      </c>
      <c r="F341" s="38">
        <f t="shared" si="44"/>
        <v>0.31239633716103943</v>
      </c>
      <c r="G341" s="14">
        <f t="shared" si="45"/>
        <v>0</v>
      </c>
      <c r="H341" s="24">
        <f t="shared" si="43"/>
        <v>540.26872199532704</v>
      </c>
      <c r="I341" s="12">
        <f t="shared" ref="I341:I404" si="50">LambdaP*MassivP/(dp/1000)/(H341*RhoA)/(1+F341/3)*(D341-E341)*DeltaT-(EXP(F341/10)-1)*(D341-D340)</f>
        <v>0.68675431858587543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230.31023753865901</v>
      </c>
      <c r="F342" s="38">
        <f t="shared" si="44"/>
        <v>0.31225823807387304</v>
      </c>
      <c r="G342" s="14">
        <f t="shared" si="45"/>
        <v>0</v>
      </c>
      <c r="H342" s="24">
        <f t="shared" si="43"/>
        <v>540.5076608229856</v>
      </c>
      <c r="I342" s="12">
        <f t="shared" si="50"/>
        <v>0.68626311664830064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230.9965006553073</v>
      </c>
      <c r="F343" s="38">
        <f t="shared" si="44"/>
        <v>0.3121204445917608</v>
      </c>
      <c r="G343" s="14">
        <f t="shared" si="45"/>
        <v>0</v>
      </c>
      <c r="H343" s="24">
        <f t="shared" si="43"/>
        <v>540.74628163102193</v>
      </c>
      <c r="I343" s="12">
        <f t="shared" si="50"/>
        <v>0.68577127735938626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231.68227193266668</v>
      </c>
      <c r="F344" s="38">
        <f t="shared" si="44"/>
        <v>0.31198295353285144</v>
      </c>
      <c r="G344" s="14">
        <f t="shared" si="45"/>
        <v>0</v>
      </c>
      <c r="H344" s="24">
        <f t="shared" si="43"/>
        <v>540.98458881422164</v>
      </c>
      <c r="I344" s="12">
        <f t="shared" si="50"/>
        <v>0.68527880945302155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232.3675507421197</v>
      </c>
      <c r="F345" s="38">
        <f t="shared" si="44"/>
        <v>0.31184576173515666</v>
      </c>
      <c r="G345" s="14">
        <f t="shared" si="45"/>
        <v>0</v>
      </c>
      <c r="H345" s="24">
        <f t="shared" si="43"/>
        <v>541.22258675221406</v>
      </c>
      <c r="I345" s="12">
        <f t="shared" si="50"/>
        <v>0.68478572154049422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233.0523364636602</v>
      </c>
      <c r="F346" s="38">
        <f t="shared" si="44"/>
        <v>0.31170886605647902</v>
      </c>
      <c r="G346" s="14">
        <f t="shared" si="45"/>
        <v>0</v>
      </c>
      <c r="H346" s="24">
        <f t="shared" si="43"/>
        <v>541.46027980941335</v>
      </c>
      <c r="I346" s="12">
        <f t="shared" si="50"/>
        <v>0.68429202211249818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233.73662848577268</v>
      </c>
      <c r="F347" s="38">
        <f t="shared" si="44"/>
        <v>0.31157226337434074</v>
      </c>
      <c r="G347" s="14">
        <f t="shared" si="45"/>
        <v>0</v>
      </c>
      <c r="H347" s="24">
        <f t="shared" si="43"/>
        <v>541.69767233496191</v>
      </c>
      <c r="I347" s="12">
        <f t="shared" si="50"/>
        <v>0.68379771954138646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234.42042620531407</v>
      </c>
      <c r="F348" s="38">
        <f t="shared" si="44"/>
        <v>0.31143595058591111</v>
      </c>
      <c r="G348" s="14">
        <f t="shared" si="45"/>
        <v>0</v>
      </c>
      <c r="H348" s="24">
        <f t="shared" si="43"/>
        <v>541.9347686626752</v>
      </c>
      <c r="I348" s="12">
        <f t="shared" si="50"/>
        <v>0.68330282208311843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235.10372902739718</v>
      </c>
      <c r="F349" s="38">
        <f t="shared" si="44"/>
        <v>0.31129992460793421</v>
      </c>
      <c r="G349" s="14">
        <f t="shared" si="45"/>
        <v>0</v>
      </c>
      <c r="H349" s="24">
        <f t="shared" si="43"/>
        <v>542.17157311098936</v>
      </c>
      <c r="I349" s="12">
        <f t="shared" si="50"/>
        <v>0.68280733787940207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235.78653636527659</v>
      </c>
      <c r="F350" s="38">
        <f t="shared" si="44"/>
        <v>0.31116418237665694</v>
      </c>
      <c r="G350" s="14">
        <f t="shared" si="45"/>
        <v>0</v>
      </c>
      <c r="H350" s="24">
        <f t="shared" si="43"/>
        <v>542.40808998290902</v>
      </c>
      <c r="I350" s="12">
        <f t="shared" si="50"/>
        <v>0.68231127495963984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236.46884764023622</v>
      </c>
      <c r="F351" s="38">
        <f t="shared" si="44"/>
        <v>0.31102872084775685</v>
      </c>
      <c r="G351" s="14">
        <f t="shared" si="45"/>
        <v>0</v>
      </c>
      <c r="H351" s="24">
        <f t="shared" si="43"/>
        <v>542.64432356595773</v>
      </c>
      <c r="I351" s="12">
        <f t="shared" si="50"/>
        <v>0.68181464124288726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237.1506622814791</v>
      </c>
      <c r="F352" s="38">
        <f t="shared" si="44"/>
        <v>0.31089353699626854</v>
      </c>
      <c r="G352" s="14">
        <f t="shared" si="45"/>
        <v>0</v>
      </c>
      <c r="H352" s="24">
        <f t="shared" si="43"/>
        <v>542.88027813213057</v>
      </c>
      <c r="I352" s="12">
        <f t="shared" si="50"/>
        <v>0.68131744453983933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237.83197972601894</v>
      </c>
      <c r="F353" s="38">
        <f t="shared" si="44"/>
        <v>0.31075862781651242</v>
      </c>
      <c r="G353" s="14">
        <f t="shared" si="45"/>
        <v>0</v>
      </c>
      <c r="H353" s="24">
        <f t="shared" si="43"/>
        <v>543.11595793784704</v>
      </c>
      <c r="I353" s="12">
        <f t="shared" si="50"/>
        <v>0.6808196925546508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238.51279941857359</v>
      </c>
      <c r="F354" s="38">
        <f t="shared" si="44"/>
        <v>0.31062399032202143</v>
      </c>
      <c r="G354" s="14">
        <f t="shared" si="45"/>
        <v>0</v>
      </c>
      <c r="H354" s="24">
        <f t="shared" si="43"/>
        <v>543.35136722390723</v>
      </c>
      <c r="I354" s="12">
        <f t="shared" si="50"/>
        <v>0.68032139288683668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239.19312081146043</v>
      </c>
      <c r="F355" s="38">
        <f t="shared" si="44"/>
        <v>0.31048962154546789</v>
      </c>
      <c r="G355" s="14">
        <f t="shared" si="45"/>
        <v>0</v>
      </c>
      <c r="H355" s="24">
        <f t="shared" si="43"/>
        <v>543.58651021544802</v>
      </c>
      <c r="I355" s="12">
        <f t="shared" si="50"/>
        <v>0.67982255303310124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239.87294336449352</v>
      </c>
      <c r="F356" s="38">
        <f t="shared" si="44"/>
        <v>0.3103555185385915</v>
      </c>
      <c r="G356" s="14">
        <f t="shared" si="45"/>
        <v>0</v>
      </c>
      <c r="H356" s="24">
        <f t="shared" si="43"/>
        <v>543.82139112190191</v>
      </c>
      <c r="I356" s="12">
        <f t="shared" si="50"/>
        <v>0.67932318038909756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240.55226654488263</v>
      </c>
      <c r="F357" s="38">
        <f t="shared" si="44"/>
        <v>0.31022167837212616</v>
      </c>
      <c r="G357" s="14">
        <f t="shared" si="45"/>
        <v>0</v>
      </c>
      <c r="H357" s="24">
        <f t="shared" si="43"/>
        <v>544.05601413695717</v>
      </c>
      <c r="I357" s="12">
        <f t="shared" si="50"/>
        <v>0.67882328225125221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241.23108982713387</v>
      </c>
      <c r="F358" s="38">
        <f t="shared" si="44"/>
        <v>0.31008809813572746</v>
      </c>
      <c r="G358" s="14">
        <f t="shared" si="45"/>
        <v>0</v>
      </c>
      <c r="H358" s="24">
        <f t="shared" si="43"/>
        <v>544.29038343851857</v>
      </c>
      <c r="I358" s="12">
        <f t="shared" si="50"/>
        <v>0.67832286581839463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241.90941269295226</v>
      </c>
      <c r="F359" s="38">
        <f t="shared" si="44"/>
        <v>0.30995477493789908</v>
      </c>
      <c r="G359" s="14">
        <f t="shared" si="45"/>
        <v>0</v>
      </c>
      <c r="H359" s="24">
        <f t="shared" si="43"/>
        <v>544.5245031886717</v>
      </c>
      <c r="I359" s="12">
        <f t="shared" si="50"/>
        <v>0.67782193819356784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242.58723463114583</v>
      </c>
      <c r="F360" s="38">
        <f t="shared" si="44"/>
        <v>0.3098217059059214</v>
      </c>
      <c r="G360" s="14">
        <f t="shared" si="45"/>
        <v>0</v>
      </c>
      <c r="H360" s="24">
        <f t="shared" si="43"/>
        <v>544.75837753364556</v>
      </c>
      <c r="I360" s="12">
        <f t="shared" si="50"/>
        <v>0.67732050638559183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243.26455513753143</v>
      </c>
      <c r="F361" s="38">
        <f t="shared" si="44"/>
        <v>0.30968888818577733</v>
      </c>
      <c r="G361" s="14">
        <f t="shared" si="45"/>
        <v>0</v>
      </c>
      <c r="H361" s="24">
        <f t="shared" si="43"/>
        <v>544.99201060378027</v>
      </c>
      <c r="I361" s="12">
        <f t="shared" si="50"/>
        <v>0.67681857731077888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243.9413737148422</v>
      </c>
      <c r="F362" s="38">
        <f t="shared" si="44"/>
        <v>0.30955631894207997</v>
      </c>
      <c r="G362" s="14">
        <f t="shared" si="45"/>
        <v>0</v>
      </c>
      <c r="H362" s="24">
        <f t="shared" si="43"/>
        <v>545.22540651349311</v>
      </c>
      <c r="I362" s="12">
        <f t="shared" si="50"/>
        <v>0.67631615779448995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244.6176898726367</v>
      </c>
      <c r="F363" s="38">
        <f t="shared" si="44"/>
        <v>0.30942399535800003</v>
      </c>
      <c r="G363" s="14">
        <f t="shared" si="45"/>
        <v>0</v>
      </c>
      <c r="H363" s="24">
        <f t="shared" si="43"/>
        <v>545.4585693612479</v>
      </c>
      <c r="I363" s="12">
        <f t="shared" si="50"/>
        <v>0.67581325457276098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245.29350312720948</v>
      </c>
      <c r="F364" s="38">
        <f t="shared" si="44"/>
        <v>0.30929191463519323</v>
      </c>
      <c r="G364" s="14">
        <f t="shared" si="45"/>
        <v>0</v>
      </c>
      <c r="H364" s="24">
        <f t="shared" si="43"/>
        <v>545.69150322952362</v>
      </c>
      <c r="I364" s="12">
        <f t="shared" si="50"/>
        <v>0.6753098742937832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245.96881300150326</v>
      </c>
      <c r="F365" s="38">
        <f t="shared" si="44"/>
        <v>0.30916007399372714</v>
      </c>
      <c r="G365" s="14">
        <f t="shared" si="45"/>
        <v>0</v>
      </c>
      <c r="H365" s="24">
        <f t="shared" si="43"/>
        <v>545.92421218478739</v>
      </c>
      <c r="I365" s="12">
        <f t="shared" si="50"/>
        <v>0.67480602351951213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246.64361902502279</v>
      </c>
      <c r="F366" s="38">
        <f t="shared" si="44"/>
        <v>0.30902847067200917</v>
      </c>
      <c r="G366" s="14">
        <f t="shared" si="45"/>
        <v>0</v>
      </c>
      <c r="H366" s="24">
        <f t="shared" si="43"/>
        <v>546.15670027746557</v>
      </c>
      <c r="I366" s="12">
        <f t="shared" si="50"/>
        <v>0.6743017087270885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247.31792073374987</v>
      </c>
      <c r="F367" s="38">
        <f t="shared" si="44"/>
        <v>0.3088971019267136</v>
      </c>
      <c r="G367" s="14">
        <f t="shared" si="45"/>
        <v>0</v>
      </c>
      <c r="H367" s="24">
        <f t="shared" si="43"/>
        <v>546.38897154191807</v>
      </c>
      <c r="I367" s="12">
        <f t="shared" si="50"/>
        <v>0.67379693631035464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247.99171767006024</v>
      </c>
      <c r="F368" s="38">
        <f t="shared" si="44"/>
        <v>0.30876596503270881</v>
      </c>
      <c r="G368" s="14">
        <f t="shared" si="45"/>
        <v>0</v>
      </c>
      <c r="H368" s="24">
        <f t="shared" si="43"/>
        <v>546.62102999641411</v>
      </c>
      <c r="I368" s="12">
        <f t="shared" si="50"/>
        <v>0.67329171258127307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248.6650093826415</v>
      </c>
      <c r="F369" s="38">
        <f t="shared" si="44"/>
        <v>0.3086350572829859</v>
      </c>
      <c r="G369" s="14">
        <f t="shared" si="45"/>
        <v>0</v>
      </c>
      <c r="H369" s="24">
        <f t="shared" si="43"/>
        <v>546.8528796431068</v>
      </c>
      <c r="I369" s="12">
        <f t="shared" si="50"/>
        <v>0.67278604377135498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249.33779542641287</v>
      </c>
      <c r="F370" s="38">
        <f t="shared" si="44"/>
        <v>0.30850437598858543</v>
      </c>
      <c r="G370" s="14">
        <f t="shared" si="45"/>
        <v>0</v>
      </c>
      <c r="H370" s="24">
        <f t="shared" si="43"/>
        <v>547.08452446801209</v>
      </c>
      <c r="I370" s="12">
        <f t="shared" si="50"/>
        <v>0.67227993603306424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250.01007536244595</v>
      </c>
      <c r="F371" s="38">
        <f t="shared" si="44"/>
        <v>0.30837391847852563</v>
      </c>
      <c r="G371" s="14">
        <f t="shared" si="45"/>
        <v>0</v>
      </c>
      <c r="H371" s="24">
        <f t="shared" si="43"/>
        <v>547.31596844098647</v>
      </c>
      <c r="I371" s="12">
        <f t="shared" si="50"/>
        <v>0.67177339544114045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250.68184875788708</v>
      </c>
      <c r="F372" s="38">
        <f t="shared" si="44"/>
        <v>0.30824368209973008</v>
      </c>
      <c r="G372" s="14">
        <f t="shared" si="45"/>
        <v>0</v>
      </c>
      <c r="H372" s="24">
        <f t="shared" si="43"/>
        <v>547.54721551570731</v>
      </c>
      <c r="I372" s="12">
        <f t="shared" si="50"/>
        <v>0.67126642799398328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251.35311518588105</v>
      </c>
      <c r="F373" s="38">
        <f t="shared" si="44"/>
        <v>0.30811366421695574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547.77826962965344</v>
      </c>
      <c r="I373" s="12">
        <f t="shared" si="50"/>
        <v>0.67075903961498617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252.02387422549603</v>
      </c>
      <c r="F374" s="38">
        <f t="shared" si="44"/>
        <v>0.30798386221272134</v>
      </c>
      <c r="G374" s="14">
        <f t="shared" si="45"/>
        <v>0</v>
      </c>
      <c r="H374" s="24">
        <f t="shared" si="51"/>
        <v>548.00913470408659</v>
      </c>
      <c r="I374" s="12">
        <f t="shared" si="50"/>
        <v>0.67025123615375171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252.69412546164978</v>
      </c>
      <c r="F375" s="38">
        <f t="shared" si="44"/>
        <v>0.30785427348723499</v>
      </c>
      <c r="G375" s="14">
        <f t="shared" si="45"/>
        <v>0</v>
      </c>
      <c r="H375" s="24">
        <f t="shared" si="51"/>
        <v>548.23981464403596</v>
      </c>
      <c r="I375" s="12">
        <f t="shared" si="50"/>
        <v>0.66974302338748726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253.36386848503727</v>
      </c>
      <c r="F376" s="38">
        <f t="shared" si="44"/>
        <v>0.30772489545832327</v>
      </c>
      <c r="G376" s="14">
        <f t="shared" si="45"/>
        <v>0</v>
      </c>
      <c r="H376" s="24">
        <f t="shared" si="51"/>
        <v>548.47031333828022</v>
      </c>
      <c r="I376" s="12">
        <f t="shared" si="50"/>
        <v>0.66923440702211434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254.03310289205939</v>
      </c>
      <c r="F377" s="38">
        <f t="shared" si="44"/>
        <v>0.30759572556135861</v>
      </c>
      <c r="G377" s="14">
        <f t="shared" si="45"/>
        <v>0</v>
      </c>
      <c r="H377" s="24">
        <f t="shared" si="51"/>
        <v>548.70063465933492</v>
      </c>
      <c r="I377" s="12">
        <f t="shared" si="50"/>
        <v>0.66872539269364595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254.70182828475305</v>
      </c>
      <c r="F378" s="38">
        <f t="shared" si="44"/>
        <v>0.30746676124918926</v>
      </c>
      <c r="G378" s="14">
        <f t="shared" si="45"/>
        <v>0</v>
      </c>
      <c r="H378" s="24">
        <f t="shared" si="51"/>
        <v>548.93078246343657</v>
      </c>
      <c r="I378" s="12">
        <f t="shared" si="50"/>
        <v>0.66821598596926013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255.3700442707223</v>
      </c>
      <c r="F379" s="38">
        <f t="shared" si="44"/>
        <v>0.30733799999206662</v>
      </c>
      <c r="G379" s="14">
        <f t="shared" si="45"/>
        <v>0</v>
      </c>
      <c r="H379" s="24">
        <f t="shared" si="51"/>
        <v>549.16076059053148</v>
      </c>
      <c r="I379" s="12">
        <f t="shared" si="50"/>
        <v>0.66770619234856898</v>
      </c>
      <c r="J379" s="3"/>
    </row>
    <row r="380" spans="2:10" x14ac:dyDescent="0.25">
      <c r="B380" s="33">
        <f t="shared" si="46"/>
        <v>1800</v>
      </c>
      <c r="C380" s="34">
        <f t="shared" si="47"/>
        <v>30</v>
      </c>
      <c r="D380" s="35">
        <f t="shared" si="48"/>
        <v>841.79587968832948</v>
      </c>
      <c r="E380" s="24">
        <f t="shared" si="49"/>
        <v>256.03775046307089</v>
      </c>
      <c r="F380" s="38">
        <f t="shared" si="44"/>
        <v>0.30720943927757516</v>
      </c>
      <c r="G380" s="14">
        <f t="shared" si="45"/>
        <v>0</v>
      </c>
      <c r="H380" s="36">
        <f t="shared" si="51"/>
        <v>549.39057286426316</v>
      </c>
      <c r="I380" s="12">
        <f t="shared" si="50"/>
        <v>0.66719601726476141</v>
      </c>
      <c r="J380" s="37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256.70494648033565</v>
      </c>
      <c r="F381" s="38">
        <f t="shared" si="44"/>
        <v>0.30708107661056072</v>
      </c>
      <c r="G381" s="14">
        <f t="shared" si="45"/>
        <v>0</v>
      </c>
      <c r="H381" s="24">
        <f t="shared" si="51"/>
        <v>549.62022309196141</v>
      </c>
      <c r="I381" s="12">
        <f t="shared" si="50"/>
        <v>0.66668546608573942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257.37163194642142</v>
      </c>
      <c r="F382" s="38">
        <f t="shared" si="44"/>
        <v>0.30695290951306015</v>
      </c>
      <c r="G382" s="14">
        <f t="shared" si="45"/>
        <v>0</v>
      </c>
      <c r="H382" s="24">
        <f t="shared" si="51"/>
        <v>549.84971506463262</v>
      </c>
      <c r="I382" s="12">
        <f t="shared" si="50"/>
        <v>0.66617454411524646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258.03780649053664</v>
      </c>
      <c r="F383" s="38">
        <f t="shared" si="44"/>
        <v>0.30682493552423007</v>
      </c>
      <c r="G383" s="14">
        <f t="shared" si="45"/>
        <v>0</v>
      </c>
      <c r="H383" s="24">
        <f t="shared" si="51"/>
        <v>550.07905255695107</v>
      </c>
      <c r="I383" s="12">
        <f t="shared" si="50"/>
        <v>0.66566325659399639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258.70346974713061</v>
      </c>
      <c r="F384" s="38">
        <f t="shared" si="44"/>
        <v>0.3066971522002771</v>
      </c>
      <c r="G384" s="14">
        <f t="shared" si="45"/>
        <v>0</v>
      </c>
      <c r="H384" s="24">
        <f t="shared" si="51"/>
        <v>550.30823932724991</v>
      </c>
      <c r="I384" s="12">
        <f t="shared" si="50"/>
        <v>0.66515160870068546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259.36862135583129</v>
      </c>
      <c r="F385" s="38">
        <f t="shared" si="44"/>
        <v>0.30656955711438638</v>
      </c>
      <c r="G385" s="14">
        <f t="shared" si="45"/>
        <v>0</v>
      </c>
      <c r="H385" s="24">
        <f t="shared" si="51"/>
        <v>550.53727911751548</v>
      </c>
      <c r="I385" s="12">
        <f t="shared" si="50"/>
        <v>0.66463960555317114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260.03326096138449</v>
      </c>
      <c r="F386" s="38">
        <f t="shared" si="44"/>
        <v>0.30644214785665264</v>
      </c>
      <c r="G386" s="14">
        <f t="shared" si="45"/>
        <v>0</v>
      </c>
      <c r="H386" s="24">
        <f t="shared" si="51"/>
        <v>550.76617565337961</v>
      </c>
      <c r="I386" s="12">
        <f t="shared" si="50"/>
        <v>0.66412725220942526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260.69738821359391</v>
      </c>
      <c r="F387" s="38">
        <f t="shared" si="44"/>
        <v>0.3063149220340089</v>
      </c>
      <c r="G387" s="14">
        <f t="shared" si="45"/>
        <v>0</v>
      </c>
      <c r="H387" s="24">
        <f t="shared" si="51"/>
        <v>550.99493264411501</v>
      </c>
      <c r="I387" s="12">
        <f t="shared" si="50"/>
        <v>0.663614553668608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261.36100276726251</v>
      </c>
      <c r="F388" s="38">
        <f t="shared" si="44"/>
        <v>0.30618787727015756</v>
      </c>
      <c r="G388" s="14">
        <f t="shared" si="45"/>
        <v>0</v>
      </c>
      <c r="H388" s="24">
        <f t="shared" si="51"/>
        <v>551.22355378263035</v>
      </c>
      <c r="I388" s="12">
        <f t="shared" si="50"/>
        <v>0.66310151487204216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262.02410428213454</v>
      </c>
      <c r="F389" s="38">
        <f t="shared" si="44"/>
        <v>0.30606101120549972</v>
      </c>
      <c r="G389" s="14">
        <f t="shared" si="45"/>
        <v>0</v>
      </c>
      <c r="H389" s="24">
        <f t="shared" si="51"/>
        <v>551.45204274546688</v>
      </c>
      <c r="I389" s="12">
        <f t="shared" si="50"/>
        <v>0.66258814070428884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262.68669242283886</v>
      </c>
      <c r="F390" s="38">
        <f t="shared" si="44"/>
        <v>0.3059343214970669</v>
      </c>
      <c r="G390" s="14">
        <f t="shared" si="45"/>
        <v>0</v>
      </c>
      <c r="H390" s="24">
        <f t="shared" si="51"/>
        <v>551.6804031927951</v>
      </c>
      <c r="I390" s="12">
        <f t="shared" si="50"/>
        <v>0.66207443599402238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263.3487668588329</v>
      </c>
      <c r="F391" s="38">
        <f t="shared" si="44"/>
        <v>0.30580780581845018</v>
      </c>
      <c r="G391" s="14">
        <f t="shared" si="45"/>
        <v>0</v>
      </c>
      <c r="H391" s="24">
        <f t="shared" si="51"/>
        <v>551.9086387684132</v>
      </c>
      <c r="I391" s="12">
        <f t="shared" si="50"/>
        <v>0.66156040551503592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264.01032726434795</v>
      </c>
      <c r="F392" s="38">
        <f t="shared" si="44"/>
        <v>0.30568146185973216</v>
      </c>
      <c r="G392" s="14">
        <f t="shared" si="45"/>
        <v>0</v>
      </c>
      <c r="H392" s="24">
        <f t="shared" si="51"/>
        <v>552.13675309974496</v>
      </c>
      <c r="I392" s="12">
        <f t="shared" si="50"/>
        <v>0.66104605398723093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264.67137331833516</v>
      </c>
      <c r="F393" s="38">
        <f t="shared" si="44"/>
        <v>0.30555528732741744</v>
      </c>
      <c r="G393" s="14">
        <f t="shared" si="45"/>
        <v>0</v>
      </c>
      <c r="H393" s="24">
        <f t="shared" si="51"/>
        <v>552.36474979784009</v>
      </c>
      <c r="I393" s="12">
        <f t="shared" si="50"/>
        <v>0.66053138607743611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265.33190470441258</v>
      </c>
      <c r="F394" s="38">
        <f t="shared" si="44"/>
        <v>0.3054292799443637</v>
      </c>
      <c r="G394" s="14">
        <f t="shared" si="45"/>
        <v>0</v>
      </c>
      <c r="H394" s="24">
        <f t="shared" si="51"/>
        <v>552.59263245737372</v>
      </c>
      <c r="I394" s="12">
        <f t="shared" si="50"/>
        <v>0.66001640640043202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265.991921110813</v>
      </c>
      <c r="F395" s="38">
        <f t="shared" si="44"/>
        <v>0.30530343744971322</v>
      </c>
      <c r="G395" s="14">
        <f t="shared" si="45"/>
        <v>0</v>
      </c>
      <c r="H395" s="24">
        <f t="shared" si="51"/>
        <v>552.82040465664795</v>
      </c>
      <c r="I395" s="12">
        <f t="shared" si="50"/>
        <v>0.65950111951976575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266.65142223033274</v>
      </c>
      <c r="F396" s="38">
        <f t="shared" si="44"/>
        <v>0.30517775759882448</v>
      </c>
      <c r="G396" s="14">
        <f t="shared" si="45"/>
        <v>0</v>
      </c>
      <c r="H396" s="24">
        <f t="shared" si="51"/>
        <v>553.04806995759316</v>
      </c>
      <c r="I396" s="12">
        <f t="shared" si="50"/>
        <v>0.65898552994864068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267.31040776028141</v>
      </c>
      <c r="F397" s="38">
        <f t="shared" si="44"/>
        <v>0.30505223816320381</v>
      </c>
      <c r="G397" s="14">
        <f t="shared" si="45"/>
        <v>0</v>
      </c>
      <c r="H397" s="24">
        <f t="shared" si="51"/>
        <v>553.27563190577018</v>
      </c>
      <c r="I397" s="12">
        <f t="shared" si="50"/>
        <v>0.65846964215084669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267.96887740243227</v>
      </c>
      <c r="F398" s="38">
        <f t="shared" si="44"/>
        <v>0.30492687693043691</v>
      </c>
      <c r="G398" s="14">
        <f t="shared" si="45"/>
        <v>0</v>
      </c>
      <c r="H398" s="24">
        <f t="shared" si="51"/>
        <v>553.50309403037454</v>
      </c>
      <c r="I398" s="12">
        <f t="shared" si="50"/>
        <v>0.65795346054151249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268.6268308629738</v>
      </c>
      <c r="F399" s="38">
        <f t="shared" si="44"/>
        <v>0.30480167170412159</v>
      </c>
      <c r="G399" s="14">
        <f t="shared" si="45"/>
        <v>0</v>
      </c>
      <c r="H399" s="24">
        <f t="shared" si="51"/>
        <v>553.73045984423914</v>
      </c>
      <c r="I399" s="12">
        <f t="shared" si="50"/>
        <v>0.65743698948800211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269.28426785246182</v>
      </c>
      <c r="F400" s="38">
        <f t="shared" si="44"/>
        <v>0.30467662030379972</v>
      </c>
      <c r="G400" s="14">
        <f t="shared" si="45"/>
        <v>0</v>
      </c>
      <c r="H400" s="24">
        <f t="shared" si="51"/>
        <v>553.95773284383904</v>
      </c>
      <c r="I400" s="12">
        <f t="shared" si="50"/>
        <v>0.65692023331072269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269.94118808577252</v>
      </c>
      <c r="F401" s="38">
        <f t="shared" si="44"/>
        <v>0.30455172056488961</v>
      </c>
      <c r="G401" s="14">
        <f t="shared" si="45"/>
        <v>0</v>
      </c>
      <c r="H401" s="24">
        <f t="shared" si="51"/>
        <v>554.18491650929695</v>
      </c>
      <c r="I401" s="12">
        <f t="shared" si="50"/>
        <v>0.65640319628393129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270.59759128205644</v>
      </c>
      <c r="F402" s="38">
        <f t="shared" si="44"/>
        <v>0.30442697033861849</v>
      </c>
      <c r="G402" s="14">
        <f t="shared" si="45"/>
        <v>0</v>
      </c>
      <c r="H402" s="24">
        <f t="shared" si="51"/>
        <v>554.41201430438923</v>
      </c>
      <c r="I402" s="12">
        <f t="shared" si="50"/>
        <v>0.65588588263647229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271.25347716469292</v>
      </c>
      <c r="F403" s="38">
        <f t="shared" si="44"/>
        <v>0.30430236749195638</v>
      </c>
      <c r="G403" s="14">
        <f t="shared" si="45"/>
        <v>0</v>
      </c>
      <c r="H403" s="24">
        <f t="shared" si="51"/>
        <v>554.63902967655144</v>
      </c>
      <c r="I403" s="12">
        <f t="shared" si="50"/>
        <v>0.65536829655269224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271.90884546124562</v>
      </c>
      <c r="F404" s="38">
        <f t="shared" ref="F404:F467" si="52">Cp*RhoP/(RhoA*H404)*dp/1000*MassivP</f>
        <v>0.30417790990754784</v>
      </c>
      <c r="G404" s="14">
        <f t="shared" ref="G404:G467" si="53">Phi*EpsilonF*Botzman/10^8*J404*((D404+273)^4-(E404+273)^4)</f>
        <v>0</v>
      </c>
      <c r="H404" s="24">
        <f t="shared" si="51"/>
        <v>554.86596605688646</v>
      </c>
      <c r="I404" s="12">
        <f t="shared" si="50"/>
        <v>0.65485044217301103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272.56369590341865</v>
      </c>
      <c r="F405" s="38">
        <f t="shared" si="52"/>
        <v>0.30405359548364569</v>
      </c>
      <c r="G405" s="14">
        <f t="shared" si="53"/>
        <v>0</v>
      </c>
      <c r="H405" s="24">
        <f t="shared" si="51"/>
        <v>555.09282686017195</v>
      </c>
      <c r="I405" s="12">
        <f t="shared" ref="I405:I468" si="58">LambdaP*MassivP/(dp/1000)/(H405*RhoA)/(1+F405/3)*(D405-E405)*DeltaT-(EXP(F405/10)-1)*(D405-D404)</f>
        <v>0.65433232359487092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273.21802822701352</v>
      </c>
      <c r="F406" s="38">
        <f t="shared" si="52"/>
        <v>0.30392942213404478</v>
      </c>
      <c r="G406" s="14">
        <f t="shared" si="53"/>
        <v>0</v>
      </c>
      <c r="H406" s="24">
        <f t="shared" si="51"/>
        <v>555.31961548486868</v>
      </c>
      <c r="I406" s="12">
        <f t="shared" si="58"/>
        <v>0.65381394487330713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273.87184217188684</v>
      </c>
      <c r="F407" s="38">
        <f t="shared" si="52"/>
        <v>0.30380538778801558</v>
      </c>
      <c r="G407" s="14">
        <f t="shared" si="53"/>
        <v>0</v>
      </c>
      <c r="H407" s="24">
        <f t="shared" si="51"/>
        <v>555.54633531312891</v>
      </c>
      <c r="I407" s="12">
        <f t="shared" si="58"/>
        <v>0.65329531002178431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274.52513748190864</v>
      </c>
      <c r="F408" s="38">
        <f t="shared" si="52"/>
        <v>0.3036814903902374</v>
      </c>
      <c r="G408" s="14">
        <f t="shared" si="53"/>
        <v>0</v>
      </c>
      <c r="H408" s="24">
        <f t="shared" si="51"/>
        <v>555.77298971080734</v>
      </c>
      <c r="I408" s="12">
        <f t="shared" si="58"/>
        <v>0.65277642301285999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275.17791390492152</v>
      </c>
      <c r="F409" s="38">
        <f t="shared" si="52"/>
        <v>0.30355772790073332</v>
      </c>
      <c r="G409" s="14">
        <f t="shared" si="53"/>
        <v>0</v>
      </c>
      <c r="H409" s="24">
        <f t="shared" si="51"/>
        <v>555.99958202746961</v>
      </c>
      <c r="I409" s="12">
        <f t="shared" si="58"/>
        <v>0.65225728777890701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275.83017119270045</v>
      </c>
      <c r="F410" s="38">
        <f t="shared" si="52"/>
        <v>0.3034340982948035</v>
      </c>
      <c r="G410" s="14">
        <f t="shared" si="53"/>
        <v>0</v>
      </c>
      <c r="H410" s="24">
        <f t="shared" si="51"/>
        <v>556.22611559640427</v>
      </c>
      <c r="I410" s="12">
        <f t="shared" si="58"/>
        <v>0.65173790821276978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276.48190910091324</v>
      </c>
      <c r="F411" s="38">
        <f t="shared" si="52"/>
        <v>0.3033105995629603</v>
      </c>
      <c r="G411" s="14">
        <f t="shared" si="53"/>
        <v>0</v>
      </c>
      <c r="H411" s="24">
        <f t="shared" si="51"/>
        <v>556.45259373463364</v>
      </c>
      <c r="I411" s="12">
        <f t="shared" si="58"/>
        <v>0.65121828816847471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277.13312738908172</v>
      </c>
      <c r="F412" s="38">
        <f t="shared" si="52"/>
        <v>0.30318722971086237</v>
      </c>
      <c r="G412" s="14">
        <f t="shared" si="53"/>
        <v>0</v>
      </c>
      <c r="H412" s="24">
        <f t="shared" si="51"/>
        <v>556.67901974292556</v>
      </c>
      <c r="I412" s="12">
        <f t="shared" si="58"/>
        <v>0.65069843146188477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277.7838258205436</v>
      </c>
      <c r="F413" s="38">
        <f t="shared" si="52"/>
        <v>0.30306398675925028</v>
      </c>
      <c r="G413" s="14">
        <f t="shared" si="53"/>
        <v>0</v>
      </c>
      <c r="H413" s="24">
        <f t="shared" si="51"/>
        <v>556.90539690580556</v>
      </c>
      <c r="I413" s="12">
        <f t="shared" si="58"/>
        <v>0.65017834187132328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278.43400416241491</v>
      </c>
      <c r="F414" s="38">
        <f t="shared" si="52"/>
        <v>0.30294086874388043</v>
      </c>
      <c r="G414" s="14">
        <f t="shared" si="53"/>
        <v>0</v>
      </c>
      <c r="H414" s="24">
        <f t="shared" si="51"/>
        <v>557.13172849157058</v>
      </c>
      <c r="I414" s="12">
        <f t="shared" si="58"/>
        <v>0.6496580231382828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279.08366218555318</v>
      </c>
      <c r="F415" s="38">
        <f t="shared" si="52"/>
        <v>0.30281787371546109</v>
      </c>
      <c r="G415" s="14">
        <f t="shared" si="53"/>
        <v>0</v>
      </c>
      <c r="H415" s="24">
        <f t="shared" si="51"/>
        <v>557.35801775230118</v>
      </c>
      <c r="I415" s="12">
        <f t="shared" si="58"/>
        <v>0.64913747896797802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279.73279966452117</v>
      </c>
      <c r="F416" s="38">
        <f t="shared" si="52"/>
        <v>0.30269499973958763</v>
      </c>
      <c r="G416" s="14">
        <f t="shared" si="53"/>
        <v>0</v>
      </c>
      <c r="H416" s="24">
        <f t="shared" si="51"/>
        <v>557.58426792387695</v>
      </c>
      <c r="I416" s="12">
        <f t="shared" si="58"/>
        <v>0.64861671303001656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280.3814163775512</v>
      </c>
      <c r="F417" s="38">
        <f t="shared" si="52"/>
        <v>0.30257224489667789</v>
      </c>
      <c r="G417" s="14">
        <f t="shared" si="53"/>
        <v>0</v>
      </c>
      <c r="H417" s="24">
        <f t="shared" si="51"/>
        <v>557.8104822259894</v>
      </c>
      <c r="I417" s="12">
        <f t="shared" si="58"/>
        <v>0.64809572895898793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281.0295121065102</v>
      </c>
      <c r="F418" s="38">
        <f t="shared" si="52"/>
        <v>0.30244960728190839</v>
      </c>
      <c r="G418" s="14">
        <f t="shared" si="53"/>
        <v>0</v>
      </c>
      <c r="H418" s="24">
        <f t="shared" si="51"/>
        <v>558.03666386215809</v>
      </c>
      <c r="I418" s="12">
        <f t="shared" si="58"/>
        <v>0.6475745303550855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281.67708663686528</v>
      </c>
      <c r="F419" s="38">
        <f t="shared" si="52"/>
        <v>0.30232708500514993</v>
      </c>
      <c r="G419" s="14">
        <f t="shared" si="53"/>
        <v>0</v>
      </c>
      <c r="H419" s="24">
        <f t="shared" si="51"/>
        <v>558.26281601974586</v>
      </c>
      <c r="I419" s="12">
        <f t="shared" si="58"/>
        <v>0.64705312078464017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282.3241397576499</v>
      </c>
      <c r="F420" s="38">
        <f t="shared" si="52"/>
        <v>0.30220467619090402</v>
      </c>
      <c r="G420" s="14">
        <f t="shared" si="53"/>
        <v>0</v>
      </c>
      <c r="H420" s="24">
        <f t="shared" si="51"/>
        <v>558.48894186997393</v>
      </c>
      <c r="I420" s="12">
        <f t="shared" si="58"/>
        <v>0.64653150378077173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282.97067126143065</v>
      </c>
      <c r="F421" s="38">
        <f t="shared" si="52"/>
        <v>0.30208237897823909</v>
      </c>
      <c r="G421" s="14">
        <f t="shared" si="53"/>
        <v>0</v>
      </c>
      <c r="H421" s="24">
        <f t="shared" si="51"/>
        <v>558.71504456793957</v>
      </c>
      <c r="I421" s="12">
        <f t="shared" si="58"/>
        <v>0.64600968284389515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283.61668094427455</v>
      </c>
      <c r="F422" s="38">
        <f t="shared" si="52"/>
        <v>0.30196019152072745</v>
      </c>
      <c r="G422" s="14">
        <f t="shared" si="53"/>
        <v>0</v>
      </c>
      <c r="H422" s="24">
        <f t="shared" si="51"/>
        <v>558.9411272526321</v>
      </c>
      <c r="I422" s="12">
        <f t="shared" si="58"/>
        <v>0.6454876614423124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284.26216860571685</v>
      </c>
      <c r="F423" s="38">
        <f t="shared" si="52"/>
        <v>0.30183811198638155</v>
      </c>
      <c r="G423" s="14">
        <f t="shared" si="53"/>
        <v>0</v>
      </c>
      <c r="H423" s="24">
        <f t="shared" si="51"/>
        <v>559.1671930469505</v>
      </c>
      <c r="I423" s="12">
        <f t="shared" si="58"/>
        <v>0.64496544301275061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284.90713404872957</v>
      </c>
      <c r="F424" s="38">
        <f t="shared" si="52"/>
        <v>0.30171613855759177</v>
      </c>
      <c r="G424" s="14">
        <f t="shared" si="53"/>
        <v>0</v>
      </c>
      <c r="H424" s="24">
        <f t="shared" si="51"/>
        <v>559.39324505772049</v>
      </c>
      <c r="I424" s="12">
        <f t="shared" si="58"/>
        <v>0.64444303096089861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285.55157707969045</v>
      </c>
      <c r="F425" s="38">
        <f t="shared" si="52"/>
        <v>0.30159426943106238</v>
      </c>
      <c r="G425" s="14">
        <f t="shared" si="53"/>
        <v>0</v>
      </c>
      <c r="H425" s="24">
        <f t="shared" si="51"/>
        <v>559.61928637571441</v>
      </c>
      <c r="I425" s="12">
        <f t="shared" si="58"/>
        <v>0.64392042866194155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286.19549750835239</v>
      </c>
      <c r="F426" s="38">
        <f t="shared" si="52"/>
        <v>0.30147250281775018</v>
      </c>
      <c r="G426" s="14">
        <f t="shared" si="53"/>
        <v>0</v>
      </c>
      <c r="H426" s="24">
        <f t="shared" si="51"/>
        <v>559.84532007566804</v>
      </c>
      <c r="I426" s="12">
        <f t="shared" si="58"/>
        <v>0.64339763946108297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286.83889514781345</v>
      </c>
      <c r="F427" s="38">
        <f t="shared" si="52"/>
        <v>0.30135083694280124</v>
      </c>
      <c r="G427" s="14">
        <f t="shared" si="53"/>
        <v>0</v>
      </c>
      <c r="H427" s="24">
        <f t="shared" si="51"/>
        <v>560.07134921630052</v>
      </c>
      <c r="I427" s="12">
        <f t="shared" si="58"/>
        <v>0.64287466667404136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287.48176981448751</v>
      </c>
      <c r="F428" s="38">
        <f t="shared" si="52"/>
        <v>0.30122927004548905</v>
      </c>
      <c r="G428" s="14">
        <f t="shared" si="53"/>
        <v>0</v>
      </c>
      <c r="H428" s="24">
        <f t="shared" si="51"/>
        <v>560.29737684033387</v>
      </c>
      <c r="I428" s="12">
        <f t="shared" si="58"/>
        <v>0.64235151358757325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288.12412132807509</v>
      </c>
      <c r="F429" s="38">
        <f t="shared" si="52"/>
        <v>0.30110780037915219</v>
      </c>
      <c r="G429" s="14">
        <f t="shared" si="53"/>
        <v>0</v>
      </c>
      <c r="H429" s="24">
        <f t="shared" si="51"/>
        <v>560.5234059745128</v>
      </c>
      <c r="I429" s="12">
        <f t="shared" si="58"/>
        <v>0.64182818345996417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288.76594951153504</v>
      </c>
      <c r="F430" s="38">
        <f t="shared" si="52"/>
        <v>0.30098642621113258</v>
      </c>
      <c r="G430" s="14">
        <f t="shared" si="53"/>
        <v>0</v>
      </c>
      <c r="H430" s="24">
        <f t="shared" si="51"/>
        <v>560.74943962962504</v>
      </c>
      <c r="I430" s="12">
        <f t="shared" si="58"/>
        <v>0.64130467952147818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289.4072541910565</v>
      </c>
      <c r="F431" s="38">
        <f t="shared" si="52"/>
        <v>0.30086514582271423</v>
      </c>
      <c r="G431" s="14">
        <f t="shared" si="53"/>
        <v>0</v>
      </c>
      <c r="H431" s="24">
        <f t="shared" si="51"/>
        <v>560.97548080052138</v>
      </c>
      <c r="I431" s="12">
        <f t="shared" si="58"/>
        <v>0.6407810049748891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290.04803519603138</v>
      </c>
      <c r="F432" s="38">
        <f t="shared" si="52"/>
        <v>0.3007439575090608</v>
      </c>
      <c r="G432" s="14">
        <f t="shared" si="53"/>
        <v>0</v>
      </c>
      <c r="H432" s="24">
        <f t="shared" si="51"/>
        <v>561.20153246613825</v>
      </c>
      <c r="I432" s="12">
        <f t="shared" si="58"/>
        <v>0.64025716299592539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290.68829235902729</v>
      </c>
      <c r="F433" s="38">
        <f t="shared" si="52"/>
        <v>0.3006228595791553</v>
      </c>
      <c r="G433" s="14">
        <f t="shared" si="53"/>
        <v>0</v>
      </c>
      <c r="H433" s="24">
        <f t="shared" si="51"/>
        <v>561.42759758951775</v>
      </c>
      <c r="I433" s="12">
        <f t="shared" si="58"/>
        <v>0.63973315673370645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291.328025515761</v>
      </c>
      <c r="F434" s="38">
        <f t="shared" si="52"/>
        <v>0.30050185035573829</v>
      </c>
      <c r="G434" s="14">
        <f t="shared" si="53"/>
        <v>0</v>
      </c>
      <c r="H434" s="24">
        <f t="shared" si="51"/>
        <v>561.65367911783017</v>
      </c>
      <c r="I434" s="12">
        <f t="shared" si="58"/>
        <v>0.63920898931123205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291.96723450507221</v>
      </c>
      <c r="F435" s="38">
        <f t="shared" si="52"/>
        <v>0.3003809281752477</v>
      </c>
      <c r="G435" s="14">
        <f t="shared" si="53"/>
        <v>0</v>
      </c>
      <c r="H435" s="24">
        <f t="shared" si="51"/>
        <v>561.87977998239603</v>
      </c>
      <c r="I435" s="12">
        <f t="shared" si="58"/>
        <v>0.63868466382580313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292.60591916889803</v>
      </c>
      <c r="F436" s="38">
        <f t="shared" si="52"/>
        <v>0.300260091387757</v>
      </c>
      <c r="G436" s="14">
        <f t="shared" si="53"/>
        <v>0</v>
      </c>
      <c r="H436" s="24">
        <f t="shared" si="51"/>
        <v>562.10590309870906</v>
      </c>
      <c r="I436" s="12">
        <f t="shared" si="58"/>
        <v>0.63816018334947433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293.24407935224752</v>
      </c>
      <c r="F437" s="38">
        <f t="shared" si="52"/>
        <v>0.30013933835691592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562.33205136645836</v>
      </c>
      <c r="I437" s="12">
        <f t="shared" si="58"/>
        <v>0.63763555092946211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293.881714903177</v>
      </c>
      <c r="F438" s="38">
        <f t="shared" si="52"/>
        <v>0.30001866745988898</v>
      </c>
      <c r="G438" s="14">
        <f t="shared" si="53"/>
        <v>0</v>
      </c>
      <c r="H438" s="24">
        <f t="shared" si="59"/>
        <v>562.55822766955293</v>
      </c>
      <c r="I438" s="12">
        <f t="shared" si="58"/>
        <v>0.63711076958859336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294.51882567276562</v>
      </c>
      <c r="F439" s="38">
        <f t="shared" si="52"/>
        <v>0.29989807708729593</v>
      </c>
      <c r="G439" s="14">
        <f t="shared" si="53"/>
        <v>0</v>
      </c>
      <c r="H439" s="24">
        <f t="shared" si="59"/>
        <v>562.78443487614391</v>
      </c>
      <c r="I439" s="12">
        <f t="shared" si="58"/>
        <v>0.63658584232569337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295.15541151509132</v>
      </c>
      <c r="F440" s="38">
        <f t="shared" si="52"/>
        <v>0.29977756564315172</v>
      </c>
      <c r="G440" s="14">
        <f t="shared" si="53"/>
        <v>0</v>
      </c>
      <c r="H440" s="24">
        <f t="shared" si="59"/>
        <v>563.01067583864995</v>
      </c>
      <c r="I440" s="12">
        <f t="shared" si="58"/>
        <v>0.6360607721160082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295.79147228720734</v>
      </c>
      <c r="F441" s="38">
        <f t="shared" si="52"/>
        <v>0.29965713154480655</v>
      </c>
      <c r="G441" s="14">
        <f t="shared" si="53"/>
        <v>0</v>
      </c>
      <c r="H441" s="24">
        <f t="shared" si="59"/>
        <v>563.23695339378025</v>
      </c>
      <c r="I441" s="12">
        <f t="shared" si="58"/>
        <v>0.63553556191158578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296.42700784911892</v>
      </c>
      <c r="F442" s="38">
        <f t="shared" si="52"/>
        <v>0.29953677322288619</v>
      </c>
      <c r="G442" s="14">
        <f t="shared" si="53"/>
        <v>0</v>
      </c>
      <c r="H442" s="24">
        <f t="shared" si="59"/>
        <v>563.46327036256037</v>
      </c>
      <c r="I442" s="12">
        <f t="shared" si="58"/>
        <v>0.63501021464171337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297.06201806376066</v>
      </c>
      <c r="F443" s="38">
        <f t="shared" si="52"/>
        <v>0.29941648912123292</v>
      </c>
      <c r="G443" s="14">
        <f t="shared" si="53"/>
        <v>0</v>
      </c>
      <c r="H443" s="24">
        <f t="shared" si="59"/>
        <v>563.68962955035636</v>
      </c>
      <c r="I443" s="12">
        <f t="shared" si="58"/>
        <v>0.63448473321324528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297.6965027969739</v>
      </c>
      <c r="F444" s="38">
        <f t="shared" si="52"/>
        <v>0.29929627769684536</v>
      </c>
      <c r="G444" s="14">
        <f t="shared" si="53"/>
        <v>0</v>
      </c>
      <c r="H444" s="24">
        <f t="shared" si="59"/>
        <v>563.91603374690089</v>
      </c>
      <c r="I444" s="12">
        <f t="shared" si="58"/>
        <v>0.63395912051103309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298.33046191748491</v>
      </c>
      <c r="F445" s="38">
        <f t="shared" si="52"/>
        <v>0.29917613741982052</v>
      </c>
      <c r="G445" s="14">
        <f t="shared" si="53"/>
        <v>0</v>
      </c>
      <c r="H445" s="24">
        <f t="shared" si="59"/>
        <v>564.142485726318</v>
      </c>
      <c r="I445" s="12">
        <f t="shared" si="58"/>
        <v>0.63343337939823297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298.96389529688315</v>
      </c>
      <c r="F446" s="38">
        <f t="shared" si="52"/>
        <v>0.29905606677329399</v>
      </c>
      <c r="G446" s="14">
        <f t="shared" si="53"/>
        <v>0</v>
      </c>
      <c r="H446" s="24">
        <f t="shared" si="59"/>
        <v>564.36898824715001</v>
      </c>
      <c r="I446" s="12">
        <f t="shared" si="58"/>
        <v>0.6329075127167485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299.59680280959992</v>
      </c>
      <c r="F447" s="38">
        <f t="shared" si="52"/>
        <v>0.29893606425338182</v>
      </c>
      <c r="G447" s="14">
        <f t="shared" si="53"/>
        <v>0</v>
      </c>
      <c r="H447" s="24">
        <f t="shared" si="59"/>
        <v>564.59554405238248</v>
      </c>
      <c r="I447" s="12">
        <f t="shared" si="58"/>
        <v>0.63238152328756403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300.22918433288748</v>
      </c>
      <c r="F448" s="38">
        <f t="shared" si="52"/>
        <v>0.29881612836912119</v>
      </c>
      <c r="G448" s="14">
        <f t="shared" si="53"/>
        <v>0</v>
      </c>
      <c r="H448" s="24">
        <f t="shared" si="59"/>
        <v>564.82215586947257</v>
      </c>
      <c r="I448" s="12">
        <f t="shared" si="58"/>
        <v>0.63185541391103217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300.8610397467985</v>
      </c>
      <c r="F449" s="38">
        <f t="shared" si="52"/>
        <v>0.29869625764241287</v>
      </c>
      <c r="G449" s="14">
        <f t="shared" si="53"/>
        <v>0</v>
      </c>
      <c r="H449" s="24">
        <f t="shared" si="59"/>
        <v>565.04882641037386</v>
      </c>
      <c r="I449" s="12">
        <f t="shared" si="58"/>
        <v>0.63132918736733246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301.49236893416582</v>
      </c>
      <c r="F450" s="38">
        <f t="shared" si="52"/>
        <v>0.29857645060796245</v>
      </c>
      <c r="G450" s="14">
        <f t="shared" si="53"/>
        <v>0</v>
      </c>
      <c r="H450" s="24">
        <f t="shared" si="59"/>
        <v>565.27555837156524</v>
      </c>
      <c r="I450" s="12">
        <f t="shared" si="58"/>
        <v>0.63080284641672613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302.12317178058254</v>
      </c>
      <c r="F451" s="38">
        <f t="shared" si="52"/>
        <v>0.29845670581322248</v>
      </c>
      <c r="G451" s="14">
        <f t="shared" si="53"/>
        <v>0</v>
      </c>
      <c r="H451" s="24">
        <f t="shared" si="59"/>
        <v>565.50235443407723</v>
      </c>
      <c r="I451" s="12">
        <f t="shared" si="58"/>
        <v>0.63027639379992484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302.75344817438247</v>
      </c>
      <c r="F452" s="38">
        <f t="shared" si="52"/>
        <v>0.29833702181833449</v>
      </c>
      <c r="G452" s="14">
        <f t="shared" si="53"/>
        <v>0</v>
      </c>
      <c r="H452" s="24">
        <f t="shared" si="59"/>
        <v>565.72921726352013</v>
      </c>
      <c r="I452" s="12">
        <f t="shared" si="58"/>
        <v>0.62974983223840286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303.38319800662089</v>
      </c>
      <c r="F453" s="38">
        <f t="shared" si="52"/>
        <v>0.29821739719607115</v>
      </c>
      <c r="G453" s="14">
        <f t="shared" si="53"/>
        <v>0</v>
      </c>
      <c r="H453" s="24">
        <f t="shared" si="59"/>
        <v>565.95614951011191</v>
      </c>
      <c r="I453" s="12">
        <f t="shared" si="58"/>
        <v>0.62922316443475479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304.01242117105562</v>
      </c>
      <c r="F454" s="38">
        <f t="shared" si="52"/>
        <v>0.29809783053177935</v>
      </c>
      <c r="G454" s="14">
        <f t="shared" si="53"/>
        <v>0</v>
      </c>
      <c r="H454" s="24">
        <f t="shared" si="59"/>
        <v>566.18315380870615</v>
      </c>
      <c r="I454" s="12">
        <f t="shared" si="58"/>
        <v>0.62869639307296155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304.64111756412859</v>
      </c>
      <c r="F455" s="38">
        <f t="shared" si="52"/>
        <v>0.29797832042332195</v>
      </c>
      <c r="G455" s="14">
        <f t="shared" si="53"/>
        <v>0</v>
      </c>
      <c r="H455" s="24">
        <f t="shared" si="59"/>
        <v>566.41023277882152</v>
      </c>
      <c r="I455" s="12">
        <f t="shared" si="58"/>
        <v>0.628169520818739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305.26928708494734</v>
      </c>
      <c r="F456" s="38">
        <f t="shared" si="52"/>
        <v>0.29785886548102131</v>
      </c>
      <c r="G456" s="14">
        <f t="shared" si="53"/>
        <v>0</v>
      </c>
      <c r="H456" s="24">
        <f t="shared" si="59"/>
        <v>566.63738902466923</v>
      </c>
      <c r="I456" s="12">
        <f t="shared" si="58"/>
        <v>0.62764255031985883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305.89692963526721</v>
      </c>
      <c r="F457" s="38">
        <f t="shared" si="52"/>
        <v>0.29773946432760146</v>
      </c>
      <c r="G457" s="14">
        <f t="shared" si="53"/>
        <v>0</v>
      </c>
      <c r="H457" s="24">
        <f t="shared" si="59"/>
        <v>566.86462513518336</v>
      </c>
      <c r="I457" s="12">
        <f t="shared" si="58"/>
        <v>0.62711548420635921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306.52404511947356</v>
      </c>
      <c r="F458" s="38">
        <f t="shared" si="52"/>
        <v>0.29762011559813206</v>
      </c>
      <c r="G458" s="14">
        <f t="shared" si="53"/>
        <v>0</v>
      </c>
      <c r="H458" s="24">
        <f t="shared" si="59"/>
        <v>567.09194368404906</v>
      </c>
      <c r="I458" s="12">
        <f t="shared" si="58"/>
        <v>0.62658832509095208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307.15063344456451</v>
      </c>
      <c r="F459" s="38">
        <f t="shared" si="52"/>
        <v>0.29750081793997113</v>
      </c>
      <c r="G459" s="14">
        <f t="shared" si="53"/>
        <v>0</v>
      </c>
      <c r="H459" s="24">
        <f t="shared" si="59"/>
        <v>567.31934722973301</v>
      </c>
      <c r="I459" s="12">
        <f t="shared" si="58"/>
        <v>0.62606107556927704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307.77669452013379</v>
      </c>
      <c r="F460" s="38">
        <f t="shared" si="52"/>
        <v>0.29738157001270887</v>
      </c>
      <c r="G460" s="14">
        <f t="shared" si="53"/>
        <v>0</v>
      </c>
      <c r="H460" s="24">
        <f t="shared" si="59"/>
        <v>567.54683831551233</v>
      </c>
      <c r="I460" s="12">
        <f t="shared" si="58"/>
        <v>0.62553373822009761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308.40222825835389</v>
      </c>
      <c r="F461" s="38">
        <f t="shared" si="52"/>
        <v>0.29726237048811044</v>
      </c>
      <c r="G461" s="14">
        <f t="shared" si="53"/>
        <v>0</v>
      </c>
      <c r="H461" s="24">
        <f t="shared" si="59"/>
        <v>567.7744194695058</v>
      </c>
      <c r="I461" s="12">
        <f t="shared" si="58"/>
        <v>0.62500631560574693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309.02723457395962</v>
      </c>
      <c r="F462" s="38">
        <f t="shared" si="52"/>
        <v>0.29714321805006116</v>
      </c>
      <c r="G462" s="14">
        <f t="shared" si="53"/>
        <v>0</v>
      </c>
      <c r="H462" s="24">
        <f t="shared" si="59"/>
        <v>568.00209320470253</v>
      </c>
      <c r="I462" s="12">
        <f t="shared" si="58"/>
        <v>0.62447881027224383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309.65171338423187</v>
      </c>
      <c r="F463" s="38">
        <f t="shared" si="52"/>
        <v>0.29702411139450891</v>
      </c>
      <c r="G463" s="14">
        <f t="shared" si="53"/>
        <v>0</v>
      </c>
      <c r="H463" s="24">
        <f t="shared" si="59"/>
        <v>568.22986201899403</v>
      </c>
      <c r="I463" s="12">
        <f t="shared" si="58"/>
        <v>0.62395122474964504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310.27566460898151</v>
      </c>
      <c r="F464" s="38">
        <f t="shared" si="52"/>
        <v>0.29690504922940886</v>
      </c>
      <c r="G464" s="14">
        <f t="shared" si="53"/>
        <v>0</v>
      </c>
      <c r="H464" s="24">
        <f t="shared" si="59"/>
        <v>568.4577283952043</v>
      </c>
      <c r="I464" s="12">
        <f t="shared" si="58"/>
        <v>0.62342356155231105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310.89908817053384</v>
      </c>
      <c r="F465" s="38">
        <f t="shared" si="52"/>
        <v>0.29678603027466816</v>
      </c>
      <c r="G465" s="14">
        <f t="shared" si="53"/>
        <v>0</v>
      </c>
      <c r="H465" s="24">
        <f t="shared" si="59"/>
        <v>568.68569480112058</v>
      </c>
      <c r="I465" s="12">
        <f t="shared" si="58"/>
        <v>0.6228958231791244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311.52198399371298</v>
      </c>
      <c r="F466" s="38">
        <f t="shared" si="52"/>
        <v>0.29666705326208975</v>
      </c>
      <c r="G466" s="14">
        <f t="shared" si="53"/>
        <v>0</v>
      </c>
      <c r="H466" s="24">
        <f t="shared" si="59"/>
        <v>568.91376368952444</v>
      </c>
      <c r="I466" s="12">
        <f t="shared" si="58"/>
        <v>0.62236801211376813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312.14435200582676</v>
      </c>
      <c r="F467" s="38">
        <f t="shared" si="52"/>
        <v>0.29654811693531663</v>
      </c>
      <c r="G467" s="14">
        <f t="shared" si="53"/>
        <v>0</v>
      </c>
      <c r="H467" s="24">
        <f t="shared" si="59"/>
        <v>569.14193749822425</v>
      </c>
      <c r="I467" s="12">
        <f t="shared" si="58"/>
        <v>0.62184013082497913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312.76619213665174</v>
      </c>
      <c r="F468" s="38">
        <f t="shared" ref="F468:F531" si="60">Cp*RhoP/(RhoA*H468)*dp/1000*MassivP</f>
        <v>0.29642922004977734</v>
      </c>
      <c r="G468" s="14">
        <f t="shared" ref="G468:G531" si="61">Phi*EpsilonF*Botzman/10^8*J468*((D468+273)^4-(E468+273)^4)</f>
        <v>0</v>
      </c>
      <c r="H468" s="24">
        <f t="shared" si="59"/>
        <v>569.37021865008569</v>
      </c>
      <c r="I468" s="12">
        <f t="shared" si="58"/>
        <v>0.62131218176680036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313.38750431841856</v>
      </c>
      <c r="F469" s="38">
        <f t="shared" si="60"/>
        <v>0.29631036137263045</v>
      </c>
      <c r="G469" s="14">
        <f t="shared" si="61"/>
        <v>0</v>
      </c>
      <c r="H469" s="24">
        <f t="shared" si="59"/>
        <v>569.59860955306362</v>
      </c>
      <c r="I469" s="12">
        <f t="shared" ref="I469:I532" si="66">LambdaP*MassivP/(dp/1000)/(H469*RhoA)/(1+F469/3)*(D469-E469)*DeltaT-(EXP(F469/10)-1)*(D469-D468)</f>
        <v>0.62078416737878561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314.00828848579732</v>
      </c>
      <c r="F470" s="38">
        <f t="shared" si="60"/>
        <v>0.296191539682709</v>
      </c>
      <c r="G470" s="14">
        <f t="shared" si="61"/>
        <v>0</v>
      </c>
      <c r="H470" s="24">
        <f t="shared" si="59"/>
        <v>569.82711260023518</v>
      </c>
      <c r="I470" s="12">
        <f t="shared" si="66"/>
        <v>0.62025609008628868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314.62854457588361</v>
      </c>
      <c r="F471" s="38">
        <f t="shared" si="60"/>
        <v>0.29607275377046688</v>
      </c>
      <c r="G471" s="14">
        <f t="shared" si="61"/>
        <v>0</v>
      </c>
      <c r="H471" s="24">
        <f t="shared" si="59"/>
        <v>570.05573016983089</v>
      </c>
      <c r="I471" s="12">
        <f t="shared" si="66"/>
        <v>0.61972795230063094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315.24827252818426</v>
      </c>
      <c r="F472" s="38">
        <f t="shared" si="60"/>
        <v>0.29595400243792291</v>
      </c>
      <c r="G472" s="14">
        <f t="shared" si="61"/>
        <v>0</v>
      </c>
      <c r="H472" s="24">
        <f t="shared" si="59"/>
        <v>570.2844646252679</v>
      </c>
      <c r="I472" s="12">
        <f t="shared" si="66"/>
        <v>0.6191997564194035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315.86747228460365</v>
      </c>
      <c r="F473" s="38">
        <f t="shared" si="60"/>
        <v>0.29583528449860669</v>
      </c>
      <c r="G473" s="14">
        <f t="shared" si="61"/>
        <v>0</v>
      </c>
      <c r="H473" s="24">
        <f t="shared" si="59"/>
        <v>570.51331831518212</v>
      </c>
      <c r="I473" s="12">
        <f t="shared" si="66"/>
        <v>0.61867150482662803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316.48614378943029</v>
      </c>
      <c r="F474" s="38">
        <f t="shared" si="60"/>
        <v>0.29571659877750484</v>
      </c>
      <c r="G474" s="14">
        <f t="shared" si="61"/>
        <v>0</v>
      </c>
      <c r="H474" s="24">
        <f t="shared" si="59"/>
        <v>570.7422935734611</v>
      </c>
      <c r="I474" s="12">
        <f t="shared" si="66"/>
        <v>0.61814319989301569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317.10428698932333</v>
      </c>
      <c r="F475" s="38">
        <f t="shared" si="60"/>
        <v>0.29559794411100543</v>
      </c>
      <c r="G475" s="14">
        <f t="shared" si="61"/>
        <v>0</v>
      </c>
      <c r="H475" s="24">
        <f t="shared" si="59"/>
        <v>570.9713927192779</v>
      </c>
      <c r="I475" s="12">
        <f t="shared" si="66"/>
        <v>0.61761484397615352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317.72190183329946</v>
      </c>
      <c r="F476" s="38">
        <f t="shared" si="60"/>
        <v>0.29547931934684529</v>
      </c>
      <c r="G476" s="14">
        <f t="shared" si="61"/>
        <v>0</v>
      </c>
      <c r="H476" s="24">
        <f t="shared" si="59"/>
        <v>571.20061805712305</v>
      </c>
      <c r="I476" s="12">
        <f t="shared" si="66"/>
        <v>0.61708643942074903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318.3389882727202</v>
      </c>
      <c r="F477" s="38">
        <f t="shared" si="60"/>
        <v>0.29536072334405489</v>
      </c>
      <c r="G477" s="14">
        <f t="shared" si="61"/>
        <v>0</v>
      </c>
      <c r="H477" s="24">
        <f t="shared" si="59"/>
        <v>571.42997187683886</v>
      </c>
      <c r="I477" s="12">
        <f t="shared" si="66"/>
        <v>0.61655798855880195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318.95554626127898</v>
      </c>
      <c r="F478" s="38">
        <f t="shared" si="60"/>
        <v>0.29524215497290496</v>
      </c>
      <c r="G478" s="14">
        <f t="shared" si="61"/>
        <v>0</v>
      </c>
      <c r="H478" s="24">
        <f t="shared" si="59"/>
        <v>571.65945645365321</v>
      </c>
      <c r="I478" s="12">
        <f t="shared" si="66"/>
        <v>0.61602949370983839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319.57157575498883</v>
      </c>
      <c r="F479" s="38">
        <f t="shared" si="60"/>
        <v>0.29512361311485302</v>
      </c>
      <c r="G479" s="14">
        <f t="shared" si="61"/>
        <v>0</v>
      </c>
      <c r="H479" s="24">
        <f t="shared" si="59"/>
        <v>571.88907404821214</v>
      </c>
      <c r="I479" s="12">
        <f t="shared" si="66"/>
        <v>0.61550095718107278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320.18707671216993</v>
      </c>
      <c r="F480" s="38">
        <f t="shared" si="60"/>
        <v>0.29500509666248936</v>
      </c>
      <c r="G480" s="14">
        <f t="shared" si="61"/>
        <v>0</v>
      </c>
      <c r="H480" s="24">
        <f t="shared" si="59"/>
        <v>572.11882690661537</v>
      </c>
      <c r="I480" s="12">
        <f t="shared" si="66"/>
        <v>0.61497238126766995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320.80204909343757</v>
      </c>
      <c r="F481" s="38">
        <f t="shared" si="60"/>
        <v>0.29488660451948406</v>
      </c>
      <c r="G481" s="14">
        <f t="shared" si="61"/>
        <v>0</v>
      </c>
      <c r="H481" s="24">
        <f t="shared" si="59"/>
        <v>572.34871726044912</v>
      </c>
      <c r="I481" s="12">
        <f t="shared" si="66"/>
        <v>0.61444376825285774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321.41649286169041</v>
      </c>
      <c r="F482" s="38">
        <f t="shared" si="60"/>
        <v>0.2947681356005335</v>
      </c>
      <c r="G482" s="14">
        <f t="shared" si="61"/>
        <v>0</v>
      </c>
      <c r="H482" s="24">
        <f t="shared" si="59"/>
        <v>572.57874732682137</v>
      </c>
      <c r="I482" s="12">
        <f t="shared" si="66"/>
        <v>0.61391512040817142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322.03040798209861</v>
      </c>
      <c r="F483" s="38">
        <f t="shared" si="60"/>
        <v>0.2946496888313071</v>
      </c>
      <c r="G483" s="14">
        <f t="shared" si="61"/>
        <v>0</v>
      </c>
      <c r="H483" s="24">
        <f t="shared" si="59"/>
        <v>572.80891930839562</v>
      </c>
      <c r="I483" s="12">
        <f t="shared" si="66"/>
        <v>0.6133864399936203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322.64379442209224</v>
      </c>
      <c r="F484" s="38">
        <f t="shared" si="60"/>
        <v>0.29453126314839456</v>
      </c>
      <c r="G484" s="14">
        <f t="shared" si="61"/>
        <v>0</v>
      </c>
      <c r="H484" s="24">
        <f t="shared" si="59"/>
        <v>573.03923539342634</v>
      </c>
      <c r="I484" s="12">
        <f t="shared" si="66"/>
        <v>0.6128577292578643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323.25665215135012</v>
      </c>
      <c r="F485" s="38">
        <f t="shared" si="60"/>
        <v>0.294412857499253</v>
      </c>
      <c r="G485" s="14">
        <f t="shared" si="61"/>
        <v>0</v>
      </c>
      <c r="H485" s="24">
        <f t="shared" si="59"/>
        <v>573.26969775579289</v>
      </c>
      <c r="I485" s="12">
        <f t="shared" si="66"/>
        <v>0.6123289904383874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323.86898114178854</v>
      </c>
      <c r="F486" s="38">
        <f t="shared" si="60"/>
        <v>0.29429447084215399</v>
      </c>
      <c r="G486" s="14">
        <f t="shared" si="61"/>
        <v>0</v>
      </c>
      <c r="H486" s="24">
        <f t="shared" si="59"/>
        <v>573.50030855503519</v>
      </c>
      <c r="I486" s="12">
        <f t="shared" si="66"/>
        <v>0.61180022576170912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324.48078136755026</v>
      </c>
      <c r="F487" s="38">
        <f t="shared" si="60"/>
        <v>0.29417610214613105</v>
      </c>
      <c r="G487" s="14">
        <f t="shared" si="61"/>
        <v>0</v>
      </c>
      <c r="H487" s="24">
        <f t="shared" si="59"/>
        <v>573.73106993638851</v>
      </c>
      <c r="I487" s="12">
        <f t="shared" si="66"/>
        <v>0.61127143744351931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325.09205280499378</v>
      </c>
      <c r="F488" s="38">
        <f t="shared" si="60"/>
        <v>0.29405775039092752</v>
      </c>
      <c r="G488" s="14">
        <f t="shared" si="61"/>
        <v>0</v>
      </c>
      <c r="H488" s="24">
        <f t="shared" si="59"/>
        <v>573.96198403081883</v>
      </c>
      <c r="I488" s="12">
        <f t="shared" si="66"/>
        <v>0.61074262768883203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325.70279543268259</v>
      </c>
      <c r="F489" s="38">
        <f t="shared" si="60"/>
        <v>0.29393941456694395</v>
      </c>
      <c r="G489" s="14">
        <f t="shared" si="61"/>
        <v>0</v>
      </c>
      <c r="H489" s="24">
        <f t="shared" si="59"/>
        <v>574.19305295505831</v>
      </c>
      <c r="I489" s="12">
        <f t="shared" si="66"/>
        <v>0.61021379869220582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326.31300923137479</v>
      </c>
      <c r="F490" s="38">
        <f t="shared" si="60"/>
        <v>0.29382109367518555</v>
      </c>
      <c r="G490" s="14">
        <f t="shared" si="61"/>
        <v>0</v>
      </c>
      <c r="H490" s="24">
        <f t="shared" si="59"/>
        <v>574.42427881164099</v>
      </c>
      <c r="I490" s="12">
        <f t="shared" si="66"/>
        <v>0.60968495263785427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326.92269418401264</v>
      </c>
      <c r="F491" s="38">
        <f t="shared" si="60"/>
        <v>0.29370278672721095</v>
      </c>
      <c r="G491" s="14">
        <f t="shared" si="61"/>
        <v>0</v>
      </c>
      <c r="H491" s="24">
        <f t="shared" si="59"/>
        <v>574.65566368893815</v>
      </c>
      <c r="I491" s="12">
        <f t="shared" si="66"/>
        <v>0.60915609169982532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327.53185027571249</v>
      </c>
      <c r="F492" s="38">
        <f t="shared" si="60"/>
        <v>0.29358449274507964</v>
      </c>
      <c r="G492" s="14">
        <f t="shared" si="61"/>
        <v>0</v>
      </c>
      <c r="H492" s="24">
        <f t="shared" si="59"/>
        <v>574.88720966119479</v>
      </c>
      <c r="I492" s="12">
        <f t="shared" si="66"/>
        <v>0.60862721804217157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328.14047749375464</v>
      </c>
      <c r="F493" s="38">
        <f t="shared" si="60"/>
        <v>0.29346621076130014</v>
      </c>
      <c r="G493" s="14">
        <f t="shared" si="61"/>
        <v>0</v>
      </c>
      <c r="H493" s="24">
        <f t="shared" si="59"/>
        <v>575.118918788565</v>
      </c>
      <c r="I493" s="12">
        <f t="shared" si="66"/>
        <v>0.60809833381905087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328.74857582757369</v>
      </c>
      <c r="F494" s="38">
        <f t="shared" si="60"/>
        <v>0.29334793981877894</v>
      </c>
      <c r="G494" s="14">
        <f t="shared" si="61"/>
        <v>0</v>
      </c>
      <c r="H494" s="24">
        <f t="shared" si="59"/>
        <v>575.35079311714867</v>
      </c>
      <c r="I494" s="12">
        <f t="shared" si="66"/>
        <v>0.60756944117494627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329.35614526874866</v>
      </c>
      <c r="F495" s="38">
        <f t="shared" si="60"/>
        <v>0.2932296789707684</v>
      </c>
      <c r="G495" s="14">
        <f t="shared" si="61"/>
        <v>0</v>
      </c>
      <c r="H495" s="24">
        <f t="shared" si="59"/>
        <v>575.58283467902731</v>
      </c>
      <c r="I495" s="12">
        <f t="shared" si="66"/>
        <v>0.60704054224475146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329.96318581099342</v>
      </c>
      <c r="F496" s="38">
        <f t="shared" si="60"/>
        <v>0.29311142728081546</v>
      </c>
      <c r="G496" s="14">
        <f t="shared" si="61"/>
        <v>0</v>
      </c>
      <c r="H496" s="24">
        <f t="shared" si="59"/>
        <v>575.81504549230112</v>
      </c>
      <c r="I496" s="12">
        <f t="shared" si="66"/>
        <v>0.60651163915395978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330.56969745014737</v>
      </c>
      <c r="F497" s="38">
        <f t="shared" si="60"/>
        <v>0.2929931838227105</v>
      </c>
      <c r="G497" s="14">
        <f t="shared" si="61"/>
        <v>0</v>
      </c>
      <c r="H497" s="24">
        <f t="shared" si="59"/>
        <v>576.04742756112466</v>
      </c>
      <c r="I497" s="12">
        <f t="shared" si="66"/>
        <v>0.60598273401875469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331.17568018416614</v>
      </c>
      <c r="F498" s="38">
        <f t="shared" si="60"/>
        <v>0.29287494768043559</v>
      </c>
      <c r="G498" s="14">
        <f t="shared" si="61"/>
        <v>0</v>
      </c>
      <c r="H498" s="24">
        <f t="shared" si="59"/>
        <v>576.27998287574474</v>
      </c>
      <c r="I498" s="12">
        <f t="shared" si="66"/>
        <v>0.60545382894619826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331.78113401311236</v>
      </c>
      <c r="F499" s="38">
        <f t="shared" si="60"/>
        <v>0.29275671794811459</v>
      </c>
      <c r="G499" s="14">
        <f t="shared" si="61"/>
        <v>0</v>
      </c>
      <c r="H499" s="24">
        <f t="shared" si="59"/>
        <v>576.51271341253619</v>
      </c>
      <c r="I499" s="12">
        <f t="shared" si="66"/>
        <v>0.60492492603433645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332.38605893914672</v>
      </c>
      <c r="F500" s="38">
        <f t="shared" si="60"/>
        <v>0.2926384937299612</v>
      </c>
      <c r="G500" s="14">
        <f t="shared" si="61"/>
        <v>0</v>
      </c>
      <c r="H500" s="24">
        <f t="shared" si="59"/>
        <v>576.74562113403908</v>
      </c>
      <c r="I500" s="12">
        <f t="shared" si="66"/>
        <v>0.60439602737233644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332.99045496651905</v>
      </c>
      <c r="F501" s="38">
        <f t="shared" si="60"/>
        <v>0.29252027414022846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576.97870798899658</v>
      </c>
      <c r="I501" s="12">
        <f t="shared" si="66"/>
        <v>0.60386713504062561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333.59432210155967</v>
      </c>
      <c r="F502" s="38">
        <f t="shared" si="60"/>
        <v>0.29240205830315824</v>
      </c>
      <c r="G502" s="14">
        <f t="shared" si="61"/>
        <v>0</v>
      </c>
      <c r="H502" s="24">
        <f t="shared" si="67"/>
        <v>577.21197591239093</v>
      </c>
      <c r="I502" s="12">
        <f t="shared" si="66"/>
        <v>0.60333825111101258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334.19766035267071</v>
      </c>
      <c r="F503" s="38">
        <f t="shared" si="60"/>
        <v>0.29228384535293067</v>
      </c>
      <c r="G503" s="14">
        <f t="shared" si="61"/>
        <v>0</v>
      </c>
      <c r="H503" s="24">
        <f t="shared" si="67"/>
        <v>577.44542682548138</v>
      </c>
      <c r="I503" s="12">
        <f t="shared" si="66"/>
        <v>0.60280937764677378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334.8004697303175</v>
      </c>
      <c r="F504" s="38">
        <f t="shared" si="60"/>
        <v>0.29216563443361365</v>
      </c>
      <c r="G504" s="14">
        <f t="shared" si="61"/>
        <v>0</v>
      </c>
      <c r="H504" s="24">
        <f t="shared" si="67"/>
        <v>577.67906263584223</v>
      </c>
      <c r="I504" s="12">
        <f t="shared" si="66"/>
        <v>0.60228051670287708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335.40275024702038</v>
      </c>
      <c r="F505" s="38">
        <f t="shared" si="60"/>
        <v>0.29204742469911249</v>
      </c>
      <c r="G505" s="14">
        <f t="shared" si="61"/>
        <v>0</v>
      </c>
      <c r="H505" s="24">
        <f t="shared" si="67"/>
        <v>577.91288523739888</v>
      </c>
      <c r="I505" s="12">
        <f t="shared" si="66"/>
        <v>0.60175167032598231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336.00450191734637</v>
      </c>
      <c r="F506" s="38">
        <f t="shared" si="60"/>
        <v>0.29192921531311966</v>
      </c>
      <c r="G506" s="14">
        <f t="shared" si="61"/>
        <v>0</v>
      </c>
      <c r="H506" s="24">
        <f t="shared" si="67"/>
        <v>578.14689651046717</v>
      </c>
      <c r="I506" s="12">
        <f t="shared" si="66"/>
        <v>0.6012228405546125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336.60572475790099</v>
      </c>
      <c r="F507" s="38">
        <f t="shared" si="60"/>
        <v>0.29181100544906491</v>
      </c>
      <c r="G507" s="14">
        <f t="shared" si="61"/>
        <v>0</v>
      </c>
      <c r="H507" s="24">
        <f t="shared" si="67"/>
        <v>578.38109832179009</v>
      </c>
      <c r="I507" s="12">
        <f t="shared" si="66"/>
        <v>0.60069402941930117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337.20641878732027</v>
      </c>
      <c r="F508" s="38">
        <f t="shared" si="60"/>
        <v>0.2916927942900655</v>
      </c>
      <c r="G508" s="14">
        <f t="shared" si="61"/>
        <v>0</v>
      </c>
      <c r="H508" s="24">
        <f t="shared" si="67"/>
        <v>578.61549252457598</v>
      </c>
      <c r="I508" s="12">
        <f t="shared" si="66"/>
        <v>0.60016523894264218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337.8065840262629</v>
      </c>
      <c r="F509" s="38">
        <f t="shared" si="60"/>
        <v>0.29157458102887568</v>
      </c>
      <c r="G509" s="14">
        <f t="shared" si="61"/>
        <v>0</v>
      </c>
      <c r="H509" s="24">
        <f t="shared" si="67"/>
        <v>578.85008095853664</v>
      </c>
      <c r="I509" s="12">
        <f t="shared" si="66"/>
        <v>0.59963647113942498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338.40622049740233</v>
      </c>
      <c r="F510" s="38">
        <f t="shared" si="60"/>
        <v>0.29145636486783782</v>
      </c>
      <c r="G510" s="14">
        <f t="shared" si="61"/>
        <v>0</v>
      </c>
      <c r="H510" s="24">
        <f t="shared" si="67"/>
        <v>579.08486544992491</v>
      </c>
      <c r="I510" s="12">
        <f t="shared" si="66"/>
        <v>0.59910772801674783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339.00532822541908</v>
      </c>
      <c r="F511" s="38">
        <f t="shared" si="60"/>
        <v>0.29133814501883221</v>
      </c>
      <c r="G511" s="14">
        <f t="shared" si="61"/>
        <v>0</v>
      </c>
      <c r="H511" s="24">
        <f t="shared" si="67"/>
        <v>579.31984781157371</v>
      </c>
      <c r="I511" s="12">
        <f t="shared" si="66"/>
        <v>0.59857901157413618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339.60390723699322</v>
      </c>
      <c r="F512" s="38">
        <f t="shared" si="60"/>
        <v>0.291219920703228</v>
      </c>
      <c r="G512" s="14">
        <f t="shared" si="61"/>
        <v>0</v>
      </c>
      <c r="H512" s="24">
        <f t="shared" si="67"/>
        <v>579.55502984293378</v>
      </c>
      <c r="I512" s="12">
        <f t="shared" si="66"/>
        <v>0.59805032380358558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340.20195756079681</v>
      </c>
      <c r="F513" s="38">
        <f t="shared" si="60"/>
        <v>0.29110169115183315</v>
      </c>
      <c r="G513" s="14">
        <f t="shared" si="61"/>
        <v>0</v>
      </c>
      <c r="H513" s="24">
        <f t="shared" si="67"/>
        <v>579.79041333011241</v>
      </c>
      <c r="I513" s="12">
        <f t="shared" si="66"/>
        <v>0.59752166668974749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340.79947922748659</v>
      </c>
      <c r="F514" s="38">
        <f t="shared" si="60"/>
        <v>0.29098345560484651</v>
      </c>
      <c r="G514" s="14">
        <f t="shared" si="61"/>
        <v>0</v>
      </c>
      <c r="H514" s="24">
        <f t="shared" si="67"/>
        <v>580.02600004591125</v>
      </c>
      <c r="I514" s="12">
        <f t="shared" si="66"/>
        <v>0.59699304220994753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341.39647226969652</v>
      </c>
      <c r="F515" s="38">
        <f t="shared" si="60"/>
        <v>0.29086521331180698</v>
      </c>
      <c r="G515" s="14">
        <f t="shared" si="61"/>
        <v>0</v>
      </c>
      <c r="H515" s="24">
        <f t="shared" si="67"/>
        <v>580.26179174986601</v>
      </c>
      <c r="I515" s="12">
        <f t="shared" si="66"/>
        <v>0.59646445233435363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341.99293672203089</v>
      </c>
      <c r="F516" s="38">
        <f t="shared" si="60"/>
        <v>0.290746963531546</v>
      </c>
      <c r="G516" s="14">
        <f t="shared" si="61"/>
        <v>0</v>
      </c>
      <c r="H516" s="24">
        <f t="shared" si="67"/>
        <v>580.49779018828406</v>
      </c>
      <c r="I516" s="12">
        <f t="shared" si="66"/>
        <v>0.59593589902599642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342.58887262105691</v>
      </c>
      <c r="F517" s="38">
        <f t="shared" si="60"/>
        <v>0.29062870553213793</v>
      </c>
      <c r="G517" s="14">
        <f t="shared" si="61"/>
        <v>0</v>
      </c>
      <c r="H517" s="24">
        <f t="shared" si="67"/>
        <v>580.73399709428395</v>
      </c>
      <c r="I517" s="12">
        <f t="shared" si="66"/>
        <v>0.59540738424092055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343.18428000529781</v>
      </c>
      <c r="F518" s="38">
        <f t="shared" si="60"/>
        <v>0.29051043859085102</v>
      </c>
      <c r="G518" s="14">
        <f t="shared" si="61"/>
        <v>0</v>
      </c>
      <c r="H518" s="24">
        <f t="shared" si="67"/>
        <v>580.97041418783419</v>
      </c>
      <c r="I518" s="12">
        <f t="shared" si="66"/>
        <v>0.59487890992825332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343.77915891522605</v>
      </c>
      <c r="F519" s="38">
        <f t="shared" si="60"/>
        <v>0.29039216199409934</v>
      </c>
      <c r="G519" s="14">
        <f t="shared" si="61"/>
        <v>0</v>
      </c>
      <c r="H519" s="24">
        <f t="shared" si="67"/>
        <v>581.20704317579191</v>
      </c>
      <c r="I519" s="12">
        <f t="shared" si="66"/>
        <v>0.59435047803028751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344.37350939325631</v>
      </c>
      <c r="F520" s="38">
        <f t="shared" si="60"/>
        <v>0.29027387503739416</v>
      </c>
      <c r="G520" s="14">
        <f t="shared" si="61"/>
        <v>0</v>
      </c>
      <c r="H520" s="24">
        <f t="shared" si="67"/>
        <v>581.44388575194193</v>
      </c>
      <c r="I520" s="12">
        <f t="shared" si="66"/>
        <v>0.59382209048257406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344.96733148373886</v>
      </c>
      <c r="F521" s="38">
        <f t="shared" si="60"/>
        <v>0.29015557702529499</v>
      </c>
      <c r="G521" s="14">
        <f t="shared" si="61"/>
        <v>0</v>
      </c>
      <c r="H521" s="24">
        <f t="shared" si="67"/>
        <v>581.68094359703616</v>
      </c>
      <c r="I521" s="12">
        <f t="shared" si="66"/>
        <v>0.59329374921399092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345.56062523295287</v>
      </c>
      <c r="F522" s="38">
        <f t="shared" si="60"/>
        <v>0.29003726727136153</v>
      </c>
      <c r="G522" s="14">
        <f t="shared" si="61"/>
        <v>0</v>
      </c>
      <c r="H522" s="24">
        <f t="shared" si="67"/>
        <v>581.91821837883288</v>
      </c>
      <c r="I522" s="12">
        <f t="shared" si="66"/>
        <v>0.5927654561468586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346.15339068909975</v>
      </c>
      <c r="F523" s="38">
        <f t="shared" si="60"/>
        <v>0.28991894509810556</v>
      </c>
      <c r="G523" s="14">
        <f t="shared" si="61"/>
        <v>0</v>
      </c>
      <c r="H523" s="24">
        <f t="shared" si="67"/>
        <v>582.15571175213586</v>
      </c>
      <c r="I523" s="12">
        <f t="shared" si="66"/>
        <v>0.59223721319699452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346.74562790229675</v>
      </c>
      <c r="F524" s="38">
        <f t="shared" si="60"/>
        <v>0.28980060983694317</v>
      </c>
      <c r="G524" s="14">
        <f t="shared" si="61"/>
        <v>0</v>
      </c>
      <c r="H524" s="24">
        <f t="shared" si="67"/>
        <v>582.39342535883304</v>
      </c>
      <c r="I524" s="12">
        <f t="shared" si="66"/>
        <v>0.59170902227378575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347.33733692457054</v>
      </c>
      <c r="F525" s="38">
        <f t="shared" si="60"/>
        <v>0.28968226082814574</v>
      </c>
      <c r="G525" s="14">
        <f t="shared" si="61"/>
        <v>0</v>
      </c>
      <c r="H525" s="24">
        <f t="shared" si="67"/>
        <v>582.63136082793744</v>
      </c>
      <c r="I525" s="12">
        <f t="shared" si="66"/>
        <v>0.59118088528029156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347.9285178098508</v>
      </c>
      <c r="F526" s="38">
        <f t="shared" si="60"/>
        <v>0.2895638974207928</v>
      </c>
      <c r="G526" s="14">
        <f t="shared" si="61"/>
        <v>0</v>
      </c>
      <c r="H526" s="24">
        <f t="shared" si="67"/>
        <v>582.86951977562592</v>
      </c>
      <c r="I526" s="12">
        <f t="shared" si="66"/>
        <v>0.5906528041133009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348.51917061396409</v>
      </c>
      <c r="F527" s="38">
        <f t="shared" si="60"/>
        <v>0.2894455189727243</v>
      </c>
      <c r="G527" s="14">
        <f t="shared" si="61"/>
        <v>0</v>
      </c>
      <c r="H527" s="24">
        <f t="shared" si="67"/>
        <v>583.10790380527794</v>
      </c>
      <c r="I527" s="12">
        <f t="shared" si="66"/>
        <v>0.5901247806633878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349.10929539462751</v>
      </c>
      <c r="F528" s="38">
        <f t="shared" si="60"/>
        <v>0.2893271248504925</v>
      </c>
      <c r="G528" s="14">
        <f t="shared" si="61"/>
        <v>0</v>
      </c>
      <c r="H528" s="24">
        <f t="shared" si="67"/>
        <v>583.34651450751721</v>
      </c>
      <c r="I528" s="12">
        <f t="shared" si="66"/>
        <v>0.5895968168150334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349.69889221144257</v>
      </c>
      <c r="F529" s="38">
        <f t="shared" si="60"/>
        <v>0.28920871442931473</v>
      </c>
      <c r="G529" s="14">
        <f t="shared" si="61"/>
        <v>0</v>
      </c>
      <c r="H529" s="24">
        <f t="shared" si="67"/>
        <v>583.58535346024973</v>
      </c>
      <c r="I529" s="12">
        <f t="shared" si="66"/>
        <v>0.58906891444666543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350.28796112588924</v>
      </c>
      <c r="F530" s="38">
        <f t="shared" si="60"/>
        <v>0.28909028709302603</v>
      </c>
      <c r="G530" s="14">
        <f t="shared" si="61"/>
        <v>0</v>
      </c>
      <c r="H530" s="24">
        <f t="shared" si="67"/>
        <v>583.82442222870384</v>
      </c>
      <c r="I530" s="12">
        <f t="shared" si="66"/>
        <v>0.58854107543069301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350.87650220131991</v>
      </c>
      <c r="F531" s="38">
        <f t="shared" si="60"/>
        <v>0.2889718422340315</v>
      </c>
      <c r="G531" s="14">
        <f t="shared" si="61"/>
        <v>0</v>
      </c>
      <c r="H531" s="24">
        <f t="shared" si="67"/>
        <v>584.06372236547111</v>
      </c>
      <c r="I531" s="12">
        <f t="shared" si="66"/>
        <v>0.58801330163363574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351.46451550295353</v>
      </c>
      <c r="F532" s="38">
        <f t="shared" ref="F532:F595" si="68">Cp*RhoP/(RhoA*H532)*dp/1000*MassivP</f>
        <v>0.28885337925325905</v>
      </c>
      <c r="G532" s="14">
        <f t="shared" ref="G532:G595" si="69">Phi*EpsilonF*Botzman/10^8*J532*((D532+273)^4-(E532+273)^4)</f>
        <v>0</v>
      </c>
      <c r="H532" s="24">
        <f t="shared" si="67"/>
        <v>584.30325541054526</v>
      </c>
      <c r="I532" s="12">
        <f t="shared" si="66"/>
        <v>0.58748559491614549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352.05200109786966</v>
      </c>
      <c r="F533" s="38">
        <f t="shared" si="68"/>
        <v>0.28873489756011234</v>
      </c>
      <c r="G533" s="14">
        <f t="shared" si="69"/>
        <v>0</v>
      </c>
      <c r="H533" s="24">
        <f t="shared" si="67"/>
        <v>584.54302289136285</v>
      </c>
      <c r="I533" s="12">
        <f t="shared" ref="I533:I596" si="74">LambdaP*MassivP/(dp/1000)/(H533*RhoA)/(1+F533/3)*(D533-E533)*DeltaT-(EXP(F533/10)-1)*(D533-D532)</f>
        <v>0.58695795713310883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352.63895905500277</v>
      </c>
      <c r="F534" s="38">
        <f t="shared" si="68"/>
        <v>0.28861639657242455</v>
      </c>
      <c r="G534" s="14">
        <f t="shared" si="69"/>
        <v>0</v>
      </c>
      <c r="H534" s="24">
        <f t="shared" si="67"/>
        <v>584.78302632284249</v>
      </c>
      <c r="I534" s="12">
        <f t="shared" si="74"/>
        <v>0.58643039013362974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353.22538944513639</v>
      </c>
      <c r="F535" s="38">
        <f t="shared" si="68"/>
        <v>0.28849787571640984</v>
      </c>
      <c r="G535" s="14">
        <f t="shared" si="69"/>
        <v>0</v>
      </c>
      <c r="H535" s="24">
        <f t="shared" si="67"/>
        <v>585.02326720742633</v>
      </c>
      <c r="I535" s="12">
        <f t="shared" si="74"/>
        <v>0.58590289576120691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353.81129234089758</v>
      </c>
      <c r="F536" s="38">
        <f t="shared" si="68"/>
        <v>0.28837933442661789</v>
      </c>
      <c r="G536" s="14">
        <f t="shared" si="69"/>
        <v>0</v>
      </c>
      <c r="H536" s="24">
        <f t="shared" si="67"/>
        <v>585.26374703511897</v>
      </c>
      <c r="I536" s="12">
        <f t="shared" si="74"/>
        <v>0.58537547585368288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354.39666781675129</v>
      </c>
      <c r="F537" s="38">
        <f t="shared" si="68"/>
        <v>0.28826077214588697</v>
      </c>
      <c r="G537" s="14">
        <f t="shared" si="69"/>
        <v>0</v>
      </c>
      <c r="H537" s="24">
        <f t="shared" si="67"/>
        <v>585.50446728352824</v>
      </c>
      <c r="I537" s="12">
        <f t="shared" si="74"/>
        <v>0.58484813224337329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354.98151594899468</v>
      </c>
      <c r="F538" s="38">
        <f t="shared" si="68"/>
        <v>0.28814218832529698</v>
      </c>
      <c r="G538" s="14">
        <f t="shared" si="69"/>
        <v>0</v>
      </c>
      <c r="H538" s="24">
        <f t="shared" si="67"/>
        <v>585.74542941790548</v>
      </c>
      <c r="I538" s="12">
        <f t="shared" si="74"/>
        <v>0.58432086675707406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355.56583681575177</v>
      </c>
      <c r="F539" s="38">
        <f t="shared" si="68"/>
        <v>0.28802358242412307</v>
      </c>
      <c r="G539" s="14">
        <f t="shared" si="69"/>
        <v>0</v>
      </c>
      <c r="H539" s="24">
        <f t="shared" si="67"/>
        <v>585.98663489118621</v>
      </c>
      <c r="I539" s="12">
        <f t="shared" si="74"/>
        <v>0.58379368121615516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356.14963049696792</v>
      </c>
      <c r="F540" s="38">
        <f t="shared" si="68"/>
        <v>0.28790495390978926</v>
      </c>
      <c r="G540" s="14">
        <f t="shared" si="69"/>
        <v>0</v>
      </c>
      <c r="H540" s="24">
        <f t="shared" si="67"/>
        <v>586.22808514403027</v>
      </c>
      <c r="I540" s="12">
        <f t="shared" si="74"/>
        <v>0.58326657743659538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356.73289707440449</v>
      </c>
      <c r="F541" s="38">
        <f t="shared" si="68"/>
        <v>0.2877863022578227</v>
      </c>
      <c r="G541" s="14">
        <f t="shared" si="69"/>
        <v>0</v>
      </c>
      <c r="H541" s="24">
        <f t="shared" si="67"/>
        <v>586.46978160486196</v>
      </c>
      <c r="I541" s="12">
        <f t="shared" si="74"/>
        <v>0.58273955722902593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357.31563663163354</v>
      </c>
      <c r="F542" s="38">
        <f t="shared" si="68"/>
        <v>0.28766762695180664</v>
      </c>
      <c r="G542" s="14">
        <f t="shared" si="69"/>
        <v>0</v>
      </c>
      <c r="H542" s="24">
        <f t="shared" si="67"/>
        <v>586.71172568991108</v>
      </c>
      <c r="I542" s="12">
        <f t="shared" si="74"/>
        <v>0.58221262239878857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357.89784925403234</v>
      </c>
      <c r="F543" s="38">
        <f t="shared" si="68"/>
        <v>0.28754892748333499</v>
      </c>
      <c r="G543" s="14">
        <f t="shared" si="69"/>
        <v>0</v>
      </c>
      <c r="H543" s="24">
        <f t="shared" si="67"/>
        <v>586.9539188032536</v>
      </c>
      <c r="I543" s="12">
        <f t="shared" si="74"/>
        <v>0.58168577474600569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358.47953502877834</v>
      </c>
      <c r="F544" s="38">
        <f t="shared" si="68"/>
        <v>0.28743020335196612</v>
      </c>
      <c r="G544" s="14">
        <f t="shared" si="69"/>
        <v>0</v>
      </c>
      <c r="H544" s="24">
        <f t="shared" si="67"/>
        <v>587.19636233685173</v>
      </c>
      <c r="I544" s="12">
        <f t="shared" si="74"/>
        <v>0.58115901606556908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359.0606940448439</v>
      </c>
      <c r="F545" s="38">
        <f t="shared" si="68"/>
        <v>0.28731145406517716</v>
      </c>
      <c r="G545" s="14">
        <f t="shared" si="69"/>
        <v>0</v>
      </c>
      <c r="H545" s="24">
        <f t="shared" si="67"/>
        <v>587.43905767059482</v>
      </c>
      <c r="I545" s="12">
        <f t="shared" si="74"/>
        <v>0.58063234814727305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359.64132639299117</v>
      </c>
      <c r="F546" s="38">
        <f t="shared" si="68"/>
        <v>0.28719267913831809</v>
      </c>
      <c r="G546" s="14">
        <f t="shared" si="69"/>
        <v>0</v>
      </c>
      <c r="H546" s="24">
        <f t="shared" si="67"/>
        <v>587.68200617234049</v>
      </c>
      <c r="I546" s="12">
        <f t="shared" si="74"/>
        <v>0.58010577277576514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360.22143216576694</v>
      </c>
      <c r="F547" s="38">
        <f t="shared" si="68"/>
        <v>0.28707387809456619</v>
      </c>
      <c r="G547" s="14">
        <f t="shared" si="69"/>
        <v>0</v>
      </c>
      <c r="H547" s="24">
        <f t="shared" si="67"/>
        <v>587.92520919795493</v>
      </c>
      <c r="I547" s="12">
        <f t="shared" si="74"/>
        <v>0.57957929173067191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360.80101145749762</v>
      </c>
      <c r="F548" s="38">
        <f t="shared" si="68"/>
        <v>0.28695505046488085</v>
      </c>
      <c r="G548" s="14">
        <f t="shared" si="69"/>
        <v>0</v>
      </c>
      <c r="H548" s="24">
        <f t="shared" si="67"/>
        <v>588.16866809135354</v>
      </c>
      <c r="I548" s="12">
        <f t="shared" si="74"/>
        <v>0.57905290678657206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361.38006436428418</v>
      </c>
      <c r="F549" s="38">
        <f t="shared" si="68"/>
        <v>0.28683619578795705</v>
      </c>
      <c r="G549" s="14">
        <f t="shared" si="69"/>
        <v>0</v>
      </c>
      <c r="H549" s="24">
        <f t="shared" si="67"/>
        <v>588.41238418454259</v>
      </c>
      <c r="I549" s="12">
        <f t="shared" si="74"/>
        <v>0.57852661971309793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361.95859098399728</v>
      </c>
      <c r="F550" s="38">
        <f t="shared" si="68"/>
        <v>0.28671731361018171</v>
      </c>
      <c r="G550" s="14">
        <f t="shared" si="69"/>
        <v>0</v>
      </c>
      <c r="H550" s="24">
        <f t="shared" si="67"/>
        <v>588.6563587976591</v>
      </c>
      <c r="I550" s="12">
        <f t="shared" si="74"/>
        <v>0.57800043227495024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362.53659141627224</v>
      </c>
      <c r="F551" s="38">
        <f t="shared" si="68"/>
        <v>0.28659840348558702</v>
      </c>
      <c r="G551" s="14">
        <f t="shared" si="69"/>
        <v>0</v>
      </c>
      <c r="H551" s="24">
        <f t="shared" si="67"/>
        <v>588.90059323901255</v>
      </c>
      <c r="I551" s="12">
        <f t="shared" si="74"/>
        <v>0.57747434623188476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363.11406576250414</v>
      </c>
      <c r="F552" s="38">
        <f t="shared" si="68"/>
        <v>0.28647946497580606</v>
      </c>
      <c r="G552" s="14">
        <f t="shared" si="69"/>
        <v>0</v>
      </c>
      <c r="H552" s="24">
        <f t="shared" si="67"/>
        <v>589.1450888051254</v>
      </c>
      <c r="I552" s="12">
        <f t="shared" si="74"/>
        <v>0.57694836333887922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363.69101412584303</v>
      </c>
      <c r="F553" s="38">
        <f t="shared" si="68"/>
        <v>0.28636049765002769</v>
      </c>
      <c r="G553" s="14">
        <f t="shared" si="69"/>
        <v>0</v>
      </c>
      <c r="H553" s="24">
        <f t="shared" si="67"/>
        <v>589.38984678077418</v>
      </c>
      <c r="I553" s="12">
        <f t="shared" si="74"/>
        <v>0.57642248534603158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364.26743661118905</v>
      </c>
      <c r="F554" s="38">
        <f t="shared" si="68"/>
        <v>0.28624150108495156</v>
      </c>
      <c r="G554" s="14">
        <f t="shared" si="69"/>
        <v>0</v>
      </c>
      <c r="H554" s="24">
        <f t="shared" si="67"/>
        <v>589.6348684390307</v>
      </c>
      <c r="I554" s="12">
        <f t="shared" si="74"/>
        <v>0.57589671399868125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364.84333332518776</v>
      </c>
      <c r="F555" s="38">
        <f t="shared" si="68"/>
        <v>0.28612247486474329</v>
      </c>
      <c r="G555" s="14">
        <f t="shared" si="69"/>
        <v>0</v>
      </c>
      <c r="H555" s="24">
        <f t="shared" si="67"/>
        <v>589.88015504130294</v>
      </c>
      <c r="I555" s="12">
        <f t="shared" si="74"/>
        <v>0.57537105103740349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365.41870437622515</v>
      </c>
      <c r="F556" s="38">
        <f t="shared" si="68"/>
        <v>0.2860034185809901</v>
      </c>
      <c r="G556" s="14">
        <f t="shared" si="69"/>
        <v>0</v>
      </c>
      <c r="H556" s="24">
        <f t="shared" si="67"/>
        <v>590.12570783737601</v>
      </c>
      <c r="I556" s="12">
        <f t="shared" si="74"/>
        <v>0.57484549819807662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365.99354987442325</v>
      </c>
      <c r="F557" s="38">
        <f t="shared" si="68"/>
        <v>0.28588433183265549</v>
      </c>
      <c r="G557" s="14">
        <f t="shared" si="69"/>
        <v>0</v>
      </c>
      <c r="H557" s="24">
        <f t="shared" si="67"/>
        <v>590.37152806545373</v>
      </c>
      <c r="I557" s="12">
        <f t="shared" si="74"/>
        <v>0.57432005721188106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366.56786993163513</v>
      </c>
      <c r="F558" s="38">
        <f t="shared" si="68"/>
        <v>0.28576521422603585</v>
      </c>
      <c r="G558" s="14">
        <f t="shared" si="69"/>
        <v>0</v>
      </c>
      <c r="H558" s="24">
        <f t="shared" si="67"/>
        <v>590.61761695219934</v>
      </c>
      <c r="I558" s="12">
        <f t="shared" si="74"/>
        <v>0.57379472980533719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367.14166466144047</v>
      </c>
      <c r="F559" s="38">
        <f t="shared" si="68"/>
        <v>0.28564606537471526</v>
      </c>
      <c r="G559" s="14">
        <f t="shared" si="69"/>
        <v>0</v>
      </c>
      <c r="H559" s="24">
        <f t="shared" si="67"/>
        <v>590.86397571277701</v>
      </c>
      <c r="I559" s="12">
        <f t="shared" si="74"/>
        <v>0.57326951770037426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367.71493417914087</v>
      </c>
      <c r="F560" s="38">
        <f t="shared" si="68"/>
        <v>0.28552688489952133</v>
      </c>
      <c r="G560" s="14">
        <f t="shared" si="69"/>
        <v>0</v>
      </c>
      <c r="H560" s="24">
        <f t="shared" si="67"/>
        <v>591.11060555089261</v>
      </c>
      <c r="I560" s="12">
        <f t="shared" si="74"/>
        <v>0.5727444226142856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368.28767860175515</v>
      </c>
      <c r="F561" s="38">
        <f t="shared" si="68"/>
        <v>0.28540767242848153</v>
      </c>
      <c r="G561" s="14">
        <f t="shared" si="69"/>
        <v>0</v>
      </c>
      <c r="H561" s="24">
        <f t="shared" si="67"/>
        <v>591.35750765883517</v>
      </c>
      <c r="I561" s="12">
        <f t="shared" si="74"/>
        <v>0.57221944625984844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368.859898048015</v>
      </c>
      <c r="F562" s="38">
        <f t="shared" si="68"/>
        <v>0.28528842759677819</v>
      </c>
      <c r="G562" s="14">
        <f t="shared" si="69"/>
        <v>0</v>
      </c>
      <c r="H562" s="24">
        <f t="shared" si="67"/>
        <v>591.60468321751898</v>
      </c>
      <c r="I562" s="12">
        <f t="shared" si="74"/>
        <v>0.57169459034526271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369.43159263836026</v>
      </c>
      <c r="F563" s="38">
        <f t="shared" si="68"/>
        <v>0.28516915004670584</v>
      </c>
      <c r="G563" s="14">
        <f t="shared" si="69"/>
        <v>0</v>
      </c>
      <c r="H563" s="24">
        <f t="shared" si="67"/>
        <v>591.85213339652319</v>
      </c>
      <c r="I563" s="12">
        <f t="shared" si="74"/>
        <v>0.5711698565742398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370.00276249493447</v>
      </c>
      <c r="F564" s="38">
        <f t="shared" si="68"/>
        <v>0.28504983942762635</v>
      </c>
      <c r="G564" s="14">
        <f t="shared" si="69"/>
        <v>0</v>
      </c>
      <c r="H564" s="24">
        <f t="shared" si="67"/>
        <v>592.09985935413408</v>
      </c>
      <c r="I564" s="12">
        <f t="shared" si="74"/>
        <v>0.57064524664600069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370.57340774158047</v>
      </c>
      <c r="F565" s="38">
        <f t="shared" si="68"/>
        <v>0.28493049539592541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592.34786223738695</v>
      </c>
      <c r="I565" s="12">
        <f t="shared" si="74"/>
        <v>0.57012076225531561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371.1435285038358</v>
      </c>
      <c r="F566" s="38">
        <f t="shared" si="68"/>
        <v>0.28481111761496924</v>
      </c>
      <c r="G566" s="14">
        <f t="shared" si="69"/>
        <v>0</v>
      </c>
      <c r="H566" s="24">
        <f t="shared" si="75"/>
        <v>592.5961431821064</v>
      </c>
      <c r="I566" s="12">
        <f t="shared" si="74"/>
        <v>0.56959640509250675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371.71312490892831</v>
      </c>
      <c r="F567" s="38">
        <f t="shared" si="68"/>
        <v>0.28469170575506064</v>
      </c>
      <c r="G567" s="14">
        <f t="shared" si="69"/>
        <v>0</v>
      </c>
      <c r="H567" s="24">
        <f t="shared" si="75"/>
        <v>592.84470331294813</v>
      </c>
      <c r="I567" s="12">
        <f t="shared" si="74"/>
        <v>0.56907217684349032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372.28219708577177</v>
      </c>
      <c r="F568" s="38">
        <f t="shared" si="68"/>
        <v>0.28457225949339587</v>
      </c>
      <c r="G568" s="14">
        <f t="shared" si="69"/>
        <v>0</v>
      </c>
      <c r="H568" s="24">
        <f t="shared" si="75"/>
        <v>593.09354374344048</v>
      </c>
      <c r="I568" s="12">
        <f t="shared" si="74"/>
        <v>0.56854807918979788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372.85074516496155</v>
      </c>
      <c r="F569" s="38">
        <f t="shared" si="68"/>
        <v>0.28445277851402118</v>
      </c>
      <c r="G569" s="14">
        <f t="shared" si="69"/>
        <v>0</v>
      </c>
      <c r="H569" s="24">
        <f t="shared" si="75"/>
        <v>593.3426655760253</v>
      </c>
      <c r="I569" s="12">
        <f t="shared" si="74"/>
        <v>0.56802411380857398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373.41876927877013</v>
      </c>
      <c r="F570" s="38">
        <f t="shared" si="68"/>
        <v>0.28433326250778962</v>
      </c>
      <c r="G570" s="14">
        <f t="shared" si="69"/>
        <v>0</v>
      </c>
      <c r="H570" s="24">
        <f t="shared" si="75"/>
        <v>593.59206990210021</v>
      </c>
      <c r="I570" s="12">
        <f t="shared" si="74"/>
        <v>0.5675002823726476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373.98626956114276</v>
      </c>
      <c r="F571" s="38">
        <f t="shared" si="68"/>
        <v>0.28421371117231803</v>
      </c>
      <c r="G571" s="14">
        <f t="shared" si="69"/>
        <v>0</v>
      </c>
      <c r="H571" s="24">
        <f t="shared" si="75"/>
        <v>593.84175780205919</v>
      </c>
      <c r="I571" s="12">
        <f t="shared" si="74"/>
        <v>0.56697658655047278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374.55324614769324</v>
      </c>
      <c r="F572" s="38">
        <f t="shared" si="68"/>
        <v>0.28409412421194363</v>
      </c>
      <c r="G572" s="14">
        <f t="shared" si="69"/>
        <v>0</v>
      </c>
      <c r="H572" s="24">
        <f t="shared" si="75"/>
        <v>594.09173034533478</v>
      </c>
      <c r="I572" s="12">
        <f t="shared" si="74"/>
        <v>0.56645302800625508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375.11969917569951</v>
      </c>
      <c r="F573" s="38">
        <f t="shared" si="68"/>
        <v>0.28397450133768204</v>
      </c>
      <c r="G573" s="14">
        <f t="shared" si="69"/>
        <v>0</v>
      </c>
      <c r="H573" s="24">
        <f t="shared" si="75"/>
        <v>594.3419885904384</v>
      </c>
      <c r="I573" s="12">
        <f t="shared" si="74"/>
        <v>0.56592960839983886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375.68562878409932</v>
      </c>
      <c r="F574" s="38">
        <f t="shared" si="68"/>
        <v>0.2838548422671836</v>
      </c>
      <c r="G574" s="14">
        <f t="shared" si="69"/>
        <v>0</v>
      </c>
      <c r="H574" s="24">
        <f t="shared" si="75"/>
        <v>594.59253358500291</v>
      </c>
      <c r="I574" s="12">
        <f t="shared" si="74"/>
        <v>0.56540632938686464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376.25103511348618</v>
      </c>
      <c r="F575" s="38">
        <f t="shared" si="68"/>
        <v>0.28373514672469075</v>
      </c>
      <c r="G575" s="14">
        <f t="shared" si="69"/>
        <v>0</v>
      </c>
      <c r="H575" s="24">
        <f t="shared" si="75"/>
        <v>594.84336636582418</v>
      </c>
      <c r="I575" s="12">
        <f t="shared" si="74"/>
        <v>0.56488319261865794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376.81591830610483</v>
      </c>
      <c r="F576" s="38">
        <f t="shared" si="68"/>
        <v>0.28361541444099614</v>
      </c>
      <c r="G576" s="14">
        <f t="shared" si="69"/>
        <v>0</v>
      </c>
      <c r="H576" s="24">
        <f t="shared" si="75"/>
        <v>595.09448795890103</v>
      </c>
      <c r="I576" s="12">
        <f t="shared" si="74"/>
        <v>0.56436019974234186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377.38027850584717</v>
      </c>
      <c r="F577" s="38">
        <f t="shared" si="68"/>
        <v>0.28349564515339948</v>
      </c>
      <c r="G577" s="14">
        <f t="shared" si="69"/>
        <v>0</v>
      </c>
      <c r="H577" s="24">
        <f t="shared" si="75"/>
        <v>595.3458993794784</v>
      </c>
      <c r="I577" s="12">
        <f t="shared" si="74"/>
        <v>0.5638373524007928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377.94411585824798</v>
      </c>
      <c r="F578" s="38">
        <f t="shared" si="68"/>
        <v>0.28337583860566562</v>
      </c>
      <c r="G578" s="14">
        <f t="shared" si="69"/>
        <v>0</v>
      </c>
      <c r="H578" s="24">
        <f t="shared" si="75"/>
        <v>595.59760163208796</v>
      </c>
      <c r="I578" s="12">
        <f t="shared" si="74"/>
        <v>0.56331465223269495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378.50743051048067</v>
      </c>
      <c r="F579" s="38">
        <f t="shared" si="68"/>
        <v>0.28325599454798178</v>
      </c>
      <c r="G579" s="14">
        <f t="shared" si="69"/>
        <v>0</v>
      </c>
      <c r="H579" s="24">
        <f t="shared" si="75"/>
        <v>595.84959571059005</v>
      </c>
      <c r="I579" s="12">
        <f t="shared" si="74"/>
        <v>0.56279210087251208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379.07022261135319</v>
      </c>
      <c r="F580" s="38">
        <f t="shared" si="68"/>
        <v>0.28313611273691625</v>
      </c>
      <c r="G580" s="14">
        <f t="shared" si="69"/>
        <v>0</v>
      </c>
      <c r="H580" s="24">
        <f t="shared" si="75"/>
        <v>596.10188259821462</v>
      </c>
      <c r="I580" s="12">
        <f t="shared" si="74"/>
        <v>0.56226969995054621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379.63249231130374</v>
      </c>
      <c r="F581" s="38">
        <f t="shared" si="68"/>
        <v>0.283016192935375</v>
      </c>
      <c r="G581" s="14">
        <f t="shared" si="69"/>
        <v>0</v>
      </c>
      <c r="H581" s="24">
        <f t="shared" si="75"/>
        <v>596.35446326760348</v>
      </c>
      <c r="I581" s="12">
        <f t="shared" si="74"/>
        <v>0.56174745109292157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380.19423976239665</v>
      </c>
      <c r="F582" s="38">
        <f t="shared" si="68"/>
        <v>0.28289623491256166</v>
      </c>
      <c r="G582" s="14">
        <f t="shared" si="69"/>
        <v>0</v>
      </c>
      <c r="H582" s="24">
        <f t="shared" si="75"/>
        <v>596.60733868085038</v>
      </c>
      <c r="I582" s="12">
        <f t="shared" si="74"/>
        <v>0.56122535592158662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380.75546511831823</v>
      </c>
      <c r="F583" s="38">
        <f t="shared" si="68"/>
        <v>0.28277623844393357</v>
      </c>
      <c r="G583" s="14">
        <f t="shared" si="69"/>
        <v>0</v>
      </c>
      <c r="H583" s="24">
        <f t="shared" si="75"/>
        <v>596.86050978954484</v>
      </c>
      <c r="I583" s="12">
        <f t="shared" si="74"/>
        <v>0.56070341605437379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381.31616853437259</v>
      </c>
      <c r="F584" s="38">
        <f t="shared" si="68"/>
        <v>0.28265620331116181</v>
      </c>
      <c r="G584" s="14">
        <f t="shared" si="69"/>
        <v>0</v>
      </c>
      <c r="H584" s="24">
        <f t="shared" si="75"/>
        <v>597.11397753481106</v>
      </c>
      <c r="I584" s="12">
        <f t="shared" si="74"/>
        <v>0.56018163310495073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381.87635016747754</v>
      </c>
      <c r="F585" s="38">
        <f t="shared" si="68"/>
        <v>0.28253612930208855</v>
      </c>
      <c r="G585" s="14">
        <f t="shared" si="69"/>
        <v>0</v>
      </c>
      <c r="H585" s="24">
        <f t="shared" si="75"/>
        <v>597.36774284735145</v>
      </c>
      <c r="I585" s="12">
        <f t="shared" si="74"/>
        <v>0.5596600086828788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382.43601017616044</v>
      </c>
      <c r="F586" s="38">
        <f t="shared" si="68"/>
        <v>0.28241601621068607</v>
      </c>
      <c r="G586" s="14">
        <f t="shared" si="69"/>
        <v>0</v>
      </c>
      <c r="H586" s="24">
        <f t="shared" si="75"/>
        <v>597.62180664748666</v>
      </c>
      <c r="I586" s="12">
        <f t="shared" si="74"/>
        <v>0.55913854439357724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382.99514872055403</v>
      </c>
      <c r="F587" s="38">
        <f t="shared" si="68"/>
        <v>0.28229586383701483</v>
      </c>
      <c r="G587" s="14">
        <f t="shared" si="69"/>
        <v>0</v>
      </c>
      <c r="H587" s="24">
        <f t="shared" si="75"/>
        <v>597.87616984519832</v>
      </c>
      <c r="I587" s="12">
        <f t="shared" si="74"/>
        <v>0.55861724183838435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383.55376596239239</v>
      </c>
      <c r="F588" s="38">
        <f t="shared" si="68"/>
        <v>0.28217567198718307</v>
      </c>
      <c r="G588" s="14">
        <f t="shared" si="69"/>
        <v>0</v>
      </c>
      <c r="H588" s="24">
        <f t="shared" si="75"/>
        <v>598.13083334016926</v>
      </c>
      <c r="I588" s="12">
        <f t="shared" si="74"/>
        <v>0.55809610261452891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384.1118620650069</v>
      </c>
      <c r="F589" s="38">
        <f t="shared" si="68"/>
        <v>0.28205544047330461</v>
      </c>
      <c r="G589" s="14">
        <f t="shared" si="69"/>
        <v>0</v>
      </c>
      <c r="H589" s="24">
        <f t="shared" si="75"/>
        <v>598.3857980218263</v>
      </c>
      <c r="I589" s="12">
        <f t="shared" si="74"/>
        <v>0.55757512831514389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384.66943719332204</v>
      </c>
      <c r="F590" s="38">
        <f t="shared" si="68"/>
        <v>0.28193516911345851</v>
      </c>
      <c r="G590" s="14">
        <f t="shared" si="69"/>
        <v>0</v>
      </c>
      <c r="H590" s="24">
        <f t="shared" si="75"/>
        <v>598.64106476938025</v>
      </c>
      <c r="I590" s="12">
        <f t="shared" si="74"/>
        <v>0.55705432052927273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385.22649151385133</v>
      </c>
      <c r="F591" s="38">
        <f t="shared" si="68"/>
        <v>0.28181485773164777</v>
      </c>
      <c r="G591" s="14">
        <f t="shared" si="69"/>
        <v>0</v>
      </c>
      <c r="H591" s="24">
        <f t="shared" si="75"/>
        <v>598.89663445186875</v>
      </c>
      <c r="I591" s="12">
        <f t="shared" si="74"/>
        <v>0.5565336808418867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385.78302519469321</v>
      </c>
      <c r="F592" s="38">
        <f t="shared" si="68"/>
        <v>0.28169450615775865</v>
      </c>
      <c r="G592" s="14">
        <f t="shared" si="69"/>
        <v>0</v>
      </c>
      <c r="H592" s="24">
        <f t="shared" si="75"/>
        <v>599.15250792819711</v>
      </c>
      <c r="I592" s="12">
        <f t="shared" si="74"/>
        <v>0.55601321083389821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386.33903840552711</v>
      </c>
      <c r="F593" s="38">
        <f t="shared" si="68"/>
        <v>0.2815741142275201</v>
      </c>
      <c r="G593" s="14">
        <f t="shared" si="69"/>
        <v>0</v>
      </c>
      <c r="H593" s="24">
        <f t="shared" si="75"/>
        <v>599.408686047179</v>
      </c>
      <c r="I593" s="12">
        <f t="shared" si="74"/>
        <v>0.55549291208213358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386.89453131760922</v>
      </c>
      <c r="F594" s="38">
        <f t="shared" si="68"/>
        <v>0.28145368178246216</v>
      </c>
      <c r="G594" s="14">
        <f t="shared" si="69"/>
        <v>0</v>
      </c>
      <c r="H594" s="24">
        <f t="shared" si="75"/>
        <v>599.66516964757955</v>
      </c>
      <c r="I594" s="12">
        <f t="shared" si="74"/>
        <v>0.55497278615936818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387.44950410376862</v>
      </c>
      <c r="F595" s="38">
        <f t="shared" si="68"/>
        <v>0.2813332086698771</v>
      </c>
      <c r="G595" s="14">
        <f t="shared" si="69"/>
        <v>0</v>
      </c>
      <c r="H595" s="24">
        <f t="shared" si="75"/>
        <v>599.92195955815532</v>
      </c>
      <c r="I595" s="12">
        <f t="shared" si="74"/>
        <v>0.55445283463432438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388.00395693840295</v>
      </c>
      <c r="F596" s="38">
        <f t="shared" ref="F596:F659" si="76">Cp*RhoP/(RhoA*H596)*dp/1000*MassivP</f>
        <v>0.28121269474277744</v>
      </c>
      <c r="G596" s="14">
        <f t="shared" ref="G596:G659" si="77">Phi*EpsilonF*Botzman/10^8*J596*((D596+273)^4-(E596+273)^4)</f>
        <v>0</v>
      </c>
      <c r="H596" s="24">
        <f t="shared" si="75"/>
        <v>600.1790565976961</v>
      </c>
      <c r="I596" s="12">
        <f t="shared" si="74"/>
        <v>0.55393305907166046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388.5578899974746</v>
      </c>
      <c r="F597" s="38">
        <f t="shared" si="76"/>
        <v>0.28109213985985665</v>
      </c>
      <c r="G597" s="14">
        <f t="shared" si="77"/>
        <v>0</v>
      </c>
      <c r="H597" s="24">
        <f t="shared" si="75"/>
        <v>600.43646157506669</v>
      </c>
      <c r="I597" s="12">
        <f t="shared" ref="I597:I660" si="82">LambdaP*MassivP/(dp/1000)/(H597*RhoA)/(1+F597/3)*(D597-E597)*DeltaT-(EXP(F597/10)-1)*(D597-D596)</f>
        <v>0.55341346103201272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389.1113034585066</v>
      </c>
      <c r="F598" s="38">
        <f t="shared" si="76"/>
        <v>0.28097154388544821</v>
      </c>
      <c r="G598" s="14">
        <f t="shared" si="77"/>
        <v>0</v>
      </c>
      <c r="H598" s="24">
        <f t="shared" si="75"/>
        <v>600.69417528924805</v>
      </c>
      <c r="I598" s="12">
        <f t="shared" si="82"/>
        <v>0.55289404207194293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389.66419750057855</v>
      </c>
      <c r="F599" s="38">
        <f t="shared" si="76"/>
        <v>0.28085090668948642</v>
      </c>
      <c r="G599" s="14">
        <f t="shared" si="77"/>
        <v>0</v>
      </c>
      <c r="H599" s="24">
        <f t="shared" si="75"/>
        <v>600.95219852937805</v>
      </c>
      <c r="I599" s="12">
        <f t="shared" si="82"/>
        <v>0.55237480374397696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390.21657230432254</v>
      </c>
      <c r="F600" s="38">
        <f t="shared" si="76"/>
        <v>0.28073022814746573</v>
      </c>
      <c r="G600" s="14">
        <f t="shared" si="77"/>
        <v>0</v>
      </c>
      <c r="H600" s="24">
        <f t="shared" si="75"/>
        <v>601.2105320747936</v>
      </c>
      <c r="I600" s="12">
        <f t="shared" si="82"/>
        <v>0.55185574759664868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390.76842805191922</v>
      </c>
      <c r="F601" s="38">
        <f t="shared" si="76"/>
        <v>0.28060950814040087</v>
      </c>
      <c r="G601" s="14">
        <f t="shared" si="77"/>
        <v>0</v>
      </c>
      <c r="H601" s="24">
        <f t="shared" si="75"/>
        <v>601.46917669507206</v>
      </c>
      <c r="I601" s="12">
        <f t="shared" si="82"/>
        <v>0.55133687517436969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391.31976492709356</v>
      </c>
      <c r="F602" s="38">
        <f t="shared" si="76"/>
        <v>0.28048874655478784</v>
      </c>
      <c r="G602" s="14">
        <f t="shared" si="77"/>
        <v>0</v>
      </c>
      <c r="H602" s="24">
        <f t="shared" si="75"/>
        <v>601.72813315007159</v>
      </c>
      <c r="I602" s="12">
        <f t="shared" si="82"/>
        <v>0.55081818801759663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391.87058311511117</v>
      </c>
      <c r="F603" s="38">
        <f t="shared" si="76"/>
        <v>0.28036794328256348</v>
      </c>
      <c r="G603" s="14">
        <f t="shared" si="77"/>
        <v>0</v>
      </c>
      <c r="H603" s="24">
        <f t="shared" si="75"/>
        <v>601.98740218997295</v>
      </c>
      <c r="I603" s="12">
        <f t="shared" si="82"/>
        <v>0.55029968766270942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392.42088280277386</v>
      </c>
      <c r="F604" s="38">
        <f t="shared" si="76"/>
        <v>0.28024709822106619</v>
      </c>
      <c r="G604" s="14">
        <f t="shared" si="77"/>
        <v>0</v>
      </c>
      <c r="H604" s="24">
        <f t="shared" si="75"/>
        <v>602.24698455532132</v>
      </c>
      <c r="I604" s="12">
        <f t="shared" si="82"/>
        <v>0.54978137564207663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392.97066417841592</v>
      </c>
      <c r="F605" s="38">
        <f t="shared" si="76"/>
        <v>0.28012621127299681</v>
      </c>
      <c r="G605" s="14">
        <f t="shared" si="77"/>
        <v>0</v>
      </c>
      <c r="H605" s="24">
        <f t="shared" si="75"/>
        <v>602.50688097706654</v>
      </c>
      <c r="I605" s="12">
        <f t="shared" si="82"/>
        <v>0.54926325348400518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393.51992743189993</v>
      </c>
      <c r="F606" s="38">
        <f t="shared" si="76"/>
        <v>0.28000528234637873</v>
      </c>
      <c r="G606" s="14">
        <f t="shared" si="77"/>
        <v>0</v>
      </c>
      <c r="H606" s="24">
        <f t="shared" si="75"/>
        <v>602.76709217660516</v>
      </c>
      <c r="I606" s="12">
        <f t="shared" si="82"/>
        <v>0.54874532271281051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394.06867275461275</v>
      </c>
      <c r="F607" s="38">
        <f t="shared" si="76"/>
        <v>0.27988431135451985</v>
      </c>
      <c r="G607" s="14">
        <f t="shared" si="77"/>
        <v>0</v>
      </c>
      <c r="H607" s="24">
        <f t="shared" si="75"/>
        <v>603.02761886582061</v>
      </c>
      <c r="I607" s="12">
        <f t="shared" si="82"/>
        <v>0.54822758484874379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394.61690033946149</v>
      </c>
      <c r="F608" s="38">
        <f t="shared" si="76"/>
        <v>0.27976329821597185</v>
      </c>
      <c r="G608" s="14">
        <f t="shared" si="77"/>
        <v>0</v>
      </c>
      <c r="H608" s="24">
        <f t="shared" si="75"/>
        <v>603.28846174712567</v>
      </c>
      <c r="I608" s="12">
        <f t="shared" si="82"/>
        <v>0.54771004140803492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395.16461038086953</v>
      </c>
      <c r="F609" s="38">
        <f t="shared" si="76"/>
        <v>0.27964224285449285</v>
      </c>
      <c r="G609" s="14">
        <f t="shared" si="77"/>
        <v>0</v>
      </c>
      <c r="H609" s="24">
        <f t="shared" si="75"/>
        <v>603.5496215135023</v>
      </c>
      <c r="I609" s="12">
        <f t="shared" si="82"/>
        <v>0.54719269390289105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395.71180307477243</v>
      </c>
      <c r="F610" s="38">
        <f t="shared" si="76"/>
        <v>0.27952114519900739</v>
      </c>
      <c r="G610" s="14">
        <f t="shared" si="77"/>
        <v>0</v>
      </c>
      <c r="H610" s="24">
        <f t="shared" si="75"/>
        <v>603.81109884854402</v>
      </c>
      <c r="I610" s="12">
        <f t="shared" si="82"/>
        <v>0.54667554384146488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396.25847861861388</v>
      </c>
      <c r="F611" s="38">
        <f t="shared" si="76"/>
        <v>0.27940000518356845</v>
      </c>
      <c r="G611" s="14">
        <f t="shared" si="77"/>
        <v>0</v>
      </c>
      <c r="H611" s="24">
        <f t="shared" si="75"/>
        <v>604.07289442649562</v>
      </c>
      <c r="I611" s="12">
        <f t="shared" si="82"/>
        <v>0.54615859272788236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396.80463721134174</v>
      </c>
      <c r="F612" s="38">
        <f t="shared" si="76"/>
        <v>0.27927882274731852</v>
      </c>
      <c r="G612" s="14">
        <f t="shared" si="77"/>
        <v>0</v>
      </c>
      <c r="H612" s="24">
        <f t="shared" si="75"/>
        <v>604.33500891229528</v>
      </c>
      <c r="I612" s="12">
        <f t="shared" si="82"/>
        <v>0.54564184206223498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397.35027905340399</v>
      </c>
      <c r="F613" s="38">
        <f t="shared" si="76"/>
        <v>0.27915759783445115</v>
      </c>
      <c r="G613" s="14">
        <f t="shared" si="77"/>
        <v>0</v>
      </c>
      <c r="H613" s="24">
        <f t="shared" si="75"/>
        <v>604.59744296161523</v>
      </c>
      <c r="I613" s="12">
        <f t="shared" si="82"/>
        <v>0.54512529334056903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397.89540434674456</v>
      </c>
      <c r="F614" s="38">
        <f t="shared" si="76"/>
        <v>0.27903633039417247</v>
      </c>
      <c r="G614" s="14">
        <f t="shared" si="77"/>
        <v>0</v>
      </c>
      <c r="H614" s="24">
        <f t="shared" si="75"/>
        <v>604.86019722090236</v>
      </c>
      <c r="I614" s="12">
        <f t="shared" si="82"/>
        <v>0.54460894805488802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398.44001329479943</v>
      </c>
      <c r="F615" s="38">
        <f t="shared" si="76"/>
        <v>0.27891502038066329</v>
      </c>
      <c r="G615" s="14">
        <f t="shared" si="77"/>
        <v>0</v>
      </c>
      <c r="H615" s="24">
        <f t="shared" si="75"/>
        <v>605.1232723274203</v>
      </c>
      <c r="I615" s="12">
        <f t="shared" si="82"/>
        <v>0.54409280769315316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398.9841061024926</v>
      </c>
      <c r="F616" s="38">
        <f t="shared" si="76"/>
        <v>0.27879366775304043</v>
      </c>
      <c r="G616" s="14">
        <f t="shared" si="77"/>
        <v>0</v>
      </c>
      <c r="H616" s="24">
        <f t="shared" si="75"/>
        <v>605.38666890928857</v>
      </c>
      <c r="I616" s="12">
        <f t="shared" si="82"/>
        <v>0.5435768737392801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399.52768297623186</v>
      </c>
      <c r="F617" s="38">
        <f t="shared" si="76"/>
        <v>0.27867227247531912</v>
      </c>
      <c r="G617" s="14">
        <f t="shared" si="77"/>
        <v>0</v>
      </c>
      <c r="H617" s="24">
        <f t="shared" si="75"/>
        <v>605.6503875855251</v>
      </c>
      <c r="I617" s="12">
        <f t="shared" si="82"/>
        <v>0.54306114767310965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400.07074412390494</v>
      </c>
      <c r="F618" s="38">
        <f t="shared" si="76"/>
        <v>0.27855083451637491</v>
      </c>
      <c r="G618" s="14">
        <f t="shared" si="77"/>
        <v>0</v>
      </c>
      <c r="H618" s="24">
        <f t="shared" si="75"/>
        <v>605.91442896608623</v>
      </c>
      <c r="I618" s="12">
        <f t="shared" si="82"/>
        <v>0.54254563097045916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400.61328975487538</v>
      </c>
      <c r="F619" s="38">
        <f t="shared" si="76"/>
        <v>0.27842935384990569</v>
      </c>
      <c r="G619" s="14">
        <f t="shared" si="77"/>
        <v>0</v>
      </c>
      <c r="H619" s="24">
        <f t="shared" si="75"/>
        <v>606.17879365190799</v>
      </c>
      <c r="I619" s="12">
        <f t="shared" si="82"/>
        <v>0.54203032510307514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401.15532007997848</v>
      </c>
      <c r="F620" s="38">
        <f t="shared" si="76"/>
        <v>0.27830783045439467</v>
      </c>
      <c r="G620" s="14">
        <f t="shared" si="77"/>
        <v>0</v>
      </c>
      <c r="H620" s="24">
        <f t="shared" si="75"/>
        <v>606.44348223494615</v>
      </c>
      <c r="I620" s="12">
        <f t="shared" si="82"/>
        <v>0.54151523153862946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401.69683531151713</v>
      </c>
      <c r="F621" s="38">
        <f t="shared" si="76"/>
        <v>0.27818626431307164</v>
      </c>
      <c r="G621" s="14">
        <f t="shared" si="77"/>
        <v>0</v>
      </c>
      <c r="H621" s="24">
        <f t="shared" si="75"/>
        <v>606.70849529821817</v>
      </c>
      <c r="I621" s="12">
        <f t="shared" si="82"/>
        <v>0.54100035174073424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402.23783566325784</v>
      </c>
      <c r="F622" s="38">
        <f t="shared" si="76"/>
        <v>0.27806465541387693</v>
      </c>
      <c r="G622" s="14">
        <f t="shared" si="77"/>
        <v>0</v>
      </c>
      <c r="H622" s="24">
        <f t="shared" si="75"/>
        <v>606.97383341584214</v>
      </c>
      <c r="I622" s="12">
        <f t="shared" si="82"/>
        <v>0.5404856871689433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402.77832135042678</v>
      </c>
      <c r="F623" s="38">
        <f t="shared" si="76"/>
        <v>0.27794300374942277</v>
      </c>
      <c r="G623" s="14">
        <f t="shared" si="77"/>
        <v>0</v>
      </c>
      <c r="H623" s="24">
        <f t="shared" si="75"/>
        <v>607.23949715307992</v>
      </c>
      <c r="I623" s="12">
        <f t="shared" si="82"/>
        <v>0.5399712392786955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403.31829258970549</v>
      </c>
      <c r="F624" s="38">
        <f t="shared" si="76"/>
        <v>0.27782130931695709</v>
      </c>
      <c r="G624" s="14">
        <f t="shared" si="77"/>
        <v>0</v>
      </c>
      <c r="H624" s="24">
        <f t="shared" si="75"/>
        <v>607.50548706637505</v>
      </c>
      <c r="I624" s="12">
        <f t="shared" si="82"/>
        <v>0.53945700952138798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403.85774959922691</v>
      </c>
      <c r="F625" s="38">
        <f t="shared" si="76"/>
        <v>0.27769957211832602</v>
      </c>
      <c r="G625" s="14">
        <f t="shared" si="77"/>
        <v>0</v>
      </c>
      <c r="H625" s="24">
        <f t="shared" si="75"/>
        <v>607.77180370339511</v>
      </c>
      <c r="I625" s="12">
        <f t="shared" si="82"/>
        <v>0.53894299934431866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404.39669259857124</v>
      </c>
      <c r="F626" s="38">
        <f t="shared" si="76"/>
        <v>0.27757779215993661</v>
      </c>
      <c r="G626" s="14">
        <f t="shared" si="77"/>
        <v>0</v>
      </c>
      <c r="H626" s="24">
        <f t="shared" si="75"/>
        <v>608.0384476030722</v>
      </c>
      <c r="I626" s="12">
        <f t="shared" si="82"/>
        <v>0.53842921019066481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404.93512180876189</v>
      </c>
      <c r="F627" s="38">
        <f t="shared" si="76"/>
        <v>0.27745596945272033</v>
      </c>
      <c r="G627" s="14">
        <f t="shared" si="77"/>
        <v>0</v>
      </c>
      <c r="H627" s="24">
        <f t="shared" si="75"/>
        <v>608.30541929564265</v>
      </c>
      <c r="I627" s="12">
        <f t="shared" si="82"/>
        <v>0.53791564349954968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405.47303745226145</v>
      </c>
      <c r="F628" s="38">
        <f t="shared" si="76"/>
        <v>0.27733410401209674</v>
      </c>
      <c r="G628" s="14">
        <f t="shared" si="77"/>
        <v>0</v>
      </c>
      <c r="H628" s="24">
        <f t="shared" si="75"/>
        <v>608.57271930268757</v>
      </c>
      <c r="I628" s="12">
        <f t="shared" si="82"/>
        <v>0.53740230070596018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406.01043975296739</v>
      </c>
      <c r="F629" s="38">
        <f t="shared" si="76"/>
        <v>0.27721219585793566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608.84034813717426</v>
      </c>
      <c r="I629" s="12">
        <f t="shared" si="82"/>
        <v>0.53688918324077983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406.54732893620815</v>
      </c>
      <c r="F630" s="38">
        <f t="shared" si="76"/>
        <v>0.27709024501452195</v>
      </c>
      <c r="G630" s="14">
        <f t="shared" si="77"/>
        <v>0</v>
      </c>
      <c r="H630" s="24">
        <f t="shared" si="83"/>
        <v>609.10830630349551</v>
      </c>
      <c r="I630" s="12">
        <f t="shared" si="82"/>
        <v>0.53637629253078456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407.08370522873895</v>
      </c>
      <c r="F631" s="38">
        <f t="shared" si="76"/>
        <v>0.27696825151051851</v>
      </c>
      <c r="G631" s="14">
        <f t="shared" si="77"/>
        <v>0</v>
      </c>
      <c r="H631" s="24">
        <f t="shared" si="83"/>
        <v>609.37659429751056</v>
      </c>
      <c r="I631" s="12">
        <f t="shared" si="82"/>
        <v>0.53586362999860648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407.61956885873758</v>
      </c>
      <c r="F632" s="38">
        <f t="shared" si="76"/>
        <v>0.27684621537892989</v>
      </c>
      <c r="G632" s="14">
        <f t="shared" si="77"/>
        <v>0</v>
      </c>
      <c r="H632" s="24">
        <f t="shared" si="83"/>
        <v>609.64521260658478</v>
      </c>
      <c r="I632" s="12">
        <f t="shared" si="82"/>
        <v>0.53535119706278322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408.15492005580035</v>
      </c>
      <c r="F633" s="38">
        <f t="shared" si="76"/>
        <v>0.27672413665706663</v>
      </c>
      <c r="G633" s="14">
        <f t="shared" si="77"/>
        <v>0</v>
      </c>
      <c r="H633" s="24">
        <f t="shared" si="83"/>
        <v>609.91416170963066</v>
      </c>
      <c r="I633" s="12">
        <f t="shared" si="82"/>
        <v>0.53483899513767974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408.68975905093805</v>
      </c>
      <c r="F634" s="38">
        <f t="shared" si="76"/>
        <v>0.27660201538650886</v>
      </c>
      <c r="G634" s="14">
        <f t="shared" si="77"/>
        <v>0</v>
      </c>
      <c r="H634" s="24">
        <f t="shared" si="83"/>
        <v>610.18344207714745</v>
      </c>
      <c r="I634" s="12">
        <f t="shared" si="82"/>
        <v>0.53432702563352219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409.22408607657155</v>
      </c>
      <c r="F635" s="38">
        <f t="shared" si="76"/>
        <v>0.27647985161307054</v>
      </c>
      <c r="G635" s="14">
        <f t="shared" si="77"/>
        <v>0</v>
      </c>
      <c r="H635" s="24">
        <f t="shared" si="83"/>
        <v>610.45305417126156</v>
      </c>
      <c r="I635" s="12">
        <f t="shared" si="82"/>
        <v>0.53381528995641558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409.75790136652796</v>
      </c>
      <c r="F636" s="38">
        <f t="shared" si="76"/>
        <v>0.2763576453867635</v>
      </c>
      <c r="G636" s="14">
        <f t="shared" si="77"/>
        <v>0</v>
      </c>
      <c r="H636" s="24">
        <f t="shared" si="83"/>
        <v>610.72299844576662</v>
      </c>
      <c r="I636" s="12">
        <f t="shared" si="82"/>
        <v>0.53330378950827417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410.29120515603626</v>
      </c>
      <c r="F637" s="38">
        <f t="shared" si="76"/>
        <v>0.2762353967617624</v>
      </c>
      <c r="G637" s="14">
        <f t="shared" si="77"/>
        <v>0</v>
      </c>
      <c r="H637" s="24">
        <f t="shared" si="83"/>
        <v>610.99327534616305</v>
      </c>
      <c r="I637" s="12">
        <f t="shared" si="82"/>
        <v>0.53279252568686508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410.82399768172314</v>
      </c>
      <c r="F638" s="38">
        <f t="shared" si="76"/>
        <v>0.27611310579636822</v>
      </c>
      <c r="G638" s="14">
        <f t="shared" si="77"/>
        <v>0</v>
      </c>
      <c r="H638" s="24">
        <f t="shared" si="83"/>
        <v>611.26388530969928</v>
      </c>
      <c r="I638" s="12">
        <f t="shared" si="82"/>
        <v>0.53228149988576912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411.3562791816089</v>
      </c>
      <c r="F639" s="38">
        <f t="shared" si="76"/>
        <v>0.27599077255297383</v>
      </c>
      <c r="G639" s="14">
        <f t="shared" si="77"/>
        <v>0</v>
      </c>
      <c r="H639" s="24">
        <f t="shared" si="83"/>
        <v>611.53482876541011</v>
      </c>
      <c r="I639" s="12">
        <f t="shared" si="82"/>
        <v>0.53177071349441196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411.88804989510334</v>
      </c>
      <c r="F640" s="38">
        <f t="shared" si="76"/>
        <v>0.27586839709802785</v>
      </c>
      <c r="G640" s="14">
        <f t="shared" si="77"/>
        <v>0</v>
      </c>
      <c r="H640" s="24">
        <f t="shared" si="83"/>
        <v>611.80610613415797</v>
      </c>
      <c r="I640" s="12">
        <f t="shared" si="82"/>
        <v>0.53126016789800257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412.41931006300132</v>
      </c>
      <c r="F641" s="38">
        <f t="shared" si="76"/>
        <v>0.27574597950200036</v>
      </c>
      <c r="G641" s="14">
        <f t="shared" si="77"/>
        <v>0</v>
      </c>
      <c r="H641" s="24">
        <f t="shared" si="83"/>
        <v>612.07771782867167</v>
      </c>
      <c r="I641" s="12">
        <f t="shared" si="82"/>
        <v>0.53074986447756556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412.95005992747889</v>
      </c>
      <c r="F642" s="38">
        <f t="shared" si="76"/>
        <v>0.27562351983934708</v>
      </c>
      <c r="G642" s="14">
        <f t="shared" si="77"/>
        <v>0</v>
      </c>
      <c r="H642" s="24">
        <f t="shared" si="83"/>
        <v>612.34966425358709</v>
      </c>
      <c r="I642" s="12">
        <f t="shared" si="82"/>
        <v>0.53023980460992548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413.48029973208884</v>
      </c>
      <c r="F643" s="38">
        <f t="shared" si="76"/>
        <v>0.27550101818847472</v>
      </c>
      <c r="G643" s="14">
        <f t="shared" si="77"/>
        <v>0</v>
      </c>
      <c r="H643" s="24">
        <f t="shared" si="83"/>
        <v>612.62194580548635</v>
      </c>
      <c r="I643" s="12">
        <f t="shared" si="82"/>
        <v>0.52972998966769191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414.01002972175655</v>
      </c>
      <c r="F644" s="38">
        <f t="shared" si="76"/>
        <v>0.27537847463170645</v>
      </c>
      <c r="G644" s="14">
        <f t="shared" si="77"/>
        <v>0</v>
      </c>
      <c r="H644" s="24">
        <f t="shared" si="83"/>
        <v>612.89456287293763</v>
      </c>
      <c r="I644" s="12">
        <f t="shared" si="82"/>
        <v>0.52922042101925759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414.53925014277581</v>
      </c>
      <c r="F645" s="38">
        <f t="shared" si="76"/>
        <v>0.27525588925524686</v>
      </c>
      <c r="G645" s="14">
        <f t="shared" si="77"/>
        <v>0</v>
      </c>
      <c r="H645" s="24">
        <f t="shared" si="83"/>
        <v>613.16751583653502</v>
      </c>
      <c r="I645" s="12">
        <f t="shared" si="82"/>
        <v>0.5287111000287783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415.06796124280459</v>
      </c>
      <c r="F646" s="38">
        <f t="shared" si="76"/>
        <v>0.27513326214914752</v>
      </c>
      <c r="G646" s="14">
        <f t="shared" si="77"/>
        <v>0</v>
      </c>
      <c r="H646" s="24">
        <f t="shared" si="83"/>
        <v>613.44080506893738</v>
      </c>
      <c r="I646" s="12">
        <f t="shared" si="82"/>
        <v>0.52820202805618544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415.59616327086076</v>
      </c>
      <c r="F647" s="38">
        <f t="shared" si="76"/>
        <v>0.27501059340727296</v>
      </c>
      <c r="G647" s="14">
        <f t="shared" si="77"/>
        <v>0</v>
      </c>
      <c r="H647" s="24">
        <f t="shared" si="83"/>
        <v>613.71443093490871</v>
      </c>
      <c r="I647" s="12">
        <f t="shared" si="82"/>
        <v>0.52769320645716522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416.12385647731793</v>
      </c>
      <c r="F648" s="38">
        <f t="shared" si="76"/>
        <v>0.27488788312726542</v>
      </c>
      <c r="G648" s="14">
        <f t="shared" si="77"/>
        <v>0</v>
      </c>
      <c r="H648" s="24">
        <f t="shared" si="83"/>
        <v>613.98839379135734</v>
      </c>
      <c r="I648" s="12">
        <f t="shared" si="82"/>
        <v>0.52718463658313008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416.65104111390104</v>
      </c>
      <c r="F649" s="38">
        <f t="shared" si="76"/>
        <v>0.27476513141051184</v>
      </c>
      <c r="G649" s="14">
        <f t="shared" si="77"/>
        <v>0</v>
      </c>
      <c r="H649" s="24">
        <f t="shared" si="83"/>
        <v>614.26269398737486</v>
      </c>
      <c r="I649" s="12">
        <f t="shared" si="82"/>
        <v>0.52667631978124563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417.17771743368229</v>
      </c>
      <c r="F650" s="38">
        <f t="shared" si="76"/>
        <v>0.27464233836210905</v>
      </c>
      <c r="G650" s="14">
        <f t="shared" si="77"/>
        <v>0</v>
      </c>
      <c r="H650" s="24">
        <f t="shared" si="83"/>
        <v>614.53733186427553</v>
      </c>
      <c r="I650" s="12">
        <f t="shared" si="82"/>
        <v>0.52616825739442641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417.70388569107672</v>
      </c>
      <c r="F651" s="38">
        <f t="shared" si="76"/>
        <v>0.27451950409082981</v>
      </c>
      <c r="G651" s="14">
        <f t="shared" si="77"/>
        <v>0</v>
      </c>
      <c r="H651" s="24">
        <f t="shared" si="83"/>
        <v>614.81230775563677</v>
      </c>
      <c r="I651" s="12">
        <f t="shared" si="82"/>
        <v>0.52566045076126255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418.229546141838</v>
      </c>
      <c r="F652" s="38">
        <f t="shared" si="76"/>
        <v>0.27439662870908971</v>
      </c>
      <c r="G652" s="14">
        <f t="shared" si="77"/>
        <v>0</v>
      </c>
      <c r="H652" s="24">
        <f t="shared" si="83"/>
        <v>615.08762198733643</v>
      </c>
      <c r="I652" s="12">
        <f t="shared" si="82"/>
        <v>0.52515290121609515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418.75469904305407</v>
      </c>
      <c r="F653" s="38">
        <f t="shared" si="76"/>
        <v>0.27427371233291259</v>
      </c>
      <c r="G653" s="14">
        <f t="shared" si="77"/>
        <v>0</v>
      </c>
      <c r="H653" s="24">
        <f t="shared" si="83"/>
        <v>615.36327487759354</v>
      </c>
      <c r="I653" s="12">
        <f t="shared" si="82"/>
        <v>0.52464561008896338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419.27934465314303</v>
      </c>
      <c r="F654" s="38">
        <f t="shared" si="76"/>
        <v>0.27415075508189773</v>
      </c>
      <c r="G654" s="14">
        <f t="shared" si="77"/>
        <v>0</v>
      </c>
      <c r="H654" s="24">
        <f t="shared" si="83"/>
        <v>615.63926673700621</v>
      </c>
      <c r="I654" s="12">
        <f t="shared" si="82"/>
        <v>0.52413857870556146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419.80348323184859</v>
      </c>
      <c r="F655" s="38">
        <f t="shared" si="76"/>
        <v>0.27402775707918603</v>
      </c>
      <c r="G655" s="14">
        <f t="shared" si="77"/>
        <v>0</v>
      </c>
      <c r="H655" s="24">
        <f t="shared" si="83"/>
        <v>615.9155978685917</v>
      </c>
      <c r="I655" s="12">
        <f t="shared" si="82"/>
        <v>0.52363180838733048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420.32711504023592</v>
      </c>
      <c r="F656" s="38">
        <f t="shared" si="76"/>
        <v>0.27390471845142694</v>
      </c>
      <c r="G656" s="14">
        <f t="shared" si="77"/>
        <v>0</v>
      </c>
      <c r="H656" s="24">
        <f t="shared" si="83"/>
        <v>616.19226856782461</v>
      </c>
      <c r="I656" s="12">
        <f t="shared" si="82"/>
        <v>0.52312530045133909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420.85024034068726</v>
      </c>
      <c r="F657" s="38">
        <f t="shared" si="76"/>
        <v>0.27378163932874511</v>
      </c>
      <c r="G657" s="14">
        <f t="shared" si="77"/>
        <v>0</v>
      </c>
      <c r="H657" s="24">
        <f t="shared" si="83"/>
        <v>616.46927912267631</v>
      </c>
      <c r="I657" s="12">
        <f t="shared" si="82"/>
        <v>0.52261905621035387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421.37285939689764</v>
      </c>
      <c r="F658" s="38">
        <f t="shared" si="76"/>
        <v>0.27365851984470746</v>
      </c>
      <c r="G658" s="14">
        <f t="shared" si="77"/>
        <v>0</v>
      </c>
      <c r="H658" s="24">
        <f t="shared" si="83"/>
        <v>616.74662981365327</v>
      </c>
      <c r="I658" s="12">
        <f t="shared" si="82"/>
        <v>0.5221130769727621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421.89497247387038</v>
      </c>
      <c r="F659" s="38">
        <f t="shared" si="76"/>
        <v>0.27353536013629032</v>
      </c>
      <c r="G659" s="14">
        <f t="shared" si="77"/>
        <v>0</v>
      </c>
      <c r="H659" s="24">
        <f t="shared" si="83"/>
        <v>617.02432091383582</v>
      </c>
      <c r="I659" s="12">
        <f t="shared" si="82"/>
        <v>0.5216073640426564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422.41657983791305</v>
      </c>
      <c r="F660" s="38">
        <f t="shared" ref="F660:F723" si="84">Cp*RhoP/(RhoA*H660)*dp/1000*MassivP</f>
        <v>0.27341216034384663</v>
      </c>
      <c r="G660" s="14">
        <f t="shared" ref="G660:G723" si="85">Phi*EpsilonF*Botzman/10^8*J660*((D660+273)^4-(E660+273)^4)</f>
        <v>0</v>
      </c>
      <c r="H660" s="24">
        <f t="shared" si="83"/>
        <v>617.30235268891761</v>
      </c>
      <c r="I660" s="12">
        <f t="shared" si="82"/>
        <v>0.52110191871971301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422.93768175663274</v>
      </c>
      <c r="F661" s="38">
        <f t="shared" si="84"/>
        <v>0.27328892061107285</v>
      </c>
      <c r="G661" s="14">
        <f t="shared" si="85"/>
        <v>0</v>
      </c>
      <c r="H661" s="24">
        <f t="shared" si="83"/>
        <v>617.58072539724367</v>
      </c>
      <c r="I661" s="12">
        <f t="shared" ref="I661:I724" si="90">LambdaP*MassivP/(dp/1000)/(H661*RhoA)/(1+F661/3)*(D661-E661)*DeltaT-(EXP(F661/10)-1)*(D661-D660)</f>
        <v>0.52059674229927522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423.45827849893203</v>
      </c>
      <c r="F662" s="38">
        <f t="shared" si="84"/>
        <v>0.27316564108497732</v>
      </c>
      <c r="G662" s="14">
        <f t="shared" si="85"/>
        <v>0</v>
      </c>
      <c r="H662" s="24">
        <f t="shared" si="83"/>
        <v>617.85943928984841</v>
      </c>
      <c r="I662" s="12">
        <f t="shared" si="90"/>
        <v>0.52009183607230081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423.97837033500434</v>
      </c>
      <c r="F663" s="38">
        <f t="shared" si="84"/>
        <v>0.2730423219158471</v>
      </c>
      <c r="G663" s="14">
        <f t="shared" si="85"/>
        <v>0</v>
      </c>
      <c r="H663" s="24">
        <f t="shared" si="83"/>
        <v>618.13849461049563</v>
      </c>
      <c r="I663" s="12">
        <f t="shared" si="90"/>
        <v>0.51958720132534342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424.49795753632969</v>
      </c>
      <c r="F664" s="38">
        <f t="shared" si="84"/>
        <v>0.27291896325721604</v>
      </c>
      <c r="G664" s="14">
        <f t="shared" si="85"/>
        <v>0</v>
      </c>
      <c r="H664" s="24">
        <f t="shared" si="83"/>
        <v>618.41789159571533</v>
      </c>
      <c r="I664" s="12">
        <f t="shared" si="90"/>
        <v>0.51908283934058841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425.01704037567026</v>
      </c>
      <c r="F665" s="38">
        <f t="shared" si="84"/>
        <v>0.27279556526583271</v>
      </c>
      <c r="G665" s="14">
        <f t="shared" si="85"/>
        <v>0</v>
      </c>
      <c r="H665" s="24">
        <f t="shared" si="83"/>
        <v>618.69763047484298</v>
      </c>
      <c r="I665" s="12">
        <f t="shared" si="90"/>
        <v>0.51857875139578613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425.53561912706607</v>
      </c>
      <c r="F666" s="38">
        <f t="shared" si="84"/>
        <v>0.27267212810162778</v>
      </c>
      <c r="G666" s="14">
        <f t="shared" si="85"/>
        <v>0</v>
      </c>
      <c r="H666" s="24">
        <f t="shared" si="83"/>
        <v>618.97771147005801</v>
      </c>
      <c r="I666" s="12">
        <f t="shared" si="90"/>
        <v>0.51807493876428889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426.05369406583037</v>
      </c>
      <c r="F667" s="38">
        <f t="shared" si="84"/>
        <v>0.27254865192768313</v>
      </c>
      <c r="G667" s="14">
        <f t="shared" si="85"/>
        <v>0</v>
      </c>
      <c r="H667" s="24">
        <f t="shared" si="83"/>
        <v>619.25813479642113</v>
      </c>
      <c r="I667" s="12">
        <f t="shared" si="90"/>
        <v>0.51757140271504343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426.57126546854539</v>
      </c>
      <c r="F668" s="38">
        <f t="shared" si="84"/>
        <v>0.27242513691019943</v>
      </c>
      <c r="G668" s="14">
        <f t="shared" si="85"/>
        <v>0</v>
      </c>
      <c r="H668" s="24">
        <f t="shared" si="83"/>
        <v>619.53890066191298</v>
      </c>
      <c r="I668" s="12">
        <f t="shared" si="90"/>
        <v>0.51706814451251193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427.0883336130579</v>
      </c>
      <c r="F669" s="38">
        <f t="shared" si="84"/>
        <v>0.27230158321846437</v>
      </c>
      <c r="G669" s="14">
        <f t="shared" si="85"/>
        <v>0</v>
      </c>
      <c r="H669" s="24">
        <f t="shared" si="83"/>
        <v>619.82000926747276</v>
      </c>
      <c r="I669" s="12">
        <f t="shared" si="90"/>
        <v>0.51656516541676523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427.60489877847465</v>
      </c>
      <c r="F670" s="38">
        <f t="shared" si="84"/>
        <v>0.27217799102482182</v>
      </c>
      <c r="G670" s="14">
        <f t="shared" si="85"/>
        <v>0</v>
      </c>
      <c r="H670" s="24">
        <f t="shared" si="83"/>
        <v>620.10146080703498</v>
      </c>
      <c r="I670" s="12">
        <f t="shared" si="90"/>
        <v>0.51606246668340761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428.12096124515807</v>
      </c>
      <c r="F671" s="38">
        <f t="shared" si="84"/>
        <v>0.27205436050464005</v>
      </c>
      <c r="G671" s="14">
        <f t="shared" si="85"/>
        <v>0</v>
      </c>
      <c r="H671" s="24">
        <f t="shared" si="83"/>
        <v>620.38325546756846</v>
      </c>
      <c r="I671" s="12">
        <f t="shared" si="90"/>
        <v>0.51556004956354973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428.6365212947216</v>
      </c>
      <c r="F672" s="38">
        <f t="shared" si="84"/>
        <v>0.27193069183628027</v>
      </c>
      <c r="G672" s="14">
        <f t="shared" si="85"/>
        <v>0</v>
      </c>
      <c r="H672" s="24">
        <f t="shared" si="83"/>
        <v>620.66539342911403</v>
      </c>
      <c r="I672" s="12">
        <f t="shared" si="90"/>
        <v>0.51505791530388456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429.15157921002549</v>
      </c>
      <c r="F673" s="38">
        <f t="shared" si="84"/>
        <v>0.27180698520106628</v>
      </c>
      <c r="G673" s="14">
        <f t="shared" si="85"/>
        <v>0</v>
      </c>
      <c r="H673" s="24">
        <f t="shared" si="83"/>
        <v>620.94787486482142</v>
      </c>
      <c r="I673" s="12">
        <f t="shared" si="90"/>
        <v>0.51455606514661212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429.66613527517211</v>
      </c>
      <c r="F674" s="38">
        <f t="shared" si="84"/>
        <v>0.27168324078325257</v>
      </c>
      <c r="G674" s="14">
        <f t="shared" si="85"/>
        <v>0</v>
      </c>
      <c r="H674" s="24">
        <f t="shared" si="83"/>
        <v>621.2306999409883</v>
      </c>
      <c r="I674" s="12">
        <f t="shared" si="90"/>
        <v>0.51405450032940792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430.1801897755015</v>
      </c>
      <c r="F675" s="38">
        <f t="shared" si="84"/>
        <v>0.27155945876999421</v>
      </c>
      <c r="G675" s="14">
        <f t="shared" si="85"/>
        <v>0</v>
      </c>
      <c r="H675" s="24">
        <f t="shared" si="83"/>
        <v>621.51386881709709</v>
      </c>
      <c r="I675" s="12">
        <f t="shared" si="90"/>
        <v>0.51355322208549026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430.69374299758698</v>
      </c>
      <c r="F676" s="38">
        <f t="shared" si="84"/>
        <v>0.27143563935131587</v>
      </c>
      <c r="G676" s="14">
        <f t="shared" si="85"/>
        <v>0</v>
      </c>
      <c r="H676" s="24">
        <f t="shared" si="83"/>
        <v>621.7973816458524</v>
      </c>
      <c r="I676" s="12">
        <f t="shared" si="90"/>
        <v>0.51305223164356584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431.20679522923052</v>
      </c>
      <c r="F677" s="38">
        <f t="shared" si="84"/>
        <v>0.27131178272008094</v>
      </c>
      <c r="G677" s="14">
        <f t="shared" si="85"/>
        <v>0</v>
      </c>
      <c r="H677" s="24">
        <f t="shared" si="83"/>
        <v>622.08123857321914</v>
      </c>
      <c r="I677" s="12">
        <f t="shared" si="90"/>
        <v>0.51255153022781241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431.71934675945835</v>
      </c>
      <c r="F678" s="38">
        <f t="shared" si="84"/>
        <v>0.2711878890719619</v>
      </c>
      <c r="G678" s="14">
        <f t="shared" si="85"/>
        <v>0</v>
      </c>
      <c r="H678" s="24">
        <f t="shared" si="83"/>
        <v>622.36543973845937</v>
      </c>
      <c r="I678" s="12">
        <f t="shared" si="90"/>
        <v>0.51205111905789436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432.23139787851625</v>
      </c>
      <c r="F679" s="38">
        <f t="shared" si="84"/>
        <v>0.27106395860540894</v>
      </c>
      <c r="G679" s="14">
        <f t="shared" si="85"/>
        <v>0</v>
      </c>
      <c r="H679" s="24">
        <f t="shared" si="83"/>
        <v>622.64998527416981</v>
      </c>
      <c r="I679" s="12">
        <f t="shared" si="90"/>
        <v>0.51155099934894177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432.74294887786522</v>
      </c>
      <c r="F680" s="38">
        <f t="shared" si="84"/>
        <v>0.27093999152162079</v>
      </c>
      <c r="G680" s="14">
        <f t="shared" si="85"/>
        <v>0</v>
      </c>
      <c r="H680" s="24">
        <f t="shared" si="83"/>
        <v>622.93487530631933</v>
      </c>
      <c r="I680" s="12">
        <f t="shared" si="90"/>
        <v>0.5110511723115323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433.25400005017673</v>
      </c>
      <c r="F681" s="38">
        <f t="shared" si="84"/>
        <v>0.2708159880245139</v>
      </c>
      <c r="G681" s="14">
        <f t="shared" si="85"/>
        <v>0</v>
      </c>
      <c r="H681" s="24">
        <f t="shared" si="83"/>
        <v>623.2201099542857</v>
      </c>
      <c r="I681" s="12">
        <f t="shared" si="90"/>
        <v>0.51055163915172319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433.76455168932847</v>
      </c>
      <c r="F682" s="38">
        <f t="shared" si="84"/>
        <v>0.27069194832069277</v>
      </c>
      <c r="G682" s="14">
        <f t="shared" si="85"/>
        <v>0</v>
      </c>
      <c r="H682" s="24">
        <f t="shared" si="83"/>
        <v>623.50568933089312</v>
      </c>
      <c r="I682" s="12">
        <f t="shared" si="90"/>
        <v>0.51005240107096761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434.27460409039946</v>
      </c>
      <c r="F683" s="38">
        <f t="shared" si="84"/>
        <v>0.27056787261942056</v>
      </c>
      <c r="G683" s="14">
        <f t="shared" si="85"/>
        <v>0</v>
      </c>
      <c r="H683" s="24">
        <f t="shared" si="83"/>
        <v>623.79161354244866</v>
      </c>
      <c r="I683" s="12">
        <f t="shared" si="90"/>
        <v>0.50955345926620055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434.78415754966568</v>
      </c>
      <c r="F684" s="38">
        <f t="shared" si="84"/>
        <v>0.27044376113258878</v>
      </c>
      <c r="G684" s="14">
        <f t="shared" si="85"/>
        <v>0</v>
      </c>
      <c r="H684" s="24">
        <f t="shared" si="83"/>
        <v>624.07788268877948</v>
      </c>
      <c r="I684" s="12">
        <f t="shared" si="90"/>
        <v>0.50905481492974236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435.29321236459543</v>
      </c>
      <c r="F685" s="38">
        <f t="shared" si="84"/>
        <v>0.27031961407468807</v>
      </c>
      <c r="G685" s="14">
        <f t="shared" si="85"/>
        <v>0</v>
      </c>
      <c r="H685" s="24">
        <f t="shared" si="83"/>
        <v>624.36449686327046</v>
      </c>
      <c r="I685" s="12">
        <f t="shared" si="90"/>
        <v>0.50855646924934106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435.80176883384479</v>
      </c>
      <c r="F686" s="38">
        <f t="shared" si="84"/>
        <v>0.27019543166277904</v>
      </c>
      <c r="G686" s="14">
        <f t="shared" si="85"/>
        <v>0</v>
      </c>
      <c r="H686" s="24">
        <f t="shared" si="83"/>
        <v>624.65145615289919</v>
      </c>
      <c r="I686" s="12">
        <f t="shared" si="90"/>
        <v>0.5080584234081581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436.30982725725295</v>
      </c>
      <c r="F687" s="38">
        <f t="shared" si="84"/>
        <v>0.2700712141164624</v>
      </c>
      <c r="G687" s="14">
        <f t="shared" si="85"/>
        <v>0</v>
      </c>
      <c r="H687" s="24">
        <f t="shared" si="83"/>
        <v>624.93876063827452</v>
      </c>
      <c r="I687" s="12">
        <f t="shared" si="90"/>
        <v>0.50756067858473519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436.8173879358377</v>
      </c>
      <c r="F688" s="38">
        <f t="shared" si="84"/>
        <v>0.26994696165785043</v>
      </c>
      <c r="G688" s="14">
        <f t="shared" si="85"/>
        <v>0</v>
      </c>
      <c r="H688" s="24">
        <f t="shared" si="83"/>
        <v>625.22641039367204</v>
      </c>
      <c r="I688" s="12">
        <f t="shared" si="90"/>
        <v>0.50706323595302349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437.32445117179071</v>
      </c>
      <c r="F689" s="38">
        <f t="shared" si="84"/>
        <v>0.26982267451153796</v>
      </c>
      <c r="G689" s="14">
        <f t="shared" si="85"/>
        <v>0</v>
      </c>
      <c r="H689" s="24">
        <f t="shared" si="83"/>
        <v>625.51440548707069</v>
      </c>
      <c r="I689" s="12">
        <f t="shared" si="90"/>
        <v>0.5065660966823522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437.83101726847309</v>
      </c>
      <c r="F690" s="38">
        <f t="shared" si="84"/>
        <v>0.26969835290457289</v>
      </c>
      <c r="G690" s="14">
        <f t="shared" si="85"/>
        <v>0</v>
      </c>
      <c r="H690" s="24">
        <f t="shared" si="83"/>
        <v>625.80274598018991</v>
      </c>
      <c r="I690" s="12">
        <f t="shared" si="90"/>
        <v>0.5060692619374042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438.33708653041049</v>
      </c>
      <c r="F691" s="38">
        <f t="shared" si="84"/>
        <v>0.26957399706642826</v>
      </c>
      <c r="G691" s="14">
        <f t="shared" si="85"/>
        <v>0</v>
      </c>
      <c r="H691" s="24">
        <f t="shared" si="83"/>
        <v>626.09143192852514</v>
      </c>
      <c r="I691" s="12">
        <f t="shared" si="90"/>
        <v>0.50557273287823734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438.84265926328874</v>
      </c>
      <c r="F692" s="38">
        <f t="shared" si="84"/>
        <v>0.26944960722897282</v>
      </c>
      <c r="G692" s="14">
        <f t="shared" si="85"/>
        <v>0</v>
      </c>
      <c r="H692" s="24">
        <f t="shared" si="83"/>
        <v>626.38046338138452</v>
      </c>
      <c r="I692" s="12">
        <f t="shared" si="90"/>
        <v>0.50507651066028214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439.34773577394901</v>
      </c>
      <c r="F693" s="38">
        <f t="shared" si="84"/>
        <v>0.26932518362644364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626.66984038192493</v>
      </c>
      <c r="I693" s="12">
        <f t="shared" si="90"/>
        <v>0.50458059643430198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439.85231637038333</v>
      </c>
      <c r="F694" s="38">
        <f t="shared" si="84"/>
        <v>0.26920072649541649</v>
      </c>
      <c r="G694" s="14">
        <f t="shared" si="85"/>
        <v>0</v>
      </c>
      <c r="H694" s="24">
        <f t="shared" si="91"/>
        <v>626.95956296718873</v>
      </c>
      <c r="I694" s="12">
        <f t="shared" si="90"/>
        <v>0.50408499134639084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440.35640136172975</v>
      </c>
      <c r="F695" s="38">
        <f t="shared" si="84"/>
        <v>0.26907623607477904</v>
      </c>
      <c r="G695" s="14">
        <f t="shared" si="85"/>
        <v>0</v>
      </c>
      <c r="H695" s="24">
        <f t="shared" si="91"/>
        <v>627.24963116813831</v>
      </c>
      <c r="I695" s="12">
        <f t="shared" si="90"/>
        <v>0.50358969653798336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440.85999105826772</v>
      </c>
      <c r="F696" s="38">
        <f t="shared" si="84"/>
        <v>0.26895171260570155</v>
      </c>
      <c r="G696" s="14">
        <f t="shared" si="85"/>
        <v>0</v>
      </c>
      <c r="H696" s="24">
        <f t="shared" si="91"/>
        <v>627.54004500969359</v>
      </c>
      <c r="I696" s="12">
        <f t="shared" si="90"/>
        <v>0.50309471314585819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441.36308577141358</v>
      </c>
      <c r="F697" s="38">
        <f t="shared" si="84"/>
        <v>0.26882715633160942</v>
      </c>
      <c r="G697" s="14">
        <f t="shared" si="85"/>
        <v>0</v>
      </c>
      <c r="H697" s="24">
        <f t="shared" si="91"/>
        <v>627.83080451076705</v>
      </c>
      <c r="I697" s="12">
        <f t="shared" si="90"/>
        <v>0.50260004230208299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441.86568581371569</v>
      </c>
      <c r="F698" s="38">
        <f t="shared" si="84"/>
        <v>0.2687025674981558</v>
      </c>
      <c r="G698" s="14">
        <f t="shared" si="85"/>
        <v>0</v>
      </c>
      <c r="H698" s="24">
        <f t="shared" si="91"/>
        <v>628.12190968429968</v>
      </c>
      <c r="I698" s="12">
        <f t="shared" si="90"/>
        <v>0.50210568513403619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442.36779149884973</v>
      </c>
      <c r="F699" s="38">
        <f t="shared" si="84"/>
        <v>0.26857794635319349</v>
      </c>
      <c r="G699" s="14">
        <f t="shared" si="85"/>
        <v>0</v>
      </c>
      <c r="H699" s="24">
        <f t="shared" si="91"/>
        <v>628.41336053729651</v>
      </c>
      <c r="I699" s="12">
        <f t="shared" si="90"/>
        <v>0.50161164276442094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442.86940314161416</v>
      </c>
      <c r="F700" s="38">
        <f t="shared" si="84"/>
        <v>0.26845329314674732</v>
      </c>
      <c r="G700" s="14">
        <f t="shared" si="85"/>
        <v>0</v>
      </c>
      <c r="H700" s="24">
        <f t="shared" si="91"/>
        <v>628.70515707086247</v>
      </c>
      <c r="I700" s="12">
        <f t="shared" si="90"/>
        <v>0.50111791631120994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443.37052105792537</v>
      </c>
      <c r="F701" s="38">
        <f t="shared" si="84"/>
        <v>0.26832860813098702</v>
      </c>
      <c r="G701" s="14">
        <f t="shared" si="85"/>
        <v>0</v>
      </c>
      <c r="H701" s="24">
        <f t="shared" si="91"/>
        <v>628.99729928023771</v>
      </c>
      <c r="I701" s="12">
        <f t="shared" si="90"/>
        <v>0.50062450688767279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443.87114556481305</v>
      </c>
      <c r="F702" s="38">
        <f t="shared" si="84"/>
        <v>0.26820389156020003</v>
      </c>
      <c r="G702" s="14">
        <f t="shared" si="85"/>
        <v>0</v>
      </c>
      <c r="H702" s="24">
        <f t="shared" si="91"/>
        <v>629.28978715483254</v>
      </c>
      <c r="I702" s="12">
        <f t="shared" si="90"/>
        <v>0.50013141560235252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444.37127698041542</v>
      </c>
      <c r="F703" s="38">
        <f t="shared" si="84"/>
        <v>0.26807914369076402</v>
      </c>
      <c r="G703" s="14">
        <f t="shared" si="85"/>
        <v>0</v>
      </c>
      <c r="H703" s="24">
        <f t="shared" si="91"/>
        <v>629.58262067826377</v>
      </c>
      <c r="I703" s="12">
        <f t="shared" si="90"/>
        <v>0.49963864355907311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444.8709156239745</v>
      </c>
      <c r="F704" s="38">
        <f t="shared" si="84"/>
        <v>0.26795436478112017</v>
      </c>
      <c r="G704" s="14">
        <f t="shared" si="85"/>
        <v>0</v>
      </c>
      <c r="H704" s="24">
        <f t="shared" si="91"/>
        <v>629.87579982838929</v>
      </c>
      <c r="I704" s="12">
        <f t="shared" si="90"/>
        <v>0.49914619185691383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445.37006181583143</v>
      </c>
      <c r="F705" s="38">
        <f t="shared" si="84"/>
        <v>0.26782955509174622</v>
      </c>
      <c r="G705" s="14">
        <f t="shared" si="85"/>
        <v>0</v>
      </c>
      <c r="H705" s="24">
        <f t="shared" si="91"/>
        <v>630.16932457734333</v>
      </c>
      <c r="I705" s="12">
        <f t="shared" si="90"/>
        <v>0.49865406159021142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445.86871587742166</v>
      </c>
      <c r="F706" s="38">
        <f t="shared" si="84"/>
        <v>0.26770471488512981</v>
      </c>
      <c r="G706" s="14">
        <f t="shared" si="85"/>
        <v>0</v>
      </c>
      <c r="H706" s="24">
        <f t="shared" si="91"/>
        <v>630.46319489157111</v>
      </c>
      <c r="I706" s="12">
        <f t="shared" si="90"/>
        <v>0.49816225384856233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446.3668781312702</v>
      </c>
      <c r="F707" s="38">
        <f t="shared" si="84"/>
        <v>0.26757984442574184</v>
      </c>
      <c r="G707" s="14">
        <f t="shared" si="85"/>
        <v>0</v>
      </c>
      <c r="H707" s="24">
        <f t="shared" si="91"/>
        <v>630.75741073186452</v>
      </c>
      <c r="I707" s="12">
        <f t="shared" si="90"/>
        <v>0.49767076971679686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446.86454890098702</v>
      </c>
      <c r="F708" s="38">
        <f t="shared" si="84"/>
        <v>0.26745494398001002</v>
      </c>
      <c r="G708" s="14">
        <f t="shared" si="85"/>
        <v>0</v>
      </c>
      <c r="H708" s="24">
        <f t="shared" si="91"/>
        <v>631.05197205339687</v>
      </c>
      <c r="I708" s="12">
        <f t="shared" si="90"/>
        <v>0.49717961027498431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447.36172851126202</v>
      </c>
      <c r="F709" s="38">
        <f t="shared" si="84"/>
        <v>0.26733001381629257</v>
      </c>
      <c r="G709" s="14">
        <f t="shared" si="85"/>
        <v>0</v>
      </c>
      <c r="H709" s="24">
        <f t="shared" si="91"/>
        <v>631.34687880575655</v>
      </c>
      <c r="I709" s="12">
        <f t="shared" si="90"/>
        <v>0.49668877659841909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447.85841728786045</v>
      </c>
      <c r="F710" s="38">
        <f t="shared" si="84"/>
        <v>0.26720505420485197</v>
      </c>
      <c r="G710" s="14">
        <f t="shared" si="85"/>
        <v>0</v>
      </c>
      <c r="H710" s="24">
        <f t="shared" si="91"/>
        <v>631.64213093298349</v>
      </c>
      <c r="I710" s="12">
        <f t="shared" si="90"/>
        <v>0.49619826975763609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448.3546155576181</v>
      </c>
      <c r="F711" s="38">
        <f t="shared" si="84"/>
        <v>0.26708006541782908</v>
      </c>
      <c r="G711" s="14">
        <f t="shared" si="85"/>
        <v>0</v>
      </c>
      <c r="H711" s="24">
        <f t="shared" si="91"/>
        <v>631.93772837360257</v>
      </c>
      <c r="I711" s="12">
        <f t="shared" si="90"/>
        <v>0.49570809081837475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448.85032364843647</v>
      </c>
      <c r="F712" s="38">
        <f t="shared" si="84"/>
        <v>0.26695504772921708</v>
      </c>
      <c r="G712" s="14">
        <f t="shared" si="85"/>
        <v>0</v>
      </c>
      <c r="H712" s="24">
        <f t="shared" si="91"/>
        <v>632.23367106065803</v>
      </c>
      <c r="I712" s="12">
        <f t="shared" si="90"/>
        <v>0.49521824084157623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449.34554188927802</v>
      </c>
      <c r="F713" s="38">
        <f t="shared" si="84"/>
        <v>0.26683000141483543</v>
      </c>
      <c r="G713" s="14">
        <f t="shared" si="85"/>
        <v>0</v>
      </c>
      <c r="H713" s="24">
        <f t="shared" si="91"/>
        <v>632.52995892174897</v>
      </c>
      <c r="I713" s="12">
        <f t="shared" si="90"/>
        <v>0.49472872088340197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449.84027061016144</v>
      </c>
      <c r="F714" s="38">
        <f t="shared" si="84"/>
        <v>0.266704926752305</v>
      </c>
      <c r="G714" s="14">
        <f t="shared" si="85"/>
        <v>0</v>
      </c>
      <c r="H714" s="24">
        <f t="shared" si="91"/>
        <v>632.82659187906211</v>
      </c>
      <c r="I714" s="12">
        <f t="shared" si="90"/>
        <v>0.49423953199520804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450.33451014215666</v>
      </c>
      <c r="F715" s="38">
        <f t="shared" si="84"/>
        <v>0.26657982402102159</v>
      </c>
      <c r="G715" s="14">
        <f t="shared" si="85"/>
        <v>0</v>
      </c>
      <c r="H715" s="24">
        <f t="shared" si="91"/>
        <v>633.12356984940766</v>
      </c>
      <c r="I715" s="12">
        <f t="shared" si="90"/>
        <v>0.49375067522352845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450.82826081738017</v>
      </c>
      <c r="F716" s="38">
        <f t="shared" si="84"/>
        <v>0.26645469350213141</v>
      </c>
      <c r="G716" s="14">
        <f t="shared" si="85"/>
        <v>0</v>
      </c>
      <c r="H716" s="24">
        <f t="shared" si="91"/>
        <v>633.42089274425177</v>
      </c>
      <c r="I716" s="12">
        <f t="shared" si="90"/>
        <v>0.49326215161010534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451.32152296899028</v>
      </c>
      <c r="F717" s="38">
        <f t="shared" si="84"/>
        <v>0.26632953547850519</v>
      </c>
      <c r="G717" s="14">
        <f t="shared" si="85"/>
        <v>0</v>
      </c>
      <c r="H717" s="24">
        <f t="shared" si="91"/>
        <v>633.71856046975222</v>
      </c>
      <c r="I717" s="12">
        <f t="shared" si="90"/>
        <v>0.49277396219184733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451.81429693118213</v>
      </c>
      <c r="F718" s="38">
        <f t="shared" si="84"/>
        <v>0.26620435023471339</v>
      </c>
      <c r="G718" s="14">
        <f t="shared" si="85"/>
        <v>0</v>
      </c>
      <c r="H718" s="24">
        <f t="shared" si="91"/>
        <v>634.01657292679056</v>
      </c>
      <c r="I718" s="12">
        <f t="shared" si="90"/>
        <v>0.49228610800083888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452.30658303918295</v>
      </c>
      <c r="F719" s="38">
        <f t="shared" si="84"/>
        <v>0.26607913805700117</v>
      </c>
      <c r="G719" s="14">
        <f t="shared" si="85"/>
        <v>0</v>
      </c>
      <c r="H719" s="24">
        <f t="shared" si="91"/>
        <v>634.3149300110083</v>
      </c>
      <c r="I719" s="12">
        <f t="shared" si="90"/>
        <v>0.49179859006433552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452.79838162924727</v>
      </c>
      <c r="F720" s="38">
        <f t="shared" si="84"/>
        <v>0.26595389923326346</v>
      </c>
      <c r="G720" s="14">
        <f t="shared" si="85"/>
        <v>0</v>
      </c>
      <c r="H720" s="24">
        <f t="shared" si="91"/>
        <v>634.61363161283793</v>
      </c>
      <c r="I720" s="12">
        <f t="shared" si="90"/>
        <v>0.49131140940475537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453.28969303865205</v>
      </c>
      <c r="F721" s="38">
        <f t="shared" si="84"/>
        <v>0.26582863405302048</v>
      </c>
      <c r="G721" s="14">
        <f t="shared" si="85"/>
        <v>0</v>
      </c>
      <c r="H721" s="24">
        <f t="shared" si="91"/>
        <v>634.91267761753875</v>
      </c>
      <c r="I721" s="12">
        <f t="shared" si="90"/>
        <v>0.49082456703967148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453.78051760569173</v>
      </c>
      <c r="F722" s="38">
        <f t="shared" si="84"/>
        <v>0.26570334280739283</v>
      </c>
      <c r="G722" s="14">
        <f t="shared" si="85"/>
        <v>0</v>
      </c>
      <c r="H722" s="24">
        <f t="shared" si="91"/>
        <v>635.21206790522933</v>
      </c>
      <c r="I722" s="12">
        <f t="shared" si="90"/>
        <v>0.49033806398181901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454.27085566967355</v>
      </c>
      <c r="F723" s="38">
        <f t="shared" si="84"/>
        <v>0.26557802578907752</v>
      </c>
      <c r="G723" s="14">
        <f t="shared" si="85"/>
        <v>0</v>
      </c>
      <c r="H723" s="24">
        <f t="shared" si="91"/>
        <v>635.51180235092113</v>
      </c>
      <c r="I723" s="12">
        <f t="shared" si="90"/>
        <v>0.48985190123906691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454.76070757091264</v>
      </c>
      <c r="F724" s="38">
        <f t="shared" ref="F724:F787" si="92">Cp*RhoP/(RhoA*H724)*dp/1000*MassivP</f>
        <v>0.26545268329232313</v>
      </c>
      <c r="G724" s="14">
        <f t="shared" ref="G724:G787" si="93">Phi*EpsilonF*Botzman/10^8*J724*((D724+273)^4-(E724+273)^4)</f>
        <v>0</v>
      </c>
      <c r="H724" s="24">
        <f t="shared" si="91"/>
        <v>635.81188082455196</v>
      </c>
      <c r="I724" s="12">
        <f t="shared" si="90"/>
        <v>0.4893660798144418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455.25007365072707</v>
      </c>
      <c r="F725" s="38">
        <f t="shared" si="92"/>
        <v>0.26532731561290579</v>
      </c>
      <c r="G725" s="14">
        <f t="shared" si="93"/>
        <v>0</v>
      </c>
      <c r="H725" s="24">
        <f t="shared" si="91"/>
        <v>636.11230319101958</v>
      </c>
      <c r="I725" s="12">
        <f t="shared" ref="I725:I788" si="98">LambdaP*MassivP/(dp/1000)/(H725*RhoA)/(1+F725/3)*(D725-E725)*DeltaT-(EXP(F725/10)-1)*(D725-D724)</f>
        <v>0.4888806007060994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455.7389542514332</v>
      </c>
      <c r="F726" s="38">
        <f t="shared" si="92"/>
        <v>0.26520192304810558</v>
      </c>
      <c r="G726" s="14">
        <f t="shared" si="93"/>
        <v>0</v>
      </c>
      <c r="H726" s="24">
        <f t="shared" si="91"/>
        <v>636.41306931021415</v>
      </c>
      <c r="I726" s="12">
        <f t="shared" si="98"/>
        <v>0.48839546490731145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456.22734971634048</v>
      </c>
      <c r="F727" s="38">
        <f t="shared" si="92"/>
        <v>0.26507650589668191</v>
      </c>
      <c r="G727" s="14">
        <f t="shared" si="93"/>
        <v>0</v>
      </c>
      <c r="H727" s="24">
        <f t="shared" si="91"/>
        <v>636.71417903705185</v>
      </c>
      <c r="I727" s="12">
        <f t="shared" si="98"/>
        <v>0.48791067340652422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456.71526038974702</v>
      </c>
      <c r="F728" s="38">
        <f t="shared" si="92"/>
        <v>0.26495106445885058</v>
      </c>
      <c r="G728" s="14">
        <f t="shared" si="93"/>
        <v>0</v>
      </c>
      <c r="H728" s="24">
        <f t="shared" si="91"/>
        <v>637.01563222150753</v>
      </c>
      <c r="I728" s="12">
        <f t="shared" si="98"/>
        <v>0.48742622718725948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457.20268661693427</v>
      </c>
      <c r="F729" s="38">
        <f t="shared" si="92"/>
        <v>0.26482559903625918</v>
      </c>
      <c r="G729" s="14">
        <f t="shared" si="93"/>
        <v>0</v>
      </c>
      <c r="H729" s="24">
        <f t="shared" si="91"/>
        <v>637.31742870864787</v>
      </c>
      <c r="I729" s="12">
        <f t="shared" si="98"/>
        <v>0.48694212722817881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457.68962874416246</v>
      </c>
      <c r="F730" s="38">
        <f t="shared" si="92"/>
        <v>0.26470010993196436</v>
      </c>
      <c r="G730" s="14">
        <f t="shared" si="93"/>
        <v>0</v>
      </c>
      <c r="H730" s="24">
        <f t="shared" si="91"/>
        <v>637.61956833866407</v>
      </c>
      <c r="I730" s="12">
        <f t="shared" si="98"/>
        <v>0.48645837450305968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458.17608711866552</v>
      </c>
      <c r="F731" s="38">
        <f t="shared" si="92"/>
        <v>0.26457459745040846</v>
      </c>
      <c r="G731" s="14">
        <f t="shared" si="93"/>
        <v>0</v>
      </c>
      <c r="H731" s="24">
        <f t="shared" si="91"/>
        <v>637.92205094690405</v>
      </c>
      <c r="I731" s="12">
        <f t="shared" si="98"/>
        <v>0.48597496998078882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458.66206208864634</v>
      </c>
      <c r="F732" s="38">
        <f t="shared" si="92"/>
        <v>0.26444906189739542</v>
      </c>
      <c r="G732" s="14">
        <f t="shared" si="93"/>
        <v>0</v>
      </c>
      <c r="H732" s="24">
        <f t="shared" si="91"/>
        <v>638.22487636390588</v>
      </c>
      <c r="I732" s="12">
        <f t="shared" si="98"/>
        <v>0.48549191462536201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459.14755400327169</v>
      </c>
      <c r="F733" s="38">
        <f t="shared" si="92"/>
        <v>0.26432350358006867</v>
      </c>
      <c r="G733" s="14">
        <f t="shared" si="93"/>
        <v>0</v>
      </c>
      <c r="H733" s="24">
        <f t="shared" si="91"/>
        <v>638.52804441542969</v>
      </c>
      <c r="I733" s="12">
        <f t="shared" si="98"/>
        <v>0.48500920939585956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459.63256321266755</v>
      </c>
      <c r="F734" s="38">
        <f t="shared" si="92"/>
        <v>0.26419792280688775</v>
      </c>
      <c r="G734" s="14">
        <f t="shared" si="93"/>
        <v>0</v>
      </c>
      <c r="H734" s="24">
        <f t="shared" si="91"/>
        <v>638.83155492249</v>
      </c>
      <c r="I734" s="12">
        <f t="shared" si="98"/>
        <v>0.48452685524648359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460.11709006791403</v>
      </c>
      <c r="F735" s="38">
        <f t="shared" si="92"/>
        <v>0.26407231988760538</v>
      </c>
      <c r="G735" s="14">
        <f t="shared" si="93"/>
        <v>0</v>
      </c>
      <c r="H735" s="24">
        <f t="shared" si="91"/>
        <v>639.13540770138832</v>
      </c>
      <c r="I735" s="12">
        <f t="shared" si="98"/>
        <v>0.48404485312653234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460.60113492104057</v>
      </c>
      <c r="F736" s="38">
        <f t="shared" si="92"/>
        <v>0.26394669513324492</v>
      </c>
      <c r="G736" s="14">
        <f t="shared" si="93"/>
        <v>0</v>
      </c>
      <c r="H736" s="24">
        <f t="shared" si="91"/>
        <v>639.43960256374498</v>
      </c>
      <c r="I736" s="12">
        <f t="shared" si="98"/>
        <v>0.48356320398036368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461.08469812502091</v>
      </c>
      <c r="F737" s="38">
        <f t="shared" si="92"/>
        <v>0.26382104885607777</v>
      </c>
      <c r="G737" s="14">
        <f t="shared" si="93"/>
        <v>0</v>
      </c>
      <c r="H737" s="24">
        <f t="shared" si="91"/>
        <v>639.74413931653157</v>
      </c>
      <c r="I737" s="12">
        <f t="shared" si="98"/>
        <v>0.48308190874746515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461.56778003376837</v>
      </c>
      <c r="F738" s="38">
        <f t="shared" si="92"/>
        <v>0.26369538136960075</v>
      </c>
      <c r="G738" s="14">
        <f t="shared" si="93"/>
        <v>0</v>
      </c>
      <c r="H738" s="24">
        <f t="shared" si="91"/>
        <v>640.04901776210295</v>
      </c>
      <c r="I738" s="12">
        <f t="shared" si="98"/>
        <v>0.4826009683623762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462.05038100213073</v>
      </c>
      <c r="F739" s="38">
        <f t="shared" si="92"/>
        <v>0.26356969298851418</v>
      </c>
      <c r="G739" s="14">
        <f t="shared" si="93"/>
        <v>0</v>
      </c>
      <c r="H739" s="24">
        <f t="shared" si="91"/>
        <v>640.35423769822819</v>
      </c>
      <c r="I739" s="12">
        <f t="shared" si="98"/>
        <v>0.48212038375472943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462.53250138588544</v>
      </c>
      <c r="F740" s="38">
        <f t="shared" si="92"/>
        <v>0.26344398402869962</v>
      </c>
      <c r="G740" s="14">
        <f t="shared" si="93"/>
        <v>0</v>
      </c>
      <c r="H740" s="24">
        <f t="shared" si="91"/>
        <v>640.65979891812367</v>
      </c>
      <c r="I740" s="12">
        <f t="shared" si="98"/>
        <v>0.48164015584925218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463.01414154173472</v>
      </c>
      <c r="F741" s="38">
        <f t="shared" si="92"/>
        <v>0.26331825480719723</v>
      </c>
      <c r="G741" s="14">
        <f t="shared" si="93"/>
        <v>0</v>
      </c>
      <c r="H741" s="24">
        <f t="shared" si="91"/>
        <v>640.96570121048399</v>
      </c>
      <c r="I741" s="12">
        <f t="shared" si="98"/>
        <v>0.48116028556572132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463.49530182730041</v>
      </c>
      <c r="F742" s="38">
        <f t="shared" si="92"/>
        <v>0.26319250564218477</v>
      </c>
      <c r="G742" s="14">
        <f t="shared" si="93"/>
        <v>0</v>
      </c>
      <c r="H742" s="24">
        <f t="shared" si="91"/>
        <v>641.27194435951355</v>
      </c>
      <c r="I742" s="12">
        <f t="shared" si="98"/>
        <v>0.48068077381899144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463.97598260111943</v>
      </c>
      <c r="F743" s="38">
        <f t="shared" si="92"/>
        <v>0.26306673685295512</v>
      </c>
      <c r="G743" s="14">
        <f t="shared" si="93"/>
        <v>0</v>
      </c>
      <c r="H743" s="24">
        <f t="shared" si="91"/>
        <v>641.57852814495857</v>
      </c>
      <c r="I743" s="12">
        <f t="shared" si="98"/>
        <v>0.48020162151901075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464.45618422263846</v>
      </c>
      <c r="F744" s="38">
        <f t="shared" si="92"/>
        <v>0.26294094875989521</v>
      </c>
      <c r="G744" s="14">
        <f t="shared" si="93"/>
        <v>0</v>
      </c>
      <c r="H744" s="24">
        <f t="shared" si="91"/>
        <v>641.88545234213734</v>
      </c>
      <c r="I744" s="12">
        <f t="shared" si="98"/>
        <v>0.47972282957075713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464.93590705220919</v>
      </c>
      <c r="F745" s="38">
        <f t="shared" si="92"/>
        <v>0.2628151416844639</v>
      </c>
      <c r="G745" s="14">
        <f t="shared" si="93"/>
        <v>0</v>
      </c>
      <c r="H745" s="24">
        <f t="shared" si="91"/>
        <v>642.19271672197283</v>
      </c>
      <c r="I745" s="12">
        <f t="shared" si="98"/>
        <v>0.47924439887430337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465.41515145108349</v>
      </c>
      <c r="F746" s="38">
        <f t="shared" si="92"/>
        <v>0.26268931594917122</v>
      </c>
      <c r="G746" s="14">
        <f t="shared" si="93"/>
        <v>0</v>
      </c>
      <c r="H746" s="24">
        <f t="shared" si="91"/>
        <v>642.50032105102275</v>
      </c>
      <c r="I746" s="12">
        <f t="shared" si="98"/>
        <v>0.47876633032477806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465.89391778140828</v>
      </c>
      <c r="F747" s="38">
        <f t="shared" si="92"/>
        <v>0.26256347187755663</v>
      </c>
      <c r="G747" s="14">
        <f t="shared" si="93"/>
        <v>0</v>
      </c>
      <c r="H747" s="24">
        <f t="shared" si="91"/>
        <v>642.80826509151154</v>
      </c>
      <c r="I747" s="12">
        <f t="shared" si="98"/>
        <v>0.47828862481236711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466.37220640622064</v>
      </c>
      <c r="F748" s="38">
        <f t="shared" si="92"/>
        <v>0.26243760979416836</v>
      </c>
      <c r="G748" s="14">
        <f t="shared" si="93"/>
        <v>0</v>
      </c>
      <c r="H748" s="24">
        <f t="shared" si="91"/>
        <v>643.11654860136025</v>
      </c>
      <c r="I748" s="12">
        <f t="shared" si="98"/>
        <v>0.47781128322230582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466.85001768944295</v>
      </c>
      <c r="F749" s="38">
        <f t="shared" si="92"/>
        <v>0.26231173002454167</v>
      </c>
      <c r="G749" s="14">
        <f t="shared" si="93"/>
        <v>0</v>
      </c>
      <c r="H749" s="24">
        <f t="shared" si="91"/>
        <v>643.4251713342187</v>
      </c>
      <c r="I749" s="12">
        <f t="shared" si="98"/>
        <v>0.47733430643490515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467.32735199587785</v>
      </c>
      <c r="F750" s="38">
        <f t="shared" si="92"/>
        <v>0.26218583289517922</v>
      </c>
      <c r="G750" s="14">
        <f t="shared" si="93"/>
        <v>0</v>
      </c>
      <c r="H750" s="24">
        <f t="shared" si="91"/>
        <v>643.73413303949496</v>
      </c>
      <c r="I750" s="12">
        <f t="shared" si="98"/>
        <v>0.4768576953255127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467.80420969120337</v>
      </c>
      <c r="F751" s="38">
        <f t="shared" si="92"/>
        <v>0.26205991873352907</v>
      </c>
      <c r="G751" s="14">
        <f t="shared" si="93"/>
        <v>0</v>
      </c>
      <c r="H751" s="24">
        <f t="shared" si="91"/>
        <v>644.0434334623867</v>
      </c>
      <c r="I751" s="12">
        <f t="shared" si="98"/>
        <v>0.47638145076454569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468.28059114196793</v>
      </c>
      <c r="F752" s="38">
        <f t="shared" si="92"/>
        <v>0.26193398786796485</v>
      </c>
      <c r="G752" s="14">
        <f t="shared" si="93"/>
        <v>0</v>
      </c>
      <c r="H752" s="24">
        <f t="shared" si="91"/>
        <v>644.35307234391178</v>
      </c>
      <c r="I752" s="12">
        <f t="shared" si="98"/>
        <v>0.47590557361746222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468.7564967155854</v>
      </c>
      <c r="F753" s="38">
        <f t="shared" si="92"/>
        <v>0.26180804062776525</v>
      </c>
      <c r="G753" s="14">
        <f t="shared" si="93"/>
        <v>0</v>
      </c>
      <c r="H753" s="24">
        <f t="shared" si="91"/>
        <v>644.66304942093836</v>
      </c>
      <c r="I753" s="12">
        <f t="shared" si="98"/>
        <v>0.47543006474477884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469.23192678033018</v>
      </c>
      <c r="F754" s="38">
        <f t="shared" si="92"/>
        <v>0.26168207734309357</v>
      </c>
      <c r="G754" s="14">
        <f t="shared" si="93"/>
        <v>0</v>
      </c>
      <c r="H754" s="24">
        <f t="shared" si="91"/>
        <v>644.97336442621508</v>
      </c>
      <c r="I754" s="12">
        <f t="shared" si="98"/>
        <v>0.47495492500203845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469.70688170533225</v>
      </c>
      <c r="F755" s="38">
        <f t="shared" si="92"/>
        <v>0.26155609834497717</v>
      </c>
      <c r="G755" s="14">
        <f t="shared" si="93"/>
        <v>0</v>
      </c>
      <c r="H755" s="24">
        <f t="shared" si="91"/>
        <v>645.28401708840227</v>
      </c>
      <c r="I755" s="12">
        <f t="shared" si="98"/>
        <v>0.47448015523987469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470.18136186057211</v>
      </c>
      <c r="F756" s="38">
        <f t="shared" si="92"/>
        <v>0.26143010396528821</v>
      </c>
      <c r="G756" s="14">
        <f t="shared" si="93"/>
        <v>0</v>
      </c>
      <c r="H756" s="24">
        <f t="shared" si="91"/>
        <v>645.59500713210082</v>
      </c>
      <c r="I756" s="12">
        <f t="shared" si="98"/>
        <v>0.47400575630391928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470.65536761687605</v>
      </c>
      <c r="F757" s="38">
        <f t="shared" si="92"/>
        <v>0.26130409453672288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645.90633427788293</v>
      </c>
      <c r="I757" s="12">
        <f t="shared" si="98"/>
        <v>0.47353172903488727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471.12889934591095</v>
      </c>
      <c r="F758" s="38">
        <f t="shared" si="92"/>
        <v>0.26117807039278235</v>
      </c>
      <c r="G758" s="14">
        <f t="shared" si="93"/>
        <v>0</v>
      </c>
      <c r="H758" s="24">
        <f t="shared" si="99"/>
        <v>646.21799824232198</v>
      </c>
      <c r="I758" s="12">
        <f t="shared" si="98"/>
        <v>0.47305807426852214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471.60195742017947</v>
      </c>
      <c r="F759" s="38">
        <f t="shared" si="92"/>
        <v>0.26105203186775228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646.52999873802241</v>
      </c>
      <c r="I759" s="12">
        <f t="shared" si="98"/>
        <v>0.4725847928356135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472.07454221301509</v>
      </c>
      <c r="F760" s="38">
        <f t="shared" si="92"/>
        <v>0.26092597929668421</v>
      </c>
      <c r="G760" s="14">
        <f t="shared" si="93"/>
        <v>0</v>
      </c>
      <c r="H760" s="24">
        <f t="shared" si="100"/>
        <v>646.84233547364852</v>
      </c>
      <c r="I760" s="12">
        <f t="shared" si="98"/>
        <v>0.47211188556200046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472.54665409857711</v>
      </c>
      <c r="F761" s="38">
        <f t="shared" si="92"/>
        <v>0.2607999130153752</v>
      </c>
      <c r="G761" s="14">
        <f t="shared" si="93"/>
        <v>0</v>
      </c>
      <c r="H761" s="24">
        <f t="shared" si="100"/>
        <v>647.15500815395558</v>
      </c>
      <c r="I761" s="12">
        <f t="shared" si="98"/>
        <v>0.47163935326856399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473.01829345184569</v>
      </c>
      <c r="F762" s="38">
        <f t="shared" si="92"/>
        <v>0.26067383336034933</v>
      </c>
      <c r="G762" s="14">
        <f t="shared" si="93"/>
        <v>0</v>
      </c>
      <c r="H762" s="24">
        <f t="shared" si="100"/>
        <v>647.4680164798184</v>
      </c>
      <c r="I762" s="12">
        <f t="shared" si="98"/>
        <v>0.47116719677121854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473.4894606486169</v>
      </c>
      <c r="F763" s="38">
        <f t="shared" si="92"/>
        <v>0.26054774066883796</v>
      </c>
      <c r="G763" s="14">
        <f t="shared" si="93"/>
        <v>0</v>
      </c>
      <c r="H763" s="24">
        <f t="shared" si="100"/>
        <v>647.78136014826043</v>
      </c>
      <c r="I763" s="12">
        <f t="shared" si="98"/>
        <v>0.47069541688094002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473.96015606549781</v>
      </c>
      <c r="F764" s="38">
        <f t="shared" si="92"/>
        <v>0.260421635278761</v>
      </c>
      <c r="G764" s="14">
        <f t="shared" si="93"/>
        <v>0</v>
      </c>
      <c r="H764" s="24">
        <f t="shared" si="100"/>
        <v>648.09503885248409</v>
      </c>
      <c r="I764" s="12">
        <f t="shared" si="98"/>
        <v>0.47022401440372841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474.43038007990157</v>
      </c>
      <c r="F765" s="38">
        <f t="shared" si="92"/>
        <v>0.26029551752870816</v>
      </c>
      <c r="G765" s="14">
        <f t="shared" si="93"/>
        <v>0</v>
      </c>
      <c r="H765" s="24">
        <f t="shared" si="100"/>
        <v>648.40905228189899</v>
      </c>
      <c r="I765" s="12">
        <f t="shared" si="98"/>
        <v>0.46975299014065691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474.90013307004222</v>
      </c>
      <c r="F766" s="38">
        <f t="shared" si="92"/>
        <v>0.26016938775791965</v>
      </c>
      <c r="G766" s="14">
        <f t="shared" si="93"/>
        <v>0</v>
      </c>
      <c r="H766" s="24">
        <f t="shared" si="100"/>
        <v>648.72340012215147</v>
      </c>
      <c r="I766" s="12">
        <f t="shared" si="98"/>
        <v>0.46928234488780951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475.36941541493002</v>
      </c>
      <c r="F767" s="38">
        <f t="shared" si="92"/>
        <v>0.26004324630626802</v>
      </c>
      <c r="G767" s="14">
        <f t="shared" si="93"/>
        <v>0</v>
      </c>
      <c r="H767" s="24">
        <f t="shared" si="100"/>
        <v>649.0380820551535</v>
      </c>
      <c r="I767" s="12">
        <f t="shared" si="98"/>
        <v>0.46881207943632991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475.83822749436632</v>
      </c>
      <c r="F768" s="38">
        <f t="shared" si="92"/>
        <v>0.25991709351423947</v>
      </c>
      <c r="G768" s="14">
        <f t="shared" si="93"/>
        <v>0</v>
      </c>
      <c r="H768" s="24">
        <f t="shared" si="100"/>
        <v>649.35309775911151</v>
      </c>
      <c r="I768" s="12">
        <f t="shared" si="98"/>
        <v>0.46834219457241566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476.30656968893874</v>
      </c>
      <c r="F769" s="38">
        <f t="shared" si="92"/>
        <v>0.25979092972291545</v>
      </c>
      <c r="G769" s="14">
        <f t="shared" si="93"/>
        <v>0</v>
      </c>
      <c r="H769" s="24">
        <f t="shared" si="100"/>
        <v>649.66844690855498</v>
      </c>
      <c r="I769" s="12">
        <f t="shared" si="98"/>
        <v>0.46787269107729557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476.77444238001601</v>
      </c>
      <c r="F770" s="38">
        <f t="shared" si="92"/>
        <v>0.25966475527395444</v>
      </c>
      <c r="G770" s="14">
        <f t="shared" si="93"/>
        <v>0</v>
      </c>
      <c r="H770" s="24">
        <f t="shared" si="100"/>
        <v>649.98412917436576</v>
      </c>
      <c r="I770" s="12">
        <f t="shared" si="98"/>
        <v>0.46740356972725472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477.24184594974327</v>
      </c>
      <c r="F771" s="38">
        <f t="shared" si="92"/>
        <v>0.25953857050957369</v>
      </c>
      <c r="G771" s="14">
        <f t="shared" si="93"/>
        <v>0</v>
      </c>
      <c r="H771" s="24">
        <f t="shared" si="100"/>
        <v>650.30014422380555</v>
      </c>
      <c r="I771" s="12">
        <f t="shared" si="98"/>
        <v>0.46693483129361862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477.70878078103686</v>
      </c>
      <c r="F772" s="38">
        <f t="shared" si="92"/>
        <v>0.25941237577253118</v>
      </c>
      <c r="G772" s="14">
        <f t="shared" si="93"/>
        <v>0</v>
      </c>
      <c r="H772" s="24">
        <f t="shared" si="100"/>
        <v>650.61649172054558</v>
      </c>
      <c r="I772" s="12">
        <f t="shared" si="98"/>
        <v>0.46646647654277029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478.17524725757966</v>
      </c>
      <c r="F773" s="38">
        <f t="shared" si="92"/>
        <v>0.25928617140610832</v>
      </c>
      <c r="G773" s="14">
        <f t="shared" si="93"/>
        <v>0</v>
      </c>
      <c r="H773" s="24">
        <f t="shared" si="100"/>
        <v>650.93317132469326</v>
      </c>
      <c r="I773" s="12">
        <f t="shared" si="98"/>
        <v>0.46599850623612876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478.64124576381579</v>
      </c>
      <c r="F774" s="38">
        <f t="shared" si="92"/>
        <v>0.25915995775409123</v>
      </c>
      <c r="G774" s="14">
        <f t="shared" si="93"/>
        <v>0</v>
      </c>
      <c r="H774" s="24">
        <f t="shared" si="100"/>
        <v>651.25018269282259</v>
      </c>
      <c r="I774" s="12">
        <f t="shared" si="98"/>
        <v>0.46553092113018824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479.106776684946</v>
      </c>
      <c r="F775" s="38">
        <f t="shared" si="92"/>
        <v>0.2590337351607539</v>
      </c>
      <c r="G775" s="14">
        <f t="shared" si="93"/>
        <v>0</v>
      </c>
      <c r="H775" s="24">
        <f t="shared" si="100"/>
        <v>651.56752547800033</v>
      </c>
      <c r="I775" s="12">
        <f t="shared" si="98"/>
        <v>0.46506372197647261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479.57184040692249</v>
      </c>
      <c r="F776" s="38">
        <f t="shared" si="92"/>
        <v>0.25890750397084022</v>
      </c>
      <c r="G776" s="14">
        <f t="shared" si="93"/>
        <v>0</v>
      </c>
      <c r="H776" s="24">
        <f t="shared" si="100"/>
        <v>651.88519932981512</v>
      </c>
      <c r="I776" s="12">
        <f t="shared" si="98"/>
        <v>0.46459690952156585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480.03643731644405</v>
      </c>
      <c r="F777" s="38">
        <f t="shared" si="92"/>
        <v>0.25878126452954692</v>
      </c>
      <c r="G777" s="14">
        <f t="shared" si="93"/>
        <v>0</v>
      </c>
      <c r="H777" s="24">
        <f t="shared" si="100"/>
        <v>652.20320389440508</v>
      </c>
      <c r="I777" s="12">
        <f t="shared" si="98"/>
        <v>0.46413048450712596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480.50056780095116</v>
      </c>
      <c r="F778" s="38">
        <f t="shared" si="92"/>
        <v>0.25865501718250605</v>
      </c>
      <c r="G778" s="14">
        <f t="shared" si="93"/>
        <v>0</v>
      </c>
      <c r="H778" s="24">
        <f t="shared" si="100"/>
        <v>652.52153881448567</v>
      </c>
      <c r="I778" s="12">
        <f t="shared" si="98"/>
        <v>0.46366444766984072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480.96423224862099</v>
      </c>
      <c r="F779" s="38">
        <f t="shared" si="92"/>
        <v>0.2585287622757681</v>
      </c>
      <c r="G779" s="14">
        <f t="shared" si="93"/>
        <v>0</v>
      </c>
      <c r="H779" s="24">
        <f t="shared" si="100"/>
        <v>652.84020372937687</v>
      </c>
      <c r="I779" s="12">
        <f t="shared" si="98"/>
        <v>0.46319879974147399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481.42743104836245</v>
      </c>
      <c r="F780" s="38">
        <f t="shared" si="92"/>
        <v>0.2584025001557847</v>
      </c>
      <c r="G780" s="14">
        <f t="shared" si="93"/>
        <v>0</v>
      </c>
      <c r="H780" s="24">
        <f t="shared" si="100"/>
        <v>653.15919827503171</v>
      </c>
      <c r="I780" s="12">
        <f t="shared" si="98"/>
        <v>0.46273354144886492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481.89016458981132</v>
      </c>
      <c r="F781" s="38">
        <f t="shared" si="92"/>
        <v>0.25827623116939175</v>
      </c>
      <c r="G781" s="14">
        <f t="shared" si="93"/>
        <v>0</v>
      </c>
      <c r="H781" s="24">
        <f t="shared" si="100"/>
        <v>653.47852208406346</v>
      </c>
      <c r="I781" s="12">
        <f t="shared" si="98"/>
        <v>0.46226867351387579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482.35243326332522</v>
      </c>
      <c r="F782" s="38">
        <f t="shared" si="92"/>
        <v>0.2581499556637934</v>
      </c>
      <c r="G782" s="14">
        <f t="shared" si="93"/>
        <v>0</v>
      </c>
      <c r="H782" s="24">
        <f t="shared" si="100"/>
        <v>653.79817478577195</v>
      </c>
      <c r="I782" s="12">
        <f t="shared" si="98"/>
        <v>0.46180419665349137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482.8142374599787</v>
      </c>
      <c r="F783" s="38">
        <f t="shared" si="92"/>
        <v>0.25802367398654413</v>
      </c>
      <c r="G783" s="14">
        <f t="shared" si="93"/>
        <v>0</v>
      </c>
      <c r="H783" s="24">
        <f t="shared" si="100"/>
        <v>654.11815600617251</v>
      </c>
      <c r="I783" s="12">
        <f t="shared" si="98"/>
        <v>0.46134011157971327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483.27557757155842</v>
      </c>
      <c r="F784" s="38">
        <f t="shared" si="92"/>
        <v>0.2578973864855334</v>
      </c>
      <c r="G784" s="14">
        <f t="shared" si="93"/>
        <v>0</v>
      </c>
      <c r="H784" s="24">
        <f t="shared" si="100"/>
        <v>654.43846536802175</v>
      </c>
      <c r="I784" s="12">
        <f t="shared" si="98"/>
        <v>0.46087641899965992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483.73645399055806</v>
      </c>
      <c r="F785" s="38">
        <f t="shared" si="92"/>
        <v>0.25777109350896849</v>
      </c>
      <c r="G785" s="14">
        <f t="shared" si="93"/>
        <v>0</v>
      </c>
      <c r="H785" s="24">
        <f t="shared" si="100"/>
        <v>654.75910249084575</v>
      </c>
      <c r="I785" s="12">
        <f t="shared" si="98"/>
        <v>0.46041311961548531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484.19686711017357</v>
      </c>
      <c r="F786" s="38">
        <f t="shared" si="92"/>
        <v>0.25764479540535867</v>
      </c>
      <c r="G786" s="14">
        <f t="shared" si="93"/>
        <v>0</v>
      </c>
      <c r="H786" s="24">
        <f t="shared" si="100"/>
        <v>655.08006699096586</v>
      </c>
      <c r="I786" s="12">
        <f t="shared" si="98"/>
        <v>0.45995021412444975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484.656817324298</v>
      </c>
      <c r="F787" s="38">
        <f t="shared" si="92"/>
        <v>0.2575184925234989</v>
      </c>
      <c r="G787" s="14">
        <f t="shared" si="93"/>
        <v>0</v>
      </c>
      <c r="H787" s="24">
        <f t="shared" si="100"/>
        <v>655.40135848152659</v>
      </c>
      <c r="I787" s="12">
        <f t="shared" si="98"/>
        <v>0.45948770321888194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485.11630502751689</v>
      </c>
      <c r="F788" s="38">
        <f t="shared" ref="F788:F851" si="101">Cp*RhoP/(RhoA*H788)*dp/1000*MassivP</f>
        <v>0.25739218521245394</v>
      </c>
      <c r="G788" s="14">
        <f t="shared" ref="G788:G851" si="102">Phi*EpsilonF*Botzman/10^8*J788*((D788+273)^4-(E788+273)^4)</f>
        <v>0</v>
      </c>
      <c r="H788" s="24">
        <f t="shared" si="100"/>
        <v>655.72297657252147</v>
      </c>
      <c r="I788" s="12">
        <f t="shared" si="98"/>
        <v>0.45902558758619205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485.5753306151031</v>
      </c>
      <c r="F789" s="38">
        <f t="shared" si="101"/>
        <v>0.25726587382154215</v>
      </c>
      <c r="G789" s="14">
        <f t="shared" si="102"/>
        <v>0</v>
      </c>
      <c r="H789" s="24">
        <f t="shared" si="100"/>
        <v>656.04492087082031</v>
      </c>
      <c r="I789" s="12">
        <f t="shared" ref="I789:I852" si="107">LambdaP*MassivP/(dp/1000)/(H789*RhoA)/(1+F789/3)*(D789-E789)*DeltaT-(EXP(F789/10)-1)*(D789-D788)</f>
        <v>0.45856386790888481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486.03389448301198</v>
      </c>
      <c r="F790" s="38">
        <f t="shared" si="101"/>
        <v>0.25713955870031996</v>
      </c>
      <c r="G790" s="14">
        <f t="shared" si="102"/>
        <v>0</v>
      </c>
      <c r="H790" s="24">
        <f t="shared" si="100"/>
        <v>656.36719098019535</v>
      </c>
      <c r="I790" s="12">
        <f t="shared" si="107"/>
        <v>0.45810254486455648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486.49199702787655</v>
      </c>
      <c r="F791" s="38">
        <f t="shared" si="101"/>
        <v>0.25701324019856603</v>
      </c>
      <c r="G791" s="14">
        <f t="shared" si="102"/>
        <v>0</v>
      </c>
      <c r="H791" s="24">
        <f t="shared" si="100"/>
        <v>656.68978650134818</v>
      </c>
      <c r="I791" s="12">
        <f t="shared" si="107"/>
        <v>0.45764161912589113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486.94963864700242</v>
      </c>
      <c r="F792" s="38">
        <f t="shared" si="101"/>
        <v>0.25688691866626617</v>
      </c>
      <c r="G792" s="14">
        <f t="shared" si="102"/>
        <v>0</v>
      </c>
      <c r="H792" s="24">
        <f t="shared" si="100"/>
        <v>657.01270703193507</v>
      </c>
      <c r="I792" s="12">
        <f t="shared" si="107"/>
        <v>0.45718109136066237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487.40681973836308</v>
      </c>
      <c r="F793" s="38">
        <f t="shared" si="101"/>
        <v>0.25676059445359728</v>
      </c>
      <c r="G793" s="14">
        <f t="shared" si="102"/>
        <v>0</v>
      </c>
      <c r="H793" s="24">
        <f t="shared" si="100"/>
        <v>657.33595216659398</v>
      </c>
      <c r="I793" s="12">
        <f t="shared" si="107"/>
        <v>0.45672096223176351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487.86354070059485</v>
      </c>
      <c r="F794" s="38">
        <f t="shared" si="101"/>
        <v>0.25663426791091243</v>
      </c>
      <c r="G794" s="14">
        <f t="shared" si="102"/>
        <v>0</v>
      </c>
      <c r="H794" s="24">
        <f t="shared" si="100"/>
        <v>657.6595214969708</v>
      </c>
      <c r="I794" s="12">
        <f t="shared" si="107"/>
        <v>0.45626123239719135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488.31980193299205</v>
      </c>
      <c r="F795" s="38">
        <f t="shared" si="101"/>
        <v>0.25650793938872574</v>
      </c>
      <c r="G795" s="14">
        <f t="shared" si="102"/>
        <v>0</v>
      </c>
      <c r="H795" s="24">
        <f t="shared" si="100"/>
        <v>657.98341461174425</v>
      </c>
      <c r="I795" s="12">
        <f t="shared" si="107"/>
        <v>0.4558019025100345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488.77560383550207</v>
      </c>
      <c r="F796" s="38">
        <f t="shared" si="101"/>
        <v>0.25638160923769687</v>
      </c>
      <c r="G796" s="14">
        <f t="shared" si="102"/>
        <v>0</v>
      </c>
      <c r="H796" s="24">
        <f t="shared" si="100"/>
        <v>658.30763109665327</v>
      </c>
      <c r="I796" s="12">
        <f t="shared" si="107"/>
        <v>0.45534297321849793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489.23094680872055</v>
      </c>
      <c r="F797" s="38">
        <f t="shared" si="101"/>
        <v>0.25625527780861679</v>
      </c>
      <c r="G797" s="14">
        <f t="shared" si="102"/>
        <v>0</v>
      </c>
      <c r="H797" s="24">
        <f t="shared" si="100"/>
        <v>658.63217053452138</v>
      </c>
      <c r="I797" s="12">
        <f t="shared" si="107"/>
        <v>0.45488444516592891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489.68583125388648</v>
      </c>
      <c r="F798" s="38">
        <f t="shared" si="101"/>
        <v>0.25612894545239251</v>
      </c>
      <c r="G798" s="14">
        <f t="shared" si="102"/>
        <v>0</v>
      </c>
      <c r="H798" s="24">
        <f t="shared" si="100"/>
        <v>658.957032505283</v>
      </c>
      <c r="I798" s="12">
        <f t="shared" si="107"/>
        <v>0.45442631899077446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490.14025757287726</v>
      </c>
      <c r="F799" s="38">
        <f t="shared" si="101"/>
        <v>0.25600261252003209</v>
      </c>
      <c r="G799" s="14">
        <f t="shared" si="102"/>
        <v>0</v>
      </c>
      <c r="H799" s="24">
        <f t="shared" si="100"/>
        <v>659.28221658600955</v>
      </c>
      <c r="I799" s="12">
        <f t="shared" si="107"/>
        <v>0.45396859532660211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490.59422616820387</v>
      </c>
      <c r="F800" s="38">
        <f t="shared" si="101"/>
        <v>0.25587627936263091</v>
      </c>
      <c r="G800" s="14">
        <f t="shared" si="102"/>
        <v>0</v>
      </c>
      <c r="H800" s="24">
        <f t="shared" si="100"/>
        <v>659.60772235093327</v>
      </c>
      <c r="I800" s="12">
        <f t="shared" si="107"/>
        <v>0.45351127480213244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491.04773744300599</v>
      </c>
      <c r="F801" s="38">
        <f t="shared" si="101"/>
        <v>0.25574994633135628</v>
      </c>
      <c r="G801" s="14">
        <f t="shared" si="102"/>
        <v>0</v>
      </c>
      <c r="H801" s="24">
        <f t="shared" si="100"/>
        <v>659.93354937147456</v>
      </c>
      <c r="I801" s="12">
        <f t="shared" si="107"/>
        <v>0.45305435804120398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491.50079180104717</v>
      </c>
      <c r="F802" s="38">
        <f t="shared" si="101"/>
        <v>0.25562361377743376</v>
      </c>
      <c r="G802" s="14">
        <f t="shared" si="102"/>
        <v>0</v>
      </c>
      <c r="H802" s="24">
        <f t="shared" si="100"/>
        <v>660.25969721626564</v>
      </c>
      <c r="I802" s="12">
        <f t="shared" si="107"/>
        <v>0.45259784566279954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491.95338964670998</v>
      </c>
      <c r="F803" s="38">
        <f t="shared" si="101"/>
        <v>0.25549728205213268</v>
      </c>
      <c r="G803" s="14">
        <f t="shared" si="102"/>
        <v>0</v>
      </c>
      <c r="H803" s="24">
        <f t="shared" si="100"/>
        <v>660.58616545117661</v>
      </c>
      <c r="I803" s="12">
        <f t="shared" si="107"/>
        <v>0.45214173828104964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492.40553138499104</v>
      </c>
      <c r="F804" s="38">
        <f t="shared" si="101"/>
        <v>0.25537095150675199</v>
      </c>
      <c r="G804" s="14">
        <f t="shared" si="102"/>
        <v>0</v>
      </c>
      <c r="H804" s="24">
        <f t="shared" si="100"/>
        <v>660.91295363933989</v>
      </c>
      <c r="I804" s="12">
        <f t="shared" si="107"/>
        <v>0.45168603650524253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492.85721742149627</v>
      </c>
      <c r="F805" s="38">
        <f t="shared" si="101"/>
        <v>0.25524462249260621</v>
      </c>
      <c r="G805" s="14">
        <f t="shared" si="102"/>
        <v>0</v>
      </c>
      <c r="H805" s="24">
        <f t="shared" si="100"/>
        <v>661.24006134117542</v>
      </c>
      <c r="I805" s="12">
        <f t="shared" si="107"/>
        <v>0.45123074093979826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493.30844816243609</v>
      </c>
      <c r="F806" s="38">
        <f t="shared" si="101"/>
        <v>0.25511829536101172</v>
      </c>
      <c r="G806" s="14">
        <f t="shared" si="102"/>
        <v>0</v>
      </c>
      <c r="H806" s="24">
        <f t="shared" si="100"/>
        <v>661.56748811441548</v>
      </c>
      <c r="I806" s="12">
        <f t="shared" si="107"/>
        <v>0.45077585218432664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493.75922401462043</v>
      </c>
      <c r="F807" s="38">
        <f t="shared" si="101"/>
        <v>0.25499197046327304</v>
      </c>
      <c r="G807" s="14">
        <f t="shared" si="102"/>
        <v>0</v>
      </c>
      <c r="H807" s="24">
        <f t="shared" si="100"/>
        <v>661.89523351412936</v>
      </c>
      <c r="I807" s="12">
        <f t="shared" si="107"/>
        <v>0.45032137083358192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494.20954538545402</v>
      </c>
      <c r="F808" s="38">
        <f t="shared" si="101"/>
        <v>0.25486564815066881</v>
      </c>
      <c r="G808" s="14">
        <f t="shared" si="102"/>
        <v>0</v>
      </c>
      <c r="H808" s="24">
        <f t="shared" si="100"/>
        <v>662.22329709274788</v>
      </c>
      <c r="I808" s="12">
        <f t="shared" si="107"/>
        <v>0.44986729747749765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494.65941268293153</v>
      </c>
      <c r="F809" s="38">
        <f t="shared" si="101"/>
        <v>0.25473932877443861</v>
      </c>
      <c r="G809" s="14">
        <f t="shared" si="102"/>
        <v>0</v>
      </c>
      <c r="H809" s="24">
        <f t="shared" si="100"/>
        <v>662.55167840008767</v>
      </c>
      <c r="I809" s="12">
        <f t="shared" si="107"/>
        <v>0.44941363270119677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495.10882631563271</v>
      </c>
      <c r="F810" s="38">
        <f t="shared" si="101"/>
        <v>0.25461301268576958</v>
      </c>
      <c r="G810" s="14">
        <f t="shared" si="102"/>
        <v>0</v>
      </c>
      <c r="H810" s="24">
        <f t="shared" si="100"/>
        <v>662.88037698337621</v>
      </c>
      <c r="I810" s="12">
        <f t="shared" si="107"/>
        <v>0.44896037708495712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495.55778669271768</v>
      </c>
      <c r="F811" s="38">
        <f t="shared" si="101"/>
        <v>0.25448670023578263</v>
      </c>
      <c r="G811" s="14">
        <f t="shared" si="102"/>
        <v>0</v>
      </c>
      <c r="H811" s="24">
        <f t="shared" si="100"/>
        <v>663.20939238727533</v>
      </c>
      <c r="I811" s="12">
        <f t="shared" si="107"/>
        <v>0.44850753120426246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496.00629422392194</v>
      </c>
      <c r="F812" s="38">
        <f t="shared" si="101"/>
        <v>0.25436039177551983</v>
      </c>
      <c r="G812" s="14">
        <f t="shared" si="102"/>
        <v>0</v>
      </c>
      <c r="H812" s="24">
        <f t="shared" si="100"/>
        <v>663.53872415390572</v>
      </c>
      <c r="I812" s="12">
        <f t="shared" si="107"/>
        <v>0.44805509562980855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496.45434931955174</v>
      </c>
      <c r="F813" s="38">
        <f t="shared" si="101"/>
        <v>0.25423408765593097</v>
      </c>
      <c r="G813" s="14">
        <f t="shared" si="102"/>
        <v>0</v>
      </c>
      <c r="H813" s="24">
        <f t="shared" si="100"/>
        <v>663.8683718228715</v>
      </c>
      <c r="I813" s="12">
        <f t="shared" si="107"/>
        <v>0.44760307092745288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496.90195239047921</v>
      </c>
      <c r="F814" s="38">
        <f t="shared" si="101"/>
        <v>0.25410778822786056</v>
      </c>
      <c r="G814" s="14">
        <f t="shared" si="102"/>
        <v>0</v>
      </c>
      <c r="H814" s="24">
        <f t="shared" si="100"/>
        <v>664.19833493128294</v>
      </c>
      <c r="I814" s="12">
        <f t="shared" si="107"/>
        <v>0.44715145765828607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497.34910384813747</v>
      </c>
      <c r="F815" s="38">
        <f t="shared" si="101"/>
        <v>0.2539814938420355</v>
      </c>
      <c r="G815" s="14">
        <f t="shared" si="102"/>
        <v>0</v>
      </c>
      <c r="H815" s="24">
        <f t="shared" si="100"/>
        <v>664.5286130137813</v>
      </c>
      <c r="I815" s="12">
        <f t="shared" si="107"/>
        <v>0.446700256378609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497.79580410451609</v>
      </c>
      <c r="F816" s="38">
        <f t="shared" si="101"/>
        <v>0.25385520484905133</v>
      </c>
      <c r="G816" s="14">
        <f t="shared" si="102"/>
        <v>0</v>
      </c>
      <c r="H816" s="24">
        <f t="shared" si="100"/>
        <v>664.85920560256272</v>
      </c>
      <c r="I816" s="12">
        <f t="shared" si="107"/>
        <v>0.44624946763994366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498.24205357215601</v>
      </c>
      <c r="F817" s="38">
        <f t="shared" si="101"/>
        <v>0.25372892159936061</v>
      </c>
      <c r="G817" s="14">
        <f t="shared" si="102"/>
        <v>0</v>
      </c>
      <c r="H817" s="24">
        <f t="shared" si="100"/>
        <v>665.19011222740073</v>
      </c>
      <c r="I817" s="12">
        <f t="shared" si="107"/>
        <v>0.4457990919890214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498.68785266414505</v>
      </c>
      <c r="F818" s="38">
        <f t="shared" si="101"/>
        <v>0.25360264444326014</v>
      </c>
      <c r="G818" s="14">
        <f t="shared" si="102"/>
        <v>0</v>
      </c>
      <c r="H818" s="24">
        <f t="shared" si="100"/>
        <v>665.52133241567071</v>
      </c>
      <c r="I818" s="12">
        <f t="shared" si="107"/>
        <v>0.44534912996782128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499.13320179411289</v>
      </c>
      <c r="F819" s="38">
        <f t="shared" si="101"/>
        <v>0.25347637373087789</v>
      </c>
      <c r="G819" s="14">
        <f t="shared" si="102"/>
        <v>0</v>
      </c>
      <c r="H819" s="24">
        <f t="shared" si="100"/>
        <v>665.85286569237337</v>
      </c>
      <c r="I819" s="12">
        <f t="shared" si="107"/>
        <v>0.44489958211356645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499.57810137622647</v>
      </c>
      <c r="F820" s="38">
        <f t="shared" si="101"/>
        <v>0.25335010981216149</v>
      </c>
      <c r="G820" s="14">
        <f t="shared" si="102"/>
        <v>0</v>
      </c>
      <c r="H820" s="24">
        <f t="shared" si="100"/>
        <v>666.18471158015745</v>
      </c>
      <c r="I820" s="12">
        <f t="shared" si="107"/>
        <v>0.44445044895871499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500.02255182518519</v>
      </c>
      <c r="F821" s="38">
        <f t="shared" si="101"/>
        <v>0.25322385303686595</v>
      </c>
      <c r="G821" s="14">
        <f t="shared" si="102"/>
        <v>0</v>
      </c>
      <c r="H821" s="24">
        <f t="shared" si="100"/>
        <v>666.51686959934318</v>
      </c>
      <c r="I821" s="12">
        <f t="shared" si="107"/>
        <v>0.4440017310309825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500.46655355621618</v>
      </c>
      <c r="F822" s="38">
        <f t="shared" si="101"/>
        <v>0.25309760375454116</v>
      </c>
      <c r="G822" s="14">
        <f t="shared" si="102"/>
        <v>0</v>
      </c>
      <c r="H822" s="24">
        <f t="shared" si="100"/>
        <v>666.84933926794565</v>
      </c>
      <c r="I822" s="12">
        <f t="shared" si="107"/>
        <v>0.44355342885332999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500.91010698506949</v>
      </c>
      <c r="F823" s="38">
        <f t="shared" si="101"/>
        <v>0.25297136231451994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667.18212010169759</v>
      </c>
      <c r="I823" s="12">
        <f t="shared" si="107"/>
        <v>0.44310554294402105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501.3532125280135</v>
      </c>
      <c r="F824" s="38">
        <f t="shared" si="101"/>
        <v>0.25284512906590673</v>
      </c>
      <c r="G824" s="14">
        <f t="shared" si="102"/>
        <v>0</v>
      </c>
      <c r="H824" s="24">
        <f t="shared" si="108"/>
        <v>667.51521161407209</v>
      </c>
      <c r="I824" s="12">
        <f t="shared" si="107"/>
        <v>0.44265807381654926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501.79587060183007</v>
      </c>
      <c r="F825" s="38">
        <f t="shared" si="101"/>
        <v>0.25271890435756522</v>
      </c>
      <c r="G825" s="14">
        <f t="shared" si="102"/>
        <v>0</v>
      </c>
      <c r="H825" s="24">
        <f t="shared" si="108"/>
        <v>667.84861331630577</v>
      </c>
      <c r="I825" s="12">
        <f t="shared" si="107"/>
        <v>0.44221102197972822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502.23808162380982</v>
      </c>
      <c r="F826" s="38">
        <f t="shared" si="101"/>
        <v>0.25259268853810735</v>
      </c>
      <c r="G826" s="14">
        <f t="shared" si="102"/>
        <v>0</v>
      </c>
      <c r="H826" s="24">
        <f t="shared" si="108"/>
        <v>668.18232471742112</v>
      </c>
      <c r="I826" s="12">
        <f t="shared" si="107"/>
        <v>0.44176438793764145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502.67984601174749</v>
      </c>
      <c r="F827" s="38">
        <f t="shared" si="101"/>
        <v>0.25246648195588101</v>
      </c>
      <c r="G827" s="14">
        <f t="shared" si="102"/>
        <v>0</v>
      </c>
      <c r="H827" s="24">
        <f t="shared" si="108"/>
        <v>668.51634532424919</v>
      </c>
      <c r="I827" s="12">
        <f t="shared" si="107"/>
        <v>0.44131817218965519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503.12116418393714</v>
      </c>
      <c r="F828" s="38">
        <f t="shared" si="101"/>
        <v>0.2523402849589591</v>
      </c>
      <c r="G828" s="14">
        <f t="shared" si="102"/>
        <v>0</v>
      </c>
      <c r="H828" s="24">
        <f t="shared" si="108"/>
        <v>668.8506746414522</v>
      </c>
      <c r="I828" s="12">
        <f t="shared" si="107"/>
        <v>0.44087237523048906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503.56203655916761</v>
      </c>
      <c r="F829" s="38">
        <f t="shared" si="101"/>
        <v>0.25221409789512811</v>
      </c>
      <c r="G829" s="14">
        <f t="shared" si="102"/>
        <v>0</v>
      </c>
      <c r="H829" s="24">
        <f t="shared" si="108"/>
        <v>669.18531217154566</v>
      </c>
      <c r="I829" s="12">
        <f t="shared" si="107"/>
        <v>0.4404269975501085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504.00246355671771</v>
      </c>
      <c r="F830" s="38">
        <f t="shared" si="101"/>
        <v>0.25208792111187689</v>
      </c>
      <c r="G830" s="14">
        <f t="shared" si="102"/>
        <v>0</v>
      </c>
      <c r="H830" s="24">
        <f t="shared" si="108"/>
        <v>669.52025741492082</v>
      </c>
      <c r="I830" s="12">
        <f t="shared" si="107"/>
        <v>0.43998203963384797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504.44244559635155</v>
      </c>
      <c r="F831" s="38">
        <f t="shared" si="101"/>
        <v>0.25196175495638556</v>
      </c>
      <c r="G831" s="14">
        <f t="shared" si="102"/>
        <v>0</v>
      </c>
      <c r="H831" s="24">
        <f t="shared" si="108"/>
        <v>669.85550986986664</v>
      </c>
      <c r="I831" s="12">
        <f t="shared" si="107"/>
        <v>0.43953750196234909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504.88198309831392</v>
      </c>
      <c r="F832" s="38">
        <f t="shared" si="101"/>
        <v>0.2518355997755144</v>
      </c>
      <c r="G832" s="14">
        <f t="shared" si="102"/>
        <v>0</v>
      </c>
      <c r="H832" s="24">
        <f t="shared" si="108"/>
        <v>670.19106903259217</v>
      </c>
      <c r="I832" s="12">
        <f t="shared" si="107"/>
        <v>0.43909338501159428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505.3210764833255</v>
      </c>
      <c r="F833" s="38">
        <f t="shared" si="101"/>
        <v>0.25170945591579319</v>
      </c>
      <c r="G833" s="14">
        <f t="shared" si="102"/>
        <v>0</v>
      </c>
      <c r="H833" s="24">
        <f t="shared" si="108"/>
        <v>670.52693439724817</v>
      </c>
      <c r="I833" s="12">
        <f t="shared" si="107"/>
        <v>0.43864968925291481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505.75972617257844</v>
      </c>
      <c r="F834" s="38">
        <f t="shared" si="101"/>
        <v>0.25158332372340991</v>
      </c>
      <c r="G834" s="14">
        <f t="shared" si="102"/>
        <v>0</v>
      </c>
      <c r="H834" s="24">
        <f t="shared" si="108"/>
        <v>670.86310545594893</v>
      </c>
      <c r="I834" s="12">
        <f t="shared" si="107"/>
        <v>0.43820641515297615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506.19793258773143</v>
      </c>
      <c r="F835" s="38">
        <f t="shared" si="101"/>
        <v>0.25145720354420065</v>
      </c>
      <c r="G835" s="14">
        <f t="shared" si="102"/>
        <v>0</v>
      </c>
      <c r="H835" s="24">
        <f t="shared" si="108"/>
        <v>671.19958169879442</v>
      </c>
      <c r="I835" s="12">
        <f t="shared" si="107"/>
        <v>0.43776356317382303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506.63569615090523</v>
      </c>
      <c r="F836" s="38">
        <f t="shared" si="101"/>
        <v>0.25133109572363865</v>
      </c>
      <c r="G836" s="14">
        <f t="shared" si="102"/>
        <v>0</v>
      </c>
      <c r="H836" s="24">
        <f t="shared" si="108"/>
        <v>671.53636261389147</v>
      </c>
      <c r="I836" s="12">
        <f t="shared" si="107"/>
        <v>0.43732113377285686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507.07301728467809</v>
      </c>
      <c r="F837" s="38">
        <f t="shared" si="101"/>
        <v>0.2512050006068241</v>
      </c>
      <c r="G837" s="14">
        <f t="shared" si="102"/>
        <v>0</v>
      </c>
      <c r="H837" s="24">
        <f t="shared" si="108"/>
        <v>671.87344768737512</v>
      </c>
      <c r="I837" s="12">
        <f t="shared" si="107"/>
        <v>0.43687912740285717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507.50989641208093</v>
      </c>
      <c r="F838" s="38">
        <f t="shared" si="101"/>
        <v>0.25107891853847325</v>
      </c>
      <c r="G838" s="14">
        <f t="shared" si="102"/>
        <v>0</v>
      </c>
      <c r="H838" s="24">
        <f t="shared" si="108"/>
        <v>672.21083640343124</v>
      </c>
      <c r="I838" s="12">
        <f t="shared" si="107"/>
        <v>0.43643754451199707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507.94633395659292</v>
      </c>
      <c r="F839" s="38">
        <f t="shared" si="101"/>
        <v>0.25095284986290856</v>
      </c>
      <c r="G839" s="14">
        <f t="shared" si="102"/>
        <v>0</v>
      </c>
      <c r="H839" s="24">
        <f t="shared" si="108"/>
        <v>672.54852824431646</v>
      </c>
      <c r="I839" s="12">
        <f t="shared" si="107"/>
        <v>0.43599638554383907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508.38233034213675</v>
      </c>
      <c r="F840" s="38">
        <f t="shared" si="101"/>
        <v>0.25082679492404863</v>
      </c>
      <c r="G840" s="14">
        <f t="shared" si="102"/>
        <v>0</v>
      </c>
      <c r="H840" s="24">
        <f t="shared" si="108"/>
        <v>672.88652269037971</v>
      </c>
      <c r="I840" s="12">
        <f t="shared" si="107"/>
        <v>0.435555650937337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508.81788599307407</v>
      </c>
      <c r="F841" s="38">
        <f t="shared" si="101"/>
        <v>0.25070075406539766</v>
      </c>
      <c r="G841" s="14">
        <f t="shared" si="102"/>
        <v>0</v>
      </c>
      <c r="H841" s="24">
        <f t="shared" si="108"/>
        <v>673.22481922008399</v>
      </c>
      <c r="I841" s="12">
        <f t="shared" si="107"/>
        <v>0.43511534112688527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509.25300133420097</v>
      </c>
      <c r="F842" s="38">
        <f t="shared" si="101"/>
        <v>0.2505747276300358</v>
      </c>
      <c r="G842" s="14">
        <f t="shared" si="102"/>
        <v>0</v>
      </c>
      <c r="H842" s="24">
        <f t="shared" si="108"/>
        <v>673.56341731002669</v>
      </c>
      <c r="I842" s="12">
        <f t="shared" si="107"/>
        <v>0.43467545654225875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509.68767679074324</v>
      </c>
      <c r="F843" s="38">
        <f t="shared" si="101"/>
        <v>0.25044871596060914</v>
      </c>
      <c r="G843" s="14">
        <f t="shared" si="102"/>
        <v>0</v>
      </c>
      <c r="H843" s="24">
        <f t="shared" si="108"/>
        <v>673.90231643496111</v>
      </c>
      <c r="I843" s="12">
        <f t="shared" si="107"/>
        <v>0.43423599760869674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510.12191278835195</v>
      </c>
      <c r="F844" s="38">
        <f t="shared" si="101"/>
        <v>0.25032271939931988</v>
      </c>
      <c r="G844" s="14">
        <f t="shared" si="102"/>
        <v>0</v>
      </c>
      <c r="H844" s="24">
        <f t="shared" si="108"/>
        <v>674.24151606781652</v>
      </c>
      <c r="I844" s="12">
        <f t="shared" si="107"/>
        <v>0.4337969647468593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510.55570975309882</v>
      </c>
      <c r="F845" s="38">
        <f t="shared" si="101"/>
        <v>0.25019673828791722</v>
      </c>
      <c r="G845" s="14">
        <f t="shared" si="102"/>
        <v>0</v>
      </c>
      <c r="H845" s="24">
        <f t="shared" si="108"/>
        <v>674.58101567971914</v>
      </c>
      <c r="I845" s="12">
        <f t="shared" si="107"/>
        <v>0.43335835837286951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510.98906811147168</v>
      </c>
      <c r="F846" s="38">
        <f t="shared" si="101"/>
        <v>0.25007077296768676</v>
      </c>
      <c r="G846" s="14">
        <f t="shared" si="102"/>
        <v>0</v>
      </c>
      <c r="H846" s="24">
        <f t="shared" si="108"/>
        <v>674.92081474001338</v>
      </c>
      <c r="I846" s="12">
        <f t="shared" si="107"/>
        <v>0.43292017889828355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511.42198829036994</v>
      </c>
      <c r="F847" s="38">
        <f t="shared" si="101"/>
        <v>0.24994482377944197</v>
      </c>
      <c r="G847" s="14">
        <f t="shared" si="102"/>
        <v>0</v>
      </c>
      <c r="H847" s="24">
        <f t="shared" si="108"/>
        <v>675.26091271628138</v>
      </c>
      <c r="I847" s="12">
        <f t="shared" si="107"/>
        <v>0.43248242673013421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511.85447071710007</v>
      </c>
      <c r="F848" s="38">
        <f t="shared" si="101"/>
        <v>0.2498188910635141</v>
      </c>
      <c r="G848" s="14">
        <f t="shared" si="102"/>
        <v>0</v>
      </c>
      <c r="H848" s="24">
        <f t="shared" si="108"/>
        <v>675.60130907436405</v>
      </c>
      <c r="I848" s="12">
        <f t="shared" si="107"/>
        <v>0.43204510227095416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512.28651581937106</v>
      </c>
      <c r="F849" s="38">
        <f t="shared" si="101"/>
        <v>0.24969297515974351</v>
      </c>
      <c r="G849" s="14">
        <f t="shared" si="102"/>
        <v>0</v>
      </c>
      <c r="H849" s="24">
        <f t="shared" si="108"/>
        <v>675.94200327838098</v>
      </c>
      <c r="I849" s="12">
        <f t="shared" si="107"/>
        <v>0.43160820591871951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512.71812402528974</v>
      </c>
      <c r="F850" s="38">
        <f t="shared" si="101"/>
        <v>0.24956707640747022</v>
      </c>
      <c r="G850" s="14">
        <f t="shared" si="102"/>
        <v>0</v>
      </c>
      <c r="H850" s="24">
        <f t="shared" si="108"/>
        <v>676.28299479075076</v>
      </c>
      <c r="I850" s="12">
        <f t="shared" si="107"/>
        <v>0.43117173806693004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513.14929576335669</v>
      </c>
      <c r="F851" s="38">
        <f t="shared" si="101"/>
        <v>0.24944119514552443</v>
      </c>
      <c r="G851" s="14">
        <f t="shared" si="102"/>
        <v>0</v>
      </c>
      <c r="H851" s="24">
        <f t="shared" si="108"/>
        <v>676.62428307221148</v>
      </c>
      <c r="I851" s="12">
        <f t="shared" si="107"/>
        <v>0.43073569910459258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513.58003146246131</v>
      </c>
      <c r="F852" s="38">
        <f t="shared" ref="F852:F915" si="109">Cp*RhoP/(RhoA*H852)*dp/1000*MassivP</f>
        <v>0.24931533171221837</v>
      </c>
      <c r="G852" s="14">
        <f t="shared" ref="G852:G915" si="110">Phi*EpsilonF*Botzman/10^8*J852*((D852+273)^4-(E852+273)^4)</f>
        <v>0</v>
      </c>
      <c r="H852" s="24">
        <f t="shared" si="108"/>
        <v>676.96586758183969</v>
      </c>
      <c r="I852" s="12">
        <f t="shared" si="107"/>
        <v>0.43030008941619452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514.01033155187747</v>
      </c>
      <c r="F853" s="38">
        <f t="shared" si="109"/>
        <v>0.24918948644533678</v>
      </c>
      <c r="G853" s="14">
        <f t="shared" si="110"/>
        <v>0</v>
      </c>
      <c r="H853" s="24">
        <f t="shared" si="108"/>
        <v>677.30774777707131</v>
      </c>
      <c r="I853" s="12">
        <f t="shared" ref="I853:I916" si="115">LambdaP*MassivP/(dp/1000)/(H853*RhoA)/(1+F853/3)*(D853-E853)*DeltaT-(EXP(F853/10)-1)*(D853-D852)</f>
        <v>0.4298649093817879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514.44019646125923</v>
      </c>
      <c r="F854" s="38">
        <f t="shared" si="109"/>
        <v>0.24906365968212801</v>
      </c>
      <c r="G854" s="14">
        <f t="shared" si="110"/>
        <v>0</v>
      </c>
      <c r="H854" s="24">
        <f t="shared" si="108"/>
        <v>677.64992311372134</v>
      </c>
      <c r="I854" s="12">
        <f t="shared" si="115"/>
        <v>0.42943015937694368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514.86962662063615</v>
      </c>
      <c r="F855" s="38">
        <f t="shared" si="109"/>
        <v>0.24893785175929597</v>
      </c>
      <c r="G855" s="14">
        <f t="shared" si="110"/>
        <v>0</v>
      </c>
      <c r="H855" s="24">
        <f t="shared" si="108"/>
        <v>677.99239304600246</v>
      </c>
      <c r="I855" s="12">
        <f t="shared" si="115"/>
        <v>0.42899583977276734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515.29862246040898</v>
      </c>
      <c r="F856" s="38">
        <f t="shared" si="109"/>
        <v>0.24881206301299086</v>
      </c>
      <c r="G856" s="14">
        <f t="shared" si="110"/>
        <v>0</v>
      </c>
      <c r="H856" s="24">
        <f t="shared" si="108"/>
        <v>678.33515702654609</v>
      </c>
      <c r="I856" s="12">
        <f t="shared" si="115"/>
        <v>0.42856195093592059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515.72718441134487</v>
      </c>
      <c r="F857" s="38">
        <f t="shared" si="109"/>
        <v>0.2486862937788013</v>
      </c>
      <c r="G857" s="14">
        <f t="shared" si="110"/>
        <v>0</v>
      </c>
      <c r="H857" s="24">
        <f t="shared" si="108"/>
        <v>678.67821450642077</v>
      </c>
      <c r="I857" s="12">
        <f t="shared" si="115"/>
        <v>0.42812849322865654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516.15531290457352</v>
      </c>
      <c r="F858" s="38">
        <f t="shared" si="109"/>
        <v>0.24856054439174508</v>
      </c>
      <c r="G858" s="14">
        <f t="shared" si="110"/>
        <v>0</v>
      </c>
      <c r="H858" s="24">
        <f t="shared" si="108"/>
        <v>679.02156493515213</v>
      </c>
      <c r="I858" s="12">
        <f t="shared" si="115"/>
        <v>0.42769546700875372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516.58300837158231</v>
      </c>
      <c r="F859" s="38">
        <f t="shared" si="109"/>
        <v>0.24843481518626151</v>
      </c>
      <c r="G859" s="14">
        <f t="shared" si="110"/>
        <v>0</v>
      </c>
      <c r="H859" s="24">
        <f t="shared" si="108"/>
        <v>679.36520776074178</v>
      </c>
      <c r="I859" s="12">
        <f t="shared" si="115"/>
        <v>0.42726287262961499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517.01027124421194</v>
      </c>
      <c r="F860" s="38">
        <f t="shared" si="109"/>
        <v>0.24830910649620316</v>
      </c>
      <c r="G860" s="14">
        <f t="shared" si="110"/>
        <v>0</v>
      </c>
      <c r="H860" s="24">
        <f t="shared" si="108"/>
        <v>679.70914242968695</v>
      </c>
      <c r="I860" s="12">
        <f t="shared" si="115"/>
        <v>0.42683071044023158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517.43710195465212</v>
      </c>
      <c r="F861" s="38">
        <f t="shared" si="109"/>
        <v>0.24818341865482732</v>
      </c>
      <c r="G861" s="14">
        <f t="shared" si="110"/>
        <v>0</v>
      </c>
      <c r="H861" s="24">
        <f t="shared" si="108"/>
        <v>680.05336838699884</v>
      </c>
      <c r="I861" s="12">
        <f t="shared" si="115"/>
        <v>0.42639898078518879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517.86350093543729</v>
      </c>
      <c r="F862" s="38">
        <f t="shared" si="109"/>
        <v>0.2480577519947883</v>
      </c>
      <c r="G862" s="14">
        <f t="shared" si="110"/>
        <v>0</v>
      </c>
      <c r="H862" s="24">
        <f t="shared" si="108"/>
        <v>680.39788507622256</v>
      </c>
      <c r="I862" s="12">
        <f t="shared" si="115"/>
        <v>0.42596768400468504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518.289468619442</v>
      </c>
      <c r="F863" s="38">
        <f t="shared" si="109"/>
        <v>0.24793210684812905</v>
      </c>
      <c r="G863" s="14">
        <f t="shared" si="110"/>
        <v>0</v>
      </c>
      <c r="H863" s="24">
        <f t="shared" si="108"/>
        <v>680.74269193945543</v>
      </c>
      <c r="I863" s="12">
        <f t="shared" si="115"/>
        <v>0.42553682043457269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518.71500543987656</v>
      </c>
      <c r="F864" s="38">
        <f t="shared" si="109"/>
        <v>0.24780648354627396</v>
      </c>
      <c r="G864" s="14">
        <f t="shared" si="110"/>
        <v>0</v>
      </c>
      <c r="H864" s="24">
        <f t="shared" si="108"/>
        <v>681.08778841736569</v>
      </c>
      <c r="I864" s="12">
        <f t="shared" si="115"/>
        <v>0.42510639040630871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519.14011183028288</v>
      </c>
      <c r="F865" s="38">
        <f t="shared" si="109"/>
        <v>0.24768088242002073</v>
      </c>
      <c r="G865" s="14">
        <f t="shared" si="110"/>
        <v>0</v>
      </c>
      <c r="H865" s="24">
        <f t="shared" si="108"/>
        <v>681.4331739492111</v>
      </c>
      <c r="I865" s="12">
        <f t="shared" si="115"/>
        <v>0.4246763942470087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519.56478822452993</v>
      </c>
      <c r="F866" s="38">
        <f t="shared" si="109"/>
        <v>0.24755530379953222</v>
      </c>
      <c r="G866" s="14">
        <f t="shared" si="110"/>
        <v>0</v>
      </c>
      <c r="H866" s="24">
        <f t="shared" si="108"/>
        <v>681.77884797285833</v>
      </c>
      <c r="I866" s="12">
        <f t="shared" si="115"/>
        <v>0.42424683227946181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519.98903505680937</v>
      </c>
      <c r="F867" s="38">
        <f t="shared" si="109"/>
        <v>0.2474297480143299</v>
      </c>
      <c r="G867" s="14">
        <f t="shared" si="110"/>
        <v>0</v>
      </c>
      <c r="H867" s="24">
        <f t="shared" si="108"/>
        <v>682.1248099248005</v>
      </c>
      <c r="I867" s="12">
        <f t="shared" si="115"/>
        <v>0.42381770482210496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520.41285276163148</v>
      </c>
      <c r="F868" s="38">
        <f t="shared" si="109"/>
        <v>0.2473042153932854</v>
      </c>
      <c r="G868" s="14">
        <f t="shared" si="110"/>
        <v>0</v>
      </c>
      <c r="H868" s="24">
        <f t="shared" si="108"/>
        <v>682.47105924017569</v>
      </c>
      <c r="I868" s="12">
        <f t="shared" si="115"/>
        <v>0.42338901218907321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520.83624177382057</v>
      </c>
      <c r="F869" s="38">
        <f t="shared" si="109"/>
        <v>0.24717870626461355</v>
      </c>
      <c r="G869" s="14">
        <f t="shared" si="110"/>
        <v>0</v>
      </c>
      <c r="H869" s="24">
        <f t="shared" si="108"/>
        <v>682.81759535278616</v>
      </c>
      <c r="I869" s="12">
        <f t="shared" si="115"/>
        <v>0.42296075469017957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521.25920252851074</v>
      </c>
      <c r="F870" s="38">
        <f t="shared" si="109"/>
        <v>0.24705322095586477</v>
      </c>
      <c r="G870" s="14">
        <f t="shared" si="110"/>
        <v>0</v>
      </c>
      <c r="H870" s="24">
        <f t="shared" si="108"/>
        <v>683.1644176951155</v>
      </c>
      <c r="I870" s="12">
        <f t="shared" si="115"/>
        <v>0.42253293263094172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521.68173546114167</v>
      </c>
      <c r="F871" s="38">
        <f t="shared" si="109"/>
        <v>0.2469277597939184</v>
      </c>
      <c r="G871" s="14">
        <f t="shared" si="110"/>
        <v>0</v>
      </c>
      <c r="H871" s="24">
        <f t="shared" si="108"/>
        <v>683.51152569834676</v>
      </c>
      <c r="I871" s="12">
        <f t="shared" si="115"/>
        <v>0.42210554631260261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522.10384100745432</v>
      </c>
      <c r="F872" s="38">
        <f t="shared" si="109"/>
        <v>0.24680232310497496</v>
      </c>
      <c r="G872" s="14">
        <f t="shared" si="110"/>
        <v>0</v>
      </c>
      <c r="H872" s="24">
        <f t="shared" si="108"/>
        <v>683.85891879238102</v>
      </c>
      <c r="I872" s="12">
        <f t="shared" si="115"/>
        <v>0.42167859603211594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522.52551960348649</v>
      </c>
      <c r="F873" s="38">
        <f t="shared" si="109"/>
        <v>0.24667691121454918</v>
      </c>
      <c r="G873" s="14">
        <f t="shared" si="110"/>
        <v>0</v>
      </c>
      <c r="H873" s="24">
        <f t="shared" si="108"/>
        <v>684.20659640585541</v>
      </c>
      <c r="I873" s="12">
        <f t="shared" si="115"/>
        <v>0.42125208208217513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522.94677168556871</v>
      </c>
      <c r="F874" s="38">
        <f t="shared" si="109"/>
        <v>0.24655152444746334</v>
      </c>
      <c r="G874" s="14">
        <f t="shared" si="110"/>
        <v>0</v>
      </c>
      <c r="H874" s="24">
        <f t="shared" si="108"/>
        <v>684.55455796615968</v>
      </c>
      <c r="I874" s="12">
        <f t="shared" si="115"/>
        <v>0.42082600475123788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523.36759769031994</v>
      </c>
      <c r="F875" s="38">
        <f t="shared" si="109"/>
        <v>0.24642616312784005</v>
      </c>
      <c r="G875" s="14">
        <f t="shared" si="110"/>
        <v>0</v>
      </c>
      <c r="H875" s="24">
        <f t="shared" si="108"/>
        <v>684.90280289945542</v>
      </c>
      <c r="I875" s="12">
        <f t="shared" si="115"/>
        <v>0.42040036432348582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523.78799805464348</v>
      </c>
      <c r="F876" s="38">
        <f t="shared" si="109"/>
        <v>0.24630082757909558</v>
      </c>
      <c r="G876" s="14">
        <f t="shared" si="110"/>
        <v>0</v>
      </c>
      <c r="H876" s="24">
        <f t="shared" si="108"/>
        <v>685.25133063069279</v>
      </c>
      <c r="I876" s="12">
        <f t="shared" si="115"/>
        <v>0.41997516107889388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524.2079732157224</v>
      </c>
      <c r="F877" s="38">
        <f t="shared" si="109"/>
        <v>0.24617551812393323</v>
      </c>
      <c r="G877" s="14">
        <f t="shared" si="110"/>
        <v>0</v>
      </c>
      <c r="H877" s="24">
        <f t="shared" si="108"/>
        <v>685.60014058362799</v>
      </c>
      <c r="I877" s="12">
        <f t="shared" si="115"/>
        <v>0.41955039529323179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524.62752361101559</v>
      </c>
      <c r="F878" s="38">
        <f t="shared" si="109"/>
        <v>0.24605023508433652</v>
      </c>
      <c r="G878" s="14">
        <f t="shared" si="110"/>
        <v>0</v>
      </c>
      <c r="H878" s="24">
        <f t="shared" si="108"/>
        <v>685.94923218084114</v>
      </c>
      <c r="I878" s="12">
        <f t="shared" si="115"/>
        <v>0.41912606723801932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525.04664967825363</v>
      </c>
      <c r="F879" s="38">
        <f t="shared" si="109"/>
        <v>0.24592497878156269</v>
      </c>
      <c r="G879" s="14">
        <f t="shared" si="110"/>
        <v>0</v>
      </c>
      <c r="H879" s="24">
        <f t="shared" si="108"/>
        <v>686.29860484375331</v>
      </c>
      <c r="I879" s="12">
        <f t="shared" si="115"/>
        <v>0.41870217718063041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525.46535185543428</v>
      </c>
      <c r="F880" s="38">
        <f t="shared" si="109"/>
        <v>0.24579974953613612</v>
      </c>
      <c r="G880" s="14">
        <f t="shared" si="110"/>
        <v>0</v>
      </c>
      <c r="H880" s="24">
        <f t="shared" si="108"/>
        <v>686.64825799264395</v>
      </c>
      <c r="I880" s="12">
        <f t="shared" si="115"/>
        <v>0.41827872538421301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525.88363058081848</v>
      </c>
      <c r="F881" s="38">
        <f t="shared" si="109"/>
        <v>0.24567454766784241</v>
      </c>
      <c r="G881" s="14">
        <f t="shared" si="110"/>
        <v>0</v>
      </c>
      <c r="H881" s="24">
        <f t="shared" si="108"/>
        <v>686.99819104666767</v>
      </c>
      <c r="I881" s="12">
        <f t="shared" si="115"/>
        <v>0.41785571210777711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526.30148629292626</v>
      </c>
      <c r="F882" s="38">
        <f t="shared" si="109"/>
        <v>0.24554937349572162</v>
      </c>
      <c r="G882" s="14">
        <f t="shared" si="110"/>
        <v>0</v>
      </c>
      <c r="H882" s="24">
        <f t="shared" si="108"/>
        <v>687.3484034238711</v>
      </c>
      <c r="I882" s="12">
        <f t="shared" si="115"/>
        <v>0.4174331376061472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526.71891943053242</v>
      </c>
      <c r="F883" s="38">
        <f t="shared" si="109"/>
        <v>0.24542422733806199</v>
      </c>
      <c r="G883" s="14">
        <f t="shared" si="110"/>
        <v>0</v>
      </c>
      <c r="H883" s="24">
        <f t="shared" si="108"/>
        <v>687.69889454121085</v>
      </c>
      <c r="I883" s="12">
        <f t="shared" si="115"/>
        <v>0.41701100213001957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527.13593043266246</v>
      </c>
      <c r="F884" s="38">
        <f t="shared" si="109"/>
        <v>0.24529910951239428</v>
      </c>
      <c r="G884" s="14">
        <f t="shared" si="110"/>
        <v>0</v>
      </c>
      <c r="H884" s="24">
        <f t="shared" si="108"/>
        <v>688.04966381456916</v>
      </c>
      <c r="I884" s="12">
        <f t="shared" si="115"/>
        <v>0.41658930592593002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527.55251973858844</v>
      </c>
      <c r="F885" s="38">
        <f t="shared" si="109"/>
        <v>0.24517402033548519</v>
      </c>
      <c r="G885" s="14">
        <f t="shared" si="110"/>
        <v>0</v>
      </c>
      <c r="H885" s="24">
        <f t="shared" si="108"/>
        <v>688.40071065877135</v>
      </c>
      <c r="I885" s="12">
        <f t="shared" si="115"/>
        <v>0.41616804923631862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527.96868778782471</v>
      </c>
      <c r="F886" s="38">
        <f t="shared" si="109"/>
        <v>0.2450489601233318</v>
      </c>
      <c r="G886" s="14">
        <f t="shared" si="110"/>
        <v>0</v>
      </c>
      <c r="H886" s="24">
        <f t="shared" si="108"/>
        <v>688.75203448760226</v>
      </c>
      <c r="I886" s="12">
        <f t="shared" si="115"/>
        <v>0.4157472322994894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528.38443502012422</v>
      </c>
      <c r="F887" s="38">
        <f t="shared" si="109"/>
        <v>0.24492392919115527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689.10363471382288</v>
      </c>
      <c r="I887" s="12">
        <f t="shared" si="115"/>
        <v>0.4153268553496508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528.79976187547391</v>
      </c>
      <c r="F888" s="38">
        <f t="shared" si="109"/>
        <v>0.24479892785339552</v>
      </c>
      <c r="G888" s="14">
        <f t="shared" si="110"/>
        <v>0</v>
      </c>
      <c r="H888" s="24">
        <f t="shared" si="116"/>
        <v>689.4555107491866</v>
      </c>
      <c r="I888" s="12">
        <f t="shared" si="115"/>
        <v>0.41490691861693596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529.21466879409081</v>
      </c>
      <c r="F889" s="38">
        <f t="shared" si="109"/>
        <v>0.24467395642370507</v>
      </c>
      <c r="G889" s="14">
        <f t="shared" si="110"/>
        <v>0</v>
      </c>
      <c r="H889" s="24">
        <f t="shared" si="116"/>
        <v>689.80766200445555</v>
      </c>
      <c r="I889" s="12">
        <f t="shared" si="115"/>
        <v>0.41448742232739061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529.62915621641821</v>
      </c>
      <c r="F890" s="38">
        <f t="shared" si="109"/>
        <v>0.24454901521494368</v>
      </c>
      <c r="G890" s="14">
        <f t="shared" si="110"/>
        <v>0</v>
      </c>
      <c r="H890" s="24">
        <f t="shared" si="116"/>
        <v>690.16008788941758</v>
      </c>
      <c r="I890" s="12">
        <f t="shared" si="115"/>
        <v>0.4140683667029903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530.04322458312117</v>
      </c>
      <c r="F891" s="38">
        <f t="shared" si="109"/>
        <v>0.24442410453917249</v>
      </c>
      <c r="G891" s="14">
        <f t="shared" si="110"/>
        <v>0</v>
      </c>
      <c r="H891" s="24">
        <f t="shared" si="116"/>
        <v>690.51278781290148</v>
      </c>
      <c r="I891" s="12">
        <f t="shared" si="115"/>
        <v>0.41364975196167147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530.45687433508283</v>
      </c>
      <c r="F892" s="38">
        <f t="shared" si="109"/>
        <v>0.2442992247076487</v>
      </c>
      <c r="G892" s="14">
        <f t="shared" si="110"/>
        <v>0</v>
      </c>
      <c r="H892" s="24">
        <f t="shared" si="116"/>
        <v>690.86576118279368</v>
      </c>
      <c r="I892" s="12">
        <f t="shared" si="115"/>
        <v>0.41323157831732504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530.87010591340015</v>
      </c>
      <c r="F893" s="38">
        <f t="shared" si="109"/>
        <v>0.24417437603082023</v>
      </c>
      <c r="G893" s="14">
        <f t="shared" si="110"/>
        <v>0</v>
      </c>
      <c r="H893" s="24">
        <f t="shared" si="116"/>
        <v>691.21900740605372</v>
      </c>
      <c r="I893" s="12">
        <f t="shared" si="115"/>
        <v>0.41281384597981735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531.28291975937998</v>
      </c>
      <c r="F894" s="38">
        <f t="shared" si="109"/>
        <v>0.24404955881832022</v>
      </c>
      <c r="G894" s="14">
        <f t="shared" si="110"/>
        <v>0</v>
      </c>
      <c r="H894" s="24">
        <f t="shared" si="116"/>
        <v>691.57252588873075</v>
      </c>
      <c r="I894" s="12">
        <f t="shared" si="115"/>
        <v>0.41239655515498908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531.69531631453492</v>
      </c>
      <c r="F895" s="38">
        <f t="shared" si="109"/>
        <v>0.24392477337896171</v>
      </c>
      <c r="G895" s="14">
        <f t="shared" si="110"/>
        <v>0</v>
      </c>
      <c r="H895" s="24">
        <f t="shared" si="116"/>
        <v>691.9263160359792</v>
      </c>
      <c r="I895" s="12">
        <f t="shared" si="115"/>
        <v>0.41197970604470391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532.10729602057961</v>
      </c>
      <c r="F896" s="38">
        <f t="shared" si="109"/>
        <v>0.24380002002073264</v>
      </c>
      <c r="G896" s="14">
        <f t="shared" si="110"/>
        <v>0</v>
      </c>
      <c r="H896" s="24">
        <f t="shared" si="116"/>
        <v>692.28037725207435</v>
      </c>
      <c r="I896" s="12">
        <f t="shared" si="115"/>
        <v>0.41156329884679499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532.51885931942638</v>
      </c>
      <c r="F897" s="38">
        <f t="shared" si="109"/>
        <v>0.24367529905079072</v>
      </c>
      <c r="G897" s="14">
        <f t="shared" si="110"/>
        <v>0</v>
      </c>
      <c r="H897" s="24">
        <f t="shared" si="116"/>
        <v>692.63470894042757</v>
      </c>
      <c r="I897" s="12">
        <f t="shared" si="115"/>
        <v>0.41114733375516688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532.93000665318152</v>
      </c>
      <c r="F898" s="38">
        <f t="shared" si="109"/>
        <v>0.2435506107754582</v>
      </c>
      <c r="G898" s="14">
        <f t="shared" si="110"/>
        <v>0</v>
      </c>
      <c r="H898" s="24">
        <f t="shared" si="116"/>
        <v>692.98931050360261</v>
      </c>
      <c r="I898" s="12">
        <f t="shared" si="115"/>
        <v>0.41073181095971106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533.34073846414128</v>
      </c>
      <c r="F899" s="38">
        <f t="shared" si="109"/>
        <v>0.24342595550021712</v>
      </c>
      <c r="G899" s="14">
        <f t="shared" si="110"/>
        <v>0</v>
      </c>
      <c r="H899" s="24">
        <f t="shared" si="116"/>
        <v>693.34418134333066</v>
      </c>
      <c r="I899" s="12">
        <f t="shared" si="115"/>
        <v>0.41031673064639951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533.75105519478768</v>
      </c>
      <c r="F900" s="38">
        <f t="shared" si="109"/>
        <v>0.24330133352970423</v>
      </c>
      <c r="G900" s="14">
        <f t="shared" si="110"/>
        <v>0</v>
      </c>
      <c r="H900" s="24">
        <f t="shared" si="116"/>
        <v>693.69932086052563</v>
      </c>
      <c r="I900" s="12">
        <f t="shared" si="115"/>
        <v>0.40990209299725899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534.16095728778498</v>
      </c>
      <c r="F901" s="38">
        <f t="shared" si="109"/>
        <v>0.2431767451677064</v>
      </c>
      <c r="G901" s="14">
        <f t="shared" si="110"/>
        <v>0</v>
      </c>
      <c r="H901" s="24">
        <f t="shared" si="116"/>
        <v>694.0547284552996</v>
      </c>
      <c r="I901" s="12">
        <f t="shared" si="115"/>
        <v>0.40948789819037007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534.57044518597536</v>
      </c>
      <c r="F902" s="38">
        <f t="shared" si="109"/>
        <v>0.24305219071715575</v>
      </c>
      <c r="G902" s="14">
        <f t="shared" si="110"/>
        <v>0</v>
      </c>
      <c r="H902" s="24">
        <f t="shared" si="116"/>
        <v>694.4104035269778</v>
      </c>
      <c r="I902" s="12">
        <f t="shared" si="115"/>
        <v>0.40907414639993078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534.97951933237528</v>
      </c>
      <c r="F903" s="38">
        <f t="shared" si="109"/>
        <v>0.24292767048012479</v>
      </c>
      <c r="G903" s="14">
        <f t="shared" si="110"/>
        <v>0</v>
      </c>
      <c r="H903" s="24">
        <f t="shared" si="116"/>
        <v>694.7663454741139</v>
      </c>
      <c r="I903" s="12">
        <f t="shared" si="115"/>
        <v>0.40866083779620244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535.38818017017149</v>
      </c>
      <c r="F904" s="38">
        <f t="shared" si="109"/>
        <v>0.24280318475782225</v>
      </c>
      <c r="G904" s="14">
        <f t="shared" si="110"/>
        <v>0</v>
      </c>
      <c r="H904" s="24">
        <f t="shared" si="116"/>
        <v>695.12255369450486</v>
      </c>
      <c r="I904" s="12">
        <f t="shared" si="115"/>
        <v>0.40824797254559009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535.7964281427171</v>
      </c>
      <c r="F905" s="38">
        <f t="shared" si="109"/>
        <v>0.24267873385058814</v>
      </c>
      <c r="G905" s="14">
        <f t="shared" si="110"/>
        <v>0</v>
      </c>
      <c r="H905" s="24">
        <f t="shared" si="116"/>
        <v>695.47902758520593</v>
      </c>
      <c r="I905" s="12">
        <f t="shared" si="115"/>
        <v>0.40783555081059158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536.20426369352765</v>
      </c>
      <c r="F906" s="38">
        <f t="shared" si="109"/>
        <v>0.24255431805788982</v>
      </c>
      <c r="G906" s="14">
        <f t="shared" si="110"/>
        <v>0</v>
      </c>
      <c r="H906" s="24">
        <f t="shared" si="116"/>
        <v>695.83576654254512</v>
      </c>
      <c r="I906" s="12">
        <f t="shared" si="115"/>
        <v>0.40742357274986757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536.6116872662775</v>
      </c>
      <c r="F907" s="38">
        <f t="shared" si="109"/>
        <v>0.24242993767831689</v>
      </c>
      <c r="G907" s="14">
        <f t="shared" si="110"/>
        <v>0</v>
      </c>
      <c r="H907" s="24">
        <f t="shared" si="116"/>
        <v>696.19276996213853</v>
      </c>
      <c r="I907" s="12">
        <f t="shared" si="115"/>
        <v>0.40701203851821899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537.01869930479575</v>
      </c>
      <c r="F908" s="38">
        <f t="shared" si="109"/>
        <v>0.24230559300957757</v>
      </c>
      <c r="G908" s="14">
        <f t="shared" si="110"/>
        <v>0</v>
      </c>
      <c r="H908" s="24">
        <f t="shared" si="116"/>
        <v>696.55003723890445</v>
      </c>
      <c r="I908" s="12">
        <f t="shared" si="115"/>
        <v>0.40660094826660648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537.42530025306235</v>
      </c>
      <c r="F909" s="38">
        <f t="shared" si="109"/>
        <v>0.2421812843484939</v>
      </c>
      <c r="G909" s="14">
        <f t="shared" si="110"/>
        <v>0</v>
      </c>
      <c r="H909" s="24">
        <f t="shared" si="116"/>
        <v>696.90756776707826</v>
      </c>
      <c r="I909" s="12">
        <f t="shared" si="115"/>
        <v>0.40619030214217194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537.83149055520448</v>
      </c>
      <c r="F910" s="38">
        <f t="shared" si="109"/>
        <v>0.24205701199099816</v>
      </c>
      <c r="G910" s="14">
        <f t="shared" si="110"/>
        <v>0</v>
      </c>
      <c r="H910" s="24">
        <f t="shared" si="116"/>
        <v>697.26536094022663</v>
      </c>
      <c r="I910" s="12">
        <f t="shared" si="115"/>
        <v>0.40578010028823291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538.23727065549269</v>
      </c>
      <c r="F911" s="38">
        <f t="shared" si="109"/>
        <v>0.24193277623212817</v>
      </c>
      <c r="G911" s="14">
        <f t="shared" si="110"/>
        <v>0</v>
      </c>
      <c r="H911" s="24">
        <f t="shared" si="116"/>
        <v>697.62341615126184</v>
      </c>
      <c r="I911" s="12">
        <f t="shared" si="115"/>
        <v>0.40537034284432916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538.64264099833701</v>
      </c>
      <c r="F912" s="38">
        <f t="shared" si="109"/>
        <v>0.24180857736602382</v>
      </c>
      <c r="G912" s="14">
        <f t="shared" si="110"/>
        <v>0</v>
      </c>
      <c r="H912" s="24">
        <f t="shared" si="116"/>
        <v>697.98173279245657</v>
      </c>
      <c r="I912" s="12">
        <f t="shared" si="115"/>
        <v>0.40496102994619976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539.04760202828322</v>
      </c>
      <c r="F913" s="38">
        <f t="shared" si="109"/>
        <v>0.24168441568592258</v>
      </c>
      <c r="G913" s="14">
        <f t="shared" si="110"/>
        <v>0</v>
      </c>
      <c r="H913" s="24">
        <f t="shared" si="116"/>
        <v>698.34031025545733</v>
      </c>
      <c r="I913" s="12">
        <f t="shared" si="115"/>
        <v>0.40455216172581432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539.45215419000908</v>
      </c>
      <c r="F914" s="38">
        <f t="shared" si="109"/>
        <v>0.24156029148415598</v>
      </c>
      <c r="G914" s="14">
        <f t="shared" si="110"/>
        <v>0</v>
      </c>
      <c r="H914" s="24">
        <f t="shared" si="116"/>
        <v>698.69914793129942</v>
      </c>
      <c r="I914" s="12">
        <f t="shared" si="115"/>
        <v>0.40414373831139377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539.85629792832049</v>
      </c>
      <c r="F915" s="38">
        <f t="shared" si="109"/>
        <v>0.24143620505214566</v>
      </c>
      <c r="G915" s="14">
        <f t="shared" si="110"/>
        <v>0</v>
      </c>
      <c r="H915" s="24">
        <f t="shared" si="116"/>
        <v>699.05824521041995</v>
      </c>
      <c r="I915" s="12">
        <f t="shared" si="115"/>
        <v>0.40373575982739796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540.26003368814793</v>
      </c>
      <c r="F916" s="38">
        <f t="shared" ref="F916:F979" si="117">Cp*RhoP/(RhoA*H916)*dp/1000*MassivP</f>
        <v>0.24131215668039974</v>
      </c>
      <c r="G916" s="14">
        <f t="shared" ref="G916:G979" si="118">Phi*EpsilonF*Botzman/10^8*J916*((D916+273)^4-(E916+273)^4)</f>
        <v>0</v>
      </c>
      <c r="H916" s="24">
        <f t="shared" si="116"/>
        <v>699.41760148267269</v>
      </c>
      <c r="I916" s="12">
        <f t="shared" si="115"/>
        <v>0.40332822639455707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540.66336191454252</v>
      </c>
      <c r="F917" s="38">
        <f t="shared" si="117"/>
        <v>0.24118814665850868</v>
      </c>
      <c r="G917" s="14">
        <f t="shared" si="118"/>
        <v>0</v>
      </c>
      <c r="H917" s="24">
        <f t="shared" si="116"/>
        <v>699.7772161373415</v>
      </c>
      <c r="I917" s="12">
        <f t="shared" ref="I917:I980" si="123">LambdaP*MassivP/(dp/1000)/(H917*RhoA)/(1+F917/3)*(D917-E917)*DeltaT-(EXP(F917/10)-1)*(D917-D916)</f>
        <v>0.40292113812990576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541.06628305267247</v>
      </c>
      <c r="F918" s="38">
        <f t="shared" si="117"/>
        <v>0.2410641752751424</v>
      </c>
      <c r="G918" s="14">
        <f t="shared" si="118"/>
        <v>0</v>
      </c>
      <c r="H918" s="24">
        <f t="shared" si="116"/>
        <v>700.13708856315407</v>
      </c>
      <c r="I918" s="12">
        <f t="shared" si="123"/>
        <v>0.40251449514672466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541.46879754781924</v>
      </c>
      <c r="F919" s="38">
        <f t="shared" si="117"/>
        <v>0.24094024281804599</v>
      </c>
      <c r="G919" s="14">
        <f t="shared" si="118"/>
        <v>0</v>
      </c>
      <c r="H919" s="24">
        <f t="shared" si="116"/>
        <v>700.49721814829559</v>
      </c>
      <c r="I919" s="12">
        <f t="shared" si="123"/>
        <v>0.40210829755465433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541.87090584537384</v>
      </c>
      <c r="F920" s="38">
        <f t="shared" si="117"/>
        <v>0.24081634957403672</v>
      </c>
      <c r="G920" s="14">
        <f t="shared" si="118"/>
        <v>0</v>
      </c>
      <c r="H920" s="24">
        <f t="shared" si="116"/>
        <v>700.85760428042238</v>
      </c>
      <c r="I920" s="12">
        <f t="shared" si="123"/>
        <v>0.40170254545961959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542.27260839083351</v>
      </c>
      <c r="F921" s="38">
        <f t="shared" si="117"/>
        <v>0.24069249582900021</v>
      </c>
      <c r="G921" s="14">
        <f t="shared" si="118"/>
        <v>0</v>
      </c>
      <c r="H921" s="24">
        <f t="shared" si="116"/>
        <v>701.21824634667564</v>
      </c>
      <c r="I921" s="12">
        <f t="shared" si="123"/>
        <v>0.40129723896388908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542.67390562979745</v>
      </c>
      <c r="F922" s="38">
        <f t="shared" si="117"/>
        <v>0.24056868186788749</v>
      </c>
      <c r="G922" s="14">
        <f t="shared" si="118"/>
        <v>0</v>
      </c>
      <c r="H922" s="24">
        <f t="shared" si="116"/>
        <v>701.57914373369454</v>
      </c>
      <c r="I922" s="12">
        <f t="shared" si="123"/>
        <v>0.40089237816609247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543.07479800796352</v>
      </c>
      <c r="F923" s="38">
        <f t="shared" si="117"/>
        <v>0.24044490797471146</v>
      </c>
      <c r="G923" s="14">
        <f t="shared" si="118"/>
        <v>0</v>
      </c>
      <c r="H923" s="24">
        <f t="shared" si="116"/>
        <v>701.94029582762937</v>
      </c>
      <c r="I923" s="12">
        <f t="shared" si="123"/>
        <v>0.40048796316119339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543.47528597112466</v>
      </c>
      <c r="F924" s="38">
        <f t="shared" si="117"/>
        <v>0.24032117443254347</v>
      </c>
      <c r="G924" s="14">
        <f t="shared" si="118"/>
        <v>0</v>
      </c>
      <c r="H924" s="24">
        <f t="shared" si="116"/>
        <v>702.30170201415569</v>
      </c>
      <c r="I924" s="12">
        <f t="shared" si="123"/>
        <v>0.40008399404055539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543.87536996516519</v>
      </c>
      <c r="F925" s="38">
        <f t="shared" si="117"/>
        <v>0.24019748152351061</v>
      </c>
      <c r="G925" s="14">
        <f t="shared" si="118"/>
        <v>0</v>
      </c>
      <c r="H925" s="24">
        <f t="shared" si="116"/>
        <v>702.66336167848613</v>
      </c>
      <c r="I925" s="12">
        <f t="shared" si="123"/>
        <v>0.39968047089190906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544.27505043605709</v>
      </c>
      <c r="F926" s="38">
        <f t="shared" si="117"/>
        <v>0.24007382952879242</v>
      </c>
      <c r="G926" s="14">
        <f t="shared" si="118"/>
        <v>0</v>
      </c>
      <c r="H926" s="24">
        <f t="shared" si="116"/>
        <v>703.02527420538468</v>
      </c>
      <c r="I926" s="12">
        <f t="shared" si="123"/>
        <v>0.39927739379940769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544.67432782985645</v>
      </c>
      <c r="F927" s="38">
        <f t="shared" si="117"/>
        <v>0.23995021872861746</v>
      </c>
      <c r="G927" s="14">
        <f t="shared" si="118"/>
        <v>0</v>
      </c>
      <c r="H927" s="24">
        <f t="shared" si="116"/>
        <v>703.38743897917902</v>
      </c>
      <c r="I927" s="12">
        <f t="shared" si="123"/>
        <v>0.39887476284359119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545.0732025927</v>
      </c>
      <c r="F928" s="38">
        <f t="shared" si="117"/>
        <v>0.23982664940226081</v>
      </c>
      <c r="G928" s="14">
        <f t="shared" si="118"/>
        <v>0</v>
      </c>
      <c r="H928" s="24">
        <f t="shared" si="116"/>
        <v>703.74985538377382</v>
      </c>
      <c r="I928" s="12">
        <f t="shared" si="123"/>
        <v>0.39847257810144848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545.4716751708014</v>
      </c>
      <c r="F929" s="38">
        <f t="shared" si="117"/>
        <v>0.2397031218280409</v>
      </c>
      <c r="G929" s="14">
        <f t="shared" si="118"/>
        <v>0</v>
      </c>
      <c r="H929" s="24">
        <f t="shared" si="116"/>
        <v>704.11252280266353</v>
      </c>
      <c r="I929" s="12">
        <f t="shared" si="123"/>
        <v>0.39807083964640427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545.86974601044778</v>
      </c>
      <c r="F930" s="38">
        <f t="shared" si="117"/>
        <v>0.23957963628331688</v>
      </c>
      <c r="G930" s="14">
        <f t="shared" si="118"/>
        <v>0</v>
      </c>
      <c r="H930" s="24">
        <f t="shared" si="116"/>
        <v>704.47544061894428</v>
      </c>
      <c r="I930" s="12">
        <f t="shared" si="123"/>
        <v>0.39766954754834694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546.26741555799617</v>
      </c>
      <c r="F931" s="38">
        <f t="shared" si="117"/>
        <v>0.23945619304448554</v>
      </c>
      <c r="G931" s="14">
        <f t="shared" si="118"/>
        <v>0</v>
      </c>
      <c r="H931" s="24">
        <f t="shared" si="116"/>
        <v>704.83860821532812</v>
      </c>
      <c r="I931" s="12">
        <f t="shared" si="123"/>
        <v>0.39726870187361008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546.66468425986977</v>
      </c>
      <c r="F932" s="38">
        <f t="shared" si="117"/>
        <v>0.23933279238697858</v>
      </c>
      <c r="G932" s="14">
        <f t="shared" si="118"/>
        <v>0</v>
      </c>
      <c r="H932" s="24">
        <f t="shared" si="116"/>
        <v>705.20202497415403</v>
      </c>
      <c r="I932" s="12">
        <f t="shared" si="123"/>
        <v>0.39686830268502776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547.06155256255477</v>
      </c>
      <c r="F933" s="38">
        <f t="shared" si="117"/>
        <v>0.23920943458526037</v>
      </c>
      <c r="G933" s="14">
        <f t="shared" si="118"/>
        <v>0</v>
      </c>
      <c r="H933" s="24">
        <f t="shared" si="116"/>
        <v>705.56569027740125</v>
      </c>
      <c r="I933" s="12">
        <f t="shared" si="123"/>
        <v>0.39646835004192971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547.45802091259668</v>
      </c>
      <c r="F934" s="38">
        <f t="shared" si="117"/>
        <v>0.23908611991282455</v>
      </c>
      <c r="G934" s="14">
        <f t="shared" si="118"/>
        <v>0</v>
      </c>
      <c r="H934" s="24">
        <f t="shared" si="116"/>
        <v>705.92960350670216</v>
      </c>
      <c r="I934" s="12">
        <f t="shared" si="123"/>
        <v>0.39606884400014619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547.85408975659686</v>
      </c>
      <c r="F935" s="38">
        <f t="shared" si="117"/>
        <v>0.23896284864219228</v>
      </c>
      <c r="G935" s="14">
        <f t="shared" si="118"/>
        <v>0</v>
      </c>
      <c r="H935" s="24">
        <f t="shared" si="116"/>
        <v>706.29376404335312</v>
      </c>
      <c r="I935" s="12">
        <f t="shared" si="123"/>
        <v>0.39566978461204322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548.24975954120896</v>
      </c>
      <c r="F936" s="38">
        <f t="shared" si="117"/>
        <v>0.23883962104490916</v>
      </c>
      <c r="G936" s="14">
        <f t="shared" si="118"/>
        <v>0</v>
      </c>
      <c r="H936" s="24">
        <f t="shared" si="116"/>
        <v>706.65817126832849</v>
      </c>
      <c r="I936" s="12">
        <f t="shared" si="123"/>
        <v>0.39527117192650246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548.6450307131355</v>
      </c>
      <c r="F937" s="38">
        <f t="shared" si="117"/>
        <v>0.238716437391543</v>
      </c>
      <c r="G937" s="14">
        <f t="shared" si="118"/>
        <v>0</v>
      </c>
      <c r="H937" s="24">
        <f t="shared" si="116"/>
        <v>707.02282456229113</v>
      </c>
      <c r="I937" s="12">
        <f t="shared" si="123"/>
        <v>0.39487300598898056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549.03990371912448</v>
      </c>
      <c r="F938" s="38">
        <f t="shared" si="117"/>
        <v>0.23859329795168158</v>
      </c>
      <c r="G938" s="14">
        <f t="shared" si="118"/>
        <v>0</v>
      </c>
      <c r="H938" s="24">
        <f t="shared" si="116"/>
        <v>707.38772330560573</v>
      </c>
      <c r="I938" s="12">
        <f t="shared" si="123"/>
        <v>0.39447528684147615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549.43437900596598</v>
      </c>
      <c r="F939" s="38">
        <f t="shared" si="117"/>
        <v>0.23847020299392988</v>
      </c>
      <c r="G939" s="14">
        <f t="shared" si="118"/>
        <v>0</v>
      </c>
      <c r="H939" s="24">
        <f t="shared" si="116"/>
        <v>707.75286687835057</v>
      </c>
      <c r="I939" s="12">
        <f t="shared" si="123"/>
        <v>0.39407801452259306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549.8284570204886</v>
      </c>
      <c r="F940" s="38">
        <f t="shared" si="117"/>
        <v>0.23834715278590818</v>
      </c>
      <c r="G940" s="14">
        <f t="shared" si="118"/>
        <v>0</v>
      </c>
      <c r="H940" s="24">
        <f t="shared" si="116"/>
        <v>708.11825466032906</v>
      </c>
      <c r="I940" s="12">
        <f t="shared" si="123"/>
        <v>0.39368118906747979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550.22213820955608</v>
      </c>
      <c r="F941" s="38">
        <f t="shared" si="117"/>
        <v>0.23822414759424979</v>
      </c>
      <c r="G941" s="14">
        <f t="shared" si="118"/>
        <v>0</v>
      </c>
      <c r="H941" s="24">
        <f t="shared" si="116"/>
        <v>708.48388603108185</v>
      </c>
      <c r="I941" s="12">
        <f t="shared" si="123"/>
        <v>0.39328481050795916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550.61542302006399</v>
      </c>
      <c r="F942" s="38">
        <f t="shared" si="117"/>
        <v>0.23810118768459884</v>
      </c>
      <c r="G942" s="14">
        <f t="shared" si="118"/>
        <v>0</v>
      </c>
      <c r="H942" s="24">
        <f t="shared" si="116"/>
        <v>708.84976036989838</v>
      </c>
      <c r="I942" s="12">
        <f t="shared" si="123"/>
        <v>0.39288887887239454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551.00831189893643</v>
      </c>
      <c r="F943" s="38">
        <f t="shared" si="117"/>
        <v>0.23797827332160806</v>
      </c>
      <c r="G943" s="14">
        <f t="shared" si="118"/>
        <v>0</v>
      </c>
      <c r="H943" s="24">
        <f t="shared" si="116"/>
        <v>709.2158770558292</v>
      </c>
      <c r="I943" s="12">
        <f t="shared" si="123"/>
        <v>0.39249339418583701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551.40080529312229</v>
      </c>
      <c r="F944" s="38">
        <f t="shared" si="117"/>
        <v>0.23785540476893671</v>
      </c>
      <c r="G944" s="14">
        <f t="shared" si="118"/>
        <v>0</v>
      </c>
      <c r="H944" s="24">
        <f t="shared" si="116"/>
        <v>709.58223546769705</v>
      </c>
      <c r="I944" s="12">
        <f t="shared" si="123"/>
        <v>0.39209835646998159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551.79290364959229</v>
      </c>
      <c r="F945" s="38">
        <f t="shared" si="117"/>
        <v>0.23773258228924926</v>
      </c>
      <c r="G945" s="14">
        <f t="shared" si="118"/>
        <v>0</v>
      </c>
      <c r="H945" s="24">
        <f t="shared" si="116"/>
        <v>709.94883498410798</v>
      </c>
      <c r="I945" s="12">
        <f t="shared" si="123"/>
        <v>0.39170376574314864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552.18460741533545</v>
      </c>
      <c r="F946" s="38">
        <f t="shared" si="117"/>
        <v>0.23760980614421198</v>
      </c>
      <c r="G946" s="14">
        <f t="shared" si="118"/>
        <v>0</v>
      </c>
      <c r="H946" s="24">
        <f t="shared" si="116"/>
        <v>710.31567498346431</v>
      </c>
      <c r="I946" s="12">
        <f t="shared" si="123"/>
        <v>0.39130962202036129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552.57591703735579</v>
      </c>
      <c r="F947" s="38">
        <f t="shared" si="117"/>
        <v>0.23748707659449292</v>
      </c>
      <c r="G947" s="14">
        <f t="shared" si="118"/>
        <v>0</v>
      </c>
      <c r="H947" s="24">
        <f t="shared" si="116"/>
        <v>710.68275484397395</v>
      </c>
      <c r="I947" s="12">
        <f t="shared" si="123"/>
        <v>0.39091592531331837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552.96683296266906</v>
      </c>
      <c r="F948" s="38">
        <f t="shared" si="117"/>
        <v>0.23736439389975827</v>
      </c>
      <c r="G948" s="14">
        <f t="shared" si="118"/>
        <v>0</v>
      </c>
      <c r="H948" s="24">
        <f t="shared" si="116"/>
        <v>711.05007394366385</v>
      </c>
      <c r="I948" s="12">
        <f t="shared" si="123"/>
        <v>0.39052267563043397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553.35735563829951</v>
      </c>
      <c r="F949" s="38">
        <f t="shared" si="117"/>
        <v>0.23724175831867186</v>
      </c>
      <c r="G949" s="14">
        <f t="shared" si="118"/>
        <v>0</v>
      </c>
      <c r="H949" s="24">
        <f t="shared" si="116"/>
        <v>711.41763166038959</v>
      </c>
      <c r="I949" s="12">
        <f t="shared" si="123"/>
        <v>0.39012987297681595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553.7474855112763</v>
      </c>
      <c r="F950" s="38">
        <f t="shared" si="117"/>
        <v>0.23711917010889283</v>
      </c>
      <c r="G950" s="14">
        <f t="shared" si="118"/>
        <v>0</v>
      </c>
      <c r="H950" s="24">
        <f t="shared" si="116"/>
        <v>711.78542737184728</v>
      </c>
      <c r="I950" s="12">
        <f t="shared" si="123"/>
        <v>0.38973751735432505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554.13722302863061</v>
      </c>
      <c r="F951" s="38">
        <f t="shared" si="117"/>
        <v>0.23699662952707432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712.15346045558431</v>
      </c>
      <c r="I951" s="12">
        <f t="shared" si="123"/>
        <v>0.38934560876154201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554.52656863739219</v>
      </c>
      <c r="F952" s="38">
        <f t="shared" si="117"/>
        <v>0.23687413682886116</v>
      </c>
      <c r="G952" s="14">
        <f t="shared" si="118"/>
        <v>0</v>
      </c>
      <c r="H952" s="24">
        <f t="shared" si="124"/>
        <v>712.52173028901097</v>
      </c>
      <c r="I952" s="12">
        <f t="shared" si="123"/>
        <v>0.38895414719383137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554.91552278458607</v>
      </c>
      <c r="F953" s="38">
        <f t="shared" si="117"/>
        <v>0.23675169226888917</v>
      </c>
      <c r="G953" s="14">
        <f t="shared" si="118"/>
        <v>0</v>
      </c>
      <c r="H953" s="24">
        <f t="shared" si="124"/>
        <v>712.89023624941024</v>
      </c>
      <c r="I953" s="12">
        <f t="shared" si="123"/>
        <v>0.38856313264329423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555.30408591722937</v>
      </c>
      <c r="F954" s="38">
        <f t="shared" si="117"/>
        <v>0.23662929610078301</v>
      </c>
      <c r="G954" s="14">
        <f t="shared" si="118"/>
        <v>0</v>
      </c>
      <c r="H954" s="24">
        <f t="shared" si="124"/>
        <v>713.25897771395</v>
      </c>
      <c r="I954" s="12">
        <f t="shared" si="123"/>
        <v>0.38817256509884457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555.69225848232827</v>
      </c>
      <c r="F955" s="38">
        <f t="shared" si="117"/>
        <v>0.23650694857715504</v>
      </c>
      <c r="G955" s="14">
        <f t="shared" si="118"/>
        <v>0</v>
      </c>
      <c r="H955" s="24">
        <f t="shared" si="124"/>
        <v>713.62795405969268</v>
      </c>
      <c r="I955" s="12">
        <f t="shared" si="123"/>
        <v>0.38778244454618577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556.0800409268744</v>
      </c>
      <c r="F956" s="38">
        <f t="shared" si="117"/>
        <v>0.23638464994960356</v>
      </c>
      <c r="G956" s="14">
        <f t="shared" si="118"/>
        <v>0</v>
      </c>
      <c r="H956" s="24">
        <f t="shared" si="124"/>
        <v>713.99716466360655</v>
      </c>
      <c r="I956" s="12">
        <f t="shared" si="123"/>
        <v>0.38739277096783103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556.46743369784224</v>
      </c>
      <c r="F957" s="38">
        <f t="shared" si="117"/>
        <v>0.23626240046871169</v>
      </c>
      <c r="G957" s="14">
        <f t="shared" si="118"/>
        <v>0</v>
      </c>
      <c r="H957" s="24">
        <f t="shared" si="124"/>
        <v>714.36660890257644</v>
      </c>
      <c r="I957" s="12">
        <f t="shared" si="123"/>
        <v>0.38700354434311746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556.85443724218533</v>
      </c>
      <c r="F958" s="38">
        <f t="shared" si="117"/>
        <v>0.23614020038404626</v>
      </c>
      <c r="G958" s="14">
        <f t="shared" si="118"/>
        <v>0</v>
      </c>
      <c r="H958" s="24">
        <f t="shared" si="124"/>
        <v>714.7362861534134</v>
      </c>
      <c r="I958" s="12">
        <f t="shared" si="123"/>
        <v>0.38661476464824235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557.24105200683357</v>
      </c>
      <c r="F959" s="38">
        <f t="shared" si="117"/>
        <v>0.2360180499441559</v>
      </c>
      <c r="G959" s="14">
        <f t="shared" si="118"/>
        <v>0</v>
      </c>
      <c r="H959" s="24">
        <f t="shared" si="124"/>
        <v>715.10619579286652</v>
      </c>
      <c r="I959" s="12">
        <f t="shared" si="123"/>
        <v>0.38622643185620875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557.62727843868981</v>
      </c>
      <c r="F960" s="38">
        <f t="shared" si="117"/>
        <v>0.23589594939657024</v>
      </c>
      <c r="G960" s="14">
        <f t="shared" si="118"/>
        <v>0</v>
      </c>
      <c r="H960" s="24">
        <f t="shared" si="124"/>
        <v>715.47633719763223</v>
      </c>
      <c r="I960" s="12">
        <f t="shared" si="123"/>
        <v>0.38583854593695649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558.01311698462678</v>
      </c>
      <c r="F961" s="38">
        <f t="shared" si="117"/>
        <v>0.23577389898779882</v>
      </c>
      <c r="G961" s="14">
        <f t="shared" si="118"/>
        <v>0</v>
      </c>
      <c r="H961" s="24">
        <f t="shared" si="124"/>
        <v>715.84670974436506</v>
      </c>
      <c r="I961" s="12">
        <f t="shared" si="123"/>
        <v>0.38545110685724115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558.39856809148398</v>
      </c>
      <c r="F962" s="38">
        <f t="shared" si="117"/>
        <v>0.23565189896332961</v>
      </c>
      <c r="G962" s="14">
        <f t="shared" si="118"/>
        <v>0</v>
      </c>
      <c r="H962" s="24">
        <f t="shared" si="124"/>
        <v>716.21731280968811</v>
      </c>
      <c r="I962" s="12">
        <f t="shared" si="123"/>
        <v>0.38506411458075368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558.78363220606468</v>
      </c>
      <c r="F963" s="38">
        <f t="shared" si="117"/>
        <v>0.23552994956762829</v>
      </c>
      <c r="G963" s="14">
        <f t="shared" si="118"/>
        <v>0</v>
      </c>
      <c r="H963" s="24">
        <f t="shared" si="124"/>
        <v>716.58814577020257</v>
      </c>
      <c r="I963" s="12">
        <f t="shared" si="123"/>
        <v>0.38467756906808492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559.1683097751328</v>
      </c>
      <c r="F964" s="38">
        <f t="shared" si="117"/>
        <v>0.23540805104413687</v>
      </c>
      <c r="G964" s="14">
        <f t="shared" si="118"/>
        <v>0</v>
      </c>
      <c r="H964" s="24">
        <f t="shared" si="124"/>
        <v>716.95920800249837</v>
      </c>
      <c r="I964" s="12">
        <f t="shared" si="123"/>
        <v>0.38429147027674765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559.55260124540951</v>
      </c>
      <c r="F965" s="38">
        <f t="shared" si="117"/>
        <v>0.23528620363527292</v>
      </c>
      <c r="G965" s="14">
        <f t="shared" si="118"/>
        <v>0</v>
      </c>
      <c r="H965" s="24">
        <f t="shared" si="124"/>
        <v>717.33049888316418</v>
      </c>
      <c r="I965" s="12">
        <f t="shared" si="123"/>
        <v>0.38390581816118147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559.93650706357073</v>
      </c>
      <c r="F966" s="38">
        <f t="shared" si="117"/>
        <v>0.23516440758242851</v>
      </c>
      <c r="G966" s="14">
        <f t="shared" si="118"/>
        <v>0</v>
      </c>
      <c r="H966" s="24">
        <f t="shared" si="124"/>
        <v>717.70201778879721</v>
      </c>
      <c r="I966" s="12">
        <f t="shared" si="123"/>
        <v>0.38352061267279558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560.32002767624351</v>
      </c>
      <c r="F967" s="38">
        <f t="shared" si="117"/>
        <v>0.2350426631259695</v>
      </c>
      <c r="G967" s="14">
        <f t="shared" si="118"/>
        <v>0</v>
      </c>
      <c r="H967" s="24">
        <f t="shared" si="124"/>
        <v>718.07376409601306</v>
      </c>
      <c r="I967" s="12">
        <f t="shared" si="123"/>
        <v>0.3831358537599554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560.70316353000351</v>
      </c>
      <c r="F968" s="38">
        <f t="shared" si="117"/>
        <v>0.23492097050523433</v>
      </c>
      <c r="G968" s="14">
        <f t="shared" si="118"/>
        <v>0</v>
      </c>
      <c r="H968" s="24">
        <f t="shared" si="124"/>
        <v>718.44573718145557</v>
      </c>
      <c r="I968" s="12">
        <f t="shared" si="123"/>
        <v>0.38275154136799588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561.08591507137146</v>
      </c>
      <c r="F969" s="38">
        <f t="shared" si="117"/>
        <v>0.23479932995853356</v>
      </c>
      <c r="G969" s="14">
        <f t="shared" si="118"/>
        <v>0</v>
      </c>
      <c r="H969" s="24">
        <f t="shared" si="124"/>
        <v>718.81793642180696</v>
      </c>
      <c r="I969" s="12">
        <f t="shared" si="123"/>
        <v>0.38236767543926392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561.4682827468107</v>
      </c>
      <c r="F970" s="38">
        <f t="shared" si="117"/>
        <v>0.23467774172314904</v>
      </c>
      <c r="G970" s="14">
        <f t="shared" si="118"/>
        <v>0</v>
      </c>
      <c r="H970" s="24">
        <f t="shared" si="124"/>
        <v>719.19036119379666</v>
      </c>
      <c r="I970" s="12">
        <f t="shared" si="123"/>
        <v>0.38198425591309981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561.85026700272385</v>
      </c>
      <c r="F971" s="38">
        <f t="shared" si="117"/>
        <v>0.23455620603533278</v>
      </c>
      <c r="G971" s="14">
        <f t="shared" si="118"/>
        <v>0</v>
      </c>
      <c r="H971" s="24">
        <f t="shared" si="124"/>
        <v>719.56301087421207</v>
      </c>
      <c r="I971" s="12">
        <f t="shared" si="123"/>
        <v>0.3816012827258608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562.23186828544976</v>
      </c>
      <c r="F972" s="38">
        <f t="shared" si="117"/>
        <v>0.23443472313030694</v>
      </c>
      <c r="G972" s="14">
        <f t="shared" si="118"/>
        <v>0</v>
      </c>
      <c r="H972" s="24">
        <f t="shared" si="124"/>
        <v>719.93588483990675</v>
      </c>
      <c r="I972" s="12">
        <f t="shared" si="123"/>
        <v>0.38121875581094872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562.61308704126077</v>
      </c>
      <c r="F973" s="38">
        <f t="shared" si="117"/>
        <v>0.23431329324226274</v>
      </c>
      <c r="G973" s="14">
        <f t="shared" si="118"/>
        <v>0</v>
      </c>
      <c r="H973" s="24">
        <f t="shared" si="124"/>
        <v>720.30898246781101</v>
      </c>
      <c r="I973" s="12">
        <f t="shared" si="123"/>
        <v>0.38083667509880903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562.99392371635963</v>
      </c>
      <c r="F974" s="38">
        <f t="shared" si="117"/>
        <v>0.23419191660435995</v>
      </c>
      <c r="G974" s="14">
        <f t="shared" si="118"/>
        <v>0</v>
      </c>
      <c r="H974" s="24">
        <f t="shared" si="124"/>
        <v>720.68230313494064</v>
      </c>
      <c r="I974" s="12">
        <f t="shared" si="123"/>
        <v>0.38045504051695461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563.37437875687658</v>
      </c>
      <c r="F975" s="38">
        <f t="shared" si="117"/>
        <v>0.23407059344872641</v>
      </c>
      <c r="G975" s="14">
        <f t="shared" si="118"/>
        <v>0</v>
      </c>
      <c r="H975" s="24">
        <f t="shared" si="124"/>
        <v>721.05584621840671</v>
      </c>
      <c r="I975" s="12">
        <f t="shared" si="123"/>
        <v>0.38007385198995092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563.75445260886659</v>
      </c>
      <c r="F976" s="38">
        <f t="shared" si="117"/>
        <v>0.23394932400645752</v>
      </c>
      <c r="G976" s="14">
        <f t="shared" si="118"/>
        <v>0</v>
      </c>
      <c r="H976" s="24">
        <f t="shared" si="124"/>
        <v>721.42961109542432</v>
      </c>
      <c r="I976" s="12">
        <f t="shared" si="123"/>
        <v>0.37969310943948137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564.13414571830606</v>
      </c>
      <c r="F977" s="38">
        <f t="shared" si="117"/>
        <v>0.23382810850761576</v>
      </c>
      <c r="G977" s="14">
        <f t="shared" si="118"/>
        <v>0</v>
      </c>
      <c r="H977" s="24">
        <f t="shared" si="124"/>
        <v>721.80359714332212</v>
      </c>
      <c r="I977" s="12">
        <f t="shared" si="123"/>
        <v>0.37931281278433426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564.51345853109035</v>
      </c>
      <c r="F978" s="38">
        <f t="shared" si="117"/>
        <v>0.23370694718123006</v>
      </c>
      <c r="G978" s="14">
        <f t="shared" si="118"/>
        <v>0</v>
      </c>
      <c r="H978" s="24">
        <f t="shared" si="124"/>
        <v>722.17780373955145</v>
      </c>
      <c r="I978" s="12">
        <f t="shared" si="123"/>
        <v>0.37893296194037623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564.89239149303069</v>
      </c>
      <c r="F979" s="38">
        <f t="shared" si="117"/>
        <v>0.2335858402552958</v>
      </c>
      <c r="G979" s="14">
        <f t="shared" si="118"/>
        <v>0</v>
      </c>
      <c r="H979" s="24">
        <f t="shared" si="124"/>
        <v>722.5522302616954</v>
      </c>
      <c r="I979" s="12">
        <f t="shared" si="123"/>
        <v>0.37855355682065639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565.27094504985132</v>
      </c>
      <c r="F980" s="38">
        <f t="shared" ref="F980:F1043" si="125">Cp*RhoP/(RhoA*H980)*dp/1000*MassivP</f>
        <v>0.23346478795677422</v>
      </c>
      <c r="G980" s="14">
        <f t="shared" ref="G980:G1043" si="126">Phi*EpsilonF*Botzman/10^8*J980*((D980+273)^4-(E980+273)^4)</f>
        <v>0</v>
      </c>
      <c r="H980" s="24">
        <f t="shared" si="124"/>
        <v>722.92687608747724</v>
      </c>
      <c r="I980" s="12">
        <f t="shared" si="123"/>
        <v>0.37817459733532555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565.64911964718669</v>
      </c>
      <c r="F981" s="38">
        <f t="shared" si="125"/>
        <v>0.23334379051159224</v>
      </c>
      <c r="G981" s="14">
        <f t="shared" si="126"/>
        <v>0</v>
      </c>
      <c r="H981" s="24">
        <f t="shared" si="124"/>
        <v>723.30174059477008</v>
      </c>
      <c r="I981" s="12">
        <f t="shared" ref="I981:I1044" si="131">LambdaP*MassivP/(dp/1000)/(H981*RhoA)/(1+F981/3)*(D981-E981)*DeltaT-(EXP(F981/10)-1)*(D981-D980)</f>
        <v>0.3777960833917226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566.02691573057837</v>
      </c>
      <c r="F982" s="38">
        <f t="shared" si="125"/>
        <v>0.23322284814464198</v>
      </c>
      <c r="G982" s="14">
        <f t="shared" si="126"/>
        <v>0</v>
      </c>
      <c r="H982" s="24">
        <f t="shared" si="124"/>
        <v>723.67682316160574</v>
      </c>
      <c r="I982" s="12">
        <f t="shared" si="131"/>
        <v>0.37741801489434113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566.40433374547274</v>
      </c>
      <c r="F983" s="38">
        <f t="shared" si="125"/>
        <v>0.23310196107978082</v>
      </c>
      <c r="G983" s="14">
        <f t="shared" si="126"/>
        <v>0</v>
      </c>
      <c r="H983" s="24">
        <f t="shared" si="124"/>
        <v>724.05212316618235</v>
      </c>
      <c r="I983" s="12">
        <f t="shared" si="131"/>
        <v>0.37704039174486764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566.78137413721765</v>
      </c>
      <c r="F984" s="38">
        <f t="shared" si="125"/>
        <v>0.23298112953983094</v>
      </c>
      <c r="G984" s="14">
        <f t="shared" si="126"/>
        <v>0</v>
      </c>
      <c r="H984" s="24">
        <f t="shared" si="124"/>
        <v>724.42763998687474</v>
      </c>
      <c r="I984" s="12">
        <f t="shared" si="131"/>
        <v>0.37666321384218926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567.15803735105987</v>
      </c>
      <c r="F985" s="38">
        <f t="shared" si="125"/>
        <v>0.2328603537465796</v>
      </c>
      <c r="G985" s="14">
        <f t="shared" si="126"/>
        <v>0</v>
      </c>
      <c r="H985" s="24">
        <f t="shared" si="124"/>
        <v>724.80337300224176</v>
      </c>
      <c r="I985" s="12">
        <f t="shared" si="131"/>
        <v>0.37628648108241186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567.53432383214226</v>
      </c>
      <c r="F986" s="38">
        <f t="shared" si="125"/>
        <v>0.2327396339207784</v>
      </c>
      <c r="G986" s="14">
        <f t="shared" si="126"/>
        <v>0</v>
      </c>
      <c r="H986" s="24">
        <f t="shared" si="124"/>
        <v>725.17932159103555</v>
      </c>
      <c r="I986" s="12">
        <f t="shared" si="131"/>
        <v>0.37591019335884995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567.91023402550115</v>
      </c>
      <c r="F987" s="38">
        <f t="shared" si="125"/>
        <v>0.23261897028214404</v>
      </c>
      <c r="G987" s="14">
        <f t="shared" si="126"/>
        <v>0</v>
      </c>
      <c r="H987" s="24">
        <f t="shared" si="124"/>
        <v>725.5554851322097</v>
      </c>
      <c r="I987" s="12">
        <f t="shared" si="131"/>
        <v>0.37553435056208456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568.28576837606329</v>
      </c>
      <c r="F988" s="38">
        <f t="shared" si="125"/>
        <v>0.23249836304935728</v>
      </c>
      <c r="G988" s="14">
        <f t="shared" si="126"/>
        <v>0</v>
      </c>
      <c r="H988" s="24">
        <f t="shared" si="124"/>
        <v>725.93186300492812</v>
      </c>
      <c r="I988" s="12">
        <f t="shared" si="131"/>
        <v>0.37515895257993959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568.6609273286432</v>
      </c>
      <c r="F989" s="38">
        <f t="shared" si="125"/>
        <v>0.23237781244006397</v>
      </c>
      <c r="G989" s="14">
        <f t="shared" si="126"/>
        <v>0</v>
      </c>
      <c r="H989" s="24">
        <f t="shared" si="124"/>
        <v>726.30845458857266</v>
      </c>
      <c r="I989" s="12">
        <f t="shared" si="131"/>
        <v>0.37478399929749273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569.0357113279407</v>
      </c>
      <c r="F990" s="38">
        <f t="shared" si="125"/>
        <v>0.23225731867087429</v>
      </c>
      <c r="G990" s="14">
        <f t="shared" si="126"/>
        <v>0</v>
      </c>
      <c r="H990" s="24">
        <f t="shared" si="124"/>
        <v>726.68525926275277</v>
      </c>
      <c r="I990" s="12">
        <f t="shared" si="131"/>
        <v>0.37440949059713263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569.41012081853785</v>
      </c>
      <c r="F991" s="38">
        <f t="shared" si="125"/>
        <v>0.23213688195736332</v>
      </c>
      <c r="G991" s="14">
        <f t="shared" si="126"/>
        <v>0</v>
      </c>
      <c r="H991" s="24">
        <f t="shared" si="124"/>
        <v>727.06227640731208</v>
      </c>
      <c r="I991" s="12">
        <f t="shared" si="131"/>
        <v>0.37403542635852816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569.78415624489639</v>
      </c>
      <c r="F992" s="38">
        <f t="shared" si="125"/>
        <v>0.23201650251407105</v>
      </c>
      <c r="G992" s="14">
        <f t="shared" si="126"/>
        <v>0</v>
      </c>
      <c r="H992" s="24">
        <f t="shared" si="124"/>
        <v>727.43950540233755</v>
      </c>
      <c r="I992" s="12">
        <f t="shared" si="131"/>
        <v>0.37366180645865443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570.15781805135509</v>
      </c>
      <c r="F993" s="38">
        <f t="shared" si="125"/>
        <v>0.23189618055450237</v>
      </c>
      <c r="G993" s="14">
        <f t="shared" si="126"/>
        <v>0</v>
      </c>
      <c r="H993" s="24">
        <f t="shared" si="124"/>
        <v>727.81694562816779</v>
      </c>
      <c r="I993" s="12">
        <f t="shared" si="131"/>
        <v>0.37328863077182672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570.53110668212696</v>
      </c>
      <c r="F994" s="38">
        <f t="shared" si="125"/>
        <v>0.23177591629112745</v>
      </c>
      <c r="G994" s="14">
        <f t="shared" si="126"/>
        <v>0</v>
      </c>
      <c r="H994" s="24">
        <f t="shared" si="124"/>
        <v>728.19459646540076</v>
      </c>
      <c r="I994" s="12">
        <f t="shared" si="131"/>
        <v>0.37291589916966461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570.90402258129666</v>
      </c>
      <c r="F995" s="38">
        <f t="shared" si="125"/>
        <v>0.23165570993538195</v>
      </c>
      <c r="G995" s="14">
        <f t="shared" si="126"/>
        <v>0</v>
      </c>
      <c r="H995" s="24">
        <f t="shared" si="124"/>
        <v>728.57245729490114</v>
      </c>
      <c r="I995" s="12">
        <f t="shared" si="131"/>
        <v>0.37254361152119048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571.27656619281788</v>
      </c>
      <c r="F996" s="38">
        <f t="shared" si="125"/>
        <v>0.23153556169766712</v>
      </c>
      <c r="G996" s="14">
        <f t="shared" si="126"/>
        <v>0</v>
      </c>
      <c r="H996" s="24">
        <f t="shared" si="124"/>
        <v>728.95052749780962</v>
      </c>
      <c r="I996" s="12">
        <f t="shared" si="131"/>
        <v>0.3721717676927363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571.64873796051063</v>
      </c>
      <c r="F997" s="38">
        <f t="shared" si="125"/>
        <v>0.23141547178735011</v>
      </c>
      <c r="G997" s="14">
        <f t="shared" si="126"/>
        <v>0</v>
      </c>
      <c r="H997" s="24">
        <f t="shared" si="124"/>
        <v>729.32880645555019</v>
      </c>
      <c r="I997" s="12">
        <f t="shared" si="131"/>
        <v>0.37180036754804502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572.02053832805871</v>
      </c>
      <c r="F998" s="38">
        <f t="shared" si="125"/>
        <v>0.23129544041276467</v>
      </c>
      <c r="G998" s="14">
        <f t="shared" si="126"/>
        <v>0</v>
      </c>
      <c r="H998" s="24">
        <f t="shared" si="124"/>
        <v>729.70729354983678</v>
      </c>
      <c r="I998" s="12">
        <f t="shared" si="131"/>
        <v>0.37142941094824777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572.39196773900699</v>
      </c>
      <c r="F999" s="38">
        <f t="shared" si="125"/>
        <v>0.23117546778121126</v>
      </c>
      <c r="G999" s="14">
        <f t="shared" si="126"/>
        <v>0</v>
      </c>
      <c r="H999" s="24">
        <f t="shared" si="124"/>
        <v>730.08598816268295</v>
      </c>
      <c r="I999" s="12">
        <f t="shared" si="131"/>
        <v>0.37105889775187356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572.76302663675881</v>
      </c>
      <c r="F1000" s="38">
        <f t="shared" si="125"/>
        <v>0.23105555409895695</v>
      </c>
      <c r="G1000" s="14">
        <f t="shared" si="126"/>
        <v>0</v>
      </c>
      <c r="H1000" s="24">
        <f t="shared" si="124"/>
        <v>730.46488967640857</v>
      </c>
      <c r="I1000" s="12">
        <f t="shared" si="131"/>
        <v>0.37068882781486057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573.1337154645737</v>
      </c>
      <c r="F1001" s="38">
        <f t="shared" si="125"/>
        <v>0.230935699571237</v>
      </c>
      <c r="G1001" s="14">
        <f t="shared" si="126"/>
        <v>0</v>
      </c>
      <c r="H1001" s="24">
        <f t="shared" si="124"/>
        <v>730.84399747364705</v>
      </c>
      <c r="I1001" s="12">
        <f t="shared" si="131"/>
        <v>0.37031920099061283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573.50403466556429</v>
      </c>
      <c r="F1002" s="38">
        <f t="shared" si="125"/>
        <v>0.23081590440225427</v>
      </c>
      <c r="G1002" s="14">
        <f t="shared" si="126"/>
        <v>0</v>
      </c>
      <c r="H1002" s="24">
        <f t="shared" si="124"/>
        <v>731.22331093735363</v>
      </c>
      <c r="I1002" s="12">
        <f t="shared" si="131"/>
        <v>0.36995001712994113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573.87398468269419</v>
      </c>
      <c r="F1003" s="38">
        <f t="shared" si="125"/>
        <v>0.23069616879518012</v>
      </c>
      <c r="G1003" s="14">
        <f t="shared" si="126"/>
        <v>0</v>
      </c>
      <c r="H1003" s="24">
        <f t="shared" si="124"/>
        <v>731.60282945081281</v>
      </c>
      <c r="I1003" s="12">
        <f t="shared" si="131"/>
        <v>0.36958127608114294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574.24356595877532</v>
      </c>
      <c r="F1004" s="38">
        <f t="shared" si="125"/>
        <v>0.23057649295215488</v>
      </c>
      <c r="G1004" s="14">
        <f t="shared" si="126"/>
        <v>0</v>
      </c>
      <c r="H1004" s="24">
        <f t="shared" si="124"/>
        <v>731.98255239764558</v>
      </c>
      <c r="I1004" s="12">
        <f t="shared" si="131"/>
        <v>0.36921297768997413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574.61277893646525</v>
      </c>
      <c r="F1005" s="38">
        <f t="shared" si="125"/>
        <v>0.23045687707428886</v>
      </c>
      <c r="G1005" s="14">
        <f t="shared" si="126"/>
        <v>0</v>
      </c>
      <c r="H1005" s="24">
        <f t="shared" si="124"/>
        <v>732.36247916181605</v>
      </c>
      <c r="I1005" s="12">
        <f t="shared" si="131"/>
        <v>0.36884512179968121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574.98162405826497</v>
      </c>
      <c r="F1006" s="38">
        <f t="shared" si="125"/>
        <v>0.23033732136166202</v>
      </c>
      <c r="G1006" s="14">
        <f t="shared" si="126"/>
        <v>0</v>
      </c>
      <c r="H1006" s="24">
        <f t="shared" si="124"/>
        <v>732.74260912764066</v>
      </c>
      <c r="I1006" s="12">
        <f t="shared" si="131"/>
        <v>0.36847770825101711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575.35010176651599</v>
      </c>
      <c r="F1007" s="38">
        <f t="shared" si="125"/>
        <v>0.23021782601332549</v>
      </c>
      <c r="G1007" s="14">
        <f t="shared" si="126"/>
        <v>0</v>
      </c>
      <c r="H1007" s="24">
        <f t="shared" si="124"/>
        <v>733.12294167979348</v>
      </c>
      <c r="I1007" s="12">
        <f t="shared" si="131"/>
        <v>0.36811073688223628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575.71821250339826</v>
      </c>
      <c r="F1008" s="38">
        <f t="shared" si="125"/>
        <v>0.23009839122730177</v>
      </c>
      <c r="G1008" s="14">
        <f t="shared" si="126"/>
        <v>0</v>
      </c>
      <c r="H1008" s="24">
        <f t="shared" si="124"/>
        <v>733.50347620331445</v>
      </c>
      <c r="I1008" s="12">
        <f t="shared" si="131"/>
        <v>0.36774420752913162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576.08595671092735</v>
      </c>
      <c r="F1009" s="38">
        <f t="shared" si="125"/>
        <v>0.22997901720058533</v>
      </c>
      <c r="G1009" s="14">
        <f t="shared" si="126"/>
        <v>0</v>
      </c>
      <c r="H1009" s="24">
        <f t="shared" si="124"/>
        <v>733.88421208361649</v>
      </c>
      <c r="I1009" s="12">
        <f t="shared" si="131"/>
        <v>0.36737812002501963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576.45333483095237</v>
      </c>
      <c r="F1010" s="38">
        <f t="shared" si="125"/>
        <v>0.22985970412914392</v>
      </c>
      <c r="G1010" s="14">
        <f t="shared" si="126"/>
        <v>0</v>
      </c>
      <c r="H1010" s="24">
        <f t="shared" si="124"/>
        <v>734.2651487064918</v>
      </c>
      <c r="I1010" s="12">
        <f t="shared" si="131"/>
        <v>0.36701247420079758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576.82034730515318</v>
      </c>
      <c r="F1011" s="38">
        <f t="shared" si="125"/>
        <v>0.2297404522079185</v>
      </c>
      <c r="G1011" s="14">
        <f t="shared" si="126"/>
        <v>0</v>
      </c>
      <c r="H1011" s="24">
        <f t="shared" si="124"/>
        <v>734.64628545812002</v>
      </c>
      <c r="I1011" s="12">
        <f t="shared" si="131"/>
        <v>0.36664726988489099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577.18699457503806</v>
      </c>
      <c r="F1012" s="38">
        <f t="shared" si="125"/>
        <v>0.22962126163082455</v>
      </c>
      <c r="G1012" s="14">
        <f t="shared" si="126"/>
        <v>0</v>
      </c>
      <c r="H1012" s="24">
        <f t="shared" si="124"/>
        <v>735.02762172507437</v>
      </c>
      <c r="I1012" s="12">
        <f t="shared" si="131"/>
        <v>0.36628250690335046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577.55327708194136</v>
      </c>
      <c r="F1013" s="38">
        <f t="shared" si="125"/>
        <v>0.22950213259075289</v>
      </c>
      <c r="G1013" s="14">
        <f t="shared" si="126"/>
        <v>0</v>
      </c>
      <c r="H1013" s="24">
        <f t="shared" si="124"/>
        <v>735.40915689432882</v>
      </c>
      <c r="I1013" s="12">
        <f t="shared" si="131"/>
        <v>0.36591818507978335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577.91919526702111</v>
      </c>
      <c r="F1014" s="38">
        <f t="shared" si="125"/>
        <v>0.2293830652795702</v>
      </c>
      <c r="G1014" s="14">
        <f t="shared" si="126"/>
        <v>0</v>
      </c>
      <c r="H1014" s="24">
        <f t="shared" si="124"/>
        <v>735.79089035326501</v>
      </c>
      <c r="I1014" s="12">
        <f t="shared" si="131"/>
        <v>0.36555430423541846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578.2847495712565</v>
      </c>
      <c r="F1015" s="38">
        <f t="shared" si="125"/>
        <v>0.22926405988812026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736.17282148967831</v>
      </c>
      <c r="I1015" s="12">
        <f t="shared" si="131"/>
        <v>0.36519086418911245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578.64994043544561</v>
      </c>
      <c r="F1016" s="38">
        <f t="shared" si="125"/>
        <v>0.22914511660622439</v>
      </c>
      <c r="G1016" s="14">
        <f t="shared" si="126"/>
        <v>0</v>
      </c>
      <c r="H1016" s="24">
        <f t="shared" si="132"/>
        <v>736.55494969178608</v>
      </c>
      <c r="I1016" s="12">
        <f t="shared" si="131"/>
        <v>0.36482786475733248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579.01476830020295</v>
      </c>
      <c r="F1017" s="38">
        <f t="shared" si="125"/>
        <v>0.22902623562268296</v>
      </c>
      <c r="G1017" s="14">
        <f t="shared" si="126"/>
        <v>0</v>
      </c>
      <c r="H1017" s="24">
        <f t="shared" si="132"/>
        <v>736.93727434823268</v>
      </c>
      <c r="I1017" s="12">
        <f t="shared" si="131"/>
        <v>0.36446530575422931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579.37923360595721</v>
      </c>
      <c r="F1018" s="38">
        <f t="shared" si="125"/>
        <v>0.22890741712527571</v>
      </c>
      <c r="G1018" s="14">
        <f t="shared" si="126"/>
        <v>0</v>
      </c>
      <c r="H1018" s="24">
        <f t="shared" si="132"/>
        <v>737.3197948480971</v>
      </c>
      <c r="I1018" s="12">
        <f t="shared" si="131"/>
        <v>0.36410318699156269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579.74333679294875</v>
      </c>
      <c r="F1019" s="38">
        <f t="shared" si="125"/>
        <v>0.22878866130076325</v>
      </c>
      <c r="G1019" s="14">
        <f t="shared" si="126"/>
        <v>0</v>
      </c>
      <c r="H1019" s="24">
        <f t="shared" si="132"/>
        <v>737.70251058089934</v>
      </c>
      <c r="I1019" s="12">
        <f t="shared" si="131"/>
        <v>0.36374150827882418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580.1070783012276</v>
      </c>
      <c r="F1020" s="38">
        <f t="shared" si="125"/>
        <v>0.22866996833488773</v>
      </c>
      <c r="G1020" s="14">
        <f t="shared" si="126"/>
        <v>0</v>
      </c>
      <c r="H1020" s="24">
        <f t="shared" si="132"/>
        <v>738.08542093660651</v>
      </c>
      <c r="I1020" s="12">
        <f t="shared" si="131"/>
        <v>0.36338026942313983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580.47045857065075</v>
      </c>
      <c r="F1021" s="38">
        <f t="shared" si="125"/>
        <v>0.22855133841237404</v>
      </c>
      <c r="G1021" s="14">
        <f t="shared" si="126"/>
        <v>0</v>
      </c>
      <c r="H1021" s="24">
        <f t="shared" si="132"/>
        <v>738.46852530563979</v>
      </c>
      <c r="I1021" s="12">
        <f t="shared" si="131"/>
        <v>0.36301947022936215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580.8334780408801</v>
      </c>
      <c r="F1022" s="38">
        <f t="shared" si="125"/>
        <v>0.22843277171693094</v>
      </c>
      <c r="G1022" s="14">
        <f t="shared" si="126"/>
        <v>0</v>
      </c>
      <c r="H1022" s="24">
        <f t="shared" si="132"/>
        <v>738.8518230788801</v>
      </c>
      <c r="I1022" s="12">
        <f t="shared" si="131"/>
        <v>0.36265911050005289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581.19613715138019</v>
      </c>
      <c r="F1023" s="38">
        <f t="shared" si="125"/>
        <v>0.22831426843125185</v>
      </c>
      <c r="G1023" s="14">
        <f t="shared" si="126"/>
        <v>0</v>
      </c>
      <c r="H1023" s="24">
        <f t="shared" si="132"/>
        <v>739.23531364767564</v>
      </c>
      <c r="I1023" s="12">
        <f t="shared" si="131"/>
        <v>0.36229919003549704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581.5584363414157</v>
      </c>
      <c r="F1024" s="38">
        <f t="shared" si="125"/>
        <v>0.22819582873701622</v>
      </c>
      <c r="G1024" s="14">
        <f t="shared" si="126"/>
        <v>0</v>
      </c>
      <c r="H1024" s="24">
        <f t="shared" si="132"/>
        <v>739.61899640384695</v>
      </c>
      <c r="I1024" s="12">
        <f t="shared" si="131"/>
        <v>0.36193970863372682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581.92037605004941</v>
      </c>
      <c r="F1025" s="38">
        <f t="shared" si="125"/>
        <v>0.2280774528148907</v>
      </c>
      <c r="G1025" s="14">
        <f t="shared" si="126"/>
        <v>0</v>
      </c>
      <c r="H1025" s="24">
        <f t="shared" si="132"/>
        <v>740.00287073969344</v>
      </c>
      <c r="I1025" s="12">
        <f t="shared" si="131"/>
        <v>0.3615806660904955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582.28195671613992</v>
      </c>
      <c r="F1026" s="38">
        <f t="shared" si="125"/>
        <v>0.22795914084452987</v>
      </c>
      <c r="G1026" s="14">
        <f t="shared" si="126"/>
        <v>0</v>
      </c>
      <c r="H1026" s="24">
        <f t="shared" si="132"/>
        <v>740.38693604800039</v>
      </c>
      <c r="I1026" s="12">
        <f t="shared" si="131"/>
        <v>0.36122206219937164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582.64317877833923</v>
      </c>
      <c r="F1027" s="38">
        <f t="shared" si="125"/>
        <v>0.22784089300457827</v>
      </c>
      <c r="G1027" s="14">
        <f t="shared" si="126"/>
        <v>0</v>
      </c>
      <c r="H1027" s="24">
        <f t="shared" si="132"/>
        <v>740.77119172204357</v>
      </c>
      <c r="I1027" s="12">
        <f t="shared" si="131"/>
        <v>0.36086389675165287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583.00404267509089</v>
      </c>
      <c r="F1028" s="38">
        <f t="shared" si="125"/>
        <v>0.22772270947267059</v>
      </c>
      <c r="G1028" s="14">
        <f t="shared" si="126"/>
        <v>0</v>
      </c>
      <c r="H1028" s="24">
        <f t="shared" si="132"/>
        <v>741.15563715559688</v>
      </c>
      <c r="I1028" s="12">
        <f t="shared" si="131"/>
        <v>0.36050616953645925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583.36454884462739</v>
      </c>
      <c r="F1029" s="38">
        <f t="shared" si="125"/>
        <v>0.22760459042543385</v>
      </c>
      <c r="G1029" s="14">
        <f t="shared" si="126"/>
        <v>0</v>
      </c>
      <c r="H1029" s="24">
        <f t="shared" si="132"/>
        <v>741.54027174293697</v>
      </c>
      <c r="I1029" s="12">
        <f t="shared" si="131"/>
        <v>0.36014888034070031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583.72469772496811</v>
      </c>
      <c r="F1030" s="38">
        <f t="shared" si="125"/>
        <v>0.2274865360384879</v>
      </c>
      <c r="G1030" s="14">
        <f t="shared" si="126"/>
        <v>0</v>
      </c>
      <c r="H1030" s="24">
        <f t="shared" si="132"/>
        <v>741.92509487885013</v>
      </c>
      <c r="I1030" s="12">
        <f t="shared" si="131"/>
        <v>0.35979202894910345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584.08448975391718</v>
      </c>
      <c r="F1031" s="38">
        <f t="shared" si="125"/>
        <v>0.22736854648644714</v>
      </c>
      <c r="G1031" s="14">
        <f t="shared" si="126"/>
        <v>0</v>
      </c>
      <c r="H1031" s="24">
        <f t="shared" si="132"/>
        <v>742.31010595863791</v>
      </c>
      <c r="I1031" s="12">
        <f t="shared" si="131"/>
        <v>0.35943561514423567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584.44392536906139</v>
      </c>
      <c r="F1032" s="38">
        <f t="shared" si="125"/>
        <v>0.22725062194292203</v>
      </c>
      <c r="G1032" s="14">
        <f t="shared" si="126"/>
        <v>0</v>
      </c>
      <c r="H1032" s="24">
        <f t="shared" si="132"/>
        <v>742.69530437812239</v>
      </c>
      <c r="I1032" s="12">
        <f t="shared" si="131"/>
        <v>0.35907963870649379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584.80300500776787</v>
      </c>
      <c r="F1033" s="38">
        <f t="shared" si="125"/>
        <v>0.22713276258051968</v>
      </c>
      <c r="G1033" s="14">
        <f t="shared" si="126"/>
        <v>0</v>
      </c>
      <c r="H1033" s="24">
        <f t="shared" si="132"/>
        <v>743.08068953365319</v>
      </c>
      <c r="I1033" s="12">
        <f t="shared" si="131"/>
        <v>0.35872409941413697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585.16172910718205</v>
      </c>
      <c r="F1034" s="38">
        <f t="shared" si="125"/>
        <v>0.22701496857084583</v>
      </c>
      <c r="G1034" s="14">
        <f t="shared" si="126"/>
        <v>0</v>
      </c>
      <c r="H1034" s="24">
        <f t="shared" si="132"/>
        <v>743.46626082211219</v>
      </c>
      <c r="I1034" s="12">
        <f t="shared" si="131"/>
        <v>0.35836899704328912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585.52009810422533</v>
      </c>
      <c r="F1035" s="38">
        <f t="shared" si="125"/>
        <v>0.22689724008450626</v>
      </c>
      <c r="G1035" s="14">
        <f t="shared" si="126"/>
        <v>0</v>
      </c>
      <c r="H1035" s="24">
        <f t="shared" si="132"/>
        <v>743.85201764091948</v>
      </c>
      <c r="I1035" s="12">
        <f t="shared" si="131"/>
        <v>0.35801433136795924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585.87811243559327</v>
      </c>
      <c r="F1036" s="38">
        <f t="shared" si="125"/>
        <v>0.22677957729110779</v>
      </c>
      <c r="G1036" s="14">
        <f t="shared" si="126"/>
        <v>0</v>
      </c>
      <c r="H1036" s="24">
        <f t="shared" si="132"/>
        <v>744.2379593880388</v>
      </c>
      <c r="I1036" s="12">
        <f t="shared" si="131"/>
        <v>0.35766010216004601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586.23577253775329</v>
      </c>
      <c r="F1037" s="38">
        <f t="shared" si="125"/>
        <v>0.22666198035925994</v>
      </c>
      <c r="G1037" s="14">
        <f t="shared" si="126"/>
        <v>0</v>
      </c>
      <c r="H1037" s="24">
        <f t="shared" si="132"/>
        <v>744.6240854619839</v>
      </c>
      <c r="I1037" s="12">
        <f t="shared" si="131"/>
        <v>0.35730630918935485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586.5930788469426</v>
      </c>
      <c r="F1038" s="38">
        <f t="shared" si="125"/>
        <v>0.22654444945657637</v>
      </c>
      <c r="G1038" s="14">
        <f t="shared" si="126"/>
        <v>0</v>
      </c>
      <c r="H1038" s="24">
        <f t="shared" si="132"/>
        <v>745.01039526182319</v>
      </c>
      <c r="I1038" s="12">
        <f t="shared" si="131"/>
        <v>0.35695295222361834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586.95003179916625</v>
      </c>
      <c r="F1039" s="38">
        <f t="shared" si="125"/>
        <v>0.22642698474967635</v>
      </c>
      <c r="G1039" s="14">
        <f t="shared" si="126"/>
        <v>0</v>
      </c>
      <c r="H1039" s="24">
        <f t="shared" si="132"/>
        <v>745.3968881871856</v>
      </c>
      <c r="I1039" s="12">
        <f t="shared" si="131"/>
        <v>0.35660003102848792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587.30663183019476</v>
      </c>
      <c r="F1040" s="38">
        <f t="shared" si="125"/>
        <v>0.22630958640418622</v>
      </c>
      <c r="G1040" s="14">
        <f t="shared" si="126"/>
        <v>0</v>
      </c>
      <c r="H1040" s="24">
        <f t="shared" si="132"/>
        <v>745.78356363826606</v>
      </c>
      <c r="I1040" s="12">
        <f t="shared" si="131"/>
        <v>0.35624754536757003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587.66287937556228</v>
      </c>
      <c r="F1041" s="38">
        <f t="shared" si="125"/>
        <v>0.22619225458474107</v>
      </c>
      <c r="G1041" s="14">
        <f t="shared" si="126"/>
        <v>0</v>
      </c>
      <c r="H1041" s="24">
        <f t="shared" si="132"/>
        <v>746.17042101583024</v>
      </c>
      <c r="I1041" s="12">
        <f t="shared" si="131"/>
        <v>0.35589549500242168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588.0187748705647</v>
      </c>
      <c r="F1042" s="38">
        <f t="shared" si="125"/>
        <v>0.2260749894549858</v>
      </c>
      <c r="G1042" s="14">
        <f t="shared" si="126"/>
        <v>0</v>
      </c>
      <c r="H1042" s="24">
        <f t="shared" si="132"/>
        <v>746.55745972122122</v>
      </c>
      <c r="I1042" s="12">
        <f t="shared" si="131"/>
        <v>0.35554387969257362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588.37431875025732</v>
      </c>
      <c r="F1043" s="38">
        <f t="shared" si="125"/>
        <v>0.22595779117757733</v>
      </c>
      <c r="G1043" s="14">
        <f t="shared" si="126"/>
        <v>0</v>
      </c>
      <c r="H1043" s="24">
        <f t="shared" si="132"/>
        <v>746.94467915636335</v>
      </c>
      <c r="I1043" s="12">
        <f t="shared" si="131"/>
        <v>0.35519269919554775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588.72951144945284</v>
      </c>
      <c r="F1044" s="38">
        <f t="shared" ref="F1044:F1107" si="133">Cp*RhoP/(RhoA*H1044)*dp/1000*MassivP</f>
        <v>0.2258406599141857</v>
      </c>
      <c r="G1044" s="14">
        <f t="shared" ref="G1044:G1107" si="134">Phi*EpsilonF*Botzman/10^8*J1044*((D1044+273)^4-(E1044+273)^4)</f>
        <v>0</v>
      </c>
      <c r="H1044" s="24">
        <f t="shared" si="132"/>
        <v>747.33207872376852</v>
      </c>
      <c r="I1044" s="12">
        <f t="shared" si="131"/>
        <v>0.35484195326683082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589.08435340271967</v>
      </c>
      <c r="F1045" s="38">
        <f t="shared" si="133"/>
        <v>0.22572359582549592</v>
      </c>
      <c r="G1045" s="14">
        <f t="shared" si="134"/>
        <v>0</v>
      </c>
      <c r="H1045" s="24">
        <f t="shared" si="132"/>
        <v>747.71965782654024</v>
      </c>
      <c r="I1045" s="12">
        <f t="shared" ref="I1045:I1108" si="139">LambdaP*MassivP/(dp/1000)/(H1045*RhoA)/(1+F1045/3)*(D1045-E1045)*DeltaT-(EXP(F1045/10)-1)*(D1045-D1044)</f>
        <v>0.35449164165995856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589.4388450443796</v>
      </c>
      <c r="F1046" s="38">
        <f t="shared" si="133"/>
        <v>0.22560659907120936</v>
      </c>
      <c r="G1046" s="14">
        <f t="shared" si="134"/>
        <v>0</v>
      </c>
      <c r="H1046" s="24">
        <f t="shared" si="132"/>
        <v>748.10741586838003</v>
      </c>
      <c r="I1046" s="12">
        <f t="shared" si="139"/>
        <v>0.35414176412645054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589.79298680850604</v>
      </c>
      <c r="F1047" s="38">
        <f t="shared" si="133"/>
        <v>0.22548966981004553</v>
      </c>
      <c r="G1047" s="14">
        <f t="shared" si="134"/>
        <v>0</v>
      </c>
      <c r="H1047" s="24">
        <f t="shared" si="132"/>
        <v>748.49535225359159</v>
      </c>
      <c r="I1047" s="12">
        <f t="shared" si="139"/>
        <v>0.35379232041588604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590.14677912892193</v>
      </c>
      <c r="F1048" s="38">
        <f t="shared" si="133"/>
        <v>0.22537280819974376</v>
      </c>
      <c r="G1048" s="14">
        <f t="shared" si="134"/>
        <v>0</v>
      </c>
      <c r="H1048" s="24">
        <f t="shared" si="132"/>
        <v>748.8834663870864</v>
      </c>
      <c r="I1048" s="12">
        <f t="shared" si="139"/>
        <v>0.35344331027586345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590.50022243919784</v>
      </c>
      <c r="F1049" s="38">
        <f t="shared" si="133"/>
        <v>0.22525601439706489</v>
      </c>
      <c r="G1049" s="14">
        <f t="shared" si="134"/>
        <v>0</v>
      </c>
      <c r="H1049" s="24">
        <f t="shared" si="132"/>
        <v>749.27175767438803</v>
      </c>
      <c r="I1049" s="12">
        <f t="shared" si="139"/>
        <v>0.3530947334520701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590.85331717264989</v>
      </c>
      <c r="F1050" s="38">
        <f t="shared" si="133"/>
        <v>0.22513928855779294</v>
      </c>
      <c r="G1050" s="14">
        <f t="shared" si="134"/>
        <v>0</v>
      </c>
      <c r="H1050" s="24">
        <f t="shared" si="132"/>
        <v>749.66022552163747</v>
      </c>
      <c r="I1050" s="12">
        <f t="shared" si="139"/>
        <v>0.35274658968822392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591.20606376233809</v>
      </c>
      <c r="F1051" s="38">
        <f t="shared" si="133"/>
        <v>0.22502263083673676</v>
      </c>
      <c r="G1051" s="14">
        <f t="shared" si="134"/>
        <v>0</v>
      </c>
      <c r="H1051" s="24">
        <f t="shared" si="132"/>
        <v>750.04886933559806</v>
      </c>
      <c r="I1051" s="12">
        <f t="shared" si="139"/>
        <v>0.35239887872616565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591.55846264106424</v>
      </c>
      <c r="F1052" s="38">
        <f t="shared" si="133"/>
        <v>0.22490604138773168</v>
      </c>
      <c r="G1052" s="14">
        <f t="shared" si="134"/>
        <v>0</v>
      </c>
      <c r="H1052" s="24">
        <f t="shared" si="132"/>
        <v>750.43768852366054</v>
      </c>
      <c r="I1052" s="12">
        <f t="shared" si="139"/>
        <v>0.35205160030580018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591.91051424137004</v>
      </c>
      <c r="F1053" s="38">
        <f t="shared" si="133"/>
        <v>0.22478952036364139</v>
      </c>
      <c r="G1053" s="14">
        <f t="shared" si="134"/>
        <v>0</v>
      </c>
      <c r="H1053" s="24">
        <f t="shared" si="132"/>
        <v>750.82668249384756</v>
      </c>
      <c r="I1053" s="12">
        <f t="shared" si="139"/>
        <v>0.35170475416514702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592.26221899553514</v>
      </c>
      <c r="F1054" s="38">
        <f t="shared" si="133"/>
        <v>0.22467306791636005</v>
      </c>
      <c r="G1054" s="14">
        <f t="shared" si="134"/>
        <v>0</v>
      </c>
      <c r="H1054" s="24">
        <f t="shared" si="132"/>
        <v>751.21585065481781</v>
      </c>
      <c r="I1054" s="12">
        <f t="shared" si="139"/>
        <v>0.35135834004035438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592.61357733557554</v>
      </c>
      <c r="F1055" s="38">
        <f t="shared" si="133"/>
        <v>0.22455668419681324</v>
      </c>
      <c r="G1055" s="14">
        <f t="shared" si="134"/>
        <v>0</v>
      </c>
      <c r="H1055" s="24">
        <f t="shared" si="132"/>
        <v>751.60519241587212</v>
      </c>
      <c r="I1055" s="12">
        <f t="shared" si="139"/>
        <v>0.35101235766569544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592.96458969324124</v>
      </c>
      <c r="F1056" s="38">
        <f t="shared" si="133"/>
        <v>0.22444036935496078</v>
      </c>
      <c r="G1056" s="14">
        <f t="shared" si="134"/>
        <v>0</v>
      </c>
      <c r="H1056" s="24">
        <f t="shared" si="132"/>
        <v>751.99470718695648</v>
      </c>
      <c r="I1056" s="12">
        <f t="shared" si="139"/>
        <v>0.3506668067735686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593.31525650001481</v>
      </c>
      <c r="F1057" s="38">
        <f t="shared" si="133"/>
        <v>0.2243241235397975</v>
      </c>
      <c r="G1057" s="14">
        <f t="shared" si="134"/>
        <v>0</v>
      </c>
      <c r="H1057" s="24">
        <f t="shared" si="132"/>
        <v>752.38439437866816</v>
      </c>
      <c r="I1057" s="12">
        <f t="shared" si="139"/>
        <v>0.35032168709457157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593.66557818710942</v>
      </c>
      <c r="F1058" s="38">
        <f t="shared" si="133"/>
        <v>0.22420794689935594</v>
      </c>
      <c r="G1058" s="14">
        <f t="shared" si="134"/>
        <v>0</v>
      </c>
      <c r="H1058" s="24">
        <f t="shared" si="132"/>
        <v>752.77425340225932</v>
      </c>
      <c r="I1058" s="12">
        <f t="shared" si="139"/>
        <v>0.34997699835741736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594.01555518546684</v>
      </c>
      <c r="F1059" s="38">
        <f t="shared" si="133"/>
        <v>0.22409183958070789</v>
      </c>
      <c r="G1059" s="14">
        <f t="shared" si="134"/>
        <v>0</v>
      </c>
      <c r="H1059" s="24">
        <f t="shared" si="132"/>
        <v>753.16428366964146</v>
      </c>
      <c r="I1059" s="12">
        <f t="shared" si="139"/>
        <v>0.34963274028903513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594.36518792575589</v>
      </c>
      <c r="F1060" s="38">
        <f t="shared" si="133"/>
        <v>0.22397580172996603</v>
      </c>
      <c r="G1060" s="14">
        <f t="shared" si="134"/>
        <v>0</v>
      </c>
      <c r="H1060" s="24">
        <f t="shared" si="132"/>
        <v>753.55448459339095</v>
      </c>
      <c r="I1060" s="12">
        <f t="shared" si="139"/>
        <v>0.34928891261453771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594.71447683837039</v>
      </c>
      <c r="F1061" s="38">
        <f t="shared" si="133"/>
        <v>0.22385983349228625</v>
      </c>
      <c r="G1061" s="14">
        <f t="shared" si="134"/>
        <v>0</v>
      </c>
      <c r="H1061" s="24">
        <f t="shared" si="132"/>
        <v>753.94485558675183</v>
      </c>
      <c r="I1061" s="12">
        <f t="shared" si="139"/>
        <v>0.34894551505722965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595.06342235342765</v>
      </c>
      <c r="F1062" s="38">
        <f t="shared" si="133"/>
        <v>0.22374393501186926</v>
      </c>
      <c r="G1062" s="14">
        <f t="shared" si="134"/>
        <v>0</v>
      </c>
      <c r="H1062" s="24">
        <f t="shared" si="132"/>
        <v>754.33539606364161</v>
      </c>
      <c r="I1062" s="12">
        <f t="shared" si="139"/>
        <v>0.34860254733864815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595.41202490076626</v>
      </c>
      <c r="F1063" s="38">
        <f t="shared" si="133"/>
        <v>0.22362810643196251</v>
      </c>
      <c r="G1063" s="14">
        <f t="shared" si="134"/>
        <v>0</v>
      </c>
      <c r="H1063" s="24">
        <f t="shared" si="132"/>
        <v>754.72610543865471</v>
      </c>
      <c r="I1063" s="12">
        <f t="shared" si="139"/>
        <v>0.34826000917853756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595.76028490994474</v>
      </c>
      <c r="F1064" s="38">
        <f t="shared" si="133"/>
        <v>0.22351234789486249</v>
      </c>
      <c r="G1064" s="14">
        <f t="shared" si="134"/>
        <v>0</v>
      </c>
      <c r="H1064" s="24">
        <f t="shared" si="132"/>
        <v>755.11698312706721</v>
      </c>
      <c r="I1064" s="12">
        <f t="shared" si="139"/>
        <v>0.3479179002949061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596.10820281023962</v>
      </c>
      <c r="F1065" s="38">
        <f t="shared" si="133"/>
        <v>0.22339665954191607</v>
      </c>
      <c r="G1065" s="14">
        <f t="shared" si="134"/>
        <v>0</v>
      </c>
      <c r="H1065" s="24">
        <f t="shared" si="132"/>
        <v>755.50802854484118</v>
      </c>
      <c r="I1065" s="12">
        <f t="shared" si="139"/>
        <v>0.34757622040399672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596.45577903064361</v>
      </c>
      <c r="F1066" s="38">
        <f t="shared" si="133"/>
        <v>0.2232810415135229</v>
      </c>
      <c r="G1066" s="14">
        <f t="shared" si="134"/>
        <v>0</v>
      </c>
      <c r="H1066" s="24">
        <f t="shared" si="132"/>
        <v>755.89924110862808</v>
      </c>
      <c r="I1066" s="12">
        <f t="shared" si="139"/>
        <v>0.34723496922031949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596.80301399986388</v>
      </c>
      <c r="F1067" s="38">
        <f t="shared" si="133"/>
        <v>0.22316549394913762</v>
      </c>
      <c r="G1067" s="14">
        <f t="shared" si="134"/>
        <v>0</v>
      </c>
      <c r="H1067" s="24">
        <f t="shared" si="132"/>
        <v>756.29062023577353</v>
      </c>
      <c r="I1067" s="12">
        <f t="shared" si="139"/>
        <v>0.34689414645666566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597.14990814632051</v>
      </c>
      <c r="F1068" s="38">
        <f t="shared" si="133"/>
        <v>0.22305001698727109</v>
      </c>
      <c r="G1068" s="14">
        <f t="shared" si="134"/>
        <v>0</v>
      </c>
      <c r="H1068" s="24">
        <f t="shared" si="132"/>
        <v>756.6821653443219</v>
      </c>
      <c r="I1068" s="12">
        <f t="shared" si="139"/>
        <v>0.34655375182410059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597.49646189814462</v>
      </c>
      <c r="F1069" s="38">
        <f t="shared" si="133"/>
        <v>0.22293461076549301</v>
      </c>
      <c r="G1069" s="14">
        <f t="shared" si="134"/>
        <v>0</v>
      </c>
      <c r="H1069" s="24">
        <f t="shared" si="132"/>
        <v>757.07387585301944</v>
      </c>
      <c r="I1069" s="12">
        <f t="shared" si="139"/>
        <v>0.34621378503199413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597.84267568317659</v>
      </c>
      <c r="F1070" s="38">
        <f t="shared" si="133"/>
        <v>0.22281927542043392</v>
      </c>
      <c r="G1070" s="14">
        <f t="shared" si="134"/>
        <v>0</v>
      </c>
      <c r="H1070" s="24">
        <f t="shared" si="132"/>
        <v>757.46575118131841</v>
      </c>
      <c r="I1070" s="12">
        <f t="shared" si="139"/>
        <v>0.34587424578804626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598.18854992896468</v>
      </c>
      <c r="F1071" s="38">
        <f t="shared" si="133"/>
        <v>0.22270401108778698</v>
      </c>
      <c r="G1071" s="14">
        <f t="shared" si="134"/>
        <v>0</v>
      </c>
      <c r="H1071" s="24">
        <f t="shared" si="132"/>
        <v>757.85779074938171</v>
      </c>
      <c r="I1071" s="12">
        <f t="shared" si="139"/>
        <v>0.34553513379824541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598.53408506276287</v>
      </c>
      <c r="F1072" s="38">
        <f t="shared" si="133"/>
        <v>0.22258881790231025</v>
      </c>
      <c r="G1072" s="14">
        <f t="shared" si="134"/>
        <v>0</v>
      </c>
      <c r="H1072" s="24">
        <f t="shared" si="132"/>
        <v>758.2499939780862</v>
      </c>
      <c r="I1072" s="12">
        <f t="shared" si="139"/>
        <v>0.34519644876692679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598.87928151152983</v>
      </c>
      <c r="F1073" s="38">
        <f t="shared" si="133"/>
        <v>0.22247369599782846</v>
      </c>
      <c r="G1073" s="14">
        <f t="shared" si="134"/>
        <v>0</v>
      </c>
      <c r="H1073" s="24">
        <f t="shared" si="132"/>
        <v>758.64236028902712</v>
      </c>
      <c r="I1073" s="12">
        <f t="shared" si="139"/>
        <v>0.34485819039678872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599.22413970192656</v>
      </c>
      <c r="F1074" s="38">
        <f t="shared" si="133"/>
        <v>0.22235864550723555</v>
      </c>
      <c r="G1074" s="14">
        <f t="shared" si="134"/>
        <v>0</v>
      </c>
      <c r="H1074" s="24">
        <f t="shared" si="132"/>
        <v>759.03488910452108</v>
      </c>
      <c r="I1074" s="12">
        <f t="shared" si="139"/>
        <v>0.34452035838886857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599.56866006031544</v>
      </c>
      <c r="F1075" s="38">
        <f t="shared" si="133"/>
        <v>0.22224366656249642</v>
      </c>
      <c r="G1075" s="14">
        <f t="shared" si="134"/>
        <v>0</v>
      </c>
      <c r="H1075" s="24">
        <f t="shared" si="132"/>
        <v>759.4275798476109</v>
      </c>
      <c r="I1075" s="12">
        <f t="shared" si="139"/>
        <v>0.34418295244256752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599.912843012758</v>
      </c>
      <c r="F1076" s="38">
        <f t="shared" si="133"/>
        <v>0.22212875929464912</v>
      </c>
      <c r="G1076" s="14">
        <f t="shared" si="134"/>
        <v>0</v>
      </c>
      <c r="H1076" s="24">
        <f t="shared" si="132"/>
        <v>759.82043194206858</v>
      </c>
      <c r="I1076" s="12">
        <f t="shared" si="139"/>
        <v>0.34384597225568042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600.25668898501374</v>
      </c>
      <c r="F1077" s="38">
        <f t="shared" si="133"/>
        <v>0.22196150787074992</v>
      </c>
      <c r="G1077" s="14">
        <f t="shared" si="134"/>
        <v>0</v>
      </c>
      <c r="H1077" s="24">
        <f t="shared" si="132"/>
        <v>760.39296837133099</v>
      </c>
      <c r="I1077" s="12">
        <f t="shared" si="139"/>
        <v>0.34343396438822643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600.60012294940202</v>
      </c>
      <c r="F1078" s="38">
        <f t="shared" si="133"/>
        <v>0.22189265827677176</v>
      </c>
      <c r="G1078" s="14">
        <f t="shared" si="134"/>
        <v>0</v>
      </c>
      <c r="H1078" s="24">
        <f t="shared" si="132"/>
        <v>760.62890563731708</v>
      </c>
      <c r="I1078" s="12">
        <f t="shared" si="139"/>
        <v>0.34316399729607144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600.94328694669809</v>
      </c>
      <c r="F1079" s="38">
        <f t="shared" si="133"/>
        <v>0.2218235611369124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760.86583845727773</v>
      </c>
      <c r="I1079" s="12">
        <f t="shared" si="139"/>
        <v>0.34289388027853718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601.28618082697665</v>
      </c>
      <c r="F1080" s="38">
        <f t="shared" si="133"/>
        <v>0.22175421520858596</v>
      </c>
      <c r="G1080" s="14">
        <f t="shared" si="134"/>
        <v>0</v>
      </c>
      <c r="H1080" s="24">
        <f t="shared" si="140"/>
        <v>761.10377282010404</v>
      </c>
      <c r="I1080" s="12">
        <f t="shared" si="139"/>
        <v>0.34262361230507427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601.62880443928168</v>
      </c>
      <c r="F1081" s="38">
        <f t="shared" si="133"/>
        <v>0.22168461924133223</v>
      </c>
      <c r="G1081" s="14">
        <f t="shared" si="134"/>
        <v>0</v>
      </c>
      <c r="H1081" s="24">
        <f t="shared" si="140"/>
        <v>761.34271476127776</v>
      </c>
      <c r="I1081" s="12">
        <f t="shared" si="139"/>
        <v>0.34235319233609096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601.97115763161776</v>
      </c>
      <c r="F1082" s="38">
        <f t="shared" si="133"/>
        <v>0.2216147719767583</v>
      </c>
      <c r="G1082" s="14">
        <f t="shared" si="134"/>
        <v>0</v>
      </c>
      <c r="H1082" s="24">
        <f t="shared" si="140"/>
        <v>761.58267036331199</v>
      </c>
      <c r="I1082" s="12">
        <f t="shared" si="139"/>
        <v>0.34208261932284156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602.31324025094057</v>
      </c>
      <c r="F1083" s="38">
        <f t="shared" si="133"/>
        <v>0.2215446721484797</v>
      </c>
      <c r="G1083" s="14">
        <f t="shared" si="134"/>
        <v>0</v>
      </c>
      <c r="H1083" s="24">
        <f t="shared" si="140"/>
        <v>761.82364575619636</v>
      </c>
      <c r="I1083" s="12">
        <f t="shared" si="139"/>
        <v>0.34181189220740804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602.65505214314794</v>
      </c>
      <c r="F1084" s="38">
        <f t="shared" si="133"/>
        <v>0.22147431848206062</v>
      </c>
      <c r="G1084" s="14">
        <f t="shared" si="134"/>
        <v>0</v>
      </c>
      <c r="H1084" s="24">
        <f t="shared" si="140"/>
        <v>762.06564711784881</v>
      </c>
      <c r="I1084" s="12">
        <f t="shared" si="139"/>
        <v>0.34154100992263847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602.99659315307053</v>
      </c>
      <c r="F1085" s="38">
        <f t="shared" si="133"/>
        <v>0.22140370969495424</v>
      </c>
      <c r="G1085" s="14">
        <f t="shared" si="134"/>
        <v>0</v>
      </c>
      <c r="H1085" s="24">
        <f t="shared" si="140"/>
        <v>762.30868067457004</v>
      </c>
      <c r="I1085" s="12">
        <f t="shared" si="139"/>
        <v>0.34126997139203569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603.33786312446261</v>
      </c>
      <c r="F1086" s="38">
        <f t="shared" si="133"/>
        <v>0.22133284449644208</v>
      </c>
      <c r="G1086" s="14">
        <f t="shared" si="134"/>
        <v>0</v>
      </c>
      <c r="H1086" s="24">
        <f t="shared" si="140"/>
        <v>762.55275270150514</v>
      </c>
      <c r="I1086" s="12">
        <f t="shared" si="139"/>
        <v>0.34099877552977897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603.6788618999924</v>
      </c>
      <c r="F1087" s="38">
        <f t="shared" si="133"/>
        <v>0.22126172158757321</v>
      </c>
      <c r="G1087" s="14">
        <f t="shared" si="134"/>
        <v>0</v>
      </c>
      <c r="H1087" s="24">
        <f t="shared" si="140"/>
        <v>762.79786952310872</v>
      </c>
      <c r="I1087" s="12">
        <f t="shared" si="139"/>
        <v>0.3407274212405822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604.01958932123296</v>
      </c>
      <c r="F1088" s="38">
        <f t="shared" si="133"/>
        <v>0.22119033966110282</v>
      </c>
      <c r="G1088" s="14">
        <f t="shared" si="134"/>
        <v>0</v>
      </c>
      <c r="H1088" s="24">
        <f t="shared" si="140"/>
        <v>763.04403751361644</v>
      </c>
      <c r="I1088" s="12">
        <f t="shared" si="139"/>
        <v>0.3404559074196547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604.36004522865267</v>
      </c>
      <c r="F1089" s="38">
        <f t="shared" si="133"/>
        <v>0.22111869740142998</v>
      </c>
      <c r="G1089" s="14">
        <f t="shared" si="134"/>
        <v>0</v>
      </c>
      <c r="H1089" s="24">
        <f t="shared" si="140"/>
        <v>763.29126309752132</v>
      </c>
      <c r="I1089" s="12">
        <f t="shared" si="139"/>
        <v>0.3401842329526869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604.70022946160532</v>
      </c>
      <c r="F1090" s="38">
        <f t="shared" si="133"/>
        <v>0.22104679348453557</v>
      </c>
      <c r="G1090" s="14">
        <f t="shared" si="134"/>
        <v>0</v>
      </c>
      <c r="H1090" s="24">
        <f t="shared" si="140"/>
        <v>763.53955275005524</v>
      </c>
      <c r="I1090" s="12">
        <f t="shared" si="139"/>
        <v>0.3399123967156934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605.04014185832102</v>
      </c>
      <c r="F1091" s="38">
        <f t="shared" si="133"/>
        <v>0.22097462657791891</v>
      </c>
      <c r="G1091" s="14">
        <f t="shared" si="134"/>
        <v>0</v>
      </c>
      <c r="H1091" s="24">
        <f t="shared" si="140"/>
        <v>763.78891299767611</v>
      </c>
      <c r="I1091" s="12">
        <f t="shared" si="139"/>
        <v>0.33964039757504927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605.37978225589609</v>
      </c>
      <c r="F1092" s="38">
        <f t="shared" si="133"/>
        <v>0.22090219534053468</v>
      </c>
      <c r="G1092" s="14">
        <f t="shared" si="134"/>
        <v>0</v>
      </c>
      <c r="H1092" s="24">
        <f t="shared" si="140"/>
        <v>764.0393504185605</v>
      </c>
      <c r="I1092" s="12">
        <f t="shared" si="139"/>
        <v>0.33936823438732538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605.71915049028337</v>
      </c>
      <c r="F1093" s="38">
        <f t="shared" si="133"/>
        <v>0.22082949842272848</v>
      </c>
      <c r="G1093" s="14">
        <f t="shared" si="134"/>
        <v>0</v>
      </c>
      <c r="H1093" s="24">
        <f t="shared" si="140"/>
        <v>764.29087164310158</v>
      </c>
      <c r="I1093" s="12">
        <f t="shared" si="139"/>
        <v>0.33909590599929573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606.0582463962827</v>
      </c>
      <c r="F1094" s="38">
        <f t="shared" si="133"/>
        <v>0.22075653446617247</v>
      </c>
      <c r="G1094" s="14">
        <f t="shared" si="134"/>
        <v>0</v>
      </c>
      <c r="H1094" s="24">
        <f t="shared" si="140"/>
        <v>764.54348335441318</v>
      </c>
      <c r="I1094" s="12">
        <f t="shared" si="139"/>
        <v>0.33882341124785986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606.39706980753056</v>
      </c>
      <c r="F1095" s="38">
        <f t="shared" si="133"/>
        <v>0.22068330210380036</v>
      </c>
      <c r="G1095" s="14">
        <f t="shared" si="134"/>
        <v>0</v>
      </c>
      <c r="H1095" s="24">
        <f t="shared" si="140"/>
        <v>764.79719228883857</v>
      </c>
      <c r="I1095" s="12">
        <f t="shared" si="139"/>
        <v>0.33855074895991144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606.73562055649052</v>
      </c>
      <c r="F1096" s="38">
        <f t="shared" si="133"/>
        <v>0.22060979995974167</v>
      </c>
      <c r="G1096" s="14">
        <f t="shared" si="134"/>
        <v>0</v>
      </c>
      <c r="H1096" s="24">
        <f t="shared" si="140"/>
        <v>765.05200523646636</v>
      </c>
      <c r="I1096" s="12">
        <f t="shared" si="139"/>
        <v>0.33827791795238088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607.0738984744429</v>
      </c>
      <c r="F1097" s="38">
        <f t="shared" si="133"/>
        <v>0.22053602664925553</v>
      </c>
      <c r="G1097" s="14">
        <f t="shared" si="134"/>
        <v>0</v>
      </c>
      <c r="H1097" s="24">
        <f t="shared" si="140"/>
        <v>765.30792904165082</v>
      </c>
      <c r="I1097" s="12">
        <f t="shared" si="139"/>
        <v>0.33800491703204644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607.41190339147499</v>
      </c>
      <c r="F1098" s="38">
        <f t="shared" si="133"/>
        <v>0.22046198077866402</v>
      </c>
      <c r="G1098" s="14">
        <f t="shared" si="134"/>
        <v>0</v>
      </c>
      <c r="H1098" s="24">
        <f t="shared" si="140"/>
        <v>765.56497060353968</v>
      </c>
      <c r="I1098" s="12">
        <f t="shared" si="139"/>
        <v>0.33773174499556485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607.7496351364706</v>
      </c>
      <c r="F1099" s="38">
        <f t="shared" si="133"/>
        <v>0.22038766094528503</v>
      </c>
      <c r="G1099" s="14">
        <f t="shared" si="134"/>
        <v>0</v>
      </c>
      <c r="H1099" s="24">
        <f t="shared" si="140"/>
        <v>765.82313687660621</v>
      </c>
      <c r="I1099" s="12">
        <f t="shared" si="139"/>
        <v>0.33745840062933058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608.08709353709992</v>
      </c>
      <c r="F1100" s="38">
        <f t="shared" si="133"/>
        <v>0.22031306573736403</v>
      </c>
      <c r="G1100" s="14">
        <f t="shared" si="134"/>
        <v>0</v>
      </c>
      <c r="H1100" s="24">
        <f t="shared" si="140"/>
        <v>766.08243487118852</v>
      </c>
      <c r="I1100" s="12">
        <f t="shared" si="139"/>
        <v>0.33718488270945446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608.42427841980941</v>
      </c>
      <c r="F1101" s="38">
        <f t="shared" si="133"/>
        <v>0.22023819373400635</v>
      </c>
      <c r="G1101" s="14">
        <f t="shared" si="134"/>
        <v>0</v>
      </c>
      <c r="H1101" s="24">
        <f t="shared" si="140"/>
        <v>766.34287165403475</v>
      </c>
      <c r="I1101" s="12">
        <f t="shared" si="139"/>
        <v>0.3369111900016597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608.76118960981103</v>
      </c>
      <c r="F1102" s="38">
        <f t="shared" si="133"/>
        <v>0.2201630435051076</v>
      </c>
      <c r="G1102" s="14">
        <f t="shared" si="134"/>
        <v>0</v>
      </c>
      <c r="H1102" s="24">
        <f t="shared" si="140"/>
        <v>766.60445434885423</v>
      </c>
      <c r="I1102" s="12">
        <f t="shared" si="139"/>
        <v>0.33663732126121221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609.09782693107229</v>
      </c>
      <c r="F1103" s="38">
        <f t="shared" si="133"/>
        <v>0.2200876136112844</v>
      </c>
      <c r="G1103" s="14">
        <f t="shared" si="134"/>
        <v>0</v>
      </c>
      <c r="H1103" s="24">
        <f t="shared" si="140"/>
        <v>766.86719013687582</v>
      </c>
      <c r="I1103" s="12">
        <f t="shared" si="139"/>
        <v>0.33636327523288095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609.43419020630517</v>
      </c>
      <c r="F1104" s="38">
        <f t="shared" si="133"/>
        <v>0.2200119026038044</v>
      </c>
      <c r="G1104" s="14">
        <f t="shared" si="134"/>
        <v>0</v>
      </c>
      <c r="H1104" s="24">
        <f t="shared" si="140"/>
        <v>767.13108625741063</v>
      </c>
      <c r="I1104" s="12">
        <f t="shared" si="139"/>
        <v>0.33608905065081407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609.77027925695597</v>
      </c>
      <c r="F1105" s="38">
        <f t="shared" si="133"/>
        <v>0.21993590902451535</v>
      </c>
      <c r="G1105" s="14">
        <f t="shared" si="134"/>
        <v>0</v>
      </c>
      <c r="H1105" s="24">
        <f t="shared" si="140"/>
        <v>767.39615000842389</v>
      </c>
      <c r="I1105" s="12">
        <f t="shared" si="139"/>
        <v>0.3358146462385046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610.10609390319451</v>
      </c>
      <c r="F1106" s="38">
        <f t="shared" si="133"/>
        <v>0.21985963140577422</v>
      </c>
      <c r="G1106" s="14">
        <f t="shared" si="134"/>
        <v>0</v>
      </c>
      <c r="H1106" s="24">
        <f t="shared" si="140"/>
        <v>767.66238874711144</v>
      </c>
      <c r="I1106" s="12">
        <f t="shared" si="139"/>
        <v>0.33554006070869896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610.4416339639032</v>
      </c>
      <c r="F1107" s="38">
        <f t="shared" si="133"/>
        <v>0.21978306827037491</v>
      </c>
      <c r="G1107" s="14">
        <f t="shared" si="134"/>
        <v>0</v>
      </c>
      <c r="H1107" s="24">
        <f t="shared" si="140"/>
        <v>767.92980989048306</v>
      </c>
      <c r="I1107" s="12">
        <f t="shared" si="139"/>
        <v>0.33526529276332578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610.77689925666652</v>
      </c>
      <c r="F1108" s="38">
        <f t="shared" ref="F1108:F1171" si="141">Cp*RhoP/(RhoA*H1108)*dp/1000*MassivP</f>
        <v>0.21970621813147614</v>
      </c>
      <c r="G1108" s="14">
        <f t="shared" ref="G1108:G1171" si="142">Phi*EpsilonF*Botzman/10^8*J1108*((D1108+273)^4-(E1108+273)^4)</f>
        <v>0</v>
      </c>
      <c r="H1108" s="24">
        <f t="shared" si="140"/>
        <v>768.19842091595388</v>
      </c>
      <c r="I1108" s="12">
        <f t="shared" si="139"/>
        <v>0.33499034109339926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611.11188959775995</v>
      </c>
      <c r="F1109" s="38">
        <f t="shared" si="141"/>
        <v>0.21962907949252819</v>
      </c>
      <c r="G1109" s="14">
        <f t="shared" si="142"/>
        <v>0</v>
      </c>
      <c r="H1109" s="24">
        <f t="shared" si="140"/>
        <v>768.46822936194076</v>
      </c>
      <c r="I1109" s="12">
        <f t="shared" ref="I1109:I1172" si="147">LambdaP*MassivP/(dp/1000)/(H1109*RhoA)/(1+F1109/3)*(D1109-E1109)*DeltaT-(EXP(F1109/10)-1)*(D1109-D1108)</f>
        <v>0.33471520437898694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611.44660480213895</v>
      </c>
      <c r="F1110" s="38">
        <f t="shared" si="141"/>
        <v>0.21955165084719944</v>
      </c>
      <c r="G1110" s="14">
        <f t="shared" si="142"/>
        <v>0</v>
      </c>
      <c r="H1110" s="24">
        <f t="shared" si="140"/>
        <v>768.73924282846701</v>
      </c>
      <c r="I1110" s="12">
        <f t="shared" si="147"/>
        <v>0.3344398812890888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611.78104468342804</v>
      </c>
      <c r="F1111" s="38">
        <f t="shared" si="141"/>
        <v>0.21947393067930207</v>
      </c>
      <c r="G1111" s="14">
        <f t="shared" si="142"/>
        <v>0</v>
      </c>
      <c r="H1111" s="24">
        <f t="shared" si="140"/>
        <v>769.01146897777323</v>
      </c>
      <c r="I1111" s="12">
        <f t="shared" si="147"/>
        <v>0.33416437048157888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612.11520905390967</v>
      </c>
      <c r="F1112" s="38">
        <f t="shared" si="141"/>
        <v>0.21939591746271705</v>
      </c>
      <c r="G1112" s="14">
        <f t="shared" si="142"/>
        <v>0</v>
      </c>
      <c r="H1112" s="24">
        <f t="shared" si="140"/>
        <v>769.28491553493586</v>
      </c>
      <c r="I1112" s="12">
        <f t="shared" si="147"/>
        <v>0.33388867060312055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612.44909772451274</v>
      </c>
      <c r="F1113" s="38">
        <f t="shared" si="141"/>
        <v>0.21931760966131891</v>
      </c>
      <c r="G1113" s="14">
        <f t="shared" si="142"/>
        <v>0</v>
      </c>
      <c r="H1113" s="24">
        <f t="shared" si="140"/>
        <v>769.55959028849236</v>
      </c>
      <c r="I1113" s="12">
        <f t="shared" si="147"/>
        <v>0.33361278028908409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612.7827105048018</v>
      </c>
      <c r="F1114" s="38">
        <f t="shared" si="141"/>
        <v>0.21923900572889929</v>
      </c>
      <c r="G1114" s="14">
        <f t="shared" si="142"/>
        <v>0</v>
      </c>
      <c r="H1114" s="24">
        <f t="shared" si="140"/>
        <v>769.83550109107409</v>
      </c>
      <c r="I1114" s="12">
        <f t="shared" si="147"/>
        <v>0.33333669816347539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613.11604720296532</v>
      </c>
      <c r="F1115" s="38">
        <f t="shared" si="141"/>
        <v>0.21916010410909059</v>
      </c>
      <c r="G1115" s="14">
        <f t="shared" si="142"/>
        <v>0</v>
      </c>
      <c r="H1115" s="24">
        <f t="shared" si="140"/>
        <v>770.11265586004674</v>
      </c>
      <c r="I1115" s="12">
        <f t="shared" si="147"/>
        <v>0.33306042283886123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613.44910762580423</v>
      </c>
      <c r="F1116" s="38">
        <f t="shared" si="141"/>
        <v>0.21908090323528812</v>
      </c>
      <c r="G1116" s="14">
        <f t="shared" si="142"/>
        <v>0</v>
      </c>
      <c r="H1116" s="24">
        <f t="shared" si="140"/>
        <v>770.39106257815729</v>
      </c>
      <c r="I1116" s="12">
        <f t="shared" si="147"/>
        <v>0.33278395291623786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613.78189157872043</v>
      </c>
      <c r="F1117" s="38">
        <f t="shared" si="141"/>
        <v>0.21900140153057282</v>
      </c>
      <c r="G1117" s="14">
        <f t="shared" si="142"/>
        <v>0</v>
      </c>
      <c r="H1117" s="24">
        <f t="shared" si="140"/>
        <v>770.67072929418919</v>
      </c>
      <c r="I1117" s="12">
        <f t="shared" si="147"/>
        <v>0.33250728698502502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614.11439886570543</v>
      </c>
      <c r="F1118" s="38">
        <f t="shared" si="141"/>
        <v>0.21892159740763156</v>
      </c>
      <c r="G1118" s="14">
        <f t="shared" si="142"/>
        <v>0</v>
      </c>
      <c r="H1118" s="24">
        <f t="shared" si="140"/>
        <v>770.95166412362619</v>
      </c>
      <c r="I1118" s="12">
        <f t="shared" si="147"/>
        <v>0.33223042362292327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614.44662928932837</v>
      </c>
      <c r="F1119" s="38">
        <f t="shared" si="141"/>
        <v>0.21884148926867891</v>
      </c>
      <c r="G1119" s="14">
        <f t="shared" si="142"/>
        <v>0</v>
      </c>
      <c r="H1119" s="24">
        <f t="shared" si="140"/>
        <v>771.23387524932161</v>
      </c>
      <c r="I1119" s="12">
        <f t="shared" si="147"/>
        <v>0.33195336139584519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614.77858265072416</v>
      </c>
      <c r="F1120" s="38">
        <f t="shared" si="141"/>
        <v>0.21876107550537649</v>
      </c>
      <c r="G1120" s="14">
        <f t="shared" si="142"/>
        <v>0</v>
      </c>
      <c r="H1120" s="24">
        <f t="shared" si="140"/>
        <v>771.51737092217763</v>
      </c>
      <c r="I1120" s="12">
        <f t="shared" si="147"/>
        <v>0.33167609885782806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615.11025874958204</v>
      </c>
      <c r="F1121" s="38">
        <f t="shared" si="141"/>
        <v>0.21868035449875242</v>
      </c>
      <c r="G1121" s="14">
        <f t="shared" si="142"/>
        <v>0</v>
      </c>
      <c r="H1121" s="24">
        <f t="shared" si="140"/>
        <v>771.80215946183205</v>
      </c>
      <c r="I1121" s="12">
        <f t="shared" si="147"/>
        <v>0.33139863455098256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615.44165738413301</v>
      </c>
      <c r="F1122" s="38">
        <f t="shared" si="141"/>
        <v>0.21859932461912029</v>
      </c>
      <c r="G1122" s="14">
        <f t="shared" si="142"/>
        <v>0</v>
      </c>
      <c r="H1122" s="24">
        <f t="shared" si="140"/>
        <v>772.08824925735166</v>
      </c>
      <c r="I1122" s="12">
        <f t="shared" si="147"/>
        <v>0.33112096700533561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615.7727783511383</v>
      </c>
      <c r="F1123" s="38">
        <f t="shared" si="141"/>
        <v>0.21851798422599697</v>
      </c>
      <c r="G1123" s="14">
        <f t="shared" si="142"/>
        <v>0</v>
      </c>
      <c r="H1123" s="24">
        <f t="shared" si="140"/>
        <v>772.37564876793624</v>
      </c>
      <c r="I1123" s="12">
        <f t="shared" si="147"/>
        <v>0.33084309473880857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616.10362144587714</v>
      </c>
      <c r="F1124" s="38">
        <f t="shared" si="141"/>
        <v>0.21843633166802007</v>
      </c>
      <c r="G1124" s="14">
        <f t="shared" si="142"/>
        <v>0</v>
      </c>
      <c r="H1124" s="24">
        <f t="shared" si="140"/>
        <v>772.66436652362904</v>
      </c>
      <c r="I1124" s="12">
        <f t="shared" si="147"/>
        <v>0.33056501625710061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616.43418646213422</v>
      </c>
      <c r="F1125" s="38">
        <f t="shared" si="141"/>
        <v>0.21835436528286459</v>
      </c>
      <c r="G1125" s="14">
        <f t="shared" si="142"/>
        <v>0</v>
      </c>
      <c r="H1125" s="24">
        <f t="shared" si="140"/>
        <v>772.95441112603658</v>
      </c>
      <c r="I1125" s="12">
        <f t="shared" si="147"/>
        <v>0.33028673005358561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616.76447319218778</v>
      </c>
      <c r="F1126" s="38">
        <f t="shared" si="141"/>
        <v>0.21827208339715884</v>
      </c>
      <c r="G1126" s="14">
        <f t="shared" si="142"/>
        <v>0</v>
      </c>
      <c r="H1126" s="24">
        <f t="shared" si="140"/>
        <v>773.24579124905631</v>
      </c>
      <c r="I1126" s="12">
        <f t="shared" si="147"/>
        <v>0.33000823460925288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617.09448142679707</v>
      </c>
      <c r="F1127" s="38">
        <f t="shared" si="141"/>
        <v>0.21818948432639979</v>
      </c>
      <c r="G1127" s="14">
        <f t="shared" si="142"/>
        <v>0</v>
      </c>
      <c r="H1127" s="24">
        <f t="shared" si="140"/>
        <v>773.53851563961382</v>
      </c>
      <c r="I1127" s="12">
        <f t="shared" si="147"/>
        <v>0.32972952839260072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617.42421095518966</v>
      </c>
      <c r="F1128" s="38">
        <f t="shared" si="141"/>
        <v>0.21810656637486778</v>
      </c>
      <c r="G1128" s="14">
        <f t="shared" si="142"/>
        <v>0</v>
      </c>
      <c r="H1128" s="24">
        <f t="shared" si="140"/>
        <v>773.83259311840777</v>
      </c>
      <c r="I1128" s="12">
        <f t="shared" si="147"/>
        <v>0.32945060985954328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617.75366156504924</v>
      </c>
      <c r="F1129" s="38">
        <f t="shared" si="141"/>
        <v>0.21802332783554026</v>
      </c>
      <c r="G1129" s="14">
        <f t="shared" si="142"/>
        <v>0</v>
      </c>
      <c r="H1129" s="24">
        <f t="shared" si="140"/>
        <v>774.12803258066481</v>
      </c>
      <c r="I1129" s="12">
        <f t="shared" si="147"/>
        <v>0.32917147745330605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618.08283304250256</v>
      </c>
      <c r="F1130" s="38">
        <f t="shared" si="141"/>
        <v>0.21793976699000492</v>
      </c>
      <c r="G1130" s="14">
        <f t="shared" si="142"/>
        <v>0</v>
      </c>
      <c r="H1130" s="24">
        <f t="shared" si="140"/>
        <v>774.4248429969025</v>
      </c>
      <c r="I1130" s="12">
        <f t="shared" si="147"/>
        <v>0.32889212960435815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618.41172517210691</v>
      </c>
      <c r="F1131" s="38">
        <f t="shared" si="141"/>
        <v>0.21785588210837234</v>
      </c>
      <c r="G1131" s="14">
        <f t="shared" si="142"/>
        <v>0</v>
      </c>
      <c r="H1131" s="24">
        <f t="shared" si="140"/>
        <v>774.72303341370207</v>
      </c>
      <c r="I1131" s="12">
        <f t="shared" si="147"/>
        <v>0.32861256473031675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618.7403377368372</v>
      </c>
      <c r="F1132" s="38">
        <f t="shared" si="141"/>
        <v>0.21777167144918758</v>
      </c>
      <c r="G1132" s="14">
        <f t="shared" si="142"/>
        <v>0</v>
      </c>
      <c r="H1132" s="24">
        <f t="shared" si="140"/>
        <v>775.02261295449</v>
      </c>
      <c r="I1132" s="12">
        <f t="shared" si="147"/>
        <v>0.32833278123581455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619.06867051807296</v>
      </c>
      <c r="F1133" s="38">
        <f t="shared" si="141"/>
        <v>0.21768713325934128</v>
      </c>
      <c r="G1133" s="14">
        <f t="shared" si="142"/>
        <v>0</v>
      </c>
      <c r="H1133" s="24">
        <f t="shared" si="140"/>
        <v>775.32359082032963</v>
      </c>
      <c r="I1133" s="12">
        <f t="shared" si="147"/>
        <v>0.32805277751244111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619.39672329558539</v>
      </c>
      <c r="F1134" s="38">
        <f t="shared" si="141"/>
        <v>0.21760226577397981</v>
      </c>
      <c r="G1134" s="14">
        <f t="shared" si="142"/>
        <v>0</v>
      </c>
      <c r="H1134" s="24">
        <f t="shared" si="140"/>
        <v>775.62597629072116</v>
      </c>
      <c r="I1134" s="12">
        <f t="shared" si="147"/>
        <v>0.32777255193864435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619.72449584752405</v>
      </c>
      <c r="F1135" s="38">
        <f t="shared" si="141"/>
        <v>0.21751706721641506</v>
      </c>
      <c r="G1135" s="14">
        <f t="shared" si="142"/>
        <v>0</v>
      </c>
      <c r="H1135" s="24">
        <f t="shared" si="140"/>
        <v>775.92977872441236</v>
      </c>
      <c r="I1135" s="12">
        <f t="shared" si="147"/>
        <v>0.32749210287959923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620.0519879504036</v>
      </c>
      <c r="F1136" s="38">
        <f t="shared" si="141"/>
        <v>0.21743153579803301</v>
      </c>
      <c r="G1136" s="14">
        <f t="shared" si="142"/>
        <v>0</v>
      </c>
      <c r="H1136" s="24">
        <f t="shared" si="140"/>
        <v>776.23500756021849</v>
      </c>
      <c r="I1136" s="12">
        <f t="shared" si="147"/>
        <v>0.32721142868714936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620.37919937909078</v>
      </c>
      <c r="F1137" s="38">
        <f t="shared" si="141"/>
        <v>0.21734566971820185</v>
      </c>
      <c r="G1137" s="14">
        <f t="shared" si="142"/>
        <v>0</v>
      </c>
      <c r="H1137" s="24">
        <f t="shared" si="140"/>
        <v>776.54167231785243</v>
      </c>
      <c r="I1137" s="12">
        <f t="shared" si="147"/>
        <v>0.32693052769969755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620.70612990679047</v>
      </c>
      <c r="F1138" s="38">
        <f t="shared" si="141"/>
        <v>0.21725946716417924</v>
      </c>
      <c r="G1138" s="14">
        <f t="shared" si="142"/>
        <v>0</v>
      </c>
      <c r="H1138" s="24">
        <f t="shared" si="140"/>
        <v>776.84978259876448</v>
      </c>
      <c r="I1138" s="12">
        <f t="shared" si="147"/>
        <v>0.32664939824206107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621.03277930503248</v>
      </c>
      <c r="F1139" s="38">
        <f t="shared" si="141"/>
        <v>0.21717292631101903</v>
      </c>
      <c r="G1139" s="14">
        <f t="shared" si="142"/>
        <v>0</v>
      </c>
      <c r="H1139" s="24">
        <f t="shared" si="140"/>
        <v>777.15934808699274</v>
      </c>
      <c r="I1139" s="12">
        <f t="shared" si="147"/>
        <v>0.32636803862545039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621.35914734365792</v>
      </c>
      <c r="F1140" s="38">
        <f t="shared" si="141"/>
        <v>0.21708604532147663</v>
      </c>
      <c r="G1140" s="14">
        <f t="shared" si="142"/>
        <v>0</v>
      </c>
      <c r="H1140" s="24">
        <f t="shared" si="140"/>
        <v>777.47037855002384</v>
      </c>
      <c r="I1140" s="12">
        <f t="shared" si="147"/>
        <v>0.32608644714728724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621.68523379080523</v>
      </c>
      <c r="F1141" s="38">
        <f t="shared" si="141"/>
        <v>0.21699882234591439</v>
      </c>
      <c r="G1141" s="14">
        <f t="shared" si="142"/>
        <v>0</v>
      </c>
      <c r="H1141" s="24">
        <f t="shared" si="140"/>
        <v>777.78288383966321</v>
      </c>
      <c r="I1141" s="12">
        <f t="shared" si="147"/>
        <v>0.32580462209115896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622.01103841289637</v>
      </c>
      <c r="F1142" s="38">
        <f t="shared" si="141"/>
        <v>0.21691125552220569</v>
      </c>
      <c r="G1142" s="14">
        <f t="shared" si="142"/>
        <v>0</v>
      </c>
      <c r="H1142" s="24">
        <f t="shared" si="140"/>
        <v>778.09687389291742</v>
      </c>
      <c r="I1142" s="12">
        <f t="shared" si="147"/>
        <v>0.32552256172667576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622.33656097462301</v>
      </c>
      <c r="F1143" s="38">
        <f t="shared" si="141"/>
        <v>0.21682334297563813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778.41235873288633</v>
      </c>
      <c r="I1143" s="12">
        <f t="shared" si="147"/>
        <v>0.32524026430938974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622.66180123893241</v>
      </c>
      <c r="F1144" s="38">
        <f t="shared" si="141"/>
        <v>0.21673508281881648</v>
      </c>
      <c r="G1144" s="14">
        <f t="shared" si="142"/>
        <v>0</v>
      </c>
      <c r="H1144" s="24">
        <f t="shared" si="148"/>
        <v>778.72934846966609</v>
      </c>
      <c r="I1144" s="12">
        <f t="shared" si="147"/>
        <v>0.3249577280806718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622.98675896701309</v>
      </c>
      <c r="F1145" s="38">
        <f t="shared" si="141"/>
        <v>0.21664647315156432</v>
      </c>
      <c r="G1145" s="14">
        <f t="shared" si="142"/>
        <v>0</v>
      </c>
      <c r="H1145" s="24">
        <f t="shared" si="148"/>
        <v>779.04785330126379</v>
      </c>
      <c r="I1145" s="12">
        <f t="shared" si="147"/>
        <v>0.3246749512676303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623.31143391828073</v>
      </c>
      <c r="F1146" s="38">
        <f t="shared" si="141"/>
        <v>0.21655751206082519</v>
      </c>
      <c r="G1146" s="14">
        <f t="shared" si="142"/>
        <v>0</v>
      </c>
      <c r="H1146" s="24">
        <f t="shared" si="148"/>
        <v>779.36788351452276</v>
      </c>
      <c r="I1146" s="12">
        <f t="shared" si="147"/>
        <v>0.32439193208295425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623.63582585036363</v>
      </c>
      <c r="F1147" s="38">
        <f t="shared" si="141"/>
        <v>0.21646819762056271</v>
      </c>
      <c r="G1147" s="14">
        <f t="shared" si="142"/>
        <v>0</v>
      </c>
      <c r="H1147" s="24">
        <f t="shared" si="148"/>
        <v>779.68944948605952</v>
      </c>
      <c r="I1147" s="12">
        <f t="shared" si="147"/>
        <v>0.32410866872485949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623.95993451908851</v>
      </c>
      <c r="F1148" s="38">
        <f t="shared" si="141"/>
        <v>0.21637852789165993</v>
      </c>
      <c r="G1148" s="14">
        <f t="shared" si="142"/>
        <v>0</v>
      </c>
      <c r="H1148" s="24">
        <f t="shared" si="148"/>
        <v>780.01256168321243</v>
      </c>
      <c r="I1148" s="12">
        <f t="shared" si="147"/>
        <v>0.32382515937695144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624.28375967846546</v>
      </c>
      <c r="F1149" s="38">
        <f t="shared" si="141"/>
        <v>0.21628850092181809</v>
      </c>
      <c r="G1149" s="14">
        <f t="shared" si="142"/>
        <v>0</v>
      </c>
      <c r="H1149" s="24">
        <f t="shared" si="148"/>
        <v>780.33723066500113</v>
      </c>
      <c r="I1149" s="12">
        <f t="shared" si="147"/>
        <v>0.32354140220809202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624.60730108067355</v>
      </c>
      <c r="F1150" s="38">
        <f t="shared" si="141"/>
        <v>0.21619811474545425</v>
      </c>
      <c r="G1150" s="14">
        <f t="shared" si="142"/>
        <v>0</v>
      </c>
      <c r="H1150" s="24">
        <f t="shared" si="148"/>
        <v>780.66346708309948</v>
      </c>
      <c r="I1150" s="12">
        <f t="shared" si="147"/>
        <v>0.32325739537233755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624.93055847604592</v>
      </c>
      <c r="F1151" s="38">
        <f t="shared" si="141"/>
        <v>0.21610736738359812</v>
      </c>
      <c r="G1151" s="14">
        <f t="shared" si="142"/>
        <v>0</v>
      </c>
      <c r="H1151" s="24">
        <f t="shared" si="148"/>
        <v>780.99128168281868</v>
      </c>
      <c r="I1151" s="12">
        <f t="shared" si="147"/>
        <v>0.32297313700878727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625.25353161305475</v>
      </c>
      <c r="F1152" s="38">
        <f t="shared" si="141"/>
        <v>0.21601625684378842</v>
      </c>
      <c r="G1152" s="14">
        <f t="shared" si="142"/>
        <v>0</v>
      </c>
      <c r="H1152" s="24">
        <f t="shared" si="148"/>
        <v>781.32068530410379</v>
      </c>
      <c r="I1152" s="12">
        <f t="shared" si="147"/>
        <v>0.32268862524147496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625.57622023829617</v>
      </c>
      <c r="F1153" s="38">
        <f t="shared" si="141"/>
        <v>0.2159247811199678</v>
      </c>
      <c r="G1153" s="14">
        <f t="shared" si="142"/>
        <v>0</v>
      </c>
      <c r="H1153" s="24">
        <f t="shared" si="148"/>
        <v>781.65168888254209</v>
      </c>
      <c r="I1153" s="12">
        <f t="shared" si="147"/>
        <v>0.32240385817927159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625.89862409647549</v>
      </c>
      <c r="F1154" s="38">
        <f t="shared" si="141"/>
        <v>0.21583293819237734</v>
      </c>
      <c r="G1154" s="14">
        <f t="shared" si="142"/>
        <v>0</v>
      </c>
      <c r="H1154" s="24">
        <f t="shared" si="148"/>
        <v>781.98430345038446</v>
      </c>
      <c r="I1154" s="12">
        <f t="shared" si="147"/>
        <v>0.32211883391574747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626.22074293039122</v>
      </c>
      <c r="F1155" s="38">
        <f t="shared" si="141"/>
        <v>0.21574072602745015</v>
      </c>
      <c r="G1155" s="14">
        <f t="shared" si="142"/>
        <v>0</v>
      </c>
      <c r="H1155" s="24">
        <f t="shared" si="148"/>
        <v>782.31854013757857</v>
      </c>
      <c r="I1155" s="12">
        <f t="shared" si="147"/>
        <v>0.32183355052905421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626.54257648092027</v>
      </c>
      <c r="F1156" s="38">
        <f t="shared" si="141"/>
        <v>0.21564814257770376</v>
      </c>
      <c r="G1156" s="14">
        <f t="shared" si="142"/>
        <v>0</v>
      </c>
      <c r="H1156" s="24">
        <f t="shared" si="148"/>
        <v>782.65441017281603</v>
      </c>
      <c r="I1156" s="12">
        <f t="shared" si="147"/>
        <v>0.32154800608184331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626.86412448700207</v>
      </c>
      <c r="F1157" s="38">
        <f t="shared" si="141"/>
        <v>0.21555518578163232</v>
      </c>
      <c r="G1157" s="14">
        <f t="shared" si="142"/>
        <v>0</v>
      </c>
      <c r="H1157" s="24">
        <f t="shared" si="148"/>
        <v>782.99192488459175</v>
      </c>
      <c r="I1157" s="12">
        <f t="shared" si="147"/>
        <v>0.32126219862108119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627.18538668562314</v>
      </c>
      <c r="F1158" s="38">
        <f t="shared" si="141"/>
        <v>0.21546185356359704</v>
      </c>
      <c r="G1158" s="14">
        <f t="shared" si="142"/>
        <v>0</v>
      </c>
      <c r="H1158" s="24">
        <f t="shared" si="148"/>
        <v>783.33109570227725</v>
      </c>
      <c r="I1158" s="12">
        <f t="shared" si="147"/>
        <v>0.32097612617800336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627.50636281180118</v>
      </c>
      <c r="F1159" s="38">
        <f t="shared" si="141"/>
        <v>0.21536814383371652</v>
      </c>
      <c r="G1159" s="14">
        <f t="shared" si="142"/>
        <v>0</v>
      </c>
      <c r="H1159" s="24">
        <f t="shared" si="148"/>
        <v>783.67193415720658</v>
      </c>
      <c r="I1159" s="12">
        <f t="shared" si="147"/>
        <v>0.32068978676791776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627.82705259856914</v>
      </c>
      <c r="F1160" s="38">
        <f t="shared" si="141"/>
        <v>0.21527405448775574</v>
      </c>
      <c r="G1160" s="14">
        <f t="shared" si="142"/>
        <v>0</v>
      </c>
      <c r="H1160" s="24">
        <f t="shared" si="148"/>
        <v>784.01445188377647</v>
      </c>
      <c r="I1160" s="12">
        <f t="shared" si="147"/>
        <v>0.32040317839014937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628.1474557769593</v>
      </c>
      <c r="F1161" s="38">
        <f t="shared" si="141"/>
        <v>0.21517958340701449</v>
      </c>
      <c r="G1161" s="14">
        <f t="shared" si="142"/>
        <v>0</v>
      </c>
      <c r="H1161" s="24">
        <f t="shared" si="148"/>
        <v>784.35866062056061</v>
      </c>
      <c r="I1161" s="12">
        <f t="shared" si="147"/>
        <v>0.32011629902787608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628.46757207598716</v>
      </c>
      <c r="F1162" s="38">
        <f t="shared" si="141"/>
        <v>0.21508472845821422</v>
      </c>
      <c r="G1162" s="14">
        <f t="shared" si="142"/>
        <v>0</v>
      </c>
      <c r="H1162" s="24">
        <f t="shared" si="148"/>
        <v>784.70457221143704</v>
      </c>
      <c r="I1162" s="12">
        <f t="shared" si="147"/>
        <v>0.31982914664800016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628.78740122263514</v>
      </c>
      <c r="F1163" s="38">
        <f t="shared" si="141"/>
        <v>0.21498948749338503</v>
      </c>
      <c r="G1163" s="14">
        <f t="shared" si="142"/>
        <v>0</v>
      </c>
      <c r="H1163" s="24">
        <f t="shared" si="148"/>
        <v>785.05219860673037</v>
      </c>
      <c r="I1163" s="12">
        <f t="shared" si="147"/>
        <v>0.31954171920105262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629.10694294183622</v>
      </c>
      <c r="F1164" s="38">
        <f t="shared" si="141"/>
        <v>0.21489385834975072</v>
      </c>
      <c r="G1164" s="14">
        <f t="shared" si="142"/>
        <v>0</v>
      </c>
      <c r="H1164" s="24">
        <f t="shared" si="148"/>
        <v>785.40155186436868</v>
      </c>
      <c r="I1164" s="12">
        <f t="shared" si="147"/>
        <v>0.31925401462103586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629.42619695645726</v>
      </c>
      <c r="F1165" s="38">
        <f t="shared" si="141"/>
        <v>0.21479783884961384</v>
      </c>
      <c r="G1165" s="14">
        <f t="shared" si="142"/>
        <v>0</v>
      </c>
      <c r="H1165" s="24">
        <f t="shared" si="148"/>
        <v>785.75264415105403</v>
      </c>
      <c r="I1165" s="12">
        <f t="shared" si="147"/>
        <v>0.31896603082531816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629.74516298728258</v>
      </c>
      <c r="F1166" s="38">
        <f t="shared" si="141"/>
        <v>0.21470142680023874</v>
      </c>
      <c r="G1166" s="14">
        <f t="shared" si="142"/>
        <v>0</v>
      </c>
      <c r="H1166" s="24">
        <f t="shared" si="148"/>
        <v>786.10548774344898</v>
      </c>
      <c r="I1166" s="12">
        <f t="shared" si="147"/>
        <v>0.31867776571448292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630.06384075299707</v>
      </c>
      <c r="F1167" s="38">
        <f t="shared" si="141"/>
        <v>0.21460461999373476</v>
      </c>
      <c r="G1167" s="14">
        <f t="shared" si="142"/>
        <v>0</v>
      </c>
      <c r="H1167" s="24">
        <f t="shared" si="148"/>
        <v>786.4600950293775</v>
      </c>
      <c r="I1167" s="12">
        <f t="shared" si="147"/>
        <v>0.31838921717221097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630.38222997016931</v>
      </c>
      <c r="F1168" s="38">
        <f t="shared" si="141"/>
        <v>0.21450741620693781</v>
      </c>
      <c r="G1168" s="14">
        <f t="shared" si="142"/>
        <v>0</v>
      </c>
      <c r="H1168" s="24">
        <f t="shared" si="148"/>
        <v>786.81647850904142</v>
      </c>
      <c r="I1168" s="12">
        <f t="shared" si="147"/>
        <v>0.31810038306515226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630.70033035323445</v>
      </c>
      <c r="F1169" s="38">
        <f t="shared" si="141"/>
        <v>0.21440981320129129</v>
      </c>
      <c r="G1169" s="14">
        <f t="shared" si="142"/>
        <v>0</v>
      </c>
      <c r="H1169" s="24">
        <f t="shared" si="148"/>
        <v>787.17465079625185</v>
      </c>
      <c r="I1169" s="12">
        <f t="shared" si="147"/>
        <v>0.31781126124277631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631.01814161447726</v>
      </c>
      <c r="F1170" s="38">
        <f t="shared" si="141"/>
        <v>0.21431180872272587</v>
      </c>
      <c r="G1170" s="14">
        <f t="shared" si="142"/>
        <v>0</v>
      </c>
      <c r="H1170" s="24">
        <f t="shared" si="148"/>
        <v>787.53462461967752</v>
      </c>
      <c r="I1170" s="12">
        <f t="shared" si="147"/>
        <v>0.31752184953725854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631.33566346401449</v>
      </c>
      <c r="F1171" s="38">
        <f t="shared" si="141"/>
        <v>0.21421340050153859</v>
      </c>
      <c r="G1171" s="14">
        <f t="shared" si="142"/>
        <v>0</v>
      </c>
      <c r="H1171" s="24">
        <f t="shared" si="148"/>
        <v>787.8964128241073</v>
      </c>
      <c r="I1171" s="12">
        <f t="shared" si="147"/>
        <v>0.31723214576331399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631.65289560977783</v>
      </c>
      <c r="F1172" s="38">
        <f t="shared" ref="F1172:F1235" si="149">Cp*RhoP/(RhoA*H1172)*dp/1000*MassivP</f>
        <v>0.21411458625227037</v>
      </c>
      <c r="G1172" s="14">
        <f t="shared" ref="G1172:G1235" si="150">Phi*EpsilonF*Botzman/10^8*J1172*((D1172+273)^4-(E1172+273)^4)</f>
        <v>0</v>
      </c>
      <c r="H1172" s="24">
        <f t="shared" si="148"/>
        <v>788.26002837173098</v>
      </c>
      <c r="I1172" s="12">
        <f t="shared" si="147"/>
        <v>0.31694214771810308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631.96983775749595</v>
      </c>
      <c r="F1173" s="38">
        <f t="shared" si="149"/>
        <v>0.21401536367358356</v>
      </c>
      <c r="G1173" s="14">
        <f t="shared" si="150"/>
        <v>0</v>
      </c>
      <c r="H1173" s="24">
        <f t="shared" si="148"/>
        <v>788.62548434343444</v>
      </c>
      <c r="I1173" s="12">
        <f t="shared" ref="I1173:I1236" si="155">LambdaP*MassivP/(dp/1000)/(H1173*RhoA)/(1+F1173/3)*(D1173-E1173)*DeltaT-(EXP(F1173/10)-1)*(D1173-D1172)</f>
        <v>0.31665185318105993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632.28648961067699</v>
      </c>
      <c r="F1174" s="38">
        <f t="shared" si="149"/>
        <v>0.2139157304481375</v>
      </c>
      <c r="G1174" s="14">
        <f t="shared" si="150"/>
        <v>0</v>
      </c>
      <c r="H1174" s="24">
        <f t="shared" si="148"/>
        <v>788.99279394011296</v>
      </c>
      <c r="I1174" s="12">
        <f t="shared" si="155"/>
        <v>0.31636125991376235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632.60285087059071</v>
      </c>
      <c r="F1175" s="38">
        <f t="shared" si="149"/>
        <v>0.21381568424246378</v>
      </c>
      <c r="G1175" s="14">
        <f t="shared" si="150"/>
        <v>0</v>
      </c>
      <c r="H1175" s="24">
        <f t="shared" si="148"/>
        <v>789.36197048400061</v>
      </c>
      <c r="I1175" s="12">
        <f t="shared" si="155"/>
        <v>0.3160703656597868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632.91892123625053</v>
      </c>
      <c r="F1176" s="38">
        <f t="shared" si="149"/>
        <v>0.21371522270684015</v>
      </c>
      <c r="G1176" s="14">
        <f t="shared" si="150"/>
        <v>0</v>
      </c>
      <c r="H1176" s="24">
        <f t="shared" si="148"/>
        <v>789.73302742001715</v>
      </c>
      <c r="I1176" s="12">
        <f t="shared" si="155"/>
        <v>0.31577916814459267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633.23470040439508</v>
      </c>
      <c r="F1177" s="38">
        <f t="shared" si="149"/>
        <v>0.21361434347516361</v>
      </c>
      <c r="G1177" s="14">
        <f t="shared" si="150"/>
        <v>0</v>
      </c>
      <c r="H1177" s="24">
        <f t="shared" si="148"/>
        <v>790.10597831713221</v>
      </c>
      <c r="I1177" s="12">
        <f t="shared" si="155"/>
        <v>0.31548766507533588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633.55018806947044</v>
      </c>
      <c r="F1178" s="38">
        <f t="shared" si="149"/>
        <v>0.21351304416482242</v>
      </c>
      <c r="G1178" s="14">
        <f t="shared" si="150"/>
        <v>0</v>
      </c>
      <c r="H1178" s="24">
        <f t="shared" si="148"/>
        <v>790.48083686974701</v>
      </c>
      <c r="I1178" s="12">
        <f t="shared" si="155"/>
        <v>0.31519585414076007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633.86538392361115</v>
      </c>
      <c r="F1179" s="38">
        <f t="shared" si="149"/>
        <v>0.21341132237656699</v>
      </c>
      <c r="G1179" s="14">
        <f t="shared" si="150"/>
        <v>0</v>
      </c>
      <c r="H1179" s="24">
        <f t="shared" si="148"/>
        <v>790.85761689909407</v>
      </c>
      <c r="I1179" s="12">
        <f t="shared" si="155"/>
        <v>0.31490373301105201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634.18028765662223</v>
      </c>
      <c r="F1180" s="38">
        <f t="shared" si="149"/>
        <v>0.21330917569438002</v>
      </c>
      <c r="G1180" s="14">
        <f t="shared" si="150"/>
        <v>0</v>
      </c>
      <c r="H1180" s="24">
        <f t="shared" si="148"/>
        <v>791.23633235465559</v>
      </c>
      <c r="I1180" s="12">
        <f t="shared" si="155"/>
        <v>0.31461129933764026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634.49489895595991</v>
      </c>
      <c r="F1181" s="38">
        <f t="shared" si="149"/>
        <v>0.21320660168534544</v>
      </c>
      <c r="G1181" s="14">
        <f t="shared" si="150"/>
        <v>0</v>
      </c>
      <c r="H1181" s="24">
        <f t="shared" si="148"/>
        <v>791.61699731559906</v>
      </c>
      <c r="I1181" s="12">
        <f t="shared" si="155"/>
        <v>0.31431855075313492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634.80921750671303</v>
      </c>
      <c r="F1182" s="38">
        <f t="shared" si="149"/>
        <v>0.2131035978995163</v>
      </c>
      <c r="G1182" s="14">
        <f t="shared" si="150"/>
        <v>0</v>
      </c>
      <c r="H1182" s="24">
        <f t="shared" si="148"/>
        <v>791.99962599223272</v>
      </c>
      <c r="I1182" s="12">
        <f t="shared" si="155"/>
        <v>0.31402548487110732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635.12324299158411</v>
      </c>
      <c r="F1183" s="38">
        <f t="shared" si="149"/>
        <v>0.21300016186978185</v>
      </c>
      <c r="G1183" s="14">
        <f t="shared" si="150"/>
        <v>0</v>
      </c>
      <c r="H1183" s="24">
        <f t="shared" si="148"/>
        <v>792.38423272747957</v>
      </c>
      <c r="I1183" s="12">
        <f t="shared" si="155"/>
        <v>0.31373209928596568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635.43697509087008</v>
      </c>
      <c r="F1184" s="38">
        <f t="shared" si="149"/>
        <v>0.21289629111173322</v>
      </c>
      <c r="G1184" s="14">
        <f t="shared" si="150"/>
        <v>0</v>
      </c>
      <c r="H1184" s="24">
        <f t="shared" si="148"/>
        <v>792.77083199837057</v>
      </c>
      <c r="I1184" s="12">
        <f t="shared" si="155"/>
        <v>0.31343839157279879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635.75041348244292</v>
      </c>
      <c r="F1185" s="38">
        <f t="shared" si="149"/>
        <v>0.21279198312352834</v>
      </c>
      <c r="G1185" s="14">
        <f t="shared" si="150"/>
        <v>0</v>
      </c>
      <c r="H1185" s="24">
        <f t="shared" si="148"/>
        <v>793.15943841755734</v>
      </c>
      <c r="I1185" s="12">
        <f t="shared" si="155"/>
        <v>0.31314435928724332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636.06355784173013</v>
      </c>
      <c r="F1186" s="38">
        <f t="shared" si="149"/>
        <v>0.21268723538575554</v>
      </c>
      <c r="G1186" s="14">
        <f t="shared" si="150"/>
        <v>0</v>
      </c>
      <c r="H1186" s="24">
        <f t="shared" si="148"/>
        <v>793.55006673484513</v>
      </c>
      <c r="I1186" s="12">
        <f t="shared" si="155"/>
        <v>0.31284999996527668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636.37640784169537</v>
      </c>
      <c r="F1187" s="38">
        <f t="shared" si="149"/>
        <v>0.21258204536129677</v>
      </c>
      <c r="G1187" s="14">
        <f t="shared" si="150"/>
        <v>0</v>
      </c>
      <c r="H1187" s="24">
        <f t="shared" si="148"/>
        <v>793.94273183874543</v>
      </c>
      <c r="I1187" s="12">
        <f t="shared" si="155"/>
        <v>0.31255531112313717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636.68896315281847</v>
      </c>
      <c r="F1188" s="38">
        <f t="shared" si="149"/>
        <v>0.21247641049518853</v>
      </c>
      <c r="G1188" s="14">
        <f t="shared" si="150"/>
        <v>0</v>
      </c>
      <c r="H1188" s="24">
        <f t="shared" si="148"/>
        <v>794.33744875804928</v>
      </c>
      <c r="I1188" s="12">
        <f t="shared" si="155"/>
        <v>0.31226029025709195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637.00122344307556</v>
      </c>
      <c r="F1189" s="38">
        <f t="shared" si="149"/>
        <v>0.21237032821448301</v>
      </c>
      <c r="G1189" s="14">
        <f t="shared" si="150"/>
        <v>0</v>
      </c>
      <c r="H1189" s="24">
        <f t="shared" si="148"/>
        <v>794.73423266342115</v>
      </c>
      <c r="I1189" s="12">
        <f t="shared" si="155"/>
        <v>0.31196493484331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637.31318837791889</v>
      </c>
      <c r="F1190" s="38">
        <f t="shared" si="149"/>
        <v>0.21226379592810737</v>
      </c>
      <c r="G1190" s="14">
        <f t="shared" si="150"/>
        <v>0</v>
      </c>
      <c r="H1190" s="24">
        <f t="shared" si="148"/>
        <v>795.13309886901413</v>
      </c>
      <c r="I1190" s="12">
        <f t="shared" si="155"/>
        <v>0.31166924233773491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637.62485762025665</v>
      </c>
      <c r="F1191" s="38">
        <f t="shared" si="149"/>
        <v>0.21215681102672229</v>
      </c>
      <c r="G1191" s="14">
        <f t="shared" si="150"/>
        <v>0</v>
      </c>
      <c r="H1191" s="24">
        <f t="shared" si="148"/>
        <v>795.53406283410595</v>
      </c>
      <c r="I1191" s="12">
        <f t="shared" si="155"/>
        <v>0.31137321017585323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637.93623083043246</v>
      </c>
      <c r="F1192" s="38">
        <f t="shared" si="149"/>
        <v>0.2120493708825793</v>
      </c>
      <c r="G1192" s="14">
        <f t="shared" si="150"/>
        <v>0</v>
      </c>
      <c r="H1192" s="24">
        <f t="shared" si="148"/>
        <v>795.93714016475712</v>
      </c>
      <c r="I1192" s="12">
        <f t="shared" si="155"/>
        <v>0.31107683577258982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638.24730766620507</v>
      </c>
      <c r="F1193" s="38">
        <f t="shared" si="149"/>
        <v>0.21194147284937659</v>
      </c>
      <c r="G1193" s="14">
        <f t="shared" si="150"/>
        <v>0</v>
      </c>
      <c r="H1193" s="24">
        <f t="shared" si="148"/>
        <v>796.34234661549169</v>
      </c>
      <c r="I1193" s="12">
        <f t="shared" si="155"/>
        <v>0.31078011652212312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638.55808778272717</v>
      </c>
      <c r="F1194" s="38">
        <f t="shared" si="149"/>
        <v>0.21183311426211496</v>
      </c>
      <c r="G1194" s="14">
        <f t="shared" si="150"/>
        <v>0</v>
      </c>
      <c r="H1194" s="24">
        <f t="shared" si="148"/>
        <v>796.74969809099855</v>
      </c>
      <c r="I1194" s="12">
        <f t="shared" si="155"/>
        <v>0.31048304979770835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638.86857083252482</v>
      </c>
      <c r="F1195" s="38">
        <f t="shared" si="149"/>
        <v>0.21172429243695121</v>
      </c>
      <c r="G1195" s="14">
        <f t="shared" si="150"/>
        <v>0</v>
      </c>
      <c r="H1195" s="24">
        <f t="shared" si="148"/>
        <v>797.15921064785709</v>
      </c>
      <c r="I1195" s="12">
        <f t="shared" si="155"/>
        <v>0.31018563295153312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639.17875646547634</v>
      </c>
      <c r="F1196" s="38">
        <f t="shared" si="149"/>
        <v>0.2116150046710514</v>
      </c>
      <c r="G1196" s="14">
        <f t="shared" si="150"/>
        <v>0</v>
      </c>
      <c r="H1196" s="24">
        <f t="shared" si="148"/>
        <v>797.57090049628539</v>
      </c>
      <c r="I1196" s="12">
        <f t="shared" si="155"/>
        <v>0.30988786331453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639.48864432879088</v>
      </c>
      <c r="F1197" s="38">
        <f t="shared" si="149"/>
        <v>0.21150524824244246</v>
      </c>
      <c r="G1197" s="14">
        <f t="shared" si="150"/>
        <v>0</v>
      </c>
      <c r="H1197" s="24">
        <f t="shared" si="148"/>
        <v>797.98478400191129</v>
      </c>
      <c r="I1197" s="12">
        <f t="shared" si="155"/>
        <v>0.30958973819620872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639.79823406698711</v>
      </c>
      <c r="F1198" s="38">
        <f t="shared" si="149"/>
        <v>0.21139502040986316</v>
      </c>
      <c r="G1198" s="14">
        <f t="shared" si="150"/>
        <v>0</v>
      </c>
      <c r="H1198" s="24">
        <f t="shared" si="148"/>
        <v>798.4008776875678</v>
      </c>
      <c r="I1198" s="12">
        <f t="shared" si="155"/>
        <v>0.3092912548845056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640.10752532187166</v>
      </c>
      <c r="F1199" s="38">
        <f t="shared" si="149"/>
        <v>0.21128431841261358</v>
      </c>
      <c r="G1199" s="14">
        <f t="shared" si="150"/>
        <v>0</v>
      </c>
      <c r="H1199" s="24">
        <f t="shared" si="148"/>
        <v>798.81919823511191</v>
      </c>
      <c r="I1199" s="12">
        <f t="shared" si="155"/>
        <v>0.30899241064556593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640.41651773251726</v>
      </c>
      <c r="F1200" s="38">
        <f t="shared" si="149"/>
        <v>0.21117313947040339</v>
      </c>
      <c r="G1200" s="14">
        <f t="shared" si="150"/>
        <v>0</v>
      </c>
      <c r="H1200" s="24">
        <f t="shared" si="148"/>
        <v>799.23976248726876</v>
      </c>
      <c r="I1200" s="12">
        <f t="shared" si="155"/>
        <v>0.30869320272363504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640.72521093524085</v>
      </c>
      <c r="F1201" s="38">
        <f t="shared" si="149"/>
        <v>0.21106148078319939</v>
      </c>
      <c r="G1201" s="14">
        <f t="shared" si="150"/>
        <v>0</v>
      </c>
      <c r="H1201" s="24">
        <f t="shared" si="148"/>
        <v>799.6625874494996</v>
      </c>
      <c r="I1201" s="12">
        <f t="shared" si="155"/>
        <v>0.30839362834081618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641.03360456358166</v>
      </c>
      <c r="F1202" s="38">
        <f t="shared" si="149"/>
        <v>0.21094933953107159</v>
      </c>
      <c r="G1202" s="14">
        <f t="shared" si="150"/>
        <v>0</v>
      </c>
      <c r="H1202" s="24">
        <f t="shared" si="148"/>
        <v>800.08769029189625</v>
      </c>
      <c r="I1202" s="12">
        <f t="shared" si="155"/>
        <v>0.30809368469692816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641.34169824827859</v>
      </c>
      <c r="F1203" s="38">
        <f t="shared" si="149"/>
        <v>0.2108367128740383</v>
      </c>
      <c r="G1203" s="14">
        <f t="shared" si="150"/>
        <v>0</v>
      </c>
      <c r="H1203" s="24">
        <f t="shared" si="148"/>
        <v>800.51508835109905</v>
      </c>
      <c r="I1203" s="12">
        <f t="shared" si="155"/>
        <v>0.30779336896932241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641.64949161724792</v>
      </c>
      <c r="F1204" s="38">
        <f t="shared" si="149"/>
        <v>0.21072359795190992</v>
      </c>
      <c r="G1204" s="14">
        <f t="shared" si="150"/>
        <v>0</v>
      </c>
      <c r="H1204" s="24">
        <f t="shared" si="148"/>
        <v>800.94479913224325</v>
      </c>
      <c r="I1204" s="12">
        <f t="shared" si="155"/>
        <v>0.30749267831270827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641.95698429556057</v>
      </c>
      <c r="F1205" s="38">
        <f t="shared" si="149"/>
        <v>0.21060999188413179</v>
      </c>
      <c r="G1205" s="14">
        <f t="shared" si="150"/>
        <v>0</v>
      </c>
      <c r="H1205" s="24">
        <f t="shared" si="148"/>
        <v>801.37684031092954</v>
      </c>
      <c r="I1205" s="12">
        <f t="shared" si="155"/>
        <v>0.30719160985894606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642.26417590541951</v>
      </c>
      <c r="F1206" s="38">
        <f t="shared" si="149"/>
        <v>0.21049589176962571</v>
      </c>
      <c r="G1206" s="14">
        <f t="shared" si="150"/>
        <v>0</v>
      </c>
      <c r="H1206" s="24">
        <f t="shared" si="148"/>
        <v>801.81122973522338</v>
      </c>
      <c r="I1206" s="12">
        <f t="shared" si="155"/>
        <v>0.30689016071690239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642.57106606613638</v>
      </c>
      <c r="F1207" s="38">
        <f t="shared" si="149"/>
        <v>0.21038129468663036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802.24798542767905</v>
      </c>
      <c r="I1207" s="12">
        <f t="shared" si="155"/>
        <v>0.30658832797221414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642.87765439410862</v>
      </c>
      <c r="F1208" s="38">
        <f t="shared" si="149"/>
        <v>0.21026619769254043</v>
      </c>
      <c r="G1208" s="14">
        <f t="shared" si="150"/>
        <v>0</v>
      </c>
      <c r="H1208" s="24">
        <f t="shared" si="156"/>
        <v>802.68712558739435</v>
      </c>
      <c r="I1208" s="12">
        <f t="shared" si="155"/>
        <v>0.30628610868716027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643.18394050279574</v>
      </c>
      <c r="F1209" s="38">
        <f t="shared" si="149"/>
        <v>0.21015059782374504</v>
      </c>
      <c r="G1209" s="14">
        <f t="shared" si="150"/>
        <v>0</v>
      </c>
      <c r="H1209" s="24">
        <f t="shared" si="156"/>
        <v>803.12866859208987</v>
      </c>
      <c r="I1209" s="12">
        <f t="shared" si="155"/>
        <v>0.30598349990041951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643.48992400269617</v>
      </c>
      <c r="F1210" s="38">
        <f t="shared" si="149"/>
        <v>0.21003449209546415</v>
      </c>
      <c r="G1210" s="14">
        <f t="shared" si="150"/>
        <v>0</v>
      </c>
      <c r="H1210" s="24">
        <f t="shared" si="156"/>
        <v>803.57263300022021</v>
      </c>
      <c r="I1210" s="12">
        <f t="shared" si="155"/>
        <v>0.30568049862693408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643.79560450132306</v>
      </c>
      <c r="F1211" s="38">
        <f t="shared" si="149"/>
        <v>0.20991787750158489</v>
      </c>
      <c r="G1211" s="14">
        <f t="shared" si="150"/>
        <v>0</v>
      </c>
      <c r="H1211" s="24">
        <f t="shared" si="156"/>
        <v>804.01903755311082</v>
      </c>
      <c r="I1211" s="12">
        <f t="shared" si="155"/>
        <v>0.30537710185766048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644.10098160318068</v>
      </c>
      <c r="F1212" s="38">
        <f t="shared" si="149"/>
        <v>0.20980075101449536</v>
      </c>
      <c r="G1212" s="14">
        <f t="shared" si="150"/>
        <v>0</v>
      </c>
      <c r="H1212" s="24">
        <f t="shared" si="156"/>
        <v>804.46790117712692</v>
      </c>
      <c r="I1212" s="12">
        <f t="shared" si="155"/>
        <v>0.30507330655942494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644.40605490974008</v>
      </c>
      <c r="F1213" s="38">
        <f t="shared" si="149"/>
        <v>0.20968310958491876</v>
      </c>
      <c r="G1213" s="14">
        <f t="shared" si="150"/>
        <v>0</v>
      </c>
      <c r="H1213" s="24">
        <f t="shared" si="156"/>
        <v>804.91924298587014</v>
      </c>
      <c r="I1213" s="12">
        <f t="shared" si="155"/>
        <v>0.30476910967470139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644.71082401941476</v>
      </c>
      <c r="F1214" s="38">
        <f t="shared" si="149"/>
        <v>0.20956495014174509</v>
      </c>
      <c r="G1214" s="14">
        <f t="shared" si="150"/>
        <v>0</v>
      </c>
      <c r="H1214" s="24">
        <f t="shared" si="156"/>
        <v>805.37308228240636</v>
      </c>
      <c r="I1214" s="12">
        <f t="shared" si="155"/>
        <v>0.30446450812143122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645.0152885275362</v>
      </c>
      <c r="F1215" s="38">
        <f t="shared" si="149"/>
        <v>0.20944626959186211</v>
      </c>
      <c r="G1215" s="14">
        <f t="shared" si="150"/>
        <v>0</v>
      </c>
      <c r="H1215" s="24">
        <f t="shared" si="156"/>
        <v>805.82943856152497</v>
      </c>
      <c r="I1215" s="12">
        <f t="shared" si="155"/>
        <v>0.30415949879280951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645.31944802632904</v>
      </c>
      <c r="F1216" s="38">
        <f t="shared" si="149"/>
        <v>0.20932706481998553</v>
      </c>
      <c r="G1216" s="14">
        <f t="shared" si="150"/>
        <v>0</v>
      </c>
      <c r="H1216" s="24">
        <f t="shared" si="156"/>
        <v>806.28833151202707</v>
      </c>
      <c r="I1216" s="12">
        <f t="shared" si="155"/>
        <v>0.303854078557102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645.62330210488619</v>
      </c>
      <c r="F1217" s="38">
        <f t="shared" si="149"/>
        <v>0.20920733268848718</v>
      </c>
      <c r="G1217" s="14">
        <f t="shared" si="150"/>
        <v>0</v>
      </c>
      <c r="H1217" s="24">
        <f t="shared" si="156"/>
        <v>806.74978101904776</v>
      </c>
      <c r="I1217" s="12">
        <f t="shared" si="155"/>
        <v>0.30354824425743682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645.92685034914359</v>
      </c>
      <c r="F1218" s="38">
        <f t="shared" si="149"/>
        <v>0.20908707003722252</v>
      </c>
      <c r="G1218" s="14">
        <f t="shared" si="150"/>
        <v>0</v>
      </c>
      <c r="H1218" s="24">
        <f t="shared" si="156"/>
        <v>807.21380716640942</v>
      </c>
      <c r="I1218" s="12">
        <f t="shared" si="155"/>
        <v>0.30324199271160196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646.2300923418552</v>
      </c>
      <c r="F1219" s="38">
        <f t="shared" si="149"/>
        <v>0.20896627368335702</v>
      </c>
      <c r="G1219" s="14">
        <f t="shared" si="150"/>
        <v>0</v>
      </c>
      <c r="H1219" s="24">
        <f t="shared" si="156"/>
        <v>807.68043023900805</v>
      </c>
      <c r="I1219" s="12">
        <f t="shared" si="155"/>
        <v>0.30293532071183177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646.53302766256706</v>
      </c>
      <c r="F1220" s="38">
        <f t="shared" si="149"/>
        <v>0.20884494042119087</v>
      </c>
      <c r="G1220" s="14">
        <f t="shared" si="150"/>
        <v>0</v>
      </c>
      <c r="H1220" s="24">
        <f t="shared" si="156"/>
        <v>808.149670725232</v>
      </c>
      <c r="I1220" s="12">
        <f t="shared" si="155"/>
        <v>0.30262822502462916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646.83565588759166</v>
      </c>
      <c r="F1221" s="38">
        <f t="shared" si="149"/>
        <v>0.20872306702198298</v>
      </c>
      <c r="G1221" s="14">
        <f t="shared" si="150"/>
        <v>0</v>
      </c>
      <c r="H1221" s="24">
        <f t="shared" si="156"/>
        <v>808.62154931941541</v>
      </c>
      <c r="I1221" s="12">
        <f t="shared" si="155"/>
        <v>0.30232070239053016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647.13797658998215</v>
      </c>
      <c r="F1222" s="38">
        <f t="shared" si="149"/>
        <v>0.20860065023377364</v>
      </c>
      <c r="G1222" s="14">
        <f t="shared" si="150"/>
        <v>0</v>
      </c>
      <c r="H1222" s="24">
        <f t="shared" si="156"/>
        <v>809.09608692432539</v>
      </c>
      <c r="I1222" s="12">
        <f t="shared" si="155"/>
        <v>0.30201274952389384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647.43998933950604</v>
      </c>
      <c r="F1223" s="38">
        <f t="shared" si="149"/>
        <v>0.20847768678120526</v>
      </c>
      <c r="G1223" s="14">
        <f t="shared" si="150"/>
        <v>0</v>
      </c>
      <c r="H1223" s="24">
        <f t="shared" si="156"/>
        <v>809.57330465368432</v>
      </c>
      <c r="I1223" s="12">
        <f t="shared" si="155"/>
        <v>0.30170436311272342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647.74169370261882</v>
      </c>
      <c r="F1224" s="38">
        <f t="shared" si="149"/>
        <v>0.20835417336534348</v>
      </c>
      <c r="G1224" s="14">
        <f t="shared" si="150"/>
        <v>0</v>
      </c>
      <c r="H1224" s="24">
        <f t="shared" si="156"/>
        <v>810.05322383472696</v>
      </c>
      <c r="I1224" s="12">
        <f t="shared" si="155"/>
        <v>0.30139553981842165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648.04308924243719</v>
      </c>
      <c r="F1225" s="38">
        <f t="shared" si="149"/>
        <v>0.20823010666349534</v>
      </c>
      <c r="G1225" s="14">
        <f t="shared" si="150"/>
        <v>0</v>
      </c>
      <c r="H1225" s="24">
        <f t="shared" si="156"/>
        <v>810.53586601079337</v>
      </c>
      <c r="I1225" s="12">
        <f t="shared" si="155"/>
        <v>0.30108627627558726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648.34417551871275</v>
      </c>
      <c r="F1226" s="38">
        <f t="shared" si="149"/>
        <v>0.20810548332902737</v>
      </c>
      <c r="G1226" s="14">
        <f t="shared" si="150"/>
        <v>0</v>
      </c>
      <c r="H1226" s="24">
        <f t="shared" si="156"/>
        <v>811.02125294395955</v>
      </c>
      <c r="I1226" s="12">
        <f t="shared" si="155"/>
        <v>0.30077656909179601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648.64495208780454</v>
      </c>
      <c r="F1227" s="38">
        <f t="shared" si="149"/>
        <v>0.20798029999118206</v>
      </c>
      <c r="G1227" s="14">
        <f t="shared" si="150"/>
        <v>0</v>
      </c>
      <c r="H1227" s="24">
        <f t="shared" si="156"/>
        <v>811.50940661770323</v>
      </c>
      <c r="I1227" s="12">
        <f t="shared" si="155"/>
        <v>0.30046641484740444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648.94541850265193</v>
      </c>
      <c r="F1228" s="38">
        <f t="shared" si="149"/>
        <v>0.20785455325489316</v>
      </c>
      <c r="G1228" s="14">
        <f t="shared" si="150"/>
        <v>0</v>
      </c>
      <c r="H1228" s="24">
        <f t="shared" si="156"/>
        <v>812.00034923960857</v>
      </c>
      <c r="I1228" s="12">
        <f t="shared" si="155"/>
        <v>0.30015581009529069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649.24557431274718</v>
      </c>
      <c r="F1229" s="38">
        <f t="shared" si="149"/>
        <v>0.20772823970059975</v>
      </c>
      <c r="G1229" s="14">
        <f t="shared" si="150"/>
        <v>0</v>
      </c>
      <c r="H1229" s="24">
        <f t="shared" si="156"/>
        <v>812.49410324410883</v>
      </c>
      <c r="I1229" s="12">
        <f t="shared" si="155"/>
        <v>0.29984475136067346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649.54541906410782</v>
      </c>
      <c r="F1230" s="38">
        <f t="shared" si="149"/>
        <v>0.20760135588405904</v>
      </c>
      <c r="G1230" s="14">
        <f t="shared" si="150"/>
        <v>0</v>
      </c>
      <c r="H1230" s="24">
        <f t="shared" si="156"/>
        <v>812.99069129526765</v>
      </c>
      <c r="I1230" s="12">
        <f t="shared" si="155"/>
        <v>0.29953323514086577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649.84495229924869</v>
      </c>
      <c r="F1231" s="38">
        <f t="shared" si="149"/>
        <v>0.20747389833615834</v>
      </c>
      <c r="G1231" s="14">
        <f t="shared" si="150"/>
        <v>0</v>
      </c>
      <c r="H1231" s="24">
        <f t="shared" si="156"/>
        <v>813.49013628960006</v>
      </c>
      <c r="I1231" s="12">
        <f t="shared" si="155"/>
        <v>0.29922125790505072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650.14417355715375</v>
      </c>
      <c r="F1232" s="38">
        <f t="shared" si="149"/>
        <v>0.20734586356272519</v>
      </c>
      <c r="G1232" s="14">
        <f t="shared" si="150"/>
        <v>0</v>
      </c>
      <c r="H1232" s="24">
        <f t="shared" si="156"/>
        <v>813.99246135893247</v>
      </c>
      <c r="I1232" s="12">
        <f t="shared" si="155"/>
        <v>0.29890881609407854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650.44308237324788</v>
      </c>
      <c r="F1233" s="38">
        <f t="shared" si="149"/>
        <v>0.20721724804433683</v>
      </c>
      <c r="G1233" s="14">
        <f t="shared" si="150"/>
        <v>0</v>
      </c>
      <c r="H1233" s="24">
        <f t="shared" si="156"/>
        <v>814.4976898733056</v>
      </c>
      <c r="I1233" s="12">
        <f t="shared" si="155"/>
        <v>0.29859590612020181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650.7416782793681</v>
      </c>
      <c r="F1234" s="38">
        <f t="shared" si="149"/>
        <v>0.20708804823612809</v>
      </c>
      <c r="G1234" s="14">
        <f t="shared" si="150"/>
        <v>0</v>
      </c>
      <c r="H1234" s="24">
        <f t="shared" si="156"/>
        <v>815.00584544391631</v>
      </c>
      <c r="I1234" s="12">
        <f t="shared" si="155"/>
        <v>0.29828252436688513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651.03996080373497</v>
      </c>
      <c r="F1235" s="38">
        <f t="shared" si="149"/>
        <v>0.20695826056759847</v>
      </c>
      <c r="G1235" s="14">
        <f t="shared" si="150"/>
        <v>0</v>
      </c>
      <c r="H1235" s="24">
        <f t="shared" si="156"/>
        <v>815.51695192610305</v>
      </c>
      <c r="I1235" s="12">
        <f t="shared" si="155"/>
        <v>0.29796866718855042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651.33792947092354</v>
      </c>
      <c r="F1236" s="38">
        <f t="shared" ref="F1236:F1299" si="157">Cp*RhoP/(RhoA*H1236)*dp/1000*MassivP</f>
        <v>0.20682788144241732</v>
      </c>
      <c r="G1236" s="14">
        <f t="shared" ref="G1236:G1299" si="158">Phi*EpsilonF*Botzman/10^8*J1236*((D1236+273)^4-(E1236+273)^4)</f>
        <v>0</v>
      </c>
      <c r="H1236" s="24">
        <f t="shared" si="156"/>
        <v>816.03103342237398</v>
      </c>
      <c r="I1236" s="12">
        <f t="shared" si="155"/>
        <v>0.29765433091033716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651.63558380183383</v>
      </c>
      <c r="F1237" s="38">
        <f t="shared" si="157"/>
        <v>0.20669690723822912</v>
      </c>
      <c r="G1237" s="14">
        <f t="shared" si="158"/>
        <v>0</v>
      </c>
      <c r="H1237" s="24">
        <f t="shared" si="156"/>
        <v>816.54811428547669</v>
      </c>
      <c r="I1237" s="12">
        <f t="shared" ref="I1237:I1300" si="163">LambdaP*MassivP/(dp/1000)/(H1237*RhoA)/(1+F1237/3)*(D1237-E1237)*DeltaT-(EXP(F1237/10)-1)*(D1237-D1236)</f>
        <v>0.29733951182788454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651.93292331366172</v>
      </c>
      <c r="F1238" s="38">
        <f t="shared" si="157"/>
        <v>0.2065653343064556</v>
      </c>
      <c r="G1238" s="14">
        <f t="shared" si="158"/>
        <v>0</v>
      </c>
      <c r="H1238" s="24">
        <f t="shared" si="156"/>
        <v>817.06821912151509</v>
      </c>
      <c r="I1238" s="12">
        <f t="shared" si="163"/>
        <v>0.29702420620710995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652.2299475198688</v>
      </c>
      <c r="F1239" s="38">
        <f t="shared" si="157"/>
        <v>0.20643315897209874</v>
      </c>
      <c r="G1239" s="14">
        <f t="shared" si="158"/>
        <v>0</v>
      </c>
      <c r="H1239" s="24">
        <f t="shared" si="156"/>
        <v>817.59137279310789</v>
      </c>
      <c r="I1239" s="12">
        <f t="shared" si="163"/>
        <v>0.29670841028392037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652.52665593015274</v>
      </c>
      <c r="F1240" s="38">
        <f t="shared" si="157"/>
        <v>0.20630037753354111</v>
      </c>
      <c r="G1240" s="14">
        <f t="shared" si="158"/>
        <v>0</v>
      </c>
      <c r="H1240" s="24">
        <f t="shared" si="156"/>
        <v>818.11760042259493</v>
      </c>
      <c r="I1240" s="12">
        <f t="shared" si="163"/>
        <v>0.29639212026401662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652.82304805041679</v>
      </c>
      <c r="F1241" s="38">
        <f t="shared" si="157"/>
        <v>0.20616698626234584</v>
      </c>
      <c r="G1241" s="14">
        <f t="shared" si="158"/>
        <v>0</v>
      </c>
      <c r="H1241" s="24">
        <f t="shared" si="156"/>
        <v>818.64692739528846</v>
      </c>
      <c r="I1241" s="12">
        <f t="shared" si="163"/>
        <v>0.29607533232265121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653.11912338273942</v>
      </c>
      <c r="F1242" s="38">
        <f t="shared" si="157"/>
        <v>0.2060329814030549</v>
      </c>
      <c r="G1242" s="14">
        <f t="shared" si="158"/>
        <v>0</v>
      </c>
      <c r="H1242" s="24">
        <f t="shared" si="156"/>
        <v>819.17937936277201</v>
      </c>
      <c r="I1242" s="12">
        <f t="shared" si="163"/>
        <v>0.29575804260435928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653.41488142534376</v>
      </c>
      <c r="F1243" s="38">
        <f t="shared" si="157"/>
        <v>0.20589835917298652</v>
      </c>
      <c r="G1243" s="14">
        <f t="shared" si="158"/>
        <v>0</v>
      </c>
      <c r="H1243" s="24">
        <f t="shared" si="156"/>
        <v>819.71498224624725</v>
      </c>
      <c r="I1243" s="12">
        <f t="shared" si="163"/>
        <v>0.29544024722270673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653.71032167256647</v>
      </c>
      <c r="F1244" s="38">
        <f t="shared" si="157"/>
        <v>0.20576311576203124</v>
      </c>
      <c r="G1244" s="14">
        <f t="shared" si="158"/>
        <v>0</v>
      </c>
      <c r="H1244" s="24">
        <f t="shared" si="156"/>
        <v>820.25376223992862</v>
      </c>
      <c r="I1244" s="12">
        <f t="shared" si="163"/>
        <v>0.29512194226009891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654.00544361482662</v>
      </c>
      <c r="F1245" s="38">
        <f t="shared" si="157"/>
        <v>0.20562724733244703</v>
      </c>
      <c r="G1245" s="14">
        <f t="shared" si="158"/>
        <v>0</v>
      </c>
      <c r="H1245" s="24">
        <f t="shared" si="156"/>
        <v>820.79574581448821</v>
      </c>
      <c r="I1245" s="12">
        <f t="shared" si="163"/>
        <v>0.29480312376747592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654.30024673859407</v>
      </c>
      <c r="F1246" s="38">
        <f t="shared" si="157"/>
        <v>0.20549075001865311</v>
      </c>
      <c r="G1246" s="14">
        <f t="shared" si="158"/>
        <v>0</v>
      </c>
      <c r="H1246" s="24">
        <f t="shared" si="156"/>
        <v>821.34095972054956</v>
      </c>
      <c r="I1246" s="12">
        <f t="shared" si="163"/>
        <v>0.29448378776408068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654.59473052635815</v>
      </c>
      <c r="F1247" s="38">
        <f t="shared" si="157"/>
        <v>0.2053536199270225</v>
      </c>
      <c r="G1247" s="14">
        <f t="shared" si="158"/>
        <v>0</v>
      </c>
      <c r="H1247" s="24">
        <f t="shared" si="156"/>
        <v>821.88943099223434</v>
      </c>
      <c r="I1247" s="12">
        <f t="shared" si="163"/>
        <v>0.29416393023722059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654.88889445659538</v>
      </c>
      <c r="F1248" s="38">
        <f t="shared" si="157"/>
        <v>0.20521585313567375</v>
      </c>
      <c r="G1248" s="14">
        <f t="shared" si="158"/>
        <v>0</v>
      </c>
      <c r="H1248" s="24">
        <f t="shared" si="156"/>
        <v>822.44118695075872</v>
      </c>
      <c r="I1248" s="12">
        <f t="shared" si="163"/>
        <v>0.29384354714198119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655.18273800373731</v>
      </c>
      <c r="F1249" s="38">
        <f t="shared" si="157"/>
        <v>0.20507744569426109</v>
      </c>
      <c r="G1249" s="14">
        <f t="shared" si="158"/>
        <v>0</v>
      </c>
      <c r="H1249" s="24">
        <f t="shared" si="156"/>
        <v>822.99625520808388</v>
      </c>
      <c r="I1249" s="12">
        <f t="shared" si="163"/>
        <v>0.29352263440101656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655.47626063813834</v>
      </c>
      <c r="F1250" s="38">
        <f t="shared" si="157"/>
        <v>0.20493839362376401</v>
      </c>
      <c r="G1250" s="14">
        <f t="shared" si="158"/>
        <v>0</v>
      </c>
      <c r="H1250" s="24">
        <f t="shared" si="156"/>
        <v>823.55466367061979</v>
      </c>
      <c r="I1250" s="12">
        <f t="shared" si="163"/>
        <v>0.29320118790423622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655.76946182604263</v>
      </c>
      <c r="F1251" s="38">
        <f t="shared" si="157"/>
        <v>0.20479869291627517</v>
      </c>
      <c r="G1251" s="14">
        <f t="shared" si="158"/>
        <v>0</v>
      </c>
      <c r="H1251" s="24">
        <f t="shared" si="156"/>
        <v>824.11644054298267</v>
      </c>
      <c r="I1251" s="12">
        <f t="shared" si="163"/>
        <v>0.29287920350860175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656.06234102955125</v>
      </c>
      <c r="F1252" s="38">
        <f t="shared" si="157"/>
        <v>0.20465833953478765</v>
      </c>
      <c r="G1252" s="14">
        <f t="shared" si="158"/>
        <v>0</v>
      </c>
      <c r="H1252" s="24">
        <f t="shared" si="156"/>
        <v>824.68161433180853</v>
      </c>
      <c r="I1252" s="12">
        <f t="shared" si="163"/>
        <v>0.29255667703781879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656.3548977065891</v>
      </c>
      <c r="F1253" s="38">
        <f t="shared" si="157"/>
        <v>0.20451732941298073</v>
      </c>
      <c r="G1253" s="14">
        <f t="shared" si="158"/>
        <v>0</v>
      </c>
      <c r="H1253" s="24">
        <f t="shared" si="156"/>
        <v>825.25021384962258</v>
      </c>
      <c r="I1253" s="12">
        <f t="shared" si="163"/>
        <v>0.29223360428211215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656.64713131087126</v>
      </c>
      <c r="F1254" s="38">
        <f t="shared" si="157"/>
        <v>0.20437565845500494</v>
      </c>
      <c r="G1254" s="14">
        <f t="shared" si="158"/>
        <v>0</v>
      </c>
      <c r="H1254" s="24">
        <f t="shared" si="156"/>
        <v>825.82226821876623</v>
      </c>
      <c r="I1254" s="12">
        <f t="shared" si="163"/>
        <v>0.29190998099793725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656.93904129186922</v>
      </c>
      <c r="F1255" s="38">
        <f t="shared" si="157"/>
        <v>0.20423332253526585</v>
      </c>
      <c r="G1255" s="14">
        <f t="shared" si="158"/>
        <v>0</v>
      </c>
      <c r="H1255" s="24">
        <f t="shared" si="156"/>
        <v>826.39780687538109</v>
      </c>
      <c r="I1255" s="12">
        <f t="shared" si="163"/>
        <v>0.29158580290771918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657.23062709477699</v>
      </c>
      <c r="F1256" s="38">
        <f t="shared" si="157"/>
        <v>0.20409031749820672</v>
      </c>
      <c r="G1256" s="14">
        <f t="shared" si="158"/>
        <v>0</v>
      </c>
      <c r="H1256" s="24">
        <f t="shared" si="156"/>
        <v>826.97685957345368</v>
      </c>
      <c r="I1256" s="12">
        <f t="shared" si="163"/>
        <v>0.2912610656995801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657.52188816047658</v>
      </c>
      <c r="F1257" s="38">
        <f t="shared" si="157"/>
        <v>0.20394663915809016</v>
      </c>
      <c r="G1257" s="14">
        <f t="shared" si="158"/>
        <v>0</v>
      </c>
      <c r="H1257" s="24">
        <f t="shared" si="156"/>
        <v>827.55945638891865</v>
      </c>
      <c r="I1257" s="12">
        <f t="shared" si="163"/>
        <v>0.29093576502709678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657.81282392550372</v>
      </c>
      <c r="F1258" s="38">
        <f t="shared" si="157"/>
        <v>0.2038022832987792</v>
      </c>
      <c r="G1258" s="14">
        <f t="shared" si="158"/>
        <v>0</v>
      </c>
      <c r="H1258" s="24">
        <f t="shared" si="156"/>
        <v>828.14562772382396</v>
      </c>
      <c r="I1258" s="12">
        <f t="shared" si="163"/>
        <v>0.2906098965089971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658.10343382201268</v>
      </c>
      <c r="F1259" s="38">
        <f t="shared" si="157"/>
        <v>0.20365724567351626</v>
      </c>
      <c r="G1259" s="14">
        <f t="shared" si="158"/>
        <v>0</v>
      </c>
      <c r="H1259" s="24">
        <f t="shared" si="156"/>
        <v>828.73540431055767</v>
      </c>
      <c r="I1259" s="12">
        <f t="shared" si="163"/>
        <v>0.29028345572888703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658.39371727774153</v>
      </c>
      <c r="F1260" s="38">
        <f t="shared" si="157"/>
        <v>0.20351152200470249</v>
      </c>
      <c r="G1260" s="14">
        <f t="shared" si="158"/>
        <v>0</v>
      </c>
      <c r="H1260" s="24">
        <f t="shared" si="156"/>
        <v>829.32881721613853</v>
      </c>
      <c r="I1260" s="12">
        <f t="shared" si="163"/>
        <v>0.28995643823500389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658.68367371597651</v>
      </c>
      <c r="F1261" s="38">
        <f t="shared" si="157"/>
        <v>0.2033651079836751</v>
      </c>
      <c r="G1261" s="14">
        <f t="shared" si="158"/>
        <v>0</v>
      </c>
      <c r="H1261" s="24">
        <f t="shared" si="156"/>
        <v>829.92589784656934</v>
      </c>
      <c r="I1261" s="12">
        <f t="shared" si="163"/>
        <v>0.28962883953992474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658.9733025555164</v>
      </c>
      <c r="F1262" s="38">
        <f t="shared" si="157"/>
        <v>0.20321799927048398</v>
      </c>
      <c r="G1262" s="14">
        <f t="shared" si="158"/>
        <v>0</v>
      </c>
      <c r="H1262" s="24">
        <f t="shared" si="156"/>
        <v>830.52667795125728</v>
      </c>
      <c r="I1262" s="12">
        <f t="shared" si="163"/>
        <v>0.28930065512027581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659.26260321063671</v>
      </c>
      <c r="F1263" s="38">
        <f t="shared" si="157"/>
        <v>0.20307019149366765</v>
      </c>
      <c r="G1263" s="14">
        <f t="shared" si="158"/>
        <v>0</v>
      </c>
      <c r="H1263" s="24">
        <f t="shared" si="156"/>
        <v>831.13118962749923</v>
      </c>
      <c r="I1263" s="12">
        <f t="shared" si="163"/>
        <v>0.28897188041647437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659.55157509105322</v>
      </c>
      <c r="F1264" s="38">
        <f t="shared" si="157"/>
        <v>0.2029216802500281</v>
      </c>
      <c r="G1264" s="14">
        <f t="shared" si="158"/>
        <v>0</v>
      </c>
      <c r="H1264" s="24">
        <f t="shared" si="156"/>
        <v>831.7394653250351</v>
      </c>
      <c r="I1264" s="12">
        <f t="shared" si="163"/>
        <v>0.2886425108324297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659.84021760188568</v>
      </c>
      <c r="F1265" s="38">
        <f t="shared" si="157"/>
        <v>0.20277246110440442</v>
      </c>
      <c r="G1265" s="14">
        <f t="shared" si="158"/>
        <v>0</v>
      </c>
      <c r="H1265" s="24">
        <f t="shared" si="156"/>
        <v>832.35153785066939</v>
      </c>
      <c r="I1265" s="12">
        <f t="shared" si="163"/>
        <v>0.28831254173526455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660.12853014362099</v>
      </c>
      <c r="F1266" s="38">
        <f t="shared" si="157"/>
        <v>0.20262252958944621</v>
      </c>
      <c r="G1266" s="14">
        <f t="shared" si="158"/>
        <v>0</v>
      </c>
      <c r="H1266" s="24">
        <f t="shared" si="156"/>
        <v>832.96744037296367</v>
      </c>
      <c r="I1266" s="12">
        <f t="shared" si="163"/>
        <v>0.2879819684550477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660.41651211207602</v>
      </c>
      <c r="F1267" s="38">
        <f t="shared" si="157"/>
        <v>0.20247188120538528</v>
      </c>
      <c r="G1267" s="14">
        <f t="shared" si="158"/>
        <v>0</v>
      </c>
      <c r="H1267" s="24">
        <f t="shared" si="156"/>
        <v>833.5872064269978</v>
      </c>
      <c r="I1267" s="12">
        <f t="shared" si="163"/>
        <v>0.2876507862844766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660.70416289836055</v>
      </c>
      <c r="F1268" s="38">
        <f t="shared" si="157"/>
        <v>0.20232051141980728</v>
      </c>
      <c r="G1268" s="14">
        <f t="shared" si="158"/>
        <v>0</v>
      </c>
      <c r="H1268" s="24">
        <f t="shared" si="156"/>
        <v>834.21086991920583</v>
      </c>
      <c r="I1268" s="12">
        <f t="shared" si="163"/>
        <v>0.2873189904786293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660.99148188883919</v>
      </c>
      <c r="F1269" s="38">
        <f t="shared" si="157"/>
        <v>0.20216841566742214</v>
      </c>
      <c r="G1269" s="14">
        <f t="shared" si="158"/>
        <v>0</v>
      </c>
      <c r="H1269" s="24">
        <f t="shared" si="156"/>
        <v>834.83846513228286</v>
      </c>
      <c r="I1269" s="12">
        <f t="shared" si="163"/>
        <v>0.28698657625461155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661.27846846509385</v>
      </c>
      <c r="F1270" s="38">
        <f t="shared" si="157"/>
        <v>0.20201558934983344</v>
      </c>
      <c r="G1270" s="14">
        <f t="shared" si="158"/>
        <v>0</v>
      </c>
      <c r="H1270" s="24">
        <f t="shared" si="156"/>
        <v>835.47002673016834</v>
      </c>
      <c r="I1270" s="12">
        <f t="shared" si="163"/>
        <v>0.28665353879135241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661.56512200388522</v>
      </c>
      <c r="F1271" s="38">
        <f t="shared" si="157"/>
        <v>0.20186202783530771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836.10558976310392</v>
      </c>
      <c r="I1271" s="12">
        <f t="shared" si="163"/>
        <v>0.28631987322922436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661.85144187711444</v>
      </c>
      <c r="F1272" s="38">
        <f t="shared" si="157"/>
        <v>0.20170772645854232</v>
      </c>
      <c r="G1272" s="14">
        <f t="shared" si="158"/>
        <v>0</v>
      </c>
      <c r="H1272" s="24">
        <f t="shared" si="164"/>
        <v>836.74518967276936</v>
      </c>
      <c r="I1272" s="12">
        <f t="shared" si="163"/>
        <v>0.28598557466981755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662.13742745178422</v>
      </c>
      <c r="F1273" s="38">
        <f t="shared" si="157"/>
        <v>0.20155268052043285</v>
      </c>
      <c r="G1273" s="14">
        <f t="shared" si="158"/>
        <v>0</v>
      </c>
      <c r="H1273" s="24">
        <f t="shared" si="164"/>
        <v>837.38886229749664</v>
      </c>
      <c r="I1273" s="12">
        <f t="shared" si="163"/>
        <v>0.28565063817560266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662.42307808995986</v>
      </c>
      <c r="F1274" s="38">
        <f t="shared" si="157"/>
        <v>0.20139688528784</v>
      </c>
      <c r="G1274" s="14">
        <f t="shared" si="158"/>
        <v>0</v>
      </c>
      <c r="H1274" s="24">
        <f t="shared" si="164"/>
        <v>838.03664387756351</v>
      </c>
      <c r="I1274" s="12">
        <f t="shared" si="163"/>
        <v>0.28531505876965624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662.70839314872956</v>
      </c>
      <c r="F1275" s="38">
        <f t="shared" si="157"/>
        <v>0.20124033599335558</v>
      </c>
      <c r="G1275" s="14">
        <f t="shared" si="158"/>
        <v>0</v>
      </c>
      <c r="H1275" s="24">
        <f t="shared" si="164"/>
        <v>838.68857106056851</v>
      </c>
      <c r="I1275" s="12">
        <f t="shared" si="163"/>
        <v>0.28497883143533054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662.99337198016485</v>
      </c>
      <c r="F1276" s="38">
        <f t="shared" si="157"/>
        <v>0.20108302783506793</v>
      </c>
      <c r="G1276" s="14">
        <f t="shared" si="158"/>
        <v>0</v>
      </c>
      <c r="H1276" s="24">
        <f t="shared" si="164"/>
        <v>839.34468090688847</v>
      </c>
      <c r="I1276" s="12">
        <f t="shared" si="163"/>
        <v>0.28464195111599866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663.27801393128084</v>
      </c>
      <c r="F1277" s="38">
        <f t="shared" si="157"/>
        <v>0.20092495597632673</v>
      </c>
      <c r="G1277" s="14">
        <f t="shared" si="158"/>
        <v>0</v>
      </c>
      <c r="H1277" s="24">
        <f t="shared" si="164"/>
        <v>840.00501089522061</v>
      </c>
      <c r="I1277" s="12">
        <f t="shared" si="163"/>
        <v>0.28430441271472889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663.56231834399557</v>
      </c>
      <c r="F1278" s="38">
        <f t="shared" si="157"/>
        <v>0.20076611554550725</v>
      </c>
      <c r="G1278" s="14">
        <f t="shared" si="158"/>
        <v>0</v>
      </c>
      <c r="H1278" s="24">
        <f t="shared" si="164"/>
        <v>840.6695989282091</v>
      </c>
      <c r="I1278" s="12">
        <f t="shared" si="163"/>
        <v>0.28396621109395548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663.84628455508948</v>
      </c>
      <c r="F1279" s="38">
        <f t="shared" si="157"/>
        <v>0.20060650163577418</v>
      </c>
      <c r="G1279" s="14">
        <f t="shared" si="158"/>
        <v>0</v>
      </c>
      <c r="H1279" s="24">
        <f t="shared" si="164"/>
        <v>841.33848333815865</v>
      </c>
      <c r="I1279" s="12">
        <f t="shared" si="163"/>
        <v>0.28362734107524634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664.12991189616469</v>
      </c>
      <c r="F1280" s="38">
        <f t="shared" si="157"/>
        <v>0.20044610930484461</v>
      </c>
      <c r="G1280" s="14">
        <f t="shared" si="158"/>
        <v>0</v>
      </c>
      <c r="H1280" s="24">
        <f t="shared" si="164"/>
        <v>842.01170289283766</v>
      </c>
      <c r="I1280" s="12">
        <f t="shared" si="163"/>
        <v>0.28328779743890153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664.41319969360359</v>
      </c>
      <c r="F1281" s="38">
        <f t="shared" si="157"/>
        <v>0.20028493357475116</v>
      </c>
      <c r="G1281" s="14">
        <f t="shared" si="158"/>
        <v>0</v>
      </c>
      <c r="H1281" s="24">
        <f t="shared" si="164"/>
        <v>842.68929680136966</v>
      </c>
      <c r="I1281" s="12">
        <f t="shared" si="163"/>
        <v>0.28294757492372852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664.69614726852728</v>
      </c>
      <c r="F1282" s="38">
        <f t="shared" si="157"/>
        <v>0.20012296943160396</v>
      </c>
      <c r="G1282" s="14">
        <f t="shared" si="158"/>
        <v>0</v>
      </c>
      <c r="H1282" s="24">
        <f t="shared" si="164"/>
        <v>843.37130472021761</v>
      </c>
      <c r="I1282" s="12">
        <f t="shared" si="163"/>
        <v>0.2826066682267005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664.97875393675395</v>
      </c>
      <c r="F1283" s="38">
        <f t="shared" si="157"/>
        <v>0.19996021182535303</v>
      </c>
      <c r="G1283" s="14">
        <f t="shared" si="158"/>
        <v>0</v>
      </c>
      <c r="H1283" s="24">
        <f t="shared" si="164"/>
        <v>844.05776675926006</v>
      </c>
      <c r="I1283" s="12">
        <f t="shared" si="163"/>
        <v>0.28226507200262102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665.26101900875653</v>
      </c>
      <c r="F1284" s="38">
        <f t="shared" si="157"/>
        <v>0.19979665566954946</v>
      </c>
      <c r="G1284" s="14">
        <f t="shared" si="158"/>
        <v>0</v>
      </c>
      <c r="H1284" s="24">
        <f t="shared" si="164"/>
        <v>844.74872348796339</v>
      </c>
      <c r="I1284" s="12">
        <f t="shared" si="163"/>
        <v>0.28192278086388389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665.54294178962039</v>
      </c>
      <c r="F1285" s="38">
        <f t="shared" si="157"/>
        <v>0.199632295841107</v>
      </c>
      <c r="G1285" s="14">
        <f t="shared" si="158"/>
        <v>0</v>
      </c>
      <c r="H1285" s="24">
        <f t="shared" si="164"/>
        <v>845.44421594164919</v>
      </c>
      <c r="I1285" s="12">
        <f t="shared" si="163"/>
        <v>0.28157978938006245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665.82452157900047</v>
      </c>
      <c r="F1286" s="38">
        <f t="shared" si="157"/>
        <v>0.19946712718006315</v>
      </c>
      <c r="G1286" s="14">
        <f t="shared" si="158"/>
        <v>0</v>
      </c>
      <c r="H1286" s="24">
        <f t="shared" si="164"/>
        <v>846.1442856278602</v>
      </c>
      <c r="I1286" s="12">
        <f t="shared" si="163"/>
        <v>0.28123609207770423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666.10575767107821</v>
      </c>
      <c r="F1287" s="38">
        <f t="shared" si="157"/>
        <v>0.19930114448933986</v>
      </c>
      <c r="G1287" s="14">
        <f t="shared" si="158"/>
        <v>0</v>
      </c>
      <c r="H1287" s="24">
        <f t="shared" si="164"/>
        <v>846.84897453282599</v>
      </c>
      <c r="I1287" s="12">
        <f t="shared" si="163"/>
        <v>0.28089168343993481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666.38664935451811</v>
      </c>
      <c r="F1288" s="38">
        <f t="shared" si="157"/>
        <v>0.1991343425345046</v>
      </c>
      <c r="G1288" s="14">
        <f t="shared" si="158"/>
        <v>0</v>
      </c>
      <c r="H1288" s="24">
        <f t="shared" si="164"/>
        <v>847.55832512802976</v>
      </c>
      <c r="I1288" s="12">
        <f t="shared" si="163"/>
        <v>0.28054655790615673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666.66719591242429</v>
      </c>
      <c r="F1289" s="38">
        <f t="shared" si="157"/>
        <v>0.19896671604353033</v>
      </c>
      <c r="G1289" s="14">
        <f t="shared" si="158"/>
        <v>0</v>
      </c>
      <c r="H1289" s="24">
        <f t="shared" si="164"/>
        <v>848.27238037687914</v>
      </c>
      <c r="I1289" s="12">
        <f t="shared" si="163"/>
        <v>0.28020070987178147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666.94739662229608</v>
      </c>
      <c r="F1290" s="38">
        <f t="shared" si="157"/>
        <v>0.19879825970655685</v>
      </c>
      <c r="G1290" s="14">
        <f t="shared" si="158"/>
        <v>0</v>
      </c>
      <c r="H1290" s="24">
        <f t="shared" si="164"/>
        <v>848.99118374148111</v>
      </c>
      <c r="I1290" s="12">
        <f t="shared" si="163"/>
        <v>0.27985413368785328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667.22725075598396</v>
      </c>
      <c r="F1291" s="38">
        <f t="shared" si="157"/>
        <v>0.19862896817565062</v>
      </c>
      <c r="G1291" s="14">
        <f t="shared" si="158"/>
        <v>0</v>
      </c>
      <c r="H1291" s="24">
        <f t="shared" si="164"/>
        <v>849.71477918952462</v>
      </c>
      <c r="I1291" s="12">
        <f t="shared" si="163"/>
        <v>0.27950682366076279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667.50675757964473</v>
      </c>
      <c r="F1292" s="38">
        <f t="shared" si="157"/>
        <v>0.19845883606456591</v>
      </c>
      <c r="G1292" s="14">
        <f t="shared" si="158"/>
        <v>0</v>
      </c>
      <c r="H1292" s="24">
        <f t="shared" si="164"/>
        <v>850.4432112012712</v>
      </c>
      <c r="I1292" s="12">
        <f t="shared" si="163"/>
        <v>0.2791587740519047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667.78591635369662</v>
      </c>
      <c r="F1293" s="38">
        <f t="shared" si="157"/>
        <v>0.19828785794850506</v>
      </c>
      <c r="G1293" s="14">
        <f t="shared" si="158"/>
        <v>0</v>
      </c>
      <c r="H1293" s="24">
        <f t="shared" si="164"/>
        <v>851.17652477665752</v>
      </c>
      <c r="I1293" s="12">
        <f t="shared" si="163"/>
        <v>0.27880997907740201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668.06472633277406</v>
      </c>
      <c r="F1294" s="38">
        <f t="shared" si="157"/>
        <v>0.1981160283638797</v>
      </c>
      <c r="G1294" s="14">
        <f t="shared" si="158"/>
        <v>0</v>
      </c>
      <c r="H1294" s="24">
        <f t="shared" si="164"/>
        <v>851.91476544250918</v>
      </c>
      <c r="I1294" s="12">
        <f t="shared" si="163"/>
        <v>0.27846043290771771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668.34318676568182</v>
      </c>
      <c r="F1295" s="38">
        <f t="shared" si="157"/>
        <v>0.1979433418080716</v>
      </c>
      <c r="G1295" s="14">
        <f t="shared" si="158"/>
        <v>0</v>
      </c>
      <c r="H1295" s="24">
        <f t="shared" si="164"/>
        <v>852.65797925986999</v>
      </c>
      <c r="I1295" s="12">
        <f t="shared" si="163"/>
        <v>0.27811012966741355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668.62129689534925</v>
      </c>
      <c r="F1296" s="38">
        <f t="shared" si="157"/>
        <v>0.19776979273919421</v>
      </c>
      <c r="G1296" s="14">
        <f t="shared" si="158"/>
        <v>0</v>
      </c>
      <c r="H1296" s="24">
        <f t="shared" si="164"/>
        <v>853.40621283144765</v>
      </c>
      <c r="I1296" s="12">
        <f t="shared" si="163"/>
        <v>0.27775906343473383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668.89905595878395</v>
      </c>
      <c r="F1297" s="38">
        <f t="shared" si="157"/>
        <v>0.1975953755758543</v>
      </c>
      <c r="G1297" s="14">
        <f t="shared" si="158"/>
        <v>0</v>
      </c>
      <c r="H1297" s="24">
        <f t="shared" si="164"/>
        <v>854.15951330917869</v>
      </c>
      <c r="I1297" s="12">
        <f t="shared" si="163"/>
        <v>0.27740722824137537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669.17646318702532</v>
      </c>
      <c r="F1298" s="38">
        <f t="shared" si="157"/>
        <v>0.19742008469691408</v>
      </c>
      <c r="G1298" s="14">
        <f t="shared" si="158"/>
        <v>0</v>
      </c>
      <c r="H1298" s="24">
        <f t="shared" si="164"/>
        <v>854.9179284019134</v>
      </c>
      <c r="I1298" s="12">
        <f t="shared" si="163"/>
        <v>0.27705461807209247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669.45351780509736</v>
      </c>
      <c r="F1299" s="38">
        <f t="shared" si="157"/>
        <v>0.19724391444125403</v>
      </c>
      <c r="G1299" s="14">
        <f t="shared" si="158"/>
        <v>0</v>
      </c>
      <c r="H1299" s="24">
        <f t="shared" si="164"/>
        <v>855.68150638322436</v>
      </c>
      <c r="I1299" s="12">
        <f t="shared" si="163"/>
        <v>0.27670122686441306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669.73021903196172</v>
      </c>
      <c r="F1300" s="38">
        <f t="shared" ref="F1300:F1363" si="165">Cp*RhoP/(RhoA*H1300)*dp/1000*MassivP</f>
        <v>0.19706685910753588</v>
      </c>
      <c r="G1300" s="14">
        <f t="shared" ref="G1300:G1363" si="166">Phi*EpsilonF*Botzman/10^8*J1300*((D1300+273)^4-(E1300+273)^4)</f>
        <v>0</v>
      </c>
      <c r="H1300" s="24">
        <f t="shared" si="164"/>
        <v>856.45029609934033</v>
      </c>
      <c r="I1300" s="12">
        <f t="shared" si="163"/>
        <v>0.27634704850831754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670.00656608047007</v>
      </c>
      <c r="F1301" s="38">
        <f t="shared" si="165"/>
        <v>0.19688891295396641</v>
      </c>
      <c r="G1301" s="14">
        <f t="shared" si="166"/>
        <v>0</v>
      </c>
      <c r="H1301" s="24">
        <f t="shared" si="164"/>
        <v>857.22434697720723</v>
      </c>
      <c r="I1301" s="12">
        <f t="shared" ref="I1301:I1364" si="171">LambdaP*MassivP/(dp/1000)/(H1301*RhoA)/(1+F1301/3)*(D1301-E1301)*DeltaT-(EXP(F1301/10)-1)*(D1301-D1300)</f>
        <v>0.2759920768458648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670.28255815731598</v>
      </c>
      <c r="F1302" s="38">
        <f t="shared" si="165"/>
        <v>0.1967100701980625</v>
      </c>
      <c r="G1302" s="14">
        <f t="shared" si="166"/>
        <v>0</v>
      </c>
      <c r="H1302" s="24">
        <f t="shared" si="164"/>
        <v>858.00370903267799</v>
      </c>
      <c r="I1302" s="12">
        <f t="shared" si="171"/>
        <v>0.27563630567091663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670.55819446298688</v>
      </c>
      <c r="F1303" s="38">
        <f t="shared" si="165"/>
        <v>0.19653032501641576</v>
      </c>
      <c r="G1303" s="14">
        <f t="shared" si="166"/>
        <v>0</v>
      </c>
      <c r="H1303" s="24">
        <f t="shared" si="164"/>
        <v>858.78843287883649</v>
      </c>
      <c r="I1303" s="12">
        <f t="shared" si="171"/>
        <v>0.2752797287287933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670.83347419171571</v>
      </c>
      <c r="F1304" s="38">
        <f t="shared" si="165"/>
        <v>0.19634967154445915</v>
      </c>
      <c r="G1304" s="14">
        <f t="shared" si="166"/>
        <v>0</v>
      </c>
      <c r="H1304" s="24">
        <f t="shared" si="164"/>
        <v>859.5785697344545</v>
      </c>
      <c r="I1304" s="12">
        <f t="shared" si="171"/>
        <v>0.27492233971596497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671.10839653143171</v>
      </c>
      <c r="F1305" s="38">
        <f t="shared" si="165"/>
        <v>0.1961681038762339</v>
      </c>
      <c r="G1305" s="14">
        <f t="shared" si="166"/>
        <v>0</v>
      </c>
      <c r="H1305" s="24">
        <f t="shared" si="164"/>
        <v>860.37417143258517</v>
      </c>
      <c r="I1305" s="12">
        <f t="shared" si="171"/>
        <v>0.27456413227969056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671.3829606637114</v>
      </c>
      <c r="F1306" s="38">
        <f t="shared" si="165"/>
        <v>0.19598561606415824</v>
      </c>
      <c r="G1306" s="14">
        <f t="shared" si="166"/>
        <v>0</v>
      </c>
      <c r="H1306" s="24">
        <f t="shared" si="164"/>
        <v>861.17529042929652</v>
      </c>
      <c r="I1306" s="12">
        <f t="shared" si="171"/>
        <v>0.27420510001771026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671.65716576372915</v>
      </c>
      <c r="F1307" s="38">
        <f t="shared" si="165"/>
        <v>0.19580220211879573</v>
      </c>
      <c r="G1307" s="14">
        <f t="shared" si="166"/>
        <v>0</v>
      </c>
      <c r="H1307" s="24">
        <f t="shared" si="164"/>
        <v>861.98197981254725</v>
      </c>
      <c r="I1307" s="12">
        <f t="shared" si="171"/>
        <v>0.27384523647793557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671.93101100020704</v>
      </c>
      <c r="F1308" s="38">
        <f t="shared" si="165"/>
        <v>0.19561785600862674</v>
      </c>
      <c r="G1308" s="14">
        <f t="shared" si="166"/>
        <v>0</v>
      </c>
      <c r="H1308" s="24">
        <f t="shared" si="164"/>
        <v>862.79429331120446</v>
      </c>
      <c r="I1308" s="12">
        <f t="shared" si="171"/>
        <v>0.27348453515810289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672.20449553536514</v>
      </c>
      <c r="F1309" s="38">
        <f t="shared" si="165"/>
        <v>0.1954325716598197</v>
      </c>
      <c r="G1309" s="14">
        <f t="shared" si="166"/>
        <v>0</v>
      </c>
      <c r="H1309" s="24">
        <f t="shared" si="164"/>
        <v>863.61228530421226</v>
      </c>
      <c r="I1309" s="12">
        <f t="shared" si="171"/>
        <v>0.27312298950545089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672.47761852487054</v>
      </c>
      <c r="F1310" s="38">
        <f t="shared" si="165"/>
        <v>0.19524634295600438</v>
      </c>
      <c r="G1310" s="14">
        <f t="shared" si="166"/>
        <v>0</v>
      </c>
      <c r="H1310" s="24">
        <f t="shared" si="164"/>
        <v>864.43601082990563</v>
      </c>
      <c r="I1310" s="12">
        <f t="shared" si="171"/>
        <v>0.27276059291640081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672.75037911778691</v>
      </c>
      <c r="F1311" s="38">
        <f t="shared" si="165"/>
        <v>0.19505916373804705</v>
      </c>
      <c r="G1311" s="14">
        <f t="shared" si="166"/>
        <v>0</v>
      </c>
      <c r="H1311" s="24">
        <f t="shared" si="164"/>
        <v>865.26552559547997</v>
      </c>
      <c r="I1311" s="12">
        <f t="shared" si="171"/>
        <v>0.27239733873622657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673.02277645652316</v>
      </c>
      <c r="F1312" s="38">
        <f t="shared" si="165"/>
        <v>0.19487102780382631</v>
      </c>
      <c r="G1312" s="14">
        <f t="shared" si="166"/>
        <v>0</v>
      </c>
      <c r="H1312" s="24">
        <f t="shared" si="164"/>
        <v>866.10088598661412</v>
      </c>
      <c r="I1312" s="12">
        <f t="shared" si="171"/>
        <v>0.27203322025874344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673.29480967678194</v>
      </c>
      <c r="F1313" s="38">
        <f t="shared" si="165"/>
        <v>0.19468192890801142</v>
      </c>
      <c r="G1313" s="14">
        <f t="shared" si="166"/>
        <v>0</v>
      </c>
      <c r="H1313" s="24">
        <f t="shared" si="164"/>
        <v>866.94214907725132</v>
      </c>
      <c r="I1313" s="12">
        <f t="shared" si="171"/>
        <v>0.27166823072595414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673.56647790750787</v>
      </c>
      <c r="F1314" s="38">
        <f t="shared" si="165"/>
        <v>0.19449186076184219</v>
      </c>
      <c r="G1314" s="14">
        <f t="shared" si="166"/>
        <v>0</v>
      </c>
      <c r="H1314" s="24">
        <f t="shared" si="164"/>
        <v>867.78937263954117</v>
      </c>
      <c r="I1314" s="12">
        <f t="shared" si="171"/>
        <v>0.27130236332777385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673.83778027083565</v>
      </c>
      <c r="F1315" s="38">
        <f t="shared" si="165"/>
        <v>0.19430081703291077</v>
      </c>
      <c r="G1315" s="14">
        <f t="shared" si="166"/>
        <v>0</v>
      </c>
      <c r="H1315" s="24">
        <f t="shared" si="164"/>
        <v>868.64261515394639</v>
      </c>
      <c r="I1315" s="12">
        <f t="shared" si="171"/>
        <v>0.27093561120164628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674.10871588203725</v>
      </c>
      <c r="F1316" s="38">
        <f t="shared" si="165"/>
        <v>0.1941087913449453</v>
      </c>
      <c r="G1316" s="14">
        <f t="shared" si="166"/>
        <v>0</v>
      </c>
      <c r="H1316" s="24">
        <f t="shared" si="164"/>
        <v>869.50193581951419</v>
      </c>
      <c r="I1316" s="12">
        <f t="shared" si="171"/>
        <v>0.27056796743228395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674.37928384946952</v>
      </c>
      <c r="F1317" s="38">
        <f t="shared" si="165"/>
        <v>0.1939157772775961</v>
      </c>
      <c r="G1317" s="14">
        <f t="shared" si="166"/>
        <v>0</v>
      </c>
      <c r="H1317" s="24">
        <f t="shared" si="164"/>
        <v>870.36739456431894</v>
      </c>
      <c r="I1317" s="12">
        <f t="shared" si="171"/>
        <v>0.27019942505130906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674.64948327452078</v>
      </c>
      <c r="F1318" s="38">
        <f t="shared" si="165"/>
        <v>0.19372176836622418</v>
      </c>
      <c r="G1318" s="14">
        <f t="shared" si="166"/>
        <v>0</v>
      </c>
      <c r="H1318" s="24">
        <f t="shared" si="164"/>
        <v>871.23905205607684</v>
      </c>
      <c r="I1318" s="12">
        <f t="shared" si="171"/>
        <v>0.26982997703694678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674.9193132515577</v>
      </c>
      <c r="F1319" s="38">
        <f t="shared" si="165"/>
        <v>0.1935267581016917</v>
      </c>
      <c r="G1319" s="14">
        <f t="shared" si="166"/>
        <v>0</v>
      </c>
      <c r="H1319" s="24">
        <f t="shared" si="164"/>
        <v>872.11696971293782</v>
      </c>
      <c r="I1319" s="12">
        <f t="shared" si="171"/>
        <v>0.26945961631370824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675.18877286787142</v>
      </c>
      <c r="F1320" s="38">
        <f t="shared" si="165"/>
        <v>0.19333073993015515</v>
      </c>
      <c r="G1320" s="14">
        <f t="shared" si="166"/>
        <v>0</v>
      </c>
      <c r="H1320" s="24">
        <f t="shared" si="164"/>
        <v>873.00120971445472</v>
      </c>
      <c r="I1320" s="12">
        <f t="shared" si="171"/>
        <v>0.26908833575206481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675.45786120362345</v>
      </c>
      <c r="F1321" s="38">
        <f t="shared" si="165"/>
        <v>0.19313370725286177</v>
      </c>
      <c r="G1321" s="14">
        <f t="shared" si="166"/>
        <v>0</v>
      </c>
      <c r="H1321" s="24">
        <f t="shared" si="164"/>
        <v>873.89183501273681</v>
      </c>
      <c r="I1321" s="12">
        <f t="shared" si="171"/>
        <v>0.2687161281681606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675.72657733179165</v>
      </c>
      <c r="F1322" s="38">
        <f t="shared" si="165"/>
        <v>0.19293565342594776</v>
      </c>
      <c r="G1322" s="14">
        <f t="shared" si="166"/>
        <v>0</v>
      </c>
      <c r="H1322" s="24">
        <f t="shared" si="164"/>
        <v>874.78890934378887</v>
      </c>
      <c r="I1322" s="12">
        <f t="shared" si="171"/>
        <v>0.2683429863234546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675.99492031811508</v>
      </c>
      <c r="F1323" s="38">
        <f t="shared" si="165"/>
        <v>0.1927365717602405</v>
      </c>
      <c r="G1323" s="14">
        <f t="shared" si="166"/>
        <v>0</v>
      </c>
      <c r="H1323" s="24">
        <f t="shared" si="164"/>
        <v>875.69249723903818</v>
      </c>
      <c r="I1323" s="12">
        <f t="shared" si="171"/>
        <v>0.26796890292445819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676.26288922103959</v>
      </c>
      <c r="F1324" s="38">
        <f t="shared" si="165"/>
        <v>0.19253645552106274</v>
      </c>
      <c r="G1324" s="14">
        <f t="shared" si="166"/>
        <v>0</v>
      </c>
      <c r="H1324" s="24">
        <f t="shared" si="164"/>
        <v>876.60266403705748</v>
      </c>
      <c r="I1324" s="12">
        <f t="shared" si="171"/>
        <v>0.26759387062238638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676.53048309166195</v>
      </c>
      <c r="F1325" s="38">
        <f t="shared" si="165"/>
        <v>0.19233529792804166</v>
      </c>
      <c r="G1325" s="14">
        <f t="shared" si="166"/>
        <v>0</v>
      </c>
      <c r="H1325" s="24">
        <f t="shared" si="164"/>
        <v>877.51947589547979</v>
      </c>
      <c r="I1325" s="12">
        <f t="shared" si="171"/>
        <v>0.26721788201287722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676.79770097367486</v>
      </c>
      <c r="F1326" s="38">
        <f t="shared" si="165"/>
        <v>0.19213309215491897</v>
      </c>
      <c r="G1326" s="14">
        <f t="shared" si="166"/>
        <v>0</v>
      </c>
      <c r="H1326" s="24">
        <f t="shared" si="164"/>
        <v>878.44299980311871</v>
      </c>
      <c r="I1326" s="12">
        <f t="shared" si="171"/>
        <v>0.26684092963567724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677.06454190331056</v>
      </c>
      <c r="F1327" s="38">
        <f t="shared" si="165"/>
        <v>0.19192983132936722</v>
      </c>
      <c r="G1327" s="14">
        <f t="shared" si="166"/>
        <v>0</v>
      </c>
      <c r="H1327" s="24">
        <f t="shared" si="164"/>
        <v>879.37330359228702</v>
      </c>
      <c r="I1327" s="12">
        <f t="shared" si="171"/>
        <v>0.26646300597432315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677.33100490928484</v>
      </c>
      <c r="F1328" s="38">
        <f t="shared" si="165"/>
        <v>0.19172550853280776</v>
      </c>
      <c r="G1328" s="14">
        <f t="shared" si="166"/>
        <v>0</v>
      </c>
      <c r="H1328" s="24">
        <f t="shared" si="164"/>
        <v>880.31045595132719</v>
      </c>
      <c r="I1328" s="12">
        <f t="shared" si="171"/>
        <v>0.2660841034558884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677.59708901274075</v>
      </c>
      <c r="F1329" s="38">
        <f t="shared" si="165"/>
        <v>0.19152011680023351</v>
      </c>
      <c r="G1329" s="14">
        <f t="shared" si="166"/>
        <v>0</v>
      </c>
      <c r="H1329" s="24">
        <f t="shared" si="164"/>
        <v>881.25452643735173</v>
      </c>
      <c r="I1329" s="12">
        <f t="shared" si="171"/>
        <v>0.2657042144506257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677.86279322719133</v>
      </c>
      <c r="F1330" s="38">
        <f t="shared" si="165"/>
        <v>0.1913136491200359</v>
      </c>
      <c r="G1330" s="14">
        <f t="shared" si="166"/>
        <v>0</v>
      </c>
      <c r="H1330" s="24">
        <f t="shared" si="164"/>
        <v>882.20558548919701</v>
      </c>
      <c r="I1330" s="12">
        <f t="shared" si="171"/>
        <v>0.26532333127171309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678.12811655846303</v>
      </c>
      <c r="F1331" s="38">
        <f t="shared" si="165"/>
        <v>0.19110609843383544</v>
      </c>
      <c r="G1331" s="14">
        <f t="shared" si="166"/>
        <v>0</v>
      </c>
      <c r="H1331" s="24">
        <f t="shared" si="164"/>
        <v>883.16370444060021</v>
      </c>
      <c r="I1331" s="12">
        <f t="shared" si="171"/>
        <v>0.26494144617496973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678.39305800463796</v>
      </c>
      <c r="F1332" s="38">
        <f t="shared" si="165"/>
        <v>0.19089745763631719</v>
      </c>
      <c r="G1332" s="14">
        <f t="shared" si="166"/>
        <v>0</v>
      </c>
      <c r="H1332" s="24">
        <f t="shared" si="164"/>
        <v>884.12895553359658</v>
      </c>
      <c r="I1332" s="12">
        <f t="shared" si="171"/>
        <v>0.26455855135852174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678.65761655599647</v>
      </c>
      <c r="F1333" s="38">
        <f t="shared" si="165"/>
        <v>0.1906877195750705</v>
      </c>
      <c r="G1333" s="14">
        <f t="shared" si="166"/>
        <v>0</v>
      </c>
      <c r="H1333" s="24">
        <f t="shared" si="164"/>
        <v>885.10141193214633</v>
      </c>
      <c r="I1333" s="12">
        <f t="shared" si="171"/>
        <v>0.2641746389625611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678.92179119495904</v>
      </c>
      <c r="F1334" s="38">
        <f t="shared" si="165"/>
        <v>0.19047687705043412</v>
      </c>
      <c r="G1334" s="14">
        <f t="shared" si="166"/>
        <v>0</v>
      </c>
      <c r="H1334" s="24">
        <f t="shared" si="164"/>
        <v>886.08114773599198</v>
      </c>
      <c r="I1334" s="12">
        <f t="shared" si="171"/>
        <v>0.26378970106906902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679.18558089602811</v>
      </c>
      <c r="F1335" s="38">
        <f t="shared" si="165"/>
        <v>0.19026492281534535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887.06823799475296</v>
      </c>
      <c r="I1335" s="12">
        <f t="shared" si="171"/>
        <v>0.26340372970149611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679.44898462572962</v>
      </c>
      <c r="F1336" s="38">
        <f t="shared" si="165"/>
        <v>0.19005184957519525</v>
      </c>
      <c r="G1336" s="14">
        <f t="shared" si="166"/>
        <v>0</v>
      </c>
      <c r="H1336" s="24">
        <f t="shared" si="172"/>
        <v>888.06275872226104</v>
      </c>
      <c r="I1336" s="12">
        <f t="shared" si="171"/>
        <v>0.26301671682452482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679.71200134255412</v>
      </c>
      <c r="F1337" s="38">
        <f t="shared" si="165"/>
        <v>0.18983764998768865</v>
      </c>
      <c r="G1337" s="14">
        <f t="shared" si="166"/>
        <v>0</v>
      </c>
      <c r="H1337" s="24">
        <f t="shared" si="172"/>
        <v>889.06478691114035</v>
      </c>
      <c r="I1337" s="12">
        <f t="shared" si="171"/>
        <v>0.26262865434378785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679.97462999689787</v>
      </c>
      <c r="F1338" s="38">
        <f t="shared" si="165"/>
        <v>0.18962231666271012</v>
      </c>
      <c r="G1338" s="14">
        <f t="shared" si="166"/>
        <v>0</v>
      </c>
      <c r="H1338" s="24">
        <f t="shared" si="172"/>
        <v>890.07440054763788</v>
      </c>
      <c r="I1338" s="12">
        <f t="shared" si="171"/>
        <v>0.26223953410562967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680.23686953100355</v>
      </c>
      <c r="F1339" s="38">
        <f t="shared" si="165"/>
        <v>0.1894058421621953</v>
      </c>
      <c r="G1339" s="14">
        <f t="shared" si="166"/>
        <v>0</v>
      </c>
      <c r="H1339" s="24">
        <f t="shared" si="172"/>
        <v>891.09167862670881</v>
      </c>
      <c r="I1339" s="12">
        <f t="shared" si="171"/>
        <v>0.26184934789679232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680.49871887890038</v>
      </c>
      <c r="F1340" s="38">
        <f t="shared" si="165"/>
        <v>0.18918821900000912</v>
      </c>
      <c r="G1340" s="14">
        <f t="shared" si="166"/>
        <v>0</v>
      </c>
      <c r="H1340" s="24">
        <f t="shared" si="172"/>
        <v>892.11670116735922</v>
      </c>
      <c r="I1340" s="12">
        <f t="shared" si="171"/>
        <v>0.26145808744422955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680.7601769663446</v>
      </c>
      <c r="F1341" s="38">
        <f t="shared" si="165"/>
        <v>0.18896943964182927</v>
      </c>
      <c r="G1341" s="14">
        <f t="shared" si="166"/>
        <v>0</v>
      </c>
      <c r="H1341" s="24">
        <f t="shared" si="172"/>
        <v>893.14954922825655</v>
      </c>
      <c r="I1341" s="12">
        <f t="shared" si="171"/>
        <v>0.26106574441479807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681.02124271075945</v>
      </c>
      <c r="F1342" s="38">
        <f t="shared" si="165"/>
        <v>0.1887494965050367</v>
      </c>
      <c r="G1342" s="14">
        <f t="shared" si="166"/>
        <v>0</v>
      </c>
      <c r="H1342" s="24">
        <f t="shared" si="172"/>
        <v>894.19030492360707</v>
      </c>
      <c r="I1342" s="12">
        <f t="shared" si="171"/>
        <v>0.26067231041505262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681.28191502117454</v>
      </c>
      <c r="F1343" s="38">
        <f t="shared" si="165"/>
        <v>0.18852838195861285</v>
      </c>
      <c r="G1343" s="14">
        <f t="shared" si="166"/>
        <v>0</v>
      </c>
      <c r="H1343" s="24">
        <f t="shared" si="172"/>
        <v>895.23905143930779</v>
      </c>
      <c r="I1343" s="12">
        <f t="shared" si="171"/>
        <v>0.26027777699099541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681.5421927981655</v>
      </c>
      <c r="F1344" s="38">
        <f t="shared" si="165"/>
        <v>0.18830608832304385</v>
      </c>
      <c r="G1344" s="14">
        <f t="shared" si="166"/>
        <v>0</v>
      </c>
      <c r="H1344" s="24">
        <f t="shared" si="172"/>
        <v>896.29587304937911</v>
      </c>
      <c r="I1344" s="12">
        <f t="shared" si="171"/>
        <v>0.25988213562784002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681.80207493379339</v>
      </c>
      <c r="F1345" s="38">
        <f t="shared" si="165"/>
        <v>0.18808260787023157</v>
      </c>
      <c r="G1345" s="14">
        <f t="shared" si="166"/>
        <v>0</v>
      </c>
      <c r="H1345" s="24">
        <f t="shared" si="172"/>
        <v>897.3608551326829</v>
      </c>
      <c r="I1345" s="12">
        <f t="shared" si="171"/>
        <v>0.25948537774978969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682.06156031154319</v>
      </c>
      <c r="F1346" s="38">
        <f t="shared" si="165"/>
        <v>0.1878579328234129</v>
      </c>
      <c r="G1346" s="14">
        <f t="shared" si="166"/>
        <v>0</v>
      </c>
      <c r="H1346" s="24">
        <f t="shared" si="172"/>
        <v>898.4340841899284</v>
      </c>
      <c r="I1346" s="12">
        <f t="shared" si="171"/>
        <v>0.25908749471983183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682.32064780626297</v>
      </c>
      <c r="F1347" s="38">
        <f t="shared" si="165"/>
        <v>0.18763205535708624</v>
      </c>
      <c r="G1347" s="14">
        <f t="shared" si="166"/>
        <v>0</v>
      </c>
      <c r="H1347" s="24">
        <f t="shared" si="172"/>
        <v>899.51564786097674</v>
      </c>
      <c r="I1347" s="12">
        <f t="shared" si="171"/>
        <v>0.25868847783950361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682.57933628410251</v>
      </c>
      <c r="F1348" s="38">
        <f t="shared" si="165"/>
        <v>0.18740496759694567</v>
      </c>
      <c r="G1348" s="14">
        <f t="shared" si="166"/>
        <v>0</v>
      </c>
      <c r="H1348" s="24">
        <f t="shared" si="172"/>
        <v>900.60563494244764</v>
      </c>
      <c r="I1348" s="12">
        <f t="shared" si="171"/>
        <v>0.25828831834867438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682.83762460245123</v>
      </c>
      <c r="F1349" s="38">
        <f t="shared" si="165"/>
        <v>0.18717666161982463</v>
      </c>
      <c r="G1349" s="14">
        <f t="shared" si="166"/>
        <v>0</v>
      </c>
      <c r="H1349" s="24">
        <f t="shared" si="172"/>
        <v>901.70413540562947</v>
      </c>
      <c r="I1349" s="12">
        <f t="shared" si="171"/>
        <v>0.2578870074254328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683.09551160987667</v>
      </c>
      <c r="F1350" s="38">
        <f t="shared" si="165"/>
        <v>0.18694712945364719</v>
      </c>
      <c r="G1350" s="14">
        <f t="shared" si="166"/>
        <v>0</v>
      </c>
      <c r="H1350" s="24">
        <f t="shared" si="172"/>
        <v>902.8112404147073</v>
      </c>
      <c r="I1350" s="12">
        <f t="shared" si="171"/>
        <v>0.25748453618574402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683.35299614606242</v>
      </c>
      <c r="F1351" s="38">
        <f t="shared" si="165"/>
        <v>0.18671636307738812</v>
      </c>
      <c r="G1351" s="14">
        <f t="shared" si="166"/>
        <v>0</v>
      </c>
      <c r="H1351" s="24">
        <f t="shared" si="172"/>
        <v>903.92704234530765</v>
      </c>
      <c r="I1351" s="12">
        <f t="shared" si="171"/>
        <v>0.25708089568343667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683.61007704174585</v>
      </c>
      <c r="F1352" s="38">
        <f t="shared" si="165"/>
        <v>0.18648435442104305</v>
      </c>
      <c r="G1352" s="14">
        <f t="shared" si="166"/>
        <v>0</v>
      </c>
      <c r="H1352" s="24">
        <f t="shared" si="172"/>
        <v>905.05163480337001</v>
      </c>
      <c r="I1352" s="12">
        <f t="shared" si="171"/>
        <v>0.25667607690991834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683.86675311865577</v>
      </c>
      <c r="F1353" s="38">
        <f t="shared" si="165"/>
        <v>0.18625109536560719</v>
      </c>
      <c r="G1353" s="14">
        <f t="shared" si="166"/>
        <v>0</v>
      </c>
      <c r="H1353" s="24">
        <f t="shared" si="172"/>
        <v>906.18511264434869</v>
      </c>
      <c r="I1353" s="12">
        <f t="shared" si="171"/>
        <v>0.25627007079403252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684.12302318944978</v>
      </c>
      <c r="F1354" s="38">
        <f t="shared" si="165"/>
        <v>0.18601657774306449</v>
      </c>
      <c r="G1354" s="14">
        <f t="shared" si="166"/>
        <v>0</v>
      </c>
      <c r="H1354" s="24">
        <f t="shared" si="172"/>
        <v>907.32757199275409</v>
      </c>
      <c r="I1354" s="12">
        <f t="shared" si="171"/>
        <v>0.25586286820191867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684.3788860576517</v>
      </c>
      <c r="F1355" s="38">
        <f t="shared" si="165"/>
        <v>0.18578079333638653</v>
      </c>
      <c r="G1355" s="14">
        <f t="shared" si="166"/>
        <v>0</v>
      </c>
      <c r="H1355" s="24">
        <f t="shared" si="172"/>
        <v>908.47911026203838</v>
      </c>
      <c r="I1355" s="12">
        <f t="shared" si="171"/>
        <v>0.2554544599368691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684.63434051758861</v>
      </c>
      <c r="F1356" s="38">
        <f t="shared" si="165"/>
        <v>0.18554373387954218</v>
      </c>
      <c r="G1356" s="14">
        <f t="shared" si="166"/>
        <v>0</v>
      </c>
      <c r="H1356" s="24">
        <f t="shared" si="172"/>
        <v>909.63982617483225</v>
      </c>
      <c r="I1356" s="12">
        <f t="shared" si="171"/>
        <v>0.2550448367391584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684.88938535432771</v>
      </c>
      <c r="F1357" s="38">
        <f t="shared" si="165"/>
        <v>0.18530539105751798</v>
      </c>
      <c r="G1357" s="14">
        <f t="shared" si="166"/>
        <v>0</v>
      </c>
      <c r="H1357" s="24">
        <f t="shared" si="172"/>
        <v>910.80981978353861</v>
      </c>
      <c r="I1357" s="12">
        <f t="shared" si="171"/>
        <v>0.25463398928595027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685.14401934361365</v>
      </c>
      <c r="F1358" s="38">
        <f t="shared" si="165"/>
        <v>0.18506575650634915</v>
      </c>
      <c r="G1358" s="14">
        <f t="shared" si="166"/>
        <v>0</v>
      </c>
      <c r="H1358" s="24">
        <f t="shared" si="172"/>
        <v>911.98919249129528</v>
      </c>
      <c r="I1358" s="12">
        <f t="shared" si="171"/>
        <v>0.25422190819119561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685.39824125180485</v>
      </c>
      <c r="F1359" s="38">
        <f t="shared" si="165"/>
        <v>0.1848248218131634</v>
      </c>
      <c r="G1359" s="14">
        <f t="shared" si="166"/>
        <v>0</v>
      </c>
      <c r="H1359" s="24">
        <f t="shared" si="172"/>
        <v>913.1780470733047</v>
      </c>
      <c r="I1359" s="12">
        <f t="shared" si="171"/>
        <v>0.25380858400542805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685.65204983581032</v>
      </c>
      <c r="F1360" s="38">
        <f t="shared" si="165"/>
        <v>0.18458257851623486</v>
      </c>
      <c r="G1360" s="14">
        <f t="shared" si="166"/>
        <v>0</v>
      </c>
      <c r="H1360" s="24">
        <f t="shared" si="172"/>
        <v>914.37648769854684</v>
      </c>
      <c r="I1360" s="12">
        <f t="shared" si="171"/>
        <v>0.25339400721583089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685.90544384302609</v>
      </c>
      <c r="F1361" s="38">
        <f t="shared" si="165"/>
        <v>0.18433901810505204</v>
      </c>
      <c r="G1361" s="14">
        <f t="shared" si="166"/>
        <v>0</v>
      </c>
      <c r="H1361" s="24">
        <f t="shared" si="172"/>
        <v>915.58461995187611</v>
      </c>
      <c r="I1361" s="12">
        <f t="shared" si="171"/>
        <v>0.2529781682459874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686.15842201127202</v>
      </c>
      <c r="F1362" s="38">
        <f t="shared" si="165"/>
        <v>0.18409413202039682</v>
      </c>
      <c r="G1362" s="14">
        <f t="shared" si="166"/>
        <v>0</v>
      </c>
      <c r="H1362" s="24">
        <f t="shared" si="172"/>
        <v>916.80255085651618</v>
      </c>
      <c r="I1362" s="12">
        <f t="shared" si="171"/>
        <v>0.25256105745593033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686.410983068728</v>
      </c>
      <c r="F1363" s="38">
        <f t="shared" si="165"/>
        <v>0.18384791165443756</v>
      </c>
      <c r="G1363" s="14">
        <f t="shared" si="166"/>
        <v>0</v>
      </c>
      <c r="H1363" s="24">
        <f t="shared" si="172"/>
        <v>918.03038889695347</v>
      </c>
      <c r="I1363" s="12">
        <f t="shared" si="171"/>
        <v>0.25214266514202044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686.66312573387006</v>
      </c>
      <c r="F1364" s="38">
        <f t="shared" ref="F1364:F1427" si="173">Cp*RhoP/(RhoA*H1364)*dp/1000*MassivP</f>
        <v>0.18360034835083541</v>
      </c>
      <c r="G1364" s="14">
        <f t="shared" ref="G1364:G1427" si="174">Phi*EpsilonF*Botzman/10^8*J1364*((D1364+273)^4-(E1364+273)^4)</f>
        <v>0</v>
      </c>
      <c r="H1364" s="24">
        <f t="shared" si="172"/>
        <v>919.26824404224021</v>
      </c>
      <c r="I1364" s="12">
        <f t="shared" si="171"/>
        <v>0.25172298153693051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686.91484871540695</v>
      </c>
      <c r="F1365" s="38">
        <f t="shared" si="173"/>
        <v>0.18335143340486393</v>
      </c>
      <c r="G1365" s="14">
        <f t="shared" si="174"/>
        <v>0</v>
      </c>
      <c r="H1365" s="24">
        <f t="shared" si="172"/>
        <v>920.51622776971828</v>
      </c>
      <c r="I1365" s="12">
        <f t="shared" ref="I1365:I1428" si="179">LambdaP*MassivP/(dp/1000)/(H1365*RhoA)/(1+F1365/3)*(D1365-E1365)*DeltaT-(EXP(F1365/10)-1)*(D1365-D1364)</f>
        <v>0.25130199680958731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687.16615071221656</v>
      </c>
      <c r="F1366" s="38">
        <f t="shared" si="173"/>
        <v>0.18310115806354343</v>
      </c>
      <c r="G1366" s="14">
        <f t="shared" si="174"/>
        <v>0</v>
      </c>
      <c r="H1366" s="24">
        <f t="shared" si="172"/>
        <v>921.77445308916799</v>
      </c>
      <c r="I1366" s="12">
        <f t="shared" si="179"/>
        <v>0.25087970106518187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687.41703041328174</v>
      </c>
      <c r="F1367" s="38">
        <f t="shared" si="173"/>
        <v>0.18284951352579007</v>
      </c>
      <c r="G1367" s="14">
        <f t="shared" si="174"/>
        <v>0</v>
      </c>
      <c r="H1367" s="24">
        <f t="shared" si="172"/>
        <v>923.04303456738876</v>
      </c>
      <c r="I1367" s="12">
        <f t="shared" si="179"/>
        <v>0.25045608434514505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687.6674864976269</v>
      </c>
      <c r="F1368" s="38">
        <f t="shared" si="173"/>
        <v>0.18259649094257943</v>
      </c>
      <c r="G1368" s="14">
        <f t="shared" si="174"/>
        <v>0</v>
      </c>
      <c r="H1368" s="24">
        <f t="shared" si="172"/>
        <v>924.32208835322672</v>
      </c>
      <c r="I1368" s="12">
        <f t="shared" si="179"/>
        <v>0.25003113662714871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687.91751763425407</v>
      </c>
      <c r="F1369" s="38">
        <f t="shared" si="173"/>
        <v>0.18234208141712654</v>
      </c>
      <c r="G1369" s="14">
        <f t="shared" si="174"/>
        <v>0</v>
      </c>
      <c r="H1369" s="24">
        <f t="shared" si="172"/>
        <v>925.61173220304988</v>
      </c>
      <c r="I1369" s="12">
        <f t="shared" si="179"/>
        <v>0.24960484782517775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688.16712248207921</v>
      </c>
      <c r="F1370" s="38">
        <f t="shared" si="173"/>
        <v>0.18208627600508126</v>
      </c>
      <c r="G1370" s="14">
        <f t="shared" si="174"/>
        <v>0</v>
      </c>
      <c r="H1370" s="24">
        <f t="shared" si="172"/>
        <v>926.91208550668682</v>
      </c>
      <c r="I1370" s="12">
        <f t="shared" si="179"/>
        <v>0.24917720778952118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688.41629968986877</v>
      </c>
      <c r="F1371" s="38">
        <f t="shared" si="173"/>
        <v>0.18182906571474011</v>
      </c>
      <c r="G1371" s="14">
        <f t="shared" si="174"/>
        <v>0</v>
      </c>
      <c r="H1371" s="24">
        <f t="shared" si="172"/>
        <v>928.22326931383441</v>
      </c>
      <c r="I1371" s="12">
        <f t="shared" si="179"/>
        <v>0.24874820630682229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688.66504789617557</v>
      </c>
      <c r="F1372" s="38">
        <f t="shared" si="173"/>
        <v>0.18157044150727561</v>
      </c>
      <c r="G1372" s="14">
        <f t="shared" si="174"/>
        <v>0</v>
      </c>
      <c r="H1372" s="24">
        <f t="shared" si="172"/>
        <v>929.54540636094157</v>
      </c>
      <c r="I1372" s="12">
        <f t="shared" si="179"/>
        <v>0.24831783310024347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688.91336572927582</v>
      </c>
      <c r="F1373" s="38">
        <f t="shared" si="173"/>
        <v>0.18131039429698265</v>
      </c>
      <c r="G1373" s="14">
        <f t="shared" si="174"/>
        <v>0</v>
      </c>
      <c r="H1373" s="24">
        <f t="shared" si="172"/>
        <v>930.87862109858565</v>
      </c>
      <c r="I1373" s="12">
        <f t="shared" si="179"/>
        <v>0.24788607782943065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689.16125180710526</v>
      </c>
      <c r="F1374" s="38">
        <f t="shared" si="173"/>
        <v>0.18104891495154288</v>
      </c>
      <c r="G1374" s="14">
        <f t="shared" si="174"/>
        <v>0</v>
      </c>
      <c r="H1374" s="24">
        <f t="shared" si="172"/>
        <v>932.22303971934286</v>
      </c>
      <c r="I1374" s="12">
        <f t="shared" si="179"/>
        <v>0.24745293009073804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689.40870473719599</v>
      </c>
      <c r="F1375" s="38">
        <f t="shared" si="173"/>
        <v>0.18078599429230754</v>
      </c>
      <c r="G1375" s="14">
        <f t="shared" si="174"/>
        <v>0</v>
      </c>
      <c r="H1375" s="24">
        <f t="shared" si="172"/>
        <v>933.57879018616859</v>
      </c>
      <c r="I1375" s="12">
        <f t="shared" si="179"/>
        <v>0.24701837941724691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689.65572311661322</v>
      </c>
      <c r="F1376" s="38">
        <f t="shared" si="173"/>
        <v>0.18052162309459954</v>
      </c>
      <c r="G1376" s="14">
        <f t="shared" si="174"/>
        <v>0</v>
      </c>
      <c r="H1376" s="24">
        <f t="shared" si="172"/>
        <v>934.94600226129478</v>
      </c>
      <c r="I1376" s="12">
        <f t="shared" si="179"/>
        <v>0.24658241527905095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689.90230553189224</v>
      </c>
      <c r="F1377" s="38">
        <f t="shared" si="173"/>
        <v>0.18025579208803452</v>
      </c>
      <c r="G1377" s="14">
        <f t="shared" si="174"/>
        <v>0</v>
      </c>
      <c r="H1377" s="24">
        <f t="shared" si="172"/>
        <v>936.32480753565562</v>
      </c>
      <c r="I1377" s="12">
        <f t="shared" si="179"/>
        <v>0.24614502708326083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690.14845055897547</v>
      </c>
      <c r="F1378" s="38">
        <f t="shared" si="173"/>
        <v>0.17998849195686251</v>
      </c>
      <c r="G1378" s="14">
        <f t="shared" si="174"/>
        <v>0</v>
      </c>
      <c r="H1378" s="24">
        <f t="shared" si="172"/>
        <v>937.71533945885153</v>
      </c>
      <c r="I1378" s="12">
        <f t="shared" si="179"/>
        <v>0.24570620417434286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690.39415676314979</v>
      </c>
      <c r="F1379" s="38">
        <f t="shared" si="173"/>
        <v>0.17971971334032991</v>
      </c>
      <c r="G1379" s="14">
        <f t="shared" si="174"/>
        <v>0</v>
      </c>
      <c r="H1379" s="24">
        <f t="shared" si="172"/>
        <v>939.11773336966235</v>
      </c>
      <c r="I1379" s="12">
        <f t="shared" si="179"/>
        <v>0.24526593583421322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690.63942269898405</v>
      </c>
      <c r="F1380" s="38">
        <f t="shared" si="173"/>
        <v>0.1794494468330628</v>
      </c>
      <c r="G1380" s="14">
        <f t="shared" si="174"/>
        <v>0</v>
      </c>
      <c r="H1380" s="24">
        <f t="shared" si="172"/>
        <v>940.53212652712091</v>
      </c>
      <c r="I1380" s="12">
        <f t="shared" si="179"/>
        <v>0.24482421128254969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690.8842469102666</v>
      </c>
      <c r="F1381" s="38">
        <f t="shared" si="173"/>
        <v>0.17917768298547215</v>
      </c>
      <c r="G1381" s="14">
        <f t="shared" si="174"/>
        <v>0</v>
      </c>
      <c r="H1381" s="24">
        <f t="shared" si="172"/>
        <v>941.95865814215665</v>
      </c>
      <c r="I1381" s="12">
        <f t="shared" si="179"/>
        <v>0.24438101967699574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691.1286279299436</v>
      </c>
      <c r="F1382" s="38">
        <f t="shared" si="173"/>
        <v>0.17890441230418072</v>
      </c>
      <c r="G1382" s="14">
        <f t="shared" si="174"/>
        <v>0</v>
      </c>
      <c r="H1382" s="24">
        <f t="shared" si="172"/>
        <v>943.39746940982513</v>
      </c>
      <c r="I1382" s="12">
        <f t="shared" si="179"/>
        <v>0.24393635011343537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691.37256428005708</v>
      </c>
      <c r="F1383" s="38">
        <f t="shared" si="173"/>
        <v>0.17862962525247383</v>
      </c>
      <c r="G1383" s="14">
        <f t="shared" si="174"/>
        <v>0</v>
      </c>
      <c r="H1383" s="24">
        <f t="shared" si="172"/>
        <v>944.84870354212808</v>
      </c>
      <c r="I1383" s="12">
        <f t="shared" si="179"/>
        <v>0.2434901916263337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691.61605447168336</v>
      </c>
      <c r="F1384" s="38">
        <f t="shared" si="173"/>
        <v>0.17835331225077319</v>
      </c>
      <c r="G1384" s="14">
        <f t="shared" si="174"/>
        <v>0</v>
      </c>
      <c r="H1384" s="24">
        <f t="shared" si="172"/>
        <v>946.31250580144138</v>
      </c>
      <c r="I1384" s="12">
        <f t="shared" si="179"/>
        <v>0.24304253318902325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691.85909700487241</v>
      </c>
      <c r="F1385" s="38">
        <f t="shared" si="173"/>
        <v>0.17807546367713473</v>
      </c>
      <c r="G1385" s="14">
        <f t="shared" si="174"/>
        <v>0</v>
      </c>
      <c r="H1385" s="24">
        <f t="shared" si="172"/>
        <v>947.78902353456306</v>
      </c>
      <c r="I1385" s="12">
        <f t="shared" si="179"/>
        <v>0.24259336371406429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692.10169036858645</v>
      </c>
      <c r="F1386" s="38">
        <f t="shared" si="173"/>
        <v>0.17779606986777222</v>
      </c>
      <c r="G1386" s="14">
        <f t="shared" si="174"/>
        <v>0</v>
      </c>
      <c r="H1386" s="24">
        <f t="shared" si="172"/>
        <v>949.27840620738721</v>
      </c>
      <c r="I1386" s="12">
        <f t="shared" si="179"/>
        <v>0.24214267205361287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692.34383304064011</v>
      </c>
      <c r="F1387" s="38">
        <f t="shared" si="173"/>
        <v>0.17751512111760512</v>
      </c>
      <c r="G1387" s="14">
        <f t="shared" si="174"/>
        <v>0</v>
      </c>
      <c r="H1387" s="24">
        <f t="shared" si="172"/>
        <v>950.78080544022714</v>
      </c>
      <c r="I1387" s="12">
        <f t="shared" si="179"/>
        <v>0.24169044699982842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692.58552348763999</v>
      </c>
      <c r="F1388" s="38">
        <f t="shared" si="173"/>
        <v>0.17723260768083371</v>
      </c>
      <c r="G1388" s="14">
        <f t="shared" si="174"/>
        <v>0</v>
      </c>
      <c r="H1388" s="24">
        <f t="shared" si="172"/>
        <v>952.29637504378968</v>
      </c>
      <c r="I1388" s="12">
        <f t="shared" si="179"/>
        <v>0.24123667728531484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692.8267601649253</v>
      </c>
      <c r="F1389" s="38">
        <f t="shared" si="173"/>
        <v>0.17694851977154061</v>
      </c>
      <c r="G1389" s="14">
        <f t="shared" si="174"/>
        <v>0</v>
      </c>
      <c r="H1389" s="24">
        <f t="shared" si="172"/>
        <v>953.8252710558213</v>
      </c>
      <c r="I1389" s="12">
        <f t="shared" si="179"/>
        <v>0.24078135158354924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693.06754151650887</v>
      </c>
      <c r="F1390" s="38">
        <f t="shared" si="173"/>
        <v>0.17666284756431944</v>
      </c>
      <c r="G1390" s="14">
        <f t="shared" si="174"/>
        <v>0</v>
      </c>
      <c r="H1390" s="24">
        <f t="shared" si="172"/>
        <v>955.36765177843836</v>
      </c>
      <c r="I1390" s="12">
        <f t="shared" si="179"/>
        <v>0.24032445850938666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693.30786597501822</v>
      </c>
      <c r="F1391" s="38">
        <f t="shared" si="173"/>
        <v>0.1763755811949328</v>
      </c>
      <c r="G1391" s="14">
        <f t="shared" si="174"/>
        <v>0</v>
      </c>
      <c r="H1391" s="24">
        <f t="shared" si="172"/>
        <v>956.92367781615008</v>
      </c>
      <c r="I1391" s="12">
        <f t="shared" si="179"/>
        <v>0.23986598661957992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693.54773196163785</v>
      </c>
      <c r="F1392" s="38">
        <f t="shared" si="173"/>
        <v>0.17608671076099786</v>
      </c>
      <c r="G1392" s="14">
        <f t="shared" si="174"/>
        <v>0</v>
      </c>
      <c r="H1392" s="24">
        <f t="shared" si="172"/>
        <v>958.49351211459725</v>
      </c>
      <c r="I1392" s="12">
        <f t="shared" si="179"/>
        <v>0.23940592441328212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693.78713788605114</v>
      </c>
      <c r="F1393" s="38">
        <f t="shared" si="173"/>
        <v>0.17579622632270342</v>
      </c>
      <c r="G1393" s="14">
        <f t="shared" si="174"/>
        <v>0</v>
      </c>
      <c r="H1393" s="24">
        <f t="shared" si="172"/>
        <v>960.07732000000874</v>
      </c>
      <c r="I1393" s="12">
        <f t="shared" si="179"/>
        <v>0.23894426033271568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694.02608214638383</v>
      </c>
      <c r="F1394" s="38">
        <f t="shared" si="173"/>
        <v>0.1755041179035555</v>
      </c>
      <c r="G1394" s="14">
        <f t="shared" si="174"/>
        <v>0</v>
      </c>
      <c r="H1394" s="24">
        <f t="shared" si="172"/>
        <v>961.67526921940589</v>
      </c>
      <c r="I1394" s="12">
        <f t="shared" si="179"/>
        <v>0.23848098276367372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694.26456312914752</v>
      </c>
      <c r="F1395" s="38">
        <f t="shared" si="173"/>
        <v>0.17521037549115545</v>
      </c>
      <c r="G1395" s="14">
        <f t="shared" si="174"/>
        <v>0</v>
      </c>
      <c r="H1395" s="24">
        <f t="shared" si="172"/>
        <v>963.28752998155585</v>
      </c>
      <c r="I1395" s="12">
        <f t="shared" si="179"/>
        <v>0.23801608003624414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694.50257920918375</v>
      </c>
      <c r="F1396" s="38">
        <f t="shared" si="173"/>
        <v>0.17491498903800998</v>
      </c>
      <c r="G1396" s="14">
        <f t="shared" si="174"/>
        <v>0</v>
      </c>
      <c r="H1396" s="24">
        <f t="shared" si="172"/>
        <v>964.91427499869496</v>
      </c>
      <c r="I1396" s="12">
        <f t="shared" si="179"/>
        <v>0.23754954042544263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694.7401287496092</v>
      </c>
      <c r="F1397" s="38">
        <f t="shared" si="173"/>
        <v>0.17461794846237325</v>
      </c>
      <c r="G1397" s="14">
        <f t="shared" si="174"/>
        <v>0</v>
      </c>
      <c r="H1397" s="24">
        <f t="shared" si="172"/>
        <v>966.55567952904028</v>
      </c>
      <c r="I1397" s="12">
        <f t="shared" si="179"/>
        <v>0.23708135215194925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694.9772101017611</v>
      </c>
      <c r="F1398" s="38">
        <f t="shared" si="173"/>
        <v>0.17431924364912332</v>
      </c>
      <c r="G1398" s="14">
        <f t="shared" si="174"/>
        <v>0</v>
      </c>
      <c r="H1398" s="24">
        <f t="shared" si="172"/>
        <v>968.21192142009886</v>
      </c>
      <c r="I1398" s="12">
        <f t="shared" si="179"/>
        <v>0.23661150338285292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695.21382160514395</v>
      </c>
      <c r="F1399" s="38">
        <f t="shared" si="173"/>
        <v>0.17401886445067269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969.88318115279867</v>
      </c>
      <c r="I1399" s="12">
        <f t="shared" si="179"/>
        <v>0.23613998223240562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695.44996158737638</v>
      </c>
      <c r="F1400" s="38">
        <f t="shared" si="173"/>
        <v>0.17371680068791401</v>
      </c>
      <c r="G1400" s="14">
        <f t="shared" si="174"/>
        <v>0</v>
      </c>
      <c r="H1400" s="24">
        <f t="shared" si="180"/>
        <v>971.56964188644793</v>
      </c>
      <c r="I1400" s="12">
        <f t="shared" si="179"/>
        <v>0.23566677676292103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695.68562836413935</v>
      </c>
      <c r="F1401" s="38">
        <f t="shared" si="173"/>
        <v>0.17341304215120235</v>
      </c>
      <c r="G1401" s="14">
        <f t="shared" si="174"/>
        <v>0</v>
      </c>
      <c r="H1401" s="24">
        <f t="shared" si="180"/>
        <v>973.27148950455035</v>
      </c>
      <c r="I1401" s="12">
        <f t="shared" si="179"/>
        <v>0.23519187498553526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695.92082023912485</v>
      </c>
      <c r="F1402" s="38">
        <f t="shared" si="173"/>
        <v>0.17310757860137382</v>
      </c>
      <c r="G1402" s="14">
        <f t="shared" si="174"/>
        <v>0</v>
      </c>
      <c r="H1402" s="24">
        <f t="shared" si="180"/>
        <v>974.98891266148553</v>
      </c>
      <c r="I1402" s="12">
        <f t="shared" si="179"/>
        <v>0.23471526486119698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696.15553550398602</v>
      </c>
      <c r="F1403" s="38">
        <f t="shared" si="173"/>
        <v>0.17280039977080225</v>
      </c>
      <c r="G1403" s="14">
        <f t="shared" si="174"/>
        <v>0</v>
      </c>
      <c r="H1403" s="24">
        <f t="shared" si="180"/>
        <v>976.7221028300778</v>
      </c>
      <c r="I1403" s="12">
        <f t="shared" si="179"/>
        <v>0.23423693430158632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696.38977243828765</v>
      </c>
      <c r="F1404" s="38">
        <f t="shared" si="173"/>
        <v>0.17249149536449482</v>
      </c>
      <c r="G1404" s="14">
        <f t="shared" si="174"/>
        <v>0</v>
      </c>
      <c r="H1404" s="24">
        <f t="shared" si="180"/>
        <v>978.47125435006728</v>
      </c>
      <c r="I1404" s="12">
        <f t="shared" si="179"/>
        <v>0.2337568711700555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696.62352930945769</v>
      </c>
      <c r="F1405" s="38">
        <f t="shared" si="173"/>
        <v>0.17218085506122752</v>
      </c>
      <c r="G1405" s="14">
        <f t="shared" si="174"/>
        <v>0</v>
      </c>
      <c r="H1405" s="24">
        <f t="shared" si="180"/>
        <v>980.23656447750034</v>
      </c>
      <c r="I1405" s="12">
        <f t="shared" si="179"/>
        <v>0.23327506328274913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696.8568043727405</v>
      </c>
      <c r="F1406" s="38">
        <f t="shared" si="173"/>
        <v>0.17186846851471999</v>
      </c>
      <c r="G1406" s="14">
        <f t="shared" si="174"/>
        <v>0</v>
      </c>
      <c r="H1406" s="24">
        <f t="shared" si="180"/>
        <v>982.01823343506885</v>
      </c>
      <c r="I1406" s="12">
        <f t="shared" si="179"/>
        <v>0.23279149840957897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697.0895958711501</v>
      </c>
      <c r="F1407" s="38">
        <f t="shared" si="173"/>
        <v>0.17155432535485363</v>
      </c>
      <c r="G1407" s="14">
        <f t="shared" si="174"/>
        <v>0</v>
      </c>
      <c r="H1407" s="24">
        <f t="shared" si="180"/>
        <v>983.81646446340096</v>
      </c>
      <c r="I1407" s="12">
        <f t="shared" si="179"/>
        <v>0.23230616427541614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697.32190203542552</v>
      </c>
      <c r="F1408" s="38">
        <f t="shared" si="173"/>
        <v>0.17123841518893054</v>
      </c>
      <c r="G1408" s="14">
        <f t="shared" si="174"/>
        <v>0</v>
      </c>
      <c r="H1408" s="24">
        <f t="shared" si="180"/>
        <v>985.63146387333825</v>
      </c>
      <c r="I1408" s="12">
        <f t="shared" si="179"/>
        <v>0.23181904856122909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697.55372108398672</v>
      </c>
      <c r="F1409" s="38">
        <f t="shared" si="173"/>
        <v>0.17092072760297691</v>
      </c>
      <c r="G1409" s="14">
        <f t="shared" si="174"/>
        <v>0</v>
      </c>
      <c r="H1409" s="24">
        <f t="shared" si="180"/>
        <v>987.46344109920869</v>
      </c>
      <c r="I1409" s="12">
        <f t="shared" si="179"/>
        <v>0.23133013890530615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697.78505122289198</v>
      </c>
      <c r="F1410" s="38">
        <f t="shared" si="173"/>
        <v>0.17060125216309019</v>
      </c>
      <c r="G1410" s="14">
        <f t="shared" si="174"/>
        <v>0</v>
      </c>
      <c r="H1410" s="24">
        <f t="shared" si="180"/>
        <v>989.31260875312273</v>
      </c>
      <c r="I1410" s="12">
        <f t="shared" si="179"/>
        <v>0.23083942290450379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698.0158906457965</v>
      </c>
      <c r="F1411" s="38">
        <f t="shared" si="173"/>
        <v>0.17027997841683187</v>
      </c>
      <c r="G1411" s="14">
        <f t="shared" si="174"/>
        <v>0</v>
      </c>
      <c r="H1411" s="24">
        <f t="shared" si="180"/>
        <v>991.17918268030917</v>
      </c>
      <c r="I1411" s="12">
        <f t="shared" si="179"/>
        <v>0.23034688811558371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698.24623753391211</v>
      </c>
      <c r="F1412" s="38">
        <f t="shared" si="173"/>
        <v>0.16995689589466692</v>
      </c>
      <c r="G1412" s="14">
        <f t="shared" si="174"/>
        <v>0</v>
      </c>
      <c r="H1412" s="24">
        <f t="shared" si="180"/>
        <v>993.06338201551125</v>
      </c>
      <c r="I1412" s="12">
        <f t="shared" si="179"/>
        <v>0.22985252205655571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698.47609005596871</v>
      </c>
      <c r="F1413" s="38">
        <f t="shared" si="173"/>
        <v>0.16963199411145011</v>
      </c>
      <c r="G1413" s="14">
        <f t="shared" si="174"/>
        <v>0</v>
      </c>
      <c r="H1413" s="24">
        <f t="shared" si="180"/>
        <v>994.96542924047162</v>
      </c>
      <c r="I1413" s="12">
        <f t="shared" si="179"/>
        <v>0.229356312208119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698.70544636817681</v>
      </c>
      <c r="F1414" s="38">
        <f t="shared" si="173"/>
        <v>0.16930526256796108</v>
      </c>
      <c r="G1414" s="14">
        <f t="shared" si="174"/>
        <v>0</v>
      </c>
      <c r="H1414" s="24">
        <f t="shared" si="180"/>
        <v>996.88555024251923</v>
      </c>
      <c r="I1414" s="12">
        <f t="shared" si="179"/>
        <v>0.22885824601510829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698.93430461419189</v>
      </c>
      <c r="F1415" s="38">
        <f t="shared" si="173"/>
        <v>0.16897669075248878</v>
      </c>
      <c r="G1415" s="14">
        <f t="shared" si="174"/>
        <v>0</v>
      </c>
      <c r="H1415" s="24">
        <f t="shared" si="180"/>
        <v>998.82397437428949</v>
      </c>
      <c r="I1415" s="12">
        <f t="shared" si="179"/>
        <v>0.2283583108880628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699.16266292507999</v>
      </c>
      <c r="F1416" s="38">
        <f t="shared" si="173"/>
        <v>0.16864626814246619</v>
      </c>
      <c r="G1416" s="14">
        <f t="shared" si="174"/>
        <v>0</v>
      </c>
      <c r="H1416" s="24">
        <f t="shared" si="180"/>
        <v>1000.7809345145937</v>
      </c>
      <c r="I1416" s="12">
        <f t="shared" si="179"/>
        <v>0.22785649420475454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699.39051941928471</v>
      </c>
      <c r="F1417" s="38">
        <f t="shared" si="173"/>
        <v>0.16831398420615776</v>
      </c>
      <c r="G1417" s="14">
        <f t="shared" si="174"/>
        <v>0</v>
      </c>
      <c r="H1417" s="24">
        <f t="shared" si="180"/>
        <v>1002.7566671304627</v>
      </c>
      <c r="I1417" s="12">
        <f t="shared" si="179"/>
        <v>0.22735278331187769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699.61787220259657</v>
      </c>
      <c r="F1418" s="38">
        <f t="shared" si="173"/>
        <v>0.16797982840439771</v>
      </c>
      <c r="G1418" s="14">
        <f t="shared" si="174"/>
        <v>0</v>
      </c>
      <c r="H1418" s="24">
        <f t="shared" si="180"/>
        <v>1004.7514123403964</v>
      </c>
      <c r="I1418" s="12">
        <f t="shared" si="179"/>
        <v>0.22684716552674167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699.84471936812326</v>
      </c>
      <c r="F1419" s="38">
        <f t="shared" si="173"/>
        <v>0.16764379019238407</v>
      </c>
      <c r="G1419" s="14">
        <f t="shared" si="174"/>
        <v>0</v>
      </c>
      <c r="H1419" s="24">
        <f t="shared" si="180"/>
        <v>1006.7654139788324</v>
      </c>
      <c r="I1419" s="12">
        <f t="shared" si="179"/>
        <v>0.22633962813900163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700.07105899626231</v>
      </c>
      <c r="F1420" s="38">
        <f t="shared" si="173"/>
        <v>0.16730585902152589</v>
      </c>
      <c r="G1420" s="14">
        <f t="shared" si="174"/>
        <v>0</v>
      </c>
      <c r="H1420" s="24">
        <f t="shared" si="180"/>
        <v>1008.7989196618678</v>
      </c>
      <c r="I1420" s="12">
        <f t="shared" si="179"/>
        <v>0.22583015841254728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700.29688915467489</v>
      </c>
      <c r="F1421" s="38">
        <f t="shared" si="173"/>
        <v>0.16696602434134819</v>
      </c>
      <c r="G1421" s="14">
        <f t="shared" si="174"/>
        <v>0</v>
      </c>
      <c r="H1421" s="24">
        <f t="shared" si="180"/>
        <v>1010.8521808542529</v>
      </c>
      <c r="I1421" s="12">
        <f t="shared" si="179"/>
        <v>0.22531874358731746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700.5222078982622</v>
      </c>
      <c r="F1422" s="38">
        <f t="shared" si="173"/>
        <v>0.16662427560145265</v>
      </c>
      <c r="G1422" s="14">
        <f t="shared" si="174"/>
        <v>0</v>
      </c>
      <c r="H1422" s="24">
        <f t="shared" si="180"/>
        <v>1012.9254529376908</v>
      </c>
      <c r="I1422" s="12">
        <f t="shared" si="179"/>
        <v>0.22480537088132532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700.74701326914351</v>
      </c>
      <c r="F1423" s="38">
        <f t="shared" si="173"/>
        <v>0.16628060225353747</v>
      </c>
      <c r="G1423" s="14">
        <f t="shared" si="174"/>
        <v>0</v>
      </c>
      <c r="H1423" s="24">
        <f t="shared" si="180"/>
        <v>1015.0189952804642</v>
      </c>
      <c r="I1423" s="12">
        <f t="shared" si="179"/>
        <v>0.22429002749261889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700.97130329663617</v>
      </c>
      <c r="F1424" s="38">
        <f t="shared" si="173"/>
        <v>0.16593499375347603</v>
      </c>
      <c r="G1424" s="14">
        <f t="shared" si="174"/>
        <v>0</v>
      </c>
      <c r="H1424" s="24">
        <f t="shared" si="180"/>
        <v>1017.133071308417</v>
      </c>
      <c r="I1424" s="12">
        <f t="shared" si="179"/>
        <v>0.22377270060141169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701.19507599723761</v>
      </c>
      <c r="F1425" s="38">
        <f t="shared" si="173"/>
        <v>0.16558743956345745</v>
      </c>
      <c r="G1425" s="14">
        <f t="shared" si="174"/>
        <v>0</v>
      </c>
      <c r="H1425" s="24">
        <f t="shared" si="180"/>
        <v>1019.267948577319</v>
      </c>
      <c r="I1425" s="12">
        <f t="shared" si="179"/>
        <v>0.22325337737222289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701.41832937460981</v>
      </c>
      <c r="F1426" s="38">
        <f t="shared" si="173"/>
        <v>0.16523792915418753</v>
      </c>
      <c r="G1426" s="14">
        <f t="shared" si="174"/>
        <v>0</v>
      </c>
      <c r="H1426" s="24">
        <f t="shared" si="180"/>
        <v>1021.4238988466459</v>
      </c>
      <c r="I1426" s="12">
        <f t="shared" si="179"/>
        <v>0.22273204495611024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701.64106141956597</v>
      </c>
      <c r="F1427" s="38">
        <f t="shared" si="173"/>
        <v>0.16488645200715332</v>
      </c>
      <c r="G1427" s="14">
        <f t="shared" si="174"/>
        <v>0</v>
      </c>
      <c r="H1427" s="24">
        <f t="shared" si="180"/>
        <v>1023.6011981548002</v>
      </c>
      <c r="I1427" s="12">
        <f t="shared" si="179"/>
        <v>0.22220869049297551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701.86327011005892</v>
      </c>
      <c r="F1428" s="38">
        <f t="shared" ref="F1428:F1491" si="181">Cp*RhoP/(RhoA*H1428)*dp/1000*MassivP</f>
        <v>0.16453299761695256</v>
      </c>
      <c r="G1428" s="14">
        <f t="shared" ref="G1428:G1491" si="182">Phi*EpsilonF*Botzman/10^8*J1428*((D1428+273)^4-(E1428+273)^4)</f>
        <v>0</v>
      </c>
      <c r="H1428" s="24">
        <f t="shared" si="180"/>
        <v>1025.8001268957987</v>
      </c>
      <c r="I1428" s="12">
        <f t="shared" si="179"/>
        <v>0.22168330111393161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702.08495341117282</v>
      </c>
      <c r="F1429" s="38">
        <f t="shared" si="181"/>
        <v>0.16417755549368737</v>
      </c>
      <c r="G1429" s="14">
        <f t="shared" si="182"/>
        <v>0</v>
      </c>
      <c r="H1429" s="24">
        <f t="shared" si="180"/>
        <v>1028.0209698974691</v>
      </c>
      <c r="I1429" s="12">
        <f t="shared" ref="I1429:I1492" si="187">LambdaP*MassivP/(dp/1000)/(H1429*RhoA)/(1+F1429/3)*(D1429-E1429)*DeltaT-(EXP(F1429/10)-1)*(D1429-D1428)</f>
        <v>0.22115586394376807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702.30610927511657</v>
      </c>
      <c r="F1430" s="38">
        <f t="shared" si="181"/>
        <v>0.16382011516542563</v>
      </c>
      <c r="G1430" s="14">
        <f t="shared" si="182"/>
        <v>0</v>
      </c>
      <c r="H1430" s="24">
        <f t="shared" si="180"/>
        <v>1030.2640165011728</v>
      </c>
      <c r="I1430" s="12">
        <f t="shared" si="187"/>
        <v>0.22062636610348832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702.52673564122006</v>
      </c>
      <c r="F1431" s="38">
        <f t="shared" si="181"/>
        <v>0.16346066618072919</v>
      </c>
      <c r="G1431" s="14">
        <f t="shared" si="182"/>
        <v>0</v>
      </c>
      <c r="H1431" s="24">
        <f t="shared" si="180"/>
        <v>1032.5295606430957</v>
      </c>
      <c r="I1431" s="12">
        <f t="shared" si="187"/>
        <v>0.22009479471285665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702.74683043593291</v>
      </c>
      <c r="F1432" s="38">
        <f t="shared" si="181"/>
        <v>0.16309919811125287</v>
      </c>
      <c r="G1432" s="14">
        <f t="shared" si="182"/>
        <v>0</v>
      </c>
      <c r="H1432" s="24">
        <f t="shared" si="180"/>
        <v>1034.8179009371315</v>
      </c>
      <c r="I1432" s="12">
        <f t="shared" si="187"/>
        <v>0.21956113689320117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702.96639157282607</v>
      </c>
      <c r="F1433" s="38">
        <f t="shared" si="181"/>
        <v>0.16273570055441175</v>
      </c>
      <c r="G1433" s="14">
        <f t="shared" si="182"/>
        <v>0</v>
      </c>
      <c r="H1433" s="24">
        <f t="shared" si="180"/>
        <v>1037.1293407593994</v>
      </c>
      <c r="I1433" s="12">
        <f t="shared" si="187"/>
        <v>0.21902537977006734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703.18541695259614</v>
      </c>
      <c r="F1434" s="38">
        <f t="shared" si="181"/>
        <v>0.1623701631361214</v>
      </c>
      <c r="G1434" s="14">
        <f t="shared" si="182"/>
        <v>0</v>
      </c>
      <c r="H1434" s="24">
        <f t="shared" si="180"/>
        <v>1039.4641883344218</v>
      </c>
      <c r="I1434" s="12">
        <f t="shared" si="187"/>
        <v>0.21848751047614781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703.40390446307231</v>
      </c>
      <c r="F1435" s="38">
        <f t="shared" si="181"/>
        <v>0.16200257551361089</v>
      </c>
      <c r="G1435" s="14">
        <f t="shared" si="182"/>
        <v>0</v>
      </c>
      <c r="H1435" s="24">
        <f t="shared" si="180"/>
        <v>1041.8227568229986</v>
      </c>
      <c r="I1435" s="12">
        <f t="shared" si="187"/>
        <v>0.2179475161542116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703.62185197922656</v>
      </c>
      <c r="F1436" s="38">
        <f t="shared" si="181"/>
        <v>0.1616329273783092</v>
      </c>
      <c r="G1436" s="14">
        <f t="shared" si="182"/>
        <v>0</v>
      </c>
      <c r="H1436" s="24">
        <f t="shared" si="180"/>
        <v>1044.2053644118168</v>
      </c>
      <c r="I1436" s="12">
        <f t="shared" si="187"/>
        <v>0.21740538396009657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703.83925736318668</v>
      </c>
      <c r="F1437" s="38">
        <f t="shared" si="181"/>
        <v>0.16126120845880773</v>
      </c>
      <c r="G1437" s="14">
        <f t="shared" si="182"/>
        <v>0</v>
      </c>
      <c r="H1437" s="24">
        <f t="shared" si="180"/>
        <v>1046.6123344048262</v>
      </c>
      <c r="I1437" s="12">
        <f t="shared" si="187"/>
        <v>0.21686110106587092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704.05611846425256</v>
      </c>
      <c r="F1438" s="38">
        <f t="shared" si="181"/>
        <v>0.16088740852389879</v>
      </c>
      <c r="G1438" s="14">
        <f t="shared" si="182"/>
        <v>0</v>
      </c>
      <c r="H1438" s="24">
        <f t="shared" si="180"/>
        <v>1049.0439953164214</v>
      </c>
      <c r="I1438" s="12">
        <f t="shared" si="187"/>
        <v>0.21631465466302571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704.27243311891561</v>
      </c>
      <c r="F1439" s="38">
        <f t="shared" si="181"/>
        <v>0.16051151738569244</v>
      </c>
      <c r="G1439" s="14">
        <f t="shared" si="182"/>
        <v>0</v>
      </c>
      <c r="H1439" s="24">
        <f t="shared" si="180"/>
        <v>1051.5006809664642</v>
      </c>
      <c r="I1439" s="12">
        <f t="shared" si="187"/>
        <v>0.21576603196575811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704.48819915088143</v>
      </c>
      <c r="F1440" s="38">
        <f t="shared" si="181"/>
        <v>0.16013352490281196</v>
      </c>
      <c r="G1440" s="14">
        <f t="shared" si="182"/>
        <v>0</v>
      </c>
      <c r="H1440" s="24">
        <f t="shared" si="180"/>
        <v>1053.9827305771894</v>
      </c>
      <c r="I1440" s="12">
        <f t="shared" si="187"/>
        <v>0.21521522021440184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704.70341437109585</v>
      </c>
      <c r="F1441" s="38">
        <f t="shared" si="181"/>
        <v>0.15975342098367024</v>
      </c>
      <c r="G1441" s="14">
        <f t="shared" si="182"/>
        <v>0</v>
      </c>
      <c r="H1441" s="24">
        <f t="shared" si="180"/>
        <v>1056.4904888720243</v>
      </c>
      <c r="I1441" s="12">
        <f t="shared" si="187"/>
        <v>0.21466220667887467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704.91807657777474</v>
      </c>
      <c r="F1442" s="38">
        <f t="shared" si="181"/>
        <v>0.15937119558982737</v>
      </c>
      <c r="G1442" s="14">
        <f t="shared" si="182"/>
        <v>0</v>
      </c>
      <c r="H1442" s="24">
        <f t="shared" si="180"/>
        <v>1059.0243061763736</v>
      </c>
      <c r="I1442" s="12">
        <f t="shared" si="187"/>
        <v>0.21410697866230605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705.1321835564371</v>
      </c>
      <c r="F1443" s="38">
        <f t="shared" si="181"/>
        <v>0.15898683873943117</v>
      </c>
      <c r="G1443" s="14">
        <f t="shared" si="182"/>
        <v>0</v>
      </c>
      <c r="H1443" s="24">
        <f t="shared" si="180"/>
        <v>1061.5845385203986</v>
      </c>
      <c r="I1443" s="12">
        <f t="shared" si="187"/>
        <v>0.21354952350469908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705.34573307994185</v>
      </c>
      <c r="F1444" s="38">
        <f t="shared" si="181"/>
        <v>0.15860034051074184</v>
      </c>
      <c r="G1444" s="14">
        <f t="shared" si="182"/>
        <v>0</v>
      </c>
      <c r="H1444" s="24">
        <f t="shared" si="180"/>
        <v>1064.1715477438393</v>
      </c>
      <c r="I1444" s="12">
        <f t="shared" si="187"/>
        <v>0.21298982858673093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705.55872290852858</v>
      </c>
      <c r="F1445" s="38">
        <f t="shared" si="181"/>
        <v>0.15821169104574229</v>
      </c>
      <c r="G1445" s="14">
        <f t="shared" si="182"/>
        <v>0</v>
      </c>
      <c r="H1445" s="24">
        <f t="shared" si="180"/>
        <v>1066.7857016029166</v>
      </c>
      <c r="I1445" s="12">
        <f t="shared" si="187"/>
        <v>0.21242788133364693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705.77115078986219</v>
      </c>
      <c r="F1446" s="38">
        <f t="shared" si="181"/>
        <v>0.15782088055383414</v>
      </c>
      <c r="G1446" s="14">
        <f t="shared" si="182"/>
        <v>0</v>
      </c>
      <c r="H1446" s="24">
        <f t="shared" si="180"/>
        <v>1069.4273738793668</v>
      </c>
      <c r="I1446" s="12">
        <f t="shared" si="187"/>
        <v>0.21186366921922883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705.98301445908146</v>
      </c>
      <c r="F1447" s="38">
        <f t="shared" si="181"/>
        <v>0.15742789931562234</v>
      </c>
      <c r="G1447" s="14">
        <f t="shared" si="182"/>
        <v>0</v>
      </c>
      <c r="H1447" s="24">
        <f t="shared" si="180"/>
        <v>1072.0969444916389</v>
      </c>
      <c r="I1447" s="12">
        <f t="shared" si="187"/>
        <v>0.21129717976995729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706.19431163885145</v>
      </c>
      <c r="F1448" s="38">
        <f t="shared" si="181"/>
        <v>0.1570327376867888</v>
      </c>
      <c r="G1448" s="14">
        <f t="shared" si="182"/>
        <v>0</v>
      </c>
      <c r="H1448" s="24">
        <f t="shared" si="180"/>
        <v>1074.7947996083076</v>
      </c>
      <c r="I1448" s="12">
        <f t="shared" si="187"/>
        <v>0.21072840056914513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706.40504003942056</v>
      </c>
      <c r="F1449" s="38">
        <f t="shared" si="181"/>
        <v>0.1566353861020556</v>
      </c>
      <c r="G1449" s="14">
        <f t="shared" si="182"/>
        <v>0</v>
      </c>
      <c r="H1449" s="24">
        <f t="shared" si="180"/>
        <v>1077.5213317637497</v>
      </c>
      <c r="I1449" s="12">
        <f t="shared" si="187"/>
        <v>0.21015731926131859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706.61519735868183</v>
      </c>
      <c r="F1450" s="38">
        <f t="shared" si="181"/>
        <v>0.15623583507923966</v>
      </c>
      <c r="G1450" s="14">
        <f t="shared" si="182"/>
        <v>0</v>
      </c>
      <c r="H1450" s="24">
        <f t="shared" si="180"/>
        <v>1080.2769399761282</v>
      </c>
      <c r="I1450" s="12">
        <f t="shared" si="187"/>
        <v>0.20958392355664082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706.82478128223852</v>
      </c>
      <c r="F1451" s="38">
        <f t="shared" si="181"/>
        <v>0.1558340752234002</v>
      </c>
      <c r="G1451" s="14">
        <f t="shared" si="182"/>
        <v>0</v>
      </c>
      <c r="H1451" s="24">
        <f t="shared" si="180"/>
        <v>1083.0620298677281</v>
      </c>
      <c r="I1451" s="12">
        <f t="shared" si="187"/>
        <v>0.20900820123541636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707.03378948347392</v>
      </c>
      <c r="F1452" s="38">
        <f t="shared" si="181"/>
        <v>0.15543009723108023</v>
      </c>
      <c r="G1452" s="14">
        <f t="shared" si="182"/>
        <v>0</v>
      </c>
      <c r="H1452" s="24">
        <f t="shared" si="180"/>
        <v>1085.8770137876922</v>
      </c>
      <c r="I1452" s="12">
        <f t="shared" si="187"/>
        <v>0.20843014015280548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707.24221962362674</v>
      </c>
      <c r="F1453" s="38">
        <f t="shared" si="181"/>
        <v>0.15502389189464164</v>
      </c>
      <c r="G1453" s="14">
        <f t="shared" si="182"/>
        <v>0</v>
      </c>
      <c r="H1453" s="24">
        <f t="shared" si="180"/>
        <v>1088.7223109372205</v>
      </c>
      <c r="I1453" s="12">
        <f t="shared" si="187"/>
        <v>0.20784972824355494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707.4500693518703</v>
      </c>
      <c r="F1454" s="38">
        <f t="shared" si="181"/>
        <v>0.15461545010669708</v>
      </c>
      <c r="G1454" s="14">
        <f t="shared" si="182"/>
        <v>0</v>
      </c>
      <c r="H1454" s="24">
        <f t="shared" si="180"/>
        <v>1091.5983474972634</v>
      </c>
      <c r="I1454" s="12">
        <f t="shared" si="187"/>
        <v>0.20726695352695396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707.65733630539728</v>
      </c>
      <c r="F1455" s="38">
        <f t="shared" si="181"/>
        <v>0.15420476286463858</v>
      </c>
      <c r="G1455" s="14">
        <f t="shared" si="182"/>
        <v>0</v>
      </c>
      <c r="H1455" s="24">
        <f t="shared" si="180"/>
        <v>1094.5055567587747</v>
      </c>
      <c r="I1455" s="12">
        <f t="shared" si="187"/>
        <v>0.20668180411177037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707.86401810950906</v>
      </c>
      <c r="F1456" s="38">
        <f t="shared" si="181"/>
        <v>0.15379182127526422</v>
      </c>
      <c r="G1456" s="14">
        <f t="shared" si="182"/>
        <v>0</v>
      </c>
      <c r="H1456" s="24">
        <f t="shared" si="180"/>
        <v>1097.4443792555712</v>
      </c>
      <c r="I1456" s="12">
        <f t="shared" si="187"/>
        <v>0.20609426820145904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708.07011237771053</v>
      </c>
      <c r="F1457" s="38">
        <f t="shared" si="181"/>
        <v>0.15337661655950327</v>
      </c>
      <c r="G1457" s="14">
        <f t="shared" si="182"/>
        <v>0</v>
      </c>
      <c r="H1457" s="24">
        <f t="shared" si="180"/>
        <v>1100.4152628998552</v>
      </c>
      <c r="I1457" s="12">
        <f t="shared" si="187"/>
        <v>0.20550433409939195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708.2756167118099</v>
      </c>
      <c r="F1458" s="38">
        <f t="shared" si="181"/>
        <v>0.1529591400572422</v>
      </c>
      <c r="G1458" s="14">
        <f t="shared" si="182"/>
        <v>0</v>
      </c>
      <c r="H1458" s="24">
        <f t="shared" si="180"/>
        <v>1103.4186631204514</v>
      </c>
      <c r="I1458" s="12">
        <f t="shared" si="187"/>
        <v>0.20491199021424522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708.48052870202412</v>
      </c>
      <c r="F1459" s="38">
        <f t="shared" si="181"/>
        <v>0.15253938323225061</v>
      </c>
      <c r="G1459" s="14">
        <f t="shared" si="182"/>
        <v>0</v>
      </c>
      <c r="H1459" s="24">
        <f t="shared" si="180"/>
        <v>1106.45504300382</v>
      </c>
      <c r="I1459" s="12">
        <f t="shared" si="187"/>
        <v>0.20431722506552677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708.68484592708967</v>
      </c>
      <c r="F1460" s="38">
        <f t="shared" si="181"/>
        <v>0.15211733767720986</v>
      </c>
      <c r="G1460" s="14">
        <f t="shared" si="182"/>
        <v>0</v>
      </c>
      <c r="H1460" s="24">
        <f t="shared" si="180"/>
        <v>1109.5248734378968</v>
      </c>
      <c r="I1460" s="12">
        <f t="shared" si="187"/>
        <v>0.20372002728919789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708.88856595437892</v>
      </c>
      <c r="F1461" s="38">
        <f t="shared" si="181"/>
        <v>0.15169299511884396</v>
      </c>
      <c r="G1461" s="14">
        <f t="shared" si="182"/>
        <v>0</v>
      </c>
      <c r="H1461" s="24">
        <f t="shared" si="180"/>
        <v>1112.6286332588193</v>
      </c>
      <c r="I1461" s="12">
        <f t="shared" si="187"/>
        <v>0.20312038564346588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709.09168634002242</v>
      </c>
      <c r="F1462" s="38">
        <f t="shared" si="181"/>
        <v>0.15126634742315428</v>
      </c>
      <c r="G1462" s="14">
        <f t="shared" si="182"/>
        <v>0</v>
      </c>
      <c r="H1462" s="24">
        <f t="shared" si="180"/>
        <v>1115.7668094006035</v>
      </c>
      <c r="I1462" s="12">
        <f t="shared" si="187"/>
        <v>0.20251828901467395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709.29420462903704</v>
      </c>
      <c r="F1463" s="38">
        <f t="shared" si="181"/>
        <v>0.15083738660075835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1118.9398970478287</v>
      </c>
      <c r="I1463" s="12">
        <f t="shared" si="187"/>
        <v>0.20191372642334723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709.49611835546034</v>
      </c>
      <c r="F1464" s="38">
        <f t="shared" si="181"/>
        <v>0.15040610481233319</v>
      </c>
      <c r="G1464" s="14">
        <f t="shared" si="182"/>
        <v>0</v>
      </c>
      <c r="H1464" s="24">
        <f t="shared" si="188"/>
        <v>1122.148399791392</v>
      </c>
      <c r="I1464" s="12">
        <f t="shared" si="187"/>
        <v>0.20130668703035939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709.69742504249075</v>
      </c>
      <c r="F1465" s="38">
        <f t="shared" si="181"/>
        <v>0.14997249437416549</v>
      </c>
      <c r="G1465" s="14">
        <f t="shared" si="182"/>
        <v>0</v>
      </c>
      <c r="H1465" s="24">
        <f t="shared" si="188"/>
        <v>1125.3928297873938</v>
      </c>
      <c r="I1465" s="12">
        <f t="shared" si="187"/>
        <v>0.20069716014322195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709.898122202634</v>
      </c>
      <c r="F1466" s="38">
        <f t="shared" si="181"/>
        <v>0.14953654776380806</v>
      </c>
      <c r="G1466" s="14">
        <f t="shared" si="182"/>
        <v>0</v>
      </c>
      <c r="H1466" s="24">
        <f t="shared" si="188"/>
        <v>1128.6737079192153</v>
      </c>
      <c r="I1466" s="12">
        <f t="shared" si="187"/>
        <v>0.20008513522256255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710.09820733785659</v>
      </c>
      <c r="F1467" s="38">
        <f t="shared" si="181"/>
        <v>0.14909825762584195</v>
      </c>
      <c r="G1467" s="14">
        <f t="shared" si="182"/>
        <v>0</v>
      </c>
      <c r="H1467" s="24">
        <f t="shared" si="188"/>
        <v>1131.9915639628723</v>
      </c>
      <c r="I1467" s="12">
        <f t="shared" si="187"/>
        <v>0.19947060188867372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710.29767793974531</v>
      </c>
      <c r="F1468" s="38">
        <f t="shared" si="181"/>
        <v>0.14865761677774733</v>
      </c>
      <c r="G1468" s="14">
        <f t="shared" si="182"/>
        <v>0</v>
      </c>
      <c r="H1468" s="24">
        <f t="shared" si="188"/>
        <v>1135.3469367556859</v>
      </c>
      <c r="I1468" s="12">
        <f t="shared" si="187"/>
        <v>0.19885354992825136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710.49653148967354</v>
      </c>
      <c r="F1469" s="38">
        <f t="shared" si="181"/>
        <v>0.14821461821588178</v>
      </c>
      <c r="G1469" s="14">
        <f t="shared" si="182"/>
        <v>0</v>
      </c>
      <c r="H1469" s="24">
        <f t="shared" si="188"/>
        <v>1138.7403743683553</v>
      </c>
      <c r="I1469" s="12">
        <f t="shared" si="187"/>
        <v>0.1982339693012489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710.69476545897476</v>
      </c>
      <c r="F1470" s="38">
        <f t="shared" si="181"/>
        <v>0.14776925512156663</v>
      </c>
      <c r="G1470" s="14">
        <f t="shared" si="182"/>
        <v>0</v>
      </c>
      <c r="H1470" s="24">
        <f t="shared" si="188"/>
        <v>1142.1724342805007</v>
      </c>
      <c r="I1470" s="12">
        <f t="shared" si="187"/>
        <v>0.19761185014788304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710.89237730912259</v>
      </c>
      <c r="F1471" s="38">
        <f t="shared" si="181"/>
        <v>0.1473215208672822</v>
      </c>
      <c r="G1471" s="14">
        <f t="shared" si="182"/>
        <v>0</v>
      </c>
      <c r="H1471" s="24">
        <f t="shared" si="188"/>
        <v>1145.6436835597387</v>
      </c>
      <c r="I1471" s="12">
        <f t="shared" si="187"/>
        <v>0.19698718279577312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711.08936449191833</v>
      </c>
      <c r="F1472" s="38">
        <f t="shared" si="181"/>
        <v>0.1468714090229718</v>
      </c>
      <c r="G1472" s="14">
        <f t="shared" si="182"/>
        <v>0</v>
      </c>
      <c r="H1472" s="24">
        <f t="shared" si="188"/>
        <v>1149.1546990443724</v>
      </c>
      <c r="I1472" s="12">
        <f t="shared" si="187"/>
        <v>0.19635995776724596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711.28572444968563</v>
      </c>
      <c r="F1473" s="38">
        <f t="shared" si="181"/>
        <v>0.14641891336245455</v>
      </c>
      <c r="G1473" s="14">
        <f t="shared" si="182"/>
        <v>0</v>
      </c>
      <c r="H1473" s="24">
        <f t="shared" si="188"/>
        <v>1152.706067529763</v>
      </c>
      <c r="I1473" s="12">
        <f t="shared" si="187"/>
        <v>0.19573016578674612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711.48145461547233</v>
      </c>
      <c r="F1474" s="38">
        <f t="shared" si="181"/>
        <v>0.14596402786994797</v>
      </c>
      <c r="G1474" s="14">
        <f t="shared" si="182"/>
        <v>0</v>
      </c>
      <c r="H1474" s="24">
        <f t="shared" si="188"/>
        <v>1156.2983859584567</v>
      </c>
      <c r="I1474" s="12">
        <f t="shared" si="187"/>
        <v>0.19509779778842615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711.67655241326077</v>
      </c>
      <c r="F1475" s="38">
        <f t="shared" si="181"/>
        <v>0.14550674674669745</v>
      </c>
      <c r="G1475" s="14">
        <f t="shared" si="182"/>
        <v>0</v>
      </c>
      <c r="H1475" s="24">
        <f t="shared" si="188"/>
        <v>1159.9322616141633</v>
      </c>
      <c r="I1475" s="12">
        <f t="shared" si="187"/>
        <v>0.19446284492388433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711.87101525818468</v>
      </c>
      <c r="F1476" s="38">
        <f t="shared" si="181"/>
        <v>0.1450470644177172</v>
      </c>
      <c r="G1476" s="14">
        <f t="shared" si="182"/>
        <v>0</v>
      </c>
      <c r="H1476" s="24">
        <f t="shared" si="188"/>
        <v>1163.6083123196267</v>
      </c>
      <c r="I1476" s="12">
        <f t="shared" si="187"/>
        <v>0.19382529857001482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712.06484055675469</v>
      </c>
      <c r="F1477" s="38">
        <f t="shared" si="181"/>
        <v>0.14458497553863839</v>
      </c>
      <c r="G1477" s="14">
        <f t="shared" si="182"/>
        <v>0</v>
      </c>
      <c r="H1477" s="24">
        <f t="shared" si="188"/>
        <v>1167.3271666385035</v>
      </c>
      <c r="I1477" s="12">
        <f t="shared" si="187"/>
        <v>0.19318515033702835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712.25802570709175</v>
      </c>
      <c r="F1478" s="38">
        <f t="shared" si="181"/>
        <v>0.14412047500266556</v>
      </c>
      <c r="G1478" s="14">
        <f t="shared" si="182"/>
        <v>0</v>
      </c>
      <c r="H1478" s="24">
        <f t="shared" si="188"/>
        <v>1171.0894640813144</v>
      </c>
      <c r="I1478" s="12">
        <f t="shared" si="187"/>
        <v>0.19254239207663293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712.45056809916844</v>
      </c>
      <c r="F1479" s="38">
        <f t="shared" si="181"/>
        <v>0.14365355794764179</v>
      </c>
      <c r="G1479" s="14">
        <f t="shared" si="182"/>
        <v>0</v>
      </c>
      <c r="H1479" s="24">
        <f t="shared" si="188"/>
        <v>1174.8958553155469</v>
      </c>
      <c r="I1479" s="12">
        <f t="shared" si="187"/>
        <v>0.19189701589032157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712.64246511505871</v>
      </c>
      <c r="F1480" s="38">
        <f t="shared" si="181"/>
        <v>0.14318421976322079</v>
      </c>
      <c r="G1480" s="14">
        <f t="shared" si="182"/>
        <v>0</v>
      </c>
      <c r="H1480" s="24">
        <f t="shared" si="188"/>
        <v>1178.7470023800029</v>
      </c>
      <c r="I1480" s="12">
        <f t="shared" si="187"/>
        <v>0.19124901413786169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712.83371412919655</v>
      </c>
      <c r="F1481" s="38">
        <f t="shared" si="181"/>
        <v>0.14271245609814498</v>
      </c>
      <c r="G1481" s="14">
        <f t="shared" si="182"/>
        <v>0</v>
      </c>
      <c r="H1481" s="24">
        <f t="shared" si="188"/>
        <v>1182.6435789034808</v>
      </c>
      <c r="I1481" s="12">
        <f t="shared" si="187"/>
        <v>0.1905983794458859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713.02431250864242</v>
      </c>
      <c r="F1482" s="38">
        <f t="shared" si="181"/>
        <v>0.14223826286763117</v>
      </c>
      <c r="G1482" s="14">
        <f t="shared" si="182"/>
        <v>0</v>
      </c>
      <c r="H1482" s="24">
        <f t="shared" si="188"/>
        <v>1186.586270327859</v>
      </c>
      <c r="I1482" s="12">
        <f t="shared" si="187"/>
        <v>0.18994510471664272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713.21425761335911</v>
      </c>
      <c r="F1483" s="38">
        <f t="shared" si="181"/>
        <v>0.14176163626086016</v>
      </c>
      <c r="G1483" s="14">
        <f t="shared" si="182"/>
        <v>0</v>
      </c>
      <c r="H1483" s="24">
        <f t="shared" si="188"/>
        <v>1190.5757741356929</v>
      </c>
      <c r="I1483" s="12">
        <f t="shared" si="187"/>
        <v>0.18928918313691878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713.40354679649602</v>
      </c>
      <c r="F1484" s="38">
        <f t="shared" si="181"/>
        <v>0.14128257274857106</v>
      </c>
      <c r="G1484" s="14">
        <f t="shared" si="182"/>
        <v>0</v>
      </c>
      <c r="H1484" s="24">
        <f t="shared" si="188"/>
        <v>1194.6128000824017</v>
      </c>
      <c r="I1484" s="12">
        <f t="shared" si="187"/>
        <v>0.18863060818706404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713.59217740468307</v>
      </c>
      <c r="F1485" s="38">
        <f t="shared" si="181"/>
        <v>0.14080106909075768</v>
      </c>
      <c r="G1485" s="14">
        <f t="shared" si="182"/>
        <v>0</v>
      </c>
      <c r="H1485" s="24">
        <f t="shared" si="188"/>
        <v>1198.6980704331513</v>
      </c>
      <c r="I1485" s="12">
        <f t="shared" si="187"/>
        <v>0.18796937365022243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713.78014677833335</v>
      </c>
      <c r="F1486" s="38">
        <f t="shared" si="181"/>
        <v>0.14031712234446753</v>
      </c>
      <c r="G1486" s="14">
        <f t="shared" si="182"/>
        <v>0</v>
      </c>
      <c r="H1486" s="24">
        <f t="shared" si="188"/>
        <v>1202.8323202045106</v>
      </c>
      <c r="I1486" s="12">
        <f t="shared" si="187"/>
        <v>0.18730547362163111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713.96745225195502</v>
      </c>
      <c r="F1487" s="38">
        <f t="shared" si="181"/>
        <v>0.13983072987170092</v>
      </c>
      <c r="G1487" s="14">
        <f t="shared" si="182"/>
        <v>0</v>
      </c>
      <c r="H1487" s="24">
        <f t="shared" si="188"/>
        <v>1207.0162974109851</v>
      </c>
      <c r="I1487" s="12">
        <f t="shared" si="187"/>
        <v>0.18663890251815551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714.15409115447324</v>
      </c>
      <c r="F1488" s="38">
        <f t="shared" si="181"/>
        <v>0.13934188934740788</v>
      </c>
      <c r="G1488" s="14">
        <f t="shared" si="182"/>
        <v>0</v>
      </c>
      <c r="H1488" s="24">
        <f t="shared" si="188"/>
        <v>1211.2507633165358</v>
      </c>
      <c r="I1488" s="12">
        <f t="shared" si="187"/>
        <v>0.18596965508789207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714.34006080956112</v>
      </c>
      <c r="F1489" s="38">
        <f t="shared" si="181"/>
        <v>0.13885059876758313</v>
      </c>
      <c r="G1489" s="14">
        <f t="shared" si="182"/>
        <v>0</v>
      </c>
      <c r="H1489" s="24">
        <f t="shared" si="188"/>
        <v>1215.5364926911641</v>
      </c>
      <c r="I1489" s="12">
        <f t="shared" si="187"/>
        <v>0.18529772641992748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714.52535853598101</v>
      </c>
      <c r="F1490" s="38">
        <f t="shared" si="181"/>
        <v>0.13835685645745494</v>
      </c>
      <c r="G1490" s="14">
        <f t="shared" si="182"/>
        <v>0</v>
      </c>
      <c r="H1490" s="24">
        <f t="shared" si="188"/>
        <v>1219.8742740726821</v>
      </c>
      <c r="I1490" s="12">
        <f t="shared" si="187"/>
        <v>0.1846231119543047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714.70998164793536</v>
      </c>
      <c r="F1491" s="38">
        <f t="shared" si="181"/>
        <v>0.13786066107976727</v>
      </c>
      <c r="G1491" s="14">
        <f t="shared" si="182"/>
        <v>0</v>
      </c>
      <c r="H1491" s="24">
        <f t="shared" si="188"/>
        <v>1224.2649100337608</v>
      </c>
      <c r="I1491" s="12">
        <f t="shared" si="187"/>
        <v>0.18394580749203676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714.89392745542739</v>
      </c>
      <c r="F1492" s="38">
        <f t="shared" ref="F1492:F1555" si="189">Cp*RhoP/(RhoA*H1492)*dp/1000*MassivP</f>
        <v>0.13736201164315431</v>
      </c>
      <c r="G1492" s="14">
        <f t="shared" ref="G1492:G1555" si="190">Phi*EpsilonF*Botzman/10^8*J1492*((D1492+273)^4-(E1492+273)^4)</f>
        <v>0</v>
      </c>
      <c r="H1492" s="24">
        <f t="shared" si="188"/>
        <v>1228.7092174543545</v>
      </c>
      <c r="I1492" s="12">
        <f t="shared" si="187"/>
        <v>0.18326580920530067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715.07719326463268</v>
      </c>
      <c r="F1493" s="38">
        <f t="shared" si="189"/>
        <v>0.13686090751060007</v>
      </c>
      <c r="G1493" s="14">
        <f t="shared" si="190"/>
        <v>0</v>
      </c>
      <c r="H1493" s="24">
        <f t="shared" si="188"/>
        <v>1233.2080277996401</v>
      </c>
      <c r="I1493" s="12">
        <f t="shared" ref="I1493:I1556" si="195">LambdaP*MassivP/(dp/1000)/(H1493*RhoA)/(1+F1493/3)*(D1493-E1493)*DeltaT-(EXP(F1493/10)-1)*(D1493-D1492)</f>
        <v>0.18258311364780488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715.25977637828043</v>
      </c>
      <c r="F1494" s="38">
        <f t="shared" si="189"/>
        <v>0.13635734840798669</v>
      </c>
      <c r="G1494" s="14">
        <f t="shared" si="190"/>
        <v>0</v>
      </c>
      <c r="H1494" s="24">
        <f t="shared" si="188"/>
        <v>1237.7621874035387</v>
      </c>
      <c r="I1494" s="12">
        <f t="shared" si="195"/>
        <v>0.18189771776521479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715.44167409604563</v>
      </c>
      <c r="F1495" s="38">
        <f t="shared" si="189"/>
        <v>0.13585133443272374</v>
      </c>
      <c r="G1495" s="14">
        <f t="shared" si="190"/>
        <v>0</v>
      </c>
      <c r="H1495" s="24">
        <f t="shared" si="188"/>
        <v>1242.3725577579678</v>
      </c>
      <c r="I1495" s="12">
        <f t="shared" si="195"/>
        <v>0.18120961890576007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715.6228837149514</v>
      </c>
      <c r="F1496" s="38">
        <f t="shared" si="189"/>
        <v>0.13534286606245888</v>
      </c>
      <c r="G1496" s="14">
        <f t="shared" si="190"/>
        <v>0</v>
      </c>
      <c r="H1496" s="24">
        <f t="shared" si="188"/>
        <v>1247.0400158079065</v>
      </c>
      <c r="I1496" s="12">
        <f t="shared" si="195"/>
        <v>0.18051881483096668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715.80340252978237</v>
      </c>
      <c r="F1497" s="38">
        <f t="shared" si="189"/>
        <v>0.13483194416386465</v>
      </c>
      <c r="G1497" s="14">
        <f t="shared" si="190"/>
        <v>0</v>
      </c>
      <c r="H1497" s="24">
        <f t="shared" si="188"/>
        <v>1251.7654542524135</v>
      </c>
      <c r="I1497" s="12">
        <f t="shared" si="195"/>
        <v>0.1798253037265134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715.98322783350886</v>
      </c>
      <c r="F1498" s="38">
        <f t="shared" si="189"/>
        <v>0.1343185700014988</v>
      </c>
      <c r="G1498" s="14">
        <f t="shared" si="190"/>
        <v>0</v>
      </c>
      <c r="H1498" s="24">
        <f t="shared" si="188"/>
        <v>1256.5497818517035</v>
      </c>
      <c r="I1498" s="12">
        <f t="shared" si="195"/>
        <v>0.17912908421317864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716.16235691772204</v>
      </c>
      <c r="F1499" s="38">
        <f t="shared" si="189"/>
        <v>0.1338027452467343</v>
      </c>
      <c r="G1499" s="14">
        <f t="shared" si="190"/>
        <v>0</v>
      </c>
      <c r="H1499" s="24">
        <f t="shared" si="188"/>
        <v>1261.3939237404056</v>
      </c>
      <c r="I1499" s="12">
        <f t="shared" si="195"/>
        <v>0.17843015535795889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716.34078707308004</v>
      </c>
      <c r="F1500" s="38">
        <f t="shared" si="189"/>
        <v>0.13328447198675616</v>
      </c>
      <c r="G1500" s="14">
        <f t="shared" si="190"/>
        <v>0</v>
      </c>
      <c r="H1500" s="24">
        <f t="shared" si="188"/>
        <v>1266.2988217471179</v>
      </c>
      <c r="I1500" s="12">
        <f t="shared" si="195"/>
        <v>0.17772851668528225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716.51851558976534</v>
      </c>
      <c r="F1501" s="38">
        <f t="shared" si="189"/>
        <v>0.13276375273362001</v>
      </c>
      <c r="G1501" s="14">
        <f t="shared" si="190"/>
        <v>0</v>
      </c>
      <c r="H1501" s="24">
        <f t="shared" si="188"/>
        <v>1271.2654347203918</v>
      </c>
      <c r="I1501" s="12">
        <f t="shared" si="195"/>
        <v>0.17702416818830372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716.69553975795361</v>
      </c>
      <c r="F1502" s="38">
        <f t="shared" si="189"/>
        <v>0.13224059043336844</v>
      </c>
      <c r="G1502" s="14">
        <f t="shared" si="190"/>
        <v>0</v>
      </c>
      <c r="H1502" s="24">
        <f t="shared" si="188"/>
        <v>1276.2947388612695</v>
      </c>
      <c r="I1502" s="12">
        <f t="shared" si="195"/>
        <v>0.17631711034036385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716.871856868294</v>
      </c>
      <c r="F1503" s="38">
        <f t="shared" si="189"/>
        <v>0.13171498847520027</v>
      </c>
      <c r="G1503" s="14">
        <f t="shared" si="190"/>
        <v>0</v>
      </c>
      <c r="H1503" s="24">
        <f t="shared" si="188"/>
        <v>1281.3877280625063</v>
      </c>
      <c r="I1503" s="12">
        <f t="shared" si="195"/>
        <v>0.17560734410652187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717.04746421240054</v>
      </c>
      <c r="F1504" s="38">
        <f t="shared" si="189"/>
        <v>0.13118695070069045</v>
      </c>
      <c r="G1504" s="14">
        <f t="shared" si="190"/>
        <v>0</v>
      </c>
      <c r="H1504" s="24">
        <f t="shared" si="188"/>
        <v>1286.5454142545886</v>
      </c>
      <c r="I1504" s="12">
        <f t="shared" si="195"/>
        <v>0.17489487095515907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717.22235908335574</v>
      </c>
      <c r="F1505" s="38">
        <f t="shared" si="189"/>
        <v>0.13065648141305161</v>
      </c>
      <c r="G1505" s="14">
        <f t="shared" si="190"/>
        <v>0</v>
      </c>
      <c r="H1505" s="24">
        <f t="shared" si="188"/>
        <v>1291.7688277587154</v>
      </c>
      <c r="I1505" s="12">
        <f t="shared" si="195"/>
        <v>0.17417969286974785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717.3965387762255</v>
      </c>
      <c r="F1506" s="38">
        <f t="shared" si="189"/>
        <v>0.13012358538643601</v>
      </c>
      <c r="G1506" s="14">
        <f t="shared" si="190"/>
        <v>0</v>
      </c>
      <c r="H1506" s="24">
        <f t="shared" si="188"/>
        <v>1297.0590176468449</v>
      </c>
      <c r="I1506" s="12">
        <f t="shared" si="195"/>
        <v>0.17346181236064817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717.57000058858614</v>
      </c>
      <c r="F1507" s="38">
        <f t="shared" si="189"/>
        <v>0.1295882678752695</v>
      </c>
      <c r="G1507" s="14">
        <f t="shared" si="190"/>
        <v>0</v>
      </c>
      <c r="H1507" s="24">
        <f t="shared" si="188"/>
        <v>1302.41705210897</v>
      </c>
      <c r="I1507" s="12">
        <f t="shared" si="195"/>
        <v>0.17274123247700257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717.74274182106319</v>
      </c>
      <c r="F1508" s="38">
        <f t="shared" si="189"/>
        <v>0.12905053462361379</v>
      </c>
      <c r="G1508" s="14">
        <f t="shared" si="190"/>
        <v>0</v>
      </c>
      <c r="H1508" s="24">
        <f t="shared" si="188"/>
        <v>1307.8440188277445</v>
      </c>
      <c r="I1508" s="12">
        <f t="shared" si="195"/>
        <v>0.17201795681872617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717.91475977788195</v>
      </c>
      <c r="F1509" s="38">
        <f t="shared" si="189"/>
        <v>0.12851039187455088</v>
      </c>
      <c r="G1509" s="14">
        <f t="shared" si="190"/>
        <v>0</v>
      </c>
      <c r="H1509" s="24">
        <f t="shared" si="188"/>
        <v>1313.3410253606071</v>
      </c>
      <c r="I1509" s="12">
        <f t="shared" si="195"/>
        <v>0.17129198954856539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718.08605176743049</v>
      </c>
      <c r="F1510" s="38">
        <f t="shared" si="189"/>
        <v>0.1279678463795822</v>
      </c>
      <c r="G1510" s="14">
        <f t="shared" si="190"/>
        <v>0</v>
      </c>
      <c r="H1510" s="24">
        <f t="shared" si="188"/>
        <v>1318.9091995295571</v>
      </c>
      <c r="I1510" s="12">
        <f t="shared" si="195"/>
        <v>0.17056333540417995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718.25661510283464</v>
      </c>
      <c r="F1511" s="38">
        <f t="shared" si="189"/>
        <v>0.12742290540803669</v>
      </c>
      <c r="G1511" s="14">
        <f t="shared" si="190"/>
        <v>0</v>
      </c>
      <c r="H1511" s="24">
        <f t="shared" si="188"/>
        <v>1324.5496898187278</v>
      </c>
      <c r="I1511" s="12">
        <f t="shared" si="195"/>
        <v>0.1698319997103413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718.42644710254501</v>
      </c>
      <c r="F1512" s="38">
        <f t="shared" si="189"/>
        <v>0.12687557675648259</v>
      </c>
      <c r="G1512" s="14">
        <f t="shared" si="190"/>
        <v>0</v>
      </c>
      <c r="H1512" s="24">
        <f t="shared" si="188"/>
        <v>1330.263665779888</v>
      </c>
      <c r="I1512" s="12">
        <f t="shared" si="195"/>
        <v>0.16909798839116402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718.59554509093618</v>
      </c>
      <c r="F1513" s="38">
        <f t="shared" si="189"/>
        <v>0.12632586875813404</v>
      </c>
      <c r="G1513" s="14">
        <f t="shared" si="190"/>
        <v>0</v>
      </c>
      <c r="H1513" s="24">
        <f t="shared" si="188"/>
        <v>1336.0523184460476</v>
      </c>
      <c r="I1513" s="12">
        <f t="shared" si="195"/>
        <v>0.16836130798234406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718.76390639891849</v>
      </c>
      <c r="F1514" s="38">
        <f t="shared" si="189"/>
        <v>0.12577379029224539</v>
      </c>
      <c r="G1514" s="14">
        <f t="shared" si="190"/>
        <v>0</v>
      </c>
      <c r="H1514" s="24">
        <f t="shared" si="188"/>
        <v>1341.9168607533179</v>
      </c>
      <c r="I1514" s="12">
        <f t="shared" si="195"/>
        <v>0.16762196564346557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718.93152836456193</v>
      </c>
      <c r="F1515" s="38">
        <f t="shared" si="189"/>
        <v>0.12521935079348695</v>
      </c>
      <c r="G1515" s="14">
        <f t="shared" si="190"/>
        <v>0</v>
      </c>
      <c r="H1515" s="24">
        <f t="shared" si="188"/>
        <v>1347.8585279711797</v>
      </c>
      <c r="I1515" s="12">
        <f t="shared" si="195"/>
        <v>0.16687996917035458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719.09840833373232</v>
      </c>
      <c r="F1516" s="38">
        <f t="shared" si="189"/>
        <v>0.12466256026129321</v>
      </c>
      <c r="G1516" s="14">
        <f t="shared" si="190"/>
        <v>0</v>
      </c>
      <c r="H1516" s="24">
        <f t="shared" si="188"/>
        <v>1353.8785781413183</v>
      </c>
      <c r="I1516" s="12">
        <f t="shared" si="195"/>
        <v>0.16613532700740577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719.26454366073972</v>
      </c>
      <c r="F1517" s="38">
        <f t="shared" si="189"/>
        <v>0.12410342926917749</v>
      </c>
      <c r="G1517" s="14">
        <f t="shared" si="190"/>
        <v>0</v>
      </c>
      <c r="H1517" s="24">
        <f t="shared" si="188"/>
        <v>1359.9782925251848</v>
      </c>
      <c r="I1517" s="12">
        <f t="shared" si="195"/>
        <v>0.16538804825992889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719.42993170899967</v>
      </c>
      <c r="F1518" s="38">
        <f t="shared" si="189"/>
        <v>0.12354196897400034</v>
      </c>
      <c r="G1518" s="14">
        <f t="shared" si="190"/>
        <v>0</v>
      </c>
      <c r="H1518" s="24">
        <f t="shared" si="188"/>
        <v>1366.1589760604813</v>
      </c>
      <c r="I1518" s="12">
        <f t="shared" si="195"/>
        <v>0.16463814270653937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719.59456985170618</v>
      </c>
      <c r="F1519" s="38">
        <f t="shared" si="189"/>
        <v>0.122978191125189</v>
      </c>
      <c r="G1519" s="14">
        <f t="shared" si="190"/>
        <v>0</v>
      </c>
      <c r="H1519" s="24">
        <f t="shared" si="188"/>
        <v>1372.4219578266843</v>
      </c>
      <c r="I1519" s="12">
        <f t="shared" si="195"/>
        <v>0.16388562081145372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719.75845547251765</v>
      </c>
      <c r="F1520" s="38">
        <f t="shared" si="189"/>
        <v>0.1224121080738933</v>
      </c>
      <c r="G1520" s="14">
        <f t="shared" si="190"/>
        <v>0</v>
      </c>
      <c r="H1520" s="24">
        <f t="shared" si="188"/>
        <v>1378.7685915198381</v>
      </c>
      <c r="I1520" s="12">
        <f t="shared" si="195"/>
        <v>0.16313049373687558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719.9215859662545</v>
      </c>
      <c r="F1521" s="38">
        <f t="shared" si="189"/>
        <v>0.12184373278207417</v>
      </c>
      <c r="G1521" s="14">
        <f t="shared" si="190"/>
        <v>0</v>
      </c>
      <c r="H1521" s="24">
        <f t="shared" si="188"/>
        <v>1385.2002559367334</v>
      </c>
      <c r="I1521" s="12">
        <f t="shared" si="195"/>
        <v>0.16237277335524136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720.08395873960978</v>
      </c>
      <c r="F1522" s="38">
        <f t="shared" si="189"/>
        <v>0.12127307883150952</v>
      </c>
      <c r="G1522" s="14">
        <f t="shared" si="190"/>
        <v>0</v>
      </c>
      <c r="H1522" s="24">
        <f t="shared" si="188"/>
        <v>1391.7183554687133</v>
      </c>
      <c r="I1522" s="12">
        <f t="shared" si="195"/>
        <v>0.16161247226150652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720.24557121187127</v>
      </c>
      <c r="F1523" s="38">
        <f t="shared" si="189"/>
        <v>0.12070016043271478</v>
      </c>
      <c r="G1523" s="14">
        <f t="shared" si="190"/>
        <v>0</v>
      </c>
      <c r="H1523" s="24">
        <f t="shared" si="188"/>
        <v>1398.3243206052125</v>
      </c>
      <c r="I1523" s="12">
        <f t="shared" si="195"/>
        <v>0.1608496037853398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720.40642081565659</v>
      </c>
      <c r="F1524" s="38">
        <f t="shared" si="189"/>
        <v>0.12012499243375996</v>
      </c>
      <c r="G1524" s="14">
        <f t="shared" si="190"/>
        <v>0</v>
      </c>
      <c r="H1524" s="24">
        <f t="shared" si="188"/>
        <v>1405.019608447298</v>
      </c>
      <c r="I1524" s="12">
        <f t="shared" si="195"/>
        <v>0.16008418200325145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720.56650499765988</v>
      </c>
      <c r="F1525" s="38">
        <f t="shared" si="189"/>
        <v>0.11954759032898039</v>
      </c>
      <c r="G1525" s="14">
        <f t="shared" si="190"/>
        <v>0</v>
      </c>
      <c r="H1525" s="24">
        <f t="shared" si="188"/>
        <v>1411.8057032313213</v>
      </c>
      <c r="I1525" s="12">
        <f t="shared" si="195"/>
        <v>0.15931622175067087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720.72582121941059</v>
      </c>
      <c r="F1526" s="38">
        <f t="shared" si="189"/>
        <v>0.11896797026756668</v>
      </c>
      <c r="G1526" s="14">
        <f t="shared" si="190"/>
        <v>0</v>
      </c>
      <c r="H1526" s="24">
        <f t="shared" si="188"/>
        <v>1418.6841168629123</v>
      </c>
      <c r="I1526" s="12">
        <f t="shared" si="195"/>
        <v>0.15854573863391563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720.88436695804455</v>
      </c>
      <c r="F1527" s="38">
        <f t="shared" si="189"/>
        <v>0.11838614906202315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1425.6563894615101</v>
      </c>
      <c r="I1527" s="12">
        <f t="shared" si="195"/>
        <v>0.15777274904206373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721.04213970708656</v>
      </c>
      <c r="F1528" s="38">
        <f t="shared" si="189"/>
        <v>0.1178021441964853</v>
      </c>
      <c r="G1528" s="14">
        <f t="shared" si="190"/>
        <v>0</v>
      </c>
      <c r="H1528" s="24">
        <f t="shared" si="196"/>
        <v>1432.7240899156031</v>
      </c>
      <c r="I1528" s="12">
        <f t="shared" si="195"/>
        <v>0.15699727015871026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721.1991369772453</v>
      </c>
      <c r="F1529" s="38">
        <f t="shared" si="189"/>
        <v>0.11721597383488244</v>
      </c>
      <c r="G1529" s="14">
        <f t="shared" si="190"/>
        <v>0</v>
      </c>
      <c r="H1529" s="24">
        <f t="shared" si="196"/>
        <v>1439.8888164489167</v>
      </c>
      <c r="I1529" s="12">
        <f t="shared" si="195"/>
        <v>0.15621931997359631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721.35535629721892</v>
      </c>
      <c r="F1530" s="38">
        <f t="shared" si="189"/>
        <v>0.11662765682893886</v>
      </c>
      <c r="G1530" s="14">
        <f t="shared" si="190"/>
        <v>0</v>
      </c>
      <c r="H1530" s="24">
        <f t="shared" si="196"/>
        <v>1447.1521971976817</v>
      </c>
      <c r="I1530" s="12">
        <f t="shared" si="195"/>
        <v>0.15543891729411871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721.510795214513</v>
      </c>
      <c r="F1531" s="38">
        <f t="shared" si="189"/>
        <v>0.11603721272599511</v>
      </c>
      <c r="G1531" s="14">
        <f t="shared" si="190"/>
        <v>0</v>
      </c>
      <c r="H1531" s="24">
        <f t="shared" si="196"/>
        <v>1454.5158907992777</v>
      </c>
      <c r="I1531" s="12">
        <f t="shared" si="195"/>
        <v>0.15465608175661896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721.66545129626957</v>
      </c>
      <c r="F1532" s="38">
        <f t="shared" si="189"/>
        <v>0.11544466177664209</v>
      </c>
      <c r="G1532" s="14">
        <f t="shared" si="190"/>
        <v>0</v>
      </c>
      <c r="H1532" s="24">
        <f t="shared" si="196"/>
        <v>1461.9815869924</v>
      </c>
      <c r="I1532" s="12">
        <f t="shared" si="195"/>
        <v>0.15387083383759992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721.81932213010714</v>
      </c>
      <c r="F1533" s="38">
        <f t="shared" si="189"/>
        <v>0.1148500249421545</v>
      </c>
      <c r="G1533" s="14">
        <f t="shared" si="190"/>
        <v>0</v>
      </c>
      <c r="H1533" s="24">
        <f t="shared" si="196"/>
        <v>1469.5510072289753</v>
      </c>
      <c r="I1533" s="12">
        <f t="shared" si="195"/>
        <v>0.15308319486464494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721.97240532497176</v>
      </c>
      <c r="F1534" s="38">
        <f t="shared" si="189"/>
        <v>0.11425332390171072</v>
      </c>
      <c r="G1534" s="14">
        <f t="shared" si="190"/>
        <v>0</v>
      </c>
      <c r="H1534" s="24">
        <f t="shared" si="196"/>
        <v>1477.2259052980507</v>
      </c>
      <c r="I1534" s="12">
        <f t="shared" si="195"/>
        <v>0.15229318702724751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722.12469851199899</v>
      </c>
      <c r="F1535" s="38">
        <f t="shared" si="189"/>
        <v>0.11365458105938661</v>
      </c>
      <c r="G1535" s="14">
        <f t="shared" si="190"/>
        <v>0</v>
      </c>
      <c r="H1535" s="24">
        <f t="shared" si="196"/>
        <v>1485.0080679618757</v>
      </c>
      <c r="I1535" s="12">
        <f t="shared" si="195"/>
        <v>0.15150083338732209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722.27619934538632</v>
      </c>
      <c r="F1536" s="38">
        <f t="shared" si="189"/>
        <v>0.11305381955090982</v>
      </c>
      <c r="G1536" s="14">
        <f t="shared" si="190"/>
        <v>0</v>
      </c>
      <c r="H1536" s="24">
        <f t="shared" si="196"/>
        <v>1492.8993156043955</v>
      </c>
      <c r="I1536" s="12">
        <f t="shared" si="195"/>
        <v>0.15070615788956759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722.42690550327586</v>
      </c>
      <c r="F1537" s="38">
        <f t="shared" si="189"/>
        <v>0.11245106325016342</v>
      </c>
      <c r="G1537" s="14">
        <f t="shared" si="190"/>
        <v>0</v>
      </c>
      <c r="H1537" s="24">
        <f t="shared" si="196"/>
        <v>1500.9015028923777</v>
      </c>
      <c r="I1537" s="12">
        <f t="shared" si="195"/>
        <v>0.14990918537151127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722.57681468864735</v>
      </c>
      <c r="F1538" s="38">
        <f t="shared" si="189"/>
        <v>0.11184633677542241</v>
      </c>
      <c r="G1538" s="14">
        <f t="shared" si="190"/>
        <v>0</v>
      </c>
      <c r="H1538" s="24">
        <f t="shared" si="196"/>
        <v>1509.0165194494243</v>
      </c>
      <c r="I1538" s="12">
        <f t="shared" si="195"/>
        <v>0.14910994157333746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722.72592463022067</v>
      </c>
      <c r="F1539" s="38">
        <f t="shared" si="189"/>
        <v>0.11123966549531293</v>
      </c>
      <c r="G1539" s="14">
        <f t="shared" si="190"/>
        <v>0</v>
      </c>
      <c r="H1539" s="24">
        <f t="shared" si="196"/>
        <v>1517.2462905430752</v>
      </c>
      <c r="I1539" s="12">
        <f t="shared" si="195"/>
        <v>0.14830845314742067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722.87423308336804</v>
      </c>
      <c r="F1540" s="38">
        <f t="shared" si="189"/>
        <v>0.11063107553447882</v>
      </c>
      <c r="G1540" s="14">
        <f t="shared" si="190"/>
        <v>0</v>
      </c>
      <c r="H1540" s="24">
        <f t="shared" si="196"/>
        <v>1525.5927777852564</v>
      </c>
      <c r="I1540" s="12">
        <f t="shared" si="195"/>
        <v>0.14750474766752988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723.02173783103558</v>
      </c>
      <c r="F1541" s="38">
        <f t="shared" si="189"/>
        <v>0.11002059377894093</v>
      </c>
      <c r="G1541" s="14">
        <f t="shared" si="190"/>
        <v>0</v>
      </c>
      <c r="H1541" s="24">
        <f t="shared" si="196"/>
        <v>1534.0579798463323</v>
      </c>
      <c r="I1541" s="12">
        <f t="shared" si="195"/>
        <v>0.14669885363774757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723.16843668467334</v>
      </c>
      <c r="F1542" s="38">
        <f t="shared" si="189"/>
        <v>0.10940824788113902</v>
      </c>
      <c r="G1542" s="14">
        <f t="shared" si="190"/>
        <v>0</v>
      </c>
      <c r="H1542" s="24">
        <f t="shared" si="196"/>
        <v>1542.6439331829556</v>
      </c>
      <c r="I1542" s="12">
        <f t="shared" si="195"/>
        <v>0.1458908005010649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723.31432748517443</v>
      </c>
      <c r="F1543" s="38">
        <f t="shared" si="189"/>
        <v>0.10879406626463745</v>
      </c>
      <c r="G1543" s="14">
        <f t="shared" si="190"/>
        <v>0</v>
      </c>
      <c r="H1543" s="24">
        <f t="shared" si="196"/>
        <v>1551.3527127800339</v>
      </c>
      <c r="I1543" s="12">
        <f t="shared" si="195"/>
        <v>0.14508061864756933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723.45940810382206</v>
      </c>
      <c r="F1544" s="38">
        <f t="shared" si="189"/>
        <v>0.10817807812848418</v>
      </c>
      <c r="G1544" s="14">
        <f t="shared" si="190"/>
        <v>0</v>
      </c>
      <c r="H1544" s="24">
        <f t="shared" si="196"/>
        <v>1560.1864329070147</v>
      </c>
      <c r="I1544" s="12">
        <f t="shared" si="195"/>
        <v>0.14426833942231412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723.60367644324435</v>
      </c>
      <c r="F1545" s="38">
        <f t="shared" si="189"/>
        <v>0.10756031345120839</v>
      </c>
      <c r="G1545" s="14">
        <f t="shared" si="190"/>
        <v>0</v>
      </c>
      <c r="H1545" s="24">
        <f t="shared" si="196"/>
        <v>1569.1472478887608</v>
      </c>
      <c r="I1545" s="12">
        <f t="shared" si="195"/>
        <v>0.14345399513277127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723.7471304383771</v>
      </c>
      <c r="F1546" s="38">
        <f t="shared" si="189"/>
        <v>0.10694080299444</v>
      </c>
      <c r="G1546" s="14">
        <f t="shared" si="190"/>
        <v>0</v>
      </c>
      <c r="H1546" s="24">
        <f t="shared" si="196"/>
        <v>1578.2373528913099</v>
      </c>
      <c r="I1546" s="12">
        <f t="shared" si="195"/>
        <v>0.14263761905588804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723.889768057433</v>
      </c>
      <c r="F1547" s="38">
        <f t="shared" si="189"/>
        <v>0.10631957830614153</v>
      </c>
      <c r="G1547" s="14">
        <f t="shared" si="190"/>
        <v>0</v>
      </c>
      <c r="H1547" s="24">
        <f t="shared" si="196"/>
        <v>1587.4589847227285</v>
      </c>
      <c r="I1547" s="12">
        <f t="shared" si="195"/>
        <v>0.14181924544470953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724.03158730287771</v>
      </c>
      <c r="F1548" s="38">
        <f t="shared" si="189"/>
        <v>0.10569667172343457</v>
      </c>
      <c r="G1548" s="14">
        <f t="shared" si="190"/>
        <v>0</v>
      </c>
      <c r="H1548" s="24">
        <f t="shared" si="196"/>
        <v>1596.8144226493691</v>
      </c>
      <c r="I1548" s="12">
        <f t="shared" si="195"/>
        <v>0.1409989095345405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724.17258621241228</v>
      </c>
      <c r="F1549" s="38">
        <f t="shared" si="189"/>
        <v>0.10507211637500723</v>
      </c>
      <c r="G1549" s="14">
        <f t="shared" si="190"/>
        <v>0</v>
      </c>
      <c r="H1549" s="24">
        <f t="shared" si="196"/>
        <v>1606.3059892278152</v>
      </c>
      <c r="I1549" s="12">
        <f t="shared" si="195"/>
        <v>0.14017664754869055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724.31276285996103</v>
      </c>
      <c r="F1550" s="38">
        <f t="shared" si="189"/>
        <v>0.10444594618309007</v>
      </c>
      <c r="G1550" s="14">
        <f t="shared" si="190"/>
        <v>0</v>
      </c>
      <c r="H1550" s="24">
        <f t="shared" si="196"/>
        <v>1615.9360511527586</v>
      </c>
      <c r="I1550" s="12">
        <f t="shared" si="195"/>
        <v>0.13935249670367322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724.45211535666465</v>
      </c>
      <c r="F1551" s="38">
        <f t="shared" si="189"/>
        <v>0.10381819586498556</v>
      </c>
      <c r="G1551" s="14">
        <f t="shared" si="190"/>
        <v>0</v>
      </c>
      <c r="H1551" s="24">
        <f t="shared" si="196"/>
        <v>1625.7070201211161</v>
      </c>
      <c r="I1551" s="12">
        <f t="shared" si="195"/>
        <v>0.13852649521394936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724.59064185187856</v>
      </c>
      <c r="F1552" s="38">
        <f t="shared" si="189"/>
        <v>0.10318890093413501</v>
      </c>
      <c r="G1552" s="14">
        <f t="shared" si="190"/>
        <v>0</v>
      </c>
      <c r="H1552" s="24">
        <f t="shared" si="196"/>
        <v>1635.6213537127046</v>
      </c>
      <c r="I1552" s="12">
        <f t="shared" si="195"/>
        <v>0.1376986822961222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724.72834053417466</v>
      </c>
      <c r="F1553" s="38">
        <f t="shared" si="189"/>
        <v>0.10255809770071414</v>
      </c>
      <c r="G1553" s="14">
        <f t="shared" si="190"/>
        <v>0</v>
      </c>
      <c r="H1553" s="24">
        <f t="shared" si="196"/>
        <v>1645.6815562876886</v>
      </c>
      <c r="I1553" s="12">
        <f t="shared" si="195"/>
        <v>0.13686909817261161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724.86520963234727</v>
      </c>
      <c r="F1554" s="38">
        <f t="shared" si="189"/>
        <v>0.10192582327173939</v>
      </c>
      <c r="G1554" s="14">
        <f t="shared" si="190"/>
        <v>0</v>
      </c>
      <c r="H1554" s="24">
        <f t="shared" si="196"/>
        <v>1655.8901799011767</v>
      </c>
      <c r="I1554" s="12">
        <f t="shared" si="195"/>
        <v>0.13603778407473702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725.00124741642196</v>
      </c>
      <c r="F1555" s="38">
        <f t="shared" si="189"/>
        <v>0.10129211555067294</v>
      </c>
      <c r="G1555" s="14">
        <f t="shared" si="190"/>
        <v>0</v>
      </c>
      <c r="H1555" s="24">
        <f t="shared" si="196"/>
        <v>1666.2498252352357</v>
      </c>
      <c r="I1555" s="12">
        <f t="shared" si="195"/>
        <v>0.13520478224527366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725.13645219866726</v>
      </c>
      <c r="F1556" s="38">
        <f t="shared" ref="F1556:F1619" si="197">Cp*RhoP/(RhoA*H1556)*dp/1000*MassivP</f>
        <v>0.10065701323651202</v>
      </c>
      <c r="G1556" s="14">
        <f t="shared" ref="G1556:G1619" si="198">Phi*EpsilonF*Botzman/10^8*J1556*((D1556+273)^4-(E1556+273)^4)</f>
        <v>0</v>
      </c>
      <c r="H1556" s="24">
        <f t="shared" si="196"/>
        <v>1676.7631425486609</v>
      </c>
      <c r="I1556" s="12">
        <f t="shared" si="195"/>
        <v>0.13437013594034583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725.2708223346076</v>
      </c>
      <c r="F1557" s="38">
        <f t="shared" si="197"/>
        <v>0.10002055582235357</v>
      </c>
      <c r="G1557" s="14">
        <f t="shared" si="198"/>
        <v>0</v>
      </c>
      <c r="H1557" s="24">
        <f t="shared" si="196"/>
        <v>1687.4328326447467</v>
      </c>
      <c r="I1557" s="12">
        <f t="shared" ref="I1557:I1620" si="203">LambdaP*MassivP/(dp/1000)/(H1557*RhoA)/(1+F1557/3)*(D1557-E1557)*DeltaT-(EXP(F1557/10)-1)*(D1557-D1556)</f>
        <v>0.13353388943076139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725.40435622403834</v>
      </c>
      <c r="F1558" s="38">
        <f t="shared" si="197"/>
        <v>9.9382783593414861E-2</v>
      </c>
      <c r="G1558" s="14">
        <f t="shared" si="198"/>
        <v>0</v>
      </c>
      <c r="H1558" s="24">
        <f t="shared" si="196"/>
        <v>1698.2616478574803</v>
      </c>
      <c r="I1558" s="12">
        <f t="shared" si="203"/>
        <v>0.13269608800267815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725.53705231204106</v>
      </c>
      <c r="F1559" s="38">
        <f t="shared" si="197"/>
        <v>9.8743737624503128E-2</v>
      </c>
      <c r="G1559" s="14">
        <f t="shared" si="198"/>
        <v>0</v>
      </c>
      <c r="H1559" s="24">
        <f t="shared" si="196"/>
        <v>1709.2523930564082</v>
      </c>
      <c r="I1559" s="12">
        <f t="shared" si="203"/>
        <v>0.13185677795762568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725.66890908999869</v>
      </c>
      <c r="F1560" s="38">
        <f t="shared" si="197"/>
        <v>9.8103459776921031E-2</v>
      </c>
      <c r="G1560" s="14">
        <f t="shared" si="198"/>
        <v>0</v>
      </c>
      <c r="H1560" s="24">
        <f t="shared" si="196"/>
        <v>1720.4079266705057</v>
      </c>
      <c r="I1560" s="12">
        <f t="shared" si="203"/>
        <v>0.13101600661186377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725.79992509661054</v>
      </c>
      <c r="F1561" s="38">
        <f t="shared" si="197"/>
        <v>9.7461992694792887E-2</v>
      </c>
      <c r="G1561" s="14">
        <f t="shared" si="198"/>
        <v>0</v>
      </c>
      <c r="H1561" s="24">
        <f t="shared" si="196"/>
        <v>1731.7311617314533</v>
      </c>
      <c r="I1561" s="12">
        <f t="shared" si="203"/>
        <v>0.13017382229504507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725.93009891890563</v>
      </c>
      <c r="F1562" s="38">
        <f t="shared" si="197"/>
        <v>9.6819379800803768E-2</v>
      </c>
      <c r="G1562" s="14">
        <f t="shared" si="198"/>
        <v>0</v>
      </c>
      <c r="H1562" s="24">
        <f t="shared" si="196"/>
        <v>1743.2250669365978</v>
      </c>
      <c r="I1562" s="12">
        <f t="shared" si="203"/>
        <v>0.12933027434816527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726.05942919325378</v>
      </c>
      <c r="F1563" s="38">
        <f t="shared" si="197"/>
        <v>9.6175665291341375E-2</v>
      </c>
      <c r="G1563" s="14">
        <f t="shared" si="198"/>
        <v>0</v>
      </c>
      <c r="H1563" s="24">
        <f t="shared" si="196"/>
        <v>1754.8926677319384</v>
      </c>
      <c r="I1563" s="12">
        <f t="shared" si="203"/>
        <v>0.12848541312081882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726.18791460637465</v>
      </c>
      <c r="F1564" s="38">
        <f t="shared" si="197"/>
        <v>9.5530894131023641E-2</v>
      </c>
      <c r="G1564" s="14">
        <f t="shared" si="198"/>
        <v>0</v>
      </c>
      <c r="H1564" s="24">
        <f t="shared" si="196"/>
        <v>1766.737047415591</v>
      </c>
      <c r="I1564" s="12">
        <f t="shared" si="203"/>
        <v>0.12763928996767418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726.31555389634229</v>
      </c>
      <c r="F1565" s="38">
        <f t="shared" si="197"/>
        <v>9.4885112046612138E-2</v>
      </c>
      <c r="G1565" s="14">
        <f t="shared" si="198"/>
        <v>0</v>
      </c>
      <c r="H1565" s="24">
        <f t="shared" si="196"/>
        <v>1778.7613482619297</v>
      </c>
      <c r="I1565" s="12">
        <f t="shared" si="203"/>
        <v>0.12679195724423564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726.44234585358652</v>
      </c>
      <c r="F1566" s="38">
        <f t="shared" si="197"/>
        <v>9.4238365520290981E-2</v>
      </c>
      <c r="G1566" s="14">
        <f t="shared" si="198"/>
        <v>0</v>
      </c>
      <c r="H1566" s="24">
        <f t="shared" si="196"/>
        <v>1790.968772666962</v>
      </c>
      <c r="I1566" s="12">
        <f t="shared" si="203"/>
        <v>0.12594346830180242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726.5682893218883</v>
      </c>
      <c r="F1567" s="38">
        <f t="shared" si="197"/>
        <v>9.3590701782311533E-2</v>
      </c>
      <c r="G1567" s="14">
        <f t="shared" si="198"/>
        <v>0</v>
      </c>
      <c r="H1567" s="24">
        <f t="shared" si="196"/>
        <v>1803.362584315131</v>
      </c>
      <c r="I1567" s="12">
        <f t="shared" si="203"/>
        <v>0.12509387748166331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726.69338319936992</v>
      </c>
      <c r="F1568" s="38">
        <f t="shared" si="197"/>
        <v>9.2942168802988778E-2</v>
      </c>
      <c r="G1568" s="14">
        <f t="shared" si="198"/>
        <v>0</v>
      </c>
      <c r="H1568" s="24">
        <f t="shared" si="196"/>
        <v>1815.9461093680509</v>
      </c>
      <c r="I1568" s="12">
        <f t="shared" si="203"/>
        <v>0.12424324010849408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726.81762643947843</v>
      </c>
      <c r="F1569" s="38">
        <f t="shared" si="197"/>
        <v>9.2292815284042887E-2</v>
      </c>
      <c r="G1569" s="14">
        <f t="shared" si="198"/>
        <v>0</v>
      </c>
      <c r="H1569" s="24">
        <f t="shared" si="196"/>
        <v>1828.7227376755209</v>
      </c>
      <c r="I1569" s="12">
        <f t="shared" si="203"/>
        <v>0.12339161248292052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726.94101805196135</v>
      </c>
      <c r="F1570" s="38">
        <f t="shared" si="197"/>
        <v>9.1642690649282224E-2</v>
      </c>
      <c r="G1570" s="14">
        <f t="shared" si="198"/>
        <v>0</v>
      </c>
      <c r="H1570" s="24">
        <f t="shared" si="196"/>
        <v>1841.6959240091671</v>
      </c>
      <c r="I1570" s="12">
        <f t="shared" si="203"/>
        <v>0.12253905187327034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727.06355710383457</v>
      </c>
      <c r="F1571" s="38">
        <f t="shared" si="197"/>
        <v>9.0991845034615423E-2</v>
      </c>
      <c r="G1571" s="14">
        <f t="shared" si="198"/>
        <v>0</v>
      </c>
      <c r="H1571" s="24">
        <f t="shared" si="196"/>
        <v>1854.8691893192074</v>
      </c>
      <c r="I1571" s="12">
        <f t="shared" si="203"/>
        <v>0.1216856165065005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727.18524272034108</v>
      </c>
      <c r="F1572" s="38">
        <f t="shared" si="197"/>
        <v>9.034032927739144E-2</v>
      </c>
      <c r="G1572" s="14">
        <f t="shared" si="198"/>
        <v>0</v>
      </c>
      <c r="H1572" s="24">
        <f t="shared" si="196"/>
        <v>1868.2461220146831</v>
      </c>
      <c r="I1572" s="12">
        <f t="shared" si="203"/>
        <v>0.12083136555825383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727.30607408589935</v>
      </c>
      <c r="F1573" s="38">
        <f t="shared" si="197"/>
        <v>8.9688194905062996E-2</v>
      </c>
      <c r="G1573" s="14">
        <f t="shared" si="198"/>
        <v>0</v>
      </c>
      <c r="H1573" s="24">
        <f t="shared" si="196"/>
        <v>1881.8303792675435</v>
      </c>
      <c r="I1573" s="12">
        <f t="shared" si="203"/>
        <v>0.11997635914207193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727.42605044504148</v>
      </c>
      <c r="F1574" s="38">
        <f t="shared" si="197"/>
        <v>8.9035494123165485E-2</v>
      </c>
      <c r="G1574" s="14">
        <f t="shared" si="198"/>
        <v>0</v>
      </c>
      <c r="H1574" s="24">
        <f t="shared" si="196"/>
        <v>1895.6256883411061</v>
      </c>
      <c r="I1574" s="12">
        <f t="shared" si="203"/>
        <v>0.11912065829771411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727.54517110333916</v>
      </c>
      <c r="F1575" s="38">
        <f t="shared" si="197"/>
        <v>8.8382279802612485E-2</v>
      </c>
      <c r="G1575" s="14">
        <f t="shared" si="198"/>
        <v>0</v>
      </c>
      <c r="H1575" s="24">
        <f t="shared" si="196"/>
        <v>1909.6358479432117</v>
      </c>
      <c r="I1575" s="12">
        <f t="shared" si="203"/>
        <v>0.11826432497865089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727.66343542831783</v>
      </c>
      <c r="F1576" s="38">
        <f t="shared" si="197"/>
        <v>8.7728605466299903E-2</v>
      </c>
      <c r="G1576" s="14">
        <f t="shared" si="198"/>
        <v>0</v>
      </c>
      <c r="H1576" s="24">
        <f t="shared" si="196"/>
        <v>1923.8647296046497</v>
      </c>
      <c r="I1576" s="12">
        <f t="shared" si="203"/>
        <v>0.11740742203861561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727.78084285035641</v>
      </c>
      <c r="F1577" s="38">
        <f t="shared" si="197"/>
        <v>8.7074525275026127E-2</v>
      </c>
      <c r="G1577" s="14">
        <f t="shared" si="198"/>
        <v>0</v>
      </c>
      <c r="H1577" s="24">
        <f t="shared" si="196"/>
        <v>1938.3162790831007</v>
      </c>
      <c r="I1577" s="12">
        <f t="shared" si="203"/>
        <v>0.11655001321730056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727.89739286357371</v>
      </c>
      <c r="F1578" s="38">
        <f t="shared" si="197"/>
        <v>8.6420094012716497E-2</v>
      </c>
      <c r="G1578" s="14">
        <f t="shared" si="198"/>
        <v>0</v>
      </c>
      <c r="H1578" s="24">
        <f t="shared" si="196"/>
        <v>1952.9945177932902</v>
      </c>
      <c r="I1578" s="12">
        <f t="shared" si="203"/>
        <v>0.11569216312514741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728.01308502669883</v>
      </c>
      <c r="F1579" s="38">
        <f t="shared" si="197"/>
        <v>8.5765367070962689E-2</v>
      </c>
      <c r="G1579" s="14">
        <f t="shared" si="198"/>
        <v>0</v>
      </c>
      <c r="H1579" s="24">
        <f t="shared" si="196"/>
        <v>1967.9035442635993</v>
      </c>
      <c r="I1579" s="12">
        <f t="shared" si="203"/>
        <v>0.11483393722723101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728.12791896392605</v>
      </c>
      <c r="F1580" s="38">
        <f t="shared" si="197"/>
        <v>8.5110400432870117E-2</v>
      </c>
      <c r="G1580" s="14">
        <f t="shared" si="198"/>
        <v>0</v>
      </c>
      <c r="H1580" s="24">
        <f t="shared" si="196"/>
        <v>1983.047535619784</v>
      </c>
      <c r="I1580" s="12">
        <f t="shared" si="203"/>
        <v>0.11397540182625029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728.24189436575227</v>
      </c>
      <c r="F1581" s="38">
        <f t="shared" si="197"/>
        <v>8.4455250656221892E-2</v>
      </c>
      <c r="G1581" s="14">
        <f t="shared" si="198"/>
        <v>0</v>
      </c>
      <c r="H1581" s="24">
        <f t="shared" si="196"/>
        <v>1998.4307490961437</v>
      </c>
      <c r="I1581" s="12">
        <f t="shared" si="203"/>
        <v>0.11311662404460519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728.35501098979682</v>
      </c>
      <c r="F1582" s="38">
        <f t="shared" si="197"/>
        <v>8.3799974855958234E-2</v>
      </c>
      <c r="G1582" s="14">
        <f t="shared" si="198"/>
        <v>0</v>
      </c>
      <c r="H1582" s="24">
        <f t="shared" si="196"/>
        <v>2014.0575235747322</v>
      </c>
      <c r="I1582" s="12">
        <f t="shared" si="203"/>
        <v>0.11225767180556866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728.46726866160236</v>
      </c>
      <c r="F1583" s="38">
        <f t="shared" si="197"/>
        <v>8.3144630685977827E-2</v>
      </c>
      <c r="G1583" s="14">
        <f t="shared" si="198"/>
        <v>0</v>
      </c>
      <c r="H1583" s="24">
        <f t="shared" si="196"/>
        <v>2029.9322811530649</v>
      </c>
      <c r="I1583" s="12">
        <f t="shared" si="203"/>
        <v>0.11139861381355316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728.57866727541591</v>
      </c>
      <c r="F1584" s="38">
        <f t="shared" si="197"/>
        <v>8.2489276320266577E-2</v>
      </c>
      <c r="G1584" s="14">
        <f t="shared" si="198"/>
        <v>0</v>
      </c>
      <c r="H1584" s="24">
        <f t="shared" si="196"/>
        <v>2046.0595287408216</v>
      </c>
      <c r="I1584" s="12">
        <f t="shared" si="203"/>
        <v>0.11053951953347434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728.68920679494943</v>
      </c>
      <c r="F1585" s="38">
        <f t="shared" si="197"/>
        <v>8.1833970433359174E-2</v>
      </c>
      <c r="G1585" s="14">
        <f t="shared" si="198"/>
        <v>0</v>
      </c>
      <c r="H1585" s="24">
        <f t="shared" si="196"/>
        <v>2062.4438596861073</v>
      </c>
      <c r="I1585" s="12">
        <f t="shared" si="203"/>
        <v>0.10968045916921769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728.79888725411865</v>
      </c>
      <c r="F1586" s="38">
        <f t="shared" si="197"/>
        <v>8.1178772180142134E-2</v>
      </c>
      <c r="G1586" s="14">
        <f t="shared" si="198"/>
        <v>0</v>
      </c>
      <c r="H1586" s="24">
        <f t="shared" si="196"/>
        <v>2079.0899554317521</v>
      </c>
      <c r="I1586" s="12">
        <f t="shared" si="203"/>
        <v>0.10882150364119195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728.90770875775979</v>
      </c>
      <c r="F1587" s="38">
        <f t="shared" si="197"/>
        <v>8.0523741175004993E-2</v>
      </c>
      <c r="G1587" s="14">
        <f t="shared" si="198"/>
        <v>0</v>
      </c>
      <c r="H1587" s="24">
        <f t="shared" si="196"/>
        <v>2096.0025872022657</v>
      </c>
      <c r="I1587" s="12">
        <f t="shared" si="203"/>
        <v>0.10796272456301576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729.01567148232277</v>
      </c>
      <c r="F1588" s="38">
        <f t="shared" si="197"/>
        <v>7.9868937470351273E-2</v>
      </c>
      <c r="G1588" s="14">
        <f t="shared" si="198"/>
        <v>0</v>
      </c>
      <c r="H1588" s="24">
        <f t="shared" si="196"/>
        <v>2113.1866177219317</v>
      </c>
      <c r="I1588" s="12">
        <f t="shared" si="203"/>
        <v>0.10710419421730724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729.12277567654007</v>
      </c>
      <c r="F1589" s="38">
        <f t="shared" si="197"/>
        <v>7.9214421534480994E-2</v>
      </c>
      <c r="G1589" s="14">
        <f t="shared" si="198"/>
        <v>0</v>
      </c>
      <c r="H1589" s="24">
        <f t="shared" si="196"/>
        <v>2130.6470029645961</v>
      </c>
      <c r="I1589" s="12">
        <f t="shared" si="203"/>
        <v>0.10624598553059253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729.22902166207064</v>
      </c>
      <c r="F1590" s="38">
        <f t="shared" si="197"/>
        <v>7.8560254228853904E-2</v>
      </c>
      <c r="G1590" s="14">
        <f t="shared" si="198"/>
        <v>0</v>
      </c>
      <c r="H1590" s="24">
        <f t="shared" si="196"/>
        <v>2148.3887939357846</v>
      </c>
      <c r="I1590" s="12">
        <f t="shared" si="203"/>
        <v>0.10538817204737218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729.33440983411799</v>
      </c>
      <c r="F1591" s="38">
        <f t="shared" si="197"/>
        <v>7.7906496784747828E-2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2166.4171384877191</v>
      </c>
      <c r="I1591" s="12">
        <f t="shared" si="203"/>
        <v>0.10453082790331672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729.43894066202131</v>
      </c>
      <c r="F1592" s="38">
        <f t="shared" si="197"/>
        <v>7.7253210779327258E-2</v>
      </c>
      <c r="G1592" s="14">
        <f t="shared" si="198"/>
        <v>0</v>
      </c>
      <c r="H1592" s="24">
        <f t="shared" si="204"/>
        <v>2184.7372831677903</v>
      </c>
      <c r="I1592" s="12">
        <f t="shared" si="203"/>
        <v>0.10367402779763366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729.54261468981895</v>
      </c>
      <c r="F1593" s="38">
        <f t="shared" si="197"/>
        <v>7.6600458111136666E-2</v>
      </c>
      <c r="G1593" s="14">
        <f t="shared" si="198"/>
        <v>0</v>
      </c>
      <c r="H1593" s="24">
        <f t="shared" si="204"/>
        <v>2203.3545751011379</v>
      </c>
      <c r="I1593" s="12">
        <f t="shared" si="203"/>
        <v>0.10281784696459648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729.64543253678357</v>
      </c>
      <c r="F1594" s="38">
        <f t="shared" si="197"/>
        <v>7.5948300975035007E-2</v>
      </c>
      <c r="G1594" s="14">
        <f t="shared" si="198"/>
        <v>0</v>
      </c>
      <c r="H1594" s="24">
        <f t="shared" si="204"/>
        <v>2222.2744639079565</v>
      </c>
      <c r="I1594" s="12">
        <f t="shared" si="203"/>
        <v>0.10196236114429105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729.74739489792785</v>
      </c>
      <c r="F1595" s="38">
        <f t="shared" si="197"/>
        <v>7.5296801836590169E-2</v>
      </c>
      <c r="G1595" s="14">
        <f t="shared" si="198"/>
        <v>0</v>
      </c>
      <c r="H1595" s="24">
        <f t="shared" si="204"/>
        <v>2241.5025036561265</v>
      </c>
      <c r="I1595" s="12">
        <f t="shared" si="203"/>
        <v>0.10110764655254124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729.84850254448043</v>
      </c>
      <c r="F1596" s="38">
        <f t="shared" si="197"/>
        <v>7.4646023405948989E-2</v>
      </c>
      <c r="G1596" s="14">
        <f t="shared" si="198"/>
        <v>0</v>
      </c>
      <c r="H1596" s="24">
        <f t="shared" si="204"/>
        <v>2261.0443548499215</v>
      </c>
      <c r="I1596" s="12">
        <f t="shared" si="203"/>
        <v>0.10025377985009931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729.94875632433047</v>
      </c>
      <c r="F1597" s="38">
        <f t="shared" si="197"/>
        <v>7.3996028611209338E-2</v>
      </c>
      <c r="G1597" s="14">
        <f t="shared" si="198"/>
        <v>0</v>
      </c>
      <c r="H1597" s="24">
        <f t="shared" si="204"/>
        <v>2280.905786455256</v>
      </c>
      <c r="I1597" s="12">
        <f t="shared" si="203"/>
        <v>9.9400838111048648E-2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730.0481571624415</v>
      </c>
      <c r="F1598" s="38">
        <f t="shared" si="197"/>
        <v>7.3346880571305173E-2</v>
      </c>
      <c r="G1598" s="14">
        <f t="shared" si="198"/>
        <v>0</v>
      </c>
      <c r="H1598" s="24">
        <f t="shared" si="204"/>
        <v>2301.0926779624424</v>
      </c>
      <c r="I1598" s="12">
        <f t="shared" si="203"/>
        <v>9.8548898790502493E-2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730.14670606123195</v>
      </c>
      <c r="F1599" s="38">
        <f t="shared" si="197"/>
        <v>7.2698642568437846E-2</v>
      </c>
      <c r="G1599" s="14">
        <f t="shared" si="198"/>
        <v>0</v>
      </c>
      <c r="H1599" s="24">
        <f t="shared" si="204"/>
        <v>2321.6110214868177</v>
      </c>
      <c r="I1599" s="12">
        <f t="shared" si="203"/>
        <v>9.7698039691600708E-2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730.24440410092359</v>
      </c>
      <c r="F1600" s="38">
        <f t="shared" si="197"/>
        <v>7.2051378020066933E-2</v>
      </c>
      <c r="G1600" s="14">
        <f t="shared" si="198"/>
        <v>0</v>
      </c>
      <c r="H1600" s="24">
        <f t="shared" si="204"/>
        <v>2342.4669239082414</v>
      </c>
      <c r="I1600" s="12">
        <f t="shared" si="203"/>
        <v>9.6848338931816283E-2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730.34125243985545</v>
      </c>
      <c r="F1601" s="38">
        <f t="shared" si="197"/>
        <v>7.1405150450492755E-2</v>
      </c>
      <c r="G1601" s="14">
        <f t="shared" si="198"/>
        <v>0</v>
      </c>
      <c r="H1601" s="24">
        <f t="shared" si="204"/>
        <v>2363.6666090499275</v>
      </c>
      <c r="I1601" s="12">
        <f t="shared" si="203"/>
        <v>9.5999874908625188E-2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730.43725231476412</v>
      </c>
      <c r="F1602" s="38">
        <f t="shared" si="197"/>
        <v>7.0760023462048238E-2</v>
      </c>
      <c r="G1602" s="14">
        <f t="shared" si="198"/>
        <v>0</v>
      </c>
      <c r="H1602" s="24">
        <f t="shared" si="204"/>
        <v>2385.2164198975888</v>
      </c>
      <c r="I1602" s="12">
        <f t="shared" si="203"/>
        <v>9.5152726264526033E-2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730.5324050410286</v>
      </c>
      <c r="F1603" s="38">
        <f t="shared" si="197"/>
        <v>7.011606070593264E-2</v>
      </c>
      <c r="G1603" s="14">
        <f t="shared" si="198"/>
        <v>0</v>
      </c>
      <c r="H1603" s="24">
        <f t="shared" si="204"/>
        <v>2407.1228208594366</v>
      </c>
      <c r="I1603" s="12">
        <f t="shared" si="203"/>
        <v>9.4306971851497223E-2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730.62671201288015</v>
      </c>
      <c r="F1604" s="38">
        <f t="shared" si="197"/>
        <v>6.9473325852707143E-2</v>
      </c>
      <c r="G1604" s="14">
        <f t="shared" si="198"/>
        <v>0</v>
      </c>
      <c r="H1604" s="24">
        <f t="shared" si="204"/>
        <v>2429.3924000680236</v>
      </c>
      <c r="I1604" s="12">
        <f t="shared" si="203"/>
        <v>9.3462690694887149E-2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730.72017470357503</v>
      </c>
      <c r="F1605" s="38">
        <f t="shared" si="197"/>
        <v>6.8831882562491897E-2</v>
      </c>
      <c r="G1605" s="14">
        <f t="shared" si="198"/>
        <v>0</v>
      </c>
      <c r="H1605" s="24">
        <f t="shared" si="204"/>
        <v>2452.0318717243272</v>
      </c>
      <c r="I1605" s="12">
        <f t="shared" si="203"/>
        <v>9.2619961956741992E-2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730.81279466553178</v>
      </c>
      <c r="F1606" s="38">
        <f t="shared" si="197"/>
        <v>6.8191794454876581E-2</v>
      </c>
      <c r="G1606" s="14">
        <f t="shared" si="198"/>
        <v>0</v>
      </c>
      <c r="H1606" s="24">
        <f t="shared" si="204"/>
        <v>2475.0480784854353</v>
      </c>
      <c r="I1606" s="12">
        <f t="shared" si="203"/>
        <v>9.1778864898678605E-2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730.90457353043041</v>
      </c>
      <c r="F1607" s="38">
        <f t="shared" si="197"/>
        <v>6.7553125078590529E-2</v>
      </c>
      <c r="G1607" s="14">
        <f t="shared" si="198"/>
        <v>0</v>
      </c>
      <c r="H1607" s="24">
        <f t="shared" si="204"/>
        <v>2498.4479938960885</v>
      </c>
      <c r="I1607" s="12">
        <f t="shared" si="203"/>
        <v>9.093947884427532E-2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730.99551300927465</v>
      </c>
      <c r="F1608" s="38">
        <f t="shared" si="197"/>
        <v>6.691593788094978E-2</v>
      </c>
      <c r="G1608" s="14">
        <f t="shared" si="198"/>
        <v>0</v>
      </c>
      <c r="H1608" s="24">
        <f t="shared" si="204"/>
        <v>2522.2387248653549</v>
      </c>
      <c r="I1608" s="12">
        <f t="shared" si="203"/>
        <v>9.0101883141035136E-2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731.08561489241572</v>
      </c>
      <c r="F1609" s="38">
        <f t="shared" si="197"/>
        <v>6.6280296177121237E-2</v>
      </c>
      <c r="G1609" s="14">
        <f t="shared" si="198"/>
        <v>0</v>
      </c>
      <c r="H1609" s="24">
        <f t="shared" si="204"/>
        <v>2546.4275141889784</v>
      </c>
      <c r="I1609" s="12">
        <f t="shared" si="203"/>
        <v>8.9266157121963591E-2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731.1748810495377</v>
      </c>
      <c r="F1610" s="38">
        <f t="shared" si="197"/>
        <v>6.5646263119232065E-2</v>
      </c>
      <c r="G1610" s="14">
        <f t="shared" si="198"/>
        <v>0</v>
      </c>
      <c r="H1610" s="24">
        <f t="shared" si="204"/>
        <v>2571.0217431183837</v>
      </c>
      <c r="I1610" s="12">
        <f t="shared" si="203"/>
        <v>8.8432380066810659E-2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731.26331342960452</v>
      </c>
      <c r="F1611" s="38">
        <f t="shared" si="197"/>
        <v>6.5013901665353244E-2</v>
      </c>
      <c r="G1611" s="14">
        <f t="shared" si="198"/>
        <v>0</v>
      </c>
      <c r="H1611" s="24">
        <f t="shared" si="204"/>
        <v>2596.0289339773626</v>
      </c>
      <c r="I1611" s="12">
        <f t="shared" si="203"/>
        <v>8.7600631162974979E-2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731.35091406076754</v>
      </c>
      <c r="F1612" s="38">
        <f t="shared" si="197"/>
        <v>6.4383274548396263E-2</v>
      </c>
      <c r="G1612" s="14">
        <f t="shared" si="198"/>
        <v>0</v>
      </c>
      <c r="H1612" s="24">
        <f t="shared" si="204"/>
        <v>2621.4567528271236</v>
      </c>
      <c r="I1612" s="12">
        <f t="shared" si="203"/>
        <v>8.6770989466155496E-2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731.43768505023365</v>
      </c>
      <c r="F1613" s="38">
        <f t="shared" si="197"/>
        <v>6.3754444244954148E-2</v>
      </c>
      <c r="G1613" s="14">
        <f t="shared" si="198"/>
        <v>0</v>
      </c>
      <c r="H1613" s="24">
        <f t="shared" si="204"/>
        <v>2647.3130121807003</v>
      </c>
      <c r="I1613" s="12">
        <f t="shared" si="203"/>
        <v>8.5943533860790552E-2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731.52362858409447</v>
      </c>
      <c r="F1614" s="38">
        <f t="shared" si="197"/>
        <v>6.3127472944115928E-2</v>
      </c>
      <c r="G1614" s="14">
        <f t="shared" si="198"/>
        <v>0</v>
      </c>
      <c r="H1614" s="24">
        <f t="shared" si="204"/>
        <v>2673.60567376787</v>
      </c>
      <c r="I1614" s="12">
        <f t="shared" si="203"/>
        <v>8.5118343020257017E-2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731.60874692711468</v>
      </c>
      <c r="F1615" s="38">
        <f t="shared" si="197"/>
        <v>6.2502422516299755E-2</v>
      </c>
      <c r="G1615" s="14">
        <f t="shared" si="198"/>
        <v>0</v>
      </c>
      <c r="H1615" s="24">
        <f t="shared" si="204"/>
        <v>2700.3428513510999</v>
      </c>
      <c r="I1615" s="12">
        <f t="shared" si="203"/>
        <v>8.4295495366991338E-2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731.69304242248165</v>
      </c>
      <c r="F1616" s="38">
        <f t="shared" si="197"/>
        <v>6.187935448212472E-2</v>
      </c>
      <c r="G1616" s="14">
        <f t="shared" si="198"/>
        <v>0</v>
      </c>
      <c r="H1616" s="24">
        <f t="shared" si="204"/>
        <v>2727.5328135940958</v>
      </c>
      <c r="I1616" s="12">
        <f t="shared" si="203"/>
        <v>8.3475069032465168E-2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731.77651749151414</v>
      </c>
      <c r="F1617" s="38">
        <f t="shared" si="197"/>
        <v>6.1258329981369888E-2</v>
      </c>
      <c r="G1617" s="14">
        <f t="shared" si="198"/>
        <v>0</v>
      </c>
      <c r="H1617" s="24">
        <f t="shared" si="204"/>
        <v>2755.1839869834103</v>
      </c>
      <c r="I1617" s="12">
        <f t="shared" si="203"/>
        <v>8.2657141817114921E-2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731.85917463333124</v>
      </c>
      <c r="F1618" s="38">
        <f t="shared" si="197"/>
        <v>6.0639409742047387E-2</v>
      </c>
      <c r="G1618" s="14">
        <f t="shared" si="198"/>
        <v>0</v>
      </c>
      <c r="H1618" s="24">
        <f t="shared" si="204"/>
        <v>2783.3049588044614</v>
      </c>
      <c r="I1618" s="12">
        <f t="shared" si="203"/>
        <v>8.1841791150276996E-2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731.94101642448152</v>
      </c>
      <c r="F1619" s="38">
        <f t="shared" si="197"/>
        <v>6.0022654049624584E-2</v>
      </c>
      <c r="G1619" s="14">
        <f t="shared" si="198"/>
        <v>0</v>
      </c>
      <c r="H1619" s="24">
        <f t="shared" si="204"/>
        <v>2811.9044801730438</v>
      </c>
      <c r="I1619" s="12">
        <f t="shared" si="203"/>
        <v>8.1029094050130063E-2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732.02204551853163</v>
      </c>
      <c r="F1620" s="38">
        <f t="shared" ref="F1620:F1683" si="205">Cp*RhoP/(RhoA*H1620)*dp/1000*MassivP</f>
        <v>5.9408122716436813E-2</v>
      </c>
      <c r="G1620" s="14">
        <f t="shared" ref="G1620:G1683" si="206">Phi*EpsilonF*Botzman/10^8*J1620*((D1620+273)^4-(E1620+273)^4)</f>
        <v>0</v>
      </c>
      <c r="H1620" s="24">
        <f t="shared" si="204"/>
        <v>2840.9914691231138</v>
      </c>
      <c r="I1620" s="12">
        <f t="shared" si="203"/>
        <v>8.0219127083743222E-2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732.10226464561538</v>
      </c>
      <c r="F1621" s="38">
        <f t="shared" si="205"/>
        <v>5.8795875051317802E-2</v>
      </c>
      <c r="G1621" s="14">
        <f t="shared" si="206"/>
        <v>0</v>
      </c>
      <c r="H1621" s="24">
        <f t="shared" si="204"/>
        <v>2870.5750137523164</v>
      </c>
      <c r="I1621" s="12">
        <f t="shared" ref="I1621:I1684" si="211">LambdaP*MassivP/(dp/1000)/(H1621*RhoA)/(1+F1621/3)*(D1621-E1621)*DeltaT-(EXP(F1621/10)-1)*(D1621-D1620)</f>
        <v>7.9411966327224859E-2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732.18167661194263</v>
      </c>
      <c r="F1622" s="38">
        <f t="shared" si="205"/>
        <v>5.8185969829489786E-2</v>
      </c>
      <c r="G1622" s="14">
        <f t="shared" si="206"/>
        <v>0</v>
      </c>
      <c r="H1622" s="24">
        <f t="shared" si="204"/>
        <v>2900.6643754260517</v>
      </c>
      <c r="I1622" s="12">
        <f t="shared" si="211"/>
        <v>7.8607687326062214E-2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732.26028429926873</v>
      </c>
      <c r="F1623" s="38">
        <f t="shared" si="205"/>
        <v>5.7578465262743607E-2</v>
      </c>
      <c r="G1623" s="14">
        <f t="shared" si="206"/>
        <v>0</v>
      </c>
      <c r="H1623" s="24">
        <f t="shared" si="204"/>
        <v>2931.2689920414496</v>
      </c>
      <c r="I1623" s="12">
        <f t="shared" si="211"/>
        <v>7.7806365055676507E-2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732.33809066432445</v>
      </c>
      <c r="F1624" s="38">
        <f t="shared" si="205"/>
        <v>5.6973418969944997E-2</v>
      </c>
      <c r="G1624" s="14">
        <f t="shared" si="206"/>
        <v>0</v>
      </c>
      <c r="H1624" s="24">
        <f t="shared" si="204"/>
        <v>2962.3984813523471</v>
      </c>
      <c r="I1624" s="12">
        <f t="shared" si="211"/>
        <v>7.7008073882217323E-2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732.41509873820667</v>
      </c>
      <c r="F1625" s="38">
        <f t="shared" si="205"/>
        <v>5.6370887947902716E-2</v>
      </c>
      <c r="G1625" s="14">
        <f t="shared" si="206"/>
        <v>0</v>
      </c>
      <c r="H1625" s="24">
        <f t="shared" si="204"/>
        <v>2994.0626443564029</v>
      </c>
      <c r="I1625" s="12">
        <f t="shared" si="211"/>
        <v>7.621288752370152E-2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732.49131162573042</v>
      </c>
      <c r="F1626" s="38">
        <f t="shared" si="205"/>
        <v>5.5770928542628662E-2</v>
      </c>
      <c r="G1626" s="14">
        <f t="shared" si="206"/>
        <v>0</v>
      </c>
      <c r="H1626" s="24">
        <f t="shared" si="204"/>
        <v>3026.2714687457674</v>
      </c>
      <c r="I1626" s="12">
        <f t="shared" si="211"/>
        <v>7.5420879011487973E-2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732.56673250474194</v>
      </c>
      <c r="F1627" s="38">
        <f t="shared" si="205"/>
        <v>5.5173596421030903E-2</v>
      </c>
      <c r="G1627" s="14">
        <f t="shared" si="206"/>
        <v>0</v>
      </c>
      <c r="H1627" s="24">
        <f t="shared" si="204"/>
        <v>3059.0351324221783</v>
      </c>
      <c r="I1627" s="12">
        <f t="shared" si="211"/>
        <v>7.4632120652150399E-2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732.64136462539409</v>
      </c>
      <c r="F1628" s="38">
        <f t="shared" si="205"/>
        <v>5.4578946543063243E-2</v>
      </c>
      <c r="G1628" s="14">
        <f t="shared" si="206"/>
        <v>0</v>
      </c>
      <c r="H1628" s="24">
        <f t="shared" si="204"/>
        <v>3092.3640070782394</v>
      </c>
      <c r="I1628" s="12">
        <f t="shared" si="211"/>
        <v>7.3846683989802528E-2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732.7152113093839</v>
      </c>
      <c r="F1629" s="38">
        <f t="shared" si="205"/>
        <v>5.398703313437099E-2</v>
      </c>
      <c r="G1629" s="14">
        <f t="shared" si="206"/>
        <v>0</v>
      </c>
      <c r="H1629" s="24">
        <f t="shared" si="204"/>
        <v>3126.2686618458224</v>
      </c>
      <c r="I1629" s="12">
        <f t="shared" si="211"/>
        <v>7.3064639768914266E-2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732.78827594915276</v>
      </c>
      <c r="F1630" s="38">
        <f t="shared" si="205"/>
        <v>5.3397909659463234E-2</v>
      </c>
      <c r="G1630" s="14">
        <f t="shared" si="206"/>
        <v>0</v>
      </c>
      <c r="H1630" s="24">
        <f t="shared" si="204"/>
        <v>3160.7598670129792</v>
      </c>
      <c r="I1630" s="12">
        <f t="shared" si="211"/>
        <v>7.2286057897665443E-2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732.86056200705048</v>
      </c>
      <c r="F1631" s="38">
        <f t="shared" si="205"/>
        <v>5.2811628795437944E-2</v>
      </c>
      <c r="G1631" s="14">
        <f t="shared" si="206"/>
        <v>0</v>
      </c>
      <c r="H1631" s="24">
        <f t="shared" si="204"/>
        <v>3195.848597811013</v>
      </c>
      <c r="I1631" s="12">
        <f t="shared" si="211"/>
        <v>7.1511007411858118E-2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732.93207301446239</v>
      </c>
      <c r="F1632" s="38">
        <f t="shared" si="205"/>
        <v>5.2228242406301466E-2</v>
      </c>
      <c r="G1632" s="14">
        <f t="shared" si="206"/>
        <v>0</v>
      </c>
      <c r="H1632" s="24">
        <f t="shared" si="204"/>
        <v>3231.5460382724386</v>
      </c>
      <c r="I1632" s="12">
        <f t="shared" si="211"/>
        <v>7.0739556439480739E-2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733.00281257090182</v>
      </c>
      <c r="F1633" s="38">
        <f t="shared" si="205"/>
        <v>5.1647801517898322E-2</v>
      </c>
      <c r="G1633" s="14">
        <f t="shared" si="206"/>
        <v>0</v>
      </c>
      <c r="H1633" s="24">
        <f t="shared" si="204"/>
        <v>3267.8635851620284</v>
      </c>
      <c r="I1633" s="12">
        <f t="shared" si="211"/>
        <v>6.9971772165911522E-2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733.07278434306772</v>
      </c>
      <c r="F1634" s="38">
        <f t="shared" si="205"/>
        <v>5.1070356293486573E-2</v>
      </c>
      <c r="G1634" s="14">
        <f t="shared" si="206"/>
        <v>0</v>
      </c>
      <c r="H1634" s="24">
        <f t="shared" si="204"/>
        <v>3304.8128519820361</v>
      </c>
      <c r="I1634" s="12">
        <f t="shared" si="211"/>
        <v>6.9207720799825609E-2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733.14199206386752</v>
      </c>
      <c r="F1635" s="38">
        <f t="shared" si="205"/>
        <v>5.0495956009991801E-2</v>
      </c>
      <c r="G1635" s="14">
        <f t="shared" si="206"/>
        <v>0</v>
      </c>
      <c r="H1635" s="24">
        <f t="shared" si="204"/>
        <v>3342.4056730526981</v>
      </c>
      <c r="I1635" s="12">
        <f t="shared" si="211"/>
        <v>6.8447467539861445E-2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733.21043953140736</v>
      </c>
      <c r="F1636" s="38">
        <f t="shared" si="205"/>
        <v>4.9924649034955151E-2</v>
      </c>
      <c r="G1636" s="14">
        <f t="shared" si="206"/>
        <v>0</v>
      </c>
      <c r="H1636" s="24">
        <f t="shared" si="204"/>
        <v>3380.6541076702379</v>
      </c>
      <c r="I1636" s="12">
        <f t="shared" si="211"/>
        <v>6.7691076542056305E-2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733.27813060794938</v>
      </c>
      <c r="F1637" s="38">
        <f t="shared" si="205"/>
        <v>4.9356482804209921E-2</v>
      </c>
      <c r="G1637" s="14">
        <f t="shared" si="206"/>
        <v>0</v>
      </c>
      <c r="H1637" s="24">
        <f t="shared" si="204"/>
        <v>3419.5704443433301</v>
      </c>
      <c r="I1637" s="12">
        <f t="shared" si="211"/>
        <v>6.6938610888102018E-2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733.34506921883747</v>
      </c>
      <c r="F1638" s="38">
        <f t="shared" si="205"/>
        <v>4.8791503800306113E-2</v>
      </c>
      <c r="G1638" s="14">
        <f t="shared" si="206"/>
        <v>0</v>
      </c>
      <c r="H1638" s="24">
        <f t="shared" si="204"/>
        <v>3459.1672051099431</v>
      </c>
      <c r="I1638" s="12">
        <f t="shared" si="211"/>
        <v>6.619013255445963E-2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733.41125935139189</v>
      </c>
      <c r="F1639" s="38">
        <f t="shared" si="205"/>
        <v>4.8229757531710056E-2</v>
      </c>
      <c r="G1639" s="14">
        <f t="shared" si="206"/>
        <v>0</v>
      </c>
      <c r="H1639" s="24">
        <f t="shared" si="204"/>
        <v>3499.4571499358681</v>
      </c>
      <c r="I1639" s="12">
        <f t="shared" si="211"/>
        <v>6.5445702382377582E-2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733.47670505377425</v>
      </c>
      <c r="F1640" s="38">
        <f t="shared" si="205"/>
        <v>4.7671288512796804E-2</v>
      </c>
      <c r="G1640" s="14">
        <f t="shared" si="206"/>
        <v>0</v>
      </c>
      <c r="H1640" s="24">
        <f t="shared" si="204"/>
        <v>3540.4532811969107</v>
      </c>
      <c r="I1640" s="12">
        <f t="shared" si="211"/>
        <v>6.4705380048798611E-2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733.5414104338231</v>
      </c>
      <c r="F1641" s="38">
        <f t="shared" si="205"/>
        <v>4.7116140244660647E-2</v>
      </c>
      <c r="G1641" s="14">
        <f t="shared" si="206"/>
        <v>0</v>
      </c>
      <c r="H1641" s="24">
        <f t="shared" si="204"/>
        <v>3582.168848246064</v>
      </c>
      <c r="I1641" s="12">
        <f t="shared" si="211"/>
        <v>6.3969224038271197E-2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733.60537965786136</v>
      </c>
      <c r="F1642" s="38">
        <f t="shared" si="205"/>
        <v>4.6564355196762004E-2</v>
      </c>
      <c r="G1642" s="14">
        <f t="shared" si="206"/>
        <v>0</v>
      </c>
      <c r="H1642" s="24">
        <f t="shared" si="204"/>
        <v>3624.6173520674579</v>
      </c>
      <c r="I1642" s="12">
        <f t="shared" si="211"/>
        <v>6.323729161581039E-2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733.66861694947715</v>
      </c>
      <c r="F1643" s="38">
        <f t="shared" si="205"/>
        <v>4.6015974789423666E-2</v>
      </c>
      <c r="G1643" s="14">
        <f t="shared" si="206"/>
        <v>0</v>
      </c>
      <c r="H1643" s="24">
        <f t="shared" si="204"/>
        <v>3667.8125500192177</v>
      </c>
      <c r="I1643" s="12">
        <f t="shared" si="211"/>
        <v>6.2509638800795103E-2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733.7311265882779</v>
      </c>
      <c r="F1644" s="38">
        <f t="shared" si="205"/>
        <v>4.5471039377202926E-2</v>
      </c>
      <c r="G1644" s="14">
        <f t="shared" si="206"/>
        <v>0</v>
      </c>
      <c r="H1644" s="24">
        <f t="shared" si="204"/>
        <v>3711.7684606662747</v>
      </c>
      <c r="I1644" s="12">
        <f t="shared" si="211"/>
        <v>6.1786320341899618E-2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733.79291290861977</v>
      </c>
      <c r="F1645" s="38">
        <f t="shared" si="205"/>
        <v>4.4929588233146397E-2</v>
      </c>
      <c r="G1645" s="14">
        <f t="shared" si="206"/>
        <v>0</v>
      </c>
      <c r="H1645" s="24">
        <f t="shared" si="204"/>
        <v>3756.4993687055803</v>
      </c>
      <c r="I1645" s="12">
        <f t="shared" si="211"/>
        <v>6.1067389693108834E-2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733.85398029831288</v>
      </c>
      <c r="F1646" s="38">
        <f t="shared" si="205"/>
        <v>4.439165953394688E-2</v>
      </c>
      <c r="G1646" s="14">
        <f t="shared" si="206"/>
        <v>0</v>
      </c>
      <c r="H1646" s="24">
        <f t="shared" si="204"/>
        <v>3802.0198299851659</v>
      </c>
      <c r="I1646" s="12">
        <f t="shared" si="211"/>
        <v>6.0352898990796239E-2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733.91433319730368</v>
      </c>
      <c r="F1647" s="38">
        <f t="shared" si="205"/>
        <v>4.3857290346012726E-2</v>
      </c>
      <c r="G1647" s="14">
        <f t="shared" si="206"/>
        <v>0</v>
      </c>
      <c r="H1647" s="24">
        <f t="shared" si="204"/>
        <v>3848.3446766190941</v>
      </c>
      <c r="I1647" s="12">
        <f t="shared" si="211"/>
        <v>5.9642899031973513E-2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733.9739760963356</v>
      </c>
      <c r="F1648" s="38">
        <f t="shared" si="205"/>
        <v>4.3326516612460252E-2</v>
      </c>
      <c r="G1648" s="14">
        <f t="shared" si="206"/>
        <v>0</v>
      </c>
      <c r="H1648" s="24">
        <f t="shared" si="204"/>
        <v>3895.4890222002596</v>
      </c>
      <c r="I1648" s="12">
        <f t="shared" si="211"/>
        <v>5.8937439253604638E-2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734.03291353558916</v>
      </c>
      <c r="F1649" s="38">
        <f t="shared" si="205"/>
        <v>4.2799373141039189E-2</v>
      </c>
      <c r="G1649" s="14">
        <f t="shared" si="206"/>
        <v>0</v>
      </c>
      <c r="H1649" s="24">
        <f t="shared" si="204"/>
        <v>3943.4682671129908</v>
      </c>
      <c r="I1649" s="12">
        <f t="shared" si="211"/>
        <v>5.8236567713140251E-2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734.09115010330231</v>
      </c>
      <c r="F1650" s="38">
        <f t="shared" si="205"/>
        <v>4.2275893593001421E-2</v>
      </c>
      <c r="G1650" s="14">
        <f t="shared" si="206"/>
        <v>0</v>
      </c>
      <c r="H1650" s="24">
        <f t="shared" si="204"/>
        <v>3992.2981039472693</v>
      </c>
      <c r="I1650" s="12">
        <f t="shared" si="211"/>
        <v>5.7540331070176129E-2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734.1486904343725</v>
      </c>
      <c r="F1651" s="38">
        <f t="shared" si="205"/>
        <v>4.175611047291905E-2</v>
      </c>
      <c r="G1651" s="14">
        <f t="shared" si="206"/>
        <v>0</v>
      </c>
      <c r="H1651" s="24">
        <f t="shared" si="204"/>
        <v>4041.9945230166286</v>
      </c>
      <c r="I1651" s="12">
        <f t="shared" si="211"/>
        <v>5.6848774569329352E-2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734.20553920894179</v>
      </c>
      <c r="F1652" s="38">
        <f t="shared" si="205"/>
        <v>4.1240055119453251E-2</v>
      </c>
      <c r="G1652" s="14">
        <f t="shared" si="206"/>
        <v>0</v>
      </c>
      <c r="H1652" s="24">
        <f t="shared" si="204"/>
        <v>4092.5738179821733</v>
      </c>
      <c r="I1652" s="12">
        <f t="shared" si="211"/>
        <v>5.6161942024294587E-2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734.26170115096613</v>
      </c>
      <c r="F1653" s="38">
        <f t="shared" si="205"/>
        <v>4.0727757697080424E-2</v>
      </c>
      <c r="G1653" s="14">
        <f t="shared" si="206"/>
        <v>0</v>
      </c>
      <c r="H1653" s="24">
        <f t="shared" si="204"/>
        <v>4144.0525915846083</v>
      </c>
      <c r="I1653" s="12">
        <f t="shared" si="211"/>
        <v>5.5479875803116578E-2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734.31718102676928</v>
      </c>
      <c r="F1654" s="38">
        <f t="shared" si="205"/>
        <v>4.0219247188783447E-2</v>
      </c>
      <c r="G1654" s="14">
        <f t="shared" si="206"/>
        <v>0</v>
      </c>
      <c r="H1654" s="24">
        <f t="shared" si="204"/>
        <v>4196.4477614858433</v>
      </c>
      <c r="I1654" s="12">
        <f t="shared" si="211"/>
        <v>5.4802616814677713E-2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734.37198364358392</v>
      </c>
      <c r="F1655" s="38">
        <f t="shared" si="205"/>
        <v>3.9714551389696442E-2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4249.7765662236307</v>
      </c>
      <c r="I1655" s="12">
        <f t="shared" si="211"/>
        <v>5.4130204496423438E-2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734.42611384808038</v>
      </c>
      <c r="F1656" s="38">
        <f t="shared" si="205"/>
        <v>3.9213696901711059E-2</v>
      </c>
      <c r="G1656" s="14">
        <f t="shared" si="206"/>
        <v>0</v>
      </c>
      <c r="H1656" s="24">
        <f t="shared" si="212"/>
        <v>4304.0565712806219</v>
      </c>
      <c r="I1656" s="12">
        <f t="shared" si="211"/>
        <v>5.3462676803293419E-2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734.47957652488367</v>
      </c>
      <c r="F1657" s="38">
        <f t="shared" si="205"/>
        <v>3.8716709129045471E-2</v>
      </c>
      <c r="G1657" s="14">
        <f t="shared" si="206"/>
        <v>0</v>
      </c>
      <c r="H1657" s="24">
        <f t="shared" si="212"/>
        <v>4359.3056752697494</v>
      </c>
      <c r="I1657" s="12">
        <f t="shared" si="211"/>
        <v>5.2800070197916847E-2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734.53237659508159</v>
      </c>
      <c r="F1658" s="38">
        <f t="shared" si="205"/>
        <v>3.8223612274759469E-2</v>
      </c>
      <c r="G1658" s="14">
        <f t="shared" si="206"/>
        <v>0</v>
      </c>
      <c r="H1658" s="24">
        <f t="shared" si="212"/>
        <v>4415.5421162396706</v>
      </c>
      <c r="I1658" s="12">
        <f t="shared" si="211"/>
        <v>5.2142419642013896E-2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734.58451901472358</v>
      </c>
      <c r="F1659" s="38">
        <f t="shared" si="205"/>
        <v>3.7734429338224421E-2</v>
      </c>
      <c r="G1659" s="14">
        <f t="shared" si="206"/>
        <v>0</v>
      </c>
      <c r="H1659" s="24">
        <f t="shared" si="212"/>
        <v>4472.7844781011827</v>
      </c>
      <c r="I1659" s="12">
        <f t="shared" si="211"/>
        <v>5.1489758589058049E-2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734.6360087733126</v>
      </c>
      <c r="F1660" s="38">
        <f t="shared" si="205"/>
        <v>3.7249182113533112E-2</v>
      </c>
      <c r="G1660" s="14">
        <f t="shared" si="206"/>
        <v>0</v>
      </c>
      <c r="H1660" s="24">
        <f t="shared" si="212"/>
        <v>4531.0516971779853</v>
      </c>
      <c r="I1660" s="12">
        <f t="shared" si="211"/>
        <v>5.0842118978138021E-2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734.68685089229075</v>
      </c>
      <c r="F1661" s="38">
        <f t="shared" si="205"/>
        <v>3.6767891188844638E-2</v>
      </c>
      <c r="G1661" s="14">
        <f t="shared" si="206"/>
        <v>0</v>
      </c>
      <c r="H1661" s="24">
        <f t="shared" si="212"/>
        <v>4590.3630688839512</v>
      </c>
      <c r="I1661" s="12">
        <f t="shared" si="211"/>
        <v>5.019953122908135E-2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734.7370504235198</v>
      </c>
      <c r="F1662" s="38">
        <f t="shared" si="205"/>
        <v>3.6290575946658417E-2</v>
      </c>
      <c r="G1662" s="14">
        <f t="shared" si="206"/>
        <v>0</v>
      </c>
      <c r="H1662" s="24">
        <f t="shared" si="212"/>
        <v>4650.7382545290502</v>
      </c>
      <c r="I1662" s="12">
        <f t="shared" si="211"/>
        <v>4.9562024238775593E-2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734.78661244775856</v>
      </c>
      <c r="F1663" s="38">
        <f t="shared" si="205"/>
        <v>3.5817254564998201E-2</v>
      </c>
      <c r="G1663" s="14">
        <f t="shared" si="206"/>
        <v>0</v>
      </c>
      <c r="H1663" s="24">
        <f t="shared" si="212"/>
        <v>4712.1972882575838</v>
      </c>
      <c r="I1663" s="12">
        <f t="shared" si="211"/>
        <v>4.8929625378701436E-2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734.83554207313728</v>
      </c>
      <c r="F1664" s="38">
        <f t="shared" si="205"/>
        <v>3.5347944019504876E-2</v>
      </c>
      <c r="G1664" s="14">
        <f t="shared" si="206"/>
        <v>0</v>
      </c>
      <c r="H1664" s="24">
        <f t="shared" si="212"/>
        <v>4774.7605841201103</v>
      </c>
      <c r="I1664" s="12">
        <f t="shared" si="211"/>
        <v>4.8302360493685248E-2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734.883844433631</v>
      </c>
      <c r="F1665" s="38">
        <f t="shared" si="205"/>
        <v>3.4882660086419395E-2</v>
      </c>
      <c r="G1665" s="14">
        <f t="shared" si="206"/>
        <v>0</v>
      </c>
      <c r="H1665" s="24">
        <f t="shared" si="212"/>
        <v>4838.4489432824284</v>
      </c>
      <c r="I1665" s="12">
        <f t="shared" si="211"/>
        <v>4.7680253901826133E-2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734.93152468753283</v>
      </c>
      <c r="F1666" s="38">
        <f t="shared" si="205"/>
        <v>3.4421417346442607E-2</v>
      </c>
      <c r="G1666" s="14">
        <f t="shared" si="206"/>
        <v>0</v>
      </c>
      <c r="H1666" s="24">
        <f t="shared" si="212"/>
        <v>4903.2835613742955</v>
      </c>
      <c r="I1666" s="12">
        <f t="shared" si="211"/>
        <v>4.7063328395609984E-2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734.97858801592849</v>
      </c>
      <c r="F1667" s="38">
        <f t="shared" si="205"/>
        <v>3.3964229189456074E-2</v>
      </c>
      <c r="G1667" s="14">
        <f t="shared" si="206"/>
        <v>0</v>
      </c>
      <c r="H1667" s="24">
        <f t="shared" si="212"/>
        <v>4969.2860359808155</v>
      </c>
      <c r="I1667" s="12">
        <f t="shared" si="211"/>
        <v>4.6451605244178046E-2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735.02503962117271</v>
      </c>
      <c r="F1668" s="38">
        <f t="shared" si="205"/>
        <v>3.3943739967023961E-2</v>
      </c>
      <c r="G1668" s="14">
        <f t="shared" si="206"/>
        <v>0</v>
      </c>
      <c r="H1668" s="24">
        <f t="shared" si="212"/>
        <v>4972.2856113669959</v>
      </c>
      <c r="I1668" s="12">
        <f t="shared" si="211"/>
        <v>4.6430297089118916E-2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735.07146991826187</v>
      </c>
      <c r="F1669" s="38">
        <f t="shared" si="205"/>
        <v>3.4291935911631689E-2</v>
      </c>
      <c r="G1669" s="14">
        <f t="shared" si="206"/>
        <v>0</v>
      </c>
      <c r="H1669" s="24">
        <f t="shared" si="212"/>
        <v>4921.7976572960779</v>
      </c>
      <c r="I1669" s="12">
        <f t="shared" si="211"/>
        <v>4.6907614761817581E-2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735.1183775330237</v>
      </c>
      <c r="F1670" s="38">
        <f t="shared" si="205"/>
        <v>3.4642819567838351E-2</v>
      </c>
      <c r="G1670" s="14">
        <f t="shared" si="206"/>
        <v>0</v>
      </c>
      <c r="H1670" s="24">
        <f t="shared" si="212"/>
        <v>4871.9466815774404</v>
      </c>
      <c r="I1670" s="12">
        <f t="shared" si="211"/>
        <v>4.7388511338967612E-2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735.16576604436273</v>
      </c>
      <c r="F1671" s="38">
        <f t="shared" si="205"/>
        <v>3.499639371378465E-2</v>
      </c>
      <c r="G1671" s="14">
        <f t="shared" si="206"/>
        <v>0</v>
      </c>
      <c r="H1671" s="24">
        <f t="shared" si="212"/>
        <v>4822.7246274102945</v>
      </c>
      <c r="I1671" s="12">
        <f t="shared" si="211"/>
        <v>4.7872986720003008E-2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735.21363903108272</v>
      </c>
      <c r="F1672" s="38">
        <f t="shared" si="205"/>
        <v>3.5352660765738467E-2</v>
      </c>
      <c r="G1672" s="14">
        <f t="shared" si="206"/>
        <v>0</v>
      </c>
      <c r="H1672" s="24">
        <f t="shared" si="212"/>
        <v>4774.1235363417072</v>
      </c>
      <c r="I1672" s="12">
        <f t="shared" si="211"/>
        <v>4.8361040240209686E-2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735.26200007132297</v>
      </c>
      <c r="F1673" s="38">
        <f t="shared" si="205"/>
        <v>3.5711622773318692E-2</v>
      </c>
      <c r="G1673" s="14">
        <f t="shared" si="206"/>
        <v>0</v>
      </c>
      <c r="H1673" s="24">
        <f t="shared" si="212"/>
        <v>4726.1355471114457</v>
      </c>
      <c r="I1673" s="12">
        <f t="shared" si="211"/>
        <v>4.8852670664173398E-2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735.31085274198711</v>
      </c>
      <c r="F1674" s="38">
        <f t="shared" si="205"/>
        <v>3.6073281414802059E-2</v>
      </c>
      <c r="G1674" s="14">
        <f t="shared" si="206"/>
        <v>0</v>
      </c>
      <c r="H1674" s="24">
        <f t="shared" si="212"/>
        <v>4678.7528945110289</v>
      </c>
      <c r="I1674" s="12">
        <f t="shared" si="211"/>
        <v>4.9347876179388926E-2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735.36020061816646</v>
      </c>
      <c r="F1675" s="38">
        <f t="shared" si="205"/>
        <v>3.643763799253074E-2</v>
      </c>
      <c r="G1675" s="14">
        <f t="shared" si="206"/>
        <v>0</v>
      </c>
      <c r="H1675" s="24">
        <f t="shared" si="212"/>
        <v>4631.9679082550156</v>
      </c>
      <c r="I1675" s="12">
        <f t="shared" si="211"/>
        <v>4.9846654390018411E-2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735.41004727255643</v>
      </c>
      <c r="F1676" s="38">
        <f t="shared" si="205"/>
        <v>3.6804693428411195E-2</v>
      </c>
      <c r="G1676" s="14">
        <f t="shared" si="206"/>
        <v>0</v>
      </c>
      <c r="H1676" s="24">
        <f t="shared" si="212"/>
        <v>4585.7730118661657</v>
      </c>
      <c r="I1676" s="12">
        <f t="shared" si="211"/>
        <v>5.0349002310828464E-2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735.46039627486721</v>
      </c>
      <c r="F1677" s="38">
        <f t="shared" si="205"/>
        <v>3.7174448259519009E-2</v>
      </c>
      <c r="G1677" s="14">
        <f t="shared" si="206"/>
        <v>0</v>
      </c>
      <c r="H1677" s="24">
        <f t="shared" si="212"/>
        <v>4540.1607215730019</v>
      </c>
      <c r="I1677" s="12">
        <f t="shared" si="211"/>
        <v>5.0854916361303591E-2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735.51125119122855</v>
      </c>
      <c r="F1678" s="38">
        <f t="shared" si="205"/>
        <v>3.7546902633808575E-2</v>
      </c>
      <c r="G1678" s="14">
        <f t="shared" si="206"/>
        <v>0</v>
      </c>
      <c r="H1678" s="24">
        <f t="shared" si="212"/>
        <v>4495.1236452202666</v>
      </c>
      <c r="I1678" s="12">
        <f t="shared" si="211"/>
        <v>5.1364392359941662E-2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735.56261558358847</v>
      </c>
      <c r="F1679" s="38">
        <f t="shared" si="205"/>
        <v>3.7922056305930665E-2</v>
      </c>
      <c r="G1679" s="14">
        <f t="shared" si="206"/>
        <v>0</v>
      </c>
      <c r="H1679" s="24">
        <f t="shared" si="212"/>
        <v>4450.654481192274</v>
      </c>
      <c r="I1679" s="12">
        <f t="shared" si="211"/>
        <v>5.1877425518719225E-2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735.61449300910715</v>
      </c>
      <c r="F1680" s="38">
        <f t="shared" si="205"/>
        <v>3.829990863316992E-2</v>
      </c>
      <c r="G1680" s="14">
        <f t="shared" si="206"/>
        <v>0</v>
      </c>
      <c r="H1680" s="24">
        <f t="shared" si="212"/>
        <v>4406.7460173480595</v>
      </c>
      <c r="I1680" s="12">
        <f t="shared" si="211"/>
        <v>5.2394010437790448E-2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735.6668870195449</v>
      </c>
      <c r="F1681" s="38">
        <f t="shared" si="205"/>
        <v>3.868045857149556E-2</v>
      </c>
      <c r="G1681" s="14">
        <f t="shared" si="206"/>
        <v>0</v>
      </c>
      <c r="H1681" s="24">
        <f t="shared" si="212"/>
        <v>4363.3911299694901</v>
      </c>
      <c r="I1681" s="12">
        <f t="shared" si="211"/>
        <v>5.291414110034335E-2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735.71980116064526</v>
      </c>
      <c r="F1682" s="38">
        <f t="shared" si="205"/>
        <v>3.90637046717374E-2</v>
      </c>
      <c r="G1682" s="14">
        <f t="shared" si="206"/>
        <v>0</v>
      </c>
      <c r="H1682" s="24">
        <f t="shared" si="212"/>
        <v>4320.5827827212452</v>
      </c>
      <c r="I1682" s="12">
        <f t="shared" si="211"/>
        <v>5.3437810867689707E-2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735.77323897151291</v>
      </c>
      <c r="F1683" s="38">
        <f t="shared" si="205"/>
        <v>3.944964507588581E-2</v>
      </c>
      <c r="G1683" s="14">
        <f t="shared" si="206"/>
        <v>0</v>
      </c>
      <c r="H1683" s="24">
        <f t="shared" si="212"/>
        <v>4278.3140256231145</v>
      </c>
      <c r="I1683" s="12">
        <f t="shared" si="211"/>
        <v>5.3965012474560807E-2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735.82720398398749</v>
      </c>
      <c r="F1684" s="38">
        <f t="shared" ref="F1684:F1747" si="213">Cp*RhoP/(RhoA*H1684)*dp/1000*MassivP</f>
        <v>3.9838277513527025E-2</v>
      </c>
      <c r="G1684" s="14">
        <f t="shared" ref="G1684:G1747" si="214">Phi*EpsilonF*Botzman/10^8*J1684*((D1684+273)^4-(E1684+273)^4)</f>
        <v>0</v>
      </c>
      <c r="H1684" s="24">
        <f t="shared" si="212"/>
        <v>4236.577994033697</v>
      </c>
      <c r="I1684" s="12">
        <f t="shared" si="211"/>
        <v>5.449573802461901E-2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735.88169972201206</v>
      </c>
      <c r="F1685" s="38">
        <f t="shared" si="213"/>
        <v>4.022959929840661E-2</v>
      </c>
      <c r="G1685" s="14">
        <f t="shared" si="214"/>
        <v>0</v>
      </c>
      <c r="H1685" s="24">
        <f t="shared" si="212"/>
        <v>4195.3679076465705</v>
      </c>
      <c r="I1685" s="12">
        <f t="shared" ref="I1685:I1748" si="219">LambdaP*MassivP/(dp/1000)/(H1685*RhoA)/(1+F1685/3)*(D1685-E1685)*DeltaT-(EXP(F1685/10)-1)*(D1685-D1684)</f>
        <v>5.5029978986187694E-2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735.93672970099828</v>
      </c>
      <c r="F1686" s="38">
        <f t="shared" si="213"/>
        <v>4.0623607325138193E-2</v>
      </c>
      <c r="G1686" s="14">
        <f t="shared" si="214"/>
        <v>0</v>
      </c>
      <c r="H1686" s="24">
        <f t="shared" si="212"/>
        <v>4154.6770694973466</v>
      </c>
      <c r="I1686" s="12">
        <f t="shared" si="219"/>
        <v>5.55677261882341E-2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735.99229742718649</v>
      </c>
      <c r="F1687" s="38">
        <f t="shared" si="213"/>
        <v>4.1020298066046755E-2</v>
      </c>
      <c r="G1687" s="14">
        <f t="shared" si="214"/>
        <v>0</v>
      </c>
      <c r="H1687" s="24">
        <f t="shared" si="212"/>
        <v>4114.4988649830575</v>
      </c>
      <c r="I1687" s="12">
        <f t="shared" si="219"/>
        <v>5.6108969816554458E-2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736.04840639700308</v>
      </c>
      <c r="F1688" s="38">
        <f t="shared" si="213"/>
        <v>4.1419667568166334E-2</v>
      </c>
      <c r="G1688" s="14">
        <f t="shared" si="214"/>
        <v>0</v>
      </c>
      <c r="H1688" s="24">
        <f t="shared" si="212"/>
        <v>4074.8267608920346</v>
      </c>
      <c r="I1688" s="12">
        <f t="shared" si="219"/>
        <v>5.6653699410225043E-2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736.10506009641335</v>
      </c>
      <c r="F1689" s="38">
        <f t="shared" si="213"/>
        <v>4.1821711450379474E-2</v>
      </c>
      <c r="G1689" s="14">
        <f t="shared" si="214"/>
        <v>0</v>
      </c>
      <c r="H1689" s="24">
        <f t="shared" si="212"/>
        <v>4035.6543044458463</v>
      </c>
      <c r="I1689" s="12">
        <f t="shared" si="219"/>
        <v>5.7201903858291825E-2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736.16226200027165</v>
      </c>
      <c r="F1690" s="38">
        <f t="shared" si="213"/>
        <v>4.222642490071498E-2</v>
      </c>
      <c r="G1690" s="14">
        <f t="shared" si="214"/>
        <v>0</v>
      </c>
      <c r="H1690" s="24">
        <f t="shared" si="212"/>
        <v>3996.975122351841</v>
      </c>
      <c r="I1690" s="12">
        <f t="shared" si="219"/>
        <v>5.7753571396706942E-2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736.22001557166834</v>
      </c>
      <c r="F1691" s="38">
        <f t="shared" si="213"/>
        <v>4.2633802673801527E-2</v>
      </c>
      <c r="G1691" s="14">
        <f t="shared" si="214"/>
        <v>0</v>
      </c>
      <c r="H1691" s="24">
        <f t="shared" si="212"/>
        <v>3958.7829198667782</v>
      </c>
      <c r="I1691" s="12">
        <f t="shared" si="219"/>
        <v>5.8308689605526459E-2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736.27832426127384</v>
      </c>
      <c r="F1692" s="38">
        <f t="shared" si="213"/>
        <v>4.3043839088480612E-2</v>
      </c>
      <c r="G1692" s="14">
        <f t="shared" si="214"/>
        <v>0</v>
      </c>
      <c r="H1692" s="24">
        <f t="shared" si="212"/>
        <v>3921.071479871423</v>
      </c>
      <c r="I1692" s="12">
        <f t="shared" si="219"/>
        <v>5.8867245406370033E-2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736.33719150668026</v>
      </c>
      <c r="F1693" s="38">
        <f t="shared" si="213"/>
        <v>4.3456528025584105E-2</v>
      </c>
      <c r="G1693" s="14">
        <f t="shared" si="214"/>
        <v>0</v>
      </c>
      <c r="H1693" s="24">
        <f t="shared" si="212"/>
        <v>3883.8346619557742</v>
      </c>
      <c r="I1693" s="12">
        <f t="shared" si="219"/>
        <v>5.9429225060139278E-2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736.39662073174043</v>
      </c>
      <c r="F1694" s="38">
        <f t="shared" si="213"/>
        <v>4.3871862925876449E-2</v>
      </c>
      <c r="G1694" s="14">
        <f t="shared" si="214"/>
        <v>0</v>
      </c>
      <c r="H1694" s="24">
        <f t="shared" si="212"/>
        <v>3847.0664015151192</v>
      </c>
      <c r="I1694" s="12">
        <f t="shared" si="219"/>
        <v>5.9994614165015302E-2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736.45661534590545</v>
      </c>
      <c r="F1695" s="38">
        <f t="shared" si="213"/>
        <v>4.4289836788170604E-2</v>
      </c>
      <c r="G1695" s="14">
        <f t="shared" si="214"/>
        <v>0</v>
      </c>
      <c r="H1695" s="24">
        <f t="shared" si="212"/>
        <v>3810.7607088562377</v>
      </c>
      <c r="I1695" s="12">
        <f t="shared" si="219"/>
        <v>6.0563397654727166E-2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736.51717874356018</v>
      </c>
      <c r="F1696" s="38">
        <f t="shared" si="213"/>
        <v>4.4710442167614953E-2</v>
      </c>
      <c r="G1696" s="14">
        <f t="shared" si="214"/>
        <v>0</v>
      </c>
      <c r="H1696" s="24">
        <f t="shared" si="212"/>
        <v>3774.9116683141815</v>
      </c>
      <c r="I1696" s="12">
        <f t="shared" si="219"/>
        <v>6.113555979709543E-2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736.57831430335727</v>
      </c>
      <c r="F1697" s="38">
        <f t="shared" si="213"/>
        <v>4.5133671174156162E-2</v>
      </c>
      <c r="G1697" s="14">
        <f t="shared" si="214"/>
        <v>0</v>
      </c>
      <c r="H1697" s="24">
        <f t="shared" si="212"/>
        <v>3739.5134373793071</v>
      </c>
      <c r="I1697" s="12">
        <f t="shared" si="219"/>
        <v>6.1711084192868727E-2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736.64002538755017</v>
      </c>
      <c r="F1698" s="38">
        <f t="shared" si="213"/>
        <v>4.5559515471182012E-2</v>
      </c>
      <c r="G1698" s="14">
        <f t="shared" si="214"/>
        <v>0</v>
      </c>
      <c r="H1698" s="24">
        <f t="shared" si="212"/>
        <v>3704.5602458343533</v>
      </c>
      <c r="I1698" s="12">
        <f t="shared" si="219"/>
        <v>6.2289953774830382E-2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736.70231534132495</v>
      </c>
      <c r="F1699" s="38">
        <f t="shared" si="213"/>
        <v>4.5987966274344101E-2</v>
      </c>
      <c r="G1699" s="14">
        <f t="shared" si="214"/>
        <v>0</v>
      </c>
      <c r="H1699" s="24">
        <f t="shared" si="212"/>
        <v>3670.0463949016676</v>
      </c>
      <c r="I1699" s="12">
        <f t="shared" si="219"/>
        <v>6.2872150807219918E-2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736.76518749213221</v>
      </c>
      <c r="F1700" s="38">
        <f t="shared" si="213"/>
        <v>4.6419014350568985E-2</v>
      </c>
      <c r="G1700" s="14">
        <f t="shared" si="214"/>
        <v>0</v>
      </c>
      <c r="H1700" s="24">
        <f t="shared" si="212"/>
        <v>3635.9662563999977</v>
      </c>
      <c r="I1700" s="12">
        <f t="shared" si="219"/>
        <v>6.3457656885419489E-2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736.82864514901769</v>
      </c>
      <c r="F1701" s="38">
        <f t="shared" si="213"/>
        <v>4.6852650017249413E-2</v>
      </c>
      <c r="G1701" s="14">
        <f t="shared" si="214"/>
        <v>0</v>
      </c>
      <c r="H1701" s="24">
        <f t="shared" si="212"/>
        <v>3602.314271911584</v>
      </c>
      <c r="I1701" s="12">
        <f t="shared" si="219"/>
        <v>6.404645293596388E-2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736.89269160195363</v>
      </c>
      <c r="F1702" s="38">
        <f t="shared" si="213"/>
        <v>4.7288863141630298E-2</v>
      </c>
      <c r="G1702" s="14">
        <f t="shared" si="214"/>
        <v>0</v>
      </c>
      <c r="H1702" s="24">
        <f t="shared" si="212"/>
        <v>3569.0849519584667</v>
      </c>
      <c r="I1702" s="12">
        <f t="shared" si="219"/>
        <v>6.4638519216821705E-2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736.95733012117046</v>
      </c>
      <c r="F1703" s="38">
        <f t="shared" si="213"/>
        <v>4.7727643140385287E-2</v>
      </c>
      <c r="G1703" s="14">
        <f t="shared" si="214"/>
        <v>0</v>
      </c>
      <c r="H1703" s="24">
        <f t="shared" si="212"/>
        <v>3536.2728751883978</v>
      </c>
      <c r="I1703" s="12">
        <f t="shared" si="219"/>
        <v>6.5233835318017727E-2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737.02256395648851</v>
      </c>
      <c r="F1704" s="38">
        <f t="shared" si="213"/>
        <v>4.8168978979383437E-2</v>
      </c>
      <c r="G1704" s="14">
        <f t="shared" si="214"/>
        <v>0</v>
      </c>
      <c r="H1704" s="24">
        <f t="shared" si="212"/>
        <v>3503.872687570436</v>
      </c>
      <c r="I1704" s="12">
        <f t="shared" si="219"/>
        <v>6.5832380162517926E-2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737.08839633665104</v>
      </c>
      <c r="F1705" s="38">
        <f t="shared" si="213"/>
        <v>4.8612859173653537E-2</v>
      </c>
      <c r="G1705" s="14">
        <f t="shared" si="214"/>
        <v>0</v>
      </c>
      <c r="H1705" s="24">
        <f t="shared" si="212"/>
        <v>3471.8791015996812</v>
      </c>
      <c r="I1705" s="12">
        <f t="shared" si="219"/>
        <v>6.6434132007447147E-2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737.15483046865847</v>
      </c>
      <c r="F1706" s="38">
        <f t="shared" si="213"/>
        <v>4.9059271787545641E-2</v>
      </c>
      <c r="G1706" s="14">
        <f t="shared" si="214"/>
        <v>0</v>
      </c>
      <c r="H1706" s="24">
        <f t="shared" si="212"/>
        <v>3440.2868955112099</v>
      </c>
      <c r="I1706" s="12">
        <f t="shared" si="219"/>
        <v>6.7039068445617953E-2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737.22186953710411</v>
      </c>
      <c r="F1707" s="38">
        <f t="shared" si="213"/>
        <v>4.9508204435090922E-2</v>
      </c>
      <c r="G1707" s="14">
        <f t="shared" si="214"/>
        <v>0</v>
      </c>
      <c r="H1707" s="24">
        <f t="shared" si="212"/>
        <v>3409.090912503139</v>
      </c>
      <c r="I1707" s="12">
        <f t="shared" si="219"/>
        <v>6.7647166407346679E-2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737.28951670351148</v>
      </c>
      <c r="F1708" s="38">
        <f t="shared" si="213"/>
        <v>4.9959644280560073E-2</v>
      </c>
      <c r="G1708" s="14">
        <f t="shared" si="214"/>
        <v>0</v>
      </c>
      <c r="H1708" s="24">
        <f t="shared" si="212"/>
        <v>3378.2860599688001</v>
      </c>
      <c r="I1708" s="12">
        <f t="shared" si="219"/>
        <v>6.8258402162614001E-2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737.35777510567414</v>
      </c>
      <c r="F1709" s="38">
        <f t="shared" si="213"/>
        <v>5.0413578039225339E-2</v>
      </c>
      <c r="G1709" s="14">
        <f t="shared" si="214"/>
        <v>0</v>
      </c>
      <c r="H1709" s="24">
        <f t="shared" si="212"/>
        <v>3347.8673087376351</v>
      </c>
      <c r="I1709" s="12">
        <f t="shared" si="219"/>
        <v>6.8872751323509188E-2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737.42664785699765</v>
      </c>
      <c r="F1710" s="38">
        <f t="shared" si="213"/>
        <v>5.0869991978323217E-2</v>
      </c>
      <c r="G1710" s="14">
        <f t="shared" si="214"/>
        <v>0</v>
      </c>
      <c r="H1710" s="24">
        <f t="shared" si="212"/>
        <v>3317.8296923250145</v>
      </c>
      <c r="I1710" s="12">
        <f t="shared" si="219"/>
        <v>6.9490188847008499E-2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737.49613804584465</v>
      </c>
      <c r="F1711" s="38">
        <f t="shared" si="213"/>
        <v>5.1328871918222468E-2</v>
      </c>
      <c r="G1711" s="14">
        <f t="shared" si="214"/>
        <v>0</v>
      </c>
      <c r="H1711" s="24">
        <f t="shared" si="212"/>
        <v>3288.1683061906047</v>
      </c>
      <c r="I1711" s="12">
        <f t="shared" si="219"/>
        <v>7.0110689038058657E-2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737.56624873488272</v>
      </c>
      <c r="F1712" s="38">
        <f t="shared" si="213"/>
        <v>5.1790203233794872E-2</v>
      </c>
      <c r="G1712" s="14">
        <f t="shared" si="214"/>
        <v>0</v>
      </c>
      <c r="H1712" s="24">
        <f t="shared" si="212"/>
        <v>3258.8783070054205</v>
      </c>
      <c r="I1712" s="12">
        <f t="shared" si="219"/>
        <v>7.0734225552982657E-2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737.63698296043572</v>
      </c>
      <c r="F1713" s="38">
        <f t="shared" si="213"/>
        <v>5.2253970855990796E-2</v>
      </c>
      <c r="G1713" s="14">
        <f t="shared" si="214"/>
        <v>0</v>
      </c>
      <c r="H1713" s="24">
        <f t="shared" si="212"/>
        <v>3229.9549119273497</v>
      </c>
      <c r="I1713" s="12">
        <f t="shared" si="219"/>
        <v>7.1360771403193385E-2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737.70834373183891</v>
      </c>
      <c r="F1714" s="38">
        <f t="shared" si="213"/>
        <v>5.2720159273621295E-2</v>
      </c>
      <c r="G1714" s="14">
        <f t="shared" si="214"/>
        <v>0</v>
      </c>
      <c r="H1714" s="24">
        <f t="shared" si="212"/>
        <v>3201.393397884985</v>
      </c>
      <c r="I1714" s="12">
        <f t="shared" si="219"/>
        <v>7.1990298959225846E-2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737.78033403079814</v>
      </c>
      <c r="F1715" s="38">
        <f t="shared" si="213"/>
        <v>5.3188752535345191E-2</v>
      </c>
      <c r="G1715" s="14">
        <f t="shared" si="214"/>
        <v>0</v>
      </c>
      <c r="H1715" s="24">
        <f t="shared" si="212"/>
        <v>3173.1891008697585</v>
      </c>
      <c r="I1715" s="12">
        <f t="shared" si="219"/>
        <v>7.2622779955090991E-2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737.8529568107532</v>
      </c>
      <c r="F1716" s="38">
        <f t="shared" si="213"/>
        <v>5.3659734251861192E-2</v>
      </c>
      <c r="G1716" s="14">
        <f t="shared" si="214"/>
        <v>0</v>
      </c>
      <c r="H1716" s="24">
        <f t="shared" si="212"/>
        <v>3145.3374152363044</v>
      </c>
      <c r="I1716" s="12">
        <f t="shared" si="219"/>
        <v>7.3258185492932892E-2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737.92621499624613</v>
      </c>
      <c r="F1717" s="38">
        <f t="shared" si="213"/>
        <v>5.4133087598307754E-2</v>
      </c>
      <c r="G1717" s="14">
        <f t="shared" si="214"/>
        <v>0</v>
      </c>
      <c r="H1717" s="24">
        <f t="shared" si="212"/>
        <v>3117.8337930107687</v>
      </c>
      <c r="I1717" s="12">
        <f t="shared" si="219"/>
        <v>7.3896486047998769E-2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738.00011148229407</v>
      </c>
      <c r="F1718" s="38">
        <f t="shared" si="213"/>
        <v>5.4608795316864772E-2</v>
      </c>
      <c r="G1718" s="14">
        <f t="shared" si="214"/>
        <v>0</v>
      </c>
      <c r="H1718" s="24">
        <f t="shared" si="212"/>
        <v>3090.6737432073064</v>
      </c>
      <c r="I1718" s="12">
        <f t="shared" si="219"/>
        <v>7.4537651473940786E-2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738.07464913376805</v>
      </c>
      <c r="F1719" s="38">
        <f t="shared" si="213"/>
        <v>5.5086839719565073E-2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3063.852831152185</v>
      </c>
      <c r="I1719" s="12">
        <f t="shared" si="219"/>
        <v>7.5181651008394954E-2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738.14983078477644</v>
      </c>
      <c r="F1720" s="38">
        <f t="shared" si="213"/>
        <v>5.5567202691304114E-2</v>
      </c>
      <c r="G1720" s="14">
        <f t="shared" si="214"/>
        <v>0</v>
      </c>
      <c r="H1720" s="24">
        <f t="shared" si="220"/>
        <v>3037.366677816025</v>
      </c>
      <c r="I1720" s="12">
        <f t="shared" si="219"/>
        <v>7.5828453278900407E-2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738.2256592380553</v>
      </c>
      <c r="F1721" s="38">
        <f t="shared" si="213"/>
        <v>5.604986569305917E-2</v>
      </c>
      <c r="G1721" s="14">
        <f t="shared" si="214"/>
        <v>0</v>
      </c>
      <c r="H1721" s="24">
        <f t="shared" si="220"/>
        <v>3011.2109591534017</v>
      </c>
      <c r="I1721" s="12">
        <f t="shared" si="219"/>
        <v>7.6478026309105759E-2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738.30213726436443</v>
      </c>
      <c r="F1722" s="38">
        <f t="shared" si="213"/>
        <v>5.6534809765308273E-2</v>
      </c>
      <c r="G1722" s="14">
        <f t="shared" si="214"/>
        <v>0</v>
      </c>
      <c r="H1722" s="24">
        <f t="shared" si="220"/>
        <v>2985.3814054502063</v>
      </c>
      <c r="I1722" s="12">
        <f t="shared" si="219"/>
        <v>7.713033752527905E-2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738.37926760188975</v>
      </c>
      <c r="F1723" s="38">
        <f t="shared" si="213"/>
        <v>5.7022015531648901E-2</v>
      </c>
      <c r="G1723" s="14">
        <f t="shared" si="214"/>
        <v>0</v>
      </c>
      <c r="H1723" s="24">
        <f t="shared" si="220"/>
        <v>2959.8738006786052</v>
      </c>
      <c r="I1723" s="12">
        <f t="shared" si="219"/>
        <v>7.7785353763137999E-2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738.4570529556529</v>
      </c>
      <c r="F1724" s="38">
        <f t="shared" si="213"/>
        <v>5.7511463202619573E-2</v>
      </c>
      <c r="G1724" s="14">
        <f t="shared" si="214"/>
        <v>0</v>
      </c>
      <c r="H1724" s="24">
        <f t="shared" si="220"/>
        <v>2934.6839818592625</v>
      </c>
      <c r="I1724" s="12">
        <f t="shared" si="219"/>
        <v>7.8443041274944489E-2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738.53549599692781</v>
      </c>
      <c r="F1725" s="38">
        <f t="shared" si="213"/>
        <v>5.8003132579718834E-2</v>
      </c>
      <c r="G1725" s="14">
        <f t="shared" si="214"/>
        <v>0</v>
      </c>
      <c r="H1725" s="24">
        <f t="shared" si="220"/>
        <v>2909.8078384309601</v>
      </c>
      <c r="I1725" s="12">
        <f t="shared" si="219"/>
        <v>7.9103365736935924E-2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738.61459936266476</v>
      </c>
      <c r="F1726" s="38">
        <f t="shared" si="213"/>
        <v>5.8497003059621404E-2</v>
      </c>
      <c r="G1726" s="14">
        <f t="shared" si="214"/>
        <v>0</v>
      </c>
      <c r="H1726" s="24">
        <f t="shared" si="220"/>
        <v>2885.2413116274333</v>
      </c>
      <c r="I1726" s="12">
        <f t="shared" si="219"/>
        <v>7.9766292257005739E-2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738.69436565492174</v>
      </c>
      <c r="F1727" s="38">
        <f t="shared" si="213"/>
        <v>5.8993053638586729E-2</v>
      </c>
      <c r="G1727" s="14">
        <f t="shared" si="214"/>
        <v>0</v>
      </c>
      <c r="H1727" s="24">
        <f t="shared" si="220"/>
        <v>2860.9803938614937</v>
      </c>
      <c r="I1727" s="12">
        <f t="shared" si="219"/>
        <v>8.0431785382696783E-2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738.77479744030438</v>
      </c>
      <c r="F1728" s="38">
        <f t="shared" si="213"/>
        <v>5.9491262917064143E-2</v>
      </c>
      <c r="G1728" s="14">
        <f t="shared" si="214"/>
        <v>0</v>
      </c>
      <c r="H1728" s="24">
        <f t="shared" si="220"/>
        <v>2837.0211281160205</v>
      </c>
      <c r="I1728" s="12">
        <f t="shared" si="219"/>
        <v>8.1099809109484611E-2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738.85589724941383</v>
      </c>
      <c r="F1729" s="38">
        <f t="shared" si="213"/>
        <v>5.999160910448615E-2</v>
      </c>
      <c r="G1729" s="14">
        <f t="shared" si="214"/>
        <v>0</v>
      </c>
      <c r="H1729" s="24">
        <f t="shared" si="220"/>
        <v>2813.3596073420699</v>
      </c>
      <c r="I1729" s="12">
        <f t="shared" si="219"/>
        <v>8.1770326889298153E-2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738.93766757630317</v>
      </c>
      <c r="F1730" s="38">
        <f t="shared" si="213"/>
        <v>6.0494070024250134E-2</v>
      </c>
      <c r="G1730" s="14">
        <f t="shared" si="214"/>
        <v>0</v>
      </c>
      <c r="H1730" s="24">
        <f t="shared" si="220"/>
        <v>2789.9919738638582</v>
      </c>
      <c r="I1730" s="12">
        <f t="shared" si="219"/>
        <v>8.2443301639376881E-2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739.02011087794256</v>
      </c>
      <c r="F1731" s="38">
        <f t="shared" si="213"/>
        <v>6.0998623118884578E-2</v>
      </c>
      <c r="G1731" s="14">
        <f t="shared" si="214"/>
        <v>0</v>
      </c>
      <c r="H1731" s="24">
        <f t="shared" si="220"/>
        <v>2766.9144187906118</v>
      </c>
      <c r="I1731" s="12">
        <f t="shared" si="219"/>
        <v>8.3118695751332086E-2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739.10322957369385</v>
      </c>
      <c r="F1732" s="38">
        <f t="shared" si="213"/>
        <v>6.1505245455400634E-2</v>
      </c>
      <c r="G1732" s="14">
        <f t="shared" si="214"/>
        <v>0</v>
      </c>
      <c r="H1732" s="24">
        <f t="shared" si="220"/>
        <v>2744.1231814350244</v>
      </c>
      <c r="I1732" s="12">
        <f t="shared" si="219"/>
        <v>8.3796471100518327E-2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739.18702604479438</v>
      </c>
      <c r="F1733" s="38">
        <f t="shared" si="213"/>
        <v>6.201391373082208E-2</v>
      </c>
      <c r="G1733" s="14">
        <f t="shared" si="214"/>
        <v>0</v>
      </c>
      <c r="H1733" s="24">
        <f t="shared" si="220"/>
        <v>2721.6145487384433</v>
      </c>
      <c r="I1733" s="12">
        <f t="shared" si="219"/>
        <v>8.4476589055656318E-2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739.27150263384999</v>
      </c>
      <c r="F1734" s="38">
        <f t="shared" si="213"/>
        <v>6.252460427788982E-2</v>
      </c>
      <c r="G1734" s="14">
        <f t="shared" si="214"/>
        <v>0</v>
      </c>
      <c r="H1734" s="24">
        <f t="shared" si="220"/>
        <v>2699.3848547027105</v>
      </c>
      <c r="I1734" s="12">
        <f t="shared" si="219"/>
        <v>8.5159010488671708E-2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739.35666164433871</v>
      </c>
      <c r="F1735" s="38">
        <f t="shared" si="213"/>
        <v>6.303729307094437E-2</v>
      </c>
      <c r="G1735" s="14">
        <f t="shared" si="214"/>
        <v>0</v>
      </c>
      <c r="H1735" s="24">
        <f t="shared" si="220"/>
        <v>2677.4304798283051</v>
      </c>
      <c r="I1735" s="12">
        <f t="shared" si="219"/>
        <v>8.5843695784847157E-2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739.4425053401236</v>
      </c>
      <c r="F1736" s="38">
        <f t="shared" si="213"/>
        <v>6.3551955731972559E-2</v>
      </c>
      <c r="G1736" s="14">
        <f t="shared" si="214"/>
        <v>0</v>
      </c>
      <c r="H1736" s="24">
        <f t="shared" si="220"/>
        <v>2655.7478505591453</v>
      </c>
      <c r="I1736" s="12">
        <f t="shared" si="219"/>
        <v>8.6530604853140264E-2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739.52903594497673</v>
      </c>
      <c r="F1737" s="38">
        <f t="shared" si="213"/>
        <v>6.406856753682548E-2</v>
      </c>
      <c r="G1737" s="14">
        <f t="shared" si="214"/>
        <v>0</v>
      </c>
      <c r="H1737" s="24">
        <f t="shared" si="220"/>
        <v>2634.3334387335176</v>
      </c>
      <c r="I1737" s="12">
        <f t="shared" si="219"/>
        <v>8.7219697136800209E-2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739.61625564211352</v>
      </c>
      <c r="F1738" s="38">
        <f t="shared" si="213"/>
        <v>6.4587103421597458E-2</v>
      </c>
      <c r="G1738" s="14">
        <f t="shared" si="214"/>
        <v>0</v>
      </c>
      <c r="H1738" s="24">
        <f t="shared" si="220"/>
        <v>2613.1837610413404</v>
      </c>
      <c r="I1738" s="12">
        <f t="shared" si="219"/>
        <v>8.7910931624169922E-2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739.70416657373767</v>
      </c>
      <c r="F1739" s="38">
        <f t="shared" si="213"/>
        <v>6.5107537989162342E-2</v>
      </c>
      <c r="G1739" s="14">
        <f t="shared" si="214"/>
        <v>0</v>
      </c>
      <c r="H1739" s="24">
        <f t="shared" si="220"/>
        <v>2592.2953784876722</v>
      </c>
      <c r="I1739" s="12">
        <f t="shared" si="219"/>
        <v>8.8604266859731287E-2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739.79277084059743</v>
      </c>
      <c r="F1740" s="38">
        <f t="shared" si="213"/>
        <v>6.5629845515866425E-2</v>
      </c>
      <c r="G1740" s="14">
        <f t="shared" si="214"/>
        <v>0</v>
      </c>
      <c r="H1740" s="24">
        <f t="shared" si="220"/>
        <v>2571.6648958622486</v>
      </c>
      <c r="I1740" s="12">
        <f t="shared" si="219"/>
        <v>8.9299660955352467E-2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739.88207050155279</v>
      </c>
      <c r="F1741" s="38">
        <f t="shared" si="213"/>
        <v>6.6153999958369888E-2</v>
      </c>
      <c r="G1741" s="14">
        <f t="shared" si="214"/>
        <v>0</v>
      </c>
      <c r="H1741" s="24">
        <f t="shared" si="220"/>
        <v>2551.2889612151421</v>
      </c>
      <c r="I1741" s="12">
        <f t="shared" si="219"/>
        <v>8.9997071601753936E-2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739.9720675731545</v>
      </c>
      <c r="F1742" s="38">
        <f t="shared" si="213"/>
        <v>6.6679974960636629E-2</v>
      </c>
      <c r="G1742" s="14">
        <f t="shared" si="214"/>
        <v>0</v>
      </c>
      <c r="H1742" s="24">
        <f t="shared" si="220"/>
        <v>2531.1642653383001</v>
      </c>
      <c r="I1742" s="12">
        <f t="shared" si="219"/>
        <v>9.0696456080152074E-2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740.0627640292347</v>
      </c>
      <c r="F1743" s="38">
        <f t="shared" si="213"/>
        <v>6.7207743861065386E-2</v>
      </c>
      <c r="G1743" s="14">
        <f t="shared" si="214"/>
        <v>0</v>
      </c>
      <c r="H1743" s="24">
        <f t="shared" si="220"/>
        <v>2511.2875412529966</v>
      </c>
      <c r="I1743" s="12">
        <f t="shared" si="219"/>
        <v>9.1397771274133413E-2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740.15416180050886</v>
      </c>
      <c r="F1744" s="38">
        <f t="shared" si="213"/>
        <v>6.7737279699755307E-2</v>
      </c>
      <c r="G1744" s="14">
        <f t="shared" si="214"/>
        <v>0</v>
      </c>
      <c r="H1744" s="24">
        <f t="shared" si="220"/>
        <v>2491.6555637032138</v>
      </c>
      <c r="I1744" s="12">
        <f t="shared" si="219"/>
        <v>9.2100973681660633E-2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740.24626277419054</v>
      </c>
      <c r="F1745" s="38">
        <f t="shared" si="213"/>
        <v>6.8268555225908245E-2</v>
      </c>
      <c r="G1745" s="14">
        <f t="shared" si="214"/>
        <v>0</v>
      </c>
      <c r="H1745" s="24">
        <f t="shared" si="220"/>
        <v>2472.2651486546188</v>
      </c>
      <c r="I1745" s="12">
        <f t="shared" si="219"/>
        <v>9.2806019427300379E-2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740.3390687936178</v>
      </c>
      <c r="F1746" s="38">
        <f t="shared" si="213"/>
        <v>6.8801542905355603E-2</v>
      </c>
      <c r="G1746" s="14">
        <f t="shared" si="214"/>
        <v>0</v>
      </c>
      <c r="H1746" s="24">
        <f t="shared" si="220"/>
        <v>2453.1131527993416</v>
      </c>
      <c r="I1746" s="12">
        <f t="shared" si="219"/>
        <v>9.3512864274604715E-2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740.43258165789246</v>
      </c>
      <c r="F1747" s="38">
        <f t="shared" si="213"/>
        <v>6.9336214928211043E-2</v>
      </c>
      <c r="G1747" s="14">
        <f t="shared" si="214"/>
        <v>0</v>
      </c>
      <c r="H1747" s="24">
        <f t="shared" si="220"/>
        <v>2434.196473066268</v>
      </c>
      <c r="I1747" s="12">
        <f t="shared" si="219"/>
        <v>9.4221463638633374E-2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740.52680312153109</v>
      </c>
      <c r="F1748" s="38">
        <f t="shared" ref="F1748:F1811" si="221">Cp*RhoP/(RhoA*H1748)*dp/1000*MassivP</f>
        <v>6.9872543216635927E-2</v>
      </c>
      <c r="G1748" s="14">
        <f t="shared" ref="G1748:G1811" si="222">Phi*EpsilonF*Botzman/10^8*J1748*((D1748+273)^4-(E1748+273)^4)</f>
        <v>0</v>
      </c>
      <c r="H1748" s="24">
        <f t="shared" si="220"/>
        <v>2415.5120461370552</v>
      </c>
      <c r="I1748" s="12">
        <f t="shared" si="219"/>
        <v>9.4931772598656552E-2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740.62173489412976</v>
      </c>
      <c r="F1749" s="38">
        <f t="shared" si="221"/>
        <v>7.041049943272383E-2</v>
      </c>
      <c r="G1749" s="14">
        <f t="shared" si="222"/>
        <v>0</v>
      </c>
      <c r="H1749" s="24">
        <f t="shared" si="220"/>
        <v>2397.0568479674098</v>
      </c>
      <c r="I1749" s="12">
        <f t="shared" ref="I1749:I1812" si="227">LambdaP*MassivP/(dp/1000)/(H1749*RhoA)/(1+F1749/3)*(D1749-E1749)*DeltaT-(EXP(F1749/10)-1)*(D1749-D1748)</f>
        <v>9.5643745910982514E-2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740.71737864004069</v>
      </c>
      <c r="F1750" s="38">
        <f t="shared" si="221"/>
        <v>7.0950054986487335E-2</v>
      </c>
      <c r="G1750" s="14">
        <f t="shared" si="222"/>
        <v>0</v>
      </c>
      <c r="H1750" s="24">
        <f t="shared" si="220"/>
        <v>2378.8278933139709</v>
      </c>
      <c r="I1750" s="12">
        <f t="shared" si="227"/>
        <v>9.6357338021927225E-2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740.8137359780626</v>
      </c>
      <c r="F1751" s="38">
        <f t="shared" si="221"/>
        <v>7.1491181043951066E-2</v>
      </c>
      <c r="G1751" s="14">
        <f t="shared" si="222"/>
        <v>0</v>
      </c>
      <c r="H1751" s="24">
        <f t="shared" si="220"/>
        <v>2360.8222352664088</v>
      </c>
      <c r="I1751" s="12">
        <f t="shared" si="227"/>
        <v>9.7072503080910172E-2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740.91080848114348</v>
      </c>
      <c r="F1752" s="38">
        <f t="shared" si="221"/>
        <v>7.2033848535338035E-2</v>
      </c>
      <c r="G1752" s="14">
        <f t="shared" si="222"/>
        <v>0</v>
      </c>
      <c r="H1752" s="24">
        <f t="shared" si="220"/>
        <v>2343.0369647849338</v>
      </c>
      <c r="I1752" s="12">
        <f t="shared" si="227"/>
        <v>9.7789194953659772E-2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741.00859767609711</v>
      </c>
      <c r="F1753" s="38">
        <f t="shared" si="221"/>
        <v>7.2578028163350142E-2</v>
      </c>
      <c r="G1753" s="14">
        <f t="shared" si="222"/>
        <v>0</v>
      </c>
      <c r="H1753" s="24">
        <f t="shared" si="220"/>
        <v>2325.4692102429453</v>
      </c>
      <c r="I1753" s="12">
        <f t="shared" si="227"/>
        <v>9.8507367235533536E-2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741.10710504333269</v>
      </c>
      <c r="F1754" s="38">
        <f t="shared" si="221"/>
        <v>7.312369041153384E-2</v>
      </c>
      <c r="G1754" s="14">
        <f t="shared" si="222"/>
        <v>0</v>
      </c>
      <c r="H1754" s="24">
        <f t="shared" si="220"/>
        <v>2308.1161369748734</v>
      </c>
      <c r="I1754" s="12">
        <f t="shared" si="227"/>
        <v>9.9226973264938373E-2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741.20633201659768</v>
      </c>
      <c r="F1755" s="38">
        <f t="shared" si="221"/>
        <v>7.3670805552724913E-2</v>
      </c>
      <c r="G1755" s="14">
        <f t="shared" si="222"/>
        <v>0</v>
      </c>
      <c r="H1755" s="24">
        <f t="shared" si="220"/>
        <v>2290.9749468291702</v>
      </c>
      <c r="I1755" s="12">
        <f t="shared" si="227"/>
        <v>9.9947966136842745E-2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741.30627998273451</v>
      </c>
      <c r="F1756" s="38">
        <f t="shared" si="221"/>
        <v>7.4219343657570047E-2</v>
      </c>
      <c r="G1756" s="14">
        <f t="shared" si="222"/>
        <v>0</v>
      </c>
      <c r="H1756" s="24">
        <f t="shared" si="220"/>
        <v>2274.0428777262769</v>
      </c>
      <c r="I1756" s="12">
        <f t="shared" si="227"/>
        <v>0.10067029871635512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741.40695028145092</v>
      </c>
      <c r="F1757" s="38">
        <f t="shared" si="221"/>
        <v>7.4769274603117955E-2</v>
      </c>
      <c r="G1757" s="14">
        <f t="shared" si="222"/>
        <v>0</v>
      </c>
      <c r="H1757" s="24">
        <f t="shared" si="220"/>
        <v>2257.3172032215734</v>
      </c>
      <c r="I1757" s="12">
        <f t="shared" si="227"/>
        <v>0.10139392365240622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741.5083442051033</v>
      </c>
      <c r="F1758" s="38">
        <f t="shared" si="221"/>
        <v>7.532056808147021E-2</v>
      </c>
      <c r="G1758" s="14">
        <f t="shared" si="222"/>
        <v>0</v>
      </c>
      <c r="H1758" s="24">
        <f t="shared" si="220"/>
        <v>2240.7952320733698</v>
      </c>
      <c r="I1758" s="12">
        <f t="shared" si="227"/>
        <v>0.10211879339145338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741.61046299849477</v>
      </c>
      <c r="F1759" s="38">
        <f t="shared" si="221"/>
        <v>7.5873193608495176E-2</v>
      </c>
      <c r="G1759" s="14">
        <f t="shared" si="222"/>
        <v>0</v>
      </c>
      <c r="H1759" s="24">
        <f t="shared" si="220"/>
        <v>2224.4743078155966</v>
      </c>
      <c r="I1759" s="12">
        <f t="shared" si="227"/>
        <v>0.10284486019127637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741.71330785868599</v>
      </c>
      <c r="F1760" s="38">
        <f t="shared" si="221"/>
        <v>7.6427120532588946E-2</v>
      </c>
      <c r="G1760" s="14">
        <f t="shared" si="222"/>
        <v>0</v>
      </c>
      <c r="H1760" s="24">
        <f t="shared" si="220"/>
        <v>2208.3518083354747</v>
      </c>
      <c r="I1760" s="12">
        <f t="shared" si="227"/>
        <v>0.10357207613479591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741.8168799348208</v>
      </c>
      <c r="F1761" s="38">
        <f t="shared" si="221"/>
        <v>7.6982318043487041E-2</v>
      </c>
      <c r="G1761" s="14">
        <f t="shared" si="222"/>
        <v>0</v>
      </c>
      <c r="H1761" s="24">
        <f t="shared" si="220"/>
        <v>2192.4251454557916</v>
      </c>
      <c r="I1761" s="12">
        <f t="shared" si="227"/>
        <v>0.10430039314393834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741.92118032796475</v>
      </c>
      <c r="F1762" s="38">
        <f t="shared" si="221"/>
        <v>7.7538755181112126E-2</v>
      </c>
      <c r="G1762" s="14">
        <f t="shared" si="222"/>
        <v>0</v>
      </c>
      <c r="H1762" s="24">
        <f t="shared" si="220"/>
        <v>2176.6917645220224</v>
      </c>
      <c r="I1762" s="12">
        <f t="shared" si="227"/>
        <v>0.10502976299352079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742.02621009095822</v>
      </c>
      <c r="F1763" s="38">
        <f t="shared" si="221"/>
        <v>7.8096400844459957E-2</v>
      </c>
      <c r="G1763" s="14">
        <f t="shared" si="222"/>
        <v>0</v>
      </c>
      <c r="H1763" s="24">
        <f t="shared" si="220"/>
        <v>2161.1491439939887</v>
      </c>
      <c r="I1763" s="12">
        <f t="shared" si="227"/>
        <v>0.10576013732515559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742.13197022828342</v>
      </c>
      <c r="F1764" s="38">
        <f t="shared" si="221"/>
        <v>7.8655223800513818E-2</v>
      </c>
      <c r="G1764" s="14">
        <f t="shared" si="222"/>
        <v>0</v>
      </c>
      <c r="H1764" s="24">
        <f t="shared" si="220"/>
        <v>2145.7947950421253</v>
      </c>
      <c r="I1764" s="12">
        <f t="shared" si="227"/>
        <v>0.10649146766117823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742.23846169594458</v>
      </c>
      <c r="F1765" s="38">
        <f t="shared" si="221"/>
        <v>7.9215192693178435E-2</v>
      </c>
      <c r="G1765" s="14">
        <f t="shared" si="222"/>
        <v>0</v>
      </c>
      <c r="H1765" s="24">
        <f t="shared" si="220"/>
        <v>2130.6262611483903</v>
      </c>
      <c r="I1765" s="12">
        <f t="shared" si="227"/>
        <v>0.10722370541853991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742.34568540136308</v>
      </c>
      <c r="F1766" s="38">
        <f t="shared" si="221"/>
        <v>7.9776276052236972E-2</v>
      </c>
      <c r="G1766" s="14">
        <f t="shared" si="222"/>
        <v>0</v>
      </c>
      <c r="H1766" s="24">
        <f t="shared" si="220"/>
        <v>2115.6411177115033</v>
      </c>
      <c r="I1766" s="12">
        <f t="shared" si="227"/>
        <v>0.10795680192273746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742.45364220328577</v>
      </c>
      <c r="F1767" s="38">
        <f t="shared" si="221"/>
        <v>8.0338442302315308E-2</v>
      </c>
      <c r="G1767" s="14">
        <f t="shared" si="222"/>
        <v>0</v>
      </c>
      <c r="H1767" s="24">
        <f t="shared" si="220"/>
        <v>2100.8369716567436</v>
      </c>
      <c r="I1767" s="12">
        <f t="shared" si="227"/>
        <v>0.1086907084216767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742.56233291170747</v>
      </c>
      <c r="F1768" s="38">
        <f t="shared" si="221"/>
        <v>8.0901659771854373E-2</v>
      </c>
      <c r="G1768" s="14">
        <f t="shared" si="222"/>
        <v>0</v>
      </c>
      <c r="H1768" s="24">
        <f t="shared" si="220"/>
        <v>2086.2114610500712</v>
      </c>
      <c r="I1768" s="12">
        <f t="shared" si="227"/>
        <v>0.10942537609956071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742.67175828780705</v>
      </c>
      <c r="F1769" s="38">
        <f t="shared" si="221"/>
        <v>8.1465896702080681E-2</v>
      </c>
      <c r="G1769" s="14">
        <f t="shared" si="222"/>
        <v>0</v>
      </c>
      <c r="H1769" s="24">
        <f t="shared" si="220"/>
        <v>2071.7622547166466</v>
      </c>
      <c r="I1769" s="12">
        <f t="shared" si="227"/>
        <v>0.11016075609068887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742.78191904389769</v>
      </c>
      <c r="F1770" s="38">
        <f t="shared" si="221"/>
        <v>8.2031121255973782E-2</v>
      </c>
      <c r="G1770" s="14">
        <f t="shared" si="222"/>
        <v>0</v>
      </c>
      <c r="H1770" s="24">
        <f t="shared" si="220"/>
        <v>2057.4870518635644</v>
      </c>
      <c r="I1770" s="12">
        <f t="shared" si="227"/>
        <v>0.11089679949325383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742.89281584339096</v>
      </c>
      <c r="F1771" s="38">
        <f t="shared" si="221"/>
        <v>8.2597301527222666E-2</v>
      </c>
      <c r="G1771" s="14">
        <f t="shared" si="222"/>
        <v>0</v>
      </c>
      <c r="H1771" s="24">
        <f t="shared" si="220"/>
        <v>2043.3835817068395</v>
      </c>
      <c r="I1771" s="12">
        <f t="shared" si="227"/>
        <v>0.11163345738306819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743.00444930077401</v>
      </c>
      <c r="F1772" s="38">
        <f t="shared" si="221"/>
        <v>8.316440554916224E-2</v>
      </c>
      <c r="G1772" s="14">
        <f t="shared" si="222"/>
        <v>0</v>
      </c>
      <c r="H1772" s="24">
        <f t="shared" si="220"/>
        <v>2029.4496031026611</v>
      </c>
      <c r="I1772" s="12">
        <f t="shared" si="227"/>
        <v>0.11237068082722923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743.11681998160122</v>
      </c>
      <c r="F1773" s="38">
        <f t="shared" si="221"/>
        <v>8.3732401303692347E-2</v>
      </c>
      <c r="G1773" s="14">
        <f t="shared" si="222"/>
        <v>0</v>
      </c>
      <c r="H1773" s="24">
        <f t="shared" si="220"/>
        <v>2015.6829041826786</v>
      </c>
      <c r="I1773" s="12">
        <f t="shared" si="227"/>
        <v>0.11310842089772219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743.2299284024989</v>
      </c>
      <c r="F1774" s="38">
        <f t="shared" si="221"/>
        <v>8.4301256730165836E-2</v>
      </c>
      <c r="G1774" s="14">
        <f t="shared" si="222"/>
        <v>0</v>
      </c>
      <c r="H1774" s="24">
        <f t="shared" si="220"/>
        <v>2002.0813019934687</v>
      </c>
      <c r="I1774" s="12">
        <f t="shared" si="227"/>
        <v>0.11384662868494017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743.3437750311839</v>
      </c>
      <c r="F1775" s="38">
        <f t="shared" si="221"/>
        <v>8.4870939734246476E-2</v>
      </c>
      <c r="G1775" s="14">
        <f t="shared" si="222"/>
        <v>0</v>
      </c>
      <c r="H1775" s="24">
        <f t="shared" si="220"/>
        <v>1988.6426421399935</v>
      </c>
      <c r="I1775" s="12">
        <f t="shared" si="227"/>
        <v>0.11458525531110636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743.45836028649501</v>
      </c>
      <c r="F1776" s="38">
        <f t="shared" si="221"/>
        <v>8.5441418196724933E-2</v>
      </c>
      <c r="G1776" s="14">
        <f t="shared" si="222"/>
        <v>0</v>
      </c>
      <c r="H1776" s="24">
        <f t="shared" si="220"/>
        <v>1975.3647984331506</v>
      </c>
      <c r="I1776" s="12">
        <f t="shared" si="227"/>
        <v>0.11532425194364404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743.57368453843867</v>
      </c>
      <c r="F1777" s="38">
        <f t="shared" si="221"/>
        <v>8.6012659982296444E-2</v>
      </c>
      <c r="G1777" s="14">
        <f t="shared" si="222"/>
        <v>0</v>
      </c>
      <c r="H1777" s="24">
        <f t="shared" si="220"/>
        <v>1962.2456725411682</v>
      </c>
      <c r="I1777" s="12">
        <f t="shared" si="227"/>
        <v>0.11606356980839827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743.68974810824704</v>
      </c>
      <c r="F1778" s="38">
        <f t="shared" si="221"/>
        <v>8.6584632948285695E-2</v>
      </c>
      <c r="G1778" s="14">
        <f t="shared" si="222"/>
        <v>0</v>
      </c>
      <c r="H1778" s="24">
        <f t="shared" si="220"/>
        <v>1949.2831936450191</v>
      </c>
      <c r="I1778" s="12">
        <f t="shared" si="227"/>
        <v>0.11680316020276528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743.80655126844977</v>
      </c>
      <c r="F1779" s="38">
        <f t="shared" si="221"/>
        <v>8.7157304953320941E-2</v>
      </c>
      <c r="G1779" s="14">
        <f t="shared" si="222"/>
        <v>0</v>
      </c>
      <c r="H1779" s="24">
        <f t="shared" si="220"/>
        <v>1936.47531809765</v>
      </c>
      <c r="I1779" s="12">
        <f t="shared" si="227"/>
        <v>0.11754297450873513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743.92409424295852</v>
      </c>
      <c r="F1780" s="38">
        <f t="shared" si="221"/>
        <v>8.7730643865948671E-2</v>
      </c>
      <c r="G1780" s="14">
        <f t="shared" si="222"/>
        <v>0</v>
      </c>
      <c r="H1780" s="24">
        <f t="shared" si="220"/>
        <v>1923.8200290870625</v>
      </c>
      <c r="I1780" s="12">
        <f t="shared" si="227"/>
        <v>0.11828296420574716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744.04237720716424</v>
      </c>
      <c r="F1781" s="38">
        <f t="shared" si="221"/>
        <v>8.8304617573183489E-2</v>
      </c>
      <c r="G1781" s="14">
        <f t="shared" si="222"/>
        <v>0</v>
      </c>
      <c r="H1781" s="24">
        <f t="shared" si="220"/>
        <v>1911.3153363032159</v>
      </c>
      <c r="I1781" s="12">
        <f t="shared" si="227"/>
        <v>0.11902308088348663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744.16140028804773</v>
      </c>
      <c r="F1782" s="38">
        <f t="shared" si="221"/>
        <v>8.8879193988993604E-2</v>
      </c>
      <c r="G1782" s="14">
        <f t="shared" si="222"/>
        <v>0</v>
      </c>
      <c r="H1782" s="24">
        <f t="shared" si="220"/>
        <v>1898.9592756086058</v>
      </c>
      <c r="I1782" s="12">
        <f t="shared" si="227"/>
        <v>0.11976327625449996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744.28116356430223</v>
      </c>
      <c r="F1783" s="38">
        <f t="shared" si="221"/>
        <v>8.9454341062709844E-2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1886.7499087126278</v>
      </c>
      <c r="I1783" s="12">
        <f t="shared" si="227"/>
        <v>0.12050350216667538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744.40166706646892</v>
      </c>
      <c r="F1784" s="38">
        <f t="shared" si="221"/>
        <v>9.0030026787359899E-2</v>
      </c>
      <c r="G1784" s="14">
        <f t="shared" si="222"/>
        <v>0</v>
      </c>
      <c r="H1784" s="24">
        <f t="shared" si="228"/>
        <v>1874.6853228495572</v>
      </c>
      <c r="I1784" s="12">
        <f t="shared" si="227"/>
        <v>0.12124371061556617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744.52291077708446</v>
      </c>
      <c r="F1785" s="38">
        <f t="shared" si="221"/>
        <v>9.0606219207919753E-2</v>
      </c>
      <c r="G1785" s="14">
        <f t="shared" si="222"/>
        <v>0</v>
      </c>
      <c r="H1785" s="24">
        <f t="shared" si="228"/>
        <v>1862.7636304601863</v>
      </c>
      <c r="I1785" s="12">
        <f t="shared" si="227"/>
        <v>0.12198385375658609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744.64489463084101</v>
      </c>
      <c r="F1786" s="38">
        <f t="shared" si="221"/>
        <v>9.1182886429480026E-2</v>
      </c>
      <c r="G1786" s="14">
        <f t="shared" si="222"/>
        <v>0</v>
      </c>
      <c r="H1786" s="24">
        <f t="shared" si="228"/>
        <v>1850.982968877031</v>
      </c>
      <c r="I1786" s="12">
        <f t="shared" si="227"/>
        <v>0.12272388391701684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744.76761851475806</v>
      </c>
      <c r="F1787" s="38">
        <f t="shared" si="221"/>
        <v>9.1759996625321902E-2</v>
      </c>
      <c r="G1787" s="14">
        <f t="shared" si="222"/>
        <v>0</v>
      </c>
      <c r="H1787" s="24">
        <f t="shared" si="228"/>
        <v>1839.3415000130949</v>
      </c>
      <c r="I1787" s="12">
        <f t="shared" si="227"/>
        <v>0.12346375360783654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744.89108226836584</v>
      </c>
      <c r="F1788" s="38">
        <f t="shared" si="221"/>
        <v>9.2337518044897135E-2</v>
      </c>
      <c r="G1788" s="14">
        <f t="shared" si="222"/>
        <v>0</v>
      </c>
      <c r="H1788" s="24">
        <f t="shared" si="228"/>
        <v>1827.8374100541821</v>
      </c>
      <c r="I1788" s="12">
        <f t="shared" si="227"/>
        <v>0.12420341553540667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745.0152856839012</v>
      </c>
      <c r="F1789" s="38">
        <f t="shared" si="221"/>
        <v>9.2915419021714143E-2</v>
      </c>
      <c r="G1789" s="14">
        <f t="shared" si="222"/>
        <v>0</v>
      </c>
      <c r="H1789" s="24">
        <f t="shared" si="228"/>
        <v>1816.4689091546045</v>
      </c>
      <c r="I1789" s="12">
        <f t="shared" si="227"/>
        <v>0.12494282261296588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745.14022850651418</v>
      </c>
      <c r="F1790" s="38">
        <f t="shared" si="221"/>
        <v>9.3493667981118009E-2</v>
      </c>
      <c r="G1790" s="14">
        <f t="shared" si="222"/>
        <v>0</v>
      </c>
      <c r="H1790" s="24">
        <f t="shared" si="228"/>
        <v>1805.2342311364071</v>
      </c>
      <c r="I1790" s="12">
        <f t="shared" si="227"/>
        <v>0.1256819279719131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745.26591043448605</v>
      </c>
      <c r="F1791" s="38">
        <f t="shared" si="221"/>
        <v>9.4072233447966017E-2</v>
      </c>
      <c r="G1791" s="14">
        <f t="shared" si="222"/>
        <v>0</v>
      </c>
      <c r="H1791" s="24">
        <f t="shared" si="228"/>
        <v>1794.1316331919757</v>
      </c>
      <c r="I1791" s="12">
        <f t="shared" si="227"/>
        <v>0.12642068497295647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745.39233111945896</v>
      </c>
      <c r="F1792" s="38">
        <f t="shared" si="221"/>
        <v>9.4651084054196338E-2</v>
      </c>
      <c r="G1792" s="14">
        <f t="shared" si="222"/>
        <v>0</v>
      </c>
      <c r="H1792" s="24">
        <f t="shared" si="228"/>
        <v>1783.1593955899687</v>
      </c>
      <c r="I1792" s="12">
        <f t="shared" si="227"/>
        <v>0.12715904721699897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745.51949016667595</v>
      </c>
      <c r="F1793" s="38">
        <f t="shared" si="221"/>
        <v>9.5230188546281319E-2</v>
      </c>
      <c r="G1793" s="14">
        <f t="shared" si="222"/>
        <v>0</v>
      </c>
      <c r="H1793" s="24">
        <f t="shared" si="228"/>
        <v>1772.3158213846332</v>
      </c>
      <c r="I1793" s="12">
        <f t="shared" si="227"/>
        <v>0.12789696855589719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745.64738713523184</v>
      </c>
      <c r="F1794" s="38">
        <f t="shared" si="221"/>
        <v>9.5809515792565983E-2</v>
      </c>
      <c r="G1794" s="14">
        <f t="shared" si="222"/>
        <v>0</v>
      </c>
      <c r="H1794" s="24">
        <f t="shared" si="228"/>
        <v>1761.5992361283995</v>
      </c>
      <c r="I1794" s="12">
        <f t="shared" si="227"/>
        <v>0.1286344031029481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745.77602153833482</v>
      </c>
      <c r="F1795" s="38">
        <f t="shared" si="221"/>
        <v>9.6389034790488479E-2</v>
      </c>
      <c r="G1795" s="14">
        <f t="shared" si="222"/>
        <v>0</v>
      </c>
      <c r="H1795" s="24">
        <f t="shared" si="228"/>
        <v>1751.0079875877213</v>
      </c>
      <c r="I1795" s="12">
        <f t="shared" si="227"/>
        <v>0.12937130524320919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745.90539284357806</v>
      </c>
      <c r="F1796" s="38">
        <f t="shared" si="221"/>
        <v>9.6968714673676945E-2</v>
      </c>
      <c r="G1796" s="14">
        <f t="shared" si="222"/>
        <v>0</v>
      </c>
      <c r="H1796" s="24">
        <f t="shared" si="228"/>
        <v>1740.5404454621732</v>
      </c>
      <c r="I1796" s="12">
        <f t="shared" si="227"/>
        <v>0.13010762964362277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746.03550047322165</v>
      </c>
      <c r="F1797" s="38">
        <f t="shared" si="221"/>
        <v>9.7548524718923169E-2</v>
      </c>
      <c r="G1797" s="14">
        <f t="shared" si="222"/>
        <v>0</v>
      </c>
      <c r="H1797" s="24">
        <f t="shared" si="228"/>
        <v>1730.1950011067188</v>
      </c>
      <c r="I1797" s="12">
        <f t="shared" si="227"/>
        <v>0.1308433312628553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746.16634380448454</v>
      </c>
      <c r="F1798" s="38">
        <f t="shared" si="221"/>
        <v>9.8128434353028787E-2</v>
      </c>
      <c r="G1798" s="14">
        <f t="shared" si="222"/>
        <v>0</v>
      </c>
      <c r="H1798" s="24">
        <f t="shared" si="228"/>
        <v>1719.9700672571328</v>
      </c>
      <c r="I1798" s="12">
        <f t="shared" si="227"/>
        <v>0.13157836536100748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746.29792216984549</v>
      </c>
      <c r="F1799" s="38">
        <f t="shared" si="221"/>
        <v>9.870841315951881E-2</v>
      </c>
      <c r="G1799" s="14">
        <f t="shared" si="222"/>
        <v>0</v>
      </c>
      <c r="H1799" s="24">
        <f t="shared" si="228"/>
        <v>1709.8640777586058</v>
      </c>
      <c r="I1799" s="12">
        <f t="shared" si="227"/>
        <v>0.13231268750901848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746.43023485735455</v>
      </c>
      <c r="F1800" s="38">
        <f t="shared" si="221"/>
        <v>9.9288430885227513E-2</v>
      </c>
      <c r="G1800" s="14">
        <f t="shared" si="222"/>
        <v>0</v>
      </c>
      <c r="H1800" s="24">
        <f t="shared" si="228"/>
        <v>1699.875487297357</v>
      </c>
      <c r="I1800" s="12">
        <f t="shared" si="227"/>
        <v>0.13304625359792552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746.56328111095252</v>
      </c>
      <c r="F1801" s="38">
        <f t="shared" si="221"/>
        <v>9.9868457446744011E-2</v>
      </c>
      <c r="G1801" s="14">
        <f t="shared" si="222"/>
        <v>0</v>
      </c>
      <c r="H1801" s="24">
        <f t="shared" si="228"/>
        <v>1690.0027711354091</v>
      </c>
      <c r="I1801" s="12">
        <f t="shared" si="227"/>
        <v>0.13377901984781485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746.69706013080031</v>
      </c>
      <c r="F1802" s="38">
        <f t="shared" si="221"/>
        <v>0.10044846293672506</v>
      </c>
      <c r="G1802" s="14">
        <f t="shared" si="222"/>
        <v>0</v>
      </c>
      <c r="H1802" s="24">
        <f t="shared" si="228"/>
        <v>1680.2444248483268</v>
      </c>
      <c r="I1802" s="12">
        <f t="shared" si="227"/>
        <v>0.13451094281661147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746.83157107361694</v>
      </c>
      <c r="F1803" s="38">
        <f t="shared" si="221"/>
        <v>0.1010284176300682</v>
      </c>
      <c r="G1803" s="14">
        <f t="shared" si="222"/>
        <v>0</v>
      </c>
      <c r="H1803" s="24">
        <f t="shared" si="228"/>
        <v>1670.5989640659695</v>
      </c>
      <c r="I1803" s="12">
        <f t="shared" si="227"/>
        <v>0.13524197940860241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746.96681305302559</v>
      </c>
      <c r="F1804" s="38">
        <f t="shared" si="221"/>
        <v>0.10160829198994241</v>
      </c>
      <c r="G1804" s="14">
        <f t="shared" si="222"/>
        <v>0</v>
      </c>
      <c r="H1804" s="24">
        <f t="shared" si="228"/>
        <v>1661.0649242162478</v>
      </c>
      <c r="I1804" s="12">
        <f t="shared" si="227"/>
        <v>0.13597208688272369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747.10278513990829</v>
      </c>
      <c r="F1805" s="38">
        <f t="shared" si="221"/>
        <v>0.10218805667367771</v>
      </c>
      <c r="G1805" s="14">
        <f t="shared" si="222"/>
        <v>0</v>
      </c>
      <c r="H1805" s="24">
        <f t="shared" si="228"/>
        <v>1651.6408602717956</v>
      </c>
      <c r="I1805" s="12">
        <f t="shared" si="227"/>
        <v>0.13670122286062605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747.23948636276896</v>
      </c>
      <c r="F1806" s="38">
        <f t="shared" si="221"/>
        <v>0.10276768253851176</v>
      </c>
      <c r="G1806" s="14">
        <f t="shared" si="222"/>
        <v>0</v>
      </c>
      <c r="H1806" s="24">
        <f t="shared" si="228"/>
        <v>1642.32534649954</v>
      </c>
      <c r="I1806" s="12">
        <f t="shared" si="227"/>
        <v>0.13742934533449286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747.37691570810341</v>
      </c>
      <c r="F1807" s="38">
        <f t="shared" si="221"/>
        <v>0.10334714064718786</v>
      </c>
      <c r="G1807" s="14">
        <f t="shared" si="222"/>
        <v>0</v>
      </c>
      <c r="H1807" s="24">
        <f t="shared" si="228"/>
        <v>1633.1169762132035</v>
      </c>
      <c r="I1807" s="12">
        <f t="shared" si="227"/>
        <v>0.13815641267462911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747.51507212077809</v>
      </c>
      <c r="F1808" s="38">
        <f t="shared" si="221"/>
        <v>0.10392640227341038</v>
      </c>
      <c r="G1808" s="14">
        <f t="shared" si="222"/>
        <v>0</v>
      </c>
      <c r="H1808" s="24">
        <f t="shared" si="228"/>
        <v>1624.0143615285911</v>
      </c>
      <c r="I1808" s="12">
        <f t="shared" si="227"/>
        <v>0.13888238363678942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747.65395450441486</v>
      </c>
      <c r="F1809" s="38">
        <f t="shared" si="221"/>
        <v>0.10450543890714781</v>
      </c>
      <c r="G1809" s="14">
        <f t="shared" si="222"/>
        <v>0</v>
      </c>
      <c r="H1809" s="24">
        <f t="shared" si="228"/>
        <v>1615.016133121778</v>
      </c>
      <c r="I1809" s="12">
        <f t="shared" si="227"/>
        <v>0.13960721736929629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747.79356172178416</v>
      </c>
      <c r="F1810" s="38">
        <f t="shared" si="221"/>
        <v>0.10508422225979133</v>
      </c>
      <c r="G1810" s="14">
        <f t="shared" si="222"/>
        <v>0</v>
      </c>
      <c r="H1810" s="24">
        <f t="shared" si="228"/>
        <v>1606.1209399900185</v>
      </c>
      <c r="I1810" s="12">
        <f t="shared" si="227"/>
        <v>0.14033087341988024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747.93389259520404</v>
      </c>
      <c r="F1811" s="38">
        <f t="shared" si="221"/>
        <v>0.10566272426915999</v>
      </c>
      <c r="G1811" s="14">
        <f t="shared" si="222"/>
        <v>0</v>
      </c>
      <c r="H1811" s="24">
        <f t="shared" si="228"/>
        <v>1597.3274492154815</v>
      </c>
      <c r="I1811" s="12">
        <f t="shared" si="227"/>
        <v>0.14105331174230998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748.07494590694637</v>
      </c>
      <c r="F1812" s="38">
        <f t="shared" ref="F1812:F1875" si="229">Cp*RhoP/(RhoA*H1812)*dp/1000*MassivP</f>
        <v>0.10624091710435762</v>
      </c>
      <c r="G1812" s="14">
        <f t="shared" ref="G1812:G1875" si="230">Phi*EpsilonF*Botzman/10^8*J1812*((D1812+273)^4-(E1812+273)^4)</f>
        <v>0</v>
      </c>
      <c r="H1812" s="24">
        <f t="shared" si="228"/>
        <v>1588.6343457316916</v>
      </c>
      <c r="I1812" s="12">
        <f t="shared" si="227"/>
        <v>0.14177449270274747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748.21672039964915</v>
      </c>
      <c r="F1813" s="38">
        <f t="shared" si="229"/>
        <v>0.10681877317047758</v>
      </c>
      <c r="G1813" s="14">
        <f t="shared" si="230"/>
        <v>0</v>
      </c>
      <c r="H1813" s="24">
        <f t="shared" si="228"/>
        <v>1580.0403320926989</v>
      </c>
      <c r="I1813" s="12">
        <f t="shared" ref="I1813:I1876" si="235">LambdaP*MassivP/(dp/1000)/(H1813*RhoA)/(1+F1813/3)*(D1813-E1813)*DeltaT-(EXP(F1813/10)-1)*(D1813-D1812)</f>
        <v>0.14249437708591034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748.35921477673503</v>
      </c>
      <c r="F1814" s="38">
        <f t="shared" si="229"/>
        <v>0.10739626511315582</v>
      </c>
      <c r="G1814" s="14">
        <f t="shared" si="230"/>
        <v>0</v>
      </c>
      <c r="H1814" s="24">
        <f t="shared" si="228"/>
        <v>1571.5441282449319</v>
      </c>
      <c r="I1814" s="12">
        <f t="shared" si="235"/>
        <v>0.14321292610092271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748.50242770283592</v>
      </c>
      <c r="F1815" s="38">
        <f t="shared" si="229"/>
        <v>0.10797336582297336</v>
      </c>
      <c r="G1815" s="14">
        <f t="shared" si="230"/>
        <v>0</v>
      </c>
      <c r="H1815" s="24">
        <f t="shared" si="228"/>
        <v>1563.144471301694</v>
      </c>
      <c r="I1815" s="12">
        <f t="shared" si="235"/>
        <v>0.14393010138696749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748.64635780422293</v>
      </c>
      <c r="F1816" s="38">
        <f t="shared" si="229"/>
        <v>0.1085500484397047</v>
      </c>
      <c r="G1816" s="14">
        <f t="shared" si="230"/>
        <v>0</v>
      </c>
      <c r="H1816" s="24">
        <f t="shared" si="228"/>
        <v>1554.8401153203135</v>
      </c>
      <c r="I1816" s="12">
        <f t="shared" si="235"/>
        <v>0.14464586501871896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748.7910036692416</v>
      </c>
      <c r="F1817" s="38">
        <f t="shared" si="229"/>
        <v>0.10912628635641401</v>
      </c>
      <c r="G1817" s="14">
        <f t="shared" si="230"/>
        <v>0</v>
      </c>
      <c r="H1817" s="24">
        <f t="shared" si="228"/>
        <v>1546.6298310819038</v>
      </c>
      <c r="I1817" s="12">
        <f t="shared" si="235"/>
        <v>0.14536017951145774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748.9363638487531</v>
      </c>
      <c r="F1818" s="38">
        <f t="shared" si="229"/>
        <v>0.10970205322340185</v>
      </c>
      <c r="G1818" s="14">
        <f t="shared" si="230"/>
        <v>0</v>
      </c>
      <c r="H1818" s="24">
        <f t="shared" si="228"/>
        <v>1538.5124058736581</v>
      </c>
      <c r="I1818" s="12">
        <f t="shared" si="235"/>
        <v>0.14607300782601745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749.08243685657908</v>
      </c>
      <c r="F1819" s="38">
        <f t="shared" si="229"/>
        <v>0.11027732295199491</v>
      </c>
      <c r="G1819" s="14">
        <f t="shared" si="230"/>
        <v>0</v>
      </c>
      <c r="H1819" s="24">
        <f t="shared" si="228"/>
        <v>1530.486643273769</v>
      </c>
      <c r="I1819" s="12">
        <f t="shared" si="235"/>
        <v>0.14678431337346298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749.22922116995255</v>
      </c>
      <c r="F1820" s="38">
        <f t="shared" si="229"/>
        <v>0.11085206971818913</v>
      </c>
      <c r="G1820" s="14">
        <f t="shared" si="230"/>
        <v>0</v>
      </c>
      <c r="H1820" s="24">
        <f t="shared" si="228"/>
        <v>1522.5513629388031</v>
      </c>
      <c r="I1820" s="12">
        <f t="shared" si="235"/>
        <v>0.14749406001951712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749.37671522997209</v>
      </c>
      <c r="F1821" s="38">
        <f t="shared" si="229"/>
        <v>0.11142626796613664</v>
      </c>
      <c r="G1821" s="14">
        <f t="shared" si="230"/>
        <v>0</v>
      </c>
      <c r="H1821" s="24">
        <f t="shared" si="228"/>
        <v>1514.7054003936405</v>
      </c>
      <c r="I1821" s="12">
        <f t="shared" si="235"/>
        <v>0.14820221208878087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749.52491744206088</v>
      </c>
      <c r="F1822" s="38">
        <f t="shared" si="229"/>
        <v>0.1119998924114845</v>
      </c>
      <c r="G1822" s="14">
        <f t="shared" si="230"/>
        <v>0</v>
      </c>
      <c r="H1822" s="24">
        <f t="shared" si="228"/>
        <v>1506.9476068238573</v>
      </c>
      <c r="I1822" s="12">
        <f t="shared" si="235"/>
        <v>0.14890873436868218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749.67382617642954</v>
      </c>
      <c r="F1823" s="38">
        <f t="shared" si="229"/>
        <v>0.11257291804456193</v>
      </c>
      <c r="G1823" s="14">
        <f t="shared" si="230"/>
        <v>0</v>
      </c>
      <c r="H1823" s="24">
        <f t="shared" si="228"/>
        <v>1499.2768488705728</v>
      </c>
      <c r="I1823" s="12">
        <f t="shared" si="235"/>
        <v>0.14961359211323541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749.82343976854281</v>
      </c>
      <c r="F1824" s="38">
        <f t="shared" si="229"/>
        <v>0.11314532013341833</v>
      </c>
      <c r="G1824" s="14">
        <f t="shared" si="230"/>
        <v>0</v>
      </c>
      <c r="H1824" s="24">
        <f t="shared" si="228"/>
        <v>1491.6920084277194</v>
      </c>
      <c r="I1824" s="12">
        <f t="shared" si="235"/>
        <v>0.15031675104650036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749.9737565195893</v>
      </c>
      <c r="F1825" s="38">
        <f t="shared" si="229"/>
        <v>0.11371707422671043</v>
      </c>
      <c r="G1825" s="14">
        <f t="shared" si="230"/>
        <v>0</v>
      </c>
      <c r="H1825" s="24">
        <f t="shared" si="228"/>
        <v>1484.1919824417419</v>
      </c>
      <c r="I1825" s="12">
        <f t="shared" si="235"/>
        <v>0.15101817736590023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750.12477469695523</v>
      </c>
      <c r="F1826" s="38">
        <f t="shared" si="229"/>
        <v>0.11428815615644429</v>
      </c>
      <c r="G1826" s="14">
        <f t="shared" si="230"/>
        <v>0</v>
      </c>
      <c r="H1826" s="24">
        <f t="shared" si="228"/>
        <v>1476.7756827136398</v>
      </c>
      <c r="I1826" s="12">
        <f t="shared" si="235"/>
        <v>0.1517178377452269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750.27649253470042</v>
      </c>
      <c r="F1827" s="38">
        <f t="shared" si="229"/>
        <v>0.11485854204056692</v>
      </c>
      <c r="G1827" s="14">
        <f t="shared" si="230"/>
        <v>0</v>
      </c>
      <c r="H1827" s="24">
        <f t="shared" si="228"/>
        <v>1469.4420357034078</v>
      </c>
      <c r="I1827" s="12">
        <f t="shared" si="235"/>
        <v>0.15241569933746371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750.42890823403786</v>
      </c>
      <c r="F1828" s="38">
        <f t="shared" si="229"/>
        <v>0.11542820828541471</v>
      </c>
      <c r="G1828" s="14">
        <f t="shared" si="230"/>
        <v>0</v>
      </c>
      <c r="H1828" s="24">
        <f t="shared" si="228"/>
        <v>1462.1899823367744</v>
      </c>
      <c r="I1828" s="12">
        <f t="shared" si="235"/>
        <v>0.15311172977740123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750.58201996381524</v>
      </c>
      <c r="F1829" s="38">
        <f t="shared" si="229"/>
        <v>0.11599713158801478</v>
      </c>
      <c r="G1829" s="14">
        <f t="shared" si="230"/>
        <v>0</v>
      </c>
      <c r="H1829" s="24">
        <f t="shared" si="228"/>
        <v>1455.0184778142807</v>
      </c>
      <c r="I1829" s="12">
        <f t="shared" si="235"/>
        <v>0.15380589718395082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750.73582586099917</v>
      </c>
      <c r="F1830" s="38">
        <f t="shared" si="229"/>
        <v>0.11656528893824351</v>
      </c>
      <c r="G1830" s="14">
        <f t="shared" si="230"/>
        <v>0</v>
      </c>
      <c r="H1830" s="24">
        <f t="shared" si="228"/>
        <v>1447.9264914226305</v>
      </c>
      <c r="I1830" s="12">
        <f t="shared" si="235"/>
        <v>0.15449817016236783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750.89032403116153</v>
      </c>
      <c r="F1831" s="38">
        <f t="shared" si="229"/>
        <v>0.11713265762084275</v>
      </c>
      <c r="G1831" s="14">
        <f t="shared" si="230"/>
        <v>0</v>
      </c>
      <c r="H1831" s="24">
        <f t="shared" si="228"/>
        <v>1440.9130063483121</v>
      </c>
      <c r="I1831" s="12">
        <f t="shared" si="235"/>
        <v>0.15518851780611731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751.04551254896762</v>
      </c>
      <c r="F1832" s="38">
        <f t="shared" si="229"/>
        <v>0.117699215217295</v>
      </c>
      <c r="G1832" s="14">
        <f t="shared" si="230"/>
        <v>0</v>
      </c>
      <c r="H1832" s="24">
        <f t="shared" si="228"/>
        <v>1433.9770194934608</v>
      </c>
      <c r="I1832" s="12">
        <f t="shared" si="235"/>
        <v>0.1558769096986338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751.2013894586662</v>
      </c>
      <c r="F1833" s="38">
        <f t="shared" si="229"/>
        <v>0.11826493960755889</v>
      </c>
      <c r="G1833" s="14">
        <f t="shared" si="230"/>
        <v>0</v>
      </c>
      <c r="H1833" s="24">
        <f t="shared" si="228"/>
        <v>1427.1175412939428</v>
      </c>
      <c r="I1833" s="12">
        <f t="shared" si="235"/>
        <v>0.15656331591482531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751.35795277458101</v>
      </c>
      <c r="F1834" s="38">
        <f t="shared" si="229"/>
        <v>0.11882980897166753</v>
      </c>
      <c r="G1834" s="14">
        <f t="shared" si="230"/>
        <v>0</v>
      </c>
      <c r="H1834" s="24">
        <f t="shared" si="228"/>
        <v>1420.333595539631</v>
      </c>
      <c r="I1834" s="12">
        <f t="shared" si="235"/>
        <v>0.15724770702236529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751.51520048160342</v>
      </c>
      <c r="F1835" s="38">
        <f t="shared" si="229"/>
        <v>0.11939380179118955</v>
      </c>
      <c r="G1835" s="14">
        <f t="shared" si="230"/>
        <v>0</v>
      </c>
      <c r="H1835" s="24">
        <f t="shared" si="228"/>
        <v>1413.624219196869</v>
      </c>
      <c r="I1835" s="12">
        <f t="shared" si="235"/>
        <v>0.15793005408279692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751.67313053568625</v>
      </c>
      <c r="F1836" s="38">
        <f t="shared" si="229"/>
        <v>0.11995689685055574</v>
      </c>
      <c r="G1836" s="14">
        <f t="shared" si="230"/>
        <v>0</v>
      </c>
      <c r="H1836" s="24">
        <f t="shared" si="228"/>
        <v>1406.9884622330837</v>
      </c>
      <c r="I1836" s="12">
        <f t="shared" si="235"/>
        <v>0.15861032865242411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751.83174086433871</v>
      </c>
      <c r="F1837" s="38">
        <f t="shared" si="229"/>
        <v>0.12051907323825398</v>
      </c>
      <c r="G1837" s="14">
        <f t="shared" si="230"/>
        <v>0</v>
      </c>
      <c r="H1837" s="24">
        <f t="shared" si="228"/>
        <v>1400.4253874435224</v>
      </c>
      <c r="I1837" s="12">
        <f t="shared" si="235"/>
        <v>0.1592885027830202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751.99102936712177</v>
      </c>
      <c r="F1838" s="38">
        <f t="shared" si="229"/>
        <v>0.12108031034789206</v>
      </c>
      <c r="G1838" s="14">
        <f t="shared" si="230"/>
        <v>0</v>
      </c>
      <c r="H1838" s="24">
        <f t="shared" si="228"/>
        <v>1393.9340702801098</v>
      </c>
      <c r="I1838" s="12">
        <f t="shared" si="235"/>
        <v>0.15996454902230672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752.1509939161441</v>
      </c>
      <c r="F1839" s="38">
        <f t="shared" si="229"/>
        <v>0.12164058787913172</v>
      </c>
      <c r="G1839" s="14">
        <f t="shared" si="230"/>
        <v>0</v>
      </c>
      <c r="H1839" s="24">
        <f t="shared" si="228"/>
        <v>1387.5135986823943</v>
      </c>
      <c r="I1839" s="12">
        <f t="shared" si="235"/>
        <v>0.16063844041431058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752.31163235655845</v>
      </c>
      <c r="F1840" s="38">
        <f t="shared" si="229"/>
        <v>0.12219988583849561</v>
      </c>
      <c r="G1840" s="14">
        <f t="shared" si="230"/>
        <v>0</v>
      </c>
      <c r="H1840" s="24">
        <f t="shared" si="228"/>
        <v>1381.1630729105586</v>
      </c>
      <c r="I1840" s="12">
        <f t="shared" si="235"/>
        <v>0.16131015049942521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752.47294250705784</v>
      </c>
      <c r="F1841" s="38">
        <f t="shared" si="229"/>
        <v>0.12275818454004883</v>
      </c>
      <c r="G1841" s="14">
        <f t="shared" si="230"/>
        <v>0</v>
      </c>
      <c r="H1841" s="24">
        <f t="shared" si="228"/>
        <v>1374.8816053804844</v>
      </c>
      <c r="I1841" s="12">
        <f t="shared" si="235"/>
        <v>0.16197965331440717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752.6349221603723</v>
      </c>
      <c r="F1842" s="38">
        <f t="shared" si="229"/>
        <v>0.12331546460595817</v>
      </c>
      <c r="G1842" s="14">
        <f t="shared" si="230"/>
        <v>0</v>
      </c>
      <c r="H1842" s="24">
        <f t="shared" si="228"/>
        <v>1368.668320500828</v>
      </c>
      <c r="I1842" s="12">
        <f t="shared" si="235"/>
        <v>0.16264692339210496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752.79756908376442</v>
      </c>
      <c r="F1843" s="38">
        <f t="shared" si="229"/>
        <v>0.12387170696692809</v>
      </c>
      <c r="G1843" s="14">
        <f t="shared" si="230"/>
        <v>0</v>
      </c>
      <c r="H1843" s="24">
        <f t="shared" si="228"/>
        <v>1362.5223545121348</v>
      </c>
      <c r="I1843" s="12">
        <f t="shared" si="235"/>
        <v>0.16331193576103284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752.96088101952546</v>
      </c>
      <c r="F1844" s="38">
        <f t="shared" si="229"/>
        <v>0.12442689286252064</v>
      </c>
      <c r="G1844" s="14">
        <f t="shared" si="230"/>
        <v>0</v>
      </c>
      <c r="H1844" s="24">
        <f t="shared" si="228"/>
        <v>1356.442855327899</v>
      </c>
      <c r="I1844" s="12">
        <f t="shared" si="235"/>
        <v>0.16397466594480797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753.12485568547027</v>
      </c>
      <c r="F1845" s="38">
        <f t="shared" si="229"/>
        <v>0.12498100384135626</v>
      </c>
      <c r="G1845" s="14">
        <f t="shared" si="230"/>
        <v>0</v>
      </c>
      <c r="H1845" s="24">
        <f t="shared" si="228"/>
        <v>1350.4289823776194</v>
      </c>
      <c r="I1845" s="12">
        <f t="shared" si="235"/>
        <v>0.16463508996136195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753.28949077543166</v>
      </c>
      <c r="F1846" s="38">
        <f t="shared" si="229"/>
        <v>0.12553402176120126</v>
      </c>
      <c r="G1846" s="14">
        <f t="shared" si="230"/>
        <v>0</v>
      </c>
      <c r="H1846" s="24">
        <f t="shared" si="228"/>
        <v>1344.4799064517838</v>
      </c>
      <c r="I1846" s="12">
        <f t="shared" si="235"/>
        <v>0.16529318432202469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753.45478395975374</v>
      </c>
      <c r="F1847" s="38">
        <f t="shared" si="229"/>
        <v>0.12608592878894195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1338.5948095487902</v>
      </c>
      <c r="I1847" s="12">
        <f t="shared" si="235"/>
        <v>0.1659489260304384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753.62073288578415</v>
      </c>
      <c r="F1848" s="38">
        <f t="shared" si="229"/>
        <v>0.12663670740044888</v>
      </c>
      <c r="G1848" s="14">
        <f t="shared" si="230"/>
        <v>0</v>
      </c>
      <c r="H1848" s="24">
        <f t="shared" si="236"/>
        <v>1332.7728847237686</v>
      </c>
      <c r="I1848" s="12">
        <f t="shared" si="235"/>
        <v>0.16660229258127551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753.78733517836542</v>
      </c>
      <c r="F1849" s="38">
        <f t="shared" si="229"/>
        <v>0.12718634038033447</v>
      </c>
      <c r="G1849" s="14">
        <f t="shared" si="230"/>
        <v>0</v>
      </c>
      <c r="H1849" s="24">
        <f t="shared" si="236"/>
        <v>1327.0133359392776</v>
      </c>
      <c r="I1849" s="12">
        <f t="shared" si="235"/>
        <v>0.16725326195890056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753.9545884403243</v>
      </c>
      <c r="F1850" s="38">
        <f t="shared" si="229"/>
        <v>0.12773481082160257</v>
      </c>
      <c r="G1850" s="14">
        <f t="shared" si="230"/>
        <v>0</v>
      </c>
      <c r="H1850" s="24">
        <f t="shared" si="236"/>
        <v>1321.3153779178906</v>
      </c>
      <c r="I1850" s="12">
        <f t="shared" si="235"/>
        <v>0.16790181263574414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754.12249025296001</v>
      </c>
      <c r="F1851" s="38">
        <f t="shared" si="229"/>
        <v>0.12828210212519703</v>
      </c>
      <c r="G1851" s="14">
        <f t="shared" si="230"/>
        <v>0</v>
      </c>
      <c r="H1851" s="24">
        <f t="shared" si="236"/>
        <v>1315.6782359966089</v>
      </c>
      <c r="I1851" s="12">
        <f t="shared" si="235"/>
        <v>0.16854792357064233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754.29103817653061</v>
      </c>
      <c r="F1852" s="38">
        <f t="shared" si="229"/>
        <v>0.12882819799944789</v>
      </c>
      <c r="G1852" s="14">
        <f t="shared" si="230"/>
        <v>0</v>
      </c>
      <c r="H1852" s="24">
        <f t="shared" si="236"/>
        <v>1310.1011459831129</v>
      </c>
      <c r="I1852" s="12">
        <f t="shared" si="235"/>
        <v>0.16919157420700101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754.46022975073765</v>
      </c>
      <c r="F1853" s="38">
        <f t="shared" si="229"/>
        <v>0.12937308245942003</v>
      </c>
      <c r="G1853" s="14">
        <f t="shared" si="230"/>
        <v>0</v>
      </c>
      <c r="H1853" s="24">
        <f t="shared" si="236"/>
        <v>1304.5833540138151</v>
      </c>
      <c r="I1853" s="12">
        <f t="shared" si="235"/>
        <v>0.16983274447077001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754.63006249520845</v>
      </c>
      <c r="F1854" s="38">
        <f t="shared" si="229"/>
        <v>0.12991673982616395</v>
      </c>
      <c r="G1854" s="14">
        <f t="shared" si="230"/>
        <v>0</v>
      </c>
      <c r="H1854" s="24">
        <f t="shared" si="236"/>
        <v>1299.1241164137177</v>
      </c>
      <c r="I1854" s="12">
        <f t="shared" si="235"/>
        <v>0.17047141476836977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754.80053390997682</v>
      </c>
      <c r="F1855" s="38">
        <f t="shared" si="229"/>
        <v>0.13045915472587491</v>
      </c>
      <c r="G1855" s="14">
        <f t="shared" si="230"/>
        <v>0</v>
      </c>
      <c r="H1855" s="24">
        <f t="shared" si="236"/>
        <v>1293.7226995580181</v>
      </c>
      <c r="I1855" s="12">
        <f t="shared" si="235"/>
        <v>0.17110756598441765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754.97164147596129</v>
      </c>
      <c r="F1856" s="38">
        <f t="shared" si="229"/>
        <v>0.1310003120889594</v>
      </c>
      <c r="G1856" s="14">
        <f t="shared" si="230"/>
        <v>0</v>
      </c>
      <c r="H1856" s="24">
        <f t="shared" si="236"/>
        <v>1288.3783797354827</v>
      </c>
      <c r="I1856" s="12">
        <f t="shared" si="235"/>
        <v>0.17174117947935286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755.14338265544063</v>
      </c>
      <c r="F1857" s="38">
        <f t="shared" si="229"/>
        <v>0.13154019714901172</v>
      </c>
      <c r="G1857" s="14">
        <f t="shared" si="230"/>
        <v>0</v>
      </c>
      <c r="H1857" s="24">
        <f t="shared" si="236"/>
        <v>1283.090443013557</v>
      </c>
      <c r="I1857" s="12">
        <f t="shared" si="235"/>
        <v>0.17237223708695065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755.31575489252759</v>
      </c>
      <c r="F1858" s="38">
        <f t="shared" si="229"/>
        <v>0.1320787954417062</v>
      </c>
      <c r="G1858" s="14">
        <f t="shared" si="230"/>
        <v>0</v>
      </c>
      <c r="H1858" s="24">
        <f t="shared" si="236"/>
        <v>1277.8581851051729</v>
      </c>
      <c r="I1858" s="12">
        <f t="shared" si="235"/>
        <v>0.17300072111168299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755.48875561363923</v>
      </c>
      <c r="F1859" s="38">
        <f t="shared" si="229"/>
        <v>0.13261609280360234</v>
      </c>
      <c r="G1859" s="14">
        <f t="shared" si="230"/>
        <v>0</v>
      </c>
      <c r="H1859" s="24">
        <f t="shared" si="236"/>
        <v>1272.680911237278</v>
      </c>
      <c r="I1859" s="12">
        <f t="shared" si="235"/>
        <v>0.17362661432598747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755.66238222796517</v>
      </c>
      <c r="F1860" s="38">
        <f t="shared" si="229"/>
        <v>0.13315207537087059</v>
      </c>
      <c r="G1860" s="14">
        <f t="shared" si="230"/>
        <v>0</v>
      </c>
      <c r="H1860" s="24">
        <f t="shared" si="236"/>
        <v>1267.5579360210202</v>
      </c>
      <c r="I1860" s="12">
        <f t="shared" si="235"/>
        <v>0.17424989996743906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755.8366321279326</v>
      </c>
      <c r="F1861" s="38">
        <f t="shared" si="229"/>
        <v>0.13368672957793695</v>
      </c>
      <c r="G1861" s="14">
        <f t="shared" si="230"/>
        <v>0</v>
      </c>
      <c r="H1861" s="24">
        <f t="shared" si="236"/>
        <v>1262.4885833236092</v>
      </c>
      <c r="I1861" s="12">
        <f t="shared" si="235"/>
        <v>0.17487056173576709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756.01150268966842</v>
      </c>
      <c r="F1862" s="38">
        <f t="shared" si="229"/>
        <v>0.13422004215605082</v>
      </c>
      <c r="G1862" s="14">
        <f t="shared" si="230"/>
        <v>0</v>
      </c>
      <c r="H1862" s="24">
        <f t="shared" si="236"/>
        <v>1257.4721861418172</v>
      </c>
      <c r="I1862" s="12">
        <f t="shared" si="235"/>
        <v>0.17548858378981622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756.18699127345826</v>
      </c>
      <c r="F1863" s="38">
        <f t="shared" si="229"/>
        <v>0.13475200013177815</v>
      </c>
      <c r="G1863" s="14">
        <f t="shared" si="230"/>
        <v>0</v>
      </c>
      <c r="H1863" s="24">
        <f t="shared" si="236"/>
        <v>1252.5080864771053</v>
      </c>
      <c r="I1863" s="12">
        <f t="shared" si="235"/>
        <v>0.17610395074436588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756.36309522420265</v>
      </c>
      <c r="F1864" s="38">
        <f t="shared" si="229"/>
        <v>0.13528259082542296</v>
      </c>
      <c r="G1864" s="14">
        <f t="shared" si="230"/>
        <v>0</v>
      </c>
      <c r="H1864" s="24">
        <f t="shared" si="236"/>
        <v>1247.5956352123508</v>
      </c>
      <c r="I1864" s="12">
        <f t="shared" si="235"/>
        <v>0.17671664766690964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756.53981187186957</v>
      </c>
      <c r="F1865" s="38">
        <f t="shared" si="229"/>
        <v>0.13581180184937761</v>
      </c>
      <c r="G1865" s="14">
        <f t="shared" si="230"/>
        <v>0</v>
      </c>
      <c r="H1865" s="24">
        <f t="shared" si="236"/>
        <v>1242.7341919901751</v>
      </c>
      <c r="I1865" s="12">
        <f t="shared" si="235"/>
        <v>0.17732666007425965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756.71713853194387</v>
      </c>
      <c r="F1866" s="38">
        <f t="shared" si="229"/>
        <v>0.13633962110640638</v>
      </c>
      <c r="G1866" s="14">
        <f t="shared" si="230"/>
        <v>0</v>
      </c>
      <c r="H1866" s="24">
        <f t="shared" si="236"/>
        <v>1237.9231250928383</v>
      </c>
      <c r="I1866" s="12">
        <f t="shared" si="235"/>
        <v>0.17793397392913562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756.89507250587303</v>
      </c>
      <c r="F1867" s="38">
        <f t="shared" si="229"/>
        <v>0.13686603678786255</v>
      </c>
      <c r="G1867" s="14">
        <f t="shared" si="230"/>
        <v>0</v>
      </c>
      <c r="H1867" s="24">
        <f t="shared" si="236"/>
        <v>1233.161811323695</v>
      </c>
      <c r="I1867" s="12">
        <f t="shared" si="235"/>
        <v>0.17853857563664555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757.07361108150963</v>
      </c>
      <c r="F1868" s="38">
        <f t="shared" si="229"/>
        <v>0.13739103737184377</v>
      </c>
      <c r="G1868" s="14">
        <f t="shared" si="230"/>
        <v>0</v>
      </c>
      <c r="H1868" s="24">
        <f t="shared" si="236"/>
        <v>1228.4496358901833</v>
      </c>
      <c r="I1868" s="12">
        <f t="shared" si="235"/>
        <v>0.17914045204064893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757.25275153355028</v>
      </c>
      <c r="F1869" s="38">
        <f t="shared" si="229"/>
        <v>0.13791461162128638</v>
      </c>
      <c r="G1869" s="14">
        <f t="shared" si="230"/>
        <v>0</v>
      </c>
      <c r="H1869" s="24">
        <f t="shared" si="236"/>
        <v>1223.7859922883335</v>
      </c>
      <c r="I1869" s="12">
        <f t="shared" si="235"/>
        <v>0.17973959042010931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757.43249112397041</v>
      </c>
      <c r="F1870" s="38">
        <f t="shared" si="229"/>
        <v>0.13843674858199967</v>
      </c>
      <c r="G1870" s="14">
        <f t="shared" si="230"/>
        <v>0</v>
      </c>
      <c r="H1870" s="24">
        <f t="shared" si="236"/>
        <v>1219.170282188797</v>
      </c>
      <c r="I1870" s="12">
        <f t="shared" si="235"/>
        <v>0.18033597848530503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757.61282710245575</v>
      </c>
      <c r="F1871" s="38">
        <f t="shared" si="229"/>
        <v>0.1389574375806463</v>
      </c>
      <c r="G1871" s="14">
        <f t="shared" si="230"/>
        <v>0</v>
      </c>
      <c r="H1871" s="24">
        <f t="shared" si="236"/>
        <v>1214.6019153243446</v>
      </c>
      <c r="I1871" s="12">
        <f t="shared" si="235"/>
        <v>0.18092960437400865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757.79375670682975</v>
      </c>
      <c r="F1872" s="38">
        <f t="shared" si="229"/>
        <v>0.13947666822266686</v>
      </c>
      <c r="G1872" s="14">
        <f t="shared" si="230"/>
        <v>0</v>
      </c>
      <c r="H1872" s="24">
        <f t="shared" si="236"/>
        <v>1210.0803093788511</v>
      </c>
      <c r="I1872" s="12">
        <f t="shared" si="235"/>
        <v>0.18152045664760225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757.97527716347736</v>
      </c>
      <c r="F1873" s="38">
        <f t="shared" si="229"/>
        <v>0.139994430390154</v>
      </c>
      <c r="G1873" s="14">
        <f t="shared" si="230"/>
        <v>0</v>
      </c>
      <c r="H1873" s="24">
        <f t="shared" si="236"/>
        <v>1205.6048898777224</v>
      </c>
      <c r="I1873" s="12">
        <f t="shared" si="235"/>
        <v>0.18210852428707749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758.15738568776442</v>
      </c>
      <c r="F1874" s="38">
        <f t="shared" si="229"/>
        <v>0.14051071423967579</v>
      </c>
      <c r="G1874" s="14">
        <f t="shared" si="230"/>
        <v>0</v>
      </c>
      <c r="H1874" s="24">
        <f t="shared" si="236"/>
        <v>1201.1750900797747</v>
      </c>
      <c r="I1874" s="12">
        <f t="shared" si="235"/>
        <v>0.1826937966890502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758.34007948445344</v>
      </c>
      <c r="F1875" s="38">
        <f t="shared" si="229"/>
        <v>0.14102551020005266</v>
      </c>
      <c r="G1875" s="14">
        <f t="shared" si="230"/>
        <v>0</v>
      </c>
      <c r="H1875" s="24">
        <f t="shared" si="236"/>
        <v>1196.7903508705267</v>
      </c>
      <c r="I1875" s="12">
        <f t="shared" si="235"/>
        <v>0.18327626366165034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758.52335574811514</v>
      </c>
      <c r="F1876" s="38">
        <f t="shared" ref="F1876:F1939" si="237">Cp*RhoP/(RhoA*H1876)*dp/1000*MassivP</f>
        <v>0.1415388089700883</v>
      </c>
      <c r="G1876" s="14">
        <f t="shared" ref="G1876:G1939" si="238">Phi*EpsilonF*Botzman/10^8*J1876*((D1876+273)^4-(E1876+273)^4)</f>
        <v>0</v>
      </c>
      <c r="H1876" s="24">
        <f t="shared" si="236"/>
        <v>1192.4501206569025</v>
      </c>
      <c r="I1876" s="12">
        <f t="shared" si="235"/>
        <v>0.18385591542040916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758.70721166353553</v>
      </c>
      <c r="F1877" s="38">
        <f t="shared" si="237"/>
        <v>0.14205060151625717</v>
      </c>
      <c r="G1877" s="14">
        <f t="shared" si="238"/>
        <v>0</v>
      </c>
      <c r="H1877" s="24">
        <f t="shared" si="236"/>
        <v>1188.1538552633306</v>
      </c>
      <c r="I1877" s="12">
        <f t="shared" ref="I1877:I1940" si="243">LambdaP*MassivP/(dp/1000)/(H1877*RhoA)/(1+F1877/3)*(D1877-E1877)*DeltaT-(EXP(F1877/10)-1)*(D1877-D1876)</f>
        <v>0.18443274258402315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758.89164440611955</v>
      </c>
      <c r="F1878" s="38">
        <f t="shared" si="237"/>
        <v>0.14256087907035228</v>
      </c>
      <c r="G1878" s="14">
        <f t="shared" si="238"/>
        <v>0</v>
      </c>
      <c r="H1878" s="24">
        <f t="shared" si="236"/>
        <v>1183.9010178292037</v>
      </c>
      <c r="I1878" s="12">
        <f t="shared" si="243"/>
        <v>0.18500673617019359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759.07665114228973</v>
      </c>
      <c r="F1879" s="38">
        <f t="shared" si="237"/>
        <v>0.14306963312709217</v>
      </c>
      <c r="G1879" s="14">
        <f t="shared" si="238"/>
        <v>0</v>
      </c>
      <c r="H1879" s="24">
        <f t="shared" si="236"/>
        <v>1179.6910787077127</v>
      </c>
      <c r="I1879" s="12">
        <f t="shared" si="243"/>
        <v>0.18557788759127058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759.26222902988104</v>
      </c>
      <c r="F1880" s="38">
        <f t="shared" si="237"/>
        <v>0.14357685544169227</v>
      </c>
      <c r="G1880" s="14">
        <f t="shared" si="238"/>
        <v>0</v>
      </c>
      <c r="H1880" s="24">
        <f t="shared" si="236"/>
        <v>1175.5235153660137</v>
      </c>
      <c r="I1880" s="12">
        <f t="shared" si="243"/>
        <v>0.1861461886499613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759.44837521853105</v>
      </c>
      <c r="F1881" s="38">
        <f t="shared" si="237"/>
        <v>0.14408253802739959</v>
      </c>
      <c r="G1881" s="14">
        <f t="shared" si="238"/>
        <v>0</v>
      </c>
      <c r="H1881" s="24">
        <f t="shared" si="236"/>
        <v>1171.3978122867343</v>
      </c>
      <c r="I1881" s="12">
        <f t="shared" si="243"/>
        <v>0.18671163153497228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759.63508685006605</v>
      </c>
      <c r="F1882" s="38">
        <f t="shared" si="237"/>
        <v>0.14458667315299584</v>
      </c>
      <c r="G1882" s="14">
        <f t="shared" si="238"/>
        <v>0</v>
      </c>
      <c r="H1882" s="24">
        <f t="shared" si="236"/>
        <v>1167.3134608707815</v>
      </c>
      <c r="I1882" s="12">
        <f t="shared" si="243"/>
        <v>0.18727420881660661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759.82236105888262</v>
      </c>
      <c r="F1883" s="38">
        <f t="shared" si="237"/>
        <v>0.14508925334026879</v>
      </c>
      <c r="G1883" s="14">
        <f t="shared" si="238"/>
        <v>0</v>
      </c>
      <c r="H1883" s="24">
        <f t="shared" si="236"/>
        <v>1163.2699593414518</v>
      </c>
      <c r="I1883" s="12">
        <f t="shared" si="243"/>
        <v>0.18783391344230266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760.01019497232494</v>
      </c>
      <c r="F1884" s="38">
        <f t="shared" si="237"/>
        <v>0.14559027136145428</v>
      </c>
      <c r="G1884" s="14">
        <f t="shared" si="238"/>
        <v>0</v>
      </c>
      <c r="H1884" s="24">
        <f t="shared" si="236"/>
        <v>1159.2668126498243</v>
      </c>
      <c r="I1884" s="12">
        <f t="shared" si="243"/>
        <v>0.18839073873221529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760.19858571105715</v>
      </c>
      <c r="F1885" s="38">
        <f t="shared" si="237"/>
        <v>0.14608972023665009</v>
      </c>
      <c r="G1885" s="14">
        <f t="shared" si="238"/>
        <v>0</v>
      </c>
      <c r="H1885" s="24">
        <f t="shared" si="236"/>
        <v>1155.3035323814256</v>
      </c>
      <c r="I1885" s="12">
        <f t="shared" si="243"/>
        <v>0.18894467837470186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760.38753038943184</v>
      </c>
      <c r="F1886" s="38">
        <f t="shared" si="237"/>
        <v>0.14658759323120568</v>
      </c>
      <c r="G1886" s="14">
        <f t="shared" si="238"/>
        <v>0</v>
      </c>
      <c r="H1886" s="24">
        <f t="shared" si="236"/>
        <v>1151.3796366641382</v>
      </c>
      <c r="I1886" s="12">
        <f t="shared" si="243"/>
        <v>0.18949572642179585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760.57702611585364</v>
      </c>
      <c r="F1887" s="38">
        <f t="shared" si="237"/>
        <v>0.14708388385308685</v>
      </c>
      <c r="G1887" s="14">
        <f t="shared" si="238"/>
        <v>0</v>
      </c>
      <c r="H1887" s="24">
        <f t="shared" si="236"/>
        <v>1147.494650077354</v>
      </c>
      <c r="I1887" s="12">
        <f t="shared" si="243"/>
        <v>0.19004387728467209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760.76706999313831</v>
      </c>
      <c r="F1888" s="38">
        <f t="shared" si="237"/>
        <v>0.14757858585021866</v>
      </c>
      <c r="G1888" s="14">
        <f t="shared" si="238"/>
        <v>0</v>
      </c>
      <c r="H1888" s="24">
        <f t="shared" si="236"/>
        <v>1143.6481035623506</v>
      </c>
      <c r="I1888" s="12">
        <f t="shared" si="243"/>
        <v>0.19058912572913006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760.95765911886747</v>
      </c>
      <c r="F1889" s="38">
        <f t="shared" si="237"/>
        <v>0.14807169320780822</v>
      </c>
      <c r="G1889" s="14">
        <f t="shared" si="238"/>
        <v>0</v>
      </c>
      <c r="H1889" s="24">
        <f t="shared" si="236"/>
        <v>1139.8395343338721</v>
      </c>
      <c r="I1889" s="12">
        <f t="shared" si="243"/>
        <v>0.19113146687094551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761.14879058573842</v>
      </c>
      <c r="F1890" s="38">
        <f t="shared" si="237"/>
        <v>0.14856320014564842</v>
      </c>
      <c r="G1890" s="14">
        <f t="shared" si="238"/>
        <v>0</v>
      </c>
      <c r="H1890" s="24">
        <f t="shared" si="236"/>
        <v>1136.0684857929116</v>
      </c>
      <c r="I1890" s="12">
        <f t="shared" si="243"/>
        <v>0.19167089617133254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761.34046148190976</v>
      </c>
      <c r="F1891" s="38">
        <f t="shared" si="237"/>
        <v>0.14905310111540501</v>
      </c>
      <c r="G1891" s="14">
        <f t="shared" si="238"/>
        <v>0</v>
      </c>
      <c r="H1891" s="24">
        <f t="shared" si="236"/>
        <v>1132.334507440667</v>
      </c>
      <c r="I1891" s="12">
        <f t="shared" si="243"/>
        <v>0.19220740943233042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761.53266889134204</v>
      </c>
      <c r="F1892" s="38">
        <f t="shared" si="237"/>
        <v>0.14954139079788781</v>
      </c>
      <c r="G1892" s="14">
        <f t="shared" si="238"/>
        <v>0</v>
      </c>
      <c r="H1892" s="24">
        <f t="shared" si="236"/>
        <v>1128.6371547936678</v>
      </c>
      <c r="I1892" s="12">
        <f t="shared" si="243"/>
        <v>0.1927410027921628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761.72540989413426</v>
      </c>
      <c r="F1893" s="38">
        <f t="shared" si="237"/>
        <v>0.15002806410030894</v>
      </c>
      <c r="G1893" s="14">
        <f t="shared" si="238"/>
        <v>0</v>
      </c>
      <c r="H1893" s="24">
        <f t="shared" si="236"/>
        <v>1124.975989300048</v>
      </c>
      <c r="I1893" s="12">
        <f t="shared" si="243"/>
        <v>0.19327167272067428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761.91868156685496</v>
      </c>
      <c r="F1894" s="38">
        <f t="shared" si="237"/>
        <v>0.15051311615352692</v>
      </c>
      <c r="G1894" s="14">
        <f t="shared" si="238"/>
        <v>0</v>
      </c>
      <c r="H1894" s="24">
        <f t="shared" si="236"/>
        <v>1121.3505782569709</v>
      </c>
      <c r="I1894" s="12">
        <f t="shared" si="243"/>
        <v>0.19379941601462428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762.11248098286956</v>
      </c>
      <c r="F1895" s="38">
        <f t="shared" si="237"/>
        <v>0.15099654230928222</v>
      </c>
      <c r="G1895" s="14">
        <f t="shared" si="238"/>
        <v>0</v>
      </c>
      <c r="H1895" s="24">
        <f t="shared" si="236"/>
        <v>1117.7604947291616</v>
      </c>
      <c r="I1895" s="12">
        <f t="shared" si="243"/>
        <v>0.19432422979312555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762.30680521266265</v>
      </c>
      <c r="F1896" s="38">
        <f t="shared" si="237"/>
        <v>0.15147833813742201</v>
      </c>
      <c r="G1896" s="14">
        <f t="shared" si="238"/>
        <v>0</v>
      </c>
      <c r="H1896" s="24">
        <f t="shared" si="236"/>
        <v>1114.2053174685595</v>
      </c>
      <c r="I1896" s="12">
        <f t="shared" si="243"/>
        <v>0.19484611149299083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762.50165132415566</v>
      </c>
      <c r="F1897" s="38">
        <f t="shared" si="237"/>
        <v>0.15195849942311754</v>
      </c>
      <c r="G1897" s="14">
        <f t="shared" si="238"/>
        <v>0</v>
      </c>
      <c r="H1897" s="24">
        <f t="shared" si="236"/>
        <v>1110.6846308350673</v>
      </c>
      <c r="I1897" s="12">
        <f t="shared" si="243"/>
        <v>0.19536505886407154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762.69701638301979</v>
      </c>
      <c r="F1898" s="38">
        <f t="shared" si="237"/>
        <v>0.15243702216407465</v>
      </c>
      <c r="G1898" s="14">
        <f t="shared" si="238"/>
        <v>0</v>
      </c>
      <c r="H1898" s="24">
        <f t="shared" si="236"/>
        <v>1107.1980247183847</v>
      </c>
      <c r="I1898" s="12">
        <f t="shared" si="243"/>
        <v>0.195881069964666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762.89289745298447</v>
      </c>
      <c r="F1899" s="38">
        <f t="shared" si="237"/>
        <v>0.15291390256773923</v>
      </c>
      <c r="G1899" s="14">
        <f t="shared" si="238"/>
        <v>0</v>
      </c>
      <c r="H1899" s="24">
        <f t="shared" si="236"/>
        <v>1103.7450944609122</v>
      </c>
      <c r="I1899" s="12">
        <f t="shared" si="243"/>
        <v>0.19639414315689535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763.08929159614138</v>
      </c>
      <c r="F1900" s="38">
        <f t="shared" si="237"/>
        <v>0.15338913704849938</v>
      </c>
      <c r="G1900" s="14">
        <f t="shared" si="238"/>
        <v>0</v>
      </c>
      <c r="H1900" s="24">
        <f t="shared" si="236"/>
        <v>1100.3254407817089</v>
      </c>
      <c r="I1900" s="12">
        <f t="shared" si="243"/>
        <v>0.19690427710204469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763.2861958732434</v>
      </c>
      <c r="F1901" s="38">
        <f t="shared" si="237"/>
        <v>0.15386272222488445</v>
      </c>
      <c r="G1901" s="14">
        <f t="shared" si="238"/>
        <v>0</v>
      </c>
      <c r="H1901" s="24">
        <f t="shared" si="236"/>
        <v>1096.9386697014993</v>
      </c>
      <c r="I1901" s="12">
        <f t="shared" si="243"/>
        <v>0.19741147075601551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763.48360734399944</v>
      </c>
      <c r="F1902" s="38">
        <f t="shared" si="237"/>
        <v>0.15433465491676304</v>
      </c>
      <c r="G1902" s="14">
        <f t="shared" si="238"/>
        <v>0</v>
      </c>
      <c r="H1902" s="24">
        <f t="shared" si="236"/>
        <v>1093.5843924687083</v>
      </c>
      <c r="I1902" s="12">
        <f t="shared" si="243"/>
        <v>0.19791572336466373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763.68152306736408</v>
      </c>
      <c r="F1903" s="38">
        <f t="shared" si="237"/>
        <v>0.15480493214254057</v>
      </c>
      <c r="G1903" s="14">
        <f t="shared" si="238"/>
        <v>0</v>
      </c>
      <c r="H1903" s="24">
        <f t="shared" si="236"/>
        <v>1090.2622254865205</v>
      </c>
      <c r="I1903" s="12">
        <f t="shared" si="243"/>
        <v>0.19841703445926021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763.87994010182331</v>
      </c>
      <c r="F1904" s="38">
        <f t="shared" si="237"/>
        <v>0.15527355111635849</v>
      </c>
      <c r="G1904" s="14">
        <f t="shared" si="238"/>
        <v>0</v>
      </c>
      <c r="H1904" s="24">
        <f t="shared" si="236"/>
        <v>1086.9717902409384</v>
      </c>
      <c r="I1904" s="12">
        <f t="shared" si="243"/>
        <v>0.1989154038518848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764.07885550567516</v>
      </c>
      <c r="F1905" s="38">
        <f t="shared" si="237"/>
        <v>0.15574050924529584</v>
      </c>
      <c r="G1905" s="14">
        <f t="shared" si="238"/>
        <v>0</v>
      </c>
      <c r="H1905" s="24">
        <f t="shared" si="236"/>
        <v>1083.7127132298369</v>
      </c>
      <c r="I1905" s="12">
        <f t="shared" si="243"/>
        <v>0.19941083163088089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764.27826633730604</v>
      </c>
      <c r="F1906" s="38">
        <f t="shared" si="237"/>
        <v>0.15620580412657328</v>
      </c>
      <c r="G1906" s="14">
        <f t="shared" si="238"/>
        <v>0</v>
      </c>
      <c r="H1906" s="24">
        <f t="shared" si="236"/>
        <v>1080.484625893002</v>
      </c>
      <c r="I1906" s="12">
        <f t="shared" si="243"/>
        <v>0.19990331815632176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764.47816965546235</v>
      </c>
      <c r="F1907" s="38">
        <f t="shared" si="237"/>
        <v>0.15666943354476262</v>
      </c>
      <c r="G1907" s="14">
        <f t="shared" si="238"/>
        <v>0</v>
      </c>
      <c r="H1907" s="24">
        <f t="shared" si="236"/>
        <v>1077.2871645431328</v>
      </c>
      <c r="I1907" s="12">
        <f t="shared" si="243"/>
        <v>0.20039286405544385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764.67856251951775</v>
      </c>
      <c r="F1908" s="38">
        <f t="shared" si="237"/>
        <v>0.15713139546900107</v>
      </c>
      <c r="G1908" s="14">
        <f t="shared" si="238"/>
        <v>0</v>
      </c>
      <c r="H1908" s="24">
        <f t="shared" si="236"/>
        <v>1074.1199702978049</v>
      </c>
      <c r="I1908" s="12">
        <f t="shared" si="243"/>
        <v>0.20087947021819963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764.87944198973594</v>
      </c>
      <c r="F1909" s="38">
        <f t="shared" si="237"/>
        <v>0.15759168805021292</v>
      </c>
      <c r="G1909" s="14">
        <f t="shared" si="238"/>
        <v>0</v>
      </c>
      <c r="H1909" s="24">
        <f t="shared" si="236"/>
        <v>1070.9826890123727</v>
      </c>
      <c r="I1909" s="12">
        <f t="shared" si="243"/>
        <v>0.20136313779273038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765.08080512752872</v>
      </c>
      <c r="F1910" s="38">
        <f t="shared" si="237"/>
        <v>0.15805030961833783</v>
      </c>
      <c r="G1910" s="14">
        <f t="shared" si="238"/>
        <v>0</v>
      </c>
      <c r="H1910" s="24">
        <f t="shared" si="236"/>
        <v>1067.8749712138087</v>
      </c>
      <c r="I1910" s="12">
        <f t="shared" si="243"/>
        <v>0.20184386818090927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765.28264899570968</v>
      </c>
      <c r="F1911" s="38">
        <f t="shared" si="237"/>
        <v>0.15850725867956755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1064.796472035463</v>
      </c>
      <c r="I1911" s="12">
        <f t="shared" si="243"/>
        <v>0.20232166303391214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765.48497065874358</v>
      </c>
      <c r="F1912" s="38">
        <f t="shared" si="237"/>
        <v>0.15896253391359283</v>
      </c>
      <c r="G1912" s="14">
        <f t="shared" si="238"/>
        <v>0</v>
      </c>
      <c r="H1912" s="24">
        <f t="shared" si="244"/>
        <v>1061.7468511527291</v>
      </c>
      <c r="I1912" s="12">
        <f t="shared" si="243"/>
        <v>0.20279652424779046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765.68776718299137</v>
      </c>
      <c r="F1913" s="38">
        <f t="shared" si="237"/>
        <v>0.15941613417086006</v>
      </c>
      <c r="G1913" s="14">
        <f t="shared" si="238"/>
        <v>0</v>
      </c>
      <c r="H1913" s="24">
        <f t="shared" si="244"/>
        <v>1058.7257727196052</v>
      </c>
      <c r="I1913" s="12">
        <f t="shared" si="243"/>
        <v>0.20326845395909648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765.89103563695051</v>
      </c>
      <c r="F1914" s="38">
        <f t="shared" si="237"/>
        <v>0.15986805846983917</v>
      </c>
      <c r="G1914" s="14">
        <f t="shared" si="238"/>
        <v>0</v>
      </c>
      <c r="H1914" s="24">
        <f t="shared" si="244"/>
        <v>1055.7329053061458</v>
      </c>
      <c r="I1914" s="12">
        <f t="shared" si="243"/>
        <v>0.20373745454049758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766.09477309149099</v>
      </c>
      <c r="F1915" s="38">
        <f t="shared" si="237"/>
        <v>0.1603183059943025</v>
      </c>
      <c r="G1915" s="14">
        <f t="shared" si="238"/>
        <v>0</v>
      </c>
      <c r="H1915" s="24">
        <f t="shared" si="244"/>
        <v>1052.7679218367878</v>
      </c>
      <c r="I1915" s="12">
        <f t="shared" si="243"/>
        <v>0.20420352859646224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766.2989766200875</v>
      </c>
      <c r="F1916" s="38">
        <f t="shared" si="237"/>
        <v>0.16076687609061838</v>
      </c>
      <c r="G1916" s="14">
        <f t="shared" si="238"/>
        <v>0</v>
      </c>
      <c r="H1916" s="24">
        <f t="shared" si="244"/>
        <v>1049.8304995295307</v>
      </c>
      <c r="I1916" s="12">
        <f t="shared" si="243"/>
        <v>0.2046666789589327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766.50364329904642</v>
      </c>
      <c r="F1917" s="38">
        <f t="shared" si="237"/>
        <v>0.16121376826505576</v>
      </c>
      <c r="G1917" s="14">
        <f t="shared" si="238"/>
        <v>0</v>
      </c>
      <c r="H1917" s="24">
        <f t="shared" si="244"/>
        <v>1046.9203198359821</v>
      </c>
      <c r="I1917" s="12">
        <f t="shared" si="243"/>
        <v>0.20512690868308273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766.70877020772946</v>
      </c>
      <c r="F1918" s="38">
        <f t="shared" si="237"/>
        <v>0.16165898218110514</v>
      </c>
      <c r="G1918" s="14">
        <f t="shared" si="238"/>
        <v>0</v>
      </c>
      <c r="H1918" s="24">
        <f t="shared" si="244"/>
        <v>1044.0370683822293</v>
      </c>
      <c r="I1918" s="12">
        <f t="shared" si="243"/>
        <v>0.20558422104301871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766.91435442877253</v>
      </c>
      <c r="F1919" s="38">
        <f t="shared" si="237"/>
        <v>0.16210251765681333</v>
      </c>
      <c r="G1919" s="14">
        <f t="shared" si="238"/>
        <v>0</v>
      </c>
      <c r="H1919" s="24">
        <f t="shared" si="244"/>
        <v>1041.1804349105503</v>
      </c>
      <c r="I1919" s="12">
        <f t="shared" si="243"/>
        <v>0.20603861952761182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767.12039304830012</v>
      </c>
      <c r="F1920" s="38">
        <f t="shared" si="237"/>
        <v>0.16254437466213312</v>
      </c>
      <c r="G1920" s="14">
        <f t="shared" si="238"/>
        <v>0</v>
      </c>
      <c r="H1920" s="24">
        <f t="shared" si="244"/>
        <v>1038.3501132219444</v>
      </c>
      <c r="I1920" s="12">
        <f t="shared" si="243"/>
        <v>0.20649010783630106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767.32688315613643</v>
      </c>
      <c r="F1921" s="38">
        <f t="shared" si="237"/>
        <v>0.16298455331629103</v>
      </c>
      <c r="G1921" s="14">
        <f t="shared" si="238"/>
        <v>0</v>
      </c>
      <c r="H1921" s="24">
        <f t="shared" si="244"/>
        <v>1035.545801119461</v>
      </c>
      <c r="I1921" s="12">
        <f t="shared" si="243"/>
        <v>0.20693868987494154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767.53382184601139</v>
      </c>
      <c r="F1922" s="38">
        <f t="shared" si="237"/>
        <v>0.16342305388517006</v>
      </c>
      <c r="G1922" s="14">
        <f t="shared" si="238"/>
        <v>0</v>
      </c>
      <c r="H1922" s="24">
        <f t="shared" si="244"/>
        <v>1032.7672003523362</v>
      </c>
      <c r="I1922" s="12">
        <f t="shared" si="243"/>
        <v>0.20738436975167546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767.7412062157631</v>
      </c>
      <c r="F1923" s="38">
        <f t="shared" si="237"/>
        <v>0.16385987677871086</v>
      </c>
      <c r="G1923" s="14">
        <f t="shared" si="238"/>
        <v>0</v>
      </c>
      <c r="H1923" s="24">
        <f t="shared" si="244"/>
        <v>1030.0140165609118</v>
      </c>
      <c r="I1923" s="12">
        <f t="shared" si="243"/>
        <v>0.20782715177289207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767.949033367536</v>
      </c>
      <c r="F1924" s="38">
        <f t="shared" si="237"/>
        <v>0.16429502254833045</v>
      </c>
      <c r="G1924" s="14">
        <f t="shared" si="238"/>
        <v>0</v>
      </c>
      <c r="H1924" s="24">
        <f t="shared" si="244"/>
        <v>1027.2859592223306</v>
      </c>
      <c r="I1924" s="12">
        <f t="shared" si="243"/>
        <v>0.20826704043914315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768.15730040797519</v>
      </c>
      <c r="F1925" s="38">
        <f t="shared" si="237"/>
        <v>0.16472849188435965</v>
      </c>
      <c r="G1925" s="14">
        <f t="shared" si="238"/>
        <v>0</v>
      </c>
      <c r="H1925" s="24">
        <f t="shared" si="244"/>
        <v>1024.5827415969982</v>
      </c>
      <c r="I1925" s="12">
        <f t="shared" si="243"/>
        <v>0.20870404044114618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768.36600444841633</v>
      </c>
      <c r="F1926" s="38">
        <f t="shared" si="237"/>
        <v>0.16516028561349913</v>
      </c>
      <c r="G1926" s="14">
        <f t="shared" si="238"/>
        <v>0</v>
      </c>
      <c r="H1926" s="24">
        <f t="shared" si="244"/>
        <v>1021.9040806758042</v>
      </c>
      <c r="I1926" s="12">
        <f t="shared" si="243"/>
        <v>0.20913815665584873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768.57514260507219</v>
      </c>
      <c r="F1927" s="38">
        <f t="shared" si="237"/>
        <v>0.16559040469629571</v>
      </c>
      <c r="G1927" s="14">
        <f t="shared" si="238"/>
        <v>0</v>
      </c>
      <c r="H1927" s="24">
        <f t="shared" si="244"/>
        <v>1019.2496971280827</v>
      </c>
      <c r="I1927" s="12">
        <f t="shared" si="243"/>
        <v>0.20956939414241746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768.78471199921455</v>
      </c>
      <c r="F1928" s="38">
        <f t="shared" si="237"/>
        <v>0.16601885022463767</v>
      </c>
      <c r="G1928" s="14">
        <f t="shared" si="238"/>
        <v>0</v>
      </c>
      <c r="H1928" s="24">
        <f t="shared" si="244"/>
        <v>1016.619315250317</v>
      </c>
      <c r="I1928" s="12">
        <f t="shared" si="243"/>
        <v>0.20999775813842275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768.99470975735301</v>
      </c>
      <c r="F1929" s="38">
        <f t="shared" si="237"/>
        <v>0.16644562341927133</v>
      </c>
      <c r="G1929" s="14">
        <f t="shared" si="238"/>
        <v>0</v>
      </c>
      <c r="H1929" s="24">
        <f t="shared" si="244"/>
        <v>1014.0126629155615</v>
      </c>
      <c r="I1929" s="12">
        <f t="shared" si="243"/>
        <v>0.21042325405593226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769.20513301140898</v>
      </c>
      <c r="F1930" s="38">
        <f t="shared" si="237"/>
        <v>0.1668707256273374</v>
      </c>
      <c r="G1930" s="14">
        <f t="shared" si="238"/>
        <v>0</v>
      </c>
      <c r="H1930" s="24">
        <f t="shared" si="244"/>
        <v>1011.4294715235912</v>
      </c>
      <c r="I1930" s="12">
        <f t="shared" si="243"/>
        <v>0.21084588747769489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769.41597889888669</v>
      </c>
      <c r="F1931" s="38">
        <f t="shared" si="237"/>
        <v>0.16729415831992944</v>
      </c>
      <c r="G1931" s="14">
        <f t="shared" si="238"/>
        <v>0</v>
      </c>
      <c r="H1931" s="24">
        <f t="shared" si="244"/>
        <v>1008.8694759517485</v>
      </c>
      <c r="I1931" s="12">
        <f t="shared" si="243"/>
        <v>0.2112656641533904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769.62724456304011</v>
      </c>
      <c r="F1932" s="38">
        <f t="shared" si="237"/>
        <v>0.16771592308967359</v>
      </c>
      <c r="G1932" s="14">
        <f t="shared" si="238"/>
        <v>0</v>
      </c>
      <c r="H1932" s="24">
        <f t="shared" si="244"/>
        <v>1006.3324145064905</v>
      </c>
      <c r="I1932" s="12">
        <f t="shared" si="243"/>
        <v>0.21168258999585129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769.83892715303591</v>
      </c>
      <c r="F1933" s="38">
        <f t="shared" si="237"/>
        <v>0.16813602164832972</v>
      </c>
      <c r="G1933" s="14">
        <f t="shared" si="238"/>
        <v>0</v>
      </c>
      <c r="H1933" s="24">
        <f t="shared" si="244"/>
        <v>1003.8180288756269</v>
      </c>
      <c r="I1933" s="12">
        <f t="shared" si="243"/>
        <v>0.21209667107737304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770.05102382411326</v>
      </c>
      <c r="F1934" s="38">
        <f t="shared" si="237"/>
        <v>0.16855445582441581</v>
      </c>
      <c r="G1934" s="14">
        <f t="shared" si="238"/>
        <v>0</v>
      </c>
      <c r="H1934" s="24">
        <f t="shared" si="244"/>
        <v>1001.3260640812314</v>
      </c>
      <c r="I1934" s="12">
        <f t="shared" si="243"/>
        <v>0.21250791362608379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770.2635317377393</v>
      </c>
      <c r="F1935" s="38">
        <f t="shared" si="237"/>
        <v>0.1689712275608535</v>
      </c>
      <c r="G1935" s="14">
        <f t="shared" si="238"/>
        <v>0</v>
      </c>
      <c r="H1935" s="24">
        <f t="shared" si="244"/>
        <v>998.85626843322871</v>
      </c>
      <c r="I1935" s="12">
        <f t="shared" si="243"/>
        <v>0.21291632402227101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770.47644806176152</v>
      </c>
      <c r="F1936" s="38">
        <f t="shared" si="237"/>
        <v>0.1693863389126376</v>
      </c>
      <c r="G1936" s="14">
        <f t="shared" si="238"/>
        <v>0</v>
      </c>
      <c r="H1936" s="24">
        <f t="shared" si="244"/>
        <v>996.40839348363693</v>
      </c>
      <c r="I1936" s="12">
        <f t="shared" si="243"/>
        <v>0.21332190879485524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770.68976997055643</v>
      </c>
      <c r="F1937" s="38">
        <f t="shared" si="237"/>
        <v>0.16979979204452803</v>
      </c>
      <c r="G1937" s="14">
        <f t="shared" si="238"/>
        <v>0</v>
      </c>
      <c r="H1937" s="24">
        <f t="shared" si="244"/>
        <v>993.98219398146273</v>
      </c>
      <c r="I1937" s="12">
        <f t="shared" si="243"/>
        <v>0.21372467461779895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770.90349464517419</v>
      </c>
      <c r="F1938" s="38">
        <f t="shared" si="237"/>
        <v>0.17021158922876464</v>
      </c>
      <c r="G1938" s="14">
        <f t="shared" si="238"/>
        <v>0</v>
      </c>
      <c r="H1938" s="24">
        <f t="shared" si="244"/>
        <v>991.57742782824403</v>
      </c>
      <c r="I1938" s="12">
        <f t="shared" si="243"/>
        <v>0.21412462830666565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771.11761927348084</v>
      </c>
      <c r="F1939" s="38">
        <f t="shared" si="237"/>
        <v>0.17062173284280716</v>
      </c>
      <c r="G1939" s="14">
        <f t="shared" si="238"/>
        <v>0</v>
      </c>
      <c r="H1939" s="24">
        <f t="shared" si="244"/>
        <v>989.19385603421506</v>
      </c>
      <c r="I1939" s="12">
        <f t="shared" si="243"/>
        <v>0.21452177681511603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771.33214105029595</v>
      </c>
      <c r="F1940" s="38">
        <f t="shared" ref="F1940:F2003" si="245">Cp*RhoP/(RhoA*H1940)*dp/1000*MassivP</f>
        <v>0.17103022536709694</v>
      </c>
      <c r="G1940" s="14">
        <f t="shared" ref="G1940:G2003" si="246">Phi*EpsilonF*Botzman/10^8*J1940*((D1940+273)^4-(E1940+273)^4)</f>
        <v>0</v>
      </c>
      <c r="H1940" s="24">
        <f t="shared" si="244"/>
        <v>986.83124267510811</v>
      </c>
      <c r="I1940" s="12">
        <f t="shared" si="243"/>
        <v>0.21491612723151945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771.54705717752745</v>
      </c>
      <c r="F1941" s="38">
        <f t="shared" si="245"/>
        <v>0.1714370693828437</v>
      </c>
      <c r="G1941" s="14">
        <f t="shared" si="246"/>
        <v>0</v>
      </c>
      <c r="H1941" s="24">
        <f t="shared" si="244"/>
        <v>984.48935484956587</v>
      </c>
      <c r="I1941" s="12">
        <f t="shared" ref="I1941:I2004" si="251">LambdaP*MassivP/(dp/1000)/(H1941*RhoA)/(1+F1941/3)*(D1941-E1941)*DeltaT-(EXP(F1941/10)-1)*(D1941-D1940)</f>
        <v>0.21530768677558235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771.76236486430298</v>
      </c>
      <c r="F1942" s="38">
        <f t="shared" si="245"/>
        <v>0.17184226756983609</v>
      </c>
      <c r="G1942" s="14">
        <f t="shared" si="246"/>
        <v>0</v>
      </c>
      <c r="H1942" s="24">
        <f t="shared" si="244"/>
        <v>982.16796263716265</v>
      </c>
      <c r="I1942" s="12">
        <f t="shared" si="251"/>
        <v>0.21569646279500565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771.97806132709798</v>
      </c>
      <c r="F1943" s="38">
        <f t="shared" si="245"/>
        <v>0.17224582270427646</v>
      </c>
      <c r="G1943" s="14">
        <f t="shared" si="246"/>
        <v>0</v>
      </c>
      <c r="H1943" s="24">
        <f t="shared" si="244"/>
        <v>979.86683905702466</v>
      </c>
      <c r="I1943" s="12">
        <f t="shared" si="251"/>
        <v>0.21608246276219295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772.19414378986016</v>
      </c>
      <c r="F1944" s="38">
        <f t="shared" si="245"/>
        <v>0.17264773765663993</v>
      </c>
      <c r="G1944" s="14">
        <f t="shared" si="246"/>
        <v>0</v>
      </c>
      <c r="H1944" s="24">
        <f t="shared" si="244"/>
        <v>977.58576002704422</v>
      </c>
      <c r="I1944" s="12">
        <f t="shared" si="251"/>
        <v>0.21646569427103809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772.41060948413121</v>
      </c>
      <c r="F1945" s="38">
        <f t="shared" si="245"/>
        <v>0.17304801538955789</v>
      </c>
      <c r="G1945" s="14">
        <f t="shared" si="246"/>
        <v>0</v>
      </c>
      <c r="H1945" s="24">
        <f t="shared" si="244"/>
        <v>975.32450432367409</v>
      </c>
      <c r="I1945" s="12">
        <f t="shared" si="251"/>
        <v>0.21684616503366283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772.62745564916486</v>
      </c>
      <c r="F1946" s="38">
        <f t="shared" si="245"/>
        <v>0.17344665895572622</v>
      </c>
      <c r="G1946" s="14">
        <f t="shared" si="246"/>
        <v>0</v>
      </c>
      <c r="H1946" s="24">
        <f t="shared" si="244"/>
        <v>973.08285354229929</v>
      </c>
      <c r="I1946" s="12">
        <f t="shared" si="251"/>
        <v>0.21722388287731231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772.84467953204216</v>
      </c>
      <c r="F1947" s="38">
        <f t="shared" si="245"/>
        <v>0.17384367149583818</v>
      </c>
      <c r="G1947" s="14">
        <f t="shared" si="246"/>
        <v>0</v>
      </c>
      <c r="H1947" s="24">
        <f t="shared" si="244"/>
        <v>970.86059205817332</v>
      </c>
      <c r="I1947" s="12">
        <f t="shared" si="251"/>
        <v>0.21759885574120311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773.06227838778341</v>
      </c>
      <c r="F1948" s="38">
        <f t="shared" si="245"/>
        <v>0.17423905623654207</v>
      </c>
      <c r="G1948" s="14">
        <f t="shared" si="246"/>
        <v>0</v>
      </c>
      <c r="H1948" s="24">
        <f t="shared" si="244"/>
        <v>968.65750698791567</v>
      </c>
      <c r="I1948" s="12">
        <f t="shared" si="251"/>
        <v>0.21797109167343387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773.28024947945687</v>
      </c>
      <c r="F1949" s="38">
        <f t="shared" si="245"/>
        <v>0.17463281648842297</v>
      </c>
      <c r="G1949" s="14">
        <f t="shared" si="246"/>
        <v>0</v>
      </c>
      <c r="H1949" s="24">
        <f t="shared" si="244"/>
        <v>966.47338815156195</v>
      </c>
      <c r="I1949" s="12">
        <f t="shared" si="251"/>
        <v>0.21834059882798693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773.49859007828491</v>
      </c>
      <c r="F1950" s="38">
        <f t="shared" si="245"/>
        <v>0.17502495564401052</v>
      </c>
      <c r="G1950" s="14">
        <f t="shared" si="246"/>
        <v>0</v>
      </c>
      <c r="H1950" s="24">
        <f t="shared" si="244"/>
        <v>964.30802803515394</v>
      </c>
      <c r="I1950" s="12">
        <f t="shared" si="251"/>
        <v>0.21870738546170632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773.7172974637466</v>
      </c>
      <c r="F1951" s="38">
        <f t="shared" si="245"/>
        <v>0.17541547717581074</v>
      </c>
      <c r="G1951" s="14">
        <f t="shared" si="246"/>
        <v>0</v>
      </c>
      <c r="H1951" s="24">
        <f t="shared" si="244"/>
        <v>962.16122175386943</v>
      </c>
      <c r="I1951" s="12">
        <f t="shared" si="251"/>
        <v>0.21907145993134525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773.93636892367795</v>
      </c>
      <c r="F1952" s="38">
        <f t="shared" si="245"/>
        <v>0.17580438463436315</v>
      </c>
      <c r="G1952" s="14">
        <f t="shared" si="246"/>
        <v>0</v>
      </c>
      <c r="H1952" s="24">
        <f t="shared" si="244"/>
        <v>960.03276701567734</v>
      </c>
      <c r="I1952" s="12">
        <f t="shared" si="251"/>
        <v>0.21943283069065858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774.15580175436855</v>
      </c>
      <c r="F1953" s="38">
        <f t="shared" si="245"/>
        <v>0.1761916816463221</v>
      </c>
      <c r="G1953" s="14">
        <f t="shared" si="246"/>
        <v>0</v>
      </c>
      <c r="H1953" s="24">
        <f t="shared" si="244"/>
        <v>957.92246408551841</v>
      </c>
      <c r="I1953" s="12">
        <f t="shared" si="251"/>
        <v>0.21979150628754157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774.37559326065605</v>
      </c>
      <c r="F1954" s="38">
        <f t="shared" si="245"/>
        <v>0.17657737191256423</v>
      </c>
      <c r="G1954" s="14">
        <f t="shared" si="246"/>
        <v>0</v>
      </c>
      <c r="H1954" s="24">
        <f t="shared" si="244"/>
        <v>955.83011574999432</v>
      </c>
      <c r="I1954" s="12">
        <f t="shared" si="251"/>
        <v>0.2201474953612011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774.59574075601722</v>
      </c>
      <c r="F1955" s="38">
        <f t="shared" si="245"/>
        <v>0.17696145920631953</v>
      </c>
      <c r="G1955" s="14">
        <f t="shared" si="246"/>
        <v>0</v>
      </c>
      <c r="H1955" s="24">
        <f t="shared" si="244"/>
        <v>953.75552728256889</v>
      </c>
      <c r="I1955" s="12">
        <f t="shared" si="251"/>
        <v>0.22050080663934221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774.81624156265661</v>
      </c>
      <c r="F1956" s="38">
        <f t="shared" si="245"/>
        <v>0.17734394737132794</v>
      </c>
      <c r="G1956" s="14">
        <f t="shared" si="246"/>
        <v>0</v>
      </c>
      <c r="H1956" s="24">
        <f t="shared" si="244"/>
        <v>951.69850640926484</v>
      </c>
      <c r="I1956" s="12">
        <f t="shared" si="251"/>
        <v>0.22085144893546127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775.03709301159211</v>
      </c>
      <c r="F1957" s="38">
        <f t="shared" si="245"/>
        <v>0.17772484032002048</v>
      </c>
      <c r="G1957" s="14">
        <f t="shared" si="246"/>
        <v>0</v>
      </c>
      <c r="H1957" s="24">
        <f t="shared" si="244"/>
        <v>949.65886327485669</v>
      </c>
      <c r="I1957" s="12">
        <f t="shared" si="251"/>
        <v>0.22119943114612206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775.25829244273825</v>
      </c>
      <c r="F1958" s="38">
        <f t="shared" si="245"/>
        <v>0.17810414203172553</v>
      </c>
      <c r="G1958" s="14">
        <f t="shared" si="246"/>
        <v>0</v>
      </c>
      <c r="H1958" s="24">
        <f t="shared" si="244"/>
        <v>947.63641040954451</v>
      </c>
      <c r="I1958" s="12">
        <f t="shared" si="251"/>
        <v>0.22154476224829187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775.47983720498655</v>
      </c>
      <c r="F1959" s="38">
        <f t="shared" si="245"/>
        <v>0.17848185655089949</v>
      </c>
      <c r="G1959" s="14">
        <f t="shared" si="246"/>
        <v>0</v>
      </c>
      <c r="H1959" s="24">
        <f t="shared" si="244"/>
        <v>945.63096269610969</v>
      </c>
      <c r="I1959" s="12">
        <f t="shared" si="251"/>
        <v>0.22188745129671059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775.70172465628332</v>
      </c>
      <c r="F1960" s="38">
        <f t="shared" si="245"/>
        <v>0.17885798798538227</v>
      </c>
      <c r="G1960" s="14">
        <f t="shared" si="246"/>
        <v>0</v>
      </c>
      <c r="H1960" s="24">
        <f t="shared" si="244"/>
        <v>943.64233733754168</v>
      </c>
      <c r="I1960" s="12">
        <f t="shared" si="251"/>
        <v>0.22222750742132791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775.9239521637046</v>
      </c>
      <c r="F1961" s="38">
        <f t="shared" si="245"/>
        <v>0.1792325405046766</v>
      </c>
      <c r="G1961" s="14">
        <f t="shared" si="246"/>
        <v>0</v>
      </c>
      <c r="H1961" s="24">
        <f t="shared" si="244"/>
        <v>941.67035382513177</v>
      </c>
      <c r="I1961" s="12">
        <f t="shared" si="251"/>
        <v>0.22256493982475278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776.14651710352939</v>
      </c>
      <c r="F1962" s="38">
        <f t="shared" si="245"/>
        <v>0.17960551833825361</v>
      </c>
      <c r="G1962" s="14">
        <f t="shared" si="246"/>
        <v>0</v>
      </c>
      <c r="H1962" s="24">
        <f t="shared" si="244"/>
        <v>939.71483390701906</v>
      </c>
      <c r="I1962" s="12">
        <f t="shared" si="251"/>
        <v>0.22289975777973892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776.36941686130911</v>
      </c>
      <c r="F1963" s="38">
        <f t="shared" si="245"/>
        <v>0.17997692577388047</v>
      </c>
      <c r="G1963" s="14">
        <f t="shared" si="246"/>
        <v>0</v>
      </c>
      <c r="H1963" s="24">
        <f t="shared" si="244"/>
        <v>937.7756015571988</v>
      </c>
      <c r="I1963" s="12">
        <f t="shared" si="251"/>
        <v>0.22323197062674169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776.59264883193589</v>
      </c>
      <c r="F1964" s="38">
        <f t="shared" si="245"/>
        <v>0.18034676715597434</v>
      </c>
      <c r="G1964" s="14">
        <f t="shared" si="246"/>
        <v>0</v>
      </c>
      <c r="H1964" s="24">
        <f t="shared" si="244"/>
        <v>935.852482944965</v>
      </c>
      <c r="I1964" s="12">
        <f t="shared" si="251"/>
        <v>0.22356158777147495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776.81621041970732</v>
      </c>
      <c r="F1965" s="38">
        <f t="shared" si="245"/>
        <v>0.18071504688397894</v>
      </c>
      <c r="G1965" s="14">
        <f t="shared" si="246"/>
        <v>0</v>
      </c>
      <c r="H1965" s="24">
        <f t="shared" si="244"/>
        <v>933.9453064048032</v>
      </c>
      <c r="I1965" s="12">
        <f t="shared" si="251"/>
        <v>0.22388861868254276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777.04009903838983</v>
      </c>
      <c r="F1966" s="38">
        <f t="shared" si="245"/>
        <v>0.18108176941076645</v>
      </c>
      <c r="G1966" s="14">
        <f t="shared" si="246"/>
        <v>0</v>
      </c>
      <c r="H1966" s="24">
        <f t="shared" si="244"/>
        <v>932.05390240670567</v>
      </c>
      <c r="I1966" s="12">
        <f t="shared" si="251"/>
        <v>0.22421307288908598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777.26431211127897</v>
      </c>
      <c r="F1967" s="38">
        <f t="shared" si="245"/>
        <v>0.18144693924106256</v>
      </c>
      <c r="G1967" s="14">
        <f t="shared" si="246"/>
        <v>0</v>
      </c>
      <c r="H1967" s="24">
        <f t="shared" si="244"/>
        <v>930.17810352692118</v>
      </c>
      <c r="I1967" s="12">
        <f t="shared" si="251"/>
        <v>0.22453495997847189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777.4888470712574</v>
      </c>
      <c r="F1968" s="38">
        <f t="shared" si="245"/>
        <v>0.18181056092989517</v>
      </c>
      <c r="G1968" s="14">
        <f t="shared" si="246"/>
        <v>0</v>
      </c>
      <c r="H1968" s="24">
        <f t="shared" si="244"/>
        <v>928.31774441912432</v>
      </c>
      <c r="I1968" s="12">
        <f t="shared" si="251"/>
        <v>0.22485428959404938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777.71370136085147</v>
      </c>
      <c r="F1969" s="38">
        <f t="shared" si="245"/>
        <v>0.1821726390810679</v>
      </c>
      <c r="G1969" s="14">
        <f t="shared" si="246"/>
        <v>0</v>
      </c>
      <c r="H1969" s="24">
        <f t="shared" si="244"/>
        <v>926.47266178599352</v>
      </c>
      <c r="I1969" s="12">
        <f t="shared" si="251"/>
        <v>0.22517107143287871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777.93887243228437</v>
      </c>
      <c r="F1970" s="38">
        <f t="shared" si="245"/>
        <v>0.18253317834565538</v>
      </c>
      <c r="G1970" s="14">
        <f t="shared" si="246"/>
        <v>0</v>
      </c>
      <c r="H1970" s="24">
        <f t="shared" si="244"/>
        <v>924.64269435120627</v>
      </c>
      <c r="I1970" s="12">
        <f t="shared" si="251"/>
        <v>0.22548531524357099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778.1643577475279</v>
      </c>
      <c r="F1971" s="38">
        <f t="shared" si="245"/>
        <v>0.18289218342052357</v>
      </c>
      <c r="G1971" s="14">
        <f t="shared" si="246"/>
        <v>0</v>
      </c>
      <c r="H1971" s="24">
        <f t="shared" si="244"/>
        <v>922.82768283183134</v>
      </c>
      <c r="I1971" s="12">
        <f t="shared" si="251"/>
        <v>0.22579703082412111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778.39015477835198</v>
      </c>
      <c r="F1972" s="38">
        <f t="shared" si="245"/>
        <v>0.18324965904687252</v>
      </c>
      <c r="G1972" s="14">
        <f t="shared" si="246"/>
        <v>0</v>
      </c>
      <c r="H1972" s="24">
        <f t="shared" si="244"/>
        <v>921.02746991111849</v>
      </c>
      <c r="I1972" s="12">
        <f t="shared" si="251"/>
        <v>0.22610622801979771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778.61626100637181</v>
      </c>
      <c r="F1973" s="38">
        <f t="shared" si="245"/>
        <v>0.18360561000880191</v>
      </c>
      <c r="G1973" s="14">
        <f t="shared" si="246"/>
        <v>0</v>
      </c>
      <c r="H1973" s="24">
        <f t="shared" si="244"/>
        <v>919.24190021168192</v>
      </c>
      <c r="I1973" s="12">
        <f t="shared" si="251"/>
        <v>0.22641291672104136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778.84267392309289</v>
      </c>
      <c r="F1974" s="38">
        <f t="shared" si="245"/>
        <v>0.18396004113190012</v>
      </c>
      <c r="G1974" s="14">
        <f t="shared" si="246"/>
        <v>0</v>
      </c>
      <c r="H1974" s="24">
        <f t="shared" si="244"/>
        <v>917.47082026906889</v>
      </c>
      <c r="I1974" s="12">
        <f t="shared" si="251"/>
        <v>0.22671710686144841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779.06939102995432</v>
      </c>
      <c r="F1975" s="38">
        <f t="shared" si="245"/>
        <v>0.18431295728185559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915.71407850570677</v>
      </c>
      <c r="I1975" s="12">
        <f t="shared" si="251"/>
        <v>0.22701880841573738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779.2964098383701</v>
      </c>
      <c r="F1976" s="38">
        <f t="shared" si="245"/>
        <v>0.18466436336309108</v>
      </c>
      <c r="G1976" s="14">
        <f t="shared" si="246"/>
        <v>0</v>
      </c>
      <c r="H1976" s="24">
        <f t="shared" si="252"/>
        <v>913.971525205224</v>
      </c>
      <c r="I1976" s="12">
        <f t="shared" si="251"/>
        <v>0.22731803139779694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779.52372786976787</v>
      </c>
      <c r="F1977" s="38">
        <f t="shared" si="245"/>
        <v>0.18501426431741991</v>
      </c>
      <c r="G1977" s="14">
        <f t="shared" si="246"/>
        <v>0</v>
      </c>
      <c r="H1977" s="24">
        <f t="shared" si="252"/>
        <v>912.24301248714528</v>
      </c>
      <c r="I1977" s="12">
        <f t="shared" si="251"/>
        <v>0.22761478585872288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779.75134265562656</v>
      </c>
      <c r="F1978" s="38">
        <f t="shared" si="245"/>
        <v>0.18536266512272462</v>
      </c>
      <c r="G1978" s="14">
        <f t="shared" si="246"/>
        <v>0</v>
      </c>
      <c r="H1978" s="24">
        <f t="shared" si="252"/>
        <v>910.52839428194352</v>
      </c>
      <c r="I1978" s="12">
        <f t="shared" si="251"/>
        <v>0.22790908188493725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779.9792517375115</v>
      </c>
      <c r="F1979" s="38">
        <f t="shared" si="245"/>
        <v>0.18570957079165781</v>
      </c>
      <c r="G1979" s="14">
        <f t="shared" si="246"/>
        <v>0</v>
      </c>
      <c r="H1979" s="24">
        <f t="shared" si="252"/>
        <v>908.82752630645609</v>
      </c>
      <c r="I1979" s="12">
        <f t="shared" si="251"/>
        <v>0.22820092959632368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780.20745266710787</v>
      </c>
      <c r="F1980" s="38">
        <f t="shared" si="245"/>
        <v>0.18605498637036441</v>
      </c>
      <c r="G1980" s="14">
        <f t="shared" si="246"/>
        <v>0</v>
      </c>
      <c r="H1980" s="24">
        <f t="shared" si="252"/>
        <v>907.14026603965135</v>
      </c>
      <c r="I1980" s="12">
        <f t="shared" si="251"/>
        <v>0.22849033914436978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780.43594300625227</v>
      </c>
      <c r="F1981" s="38">
        <f t="shared" si="245"/>
        <v>0.18639891693722543</v>
      </c>
      <c r="G1981" s="14">
        <f t="shared" si="246"/>
        <v>0</v>
      </c>
      <c r="H1981" s="24">
        <f t="shared" si="252"/>
        <v>905.46647269874597</v>
      </c>
      <c r="I1981" s="12">
        <f t="shared" si="251"/>
        <v>0.22877732071038326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780.66472032696265</v>
      </c>
      <c r="F1982" s="38">
        <f t="shared" si="245"/>
        <v>0.1867413676016241</v>
      </c>
      <c r="G1982" s="14">
        <f t="shared" si="246"/>
        <v>0</v>
      </c>
      <c r="H1982" s="24">
        <f t="shared" si="252"/>
        <v>903.80600721566202</v>
      </c>
      <c r="I1982" s="12">
        <f t="shared" si="251"/>
        <v>0.2290618845037273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780.89378221146637</v>
      </c>
      <c r="F1983" s="38">
        <f t="shared" si="245"/>
        <v>0.18708234350273217</v>
      </c>
      <c r="G1983" s="14">
        <f t="shared" si="246"/>
        <v>0</v>
      </c>
      <c r="H1983" s="24">
        <f t="shared" si="252"/>
        <v>902.15873221382458</v>
      </c>
      <c r="I1983" s="12">
        <f t="shared" si="251"/>
        <v>0.22934404076009146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781.12312625222648</v>
      </c>
      <c r="F1984" s="38">
        <f t="shared" si="245"/>
        <v>0.1874218498083178</v>
      </c>
      <c r="G1984" s="14">
        <f t="shared" si="246"/>
        <v>0</v>
      </c>
      <c r="H1984" s="24">
        <f t="shared" si="252"/>
        <v>900.52451198529207</v>
      </c>
      <c r="I1984" s="12">
        <f t="shared" si="251"/>
        <v>0.22962379973977556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781.35275005196627</v>
      </c>
      <c r="F1985" s="38">
        <f t="shared" si="245"/>
        <v>0.18775989171357399</v>
      </c>
      <c r="G1985" s="14">
        <f t="shared" si="246"/>
        <v>0</v>
      </c>
      <c r="H1985" s="24">
        <f t="shared" si="252"/>
        <v>898.90321246821622</v>
      </c>
      <c r="I1985" s="12">
        <f t="shared" si="251"/>
        <v>0.22990117172603439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781.58265122369232</v>
      </c>
      <c r="F1986" s="38">
        <f t="shared" si="245"/>
        <v>0.18809647443996802</v>
      </c>
      <c r="G1986" s="14">
        <f t="shared" si="246"/>
        <v>0</v>
      </c>
      <c r="H1986" s="24">
        <f t="shared" si="252"/>
        <v>897.29470122462305</v>
      </c>
      <c r="I1986" s="12">
        <f t="shared" si="251"/>
        <v>0.23017616702345609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781.81282739071582</v>
      </c>
      <c r="F1987" s="38">
        <f t="shared" si="245"/>
        <v>0.18843160323411084</v>
      </c>
      <c r="G1987" s="14">
        <f t="shared" si="246"/>
        <v>0</v>
      </c>
      <c r="H1987" s="24">
        <f t="shared" si="252"/>
        <v>895.69884741851524</v>
      </c>
      <c r="I1987" s="12">
        <f t="shared" si="251"/>
        <v>0.23044879595630377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782.04327618667207</v>
      </c>
      <c r="F1988" s="38">
        <f t="shared" si="245"/>
        <v>0.18876528336664669</v>
      </c>
      <c r="G1988" s="14">
        <f t="shared" si="246"/>
        <v>0</v>
      </c>
      <c r="H1988" s="24">
        <f t="shared" si="252"/>
        <v>894.1155217942885</v>
      </c>
      <c r="I1988" s="12">
        <f t="shared" si="251"/>
        <v>0.23071906886704091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782.27399525553915</v>
      </c>
      <c r="F1989" s="38">
        <f t="shared" si="245"/>
        <v>0.18909752013116374</v>
      </c>
      <c r="G1989" s="14">
        <f t="shared" si="246"/>
        <v>0</v>
      </c>
      <c r="H1989" s="24">
        <f t="shared" si="252"/>
        <v>892.54459665545369</v>
      </c>
      <c r="I1989" s="12">
        <f t="shared" si="251"/>
        <v>0.23098699611468457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782.50498225165381</v>
      </c>
      <c r="F1990" s="38">
        <f t="shared" si="245"/>
        <v>0.18942831884312233</v>
      </c>
      <c r="G1990" s="14">
        <f t="shared" si="246"/>
        <v>0</v>
      </c>
      <c r="H1990" s="24">
        <f t="shared" si="252"/>
        <v>890.98594584367231</v>
      </c>
      <c r="I1990" s="12">
        <f t="shared" si="251"/>
        <v>0.23125258807336727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782.73623483972722</v>
      </c>
      <c r="F1991" s="38">
        <f t="shared" si="245"/>
        <v>0.18975768483880534</v>
      </c>
      <c r="G1991" s="14">
        <f t="shared" si="246"/>
        <v>0</v>
      </c>
      <c r="H1991" s="24">
        <f t="shared" si="252"/>
        <v>889.43944471808334</v>
      </c>
      <c r="I1991" s="12">
        <f t="shared" si="251"/>
        <v>0.2315158551308279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782.96775069485807</v>
      </c>
      <c r="F1992" s="38">
        <f t="shared" si="245"/>
        <v>0.19008562347428584</v>
      </c>
      <c r="G1992" s="14">
        <f t="shared" si="246"/>
        <v>0</v>
      </c>
      <c r="H1992" s="24">
        <f t="shared" si="252"/>
        <v>887.90497013493405</v>
      </c>
      <c r="I1992" s="12">
        <f t="shared" si="251"/>
        <v>0.23177680768696932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783.19952750254504</v>
      </c>
      <c r="F1993" s="38">
        <f t="shared" si="245"/>
        <v>0.19041214012441512</v>
      </c>
      <c r="G1993" s="14">
        <f t="shared" si="246"/>
        <v>0</v>
      </c>
      <c r="H1993" s="24">
        <f t="shared" si="252"/>
        <v>886.38240042749749</v>
      </c>
      <c r="I1993" s="12">
        <f t="shared" si="251"/>
        <v>0.23203545615243434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783.43156295869744</v>
      </c>
      <c r="F1994" s="38">
        <f t="shared" si="245"/>
        <v>0.19073724018182894</v>
      </c>
      <c r="G1994" s="14">
        <f t="shared" si="246"/>
        <v>0</v>
      </c>
      <c r="H1994" s="24">
        <f t="shared" si="252"/>
        <v>884.87161538628106</v>
      </c>
      <c r="I1994" s="12">
        <f t="shared" si="251"/>
        <v>0.23229181094721826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783.66385476964467</v>
      </c>
      <c r="F1995" s="38">
        <f t="shared" si="245"/>
        <v>0.19106092905597319</v>
      </c>
      <c r="G1995" s="14">
        <f t="shared" si="246"/>
        <v>0</v>
      </c>
      <c r="H1995" s="24">
        <f t="shared" si="252"/>
        <v>883.37249623951584</v>
      </c>
      <c r="I1995" s="12">
        <f t="shared" si="251"/>
        <v>0.23254588249929362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783.89640065214394</v>
      </c>
      <c r="F1996" s="38">
        <f t="shared" si="245"/>
        <v>0.19138321217214679</v>
      </c>
      <c r="G1996" s="14">
        <f t="shared" si="246"/>
        <v>0</v>
      </c>
      <c r="H1996" s="24">
        <f t="shared" si="252"/>
        <v>881.88492563392856</v>
      </c>
      <c r="I1996" s="12">
        <f t="shared" si="251"/>
        <v>0.23279768124331846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784.12919833338731</v>
      </c>
      <c r="F1997" s="38">
        <f t="shared" si="245"/>
        <v>0.19170409497056468</v>
      </c>
      <c r="G1997" s="14">
        <f t="shared" si="246"/>
        <v>0</v>
      </c>
      <c r="H1997" s="24">
        <f t="shared" si="252"/>
        <v>880.4087876157846</v>
      </c>
      <c r="I1997" s="12">
        <f t="shared" si="251"/>
        <v>0.23304721761924502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784.36224555100659</v>
      </c>
      <c r="F1998" s="38">
        <f t="shared" si="245"/>
        <v>0.19202358290543659</v>
      </c>
      <c r="G1998" s="14">
        <f t="shared" si="246"/>
        <v>0</v>
      </c>
      <c r="H1998" s="24">
        <f t="shared" si="252"/>
        <v>878.9439676122073</v>
      </c>
      <c r="I1998" s="12">
        <f t="shared" si="251"/>
        <v>0.23329450207114771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784.5955400530778</v>
      </c>
      <c r="F1999" s="38">
        <f t="shared" si="245"/>
        <v>0.19234168144406583</v>
      </c>
      <c r="G1999" s="14">
        <f t="shared" si="246"/>
        <v>0</v>
      </c>
      <c r="H1999" s="24">
        <f t="shared" si="252"/>
        <v>877.49035241275942</v>
      </c>
      <c r="I1999" s="12">
        <f t="shared" si="251"/>
        <v>0.23353954504588204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784.82907959812371</v>
      </c>
      <c r="F2000" s="38">
        <f t="shared" si="245"/>
        <v>0.19265839606596424</v>
      </c>
      <c r="G2000" s="14">
        <f t="shared" si="246"/>
        <v>0</v>
      </c>
      <c r="H2000" s="24">
        <f t="shared" si="252"/>
        <v>876.04783015129135</v>
      </c>
      <c r="I2000" s="12">
        <f t="shared" si="251"/>
        <v>0.23378235699192007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785.06286195511564</v>
      </c>
      <c r="F2001" s="38">
        <f t="shared" si="245"/>
        <v>0.19297373226198494</v>
      </c>
      <c r="G2001" s="14">
        <f t="shared" si="246"/>
        <v>0</v>
      </c>
      <c r="H2001" s="24">
        <f t="shared" si="252"/>
        <v>874.61629028804691</v>
      </c>
      <c r="I2001" s="12">
        <f t="shared" si="251"/>
        <v>0.23402294835810131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785.29688490347371</v>
      </c>
      <c r="F2002" s="38">
        <f t="shared" si="245"/>
        <v>0.19328769553347244</v>
      </c>
      <c r="G2002" s="14">
        <f t="shared" si="246"/>
        <v>0</v>
      </c>
      <c r="H2002" s="24">
        <f t="shared" si="252"/>
        <v>873.19562359202564</v>
      </c>
      <c r="I2002" s="12">
        <f t="shared" si="251"/>
        <v>0.23426132959253362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785.53114623306624</v>
      </c>
      <c r="F2003" s="38">
        <f t="shared" si="245"/>
        <v>0.19360029139142942</v>
      </c>
      <c r="G2003" s="14">
        <f t="shared" si="246"/>
        <v>0</v>
      </c>
      <c r="H2003" s="24">
        <f t="shared" si="252"/>
        <v>871.78572212359677</v>
      </c>
      <c r="I2003" s="12">
        <f t="shared" si="251"/>
        <v>0.23449751114133921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785.76564374420752</v>
      </c>
      <c r="F2004" s="38">
        <f t="shared" ref="F2004:F2067" si="253">Cp*RhoP/(RhoA*H2004)*dp/1000*MassivP</f>
        <v>0.19391152535570028</v>
      </c>
      <c r="G2004" s="14">
        <f t="shared" ref="G2004:G2067" si="254">Phi*EpsilonF*Botzman/10^8*J2004*((D2004+273)^4-(E2004+273)^4)</f>
        <v>0</v>
      </c>
      <c r="H2004" s="24">
        <f t="shared" si="252"/>
        <v>870.3864792173614</v>
      </c>
      <c r="I2004" s="12">
        <f t="shared" si="251"/>
        <v>0.2347315034476562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786.00037524765514</v>
      </c>
      <c r="F2005" s="38">
        <f t="shared" si="253"/>
        <v>0.1942214029541712</v>
      </c>
      <c r="G2005" s="14">
        <f t="shared" si="254"/>
        <v>0</v>
      </c>
      <c r="H2005" s="24">
        <f t="shared" si="252"/>
        <v>868.99778946525873</v>
      </c>
      <c r="I2005" s="12">
        <f t="shared" ref="I2005:I2068" si="259">LambdaP*MassivP/(dp/1000)/(H2005*RhoA)/(1+F2005/3)*(D2005-E2005)*DeltaT-(EXP(F2005/10)-1)*(D2005-D2004)</f>
        <v>0.23496331695045908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786.23533856460563</v>
      </c>
      <c r="F2006" s="38">
        <f t="shared" si="253"/>
        <v>0.19452992972198679</v>
      </c>
      <c r="G2006" s="14">
        <f t="shared" si="254"/>
        <v>0</v>
      </c>
      <c r="H2006" s="24">
        <f t="shared" si="252"/>
        <v>867.61954869991359</v>
      </c>
      <c r="I2006" s="12">
        <f t="shared" si="259"/>
        <v>0.23519296208349755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786.47053152668911</v>
      </c>
      <c r="F2007" s="38">
        <f t="shared" si="253"/>
        <v>0.19483711120078179</v>
      </c>
      <c r="G2007" s="14">
        <f t="shared" si="254"/>
        <v>0</v>
      </c>
      <c r="H2007" s="24">
        <f t="shared" si="252"/>
        <v>866.25165397822229</v>
      </c>
      <c r="I2007" s="12">
        <f t="shared" si="259"/>
        <v>0.23542044927428449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786.70595197596344</v>
      </c>
      <c r="F2008" s="38">
        <f t="shared" si="253"/>
        <v>0.19514295293793044</v>
      </c>
      <c r="G2008" s="14">
        <f t="shared" si="254"/>
        <v>0</v>
      </c>
      <c r="H2008" s="24">
        <f t="shared" si="252"/>
        <v>864.89400356516933</v>
      </c>
      <c r="I2008" s="12">
        <f t="shared" si="259"/>
        <v>0.2356457889430601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786.94159776490653</v>
      </c>
      <c r="F2009" s="38">
        <f t="shared" si="253"/>
        <v>0.19544746048580922</v>
      </c>
      <c r="G2009" s="14">
        <f t="shared" si="254"/>
        <v>0</v>
      </c>
      <c r="H2009" s="24">
        <f t="shared" si="252"/>
        <v>863.54649691787859</v>
      </c>
      <c r="I2009" s="12">
        <f t="shared" si="259"/>
        <v>0.2358689915017578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787.17746675640831</v>
      </c>
      <c r="F2010" s="38">
        <f t="shared" si="253"/>
        <v>0.1957506394010772</v>
      </c>
      <c r="G2010" s="14">
        <f t="shared" si="254"/>
        <v>0</v>
      </c>
      <c r="H2010" s="24">
        <f t="shared" si="252"/>
        <v>862.20903466988796</v>
      </c>
      <c r="I2010" s="12">
        <f t="shared" si="259"/>
        <v>0.23609006735308991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787.41355682376138</v>
      </c>
      <c r="F2011" s="38">
        <f t="shared" si="253"/>
        <v>0.19605249524396967</v>
      </c>
      <c r="G2011" s="14">
        <f t="shared" si="254"/>
        <v>0</v>
      </c>
      <c r="H2011" s="24">
        <f t="shared" si="252"/>
        <v>860.88151861564984</v>
      </c>
      <c r="I2011" s="12">
        <f t="shared" si="259"/>
        <v>0.23630902688953309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787.64986585065094</v>
      </c>
      <c r="F2012" s="38">
        <f t="shared" si="253"/>
        <v>0.19635303357760855</v>
      </c>
      <c r="G2012" s="14">
        <f t="shared" si="254"/>
        <v>0</v>
      </c>
      <c r="H2012" s="24">
        <f t="shared" si="252"/>
        <v>859.56385169525061</v>
      </c>
      <c r="I2012" s="12">
        <f t="shared" si="259"/>
        <v>0.2365258804924506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787.88639173114336</v>
      </c>
      <c r="F2013" s="38">
        <f t="shared" si="253"/>
        <v>0.19665225996732588</v>
      </c>
      <c r="G2013" s="14">
        <f t="shared" si="254"/>
        <v>0</v>
      </c>
      <c r="H2013" s="24">
        <f t="shared" si="252"/>
        <v>858.25593797934903</v>
      </c>
      <c r="I2013" s="12">
        <f t="shared" si="259"/>
        <v>0.23674063853113161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788.12313236967452</v>
      </c>
      <c r="F2014" s="38">
        <f t="shared" si="253"/>
        <v>0.19695017998000325</v>
      </c>
      <c r="G2014" s="14">
        <f t="shared" si="254"/>
        <v>0</v>
      </c>
      <c r="H2014" s="24">
        <f t="shared" si="252"/>
        <v>856.95768265432639</v>
      </c>
      <c r="I2014" s="12">
        <f t="shared" si="259"/>
        <v>0.2369533113619704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788.36008568103648</v>
      </c>
      <c r="F2015" s="38">
        <f t="shared" si="253"/>
        <v>0.19724679918342453</v>
      </c>
      <c r="G2015" s="14">
        <f t="shared" si="254"/>
        <v>0</v>
      </c>
      <c r="H2015" s="24">
        <f t="shared" si="252"/>
        <v>855.66899200764919</v>
      </c>
      <c r="I2015" s="12">
        <f t="shared" si="259"/>
        <v>0.23716390932752676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788.59724959036396</v>
      </c>
      <c r="F2016" s="38">
        <f t="shared" si="253"/>
        <v>0.19754212314564354</v>
      </c>
      <c r="G2016" s="14">
        <f t="shared" si="254"/>
        <v>0</v>
      </c>
      <c r="H2016" s="24">
        <f t="shared" si="252"/>
        <v>854.38977341343912</v>
      </c>
      <c r="I2016" s="12">
        <f t="shared" si="259"/>
        <v>0.23737244275575264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788.83462203311967</v>
      </c>
      <c r="F2017" s="38">
        <f t="shared" si="253"/>
        <v>0.1978361574343655</v>
      </c>
      <c r="G2017" s="14">
        <f t="shared" si="254"/>
        <v>0</v>
      </c>
      <c r="H2017" s="24">
        <f t="shared" si="252"/>
        <v>853.11993531824533</v>
      </c>
      <c r="I2017" s="12">
        <f t="shared" si="259"/>
        <v>0.23757892195910335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789.07220095507876</v>
      </c>
      <c r="F2018" s="38">
        <f t="shared" si="253"/>
        <v>0.1981289076163415</v>
      </c>
      <c r="G2018" s="14">
        <f t="shared" si="254"/>
        <v>0</v>
      </c>
      <c r="H2018" s="24">
        <f t="shared" si="252"/>
        <v>851.85938722702281</v>
      </c>
      <c r="I2018" s="12">
        <f t="shared" si="259"/>
        <v>0.23778335723379238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789.30998431231251</v>
      </c>
      <c r="F2019" s="38">
        <f t="shared" si="253"/>
        <v>0.19842037925677747</v>
      </c>
      <c r="G2019" s="14">
        <f t="shared" si="254"/>
        <v>0</v>
      </c>
      <c r="H2019" s="24">
        <f t="shared" si="252"/>
        <v>850.60803968930577</v>
      </c>
      <c r="I2019" s="12">
        <f t="shared" si="259"/>
        <v>0.23798575885898646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789.54797007117145</v>
      </c>
      <c r="F2020" s="38">
        <f t="shared" si="253"/>
        <v>0.19871057791875602</v>
      </c>
      <c r="G2020" s="14">
        <f t="shared" si="254"/>
        <v>0</v>
      </c>
      <c r="H2020" s="24">
        <f t="shared" si="252"/>
        <v>849.36580428557727</v>
      </c>
      <c r="I2020" s="12">
        <f t="shared" si="259"/>
        <v>0.23818613709601302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789.78615620826747</v>
      </c>
      <c r="F2021" s="38">
        <f t="shared" si="253"/>
        <v>0.19899950916267145</v>
      </c>
      <c r="G2021" s="14">
        <f t="shared" si="254"/>
        <v>0</v>
      </c>
      <c r="H2021" s="24">
        <f t="shared" si="252"/>
        <v>848.13259361383211</v>
      </c>
      <c r="I2021" s="12">
        <f t="shared" si="259"/>
        <v>0.23838450218767446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790.0245407104552</v>
      </c>
      <c r="F2022" s="38">
        <f t="shared" si="253"/>
        <v>0.19928717854567735</v>
      </c>
      <c r="G2022" s="14">
        <f t="shared" si="254"/>
        <v>0</v>
      </c>
      <c r="H2022" s="24">
        <f t="shared" si="252"/>
        <v>846.90832127633121</v>
      </c>
      <c r="I2022" s="12">
        <f t="shared" si="259"/>
        <v>0.23858086435749723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790.26312157481266</v>
      </c>
      <c r="F2023" s="38">
        <f t="shared" si="253"/>
        <v>0.19957359162114741</v>
      </c>
      <c r="G2023" s="14">
        <f t="shared" si="254"/>
        <v>0</v>
      </c>
      <c r="H2023" s="24">
        <f t="shared" si="252"/>
        <v>845.69290186654052</v>
      </c>
      <c r="I2023" s="12">
        <f t="shared" si="259"/>
        <v>0.23877523380899623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790.50189680862161</v>
      </c>
      <c r="F2024" s="38">
        <f t="shared" si="253"/>
        <v>0.19985875393814911</v>
      </c>
      <c r="G2024" s="14">
        <f t="shared" si="254"/>
        <v>0</v>
      </c>
      <c r="H2024" s="24">
        <f t="shared" si="252"/>
        <v>844.48625095625425</v>
      </c>
      <c r="I2024" s="12">
        <f t="shared" si="259"/>
        <v>0.23896762072504665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790.74086442934663</v>
      </c>
      <c r="F2025" s="38">
        <f t="shared" si="253"/>
        <v>0.20014267104092842</v>
      </c>
      <c r="G2025" s="14">
        <f t="shared" si="254"/>
        <v>0</v>
      </c>
      <c r="H2025" s="24">
        <f t="shared" si="252"/>
        <v>843.2882850829028</v>
      </c>
      <c r="I2025" s="12">
        <f t="shared" si="259"/>
        <v>0.23915803526716164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790.98002246461374</v>
      </c>
      <c r="F2026" s="38">
        <f t="shared" si="253"/>
        <v>0.20042534846840776</v>
      </c>
      <c r="G2026" s="14">
        <f t="shared" si="254"/>
        <v>0</v>
      </c>
      <c r="H2026" s="24">
        <f t="shared" si="252"/>
        <v>842.09892173703702</v>
      </c>
      <c r="I2026" s="12">
        <f t="shared" si="259"/>
        <v>0.23934648757489174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791.21936895218857</v>
      </c>
      <c r="F2027" s="38">
        <f t="shared" si="253"/>
        <v>0.20070679175369582</v>
      </c>
      <c r="G2027" s="14">
        <f t="shared" si="254"/>
        <v>0</v>
      </c>
      <c r="H2027" s="24">
        <f t="shared" si="252"/>
        <v>840.91807934998894</v>
      </c>
      <c r="I2027" s="12">
        <f t="shared" si="259"/>
        <v>0.2395329877651515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791.45890193995376</v>
      </c>
      <c r="F2028" s="38">
        <f t="shared" si="253"/>
        <v>0.20098700642360862</v>
      </c>
      <c r="G2028" s="14">
        <f t="shared" si="254"/>
        <v>0</v>
      </c>
      <c r="H2028" s="24">
        <f t="shared" si="252"/>
        <v>839.74567728170734</v>
      </c>
      <c r="I2028" s="12">
        <f t="shared" si="259"/>
        <v>0.239717545931627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791.69861948588539</v>
      </c>
      <c r="F2029" s="38">
        <f t="shared" si="253"/>
        <v>0.2012659979982023</v>
      </c>
      <c r="G2029" s="14">
        <f t="shared" si="254"/>
        <v>0</v>
      </c>
      <c r="H2029" s="24">
        <f t="shared" si="252"/>
        <v>838.58163580876476</v>
      </c>
      <c r="I2029" s="12">
        <f t="shared" si="259"/>
        <v>0.23990017214416384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791.93851965802958</v>
      </c>
      <c r="F2030" s="38">
        <f t="shared" si="253"/>
        <v>0.20154377199031778</v>
      </c>
      <c r="G2030" s="14">
        <f t="shared" si="254"/>
        <v>0</v>
      </c>
      <c r="H2030" s="24">
        <f t="shared" si="252"/>
        <v>837.42587611253111</v>
      </c>
      <c r="I2030" s="12">
        <f t="shared" si="259"/>
        <v>0.24008087644820367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792.17860053447782</v>
      </c>
      <c r="F2031" s="38">
        <f t="shared" si="253"/>
        <v>0.20182033390513593</v>
      </c>
      <c r="G2031" s="14">
        <f t="shared" si="254"/>
        <v>0</v>
      </c>
      <c r="H2031" s="24">
        <f t="shared" si="252"/>
        <v>836.27832026751503</v>
      </c>
      <c r="I2031" s="12">
        <f t="shared" si="259"/>
        <v>0.24025966886419203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792.41886020334198</v>
      </c>
      <c r="F2032" s="38">
        <f t="shared" si="253"/>
        <v>0.20209568923974397</v>
      </c>
      <c r="G2032" s="14">
        <f t="shared" si="254"/>
        <v>0</v>
      </c>
      <c r="H2032" s="24">
        <f t="shared" si="252"/>
        <v>835.1388912298695</v>
      </c>
      <c r="I2032" s="12">
        <f t="shared" si="259"/>
        <v>0.24043655938705202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792.65929676272901</v>
      </c>
      <c r="F2033" s="38">
        <f t="shared" si="253"/>
        <v>0.20236984348271345</v>
      </c>
      <c r="G2033" s="14">
        <f t="shared" si="254"/>
        <v>0</v>
      </c>
      <c r="H2033" s="24">
        <f t="shared" si="252"/>
        <v>834.00751282605597</v>
      </c>
      <c r="I2033" s="12">
        <f t="shared" si="259"/>
        <v>0.24061155798566905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792.89990832071464</v>
      </c>
      <c r="F2034" s="38">
        <f t="shared" si="253"/>
        <v>0.20264280211368726</v>
      </c>
      <c r="G2034" s="14">
        <f t="shared" si="254"/>
        <v>0</v>
      </c>
      <c r="H2034" s="24">
        <f t="shared" si="252"/>
        <v>832.88410974167118</v>
      </c>
      <c r="I2034" s="12">
        <f t="shared" si="259"/>
        <v>0.24078467460229605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793.14069299531695</v>
      </c>
      <c r="F2035" s="38">
        <f t="shared" si="253"/>
        <v>0.20291457060297899</v>
      </c>
      <c r="G2035" s="14">
        <f t="shared" si="254"/>
        <v>0</v>
      </c>
      <c r="H2035" s="24">
        <f t="shared" si="252"/>
        <v>831.76860751042727</v>
      </c>
      <c r="I2035" s="12">
        <f t="shared" si="259"/>
        <v>0.24095591915215619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793.38164891446911</v>
      </c>
      <c r="F2036" s="38">
        <f t="shared" si="253"/>
        <v>0.20318515441118076</v>
      </c>
      <c r="G2036" s="14">
        <f t="shared" si="254"/>
        <v>0</v>
      </c>
      <c r="H2036" s="24">
        <f t="shared" si="252"/>
        <v>830.66093250328845</v>
      </c>
      <c r="I2036" s="12">
        <f t="shared" si="259"/>
        <v>0.24112530152286862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793.62277421599197</v>
      </c>
      <c r="F2037" s="38">
        <f t="shared" si="253"/>
        <v>0.20345455898878292</v>
      </c>
      <c r="G2037" s="14">
        <f t="shared" si="254"/>
        <v>0</v>
      </c>
      <c r="H2037" s="24">
        <f t="shared" si="252"/>
        <v>829.56101191775861</v>
      </c>
      <c r="I2037" s="12">
        <f t="shared" si="259"/>
        <v>0.24129283157402628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793.86406704756598</v>
      </c>
      <c r="F2038" s="38">
        <f t="shared" si="253"/>
        <v>0.2037227897758023</v>
      </c>
      <c r="G2038" s="14">
        <f t="shared" si="254"/>
        <v>0</v>
      </c>
      <c r="H2038" s="24">
        <f t="shared" si="252"/>
        <v>828.46877376731811</v>
      </c>
      <c r="I2038" s="12">
        <f t="shared" si="259"/>
        <v>0.24145851913671507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794.10552556670268</v>
      </c>
      <c r="F2039" s="38">
        <f t="shared" si="253"/>
        <v>0.20398985220142107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827.38414687100931</v>
      </c>
      <c r="I2039" s="12">
        <f t="shared" si="259"/>
        <v>0.24162237401308351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794.34714794071579</v>
      </c>
      <c r="F2040" s="38">
        <f t="shared" si="253"/>
        <v>0.20425575168363502</v>
      </c>
      <c r="G2040" s="14">
        <f t="shared" si="254"/>
        <v>0</v>
      </c>
      <c r="H2040" s="24">
        <f t="shared" si="260"/>
        <v>826.30706084316648</v>
      </c>
      <c r="I2040" s="12">
        <f t="shared" si="259"/>
        <v>0.24178440597590406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794.58893234669165</v>
      </c>
      <c r="F2041" s="38">
        <f t="shared" si="253"/>
        <v>0.20452049362891062</v>
      </c>
      <c r="G2041" s="14">
        <f t="shared" si="254"/>
        <v>0</v>
      </c>
      <c r="H2041" s="24">
        <f t="shared" si="260"/>
        <v>825.23744608329037</v>
      </c>
      <c r="I2041" s="12">
        <f t="shared" si="259"/>
        <v>0.24194462476814713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794.83087697145982</v>
      </c>
      <c r="F2042" s="38">
        <f t="shared" si="253"/>
        <v>0.20478408343185303</v>
      </c>
      <c r="G2042" s="14">
        <f t="shared" si="254"/>
        <v>0</v>
      </c>
      <c r="H2042" s="24">
        <f t="shared" si="260"/>
        <v>824.17523376606141</v>
      </c>
      <c r="I2042" s="12">
        <f t="shared" si="259"/>
        <v>0.24210304010262002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795.07298001156244</v>
      </c>
      <c r="F2043" s="38">
        <f t="shared" si="253"/>
        <v>0.205046526474881</v>
      </c>
      <c r="G2043" s="14">
        <f t="shared" si="254"/>
        <v>0</v>
      </c>
      <c r="H2043" s="24">
        <f t="shared" si="260"/>
        <v>823.12035583149486</v>
      </c>
      <c r="I2043" s="12">
        <f t="shared" si="259"/>
        <v>0.24225966166150381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795.31523967322391</v>
      </c>
      <c r="F2044" s="38">
        <f t="shared" si="253"/>
        <v>0.20530782812791273</v>
      </c>
      <c r="G2044" s="14">
        <f t="shared" si="254"/>
        <v>0</v>
      </c>
      <c r="H2044" s="24">
        <f t="shared" si="260"/>
        <v>822.07274497523053</v>
      </c>
      <c r="I2044" s="12">
        <f t="shared" si="259"/>
        <v>0.24241449909606391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795.55765417231999</v>
      </c>
      <c r="F2045" s="38">
        <f t="shared" si="253"/>
        <v>0.2055679937480594</v>
      </c>
      <c r="G2045" s="14">
        <f t="shared" si="254"/>
        <v>0</v>
      </c>
      <c r="H2045" s="24">
        <f t="shared" si="260"/>
        <v>821.03233463895867</v>
      </c>
      <c r="I2045" s="12">
        <f t="shared" si="259"/>
        <v>0.24256756202621227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795.80022173434622</v>
      </c>
      <c r="F2046" s="38">
        <f t="shared" si="253"/>
        <v>0.20582702867932751</v>
      </c>
      <c r="G2046" s="14">
        <f t="shared" si="254"/>
        <v>0</v>
      </c>
      <c r="H2046" s="24">
        <f t="shared" si="260"/>
        <v>819.99905900097906</v>
      </c>
      <c r="I2046" s="12">
        <f t="shared" si="259"/>
        <v>0.24271886004020682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796.04294059438644</v>
      </c>
      <c r="F2047" s="38">
        <f t="shared" si="253"/>
        <v>0.20608493825232999</v>
      </c>
      <c r="G2047" s="14">
        <f t="shared" si="254"/>
        <v>0</v>
      </c>
      <c r="H2047" s="24">
        <f t="shared" si="260"/>
        <v>818.97285296689006</v>
      </c>
      <c r="I2047" s="12">
        <f t="shared" si="259"/>
        <v>0.24286840269427487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796.28580899708072</v>
      </c>
      <c r="F2048" s="38">
        <f t="shared" si="253"/>
        <v>0.20634172778400553</v>
      </c>
      <c r="G2048" s="14">
        <f t="shared" si="254"/>
        <v>0</v>
      </c>
      <c r="H2048" s="24">
        <f t="shared" si="260"/>
        <v>817.95365216040796</v>
      </c>
      <c r="I2048" s="12">
        <f t="shared" si="259"/>
        <v>0.24301619951230466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796.52882519659306</v>
      </c>
      <c r="F2049" s="38">
        <f t="shared" si="253"/>
        <v>0.20659740257734616</v>
      </c>
      <c r="G2049" s="14">
        <f t="shared" si="254"/>
        <v>0</v>
      </c>
      <c r="H2049" s="24">
        <f t="shared" si="260"/>
        <v>816.94139291431225</v>
      </c>
      <c r="I2049" s="12">
        <f t="shared" si="259"/>
        <v>0.24316225998553861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796.77198745657859</v>
      </c>
      <c r="F2050" s="38">
        <f t="shared" si="253"/>
        <v>0.20685196792113214</v>
      </c>
      <c r="G2050" s="14">
        <f t="shared" si="254"/>
        <v>0</v>
      </c>
      <c r="H2050" s="24">
        <f t="shared" si="260"/>
        <v>815.93601226151827</v>
      </c>
      <c r="I2050" s="12">
        <f t="shared" si="259"/>
        <v>0.24330659357225512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797.01529405015083</v>
      </c>
      <c r="F2051" s="38">
        <f t="shared" si="253"/>
        <v>0.2071054290896765</v>
      </c>
      <c r="G2051" s="14">
        <f t="shared" si="254"/>
        <v>0</v>
      </c>
      <c r="H2051" s="24">
        <f t="shared" si="260"/>
        <v>814.93744792627012</v>
      </c>
      <c r="I2051" s="12">
        <f t="shared" si="259"/>
        <v>0.24344920969746686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797.2587432598483</v>
      </c>
      <c r="F2052" s="38">
        <f t="shared" si="253"/>
        <v>0.20735779134257515</v>
      </c>
      <c r="G2052" s="14">
        <f t="shared" si="254"/>
        <v>0</v>
      </c>
      <c r="H2052" s="24">
        <f t="shared" si="260"/>
        <v>813.94563831545872</v>
      </c>
      <c r="I2052" s="12">
        <f t="shared" si="259"/>
        <v>0.24359011775265732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797.50233337760096</v>
      </c>
      <c r="F2053" s="38">
        <f t="shared" si="253"/>
        <v>0.20760905992446635</v>
      </c>
      <c r="G2053" s="14">
        <f t="shared" si="254"/>
        <v>0</v>
      </c>
      <c r="H2053" s="24">
        <f t="shared" si="260"/>
        <v>812.96052251005767</v>
      </c>
      <c r="I2053" s="12">
        <f t="shared" si="259"/>
        <v>0.24372932709550074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797.74606270469644</v>
      </c>
      <c r="F2054" s="38">
        <f t="shared" si="253"/>
        <v>0.20785924006479659</v>
      </c>
      <c r="G2054" s="14">
        <f t="shared" si="254"/>
        <v>0</v>
      </c>
      <c r="H2054" s="24">
        <f t="shared" si="260"/>
        <v>811.98204025667769</v>
      </c>
      <c r="I2054" s="12">
        <f t="shared" si="259"/>
        <v>0.2438668470496248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797.98992955174606</v>
      </c>
      <c r="F2055" s="38">
        <f t="shared" si="253"/>
        <v>0.20810833697759409</v>
      </c>
      <c r="G2055" s="14">
        <f t="shared" si="254"/>
        <v>0</v>
      </c>
      <c r="H2055" s="24">
        <f t="shared" si="260"/>
        <v>811.01013195923758</v>
      </c>
      <c r="I2055" s="12">
        <f t="shared" si="259"/>
        <v>0.24400268690429991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798.23393223865037</v>
      </c>
      <c r="F2056" s="38">
        <f t="shared" si="253"/>
        <v>0.20835635586125004</v>
      </c>
      <c r="G2056" s="14">
        <f t="shared" si="254"/>
        <v>0</v>
      </c>
      <c r="H2056" s="24">
        <f t="shared" si="260"/>
        <v>810.04473867075001</v>
      </c>
      <c r="I2056" s="12">
        <f t="shared" si="259"/>
        <v>0.24413685591428422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798.4780690945646</v>
      </c>
      <c r="F2057" s="38">
        <f t="shared" si="253"/>
        <v>0.20860330189830581</v>
      </c>
      <c r="G2057" s="14">
        <f t="shared" si="254"/>
        <v>0</v>
      </c>
      <c r="H2057" s="24">
        <f t="shared" si="260"/>
        <v>809.08580208522017</v>
      </c>
      <c r="I2057" s="12">
        <f t="shared" si="259"/>
        <v>0.24426936329949969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798.72233845786411</v>
      </c>
      <c r="F2058" s="38">
        <f t="shared" si="253"/>
        <v>0.2088491802552481</v>
      </c>
      <c r="G2058" s="14">
        <f t="shared" si="254"/>
        <v>0</v>
      </c>
      <c r="H2058" s="24">
        <f t="shared" si="260"/>
        <v>808.13326452965521</v>
      </c>
      <c r="I2058" s="12">
        <f t="shared" si="259"/>
        <v>0.24440021824491581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798.966738676109</v>
      </c>
      <c r="F2059" s="38">
        <f t="shared" si="253"/>
        <v>0.2090939960823103</v>
      </c>
      <c r="G2059" s="14">
        <f t="shared" si="254"/>
        <v>0</v>
      </c>
      <c r="H2059" s="24">
        <f t="shared" si="260"/>
        <v>807.18706895618504</v>
      </c>
      <c r="I2059" s="12">
        <f t="shared" si="259"/>
        <v>0.24452942990024934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799.21126810600924</v>
      </c>
      <c r="F2060" s="38">
        <f t="shared" si="253"/>
        <v>0.20933775451328052</v>
      </c>
      <c r="G2060" s="14">
        <f t="shared" si="254"/>
        <v>0</v>
      </c>
      <c r="H2060" s="24">
        <f t="shared" si="260"/>
        <v>806.24715893428902</v>
      </c>
      <c r="I2060" s="12">
        <f t="shared" si="259"/>
        <v>0.24465700737980173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799.45592511338907</v>
      </c>
      <c r="F2061" s="38">
        <f t="shared" si="253"/>
        <v>0.20958046066531663</v>
      </c>
      <c r="G2061" s="14">
        <f t="shared" si="254"/>
        <v>0</v>
      </c>
      <c r="H2061" s="24">
        <f t="shared" si="260"/>
        <v>805.31347864313125</v>
      </c>
      <c r="I2061" s="12">
        <f t="shared" si="259"/>
        <v>0.24478295976227657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799.7007080731513</v>
      </c>
      <c r="F2062" s="38">
        <f t="shared" si="253"/>
        <v>0.20982211963876687</v>
      </c>
      <c r="G2062" s="14">
        <f t="shared" si="254"/>
        <v>0</v>
      </c>
      <c r="H2062" s="24">
        <f t="shared" si="260"/>
        <v>804.38597286399988</v>
      </c>
      <c r="I2062" s="12">
        <f t="shared" si="259"/>
        <v>0.24490729609059167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799.94561536924186</v>
      </c>
      <c r="F2063" s="38">
        <f t="shared" si="253"/>
        <v>0.21006273651699789</v>
      </c>
      <c r="G2063" s="14">
        <f t="shared" si="254"/>
        <v>0</v>
      </c>
      <c r="H2063" s="24">
        <f t="shared" si="260"/>
        <v>803.46458697284879</v>
      </c>
      <c r="I2063" s="12">
        <f t="shared" si="259"/>
        <v>0.24503002537167265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800.19064539461351</v>
      </c>
      <c r="F2064" s="38">
        <f t="shared" si="253"/>
        <v>0.21030231636622759</v>
      </c>
      <c r="G2064" s="14">
        <f t="shared" si="254"/>
        <v>0</v>
      </c>
      <c r="H2064" s="24">
        <f t="shared" si="260"/>
        <v>802.54926693294419</v>
      </c>
      <c r="I2064" s="12">
        <f t="shared" si="259"/>
        <v>0.24515115657633477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800.43579655118981</v>
      </c>
      <c r="F2065" s="38">
        <f t="shared" si="253"/>
        <v>0.21054086423536525</v>
      </c>
      <c r="G2065" s="14">
        <f t="shared" si="254"/>
        <v>0</v>
      </c>
      <c r="H2065" s="24">
        <f t="shared" si="260"/>
        <v>801.63995928760824</v>
      </c>
      <c r="I2065" s="12">
        <f t="shared" si="259"/>
        <v>0.24527069863909803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800.68106724982886</v>
      </c>
      <c r="F2066" s="38">
        <f t="shared" si="253"/>
        <v>0.21077838515585673</v>
      </c>
      <c r="G2066" s="14">
        <f t="shared" si="254"/>
        <v>0</v>
      </c>
      <c r="H2066" s="24">
        <f t="shared" si="260"/>
        <v>800.73661115306425</v>
      </c>
      <c r="I2066" s="12">
        <f t="shared" si="259"/>
        <v>0.24538866045804264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800.9264559102869</v>
      </c>
      <c r="F2067" s="38">
        <f t="shared" si="253"/>
        <v>0.21101488414153588</v>
      </c>
      <c r="G2067" s="14">
        <f t="shared" si="254"/>
        <v>0</v>
      </c>
      <c r="H2067" s="24">
        <f t="shared" si="260"/>
        <v>799.83917021137768</v>
      </c>
      <c r="I2067" s="12">
        <f t="shared" si="259"/>
        <v>0.24550505089468835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801.17196096118164</v>
      </c>
      <c r="F2068" s="38">
        <f t="shared" ref="F2068:F2131" si="261">Cp*RhoP/(RhoA*H2068)*dp/1000*MassivP</f>
        <v>0.21125036618848145</v>
      </c>
      <c r="G2068" s="14">
        <f t="shared" ref="G2068:G2131" si="262">Phi*EpsilonF*Botzman/10^8*J2068*((D2068+273)^4-(E2068+273)^4)</f>
        <v>0</v>
      </c>
      <c r="H2068" s="24">
        <f t="shared" si="260"/>
        <v>798.94758470349473</v>
      </c>
      <c r="I2068" s="12">
        <f t="shared" si="259"/>
        <v>0.24561987877382779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801.41758083995546</v>
      </c>
      <c r="F2069" s="38">
        <f t="shared" si="261"/>
        <v>0.2114848362748796</v>
      </c>
      <c r="G2069" s="14">
        <f t="shared" si="262"/>
        <v>0</v>
      </c>
      <c r="H2069" s="24">
        <f t="shared" si="260"/>
        <v>798.06180342237485</v>
      </c>
      <c r="I2069" s="12">
        <f t="shared" ref="I2069:I2132" si="267">LambdaP*MassivP/(dp/1000)/(H2069*RhoA)/(1+F2069/3)*(D2069-E2069)*DeltaT-(EXP(F2069/10)-1)*(D2069-D2068)</f>
        <v>0.24573315288341216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801.66331399283888</v>
      </c>
      <c r="F2070" s="38">
        <f t="shared" si="261"/>
        <v>0.21171829936089204</v>
      </c>
      <c r="G2070" s="14">
        <f t="shared" si="262"/>
        <v>0</v>
      </c>
      <c r="H2070" s="24">
        <f t="shared" si="260"/>
        <v>797.18177570621583</v>
      </c>
      <c r="I2070" s="12">
        <f t="shared" si="267"/>
        <v>0.24584488197446688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801.90915887481333</v>
      </c>
      <c r="F2071" s="38">
        <f t="shared" si="261"/>
        <v>0.21195076038852931</v>
      </c>
      <c r="G2071" s="14">
        <f t="shared" si="262"/>
        <v>0</v>
      </c>
      <c r="H2071" s="24">
        <f t="shared" si="260"/>
        <v>796.30745143177262</v>
      </c>
      <c r="I2071" s="12">
        <f t="shared" si="267"/>
        <v>0.24595507476093428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802.15511394957423</v>
      </c>
      <c r="F2072" s="38">
        <f t="shared" si="261"/>
        <v>0.21218222428152952</v>
      </c>
      <c r="G2072" s="14">
        <f t="shared" si="262"/>
        <v>0</v>
      </c>
      <c r="H2072" s="24">
        <f t="shared" si="260"/>
        <v>795.43878100776521</v>
      </c>
      <c r="I2072" s="12">
        <f t="shared" si="267"/>
        <v>0.24606373991960889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802.40117768949381</v>
      </c>
      <c r="F2073" s="38">
        <f t="shared" si="261"/>
        <v>0.21241269594524187</v>
      </c>
      <c r="G2073" s="14">
        <f t="shared" si="262"/>
        <v>0</v>
      </c>
      <c r="H2073" s="24">
        <f t="shared" si="260"/>
        <v>794.57571536837679</v>
      </c>
      <c r="I2073" s="12">
        <f t="shared" si="267"/>
        <v>0.24617088609000945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802.64734857558381</v>
      </c>
      <c r="F2074" s="38">
        <f t="shared" si="261"/>
        <v>0.21264218026651566</v>
      </c>
      <c r="G2074" s="14">
        <f t="shared" si="262"/>
        <v>0</v>
      </c>
      <c r="H2074" s="24">
        <f t="shared" si="260"/>
        <v>793.71820596683949</v>
      </c>
      <c r="I2074" s="12">
        <f t="shared" si="267"/>
        <v>0.24627652187431834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802.89362509745808</v>
      </c>
      <c r="F2075" s="38">
        <f t="shared" si="261"/>
        <v>0.21287068211359353</v>
      </c>
      <c r="G2075" s="14">
        <f t="shared" si="262"/>
        <v>0</v>
      </c>
      <c r="H2075" s="24">
        <f t="shared" si="260"/>
        <v>792.86620476910764</v>
      </c>
      <c r="I2075" s="12">
        <f t="shared" si="267"/>
        <v>0.24638065583728588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803.14000575329533</v>
      </c>
      <c r="F2076" s="38">
        <f t="shared" si="261"/>
        <v>0.21309820633601068</v>
      </c>
      <c r="G2076" s="14">
        <f t="shared" si="262"/>
        <v>0</v>
      </c>
      <c r="H2076" s="24">
        <f t="shared" si="260"/>
        <v>792.01966424761463</v>
      </c>
      <c r="I2076" s="12">
        <f t="shared" si="267"/>
        <v>0.24648329650615064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803.38648904980153</v>
      </c>
      <c r="F2077" s="38">
        <f t="shared" si="261"/>
        <v>0.21332475776449752</v>
      </c>
      <c r="G2077" s="14">
        <f t="shared" si="262"/>
        <v>0</v>
      </c>
      <c r="H2077" s="24">
        <f t="shared" si="260"/>
        <v>791.17853737511609</v>
      </c>
      <c r="I2077" s="12">
        <f t="shared" si="267"/>
        <v>0.24658445237060872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803.63307350217212</v>
      </c>
      <c r="F2078" s="38">
        <f t="shared" si="261"/>
        <v>0.21355034121088759</v>
      </c>
      <c r="G2078" s="14">
        <f t="shared" si="262"/>
        <v>0</v>
      </c>
      <c r="H2078" s="24">
        <f t="shared" si="260"/>
        <v>790.34277761861586</v>
      </c>
      <c r="I2078" s="12">
        <f t="shared" si="267"/>
        <v>0.24668413188266577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803.87975763405484</v>
      </c>
      <c r="F2079" s="38">
        <f t="shared" si="261"/>
        <v>0.21377496146803038</v>
      </c>
      <c r="G2079" s="14">
        <f t="shared" si="262"/>
        <v>0</v>
      </c>
      <c r="H2079" s="24">
        <f t="shared" si="260"/>
        <v>789.51233893337167</v>
      </c>
      <c r="I2079" s="12">
        <f t="shared" si="267"/>
        <v>0.24678234345668631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804.12653997751147</v>
      </c>
      <c r="F2080" s="38">
        <f t="shared" si="261"/>
        <v>0.21399862330970756</v>
      </c>
      <c r="G2080" s="14">
        <f t="shared" si="262"/>
        <v>0</v>
      </c>
      <c r="H2080" s="24">
        <f t="shared" si="260"/>
        <v>788.68717575698463</v>
      </c>
      <c r="I2080" s="12">
        <f t="shared" si="267"/>
        <v>0.24687909546927658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804.37341907298071</v>
      </c>
      <c r="F2081" s="38">
        <f t="shared" si="261"/>
        <v>0.21422133149055475</v>
      </c>
      <c r="G2081" s="14">
        <f t="shared" si="262"/>
        <v>0</v>
      </c>
      <c r="H2081" s="24">
        <f t="shared" si="260"/>
        <v>787.86724300356479</v>
      </c>
      <c r="I2081" s="12">
        <f t="shared" si="267"/>
        <v>0.24697439625924505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804.62039346923996</v>
      </c>
      <c r="F2082" s="38">
        <f t="shared" si="261"/>
        <v>0.21444309074598644</v>
      </c>
      <c r="G2082" s="14">
        <f t="shared" si="262"/>
        <v>0</v>
      </c>
      <c r="H2082" s="24">
        <f t="shared" si="260"/>
        <v>787.05249605797803</v>
      </c>
      <c r="I2082" s="12">
        <f t="shared" si="267"/>
        <v>0.2470682541275982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804.86746172336757</v>
      </c>
      <c r="F2083" s="38">
        <f t="shared" si="261"/>
        <v>0.2146639057921256</v>
      </c>
      <c r="G2083" s="14">
        <f t="shared" si="262"/>
        <v>0</v>
      </c>
      <c r="H2083" s="24">
        <f t="shared" si="260"/>
        <v>786.24289077016897</v>
      </c>
      <c r="I2083" s="12">
        <f t="shared" si="267"/>
        <v>0.24716067733747368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805.114622400705</v>
      </c>
      <c r="F2084" s="38">
        <f t="shared" si="261"/>
        <v>0.21488378132573779</v>
      </c>
      <c r="G2084" s="14">
        <f t="shared" si="262"/>
        <v>0</v>
      </c>
      <c r="H2084" s="24">
        <f t="shared" si="260"/>
        <v>785.43838344955918</v>
      </c>
      <c r="I2084" s="12">
        <f t="shared" si="267"/>
        <v>0.24725167411412821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805.36187407481918</v>
      </c>
      <c r="F2085" s="38">
        <f t="shared" si="261"/>
        <v>0.21510272202416816</v>
      </c>
      <c r="G2085" s="14">
        <f t="shared" si="262"/>
        <v>0</v>
      </c>
      <c r="H2085" s="24">
        <f t="shared" si="260"/>
        <v>784.638930859521</v>
      </c>
      <c r="I2085" s="12">
        <f t="shared" si="267"/>
        <v>0.24734125264491044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805.60921532746409</v>
      </c>
      <c r="F2086" s="38">
        <f t="shared" si="261"/>
        <v>0.21532073254528322</v>
      </c>
      <c r="G2086" s="14">
        <f t="shared" si="262"/>
        <v>0</v>
      </c>
      <c r="H2086" s="24">
        <f t="shared" si="260"/>
        <v>783.84449021192631</v>
      </c>
      <c r="I2086" s="12">
        <f t="shared" si="267"/>
        <v>0.24742942107925461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805.85664474854332</v>
      </c>
      <c r="F2087" s="38">
        <f t="shared" si="261"/>
        <v>0.21553781752741613</v>
      </c>
      <c r="G2087" s="14">
        <f t="shared" si="262"/>
        <v>0</v>
      </c>
      <c r="H2087" s="24">
        <f t="shared" si="260"/>
        <v>783.05501916176615</v>
      </c>
      <c r="I2087" s="12">
        <f t="shared" si="267"/>
        <v>0.24751618752865909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806.10416093607193</v>
      </c>
      <c r="F2088" s="38">
        <f t="shared" si="261"/>
        <v>0.21575398158931561</v>
      </c>
      <c r="G2088" s="14">
        <f t="shared" si="262"/>
        <v>0</v>
      </c>
      <c r="H2088" s="24">
        <f t="shared" si="260"/>
        <v>782.2704758018433</v>
      </c>
      <c r="I2088" s="12">
        <f t="shared" si="267"/>
        <v>0.24760156006667983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806.35176249613858</v>
      </c>
      <c r="F2089" s="38">
        <f t="shared" si="261"/>
        <v>0.21596922933009899</v>
      </c>
      <c r="G2089" s="14">
        <f t="shared" si="262"/>
        <v>0</v>
      </c>
      <c r="H2089" s="24">
        <f t="shared" si="260"/>
        <v>781.49081865753556</v>
      </c>
      <c r="I2089" s="12">
        <f t="shared" si="267"/>
        <v>0.24768554672892504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806.59944804286749</v>
      </c>
      <c r="F2090" s="38">
        <f t="shared" si="261"/>
        <v>0.21618356532920777</v>
      </c>
      <c r="G2090" s="14">
        <f t="shared" si="262"/>
        <v>0</v>
      </c>
      <c r="H2090" s="24">
        <f t="shared" si="260"/>
        <v>780.71600668162876</v>
      </c>
      <c r="I2090" s="12">
        <f t="shared" si="267"/>
        <v>0.24776815551309589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806.84721619838058</v>
      </c>
      <c r="F2091" s="38">
        <f t="shared" si="261"/>
        <v>0.21639699414636787</v>
      </c>
      <c r="G2091" s="14">
        <f t="shared" si="262"/>
        <v>0</v>
      </c>
      <c r="H2091" s="24">
        <f t="shared" si="260"/>
        <v>779.94599924921795</v>
      </c>
      <c r="I2091" s="12">
        <f t="shared" si="267"/>
        <v>0.24784939437892256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807.09506559275951</v>
      </c>
      <c r="F2092" s="38">
        <f t="shared" si="261"/>
        <v>0.21660952032155259</v>
      </c>
      <c r="G2092" s="14">
        <f t="shared" si="262"/>
        <v>0</v>
      </c>
      <c r="H2092" s="24">
        <f t="shared" si="260"/>
        <v>779.1807561526773</v>
      </c>
      <c r="I2092" s="12">
        <f t="shared" si="267"/>
        <v>0.24792927124824907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807.34299486400778</v>
      </c>
      <c r="F2093" s="38">
        <f t="shared" si="261"/>
        <v>0.2168211483749489</v>
      </c>
      <c r="G2093" s="14">
        <f t="shared" si="262"/>
        <v>0</v>
      </c>
      <c r="H2093" s="24">
        <f t="shared" si="260"/>
        <v>778.42023759669553</v>
      </c>
      <c r="I2093" s="12">
        <f t="shared" si="267"/>
        <v>0.24800779400500647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807.59100265801283</v>
      </c>
      <c r="F2094" s="38">
        <f t="shared" si="261"/>
        <v>0.21703188280692715</v>
      </c>
      <c r="G2094" s="14">
        <f t="shared" si="262"/>
        <v>0</v>
      </c>
      <c r="H2094" s="24">
        <f t="shared" si="260"/>
        <v>777.66440419337823</v>
      </c>
      <c r="I2094" s="12">
        <f t="shared" si="267"/>
        <v>0.24808497049524381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807.83908762850808</v>
      </c>
      <c r="F2095" s="38">
        <f t="shared" si="261"/>
        <v>0.21724172809801398</v>
      </c>
      <c r="G2095" s="14">
        <f t="shared" si="262"/>
        <v>0</v>
      </c>
      <c r="H2095" s="24">
        <f t="shared" si="260"/>
        <v>776.91321695741476</v>
      </c>
      <c r="I2095" s="12">
        <f t="shared" si="267"/>
        <v>0.24816080852716346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808.08724843703521</v>
      </c>
      <c r="F2096" s="38">
        <f t="shared" si="261"/>
        <v>0.21745068870886844</v>
      </c>
      <c r="G2096" s="14">
        <f t="shared" si="262"/>
        <v>0</v>
      </c>
      <c r="H2096" s="24">
        <f t="shared" si="260"/>
        <v>776.16663730130881</v>
      </c>
      <c r="I2096" s="12">
        <f t="shared" si="267"/>
        <v>0.24823531587114492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808.33548375290638</v>
      </c>
      <c r="F2097" s="38">
        <f t="shared" si="261"/>
        <v>0.21765876908026055</v>
      </c>
      <c r="G2097" s="14">
        <f t="shared" si="262"/>
        <v>0</v>
      </c>
      <c r="H2097" s="24">
        <f t="shared" si="260"/>
        <v>775.42462703067145</v>
      </c>
      <c r="I2097" s="12">
        <f t="shared" si="267"/>
        <v>0.24830850025975965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808.58379225316617</v>
      </c>
      <c r="F2098" s="38">
        <f t="shared" si="261"/>
        <v>0.21786597363305366</v>
      </c>
      <c r="G2098" s="14">
        <f t="shared" si="262"/>
        <v>0</v>
      </c>
      <c r="H2098" s="24">
        <f t="shared" si="260"/>
        <v>774.68714833957824</v>
      </c>
      <c r="I2098" s="12">
        <f t="shared" si="267"/>
        <v>0.24838036938785191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808.83217262255403</v>
      </c>
      <c r="F2099" s="38">
        <f t="shared" si="261"/>
        <v>0.21807230676818892</v>
      </c>
      <c r="G2099" s="14">
        <f t="shared" si="262"/>
        <v>0</v>
      </c>
      <c r="H2099" s="24">
        <f t="shared" si="260"/>
        <v>773.95416380598579</v>
      </c>
      <c r="I2099" s="12">
        <f t="shared" si="267"/>
        <v>0.24845093091253559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809.08062355346658</v>
      </c>
      <c r="F2100" s="38">
        <f t="shared" si="261"/>
        <v>0.21827777286667327</v>
      </c>
      <c r="G2100" s="14">
        <f t="shared" si="262"/>
        <v>0</v>
      </c>
      <c r="H2100" s="24">
        <f t="shared" si="260"/>
        <v>773.22563638720885</v>
      </c>
      <c r="I2100" s="12">
        <f t="shared" si="267"/>
        <v>0.24852019245325907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809.32914374591985</v>
      </c>
      <c r="F2101" s="38">
        <f t="shared" si="261"/>
        <v>0.2184823762895696</v>
      </c>
      <c r="G2101" s="14">
        <f t="shared" si="262"/>
        <v>0</v>
      </c>
      <c r="H2101" s="24">
        <f t="shared" si="260"/>
        <v>772.50152941545775</v>
      </c>
      <c r="I2101" s="12">
        <f t="shared" si="267"/>
        <v>0.24858816159185837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809.57773190751175</v>
      </c>
      <c r="F2102" s="38">
        <f t="shared" si="261"/>
        <v>0.21868612137799009</v>
      </c>
      <c r="G2102" s="14">
        <f t="shared" si="262"/>
        <v>0</v>
      </c>
      <c r="H2102" s="24">
        <f t="shared" si="260"/>
        <v>771.78180659343354</v>
      </c>
      <c r="I2102" s="12">
        <f t="shared" si="267"/>
        <v>0.24865484587258427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809.82638675338433</v>
      </c>
      <c r="F2103" s="38">
        <f t="shared" si="261"/>
        <v>0.2188890124530915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771.06643198998233</v>
      </c>
      <c r="I2103" s="12">
        <f t="shared" si="267"/>
        <v>0.24872025280221186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810.0751070061865</v>
      </c>
      <c r="F2104" s="38">
        <f t="shared" si="261"/>
        <v>0.21909105381607402</v>
      </c>
      <c r="G2104" s="14">
        <f t="shared" si="262"/>
        <v>0</v>
      </c>
      <c r="H2104" s="24">
        <f t="shared" si="268"/>
        <v>770.35537003580453</v>
      </c>
      <c r="I2104" s="12">
        <f t="shared" si="267"/>
        <v>0.24878438985001525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810.32389139603652</v>
      </c>
      <c r="F2105" s="38">
        <f t="shared" si="261"/>
        <v>0.21929224974818173</v>
      </c>
      <c r="G2105" s="14">
        <f t="shared" si="262"/>
        <v>0</v>
      </c>
      <c r="H2105" s="24">
        <f t="shared" si="268"/>
        <v>769.64858551922214</v>
      </c>
      <c r="I2105" s="12">
        <f t="shared" si="267"/>
        <v>0.24884726444790892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810.57273866048445</v>
      </c>
      <c r="F2106" s="38">
        <f t="shared" si="261"/>
        <v>0.21949260451070587</v>
      </c>
      <c r="G2106" s="14">
        <f t="shared" si="262"/>
        <v>0</v>
      </c>
      <c r="H2106" s="24">
        <f t="shared" si="268"/>
        <v>768.9460435820007</v>
      </c>
      <c r="I2106" s="12">
        <f t="shared" si="267"/>
        <v>0.24890888399048661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810.8216475444749</v>
      </c>
      <c r="F2107" s="38">
        <f t="shared" si="261"/>
        <v>0.21969212234499041</v>
      </c>
      <c r="G2107" s="14">
        <f t="shared" si="262"/>
        <v>0</v>
      </c>
      <c r="H2107" s="24">
        <f t="shared" si="268"/>
        <v>768.24770971522582</v>
      </c>
      <c r="I2107" s="12">
        <f t="shared" si="267"/>
        <v>0.24896925583504143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811.07061680030995</v>
      </c>
      <c r="F2108" s="38">
        <f t="shared" si="261"/>
        <v>0.21989080747244025</v>
      </c>
      <c r="G2108" s="14">
        <f t="shared" si="262"/>
        <v>0</v>
      </c>
      <c r="H2108" s="24">
        <f t="shared" si="268"/>
        <v>767.55354975523323</v>
      </c>
      <c r="I2108" s="12">
        <f t="shared" si="267"/>
        <v>0.24902838730172969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811.31964518761163</v>
      </c>
      <c r="F2109" s="38">
        <f t="shared" si="261"/>
        <v>0.22008866409453093</v>
      </c>
      <c r="G2109" s="14">
        <f t="shared" si="262"/>
        <v>0</v>
      </c>
      <c r="H2109" s="24">
        <f t="shared" si="268"/>
        <v>766.86352987959322</v>
      </c>
      <c r="I2109" s="12">
        <f t="shared" si="267"/>
        <v>0.24908628567355617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811.5687314732852</v>
      </c>
      <c r="F2110" s="38">
        <f t="shared" si="261"/>
        <v>0.22028569639282167</v>
      </c>
      <c r="G2110" s="14">
        <f t="shared" si="262"/>
        <v>0</v>
      </c>
      <c r="H2110" s="24">
        <f t="shared" si="268"/>
        <v>766.17761660314477</v>
      </c>
      <c r="I2110" s="12">
        <f t="shared" si="267"/>
        <v>0.24914295819650986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811.81787443148175</v>
      </c>
      <c r="F2111" s="38">
        <f t="shared" si="261"/>
        <v>0.22048190852896937</v>
      </c>
      <c r="G2111" s="14">
        <f t="shared" si="262"/>
        <v>0</v>
      </c>
      <c r="H2111" s="24">
        <f t="shared" si="268"/>
        <v>765.49577677408456</v>
      </c>
      <c r="I2111" s="12">
        <f t="shared" si="267"/>
        <v>0.24919841207961399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812.06707284356139</v>
      </c>
      <c r="F2112" s="38">
        <f t="shared" si="261"/>
        <v>0.2206773046447455</v>
      </c>
      <c r="G2112" s="14">
        <f t="shared" si="262"/>
        <v>0</v>
      </c>
      <c r="H2112" s="24">
        <f t="shared" si="268"/>
        <v>764.8179775701044</v>
      </c>
      <c r="I2112" s="12">
        <f t="shared" si="267"/>
        <v>0.24925265449501219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812.31632549805636</v>
      </c>
      <c r="F2113" s="38">
        <f t="shared" si="261"/>
        <v>0.22087188886205483</v>
      </c>
      <c r="G2113" s="14">
        <f t="shared" si="262"/>
        <v>0</v>
      </c>
      <c r="H2113" s="24">
        <f t="shared" si="268"/>
        <v>764.14418649457957</v>
      </c>
      <c r="I2113" s="12">
        <f t="shared" si="267"/>
        <v>0.24930569257805901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812.56563119063446</v>
      </c>
      <c r="F2114" s="38">
        <f t="shared" si="261"/>
        <v>0.22106566528295613</v>
      </c>
      <c r="G2114" s="14">
        <f t="shared" si="262"/>
        <v>0</v>
      </c>
      <c r="H2114" s="24">
        <f t="shared" si="268"/>
        <v>763.47437137280599</v>
      </c>
      <c r="I2114" s="12">
        <f t="shared" si="267"/>
        <v>0.24935753342740111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812.81498872406189</v>
      </c>
      <c r="F2115" s="38">
        <f t="shared" si="261"/>
        <v>0.22125863798968465</v>
      </c>
      <c r="G2115" s="14">
        <f t="shared" si="262"/>
        <v>0</v>
      </c>
      <c r="H2115" s="24">
        <f t="shared" si="268"/>
        <v>762.80850034828791</v>
      </c>
      <c r="I2115" s="12">
        <f t="shared" si="267"/>
        <v>0.24940818410509213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813.06439690816694</v>
      </c>
      <c r="F2116" s="38">
        <f t="shared" si="261"/>
        <v>0.22145081104467679</v>
      </c>
      <c r="G2116" s="14">
        <f t="shared" si="262"/>
        <v>0</v>
      </c>
      <c r="H2116" s="24">
        <f t="shared" si="268"/>
        <v>762.14654187907126</v>
      </c>
      <c r="I2116" s="12">
        <f t="shared" si="267"/>
        <v>0.24945765163661948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813.31385455980353</v>
      </c>
      <c r="F2117" s="38">
        <f t="shared" si="261"/>
        <v>0.22164218849059644</v>
      </c>
      <c r="G2117" s="14">
        <f t="shared" si="262"/>
        <v>0</v>
      </c>
      <c r="H2117" s="24">
        <f t="shared" si="268"/>
        <v>761.48846473412596</v>
      </c>
      <c r="I2117" s="12">
        <f t="shared" si="267"/>
        <v>0.24950594301108808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813.56336050281459</v>
      </c>
      <c r="F2118" s="38">
        <f t="shared" si="261"/>
        <v>0.22183277435036317</v>
      </c>
      <c r="G2118" s="14">
        <f t="shared" si="262"/>
        <v>0</v>
      </c>
      <c r="H2118" s="24">
        <f t="shared" si="268"/>
        <v>760.83423798977412</v>
      </c>
      <c r="I2118" s="12">
        <f t="shared" si="267"/>
        <v>0.24955306518124173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813.81291356799579</v>
      </c>
      <c r="F2119" s="38">
        <f t="shared" si="261"/>
        <v>0.22202257262718192</v>
      </c>
      <c r="G2119" s="14">
        <f t="shared" si="262"/>
        <v>0</v>
      </c>
      <c r="H2119" s="24">
        <f t="shared" si="268"/>
        <v>760.18383102616485</v>
      </c>
      <c r="I2119" s="12">
        <f t="shared" si="267"/>
        <v>0.2495990250635966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814.06251259305941</v>
      </c>
      <c r="F2120" s="38">
        <f t="shared" si="261"/>
        <v>0.22221158730457488</v>
      </c>
      <c r="G2120" s="14">
        <f t="shared" si="262"/>
        <v>0</v>
      </c>
      <c r="H2120" s="24">
        <f t="shared" si="268"/>
        <v>759.53721352379387</v>
      </c>
      <c r="I2120" s="12">
        <f t="shared" si="267"/>
        <v>0.24964382953851691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814.31215642259792</v>
      </c>
      <c r="F2121" s="38">
        <f t="shared" si="261"/>
        <v>0.22239982234641462</v>
      </c>
      <c r="G2121" s="14">
        <f t="shared" si="262"/>
        <v>0</v>
      </c>
      <c r="H2121" s="24">
        <f t="shared" si="268"/>
        <v>758.8943554600686</v>
      </c>
      <c r="I2121" s="12">
        <f t="shared" si="267"/>
        <v>0.24968748545037722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814.56184390804833</v>
      </c>
      <c r="F2122" s="38">
        <f t="shared" si="261"/>
        <v>0.22258728169695871</v>
      </c>
      <c r="G2122" s="14">
        <f t="shared" si="262"/>
        <v>0</v>
      </c>
      <c r="H2122" s="24">
        <f t="shared" si="268"/>
        <v>758.25522710591656</v>
      </c>
      <c r="I2122" s="12">
        <f t="shared" si="267"/>
        <v>0.24972999960759104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814.81157390765588</v>
      </c>
      <c r="F2123" s="38">
        <f t="shared" si="261"/>
        <v>0.22277396928088661</v>
      </c>
      <c r="G2123" s="14">
        <f t="shared" si="262"/>
        <v>0</v>
      </c>
      <c r="H2123" s="24">
        <f t="shared" si="268"/>
        <v>757.61979902243797</v>
      </c>
      <c r="I2123" s="12">
        <f t="shared" si="267"/>
        <v>0.24977137878275846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815.06134528643861</v>
      </c>
      <c r="F2124" s="38">
        <f t="shared" si="261"/>
        <v>0.22295988900333721</v>
      </c>
      <c r="G2124" s="14">
        <f t="shared" si="262"/>
        <v>0</v>
      </c>
      <c r="H2124" s="24">
        <f t="shared" si="268"/>
        <v>756.98804205760018</v>
      </c>
      <c r="I2124" s="12">
        <f t="shared" si="267"/>
        <v>0.2498116297127633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815.31115691615139</v>
      </c>
      <c r="F2125" s="38">
        <f t="shared" si="261"/>
        <v>0.22314504474994842</v>
      </c>
      <c r="G2125" s="14">
        <f t="shared" si="262"/>
        <v>0</v>
      </c>
      <c r="H2125" s="24">
        <f t="shared" si="268"/>
        <v>756.35992734297588</v>
      </c>
      <c r="I2125" s="12">
        <f t="shared" si="267"/>
        <v>0.24985075909890811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815.56100767525027</v>
      </c>
      <c r="F2126" s="38">
        <f t="shared" si="261"/>
        <v>0.22332944038689789</v>
      </c>
      <c r="G2126" s="14">
        <f t="shared" si="262"/>
        <v>0</v>
      </c>
      <c r="H2126" s="24">
        <f t="shared" si="268"/>
        <v>755.73542629052235</v>
      </c>
      <c r="I2126" s="12">
        <f t="shared" si="267"/>
        <v>0.2498887736069707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815.81089644885719</v>
      </c>
      <c r="F2127" s="38">
        <f t="shared" si="261"/>
        <v>0.22351307976094545</v>
      </c>
      <c r="G2127" s="14">
        <f t="shared" si="262"/>
        <v>0</v>
      </c>
      <c r="H2127" s="24">
        <f t="shared" si="268"/>
        <v>755.11451058940111</v>
      </c>
      <c r="I2127" s="12">
        <f t="shared" si="267"/>
        <v>0.24992567986735795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816.06082212872457</v>
      </c>
      <c r="F2128" s="38">
        <f t="shared" si="261"/>
        <v>0.2236959666994765</v>
      </c>
      <c r="G2128" s="14">
        <f t="shared" si="262"/>
        <v>0</v>
      </c>
      <c r="H2128" s="24">
        <f t="shared" si="268"/>
        <v>754.49715220283872</v>
      </c>
      <c r="I2128" s="12">
        <f t="shared" si="267"/>
        <v>0.24996148447524968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816.31078361319976</v>
      </c>
      <c r="F2129" s="38">
        <f t="shared" si="261"/>
        <v>0.22387810501054708</v>
      </c>
      <c r="G2129" s="14">
        <f t="shared" si="262"/>
        <v>0</v>
      </c>
      <c r="H2129" s="24">
        <f t="shared" si="268"/>
        <v>753.88332336502867</v>
      </c>
      <c r="I2129" s="12">
        <f t="shared" si="267"/>
        <v>0.24999619399063008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816.56077980719044</v>
      </c>
      <c r="F2130" s="38">
        <f t="shared" si="261"/>
        <v>0.22405949848292975</v>
      </c>
      <c r="G2130" s="14">
        <f t="shared" si="262"/>
        <v>0</v>
      </c>
      <c r="H2130" s="24">
        <f t="shared" si="268"/>
        <v>753.27299657807032</v>
      </c>
      <c r="I2130" s="12">
        <f t="shared" si="267"/>
        <v>0.25002981493848575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816.81080962212889</v>
      </c>
      <c r="F2131" s="38">
        <f t="shared" si="261"/>
        <v>0.22424015088616139</v>
      </c>
      <c r="G2131" s="14">
        <f t="shared" si="262"/>
        <v>0</v>
      </c>
      <c r="H2131" s="24">
        <f t="shared" si="268"/>
        <v>752.66614460894891</v>
      </c>
      <c r="I2131" s="12">
        <f t="shared" si="267"/>
        <v>0.25006235380886477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817.06087197593774</v>
      </c>
      <c r="F2132" s="38">
        <f t="shared" ref="F2132:F2195" si="269">Cp*RhoP/(RhoA*H2132)*dp/1000*MassivP</f>
        <v>0.22442006597059175</v>
      </c>
      <c r="G2132" s="14">
        <f t="shared" ref="G2132:G2195" si="270">Phi*EpsilonF*Botzman/10^8*J2132*((D2132+273)^4-(E2132+273)^4)</f>
        <v>0</v>
      </c>
      <c r="H2132" s="24">
        <f t="shared" si="268"/>
        <v>752.06274048655234</v>
      </c>
      <c r="I2132" s="12">
        <f t="shared" si="267"/>
        <v>0.25009381705706252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817.31096579299481</v>
      </c>
      <c r="F2133" s="38">
        <f t="shared" si="269"/>
        <v>0.22459924746743284</v>
      </c>
      <c r="G2133" s="14">
        <f t="shared" si="270"/>
        <v>0</v>
      </c>
      <c r="H2133" s="24">
        <f t="shared" si="268"/>
        <v>751.46275749872689</v>
      </c>
      <c r="I2133" s="12">
        <f t="shared" ref="I2133:I2196" si="275">LambdaP*MassivP/(dp/1000)/(H2133*RhoA)/(1+F2133/3)*(D2133-E2133)*DeltaT-(EXP(F2133/10)-1)*(D2133-D2132)</f>
        <v>0.25012421110366762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817.56109000409845</v>
      </c>
      <c r="F2134" s="38">
        <f t="shared" si="269"/>
        <v>0.22477769908881051</v>
      </c>
      <c r="G2134" s="14">
        <f t="shared" si="270"/>
        <v>0</v>
      </c>
      <c r="H2134" s="24">
        <f t="shared" si="268"/>
        <v>750.86616918936988</v>
      </c>
      <c r="I2134" s="12">
        <f t="shared" si="275"/>
        <v>0.25015354233475123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817.81124354643316</v>
      </c>
      <c r="F2135" s="38">
        <f t="shared" si="269"/>
        <v>0.22495542452781589</v>
      </c>
      <c r="G2135" s="14">
        <f t="shared" si="270"/>
        <v>0</v>
      </c>
      <c r="H2135" s="24">
        <f t="shared" si="268"/>
        <v>750.27294935555813</v>
      </c>
      <c r="I2135" s="12">
        <f t="shared" si="275"/>
        <v>0.25018181710195081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818.06142536353514</v>
      </c>
      <c r="F2136" s="38">
        <f t="shared" si="269"/>
        <v>0.2251324274585586</v>
      </c>
      <c r="G2136" s="14">
        <f t="shared" si="270"/>
        <v>0</v>
      </c>
      <c r="H2136" s="24">
        <f t="shared" si="268"/>
        <v>749.68307204471455</v>
      </c>
      <c r="I2136" s="12">
        <f t="shared" si="275"/>
        <v>0.25020904172262526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818.31163440525779</v>
      </c>
      <c r="F2137" s="38">
        <f t="shared" si="269"/>
        <v>0.22530871153622117</v>
      </c>
      <c r="G2137" s="14">
        <f t="shared" si="270"/>
        <v>0</v>
      </c>
      <c r="H2137" s="24">
        <f t="shared" si="268"/>
        <v>749.09651155180882</v>
      </c>
      <c r="I2137" s="12">
        <f t="shared" si="275"/>
        <v>0.25023522247992691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818.56186962773768</v>
      </c>
      <c r="F2138" s="38">
        <f t="shared" si="269"/>
        <v>0.22548428039711366</v>
      </c>
      <c r="G2138" s="14">
        <f t="shared" si="270"/>
        <v>0</v>
      </c>
      <c r="H2138" s="24">
        <f t="shared" si="268"/>
        <v>748.51324241659427</v>
      </c>
      <c r="I2138" s="12">
        <f t="shared" si="275"/>
        <v>0.25026036562302012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818.81212999336071</v>
      </c>
      <c r="F2139" s="38">
        <f t="shared" si="269"/>
        <v>0.22565913765873016</v>
      </c>
      <c r="G2139" s="14">
        <f t="shared" si="270"/>
        <v>0</v>
      </c>
      <c r="H2139" s="24">
        <f t="shared" si="268"/>
        <v>747.93323942087875</v>
      </c>
      <c r="I2139" s="12">
        <f t="shared" si="275"/>
        <v>0.25028447736710802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819.06241447072784</v>
      </c>
      <c r="F2140" s="38">
        <f t="shared" si="269"/>
        <v>0.22583328691980536</v>
      </c>
      <c r="G2140" s="14">
        <f t="shared" si="270"/>
        <v>0</v>
      </c>
      <c r="H2140" s="24">
        <f t="shared" si="268"/>
        <v>747.35647758583104</v>
      </c>
      <c r="I2140" s="12">
        <f t="shared" si="275"/>
        <v>0.2503075638936495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819.31272203462152</v>
      </c>
      <c r="F2141" s="38">
        <f t="shared" si="269"/>
        <v>0.22600673176037278</v>
      </c>
      <c r="G2141" s="14">
        <f t="shared" si="270"/>
        <v>0</v>
      </c>
      <c r="H2141" s="24">
        <f t="shared" si="268"/>
        <v>746.78293216931945</v>
      </c>
      <c r="I2141" s="12">
        <f t="shared" si="275"/>
        <v>0.25032963135041802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819.5630516659719</v>
      </c>
      <c r="F2142" s="38">
        <f t="shared" si="269"/>
        <v>0.22617947574182337</v>
      </c>
      <c r="G2142" s="14">
        <f t="shared" si="270"/>
        <v>0</v>
      </c>
      <c r="H2142" s="24">
        <f t="shared" si="268"/>
        <v>746.21257866328563</v>
      </c>
      <c r="I2142" s="12">
        <f t="shared" si="275"/>
        <v>0.25035068585171483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819.81340235182358</v>
      </c>
      <c r="F2143" s="38">
        <f t="shared" si="269"/>
        <v>0.22635152240696513</v>
      </c>
      <c r="G2143" s="14">
        <f t="shared" si="270"/>
        <v>0</v>
      </c>
      <c r="H2143" s="24">
        <f t="shared" si="268"/>
        <v>745.64539279114899</v>
      </c>
      <c r="I2143" s="12">
        <f t="shared" si="275"/>
        <v>0.2503707334783945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820.06377308530193</v>
      </c>
      <c r="F2144" s="38">
        <f t="shared" si="269"/>
        <v>0.22652287528008355</v>
      </c>
      <c r="G2144" s="14">
        <f t="shared" si="270"/>
        <v>0</v>
      </c>
      <c r="H2144" s="24">
        <f t="shared" si="268"/>
        <v>745.08135050524606</v>
      </c>
      <c r="I2144" s="12">
        <f t="shared" si="275"/>
        <v>0.25038978027810044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820.31416286557999</v>
      </c>
      <c r="F2145" s="38">
        <f t="shared" si="269"/>
        <v>0.2266935378670028</v>
      </c>
      <c r="G2145" s="14">
        <f t="shared" si="270"/>
        <v>0</v>
      </c>
      <c r="H2145" s="24">
        <f t="shared" si="268"/>
        <v>744.52042798430011</v>
      </c>
      <c r="I2145" s="12">
        <f t="shared" si="275"/>
        <v>0.25040783226534241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820.56457069784528</v>
      </c>
      <c r="F2146" s="38">
        <f t="shared" si="269"/>
        <v>0.22686351365514779</v>
      </c>
      <c r="G2146" s="14">
        <f t="shared" si="270"/>
        <v>0</v>
      </c>
      <c r="H2146" s="24">
        <f t="shared" si="268"/>
        <v>743.96260163092268</v>
      </c>
      <c r="I2146" s="12">
        <f t="shared" si="275"/>
        <v>0.25042489542164198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820.81499559326687</v>
      </c>
      <c r="F2147" s="38">
        <f t="shared" si="269"/>
        <v>0.22703280611360646</v>
      </c>
      <c r="G2147" s="14">
        <f t="shared" si="270"/>
        <v>0</v>
      </c>
      <c r="H2147" s="24">
        <f t="shared" si="268"/>
        <v>743.40784806914701</v>
      </c>
      <c r="I2147" s="12">
        <f t="shared" si="275"/>
        <v>0.25044097569568791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821.06543656896258</v>
      </c>
      <c r="F2148" s="38">
        <f t="shared" si="269"/>
        <v>0.22720141869319394</v>
      </c>
      <c r="G2148" s="14">
        <f t="shared" si="270"/>
        <v>0</v>
      </c>
      <c r="H2148" s="24">
        <f t="shared" si="268"/>
        <v>742.85614414199085</v>
      </c>
      <c r="I2148" s="12">
        <f t="shared" si="275"/>
        <v>0.25045607900342209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821.31589264796605</v>
      </c>
      <c r="F2149" s="38">
        <f t="shared" si="269"/>
        <v>0.22736935482651557</v>
      </c>
      <c r="G2149" s="14">
        <f t="shared" si="270"/>
        <v>0</v>
      </c>
      <c r="H2149" s="24">
        <f t="shared" si="268"/>
        <v>742.30746690905141</v>
      </c>
      <c r="I2149" s="12">
        <f t="shared" si="275"/>
        <v>0.25047021122823715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821.56636285919433</v>
      </c>
      <c r="F2150" s="38">
        <f t="shared" si="269"/>
        <v>0.22753661792803254</v>
      </c>
      <c r="G2150" s="14">
        <f t="shared" si="270"/>
        <v>0</v>
      </c>
      <c r="H2150" s="24">
        <f t="shared" si="268"/>
        <v>741.76179364412792</v>
      </c>
      <c r="I2150" s="12">
        <f t="shared" si="275"/>
        <v>0.25048337822109379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821.81684623741546</v>
      </c>
      <c r="F2151" s="38">
        <f t="shared" si="269"/>
        <v>0.22770321139412691</v>
      </c>
      <c r="G2151" s="14">
        <f t="shared" si="270"/>
        <v>0</v>
      </c>
      <c r="H2151" s="24">
        <f t="shared" si="268"/>
        <v>741.21910183287525</v>
      </c>
      <c r="I2151" s="12">
        <f t="shared" si="275"/>
        <v>0.2504955858006126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822.06734182321611</v>
      </c>
      <c r="F2152" s="38">
        <f t="shared" si="269"/>
        <v>0.22786913860316718</v>
      </c>
      <c r="G2152" s="14">
        <f t="shared" si="270"/>
        <v>0</v>
      </c>
      <c r="H2152" s="24">
        <f t="shared" si="268"/>
        <v>740.67936917048655</v>
      </c>
      <c r="I2152" s="12">
        <f t="shared" si="275"/>
        <v>0.25050683975329996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822.31784866296937</v>
      </c>
      <c r="F2153" s="38">
        <f t="shared" si="269"/>
        <v>0.2280344029155755</v>
      </c>
      <c r="G2153" s="14">
        <f t="shared" si="270"/>
        <v>0</v>
      </c>
      <c r="H2153" s="24">
        <f t="shared" si="268"/>
        <v>740.14257355940379</v>
      </c>
      <c r="I2153" s="12">
        <f t="shared" si="275"/>
        <v>0.25051714583360951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822.56836580880292</v>
      </c>
      <c r="F2154" s="38">
        <f t="shared" si="269"/>
        <v>0.22819900767389428</v>
      </c>
      <c r="G2154" s="14">
        <f t="shared" si="270"/>
        <v>0</v>
      </c>
      <c r="H2154" s="24">
        <f t="shared" si="268"/>
        <v>739.6086931070563</v>
      </c>
      <c r="I2154" s="12">
        <f t="shared" si="275"/>
        <v>0.2505265097641084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822.81889231856701</v>
      </c>
      <c r="F2155" s="38">
        <f t="shared" si="269"/>
        <v>0.22836295620285391</v>
      </c>
      <c r="G2155" s="14">
        <f t="shared" si="270"/>
        <v>0</v>
      </c>
      <c r="H2155" s="24">
        <f t="shared" si="268"/>
        <v>739.07770612362924</v>
      </c>
      <c r="I2155" s="12">
        <f t="shared" si="275"/>
        <v>0.25053493723563219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823.06942725580268</v>
      </c>
      <c r="F2156" s="38">
        <f t="shared" si="269"/>
        <v>0.228526251809441</v>
      </c>
      <c r="G2156" s="14">
        <f t="shared" si="270"/>
        <v>0</v>
      </c>
      <c r="H2156" s="24">
        <f t="shared" si="268"/>
        <v>738.5495911198567</v>
      </c>
      <c r="I2156" s="12">
        <f t="shared" si="275"/>
        <v>0.2505424339074202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823.31996968971009</v>
      </c>
      <c r="F2157" s="38">
        <f t="shared" si="269"/>
        <v>0.22868889778296672</v>
      </c>
      <c r="G2157" s="14">
        <f t="shared" si="270"/>
        <v>0</v>
      </c>
      <c r="H2157" s="24">
        <f t="shared" si="268"/>
        <v>738.02432680484515</v>
      </c>
      <c r="I2157" s="12">
        <f t="shared" si="275"/>
        <v>0.25054900540724068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823.57051869511736</v>
      </c>
      <c r="F2158" s="38">
        <f t="shared" si="269"/>
        <v>0.22885089739513628</v>
      </c>
      <c r="G2158" s="14">
        <f t="shared" si="270"/>
        <v>0</v>
      </c>
      <c r="H2158" s="24">
        <f t="shared" si="268"/>
        <v>737.50189208392021</v>
      </c>
      <c r="I2158" s="12">
        <f t="shared" si="275"/>
        <v>0.25055465733151688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823.82107335244882</v>
      </c>
      <c r="F2159" s="38">
        <f t="shared" si="269"/>
        <v>0.22901225390011792</v>
      </c>
      <c r="G2159" s="14">
        <f t="shared" si="270"/>
        <v>0</v>
      </c>
      <c r="H2159" s="24">
        <f t="shared" si="268"/>
        <v>736.98226605650291</v>
      </c>
      <c r="I2159" s="12">
        <f t="shared" si="275"/>
        <v>0.25055939524554077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824.07163274769437</v>
      </c>
      <c r="F2160" s="38">
        <f t="shared" si="269"/>
        <v>0.22917297053461347</v>
      </c>
      <c r="G2160" s="14">
        <f t="shared" si="270"/>
        <v>0</v>
      </c>
      <c r="H2160" s="24">
        <f t="shared" si="268"/>
        <v>736.46542801400949</v>
      </c>
      <c r="I2160" s="12">
        <f t="shared" si="275"/>
        <v>0.25056322468352676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824.32219597237793</v>
      </c>
      <c r="F2161" s="38">
        <f t="shared" si="269"/>
        <v>0.22933305051792832</v>
      </c>
      <c r="G2161" s="14">
        <f t="shared" si="270"/>
        <v>0</v>
      </c>
      <c r="H2161" s="24">
        <f t="shared" si="268"/>
        <v>735.95135743777905</v>
      </c>
      <c r="I2161" s="12">
        <f t="shared" si="275"/>
        <v>0.25056615114881592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824.57276212352679</v>
      </c>
      <c r="F2162" s="38">
        <f t="shared" si="269"/>
        <v>0.22949249705204211</v>
      </c>
      <c r="G2162" s="14">
        <f t="shared" si="270"/>
        <v>0</v>
      </c>
      <c r="H2162" s="24">
        <f t="shared" si="268"/>
        <v>735.44003399702524</v>
      </c>
      <c r="I2162" s="12">
        <f t="shared" si="275"/>
        <v>0.25056818011397713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824.82333030364077</v>
      </c>
      <c r="F2163" s="38">
        <f t="shared" si="269"/>
        <v>0.22965131332168015</v>
      </c>
      <c r="G2163" s="14">
        <f t="shared" si="270"/>
        <v>0</v>
      </c>
      <c r="H2163" s="24">
        <f t="shared" si="268"/>
        <v>734.93143754681341</v>
      </c>
      <c r="I2163" s="12">
        <f t="shared" si="275"/>
        <v>0.25056931702098562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825.07389962066179</v>
      </c>
      <c r="F2164" s="38">
        <f t="shared" si="269"/>
        <v>0.22980950249438467</v>
      </c>
      <c r="G2164" s="14">
        <f t="shared" si="270"/>
        <v>0</v>
      </c>
      <c r="H2164" s="24">
        <f t="shared" si="268"/>
        <v>734.42554812606204</v>
      </c>
      <c r="I2164" s="12">
        <f t="shared" si="275"/>
        <v>0.25056956728134516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825.32446918794312</v>
      </c>
      <c r="F2165" s="38">
        <f t="shared" si="269"/>
        <v>0.22996706772058656</v>
      </c>
      <c r="G2165" s="14">
        <f t="shared" si="270"/>
        <v>0</v>
      </c>
      <c r="H2165" s="24">
        <f t="shared" si="268"/>
        <v>733.92234595556897</v>
      </c>
      <c r="I2165" s="12">
        <f t="shared" si="275"/>
        <v>0.25056893627622062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825.5750381242193</v>
      </c>
      <c r="F2166" s="38">
        <f t="shared" si="269"/>
        <v>0.23012401213367764</v>
      </c>
      <c r="G2166" s="14">
        <f t="shared" si="270"/>
        <v>0</v>
      </c>
      <c r="H2166" s="24">
        <f t="shared" si="268"/>
        <v>733.42181143606172</v>
      </c>
      <c r="I2166" s="12">
        <f t="shared" si="275"/>
        <v>0.25056742935660686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825.82560555357588</v>
      </c>
      <c r="F2167" s="38">
        <f t="shared" si="269"/>
        <v>0.23028033885008292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732.9239251462709</v>
      </c>
      <c r="I2167" s="12">
        <f t="shared" si="275"/>
        <v>0.25056505184347189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826.07617060541941</v>
      </c>
      <c r="F2168" s="38">
        <f t="shared" si="269"/>
        <v>0.23043605096933353</v>
      </c>
      <c r="G2168" s="14">
        <f t="shared" si="270"/>
        <v>0</v>
      </c>
      <c r="H2168" s="24">
        <f t="shared" si="276"/>
        <v>732.42866784102739</v>
      </c>
      <c r="I2168" s="12">
        <f t="shared" si="275"/>
        <v>0.25056180902784353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826.32673241444729</v>
      </c>
      <c r="F2169" s="38">
        <f t="shared" si="269"/>
        <v>0.23059115157413934</v>
      </c>
      <c r="G2169" s="14">
        <f t="shared" si="270"/>
        <v>0</v>
      </c>
      <c r="H2169" s="24">
        <f t="shared" si="276"/>
        <v>731.93602044938325</v>
      </c>
      <c r="I2169" s="12">
        <f t="shared" si="275"/>
        <v>0.2505577061710717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826.57729012061839</v>
      </c>
      <c r="F2170" s="38">
        <f t="shared" si="269"/>
        <v>0.23074564373046208</v>
      </c>
      <c r="G2170" s="14">
        <f t="shared" si="270"/>
        <v>0</v>
      </c>
      <c r="H2170" s="24">
        <f t="shared" si="276"/>
        <v>731.44596407275401</v>
      </c>
      <c r="I2170" s="12">
        <f t="shared" si="275"/>
        <v>0.25055274850481085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826.82784286912317</v>
      </c>
      <c r="F2171" s="38">
        <f t="shared" si="269"/>
        <v>0.23089953048758921</v>
      </c>
      <c r="G2171" s="14">
        <f t="shared" si="270"/>
        <v>0</v>
      </c>
      <c r="H2171" s="24">
        <f t="shared" si="276"/>
        <v>730.95847998308443</v>
      </c>
      <c r="I2171" s="12">
        <f t="shared" si="275"/>
        <v>0.25054694123131482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827.07838981035445</v>
      </c>
      <c r="F2172" s="38">
        <f t="shared" si="269"/>
        <v>0.2310528148782072</v>
      </c>
      <c r="G2172" s="14">
        <f t="shared" si="270"/>
        <v>0</v>
      </c>
      <c r="H2172" s="24">
        <f t="shared" si="276"/>
        <v>730.47354962103577</v>
      </c>
      <c r="I2172" s="12">
        <f t="shared" si="275"/>
        <v>0.25054028952349638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827.32893009987799</v>
      </c>
      <c r="F2173" s="38">
        <f t="shared" si="269"/>
        <v>0.23120549991847542</v>
      </c>
      <c r="G2173" s="14">
        <f t="shared" si="270"/>
        <v>0</v>
      </c>
      <c r="H2173" s="24">
        <f t="shared" si="276"/>
        <v>729.99115459419568</v>
      </c>
      <c r="I2173" s="12">
        <f t="shared" si="275"/>
        <v>0.25053279852507648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827.57946289840311</v>
      </c>
      <c r="F2174" s="38">
        <f t="shared" si="269"/>
        <v>0.23135758860810013</v>
      </c>
      <c r="G2174" s="14">
        <f t="shared" si="270"/>
        <v>0</v>
      </c>
      <c r="H2174" s="24">
        <f t="shared" si="276"/>
        <v>729.51127667530909</v>
      </c>
      <c r="I2174" s="12">
        <f t="shared" si="275"/>
        <v>0.25052447335075861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827.82998737175387</v>
      </c>
      <c r="F2175" s="38">
        <f t="shared" si="269"/>
        <v>0.23150908393040878</v>
      </c>
      <c r="G2175" s="14">
        <f t="shared" si="270"/>
        <v>0</v>
      </c>
      <c r="H2175" s="24">
        <f t="shared" si="276"/>
        <v>729.03389780053044</v>
      </c>
      <c r="I2175" s="12">
        <f t="shared" si="275"/>
        <v>0.25051531908635188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828.08050269084026</v>
      </c>
      <c r="F2176" s="38">
        <f t="shared" si="269"/>
        <v>0.23165998885242425</v>
      </c>
      <c r="G2176" s="14">
        <f t="shared" si="270"/>
        <v>0</v>
      </c>
      <c r="H2176" s="24">
        <f t="shared" si="276"/>
        <v>728.55900006769696</v>
      </c>
      <c r="I2176" s="12">
        <f t="shared" si="275"/>
        <v>0.25050534078890352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828.33100803162915</v>
      </c>
      <c r="F2177" s="38">
        <f t="shared" si="269"/>
        <v>0.23181030632493935</v>
      </c>
      <c r="G2177" s="14">
        <f t="shared" si="270"/>
        <v>0</v>
      </c>
      <c r="H2177" s="24">
        <f t="shared" si="276"/>
        <v>728.08656573462304</v>
      </c>
      <c r="I2177" s="12">
        <f t="shared" si="275"/>
        <v>0.2504945434868896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828.58150257511602</v>
      </c>
      <c r="F2178" s="38">
        <f t="shared" si="269"/>
        <v>0.23196003928259123</v>
      </c>
      <c r="G2178" s="14">
        <f t="shared" si="270"/>
        <v>0</v>
      </c>
      <c r="H2178" s="24">
        <f t="shared" si="276"/>
        <v>727.61657721741449</v>
      </c>
      <c r="I2178" s="12">
        <f t="shared" si="275"/>
        <v>0.25048293218027418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828.83198550729628</v>
      </c>
      <c r="F2179" s="38">
        <f t="shared" si="269"/>
        <v>0.23210919064393673</v>
      </c>
      <c r="G2179" s="14">
        <f t="shared" si="270"/>
        <v>0</v>
      </c>
      <c r="H2179" s="24">
        <f t="shared" si="276"/>
        <v>727.14901708880257</v>
      </c>
      <c r="I2179" s="12">
        <f t="shared" si="275"/>
        <v>0.25047051184075264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829.082456019137</v>
      </c>
      <c r="F2180" s="38">
        <f t="shared" si="269"/>
        <v>0.2322577633115262</v>
      </c>
      <c r="G2180" s="14">
        <f t="shared" si="270"/>
        <v>0</v>
      </c>
      <c r="H2180" s="24">
        <f t="shared" si="276"/>
        <v>726.68386807649995</v>
      </c>
      <c r="I2180" s="12">
        <f t="shared" si="275"/>
        <v>0.25045728741183076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829.33291330654879</v>
      </c>
      <c r="F2181" s="38">
        <f t="shared" si="269"/>
        <v>0.23240576017197945</v>
      </c>
      <c r="G2181" s="14">
        <f t="shared" si="270"/>
        <v>0</v>
      </c>
      <c r="H2181" s="24">
        <f t="shared" si="276"/>
        <v>726.22111306157365</v>
      </c>
      <c r="I2181" s="12">
        <f t="shared" si="275"/>
        <v>0.25044326380894238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829.58335657035775</v>
      </c>
      <c r="F2182" s="38">
        <f t="shared" si="269"/>
        <v>0.2325531840960601</v>
      </c>
      <c r="G2182" s="14">
        <f t="shared" si="270"/>
        <v>0</v>
      </c>
      <c r="H2182" s="24">
        <f t="shared" si="276"/>
        <v>725.76073507683907</v>
      </c>
      <c r="I2182" s="12">
        <f t="shared" si="275"/>
        <v>0.25042844591971242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829.83378501627749</v>
      </c>
      <c r="F2183" s="38">
        <f t="shared" si="269"/>
        <v>0.2327000379387508</v>
      </c>
      <c r="G2183" s="14">
        <f t="shared" si="270"/>
        <v>0</v>
      </c>
      <c r="H2183" s="24">
        <f t="shared" si="276"/>
        <v>725.30271730527295</v>
      </c>
      <c r="I2183" s="12">
        <f t="shared" si="275"/>
        <v>0.25041283860392594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830.08419785488138</v>
      </c>
      <c r="F2184" s="38">
        <f t="shared" si="269"/>
        <v>0.23284632453932833</v>
      </c>
      <c r="G2184" s="14">
        <f t="shared" si="270"/>
        <v>0</v>
      </c>
      <c r="H2184" s="24">
        <f t="shared" si="276"/>
        <v>724.84704307844481</v>
      </c>
      <c r="I2184" s="12">
        <f t="shared" si="275"/>
        <v>0.25039644669384437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830.33459430157518</v>
      </c>
      <c r="F2185" s="38">
        <f t="shared" si="269"/>
        <v>0.23299204672143892</v>
      </c>
      <c r="G2185" s="14">
        <f t="shared" si="270"/>
        <v>0</v>
      </c>
      <c r="H2185" s="24">
        <f t="shared" si="276"/>
        <v>724.39369587496685</v>
      </c>
      <c r="I2185" s="12">
        <f t="shared" si="275"/>
        <v>0.25037927499422097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830.58497357656938</v>
      </c>
      <c r="F2186" s="38">
        <f t="shared" si="269"/>
        <v>0.23313720729317303</v>
      </c>
      <c r="G2186" s="14">
        <f t="shared" si="270"/>
        <v>0</v>
      </c>
      <c r="H2186" s="24">
        <f t="shared" si="276"/>
        <v>723.94265931896314</v>
      </c>
      <c r="I2186" s="12">
        <f t="shared" si="275"/>
        <v>0.25036132828248508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830.83533490485183</v>
      </c>
      <c r="F2187" s="38">
        <f t="shared" si="269"/>
        <v>0.23328180904714127</v>
      </c>
      <c r="G2187" s="14">
        <f t="shared" si="270"/>
        <v>0</v>
      </c>
      <c r="H2187" s="24">
        <f t="shared" si="276"/>
        <v>723.49391717855576</v>
      </c>
      <c r="I2187" s="12">
        <f t="shared" si="275"/>
        <v>0.25034261130893171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831.08567751616079</v>
      </c>
      <c r="F2188" s="38">
        <f t="shared" si="269"/>
        <v>0.23342585476054878</v>
      </c>
      <c r="G2188" s="14">
        <f t="shared" si="270"/>
        <v>0</v>
      </c>
      <c r="H2188" s="24">
        <f t="shared" si="276"/>
        <v>723.04745336436986</v>
      </c>
      <c r="I2188" s="12">
        <f t="shared" si="275"/>
        <v>0.25032312879677221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831.33600064495761</v>
      </c>
      <c r="F2189" s="38">
        <f t="shared" si="269"/>
        <v>0.23356934719527112</v>
      </c>
      <c r="G2189" s="14">
        <f t="shared" si="270"/>
        <v>0</v>
      </c>
      <c r="H2189" s="24">
        <f t="shared" si="276"/>
        <v>722.60325192805601</v>
      </c>
      <c r="I2189" s="12">
        <f t="shared" si="275"/>
        <v>0.25030288544232993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831.58630353039996</v>
      </c>
      <c r="F2190" s="38">
        <f t="shared" si="269"/>
        <v>0.23371228909792902</v>
      </c>
      <c r="G2190" s="14">
        <f t="shared" si="270"/>
        <v>0</v>
      </c>
      <c r="H2190" s="24">
        <f t="shared" si="276"/>
        <v>722.16129706082995</v>
      </c>
      <c r="I2190" s="12">
        <f t="shared" si="275"/>
        <v>0.25028188591519046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831.83658541631519</v>
      </c>
      <c r="F2191" s="38">
        <f t="shared" si="269"/>
        <v>0.23385468319996389</v>
      </c>
      <c r="G2191" s="14">
        <f t="shared" si="270"/>
        <v>0</v>
      </c>
      <c r="H2191" s="24">
        <f t="shared" si="276"/>
        <v>721.7215730920293</v>
      </c>
      <c r="I2191" s="12">
        <f t="shared" si="275"/>
        <v>0.25026013485833742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832.0868455511735</v>
      </c>
      <c r="F2192" s="38">
        <f t="shared" si="269"/>
        <v>0.23399653221771283</v>
      </c>
      <c r="G2192" s="14">
        <f t="shared" si="270"/>
        <v>0</v>
      </c>
      <c r="H2192" s="24">
        <f t="shared" si="276"/>
        <v>721.28406448768771</v>
      </c>
      <c r="I2192" s="12">
        <f t="shared" si="275"/>
        <v>0.2502376368882292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832.33708318806168</v>
      </c>
      <c r="F2193" s="38">
        <f t="shared" si="269"/>
        <v>0.23413783885248385</v>
      </c>
      <c r="G2193" s="14">
        <f t="shared" si="270"/>
        <v>0</v>
      </c>
      <c r="H2193" s="24">
        <f t="shared" si="276"/>
        <v>720.84875584912572</v>
      </c>
      <c r="I2193" s="12">
        <f t="shared" si="275"/>
        <v>0.25021439659503519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832.58729758465677</v>
      </c>
      <c r="F2194" s="38">
        <f t="shared" si="269"/>
        <v>0.23427860579063095</v>
      </c>
      <c r="G2194" s="14">
        <f t="shared" si="270"/>
        <v>0</v>
      </c>
      <c r="H2194" s="24">
        <f t="shared" si="276"/>
        <v>720.41563191155751</v>
      </c>
      <c r="I2194" s="12">
        <f t="shared" si="275"/>
        <v>0.25019041854271606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832.8374880031995</v>
      </c>
      <c r="F2195" s="38">
        <f t="shared" si="269"/>
        <v>0.23441883570362895</v>
      </c>
      <c r="G2195" s="14">
        <f t="shared" si="270"/>
        <v>0</v>
      </c>
      <c r="H2195" s="24">
        <f t="shared" si="276"/>
        <v>719.9846775427153</v>
      </c>
      <c r="I2195" s="12">
        <f t="shared" si="275"/>
        <v>0.2501657072691853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833.08765371046866</v>
      </c>
      <c r="F2196" s="38">
        <f t="shared" ref="F2196:F2259" si="277">Cp*RhoP/(RhoA*H2196)*dp/1000*MassivP</f>
        <v>0.23455853124814877</v>
      </c>
      <c r="G2196" s="14">
        <f t="shared" ref="G2196:G2259" si="278">Phi*EpsilonF*Botzman/10^8*J2196*((D2196+273)^4-(E2196+273)^4)</f>
        <v>0</v>
      </c>
      <c r="H2196" s="24">
        <f t="shared" si="276"/>
        <v>719.55587774148864</v>
      </c>
      <c r="I2196" s="12">
        <f t="shared" si="275"/>
        <v>0.25014026728642158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833.33779397775504</v>
      </c>
      <c r="F2197" s="38">
        <f t="shared" si="277"/>
        <v>0.23469769506613189</v>
      </c>
      <c r="G2197" s="14">
        <f t="shared" si="278"/>
        <v>0</v>
      </c>
      <c r="H2197" s="24">
        <f t="shared" si="276"/>
        <v>719.12921763658005</v>
      </c>
      <c r="I2197" s="12">
        <f t="shared" ref="I2197:I2260" si="283">LambdaP*MassivP/(dp/1000)/(H2197*RhoA)/(1+F2197/3)*(D2197-E2197)*DeltaT-(EXP(F2197/10)-1)*(D2197-D2196)</f>
        <v>0.25011410308065007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833.58790808083575</v>
      </c>
      <c r="F2198" s="38">
        <f t="shared" si="277"/>
        <v>0.23483632978486579</v>
      </c>
      <c r="G2198" s="14">
        <f t="shared" si="278"/>
        <v>0</v>
      </c>
      <c r="H2198" s="24">
        <f t="shared" si="276"/>
        <v>718.70468248517602</v>
      </c>
      <c r="I2198" s="12">
        <f t="shared" si="283"/>
        <v>0.2500872191124538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833.83799529994815</v>
      </c>
      <c r="F2199" s="38">
        <f t="shared" si="277"/>
        <v>0.23497443801705797</v>
      </c>
      <c r="G2199" s="14">
        <f t="shared" si="278"/>
        <v>0</v>
      </c>
      <c r="H2199" s="24">
        <f t="shared" si="276"/>
        <v>718.28225767163497</v>
      </c>
      <c r="I2199" s="12">
        <f t="shared" si="283"/>
        <v>0.25005961981689157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834.088054919765</v>
      </c>
      <c r="F2200" s="38">
        <f t="shared" si="277"/>
        <v>0.23511202236091122</v>
      </c>
      <c r="G2200" s="14">
        <f t="shared" si="278"/>
        <v>0</v>
      </c>
      <c r="H2200" s="24">
        <f t="shared" si="276"/>
        <v>717.86192870618788</v>
      </c>
      <c r="I2200" s="12">
        <f t="shared" si="283"/>
        <v>0.25003130960369319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834.33808622936874</v>
      </c>
      <c r="F2201" s="38">
        <f t="shared" si="277"/>
        <v>0.23524908540019751</v>
      </c>
      <c r="G2201" s="14">
        <f t="shared" si="278"/>
        <v>0</v>
      </c>
      <c r="H2201" s="24">
        <f t="shared" si="276"/>
        <v>717.44368122365654</v>
      </c>
      <c r="I2201" s="12">
        <f t="shared" si="283"/>
        <v>0.25000229285733888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834.58808852222603</v>
      </c>
      <c r="F2202" s="38">
        <f t="shared" si="277"/>
        <v>0.23538562970433294</v>
      </c>
      <c r="G2202" s="14">
        <f t="shared" si="278"/>
        <v>0</v>
      </c>
      <c r="H2202" s="24">
        <f t="shared" si="276"/>
        <v>717.02750098218598</v>
      </c>
      <c r="I2202" s="12">
        <f t="shared" si="283"/>
        <v>0.24997257393724867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834.8380610961633</v>
      </c>
      <c r="F2203" s="38">
        <f t="shared" si="277"/>
        <v>0.23552165782845194</v>
      </c>
      <c r="G2203" s="14">
        <f t="shared" si="278"/>
        <v>0</v>
      </c>
      <c r="H2203" s="24">
        <f t="shared" si="276"/>
        <v>716.61337386198966</v>
      </c>
      <c r="I2203" s="12">
        <f t="shared" si="283"/>
        <v>0.24994215717785581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835.08800325334118</v>
      </c>
      <c r="F2204" s="38">
        <f t="shared" si="277"/>
        <v>0.23565717231348113</v>
      </c>
      <c r="G2204" s="14">
        <f t="shared" si="278"/>
        <v>0</v>
      </c>
      <c r="H2204" s="24">
        <f t="shared" si="276"/>
        <v>716.20128586411306</v>
      </c>
      <c r="I2204" s="12">
        <f t="shared" si="283"/>
        <v>0.24991104688880134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835.33791430022995</v>
      </c>
      <c r="F2205" s="38">
        <f t="shared" si="277"/>
        <v>0.23579217568621358</v>
      </c>
      <c r="G2205" s="14">
        <f t="shared" si="278"/>
        <v>0</v>
      </c>
      <c r="H2205" s="24">
        <f t="shared" si="276"/>
        <v>715.79122310920798</v>
      </c>
      <c r="I2205" s="12">
        <f t="shared" si="283"/>
        <v>0.24987924735503267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835.58779354758497</v>
      </c>
      <c r="F2206" s="38">
        <f t="shared" si="277"/>
        <v>0.23592667045938279</v>
      </c>
      <c r="G2206" s="14">
        <f t="shared" si="278"/>
        <v>0</v>
      </c>
      <c r="H2206" s="24">
        <f t="shared" si="276"/>
        <v>715.38317183632262</v>
      </c>
      <c r="I2206" s="12">
        <f t="shared" si="283"/>
        <v>0.24984676283698085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835.83764031042199</v>
      </c>
      <c r="F2207" s="38">
        <f t="shared" si="277"/>
        <v>0.23606065913173635</v>
      </c>
      <c r="G2207" s="14">
        <f t="shared" si="278"/>
        <v>0</v>
      </c>
      <c r="H2207" s="24">
        <f t="shared" si="276"/>
        <v>714.97711840170541</v>
      </c>
      <c r="I2207" s="12">
        <f t="shared" si="283"/>
        <v>0.24981359757062674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836.08745390799265</v>
      </c>
      <c r="F2208" s="38">
        <f t="shared" si="277"/>
        <v>0.23619414418810955</v>
      </c>
      <c r="G2208" s="14">
        <f t="shared" si="278"/>
        <v>0</v>
      </c>
      <c r="H2208" s="24">
        <f t="shared" si="276"/>
        <v>714.57304927762323</v>
      </c>
      <c r="I2208" s="12">
        <f t="shared" si="283"/>
        <v>0.24977975576771538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836.33723366376034</v>
      </c>
      <c r="F2209" s="38">
        <f t="shared" si="277"/>
        <v>0.23632712809949891</v>
      </c>
      <c r="G2209" s="14">
        <f t="shared" si="278"/>
        <v>0</v>
      </c>
      <c r="H2209" s="24">
        <f t="shared" si="276"/>
        <v>714.17095105119222</v>
      </c>
      <c r="I2209" s="12">
        <f t="shared" si="283"/>
        <v>0.24974524161582043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836.58697890537621</v>
      </c>
      <c r="F2210" s="38">
        <f t="shared" si="277"/>
        <v>0.23645961332313542</v>
      </c>
      <c r="G2210" s="14">
        <f t="shared" si="278"/>
        <v>0</v>
      </c>
      <c r="H2210" s="24">
        <f t="shared" si="276"/>
        <v>713.77081042322209</v>
      </c>
      <c r="I2210" s="12">
        <f t="shared" si="283"/>
        <v>0.24971005927852594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836.83668896465474</v>
      </c>
      <c r="F2211" s="38">
        <f t="shared" si="277"/>
        <v>0.23659160230255755</v>
      </c>
      <c r="G2211" s="14">
        <f t="shared" si="278"/>
        <v>0</v>
      </c>
      <c r="H2211" s="24">
        <f t="shared" si="276"/>
        <v>713.372614207075</v>
      </c>
      <c r="I2211" s="12">
        <f t="shared" si="283"/>
        <v>0.2496742128955434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837.08636317755031</v>
      </c>
      <c r="F2212" s="38">
        <f t="shared" si="277"/>
        <v>0.23672309746768452</v>
      </c>
      <c r="G2212" s="14">
        <f t="shared" si="278"/>
        <v>0</v>
      </c>
      <c r="H2212" s="24">
        <f t="shared" si="276"/>
        <v>712.97634932753556</v>
      </c>
      <c r="I2212" s="12">
        <f t="shared" si="283"/>
        <v>0.24963770658281254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837.33600088413311</v>
      </c>
      <c r="F2213" s="38">
        <f t="shared" si="277"/>
        <v>0.23685410123488876</v>
      </c>
      <c r="G2213" s="14">
        <f t="shared" si="278"/>
        <v>0</v>
      </c>
      <c r="H2213" s="24">
        <f t="shared" si="276"/>
        <v>712.58200281969607</v>
      </c>
      <c r="I2213" s="12">
        <f t="shared" si="283"/>
        <v>0.24960054443271856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837.58560142856584</v>
      </c>
      <c r="F2214" s="38">
        <f t="shared" si="277"/>
        <v>0.23698461600706874</v>
      </c>
      <c r="G2214" s="14">
        <f t="shared" si="278"/>
        <v>0</v>
      </c>
      <c r="H2214" s="24">
        <f t="shared" si="276"/>
        <v>712.189561827852</v>
      </c>
      <c r="I2214" s="12">
        <f t="shared" si="283"/>
        <v>0.24956273051411704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837.83516415907991</v>
      </c>
      <c r="F2215" s="38">
        <f t="shared" si="277"/>
        <v>0.23711464417372133</v>
      </c>
      <c r="G2215" s="14">
        <f t="shared" si="278"/>
        <v>0</v>
      </c>
      <c r="H2215" s="24">
        <f t="shared" si="276"/>
        <v>711.79901360441238</v>
      </c>
      <c r="I2215" s="12">
        <f t="shared" si="283"/>
        <v>0.2495242688725407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838.08468842795241</v>
      </c>
      <c r="F2216" s="38">
        <f t="shared" si="277"/>
        <v>0.23724418811101386</v>
      </c>
      <c r="G2216" s="14">
        <f t="shared" si="278"/>
        <v>0</v>
      </c>
      <c r="H2216" s="24">
        <f t="shared" si="276"/>
        <v>711.41034550882091</v>
      </c>
      <c r="I2216" s="12">
        <f t="shared" si="283"/>
        <v>0.24948516353030784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838.33417359148268</v>
      </c>
      <c r="F2217" s="38">
        <f t="shared" si="277"/>
        <v>0.23737325018185637</v>
      </c>
      <c r="G2217" s="14">
        <f t="shared" si="278"/>
        <v>0</v>
      </c>
      <c r="H2217" s="24">
        <f t="shared" si="276"/>
        <v>711.02354500649062</v>
      </c>
      <c r="I2217" s="12">
        <f t="shared" si="283"/>
        <v>0.24944541848664234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838.58361900996931</v>
      </c>
      <c r="F2218" s="38">
        <f t="shared" si="277"/>
        <v>0.23750183273597322</v>
      </c>
      <c r="G2218" s="14">
        <f t="shared" si="278"/>
        <v>0</v>
      </c>
      <c r="H2218" s="24">
        <f t="shared" si="276"/>
        <v>710.63859966774953</v>
      </c>
      <c r="I2218" s="12">
        <f t="shared" si="283"/>
        <v>0.24940503771782488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838.8330240476871</v>
      </c>
      <c r="F2219" s="38">
        <f t="shared" si="277"/>
        <v>0.23762993810997488</v>
      </c>
      <c r="G2219" s="14">
        <f t="shared" si="278"/>
        <v>0</v>
      </c>
      <c r="H2219" s="24">
        <f t="shared" si="276"/>
        <v>710.25549716679973</v>
      </c>
      <c r="I2219" s="12">
        <f t="shared" si="283"/>
        <v>0.24936402517728995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839.08238807286443</v>
      </c>
      <c r="F2220" s="38">
        <f t="shared" si="277"/>
        <v>0.23775756862742944</v>
      </c>
      <c r="G2220" s="14">
        <f t="shared" si="278"/>
        <v>0</v>
      </c>
      <c r="H2220" s="24">
        <f t="shared" si="276"/>
        <v>709.87422528068623</v>
      </c>
      <c r="I2220" s="12">
        <f t="shared" si="283"/>
        <v>0.24932238479579769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839.33171045766028</v>
      </c>
      <c r="F2221" s="38">
        <f t="shared" si="277"/>
        <v>0.23788472659893342</v>
      </c>
      <c r="G2221" s="14">
        <f t="shared" si="278"/>
        <v>0</v>
      </c>
      <c r="H2221" s="24">
        <f t="shared" si="276"/>
        <v>709.49477188827973</v>
      </c>
      <c r="I2221" s="12">
        <f t="shared" si="283"/>
        <v>0.24928012048152443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839.58099057814184</v>
      </c>
      <c r="F2222" s="38">
        <f t="shared" si="277"/>
        <v>0.23801141432218298</v>
      </c>
      <c r="G2222" s="14">
        <f t="shared" si="278"/>
        <v>0</v>
      </c>
      <c r="H2222" s="24">
        <f t="shared" si="276"/>
        <v>709.11712496926975</v>
      </c>
      <c r="I2222" s="12">
        <f t="shared" si="283"/>
        <v>0.24923723612020118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839.830227814262</v>
      </c>
      <c r="F2223" s="38">
        <f t="shared" si="277"/>
        <v>0.23813763408204477</v>
      </c>
      <c r="G2223" s="14">
        <f t="shared" si="278"/>
        <v>0</v>
      </c>
      <c r="H2223" s="24">
        <f t="shared" si="276"/>
        <v>708.74127260316845</v>
      </c>
      <c r="I2223" s="12">
        <f t="shared" si="283"/>
        <v>0.24919373557525756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840.07942154983721</v>
      </c>
      <c r="F2224" s="38">
        <f t="shared" si="277"/>
        <v>0.23826338815062631</v>
      </c>
      <c r="G2224" s="14">
        <f t="shared" si="278"/>
        <v>0</v>
      </c>
      <c r="H2224" s="24">
        <f t="shared" si="276"/>
        <v>708.36720296832743</v>
      </c>
      <c r="I2224" s="12">
        <f t="shared" si="283"/>
        <v>0.24914962268794719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840.32857117252513</v>
      </c>
      <c r="F2225" s="38">
        <f t="shared" si="277"/>
        <v>0.23838867878734635</v>
      </c>
      <c r="G2225" s="14">
        <f t="shared" si="278"/>
        <v>0</v>
      </c>
      <c r="H2225" s="24">
        <f t="shared" si="276"/>
        <v>707.9949043409639</v>
      </c>
      <c r="I2225" s="12">
        <f t="shared" si="283"/>
        <v>0.2491049012774055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840.57767607380254</v>
      </c>
      <c r="F2226" s="38">
        <f t="shared" si="277"/>
        <v>0.23851350823900502</v>
      </c>
      <c r="G2226" s="14">
        <f t="shared" si="278"/>
        <v>0</v>
      </c>
      <c r="H2226" s="24">
        <f t="shared" si="276"/>
        <v>707.62436509419956</v>
      </c>
      <c r="I2226" s="12">
        <f t="shared" si="283"/>
        <v>0.24905957514090946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840.82673564894344</v>
      </c>
      <c r="F2227" s="38">
        <f t="shared" si="277"/>
        <v>0.23863787873985343</v>
      </c>
      <c r="G2227" s="14">
        <f t="shared" si="278"/>
        <v>0</v>
      </c>
      <c r="H2227" s="24">
        <f t="shared" si="276"/>
        <v>707.2555736971085</v>
      </c>
      <c r="I2227" s="12">
        <f t="shared" si="283"/>
        <v>0.24901364805387274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841.07574929699729</v>
      </c>
      <c r="F2228" s="38">
        <f t="shared" si="277"/>
        <v>0.23876179251166349</v>
      </c>
      <c r="G2228" s="14">
        <f t="shared" si="278"/>
        <v>0</v>
      </c>
      <c r="H2228" s="24">
        <f t="shared" si="276"/>
        <v>706.88851871377733</v>
      </c>
      <c r="I2228" s="12">
        <f t="shared" si="283"/>
        <v>0.24896712377003094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841.32471642076734</v>
      </c>
      <c r="F2229" s="38">
        <f t="shared" si="277"/>
        <v>0.23888525176379732</v>
      </c>
      <c r="G2229" s="14">
        <f t="shared" si="278"/>
        <v>0</v>
      </c>
      <c r="H2229" s="24">
        <f t="shared" si="276"/>
        <v>706.52318880237419</v>
      </c>
      <c r="I2229" s="12">
        <f t="shared" si="283"/>
        <v>0.24892000602158626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841.57363642678888</v>
      </c>
      <c r="F2230" s="38">
        <f t="shared" si="277"/>
        <v>0.23900825869327597</v>
      </c>
      <c r="G2230" s="14">
        <f t="shared" si="278"/>
        <v>0</v>
      </c>
      <c r="H2230" s="24">
        <f t="shared" si="276"/>
        <v>706.15957271423076</v>
      </c>
      <c r="I2230" s="12">
        <f t="shared" si="283"/>
        <v>0.24887229851926121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841.82250872530813</v>
      </c>
      <c r="F2231" s="38">
        <f t="shared" si="277"/>
        <v>0.23913081548484877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705.79765929293126</v>
      </c>
      <c r="I2231" s="12">
        <f t="shared" si="283"/>
        <v>0.24882400495250287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842.07133273026068</v>
      </c>
      <c r="F2232" s="38">
        <f t="shared" si="277"/>
        <v>0.23925292431106163</v>
      </c>
      <c r="G2232" s="14">
        <f t="shared" si="278"/>
        <v>0</v>
      </c>
      <c r="H2232" s="24">
        <f t="shared" si="284"/>
        <v>705.43743747341432</v>
      </c>
      <c r="I2232" s="12">
        <f t="shared" si="283"/>
        <v>0.24877512898952955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842.32010785925024</v>
      </c>
      <c r="F2233" s="38">
        <f t="shared" si="277"/>
        <v>0.23937458733232553</v>
      </c>
      <c r="G2233" s="14">
        <f t="shared" si="278"/>
        <v>0</v>
      </c>
      <c r="H2233" s="24">
        <f t="shared" si="284"/>
        <v>705.07889628108398</v>
      </c>
      <c r="I2233" s="12">
        <f t="shared" si="283"/>
        <v>0.24872567427751768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842.56883353352771</v>
      </c>
      <c r="F2234" s="38">
        <f t="shared" si="277"/>
        <v>0.23949580669698467</v>
      </c>
      <c r="G2234" s="14">
        <f t="shared" si="278"/>
        <v>0</v>
      </c>
      <c r="H2234" s="24">
        <f t="shared" si="284"/>
        <v>704.72202483092997</v>
      </c>
      <c r="I2234" s="12">
        <f t="shared" si="283"/>
        <v>0.24867564444267978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842.81750917797035</v>
      </c>
      <c r="F2235" s="38">
        <f t="shared" si="277"/>
        <v>0.23961658454138426</v>
      </c>
      <c r="G2235" s="14">
        <f t="shared" si="278"/>
        <v>0</v>
      </c>
      <c r="H2235" s="24">
        <f t="shared" si="284"/>
        <v>704.36681232665842</v>
      </c>
      <c r="I2235" s="12">
        <f t="shared" si="283"/>
        <v>0.24862504309041791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843.06613422106079</v>
      </c>
      <c r="F2236" s="38">
        <f t="shared" si="277"/>
        <v>0.23973692298993796</v>
      </c>
      <c r="G2236" s="14">
        <f t="shared" si="278"/>
        <v>0</v>
      </c>
      <c r="H2236" s="24">
        <f t="shared" si="284"/>
        <v>704.01324805983222</v>
      </c>
      <c r="I2236" s="12">
        <f t="shared" si="283"/>
        <v>0.24857387380539522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843.31470809486621</v>
      </c>
      <c r="F2237" s="38">
        <f t="shared" si="277"/>
        <v>0.23985682415519533</v>
      </c>
      <c r="G2237" s="14">
        <f t="shared" si="278"/>
        <v>0</v>
      </c>
      <c r="H2237" s="24">
        <f t="shared" si="284"/>
        <v>703.66132140902153</v>
      </c>
      <c r="I2237" s="12">
        <f t="shared" si="283"/>
        <v>0.24852214015169405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843.56323023501795</v>
      </c>
      <c r="F2238" s="38">
        <f t="shared" si="277"/>
        <v>0.23997629013790917</v>
      </c>
      <c r="G2238" s="14">
        <f t="shared" si="278"/>
        <v>0</v>
      </c>
      <c r="H2238" s="24">
        <f t="shared" si="284"/>
        <v>703.31102183896166</v>
      </c>
      <c r="I2238" s="12">
        <f t="shared" si="283"/>
        <v>0.24846984567297248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843.81170008069091</v>
      </c>
      <c r="F2239" s="38">
        <f t="shared" si="277"/>
        <v>0.2400953230271019</v>
      </c>
      <c r="G2239" s="14">
        <f t="shared" si="278"/>
        <v>0</v>
      </c>
      <c r="H2239" s="24">
        <f t="shared" si="284"/>
        <v>702.96233889972291</v>
      </c>
      <c r="I2239" s="12">
        <f t="shared" si="283"/>
        <v>0.24841699389246916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844.06011707458333</v>
      </c>
      <c r="F2240" s="38">
        <f t="shared" si="277"/>
        <v>0.24021392490013227</v>
      </c>
      <c r="G2240" s="14">
        <f t="shared" si="278"/>
        <v>0</v>
      </c>
      <c r="H2240" s="24">
        <f t="shared" si="284"/>
        <v>702.61526222588759</v>
      </c>
      <c r="I2240" s="12">
        <f t="shared" si="283"/>
        <v>0.24836358831323616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844.30848066289661</v>
      </c>
      <c r="F2241" s="38">
        <f t="shared" si="277"/>
        <v>0.24033209782276155</v>
      </c>
      <c r="G2241" s="14">
        <f t="shared" si="278"/>
        <v>0</v>
      </c>
      <c r="H2241" s="24">
        <f t="shared" si="284"/>
        <v>702.26978153573668</v>
      </c>
      <c r="I2241" s="12">
        <f t="shared" si="283"/>
        <v>0.24830963241821177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844.55679029531484</v>
      </c>
      <c r="F2242" s="38">
        <f t="shared" si="277"/>
        <v>0.24044984384921975</v>
      </c>
      <c r="G2242" s="14">
        <f t="shared" si="278"/>
        <v>0</v>
      </c>
      <c r="H2242" s="24">
        <f t="shared" si="284"/>
        <v>701.92588663044683</v>
      </c>
      <c r="I2242" s="12">
        <f t="shared" si="283"/>
        <v>0.24825512967030619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844.80504542498511</v>
      </c>
      <c r="F2243" s="38">
        <f t="shared" si="277"/>
        <v>0.24056716502227102</v>
      </c>
      <c r="G2243" s="14">
        <f t="shared" si="278"/>
        <v>0</v>
      </c>
      <c r="H2243" s="24">
        <f t="shared" si="284"/>
        <v>701.58356739329361</v>
      </c>
      <c r="I2243" s="12">
        <f t="shared" si="283"/>
        <v>0.24820008351257153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845.05324550849764</v>
      </c>
      <c r="F2244" s="38">
        <f t="shared" si="277"/>
        <v>0.2406840633732793</v>
      </c>
      <c r="G2244" s="14">
        <f t="shared" si="278"/>
        <v>0</v>
      </c>
      <c r="H2244" s="24">
        <f t="shared" si="284"/>
        <v>701.24281378886587</v>
      </c>
      <c r="I2244" s="12">
        <f t="shared" si="283"/>
        <v>0.24814449736830138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845.30139000586598</v>
      </c>
      <c r="F2245" s="38">
        <f t="shared" si="277"/>
        <v>0.24080054092227335</v>
      </c>
      <c r="G2245" s="14">
        <f t="shared" si="278"/>
        <v>0</v>
      </c>
      <c r="H2245" s="24">
        <f t="shared" si="284"/>
        <v>700.90361586228721</v>
      </c>
      <c r="I2245" s="12">
        <f t="shared" si="283"/>
        <v>0.24808837464110853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845.54947838050714</v>
      </c>
      <c r="F2246" s="38">
        <f t="shared" si="277"/>
        <v>0.24091659967801196</v>
      </c>
      <c r="G2246" s="14">
        <f t="shared" si="278"/>
        <v>0</v>
      </c>
      <c r="H2246" s="24">
        <f t="shared" si="284"/>
        <v>700.56596373844707</v>
      </c>
      <c r="I2246" s="12">
        <f t="shared" si="283"/>
        <v>0.24803171871509402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845.79751009922222</v>
      </c>
      <c r="F2247" s="38">
        <f t="shared" si="277"/>
        <v>0.24103224163804787</v>
      </c>
      <c r="G2247" s="14">
        <f t="shared" si="278"/>
        <v>0</v>
      </c>
      <c r="H2247" s="24">
        <f t="shared" si="284"/>
        <v>700.22984762123974</v>
      </c>
      <c r="I2247" s="12">
        <f t="shared" si="283"/>
        <v>0.24797453295495017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846.04548463217714</v>
      </c>
      <c r="F2248" s="38">
        <f t="shared" si="277"/>
        <v>0.24114746878879278</v>
      </c>
      <c r="G2248" s="14">
        <f t="shared" si="278"/>
        <v>0</v>
      </c>
      <c r="H2248" s="24">
        <f t="shared" si="284"/>
        <v>699.89525779281144</v>
      </c>
      <c r="I2248" s="12">
        <f t="shared" si="283"/>
        <v>0.24791682070601975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846.29340145288313</v>
      </c>
      <c r="F2249" s="38">
        <f t="shared" si="277"/>
        <v>0.24126228310558126</v>
      </c>
      <c r="G2249" s="14">
        <f t="shared" si="278"/>
        <v>0</v>
      </c>
      <c r="H2249" s="24">
        <f t="shared" si="284"/>
        <v>699.56218461281571</v>
      </c>
      <c r="I2249" s="12">
        <f t="shared" si="283"/>
        <v>0.24785858529449659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846.5412600381776</v>
      </c>
      <c r="F2250" s="38">
        <f t="shared" si="277"/>
        <v>0.24137668655273428</v>
      </c>
      <c r="G2250" s="14">
        <f t="shared" si="278"/>
        <v>0</v>
      </c>
      <c r="H2250" s="24">
        <f t="shared" si="284"/>
        <v>699.23061851767795</v>
      </c>
      <c r="I2250" s="12">
        <f t="shared" si="283"/>
        <v>0.24779983002746134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846.78905986820507</v>
      </c>
      <c r="F2251" s="38">
        <f t="shared" si="277"/>
        <v>0.24149068108362282</v>
      </c>
      <c r="G2251" s="14">
        <f t="shared" si="278"/>
        <v>0</v>
      </c>
      <c r="H2251" s="24">
        <f t="shared" si="284"/>
        <v>698.90055001986639</v>
      </c>
      <c r="I2251" s="12">
        <f t="shared" si="283"/>
        <v>0.24774055819304291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847.03680042639814</v>
      </c>
      <c r="F2252" s="38">
        <f t="shared" si="277"/>
        <v>0.24160426864073076</v>
      </c>
      <c r="G2252" s="14">
        <f t="shared" si="278"/>
        <v>0</v>
      </c>
      <c r="H2252" s="24">
        <f t="shared" si="284"/>
        <v>698.57196970717223</v>
      </c>
      <c r="I2252" s="12">
        <f t="shared" si="283"/>
        <v>0.24768077306049149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847.28448119945858</v>
      </c>
      <c r="F2253" s="38">
        <f t="shared" si="277"/>
        <v>0.24171745115571858</v>
      </c>
      <c r="G2253" s="14">
        <f t="shared" si="278"/>
        <v>0</v>
      </c>
      <c r="H2253" s="24">
        <f t="shared" si="284"/>
        <v>698.24486824199698</v>
      </c>
      <c r="I2253" s="12">
        <f t="shared" si="283"/>
        <v>0.24762047788034397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847.53210167733891</v>
      </c>
      <c r="F2254" s="38">
        <f t="shared" si="277"/>
        <v>0.24183023054948524</v>
      </c>
      <c r="G2254" s="14">
        <f t="shared" si="278"/>
        <v>0</v>
      </c>
      <c r="H2254" s="24">
        <f t="shared" si="284"/>
        <v>697.91923636064757</v>
      </c>
      <c r="I2254" s="12">
        <f t="shared" si="283"/>
        <v>0.24755967588446826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847.77966135322333</v>
      </c>
      <c r="F2255" s="38">
        <f t="shared" si="277"/>
        <v>0.24194260873223056</v>
      </c>
      <c r="G2255" s="14">
        <f t="shared" si="278"/>
        <v>0</v>
      </c>
      <c r="H2255" s="24">
        <f t="shared" si="284"/>
        <v>697.59506487263957</v>
      </c>
      <c r="I2255" s="12">
        <f t="shared" si="283"/>
        <v>0.24749837028620114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848.0271597235095</v>
      </c>
      <c r="F2256" s="38">
        <f t="shared" si="277"/>
        <v>0.24205458760351781</v>
      </c>
      <c r="G2256" s="14">
        <f t="shared" si="278"/>
        <v>0</v>
      </c>
      <c r="H2256" s="24">
        <f t="shared" si="284"/>
        <v>697.27234466000755</v>
      </c>
      <c r="I2256" s="12">
        <f t="shared" si="283"/>
        <v>0.24743656428050051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848.27459628779002</v>
      </c>
      <c r="F2257" s="38">
        <f t="shared" si="277"/>
        <v>0.24216616905233476</v>
      </c>
      <c r="G2257" s="14">
        <f t="shared" si="278"/>
        <v>0</v>
      </c>
      <c r="H2257" s="24">
        <f t="shared" si="284"/>
        <v>696.95106667662276</v>
      </c>
      <c r="I2257" s="12">
        <f t="shared" si="283"/>
        <v>0.24737426104396659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848.52197054883402</v>
      </c>
      <c r="F2258" s="38">
        <f t="shared" si="277"/>
        <v>0.24227735495715574</v>
      </c>
      <c r="G2258" s="14">
        <f t="shared" si="278"/>
        <v>0</v>
      </c>
      <c r="H2258" s="24">
        <f t="shared" si="284"/>
        <v>696.63122194751861</v>
      </c>
      <c r="I2258" s="12">
        <f t="shared" si="283"/>
        <v>0.24731146373503746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848.76928201256908</v>
      </c>
      <c r="F2259" s="38">
        <f t="shared" si="277"/>
        <v>0.24238814718600224</v>
      </c>
      <c r="G2259" s="14">
        <f t="shared" si="278"/>
        <v>0</v>
      </c>
      <c r="H2259" s="24">
        <f t="shared" si="284"/>
        <v>696.31280156822334</v>
      </c>
      <c r="I2259" s="12">
        <f t="shared" si="283"/>
        <v>0.24724817549403069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849.01653018806314</v>
      </c>
      <c r="F2260" s="38">
        <f t="shared" ref="F2260:F2323" si="285">Cp*RhoP/(RhoA*H2260)*dp/1000*MassivP</f>
        <v>0.24249854759650438</v>
      </c>
      <c r="G2260" s="14">
        <f t="shared" ref="G2260:G2323" si="286">Phi*EpsilonF*Botzman/10^8*J2260*((D2260+273)^4-(E2260+273)^4)</f>
        <v>0</v>
      </c>
      <c r="H2260" s="24">
        <f t="shared" si="284"/>
        <v>695.99579670409946</v>
      </c>
      <c r="I2260" s="12">
        <f t="shared" si="283"/>
        <v>0.24718439944328358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849.26371458750646</v>
      </c>
      <c r="F2261" s="38">
        <f t="shared" si="285"/>
        <v>0.24260855803596126</v>
      </c>
      <c r="G2261" s="14">
        <f t="shared" si="286"/>
        <v>0</v>
      </c>
      <c r="H2261" s="24">
        <f t="shared" si="284"/>
        <v>695.68019858969092</v>
      </c>
      <c r="I2261" s="12">
        <f t="shared" ref="I2261:I2324" si="291">LambdaP*MassivP/(dp/1000)/(H2261*RhoA)/(1+F2261/3)*(D2261-E2261)*DeltaT-(EXP(F2261/10)-1)*(D2261-D2260)</f>
        <v>0.24712013868724264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849.51083472619371</v>
      </c>
      <c r="F2262" s="38">
        <f t="shared" si="285"/>
        <v>0.24271818034140097</v>
      </c>
      <c r="G2262" s="14">
        <f t="shared" si="286"/>
        <v>0</v>
      </c>
      <c r="H2262" s="24">
        <f t="shared" si="284"/>
        <v>695.36599852807683</v>
      </c>
      <c r="I2262" s="12">
        <f t="shared" si="291"/>
        <v>0.24705539631261311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849.7578901225063</v>
      </c>
      <c r="F2263" s="38">
        <f t="shared" si="285"/>
        <v>0.24282741633964089</v>
      </c>
      <c r="G2263" s="14">
        <f t="shared" si="286"/>
        <v>0</v>
      </c>
      <c r="H2263" s="24">
        <f t="shared" si="284"/>
        <v>695.05318789023227</v>
      </c>
      <c r="I2263" s="12">
        <f t="shared" si="291"/>
        <v>0.24699017538838755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850.00488029789472</v>
      </c>
      <c r="F2264" s="38">
        <f t="shared" si="285"/>
        <v>0.24293626784734762</v>
      </c>
      <c r="G2264" s="14">
        <f t="shared" si="286"/>
        <v>0</v>
      </c>
      <c r="H2264" s="24">
        <f t="shared" si="284"/>
        <v>694.74175811439602</v>
      </c>
      <c r="I2264" s="12">
        <f t="shared" si="291"/>
        <v>0.24692447896602163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850.25180477686069</v>
      </c>
      <c r="F2265" s="38">
        <f t="shared" si="285"/>
        <v>0.24304473667109577</v>
      </c>
      <c r="G2265" s="14">
        <f t="shared" si="286"/>
        <v>0</v>
      </c>
      <c r="H2265" s="24">
        <f t="shared" si="284"/>
        <v>694.431700705445</v>
      </c>
      <c r="I2265" s="12">
        <f t="shared" si="291"/>
        <v>0.24685831007948941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850.49866308694016</v>
      </c>
      <c r="F2266" s="38">
        <f t="shared" si="285"/>
        <v>0.24315282460742782</v>
      </c>
      <c r="G2266" s="14">
        <f t="shared" si="286"/>
        <v>0</v>
      </c>
      <c r="H2266" s="24">
        <f t="shared" si="284"/>
        <v>694.12300723427529</v>
      </c>
      <c r="I2266" s="12">
        <f t="shared" si="291"/>
        <v>0.24679167174542987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850.74545475868558</v>
      </c>
      <c r="F2267" s="38">
        <f t="shared" si="285"/>
        <v>0.24326053344291226</v>
      </c>
      <c r="G2267" s="14">
        <f t="shared" si="286"/>
        <v>0</v>
      </c>
      <c r="H2267" s="24">
        <f t="shared" si="284"/>
        <v>693.81566933719</v>
      </c>
      <c r="I2267" s="12">
        <f t="shared" si="291"/>
        <v>0.2467245669631902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850.99217932564875</v>
      </c>
      <c r="F2268" s="38">
        <f t="shared" si="285"/>
        <v>0.2433678649542026</v>
      </c>
      <c r="G2268" s="14">
        <f t="shared" si="286"/>
        <v>0</v>
      </c>
      <c r="H2268" s="24">
        <f t="shared" si="284"/>
        <v>693.50967871529372</v>
      </c>
      <c r="I2268" s="12">
        <f t="shared" si="291"/>
        <v>0.24665699871501057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851.23883632436377</v>
      </c>
      <c r="F2269" s="38">
        <f t="shared" si="285"/>
        <v>0.24347482090809569</v>
      </c>
      <c r="G2269" s="14">
        <f t="shared" si="286"/>
        <v>0</v>
      </c>
      <c r="H2269" s="24">
        <f t="shared" si="284"/>
        <v>693.2050271338926</v>
      </c>
      <c r="I2269" s="12">
        <f t="shared" si="291"/>
        <v>0.24658896996605378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851.48542529432984</v>
      </c>
      <c r="F2270" s="38">
        <f t="shared" si="285"/>
        <v>0.24358140306158887</v>
      </c>
      <c r="G2270" s="14">
        <f t="shared" si="286"/>
        <v>0</v>
      </c>
      <c r="H2270" s="24">
        <f t="shared" si="284"/>
        <v>692.90170642190219</v>
      </c>
      <c r="I2270" s="12">
        <f t="shared" si="291"/>
        <v>0.24652048366452947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851.73194577799438</v>
      </c>
      <c r="F2271" s="38">
        <f t="shared" si="285"/>
        <v>0.24368761316193868</v>
      </c>
      <c r="G2271" s="14">
        <f t="shared" si="286"/>
        <v>0</v>
      </c>
      <c r="H2271" s="24">
        <f t="shared" si="284"/>
        <v>692.59970847126056</v>
      </c>
      <c r="I2271" s="12">
        <f t="shared" si="291"/>
        <v>0.24645154274180003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851.97839732073624</v>
      </c>
      <c r="F2272" s="38">
        <f t="shared" si="285"/>
        <v>0.24379345294671781</v>
      </c>
      <c r="G2272" s="14">
        <f t="shared" si="286"/>
        <v>0</v>
      </c>
      <c r="H2272" s="24">
        <f t="shared" si="284"/>
        <v>692.29902523634746</v>
      </c>
      <c r="I2272" s="12">
        <f t="shared" si="291"/>
        <v>0.2463821501125138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852.22477947084872</v>
      </c>
      <c r="F2273" s="38">
        <f t="shared" si="285"/>
        <v>0.2438989241438716</v>
      </c>
      <c r="G2273" s="14">
        <f t="shared" si="286"/>
        <v>0</v>
      </c>
      <c r="H2273" s="24">
        <f t="shared" si="284"/>
        <v>691.99964873341128</v>
      </c>
      <c r="I2273" s="12">
        <f t="shared" si="291"/>
        <v>0.2463123086746159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852.47109177952336</v>
      </c>
      <c r="F2274" s="38">
        <f t="shared" si="285"/>
        <v>0.24400402847177591</v>
      </c>
      <c r="G2274" s="14">
        <f t="shared" si="286"/>
        <v>0</v>
      </c>
      <c r="H2274" s="24">
        <f t="shared" si="284"/>
        <v>691.70157103999918</v>
      </c>
      <c r="I2274" s="12">
        <f t="shared" si="291"/>
        <v>0.24624202130953168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852.71733380083288</v>
      </c>
      <c r="F2275" s="38">
        <f t="shared" si="285"/>
        <v>0.24410876763929257</v>
      </c>
      <c r="G2275" s="14">
        <f t="shared" si="286"/>
        <v>0</v>
      </c>
      <c r="H2275" s="24">
        <f t="shared" si="284"/>
        <v>691.40478429439656</v>
      </c>
      <c r="I2275" s="12">
        <f t="shared" si="291"/>
        <v>0.24617129088223624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852.96350509171509</v>
      </c>
      <c r="F2276" s="38">
        <f t="shared" si="285"/>
        <v>0.24421314334582639</v>
      </c>
      <c r="G2276" s="14">
        <f t="shared" si="286"/>
        <v>0</v>
      </c>
      <c r="H2276" s="24">
        <f t="shared" si="284"/>
        <v>691.10928069506997</v>
      </c>
      <c r="I2276" s="12">
        <f t="shared" si="291"/>
        <v>0.24610012024134184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853.20960521195639</v>
      </c>
      <c r="F2277" s="38">
        <f t="shared" si="285"/>
        <v>0.24431715728138031</v>
      </c>
      <c r="G2277" s="14">
        <f t="shared" si="286"/>
        <v>0</v>
      </c>
      <c r="H2277" s="24">
        <f t="shared" si="284"/>
        <v>690.81505250011708</v>
      </c>
      <c r="I2277" s="12">
        <f t="shared" si="291"/>
        <v>0.24602851221921723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853.45563372417564</v>
      </c>
      <c r="F2278" s="38">
        <f t="shared" si="285"/>
        <v>0.24442081112661165</v>
      </c>
      <c r="G2278" s="14">
        <f t="shared" si="286"/>
        <v>0</v>
      </c>
      <c r="H2278" s="24">
        <f t="shared" si="284"/>
        <v>690.52209202672157</v>
      </c>
      <c r="I2278" s="12">
        <f t="shared" si="291"/>
        <v>0.24595646963204648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853.70159019380765</v>
      </c>
      <c r="F2279" s="38">
        <f t="shared" si="285"/>
        <v>0.24452410655288709</v>
      </c>
      <c r="G2279" s="14">
        <f t="shared" si="286"/>
        <v>0</v>
      </c>
      <c r="H2279" s="24">
        <f t="shared" si="284"/>
        <v>690.2303916506155</v>
      </c>
      <c r="I2279" s="12">
        <f t="shared" si="291"/>
        <v>0.24588399527999671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853.94747418908764</v>
      </c>
      <c r="F2280" s="38">
        <f t="shared" si="285"/>
        <v>0.24462704522233772</v>
      </c>
      <c r="G2280" s="14">
        <f t="shared" si="286"/>
        <v>0</v>
      </c>
      <c r="H2280" s="24">
        <f t="shared" si="284"/>
        <v>689.93994380554454</v>
      </c>
      <c r="I2280" s="12">
        <f t="shared" si="291"/>
        <v>0.24581109194720874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854.19328528103483</v>
      </c>
      <c r="F2281" s="38">
        <f t="shared" si="285"/>
        <v>0.24472962878791368</v>
      </c>
      <c r="G2281" s="14">
        <f t="shared" si="286"/>
        <v>0</v>
      </c>
      <c r="H2281" s="24">
        <f t="shared" si="284"/>
        <v>689.65074098274192</v>
      </c>
      <c r="I2281" s="12">
        <f t="shared" si="291"/>
        <v>0.24573776240200912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854.4390230434368</v>
      </c>
      <c r="F2282" s="38">
        <f t="shared" si="285"/>
        <v>0.24483185889343906</v>
      </c>
      <c r="G2282" s="14">
        <f t="shared" si="286"/>
        <v>0</v>
      </c>
      <c r="H2282" s="24">
        <f t="shared" si="284"/>
        <v>689.36277573040525</v>
      </c>
      <c r="I2282" s="12">
        <f t="shared" si="291"/>
        <v>0.24566400939691008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854.68468705283374</v>
      </c>
      <c r="F2283" s="38">
        <f t="shared" si="285"/>
        <v>0.24493373717366534</v>
      </c>
      <c r="G2283" s="14">
        <f t="shared" si="286"/>
        <v>0</v>
      </c>
      <c r="H2283" s="24">
        <f t="shared" si="284"/>
        <v>689.0760406531806</v>
      </c>
      <c r="I2283" s="12">
        <f t="shared" si="291"/>
        <v>0.245589835668754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854.93027688850248</v>
      </c>
      <c r="F2284" s="38">
        <f t="shared" si="285"/>
        <v>0.2450352652543257</v>
      </c>
      <c r="G2284" s="14">
        <f t="shared" si="286"/>
        <v>0</v>
      </c>
      <c r="H2284" s="24">
        <f t="shared" si="284"/>
        <v>688.79052841165105</v>
      </c>
      <c r="I2284" s="12">
        <f t="shared" si="291"/>
        <v>0.24551524393879628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855.1757921324413</v>
      </c>
      <c r="F2285" s="38">
        <f t="shared" si="285"/>
        <v>0.24513644475218854</v>
      </c>
      <c r="G2285" s="14">
        <f t="shared" si="286"/>
        <v>0</v>
      </c>
      <c r="H2285" s="24">
        <f t="shared" si="284"/>
        <v>688.50623172183066</v>
      </c>
      <c r="I2285" s="12">
        <f t="shared" si="291"/>
        <v>0.24544023691279215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855.42123236935413</v>
      </c>
      <c r="F2286" s="38">
        <f t="shared" si="285"/>
        <v>0.24523727727511077</v>
      </c>
      <c r="G2286" s="14">
        <f t="shared" si="286"/>
        <v>0</v>
      </c>
      <c r="H2286" s="24">
        <f t="shared" si="284"/>
        <v>688.22314335466422</v>
      </c>
      <c r="I2286" s="12">
        <f t="shared" si="291"/>
        <v>0.24536481728110107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855.66659718663527</v>
      </c>
      <c r="F2287" s="38">
        <f t="shared" si="285"/>
        <v>0.2453377644220904</v>
      </c>
      <c r="G2287" s="14">
        <f t="shared" si="286"/>
        <v>0</v>
      </c>
      <c r="H2287" s="24">
        <f t="shared" si="284"/>
        <v>687.94125613553183</v>
      </c>
      <c r="I2287" s="12">
        <f t="shared" si="291"/>
        <v>0.24528898771875632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855.91188617435398</v>
      </c>
      <c r="F2288" s="38">
        <f t="shared" si="285"/>
        <v>0.24543790778331998</v>
      </c>
      <c r="G2288" s="14">
        <f t="shared" si="286"/>
        <v>0</v>
      </c>
      <c r="H2288" s="24">
        <f t="shared" si="284"/>
        <v>687.66056294375835</v>
      </c>
      <c r="I2288" s="12">
        <f t="shared" si="291"/>
        <v>0.24521275088559549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856.15709892523955</v>
      </c>
      <c r="F2289" s="38">
        <f t="shared" si="285"/>
        <v>0.24553770894023838</v>
      </c>
      <c r="G2289" s="14">
        <f t="shared" si="286"/>
        <v>0</v>
      </c>
      <c r="H2289" s="24">
        <f t="shared" si="284"/>
        <v>687.38105671212838</v>
      </c>
      <c r="I2289" s="12">
        <f t="shared" si="291"/>
        <v>0.24513610942630137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856.40223503466586</v>
      </c>
      <c r="F2290" s="38">
        <f t="shared" si="285"/>
        <v>0.24563716946558306</v>
      </c>
      <c r="G2290" s="14">
        <f t="shared" si="286"/>
        <v>0</v>
      </c>
      <c r="H2290" s="24">
        <f t="shared" si="284"/>
        <v>687.10273042640654</v>
      </c>
      <c r="I2290" s="12">
        <f t="shared" si="291"/>
        <v>0.24505906597054247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856.64729410063637</v>
      </c>
      <c r="F2291" s="38">
        <f t="shared" si="285"/>
        <v>0.24573629092344204</v>
      </c>
      <c r="G2291" s="14">
        <f t="shared" si="286"/>
        <v>0</v>
      </c>
      <c r="H2291" s="24">
        <f t="shared" si="284"/>
        <v>686.82557712486187</v>
      </c>
      <c r="I2291" s="12">
        <f t="shared" si="291"/>
        <v>0.24498162313301902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856.89227572376944</v>
      </c>
      <c r="F2292" s="38">
        <f t="shared" si="285"/>
        <v>0.24583507486930553</v>
      </c>
      <c r="G2292" s="14">
        <f t="shared" si="286"/>
        <v>0</v>
      </c>
      <c r="H2292" s="24">
        <f t="shared" si="284"/>
        <v>686.54958989779743</v>
      </c>
      <c r="I2292" s="12">
        <f t="shared" si="291"/>
        <v>0.24490378351359041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857.13717950728301</v>
      </c>
      <c r="F2293" s="38">
        <f t="shared" si="285"/>
        <v>0.24593352285011674</v>
      </c>
      <c r="G2293" s="14">
        <f t="shared" si="286"/>
        <v>0</v>
      </c>
      <c r="H2293" s="24">
        <f t="shared" si="284"/>
        <v>686.27476188708579</v>
      </c>
      <c r="I2293" s="12">
        <f t="shared" si="291"/>
        <v>0.24482554969733181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857.38200505698035</v>
      </c>
      <c r="F2294" s="38">
        <f t="shared" si="285"/>
        <v>0.24603163640432343</v>
      </c>
      <c r="G2294" s="14">
        <f t="shared" si="286"/>
        <v>0</v>
      </c>
      <c r="H2294" s="24">
        <f t="shared" si="284"/>
        <v>686.0010862857074</v>
      </c>
      <c r="I2294" s="12">
        <f t="shared" si="291"/>
        <v>0.24474692425464961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857.62675198123497</v>
      </c>
      <c r="F2295" s="38">
        <f t="shared" si="285"/>
        <v>0.24612941706192804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685.72855633729569</v>
      </c>
      <c r="I2295" s="12">
        <f t="shared" si="291"/>
        <v>0.24466790974134731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857.87141989097631</v>
      </c>
      <c r="F2296" s="38">
        <f t="shared" si="285"/>
        <v>0.24622686634453864</v>
      </c>
      <c r="G2296" s="14">
        <f t="shared" si="286"/>
        <v>0</v>
      </c>
      <c r="H2296" s="24">
        <f t="shared" si="292"/>
        <v>685.4571653356852</v>
      </c>
      <c r="I2296" s="12">
        <f t="shared" si="291"/>
        <v>0.2445885086987297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858.11600839967502</v>
      </c>
      <c r="F2297" s="38">
        <f t="shared" si="285"/>
        <v>0.24632398576541867</v>
      </c>
      <c r="G2297" s="14">
        <f t="shared" si="286"/>
        <v>0</v>
      </c>
      <c r="H2297" s="24">
        <f t="shared" si="292"/>
        <v>685.18690662446534</v>
      </c>
      <c r="I2297" s="12">
        <f t="shared" si="291"/>
        <v>0.24450872365367868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858.36051712332869</v>
      </c>
      <c r="F2298" s="38">
        <f t="shared" si="285"/>
        <v>0.24642077682953709</v>
      </c>
      <c r="G2298" s="14">
        <f t="shared" si="286"/>
        <v>0</v>
      </c>
      <c r="H2298" s="24">
        <f t="shared" si="292"/>
        <v>684.91777359653872</v>
      </c>
      <c r="I2298" s="12">
        <f t="shared" si="291"/>
        <v>0.24442855711874484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858.60494568044749</v>
      </c>
      <c r="F2299" s="38">
        <f t="shared" si="285"/>
        <v>0.24651724103361758</v>
      </c>
      <c r="G2299" s="14">
        <f t="shared" si="286"/>
        <v>0</v>
      </c>
      <c r="H2299" s="24">
        <f t="shared" si="292"/>
        <v>684.64975969368334</v>
      </c>
      <c r="I2299" s="12">
        <f t="shared" si="291"/>
        <v>0.24434801159222802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858.84929369203974</v>
      </c>
      <c r="F2300" s="38">
        <f t="shared" si="285"/>
        <v>0.24661337986618814</v>
      </c>
      <c r="G2300" s="14">
        <f t="shared" si="286"/>
        <v>0</v>
      </c>
      <c r="H2300" s="24">
        <f t="shared" si="292"/>
        <v>684.38285840611979</v>
      </c>
      <c r="I2300" s="12">
        <f t="shared" si="291"/>
        <v>0.24426708955828502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859.09356078159806</v>
      </c>
      <c r="F2301" s="38">
        <f t="shared" si="285"/>
        <v>0.24670919480762993</v>
      </c>
      <c r="G2301" s="14">
        <f t="shared" si="286"/>
        <v>0</v>
      </c>
      <c r="H2301" s="24">
        <f t="shared" si="292"/>
        <v>684.1170632720831</v>
      </c>
      <c r="I2301" s="12">
        <f t="shared" si="291"/>
        <v>0.24418579348695835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859.33774657508502</v>
      </c>
      <c r="F2302" s="38">
        <f t="shared" si="285"/>
        <v>0.24680468733022626</v>
      </c>
      <c r="G2302" s="14">
        <f t="shared" si="286"/>
        <v>0</v>
      </c>
      <c r="H2302" s="24">
        <f t="shared" si="292"/>
        <v>683.85236787739814</v>
      </c>
      <c r="I2302" s="12">
        <f t="shared" si="291"/>
        <v>0.24410412583433938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859.5818507009194</v>
      </c>
      <c r="F2303" s="38">
        <f t="shared" si="285"/>
        <v>0.24689985889821031</v>
      </c>
      <c r="G2303" s="14">
        <f t="shared" si="286"/>
        <v>0</v>
      </c>
      <c r="H2303" s="24">
        <f t="shared" si="292"/>
        <v>683.58876585506005</v>
      </c>
      <c r="I2303" s="12">
        <f t="shared" si="291"/>
        <v>0.24402208904259504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859.82587278996198</v>
      </c>
      <c r="F2304" s="38">
        <f t="shared" si="285"/>
        <v>0.24699471096781453</v>
      </c>
      <c r="G2304" s="14">
        <f t="shared" si="286"/>
        <v>0</v>
      </c>
      <c r="H2304" s="24">
        <f t="shared" si="292"/>
        <v>683.32625088481859</v>
      </c>
      <c r="I2304" s="12">
        <f t="shared" si="291"/>
        <v>0.24393968554005305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860.06981247550198</v>
      </c>
      <c r="F2305" s="38">
        <f t="shared" si="285"/>
        <v>0.24708924498731724</v>
      </c>
      <c r="G2305" s="14">
        <f t="shared" si="286"/>
        <v>0</v>
      </c>
      <c r="H2305" s="24">
        <f t="shared" si="292"/>
        <v>683.06481669276707</v>
      </c>
      <c r="I2305" s="12">
        <f t="shared" si="291"/>
        <v>0.24385691774131665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860.31366939324334</v>
      </c>
      <c r="F2306" s="38">
        <f t="shared" si="285"/>
        <v>0.24718346239709121</v>
      </c>
      <c r="G2306" s="14">
        <f t="shared" si="286"/>
        <v>0</v>
      </c>
      <c r="H2306" s="24">
        <f t="shared" si="292"/>
        <v>682.80445705093496</v>
      </c>
      <c r="I2306" s="12">
        <f t="shared" si="291"/>
        <v>0.24377378804733635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860.55744318129064</v>
      </c>
      <c r="F2307" s="38">
        <f t="shared" si="285"/>
        <v>0.2472773646296505</v>
      </c>
      <c r="G2307" s="14">
        <f t="shared" si="286"/>
        <v>0</v>
      </c>
      <c r="H2307" s="24">
        <f t="shared" si="292"/>
        <v>682.54516577688514</v>
      </c>
      <c r="I2307" s="12">
        <f t="shared" si="291"/>
        <v>0.24369029884545859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860.80113348013606</v>
      </c>
      <c r="F2308" s="38">
        <f t="shared" si="285"/>
        <v>0.24737095310969767</v>
      </c>
      <c r="G2308" s="14">
        <f t="shared" si="286"/>
        <v>0</v>
      </c>
      <c r="H2308" s="24">
        <f t="shared" si="292"/>
        <v>682.28693673331486</v>
      </c>
      <c r="I2308" s="12">
        <f t="shared" si="291"/>
        <v>0.24360645250955162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861.0447399326456</v>
      </c>
      <c r="F2309" s="38">
        <f t="shared" si="285"/>
        <v>0.24746422925417053</v>
      </c>
      <c r="G2309" s="14">
        <f t="shared" si="286"/>
        <v>0</v>
      </c>
      <c r="H2309" s="24">
        <f t="shared" si="292"/>
        <v>682.02976382766087</v>
      </c>
      <c r="I2309" s="12">
        <f t="shared" si="291"/>
        <v>0.24352225140007491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861.28826218404572</v>
      </c>
      <c r="F2310" s="38">
        <f t="shared" si="285"/>
        <v>0.2475571944722891</v>
      </c>
      <c r="G2310" s="14">
        <f t="shared" si="286"/>
        <v>0</v>
      </c>
      <c r="H2310" s="24">
        <f t="shared" si="292"/>
        <v>681.77364101170826</v>
      </c>
      <c r="I2310" s="12">
        <f t="shared" si="291"/>
        <v>0.24343769786412647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861.53169988190984</v>
      </c>
      <c r="F2311" s="38">
        <f t="shared" si="285"/>
        <v>0.24764985016560095</v>
      </c>
      <c r="G2311" s="14">
        <f t="shared" si="286"/>
        <v>0</v>
      </c>
      <c r="H2311" s="24">
        <f t="shared" si="292"/>
        <v>681.51856228120448</v>
      </c>
      <c r="I2311" s="12">
        <f t="shared" si="291"/>
        <v>0.24335279423557851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861.77505267614538</v>
      </c>
      <c r="F2312" s="38">
        <f t="shared" si="285"/>
        <v>0.24774219772802819</v>
      </c>
      <c r="G2312" s="14">
        <f t="shared" si="286"/>
        <v>0</v>
      </c>
      <c r="H2312" s="24">
        <f t="shared" si="292"/>
        <v>681.26452167547507</v>
      </c>
      <c r="I2312" s="12">
        <f t="shared" si="291"/>
        <v>0.24326754283510099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862.01832021898053</v>
      </c>
      <c r="F2313" s="38">
        <f t="shared" si="285"/>
        <v>0.24783423854591255</v>
      </c>
      <c r="G2313" s="14">
        <f t="shared" si="286"/>
        <v>0</v>
      </c>
      <c r="H2313" s="24">
        <f t="shared" si="292"/>
        <v>681.01151327704497</v>
      </c>
      <c r="I2313" s="12">
        <f t="shared" si="291"/>
        <v>0.24318194597030185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862.2615021649508</v>
      </c>
      <c r="F2314" s="38">
        <f t="shared" si="285"/>
        <v>0.24792597399806116</v>
      </c>
      <c r="G2314" s="14">
        <f t="shared" si="286"/>
        <v>0</v>
      </c>
      <c r="H2314" s="24">
        <f t="shared" si="292"/>
        <v>680.75953121126372</v>
      </c>
      <c r="I2314" s="12">
        <f t="shared" si="291"/>
        <v>0.24309600593572755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862.50459817088654</v>
      </c>
      <c r="F2315" s="38">
        <f t="shared" si="285"/>
        <v>0.24801740545579148</v>
      </c>
      <c r="G2315" s="14">
        <f t="shared" si="286"/>
        <v>0</v>
      </c>
      <c r="H2315" s="24">
        <f t="shared" si="292"/>
        <v>680.50856964593288</v>
      </c>
      <c r="I2315" s="12">
        <f t="shared" si="291"/>
        <v>0.24300972501301385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862.74760789589959</v>
      </c>
      <c r="F2316" s="38">
        <f t="shared" si="285"/>
        <v>0.24810853428297661</v>
      </c>
      <c r="G2316" s="14">
        <f t="shared" si="286"/>
        <v>0</v>
      </c>
      <c r="H2316" s="24">
        <f t="shared" si="292"/>
        <v>680.25862279093883</v>
      </c>
      <c r="I2316" s="12">
        <f t="shared" si="291"/>
        <v>0.24292310547093504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862.99053100137053</v>
      </c>
      <c r="F2317" s="38">
        <f t="shared" si="285"/>
        <v>0.24819936183608934</v>
      </c>
      <c r="G2317" s="14">
        <f t="shared" si="286"/>
        <v>0</v>
      </c>
      <c r="H2317" s="24">
        <f t="shared" si="292"/>
        <v>680.00968489788829</v>
      </c>
      <c r="I2317" s="12">
        <f t="shared" si="291"/>
        <v>0.24283614956545868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863.23336715093603</v>
      </c>
      <c r="F2318" s="38">
        <f t="shared" si="285"/>
        <v>0.24828988946424727</v>
      </c>
      <c r="G2318" s="14">
        <f t="shared" si="286"/>
        <v>0</v>
      </c>
      <c r="H2318" s="24">
        <f t="shared" si="292"/>
        <v>679.76175025974794</v>
      </c>
      <c r="I2318" s="12">
        <f t="shared" si="291"/>
        <v>0.24274885953985084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863.47611601047583</v>
      </c>
      <c r="F2319" s="38">
        <f t="shared" si="285"/>
        <v>0.24838011850925645</v>
      </c>
      <c r="G2319" s="14">
        <f t="shared" si="286"/>
        <v>0</v>
      </c>
      <c r="H2319" s="24">
        <f t="shared" si="292"/>
        <v>679.51481321048732</v>
      </c>
      <c r="I2319" s="12">
        <f t="shared" si="291"/>
        <v>0.24266123762477385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863.71877724810065</v>
      </c>
      <c r="F2320" s="38">
        <f t="shared" si="285"/>
        <v>0.24847005030565544</v>
      </c>
      <c r="G2320" s="14">
        <f t="shared" si="286"/>
        <v>0</v>
      </c>
      <c r="H2320" s="24">
        <f t="shared" si="292"/>
        <v>679.26886812472515</v>
      </c>
      <c r="I2320" s="12">
        <f t="shared" si="291"/>
        <v>0.2425732860382836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863.96135053413889</v>
      </c>
      <c r="F2321" s="38">
        <f t="shared" si="285"/>
        <v>0.24855968618075883</v>
      </c>
      <c r="G2321" s="14">
        <f t="shared" si="286"/>
        <v>0</v>
      </c>
      <c r="H2321" s="24">
        <f t="shared" si="292"/>
        <v>679.02390941738042</v>
      </c>
      <c r="I2321" s="12">
        <f t="shared" si="291"/>
        <v>0.24248500698599498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864.20383554112493</v>
      </c>
      <c r="F2322" s="38">
        <f t="shared" si="285"/>
        <v>0.24864902745470074</v>
      </c>
      <c r="G2322" s="14">
        <f t="shared" si="286"/>
        <v>0</v>
      </c>
      <c r="H2322" s="24">
        <f t="shared" si="292"/>
        <v>678.77993154332489</v>
      </c>
      <c r="I2322" s="12">
        <f t="shared" si="291"/>
        <v>0.24239640266108908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864.44623194378607</v>
      </c>
      <c r="F2323" s="38">
        <f t="shared" si="285"/>
        <v>0.24873807544047777</v>
      </c>
      <c r="G2323" s="14">
        <f t="shared" si="286"/>
        <v>0</v>
      </c>
      <c r="H2323" s="24">
        <f t="shared" si="292"/>
        <v>678.53692899704083</v>
      </c>
      <c r="I2323" s="12">
        <f t="shared" si="291"/>
        <v>0.24230747524442128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864.68853941903046</v>
      </c>
      <c r="F2324" s="38">
        <f t="shared" ref="F2324:F2387" si="293">Cp*RhoP/(RhoA*H2324)*dp/1000*MassivP</f>
        <v>0.24882683144399201</v>
      </c>
      <c r="G2324" s="14">
        <f t="shared" ref="G2324:G2387" si="294">Phi*EpsilonF*Botzman/10^8*J2324*((D2324+273)^4-(E2324+273)^4)</f>
        <v>0</v>
      </c>
      <c r="H2324" s="24">
        <f t="shared" si="292"/>
        <v>678.29489631228137</v>
      </c>
      <c r="I2324" s="12">
        <f t="shared" si="291"/>
        <v>0.24221822690462258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864.93075764593505</v>
      </c>
      <c r="F2325" s="38">
        <f t="shared" si="293"/>
        <v>0.24891529676409346</v>
      </c>
      <c r="G2325" s="14">
        <f t="shared" si="294"/>
        <v>0</v>
      </c>
      <c r="H2325" s="24">
        <f t="shared" si="292"/>
        <v>678.05382806173395</v>
      </c>
      <c r="I2325" s="12">
        <f t="shared" ref="I2325:I2388" si="299">LambdaP*MassivP/(dp/1000)/(H2325*RhoA)/(1+F2325/3)*(D2325-E2325)*DeltaT-(EXP(F2325/10)-1)*(D2325-D2324)</f>
        <v>0.24212865979806153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865.17288630573307</v>
      </c>
      <c r="F2326" s="38">
        <f t="shared" si="293"/>
        <v>0.24900347269262224</v>
      </c>
      <c r="G2326" s="14">
        <f t="shared" si="294"/>
        <v>0</v>
      </c>
      <c r="H2326" s="24">
        <f t="shared" si="292"/>
        <v>677.81371885668807</v>
      </c>
      <c r="I2326" s="12">
        <f t="shared" si="299"/>
        <v>0.24203877606907409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865.41492508180215</v>
      </c>
      <c r="F2327" s="38">
        <f t="shared" si="293"/>
        <v>0.24909136051445138</v>
      </c>
      <c r="G2327" s="14">
        <f t="shared" si="294"/>
        <v>0</v>
      </c>
      <c r="H2327" s="24">
        <f t="shared" si="292"/>
        <v>677.57456334670508</v>
      </c>
      <c r="I2327" s="12">
        <f t="shared" si="299"/>
        <v>0.24194857784990681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865.65687365965209</v>
      </c>
      <c r="F2328" s="38">
        <f t="shared" si="293"/>
        <v>0.24917896150752752</v>
      </c>
      <c r="G2328" s="14">
        <f t="shared" si="294"/>
        <v>0</v>
      </c>
      <c r="H2328" s="24">
        <f t="shared" si="292"/>
        <v>677.33635621929261</v>
      </c>
      <c r="I2328" s="12">
        <f t="shared" si="299"/>
        <v>0.24185806726086198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865.89873172691296</v>
      </c>
      <c r="F2329" s="38">
        <f t="shared" si="293"/>
        <v>0.24926627694291356</v>
      </c>
      <c r="G2329" s="14">
        <f t="shared" si="294"/>
        <v>0</v>
      </c>
      <c r="H2329" s="24">
        <f t="shared" si="292"/>
        <v>677.09909219958081</v>
      </c>
      <c r="I2329" s="12">
        <f t="shared" si="299"/>
        <v>0.24176724641032463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866.14049897332325</v>
      </c>
      <c r="F2330" s="38">
        <f t="shared" si="293"/>
        <v>0.24935330808482922</v>
      </c>
      <c r="G2330" s="14">
        <f t="shared" si="294"/>
        <v>0</v>
      </c>
      <c r="H2330" s="24">
        <f t="shared" si="292"/>
        <v>676.86276605000307</v>
      </c>
      <c r="I2330" s="12">
        <f t="shared" si="299"/>
        <v>0.24167611739488934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866.38217509071819</v>
      </c>
      <c r="F2331" s="38">
        <f t="shared" si="293"/>
        <v>0.24944005619069254</v>
      </c>
      <c r="G2331" s="14">
        <f t="shared" si="294"/>
        <v>0</v>
      </c>
      <c r="H2331" s="24">
        <f t="shared" si="292"/>
        <v>676.62737256997832</v>
      </c>
      <c r="I2331" s="12">
        <f t="shared" si="299"/>
        <v>0.241584682299336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866.62375977301758</v>
      </c>
      <c r="F2332" s="38">
        <f t="shared" si="293"/>
        <v>0.24952652251116075</v>
      </c>
      <c r="G2332" s="14">
        <f t="shared" si="294"/>
        <v>0</v>
      </c>
      <c r="H2332" s="24">
        <f t="shared" si="292"/>
        <v>676.39290659559856</v>
      </c>
      <c r="I2332" s="12">
        <f t="shared" si="299"/>
        <v>0.24149294319684611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866.8652527162144</v>
      </c>
      <c r="F2333" s="38">
        <f t="shared" si="293"/>
        <v>0.24961270829017035</v>
      </c>
      <c r="G2333" s="14">
        <f t="shared" si="294"/>
        <v>0</v>
      </c>
      <c r="H2333" s="24">
        <f t="shared" si="292"/>
        <v>676.15936299931764</v>
      </c>
      <c r="I2333" s="12">
        <f t="shared" si="299"/>
        <v>0.24140090214890342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867.10665361836334</v>
      </c>
      <c r="F2334" s="38">
        <f t="shared" si="293"/>
        <v>0.24969861476497801</v>
      </c>
      <c r="G2334" s="14">
        <f t="shared" si="294"/>
        <v>0</v>
      </c>
      <c r="H2334" s="24">
        <f t="shared" si="292"/>
        <v>675.92673668964369</v>
      </c>
      <c r="I2334" s="12">
        <f t="shared" si="299"/>
        <v>0.24130856120548802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867.34796217956887</v>
      </c>
      <c r="F2335" s="38">
        <f t="shared" si="293"/>
        <v>0.24978424316620046</v>
      </c>
      <c r="G2335" s="14">
        <f t="shared" si="294"/>
        <v>0</v>
      </c>
      <c r="H2335" s="24">
        <f t="shared" si="292"/>
        <v>675.69502261083483</v>
      </c>
      <c r="I2335" s="12">
        <f t="shared" si="299"/>
        <v>0.24121592240511108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867.58917810197397</v>
      </c>
      <c r="F2336" s="38">
        <f t="shared" si="293"/>
        <v>0.24986959471785428</v>
      </c>
      <c r="G2336" s="14">
        <f t="shared" si="294"/>
        <v>0</v>
      </c>
      <c r="H2336" s="24">
        <f t="shared" si="292"/>
        <v>675.46421574259739</v>
      </c>
      <c r="I2336" s="12">
        <f t="shared" si="299"/>
        <v>0.24112298777484989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867.83030108974879</v>
      </c>
      <c r="F2337" s="38">
        <f t="shared" si="293"/>
        <v>0.24995467063739538</v>
      </c>
      <c r="G2337" s="14">
        <f t="shared" si="294"/>
        <v>0</v>
      </c>
      <c r="H2337" s="24">
        <f t="shared" si="292"/>
        <v>675.23431109978799</v>
      </c>
      <c r="I2337" s="12">
        <f t="shared" si="299"/>
        <v>0.24102975933046619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868.07133084907923</v>
      </c>
      <c r="F2338" s="38">
        <f t="shared" si="293"/>
        <v>0.25003947213575889</v>
      </c>
      <c r="G2338" s="14">
        <f t="shared" si="294"/>
        <v>0</v>
      </c>
      <c r="H2338" s="24">
        <f t="shared" si="292"/>
        <v>675.00530373211666</v>
      </c>
      <c r="I2338" s="12">
        <f t="shared" si="299"/>
        <v>0.24093623907644082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868.31226708815564</v>
      </c>
      <c r="F2339" s="38">
        <f t="shared" si="293"/>
        <v>0.2501240004173978</v>
      </c>
      <c r="G2339" s="14">
        <f t="shared" si="294"/>
        <v>0</v>
      </c>
      <c r="H2339" s="24">
        <f t="shared" si="292"/>
        <v>674.77718872385526</v>
      </c>
      <c r="I2339" s="12">
        <f t="shared" si="299"/>
        <v>0.2408424290060516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868.55310951716172</v>
      </c>
      <c r="F2340" s="38">
        <f t="shared" si="293"/>
        <v>0.25020825668032182</v>
      </c>
      <c r="G2340" s="14">
        <f t="shared" si="294"/>
        <v>0</v>
      </c>
      <c r="H2340" s="24">
        <f t="shared" si="292"/>
        <v>674.54996119354678</v>
      </c>
      <c r="I2340" s="12">
        <f t="shared" si="299"/>
        <v>0.2407483311014241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868.79385784826309</v>
      </c>
      <c r="F2341" s="38">
        <f t="shared" si="293"/>
        <v>0.25029224211613638</v>
      </c>
      <c r="G2341" s="14">
        <f t="shared" si="294"/>
        <v>0</v>
      </c>
      <c r="H2341" s="24">
        <f t="shared" si="292"/>
        <v>674.32361629371871</v>
      </c>
      <c r="I2341" s="12">
        <f t="shared" si="299"/>
        <v>0.24065394733365411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869.0345117955967</v>
      </c>
      <c r="F2342" s="38">
        <f t="shared" si="293"/>
        <v>0.25037595791008077</v>
      </c>
      <c r="G2342" s="14">
        <f t="shared" si="294"/>
        <v>0</v>
      </c>
      <c r="H2342" s="24">
        <f t="shared" si="292"/>
        <v>674.09814921059808</v>
      </c>
      <c r="I2342" s="12">
        <f t="shared" si="299"/>
        <v>0.24055927966277763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869.27507107525946</v>
      </c>
      <c r="F2343" s="38">
        <f t="shared" si="293"/>
        <v>0.25045940524106669</v>
      </c>
      <c r="G2343" s="14">
        <f t="shared" si="294"/>
        <v>0</v>
      </c>
      <c r="H2343" s="24">
        <f t="shared" si="292"/>
        <v>673.87355516383025</v>
      </c>
      <c r="I2343" s="12">
        <f t="shared" si="299"/>
        <v>0.24046433003794412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869.51553540529744</v>
      </c>
      <c r="F2344" s="38">
        <f t="shared" si="293"/>
        <v>0.25054258528171564</v>
      </c>
      <c r="G2344" s="14">
        <f t="shared" si="294"/>
        <v>0</v>
      </c>
      <c r="H2344" s="24">
        <f t="shared" si="292"/>
        <v>673.64982940620018</v>
      </c>
      <c r="I2344" s="12">
        <f t="shared" si="299"/>
        <v>0.24036910039739126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869.75590450569484</v>
      </c>
      <c r="F2345" s="38">
        <f t="shared" si="293"/>
        <v>0.25062549919839688</v>
      </c>
      <c r="G2345" s="14">
        <f t="shared" si="294"/>
        <v>0</v>
      </c>
      <c r="H2345" s="24">
        <f t="shared" si="292"/>
        <v>673.42696722335609</v>
      </c>
      <c r="I2345" s="12">
        <f t="shared" si="299"/>
        <v>0.24027359266857193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869.99617809836343</v>
      </c>
      <c r="F2346" s="38">
        <f t="shared" si="293"/>
        <v>0.25070814815126524</v>
      </c>
      <c r="G2346" s="14">
        <f t="shared" si="294"/>
        <v>0</v>
      </c>
      <c r="H2346" s="24">
        <f t="shared" si="292"/>
        <v>673.20496393353574</v>
      </c>
      <c r="I2346" s="12">
        <f t="shared" si="299"/>
        <v>0.2401778087681849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870.23635590713161</v>
      </c>
      <c r="F2347" s="38">
        <f t="shared" si="293"/>
        <v>0.25079053329429801</v>
      </c>
      <c r="G2347" s="14">
        <f t="shared" si="294"/>
        <v>0</v>
      </c>
      <c r="H2347" s="24">
        <f t="shared" si="292"/>
        <v>672.98381488729603</v>
      </c>
      <c r="I2347" s="12">
        <f t="shared" si="299"/>
        <v>0.24008175060224432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870.47643765773387</v>
      </c>
      <c r="F2348" s="38">
        <f t="shared" si="293"/>
        <v>0.2508726557753318</v>
      </c>
      <c r="G2348" s="14">
        <f t="shared" si="294"/>
        <v>0</v>
      </c>
      <c r="H2348" s="24">
        <f t="shared" si="292"/>
        <v>672.76351546724413</v>
      </c>
      <c r="I2348" s="12">
        <f t="shared" si="299"/>
        <v>0.23998542006616047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870.71642307780007</v>
      </c>
      <c r="F2349" s="38">
        <f t="shared" si="293"/>
        <v>0.25095451673610003</v>
      </c>
      <c r="G2349" s="14">
        <f t="shared" si="294"/>
        <v>0</v>
      </c>
      <c r="H2349" s="24">
        <f t="shared" si="292"/>
        <v>672.54406108777255</v>
      </c>
      <c r="I2349" s="12">
        <f t="shared" si="299"/>
        <v>0.2398888190447746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870.9563118968448</v>
      </c>
      <c r="F2350" s="38">
        <f t="shared" si="293"/>
        <v>0.25103611731226866</v>
      </c>
      <c r="G2350" s="14">
        <f t="shared" si="294"/>
        <v>0</v>
      </c>
      <c r="H2350" s="24">
        <f t="shared" si="292"/>
        <v>672.32544719479517</v>
      </c>
      <c r="I2350" s="12">
        <f t="shared" si="299"/>
        <v>0.23979194941245618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871.1961038462573</v>
      </c>
      <c r="F2351" s="38">
        <f t="shared" si="293"/>
        <v>0.25111745863347318</v>
      </c>
      <c r="G2351" s="14">
        <f t="shared" si="294"/>
        <v>0</v>
      </c>
      <c r="H2351" s="24">
        <f t="shared" si="292"/>
        <v>672.1076692654874</v>
      </c>
      <c r="I2351" s="12">
        <f t="shared" si="299"/>
        <v>0.23969481303313053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871.43579865929041</v>
      </c>
      <c r="F2352" s="38">
        <f t="shared" si="293"/>
        <v>0.25119854182335427</v>
      </c>
      <c r="G2352" s="14">
        <f t="shared" si="294"/>
        <v>0</v>
      </c>
      <c r="H2352" s="24">
        <f t="shared" si="292"/>
        <v>671.8907228080277</v>
      </c>
      <c r="I2352" s="12">
        <f t="shared" si="299"/>
        <v>0.23959741176035335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871.67539607105073</v>
      </c>
      <c r="F2353" s="38">
        <f t="shared" si="293"/>
        <v>0.25127936799959427</v>
      </c>
      <c r="G2353" s="14">
        <f t="shared" si="294"/>
        <v>0</v>
      </c>
      <c r="H2353" s="24">
        <f t="shared" si="292"/>
        <v>671.67460336134172</v>
      </c>
      <c r="I2353" s="12">
        <f t="shared" si="299"/>
        <v>0.23949974743741681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871.91489581848816</v>
      </c>
      <c r="F2354" s="38">
        <f t="shared" si="293"/>
        <v>0.25135993827395203</v>
      </c>
      <c r="G2354" s="14">
        <f t="shared" si="294"/>
        <v>0</v>
      </c>
      <c r="H2354" s="24">
        <f t="shared" si="292"/>
        <v>671.45930649484967</v>
      </c>
      <c r="I2354" s="12">
        <f t="shared" si="299"/>
        <v>0.23940182189730319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872.15429764038549</v>
      </c>
      <c r="F2355" s="38">
        <f t="shared" si="293"/>
        <v>0.25144025375229934</v>
      </c>
      <c r="G2355" s="14">
        <f t="shared" si="294"/>
        <v>0</v>
      </c>
      <c r="H2355" s="24">
        <f t="shared" si="292"/>
        <v>671.24482780821506</v>
      </c>
      <c r="I2355" s="12">
        <f t="shared" si="299"/>
        <v>0.2393036369628771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872.39360127734835</v>
      </c>
      <c r="F2356" s="38">
        <f t="shared" si="293"/>
        <v>0.25152031553465526</v>
      </c>
      <c r="G2356" s="14">
        <f t="shared" si="294"/>
        <v>0</v>
      </c>
      <c r="H2356" s="24">
        <f t="shared" si="292"/>
        <v>671.03116293109656</v>
      </c>
      <c r="I2356" s="12">
        <f t="shared" si="299"/>
        <v>0.23920519444683166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872.63280647179522</v>
      </c>
      <c r="F2357" s="38">
        <f t="shared" si="293"/>
        <v>0.2516001247152217</v>
      </c>
      <c r="G2357" s="14">
        <f t="shared" si="294"/>
        <v>0</v>
      </c>
      <c r="H2357" s="24">
        <f t="shared" si="292"/>
        <v>670.81830752290205</v>
      </c>
      <c r="I2357" s="12">
        <f t="shared" si="299"/>
        <v>0.23910649615183979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872.87191296794708</v>
      </c>
      <c r="F2358" s="38">
        <f t="shared" si="293"/>
        <v>0.251679682382418</v>
      </c>
      <c r="G2358" s="14">
        <f t="shared" si="294"/>
        <v>0</v>
      </c>
      <c r="H2358" s="24">
        <f t="shared" si="292"/>
        <v>670.60625727254444</v>
      </c>
      <c r="I2358" s="12">
        <f t="shared" si="299"/>
        <v>0.23900754387054041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873.11092051181765</v>
      </c>
      <c r="F2359" s="38">
        <f t="shared" si="293"/>
        <v>0.25175898961891557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670.39500789820113</v>
      </c>
      <c r="I2359" s="12">
        <f t="shared" si="299"/>
        <v>0.23890833938565398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873.34982885120326</v>
      </c>
      <c r="F2360" s="38">
        <f t="shared" si="293"/>
        <v>0.25183804750167255</v>
      </c>
      <c r="G2360" s="14">
        <f t="shared" si="294"/>
        <v>0</v>
      </c>
      <c r="H2360" s="24">
        <f t="shared" si="300"/>
        <v>670.18455514707398</v>
      </c>
      <c r="I2360" s="12">
        <f t="shared" si="299"/>
        <v>0.23880888447000259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873.58863773567327</v>
      </c>
      <c r="F2361" s="38">
        <f t="shared" si="293"/>
        <v>0.2519168571019671</v>
      </c>
      <c r="G2361" s="14">
        <f t="shared" si="294"/>
        <v>0</v>
      </c>
      <c r="H2361" s="24">
        <f t="shared" si="300"/>
        <v>669.97489479515332</v>
      </c>
      <c r="I2361" s="12">
        <f t="shared" si="299"/>
        <v>0.23870918088659057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873.82734691655992</v>
      </c>
      <c r="F2362" s="38">
        <f t="shared" si="293"/>
        <v>0.25199541948543241</v>
      </c>
      <c r="G2362" s="14">
        <f t="shared" si="294"/>
        <v>0</v>
      </c>
      <c r="H2362" s="24">
        <f t="shared" si="300"/>
        <v>669.76602264698295</v>
      </c>
      <c r="I2362" s="12">
        <f t="shared" si="299"/>
        <v>0.23860923038865214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874.06595614694857</v>
      </c>
      <c r="F2363" s="38">
        <f t="shared" si="293"/>
        <v>0.25207373571208963</v>
      </c>
      <c r="G2363" s="14">
        <f t="shared" si="294"/>
        <v>0</v>
      </c>
      <c r="H2363" s="24">
        <f t="shared" si="300"/>
        <v>669.55793453542776</v>
      </c>
      <c r="I2363" s="12">
        <f t="shared" si="299"/>
        <v>0.2385090347197148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874.30446518166832</v>
      </c>
      <c r="F2364" s="38">
        <f t="shared" si="293"/>
        <v>0.25215180683638211</v>
      </c>
      <c r="G2364" s="14">
        <f t="shared" si="294"/>
        <v>0</v>
      </c>
      <c r="H2364" s="24">
        <f t="shared" si="300"/>
        <v>669.35062632144388</v>
      </c>
      <c r="I2364" s="12">
        <f t="shared" si="299"/>
        <v>0.23840859561367883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874.54287377728201</v>
      </c>
      <c r="F2365" s="38">
        <f t="shared" si="293"/>
        <v>0.25222963390720771</v>
      </c>
      <c r="G2365" s="14">
        <f t="shared" si="294"/>
        <v>0</v>
      </c>
      <c r="H2365" s="24">
        <f t="shared" si="300"/>
        <v>669.14409389385025</v>
      </c>
      <c r="I2365" s="12">
        <f t="shared" si="299"/>
        <v>0.23830791479479055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874.78118169207676</v>
      </c>
      <c r="F2366" s="38">
        <f t="shared" si="293"/>
        <v>0.25230721796795286</v>
      </c>
      <c r="G2366" s="14">
        <f t="shared" si="294"/>
        <v>0</v>
      </c>
      <c r="H2366" s="24">
        <f t="shared" si="300"/>
        <v>668.93833316910343</v>
      </c>
      <c r="I2366" s="12">
        <f t="shared" si="299"/>
        <v>0.23820699397782921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875.01938868605464</v>
      </c>
      <c r="F2367" s="38">
        <f t="shared" si="293"/>
        <v>0.25238456005652521</v>
      </c>
      <c r="G2367" s="14">
        <f t="shared" si="294"/>
        <v>0</v>
      </c>
      <c r="H2367" s="24">
        <f t="shared" si="300"/>
        <v>668.73334009107282</v>
      </c>
      <c r="I2367" s="12">
        <f t="shared" si="299"/>
        <v>0.23810583486805528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875.25749452092271</v>
      </c>
      <c r="F2368" s="38">
        <f t="shared" si="293"/>
        <v>0.25246166120538588</v>
      </c>
      <c r="G2368" s="14">
        <f t="shared" si="294"/>
        <v>0</v>
      </c>
      <c r="H2368" s="24">
        <f t="shared" si="300"/>
        <v>668.52911063082024</v>
      </c>
      <c r="I2368" s="12">
        <f t="shared" si="299"/>
        <v>0.2380044391613122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875.49549896008398</v>
      </c>
      <c r="F2369" s="38">
        <f t="shared" si="293"/>
        <v>0.25253852244158242</v>
      </c>
      <c r="G2369" s="14">
        <f t="shared" si="294"/>
        <v>0</v>
      </c>
      <c r="H2369" s="24">
        <f t="shared" si="300"/>
        <v>668.32564078637961</v>
      </c>
      <c r="I2369" s="12">
        <f t="shared" si="299"/>
        <v>0.23790280854407703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875.73340176862803</v>
      </c>
      <c r="F2370" s="38">
        <f t="shared" si="293"/>
        <v>0.25261514478678088</v>
      </c>
      <c r="G2370" s="14">
        <f t="shared" si="294"/>
        <v>0</v>
      </c>
      <c r="H2370" s="24">
        <f t="shared" si="300"/>
        <v>668.12292658253966</v>
      </c>
      <c r="I2370" s="12">
        <f t="shared" si="299"/>
        <v>0.2378009446935094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875.97120271332153</v>
      </c>
      <c r="F2371" s="38">
        <f t="shared" si="293"/>
        <v>0.25269152925729821</v>
      </c>
      <c r="G2371" s="14">
        <f t="shared" si="294"/>
        <v>0</v>
      </c>
      <c r="H2371" s="24">
        <f t="shared" si="300"/>
        <v>667.92096407062854</v>
      </c>
      <c r="I2371" s="12">
        <f t="shared" si="299"/>
        <v>0.23769884927752405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876.20890156259907</v>
      </c>
      <c r="F2372" s="38">
        <f t="shared" si="293"/>
        <v>0.25276767686413354</v>
      </c>
      <c r="G2372" s="14">
        <f t="shared" si="294"/>
        <v>0</v>
      </c>
      <c r="H2372" s="24">
        <f t="shared" si="300"/>
        <v>667.7197493283004</v>
      </c>
      <c r="I2372" s="12">
        <f t="shared" si="299"/>
        <v>0.23759652395481698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876.4464980865539</v>
      </c>
      <c r="F2373" s="38">
        <f t="shared" si="293"/>
        <v>0.25284358861300033</v>
      </c>
      <c r="G2373" s="14">
        <f t="shared" si="294"/>
        <v>0</v>
      </c>
      <c r="H2373" s="24">
        <f t="shared" si="300"/>
        <v>667.5192784593238</v>
      </c>
      <c r="I2373" s="12">
        <f t="shared" si="299"/>
        <v>0.23749397037494871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876.6839920569289</v>
      </c>
      <c r="F2374" s="38">
        <f t="shared" si="293"/>
        <v>0.25291926550435784</v>
      </c>
      <c r="G2374" s="14">
        <f t="shared" si="294"/>
        <v>0</v>
      </c>
      <c r="H2374" s="24">
        <f t="shared" si="300"/>
        <v>667.31954759337236</v>
      </c>
      <c r="I2374" s="12">
        <f t="shared" si="299"/>
        <v>0.23739119017837479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876.92138324710731</v>
      </c>
      <c r="F2375" s="38">
        <f t="shared" si="293"/>
        <v>0.25299470853344203</v>
      </c>
      <c r="G2375" s="14">
        <f t="shared" si="294"/>
        <v>0</v>
      </c>
      <c r="H2375" s="24">
        <f t="shared" si="300"/>
        <v>667.12055288581746</v>
      </c>
      <c r="I2375" s="12">
        <f t="shared" si="299"/>
        <v>0.23728818499652285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877.1586714321038</v>
      </c>
      <c r="F2376" s="38">
        <f t="shared" si="293"/>
        <v>0.25306991869029716</v>
      </c>
      <c r="G2376" s="14">
        <f t="shared" si="294"/>
        <v>0</v>
      </c>
      <c r="H2376" s="24">
        <f t="shared" si="300"/>
        <v>666.92229051752201</v>
      </c>
      <c r="I2376" s="12">
        <f t="shared" si="299"/>
        <v>0.23718495645181728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877.39585638855567</v>
      </c>
      <c r="F2377" s="38">
        <f t="shared" si="293"/>
        <v>0.25314489695980658</v>
      </c>
      <c r="G2377" s="14">
        <f t="shared" si="294"/>
        <v>0</v>
      </c>
      <c r="H2377" s="24">
        <f t="shared" si="300"/>
        <v>666.72475669463734</v>
      </c>
      <c r="I2377" s="12">
        <f t="shared" si="299"/>
        <v>0.23708150615775525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877.63293789471345</v>
      </c>
      <c r="F2378" s="38">
        <f t="shared" si="293"/>
        <v>0.25321964432172284</v>
      </c>
      <c r="G2378" s="14">
        <f t="shared" si="294"/>
        <v>0</v>
      </c>
      <c r="H2378" s="24">
        <f t="shared" si="300"/>
        <v>666.52794764840121</v>
      </c>
      <c r="I2378" s="12">
        <f t="shared" si="299"/>
        <v>0.23697783571897035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877.86991573043247</v>
      </c>
      <c r="F2379" s="38">
        <f t="shared" si="293"/>
        <v>0.25329416175069908</v>
      </c>
      <c r="G2379" s="14">
        <f t="shared" si="294"/>
        <v>0</v>
      </c>
      <c r="H2379" s="24">
        <f t="shared" si="300"/>
        <v>666.33185963493793</v>
      </c>
      <c r="I2379" s="12">
        <f t="shared" si="299"/>
        <v>0.23687394673122281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878.10678967716365</v>
      </c>
      <c r="F2380" s="38">
        <f t="shared" si="293"/>
        <v>0.25336845021631849</v>
      </c>
      <c r="G2380" s="14">
        <f t="shared" si="294"/>
        <v>0</v>
      </c>
      <c r="H2380" s="24">
        <f t="shared" si="300"/>
        <v>666.13648893506047</v>
      </c>
      <c r="I2380" s="12">
        <f t="shared" si="299"/>
        <v>0.23676984078154811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878.34355951794521</v>
      </c>
      <c r="F2381" s="38">
        <f t="shared" si="293"/>
        <v>0.25344251068312534</v>
      </c>
      <c r="G2381" s="14">
        <f t="shared" si="294"/>
        <v>0</v>
      </c>
      <c r="H2381" s="24">
        <f t="shared" si="300"/>
        <v>665.94183185407348</v>
      </c>
      <c r="I2381" s="12">
        <f t="shared" si="299"/>
        <v>0.23666551944821737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878.58022503739346</v>
      </c>
      <c r="F2382" s="38">
        <f t="shared" si="293"/>
        <v>0.25351634411065399</v>
      </c>
      <c r="G2382" s="14">
        <f t="shared" si="294"/>
        <v>0</v>
      </c>
      <c r="H2382" s="24">
        <f t="shared" si="300"/>
        <v>665.74788472157991</v>
      </c>
      <c r="I2382" s="12">
        <f t="shared" si="299"/>
        <v>0.23656098430084579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878.81678602169427</v>
      </c>
      <c r="F2383" s="38">
        <f t="shared" si="293"/>
        <v>0.25358995145345947</v>
      </c>
      <c r="G2383" s="14">
        <f t="shared" si="294"/>
        <v>0</v>
      </c>
      <c r="H2383" s="24">
        <f t="shared" si="300"/>
        <v>665.55464389128747</v>
      </c>
      <c r="I2383" s="12">
        <f t="shared" si="299"/>
        <v>0.23645623690041592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879.05324225859465</v>
      </c>
      <c r="F2384" s="38">
        <f t="shared" si="293"/>
        <v>0.25366333366114618</v>
      </c>
      <c r="G2384" s="14">
        <f t="shared" si="294"/>
        <v>0</v>
      </c>
      <c r="H2384" s="24">
        <f t="shared" si="300"/>
        <v>665.36210574081861</v>
      </c>
      <c r="I2384" s="12">
        <f t="shared" si="299"/>
        <v>0.23635127879934401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879.28959353739401</v>
      </c>
      <c r="F2385" s="38">
        <f t="shared" si="293"/>
        <v>0.25373649167839801</v>
      </c>
      <c r="G2385" s="14">
        <f t="shared" si="294"/>
        <v>0</v>
      </c>
      <c r="H2385" s="24">
        <f t="shared" si="300"/>
        <v>665.17026667152038</v>
      </c>
      <c r="I2385" s="12">
        <f t="shared" si="299"/>
        <v>0.23624611154152628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879.52583964893552</v>
      </c>
      <c r="F2386" s="38">
        <f t="shared" si="293"/>
        <v>0.25380942644500748</v>
      </c>
      <c r="G2386" s="14">
        <f t="shared" si="294"/>
        <v>0</v>
      </c>
      <c r="H2386" s="24">
        <f t="shared" si="300"/>
        <v>664.97912310827803</v>
      </c>
      <c r="I2386" s="12">
        <f t="shared" si="299"/>
        <v>0.23614073666239346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879.76198038559789</v>
      </c>
      <c r="F2387" s="38">
        <f t="shared" si="293"/>
        <v>0.25388213889590389</v>
      </c>
      <c r="G2387" s="14">
        <f t="shared" si="294"/>
        <v>0</v>
      </c>
      <c r="H2387" s="24">
        <f t="shared" si="300"/>
        <v>664.78867149932898</v>
      </c>
      <c r="I2387" s="12">
        <f t="shared" si="299"/>
        <v>0.2360351556889157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879.9980155412868</v>
      </c>
      <c r="F2388" s="38">
        <f t="shared" ref="F2388:F2451" si="301">Cp*RhoP/(RhoA*H2388)*dp/1000*MassivP</f>
        <v>0.25395462996118323</v>
      </c>
      <c r="G2388" s="14">
        <f t="shared" ref="G2388:G2451" si="302">Phi*EpsilonF*Botzman/10^8*J2388*((D2388+273)^4-(E2388+273)^4)</f>
        <v>0</v>
      </c>
      <c r="H2388" s="24">
        <f t="shared" si="300"/>
        <v>664.59890831607845</v>
      </c>
      <c r="I2388" s="12">
        <f t="shared" si="299"/>
        <v>0.23592937013974899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880.23394491142653</v>
      </c>
      <c r="F2389" s="38">
        <f t="shared" si="301"/>
        <v>0.25402690056613614</v>
      </c>
      <c r="G2389" s="14">
        <f t="shared" si="302"/>
        <v>0</v>
      </c>
      <c r="H2389" s="24">
        <f t="shared" si="300"/>
        <v>664.40983005291821</v>
      </c>
      <c r="I2389" s="12">
        <f t="shared" ref="I2389:I2452" si="307">LambdaP*MassivP/(dp/1000)/(H2389*RhoA)/(1+F2389/3)*(D2389-E2389)*DeltaT-(EXP(F2389/10)-1)*(D2389-D2388)</f>
        <v>0.23582338152517543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880.4697682929517</v>
      </c>
      <c r="F2390" s="38">
        <f t="shared" si="301"/>
        <v>0.25409895163127666</v>
      </c>
      <c r="G2390" s="14">
        <f t="shared" si="302"/>
        <v>0</v>
      </c>
      <c r="H2390" s="24">
        <f t="shared" si="300"/>
        <v>664.22143322704483</v>
      </c>
      <c r="I2390" s="12">
        <f t="shared" si="307"/>
        <v>0.23571719134723795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880.70548548429895</v>
      </c>
      <c r="F2391" s="38">
        <f t="shared" si="301"/>
        <v>0.25417078407237015</v>
      </c>
      <c r="G2391" s="14">
        <f t="shared" si="302"/>
        <v>0</v>
      </c>
      <c r="H2391" s="24">
        <f t="shared" si="300"/>
        <v>664.0337143782815</v>
      </c>
      <c r="I2391" s="12">
        <f t="shared" si="307"/>
        <v>0.23561080109973168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880.94109628539866</v>
      </c>
      <c r="F2392" s="38">
        <f t="shared" si="301"/>
        <v>0.25424239880046201</v>
      </c>
      <c r="G2392" s="14">
        <f t="shared" si="302"/>
        <v>0</v>
      </c>
      <c r="H2392" s="24">
        <f t="shared" si="300"/>
        <v>663.84667006890038</v>
      </c>
      <c r="I2392" s="12">
        <f t="shared" si="307"/>
        <v>0.23550421226828661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881.17660049766698</v>
      </c>
      <c r="F2393" s="38">
        <f t="shared" si="301"/>
        <v>0.25431379672190496</v>
      </c>
      <c r="G2393" s="14">
        <f t="shared" si="302"/>
        <v>0</v>
      </c>
      <c r="H2393" s="24">
        <f t="shared" si="300"/>
        <v>663.66029688344713</v>
      </c>
      <c r="I2393" s="12">
        <f t="shared" si="307"/>
        <v>0.23539742633038654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881.41199792399732</v>
      </c>
      <c r="F2394" s="38">
        <f t="shared" si="301"/>
        <v>0.25438497873838717</v>
      </c>
      <c r="G2394" s="14">
        <f t="shared" si="302"/>
        <v>0</v>
      </c>
      <c r="H2394" s="24">
        <f t="shared" si="300"/>
        <v>663.47459142856667</v>
      </c>
      <c r="I2394" s="12">
        <f t="shared" si="307"/>
        <v>0.23529044475545727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881.64728836875281</v>
      </c>
      <c r="F2395" s="38">
        <f t="shared" si="301"/>
        <v>0.25445594574695979</v>
      </c>
      <c r="G2395" s="14">
        <f t="shared" si="302"/>
        <v>0</v>
      </c>
      <c r="H2395" s="24">
        <f t="shared" si="300"/>
        <v>663.28955033283034</v>
      </c>
      <c r="I2395" s="12">
        <f t="shared" si="307"/>
        <v>0.23518326900485628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881.8824716377577</v>
      </c>
      <c r="F2396" s="38">
        <f t="shared" si="301"/>
        <v>0.25452669864006416</v>
      </c>
      <c r="G2396" s="14">
        <f t="shared" si="302"/>
        <v>0</v>
      </c>
      <c r="H2396" s="24">
        <f t="shared" si="300"/>
        <v>663.10517024656576</v>
      </c>
      <c r="I2396" s="12">
        <f t="shared" si="307"/>
        <v>0.23507590053198291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882.11754753828973</v>
      </c>
      <c r="F2397" s="38">
        <f t="shared" si="301"/>
        <v>0.25459723830555908</v>
      </c>
      <c r="G2397" s="14">
        <f t="shared" si="302"/>
        <v>0</v>
      </c>
      <c r="H2397" s="24">
        <f t="shared" si="300"/>
        <v>662.92144784168636</v>
      </c>
      <c r="I2397" s="12">
        <f t="shared" si="307"/>
        <v>0.23496834078229648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882.35251587907203</v>
      </c>
      <c r="F2398" s="38">
        <f t="shared" si="301"/>
        <v>0.25466756562674797</v>
      </c>
      <c r="G2398" s="14">
        <f t="shared" si="302"/>
        <v>0</v>
      </c>
      <c r="H2398" s="24">
        <f t="shared" si="300"/>
        <v>662.73837981152462</v>
      </c>
      <c r="I2398" s="12">
        <f t="shared" si="307"/>
        <v>0.23486059119333885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882.58737647026533</v>
      </c>
      <c r="F2399" s="38">
        <f t="shared" si="301"/>
        <v>0.25473768148240572</v>
      </c>
      <c r="G2399" s="14">
        <f t="shared" si="302"/>
        <v>0</v>
      </c>
      <c r="H2399" s="24">
        <f t="shared" si="300"/>
        <v>662.55596287066487</v>
      </c>
      <c r="I2399" s="12">
        <f t="shared" si="307"/>
        <v>0.23475265319480526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882.82212912346017</v>
      </c>
      <c r="F2400" s="38">
        <f t="shared" si="301"/>
        <v>0.25480758674680554</v>
      </c>
      <c r="G2400" s="14">
        <f t="shared" si="302"/>
        <v>0</v>
      </c>
      <c r="H2400" s="24">
        <f t="shared" si="300"/>
        <v>662.37419375477839</v>
      </c>
      <c r="I2400" s="12">
        <f t="shared" si="307"/>
        <v>0.23464452820861179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883.05677365166878</v>
      </c>
      <c r="F2401" s="38">
        <f t="shared" si="301"/>
        <v>0.25487728228974499</v>
      </c>
      <c r="G2401" s="14">
        <f t="shared" si="302"/>
        <v>0</v>
      </c>
      <c r="H2401" s="24">
        <f t="shared" si="300"/>
        <v>662.1930692204611</v>
      </c>
      <c r="I2401" s="12">
        <f t="shared" si="307"/>
        <v>0.23453621764887811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883.29130986931762</v>
      </c>
      <c r="F2402" s="38">
        <f t="shared" si="301"/>
        <v>0.25494676897657281</v>
      </c>
      <c r="G2402" s="14">
        <f t="shared" si="302"/>
        <v>0</v>
      </c>
      <c r="H2402" s="24">
        <f t="shared" si="300"/>
        <v>662.01258604507041</v>
      </c>
      <c r="I2402" s="12">
        <f t="shared" si="307"/>
        <v>0.23442772292207067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883.52573759223969</v>
      </c>
      <c r="F2403" s="38">
        <f t="shared" si="301"/>
        <v>0.25501604766821512</v>
      </c>
      <c r="G2403" s="14">
        <f t="shared" si="302"/>
        <v>0</v>
      </c>
      <c r="H2403" s="24">
        <f t="shared" si="300"/>
        <v>661.83274102656537</v>
      </c>
      <c r="I2403" s="12">
        <f t="shared" si="307"/>
        <v>0.234319045426926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883.76005663766659</v>
      </c>
      <c r="F2404" s="38">
        <f t="shared" si="301"/>
        <v>0.25508511922120125</v>
      </c>
      <c r="G2404" s="14">
        <f t="shared" si="302"/>
        <v>0</v>
      </c>
      <c r="H2404" s="24">
        <f t="shared" si="300"/>
        <v>661.65353098334776</v>
      </c>
      <c r="I2404" s="12">
        <f t="shared" si="307"/>
        <v>0.23421018655459444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883.9942668242212</v>
      </c>
      <c r="F2405" s="38">
        <f t="shared" si="301"/>
        <v>0.25515398448768978</v>
      </c>
      <c r="G2405" s="14">
        <f t="shared" si="302"/>
        <v>0</v>
      </c>
      <c r="H2405" s="24">
        <f t="shared" si="300"/>
        <v>661.47495275410438</v>
      </c>
      <c r="I2405" s="12">
        <f t="shared" si="307"/>
        <v>0.23410114768864337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884.22836797190985</v>
      </c>
      <c r="F2406" s="38">
        <f t="shared" si="301"/>
        <v>0.25522264431549396</v>
      </c>
      <c r="G2406" s="14">
        <f t="shared" si="302"/>
        <v>0</v>
      </c>
      <c r="H2406" s="24">
        <f t="shared" si="300"/>
        <v>661.29700319765072</v>
      </c>
      <c r="I2406" s="12">
        <f t="shared" si="307"/>
        <v>0.23399193020509054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884.46235990211494</v>
      </c>
      <c r="F2407" s="38">
        <f t="shared" si="301"/>
        <v>0.25529109954810764</v>
      </c>
      <c r="G2407" s="14">
        <f t="shared" si="302"/>
        <v>0</v>
      </c>
      <c r="H2407" s="24">
        <f t="shared" si="300"/>
        <v>661.11967919277652</v>
      </c>
      <c r="I2407" s="12">
        <f t="shared" si="307"/>
        <v>0.23388253547248747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884.69624243758744</v>
      </c>
      <c r="F2408" s="38">
        <f t="shared" si="301"/>
        <v>0.25535935102473034</v>
      </c>
      <c r="G2408" s="14">
        <f t="shared" si="302"/>
        <v>0</v>
      </c>
      <c r="H2408" s="24">
        <f t="shared" si="300"/>
        <v>660.9429776380922</v>
      </c>
      <c r="I2408" s="12">
        <f t="shared" si="307"/>
        <v>0.23377296485192867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884.93001540243938</v>
      </c>
      <c r="F2409" s="38">
        <f t="shared" si="301"/>
        <v>0.25542739958029276</v>
      </c>
      <c r="G2409" s="14">
        <f t="shared" si="302"/>
        <v>0</v>
      </c>
      <c r="H2409" s="24">
        <f t="shared" si="300"/>
        <v>660.76689545187685</v>
      </c>
      <c r="I2409" s="12">
        <f t="shared" si="307"/>
        <v>0.23366321969708945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885.16367862213644</v>
      </c>
      <c r="F2410" s="38">
        <f t="shared" si="301"/>
        <v>0.25549524604548152</v>
      </c>
      <c r="G2410" s="14">
        <f t="shared" si="302"/>
        <v>0</v>
      </c>
      <c r="H2410" s="24">
        <f t="shared" si="300"/>
        <v>660.59142957192785</v>
      </c>
      <c r="I2410" s="12">
        <f t="shared" si="307"/>
        <v>0.23355330135430927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885.39723192349072</v>
      </c>
      <c r="F2411" s="38">
        <f t="shared" si="301"/>
        <v>0.25556289124676435</v>
      </c>
      <c r="G2411" s="14">
        <f t="shared" si="302"/>
        <v>0</v>
      </c>
      <c r="H2411" s="24">
        <f t="shared" si="300"/>
        <v>660.41657695541096</v>
      </c>
      <c r="I2411" s="12">
        <f t="shared" si="307"/>
        <v>0.23344321116259972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885.6306751346533</v>
      </c>
      <c r="F2412" s="38">
        <f t="shared" si="301"/>
        <v>0.25563033600641466</v>
      </c>
      <c r="G2412" s="14">
        <f t="shared" si="302"/>
        <v>0</v>
      </c>
      <c r="H2412" s="24">
        <f t="shared" si="300"/>
        <v>660.2423345787131</v>
      </c>
      <c r="I2412" s="12">
        <f t="shared" si="307"/>
        <v>0.23333295045369262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885.864008085107</v>
      </c>
      <c r="F2413" s="38">
        <f t="shared" si="301"/>
        <v>0.25569758114253616</v>
      </c>
      <c r="G2413" s="14">
        <f t="shared" si="302"/>
        <v>0</v>
      </c>
      <c r="H2413" s="24">
        <f t="shared" si="300"/>
        <v>660.06869943729498</v>
      </c>
      <c r="I2413" s="12">
        <f t="shared" si="307"/>
        <v>0.23322252055210554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886.09723060565909</v>
      </c>
      <c r="F2414" s="38">
        <f t="shared" si="301"/>
        <v>0.2557646274690874</v>
      </c>
      <c r="G2414" s="14">
        <f t="shared" si="302"/>
        <v>0</v>
      </c>
      <c r="H2414" s="24">
        <f t="shared" si="300"/>
        <v>659.89566854554653</v>
      </c>
      <c r="I2414" s="12">
        <f t="shared" si="307"/>
        <v>0.23311192277513168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886.33034252843424</v>
      </c>
      <c r="F2415" s="38">
        <f t="shared" si="301"/>
        <v>0.25583147579590576</v>
      </c>
      <c r="G2415" s="14">
        <f t="shared" si="302"/>
        <v>0</v>
      </c>
      <c r="H2415" s="24">
        <f t="shared" si="300"/>
        <v>659.72323893664202</v>
      </c>
      <c r="I2415" s="12">
        <f t="shared" si="307"/>
        <v>0.23300115843295102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886.56334368686714</v>
      </c>
      <c r="F2416" s="38">
        <f t="shared" si="301"/>
        <v>0.25589812692873193</v>
      </c>
      <c r="G2416" s="14">
        <f t="shared" si="302"/>
        <v>0</v>
      </c>
      <c r="H2416" s="24">
        <f t="shared" si="300"/>
        <v>659.55140766239765</v>
      </c>
      <c r="I2416" s="12">
        <f t="shared" si="307"/>
        <v>0.23289022882861393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886.79623391569578</v>
      </c>
      <c r="F2417" s="38">
        <f t="shared" si="301"/>
        <v>0.25596458166923369</v>
      </c>
      <c r="G2417" s="14">
        <f t="shared" si="302"/>
        <v>0</v>
      </c>
      <c r="H2417" s="24">
        <f t="shared" si="300"/>
        <v>659.38017179313033</v>
      </c>
      <c r="I2417" s="12">
        <f t="shared" si="307"/>
        <v>0.23277913525810487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887.02901305095384</v>
      </c>
      <c r="F2418" s="38">
        <f t="shared" si="301"/>
        <v>0.2560308408150298</v>
      </c>
      <c r="G2418" s="14">
        <f t="shared" si="302"/>
        <v>0</v>
      </c>
      <c r="H2418" s="24">
        <f t="shared" si="300"/>
        <v>659.20952841751671</v>
      </c>
      <c r="I2418" s="12">
        <f t="shared" si="307"/>
        <v>0.23266787901040756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887.2616809299642</v>
      </c>
      <c r="F2419" s="38">
        <f t="shared" si="301"/>
        <v>0.25609690515971345</v>
      </c>
      <c r="G2419" s="14">
        <f t="shared" si="302"/>
        <v>0</v>
      </c>
      <c r="H2419" s="24">
        <f t="shared" si="300"/>
        <v>659.03947464245471</v>
      </c>
      <c r="I2419" s="12">
        <f t="shared" si="307"/>
        <v>0.23255646136746905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887.49423739133169</v>
      </c>
      <c r="F2420" s="38">
        <f t="shared" si="301"/>
        <v>0.25616277549287608</v>
      </c>
      <c r="G2420" s="14">
        <f t="shared" si="302"/>
        <v>0</v>
      </c>
      <c r="H2420" s="24">
        <f t="shared" si="300"/>
        <v>658.87000759292528</v>
      </c>
      <c r="I2420" s="12">
        <f t="shared" si="307"/>
        <v>0.23244488360436277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887.72668227493602</v>
      </c>
      <c r="F2421" s="38">
        <f t="shared" si="301"/>
        <v>0.25622845260013061</v>
      </c>
      <c r="G2421" s="14">
        <f t="shared" si="302"/>
        <v>0</v>
      </c>
      <c r="H2421" s="24">
        <f t="shared" si="300"/>
        <v>658.70112441185643</v>
      </c>
      <c r="I2421" s="12">
        <f t="shared" si="307"/>
        <v>0.2323331469891832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887.95901542192519</v>
      </c>
      <c r="F2422" s="38">
        <f t="shared" si="301"/>
        <v>0.2562939372631346</v>
      </c>
      <c r="G2422" s="14">
        <f t="shared" si="302"/>
        <v>0</v>
      </c>
      <c r="H2422" s="24">
        <f t="shared" si="300"/>
        <v>658.53282225998703</v>
      </c>
      <c r="I2422" s="12">
        <f t="shared" si="307"/>
        <v>0.23222125278321371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888.19123667470842</v>
      </c>
      <c r="F2423" s="38">
        <f t="shared" si="301"/>
        <v>0.25635923025961344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658.36509831573312</v>
      </c>
      <c r="I2423" s="12">
        <f t="shared" si="307"/>
        <v>0.23210920224088452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888.42334587694927</v>
      </c>
      <c r="F2424" s="38">
        <f t="shared" si="301"/>
        <v>0.25642433236338319</v>
      </c>
      <c r="G2424" s="14">
        <f t="shared" si="302"/>
        <v>0</v>
      </c>
      <c r="H2424" s="24">
        <f t="shared" si="308"/>
        <v>658.19794977505489</v>
      </c>
      <c r="I2424" s="12">
        <f t="shared" si="307"/>
        <v>0.23199699660986473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888.65534287355911</v>
      </c>
      <c r="F2425" s="38">
        <f t="shared" si="301"/>
        <v>0.25648924434437342</v>
      </c>
      <c r="G2425" s="14">
        <f t="shared" si="302"/>
        <v>0</v>
      </c>
      <c r="H2425" s="24">
        <f t="shared" si="308"/>
        <v>658.03137385132447</v>
      </c>
      <c r="I2425" s="12">
        <f t="shared" si="307"/>
        <v>0.23188463713105423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888.8872275106902</v>
      </c>
      <c r="F2426" s="38">
        <f t="shared" si="301"/>
        <v>0.25655396696864974</v>
      </c>
      <c r="G2426" s="14">
        <f t="shared" si="302"/>
        <v>0</v>
      </c>
      <c r="H2426" s="24">
        <f t="shared" si="308"/>
        <v>657.86536777519541</v>
      </c>
      <c r="I2426" s="12">
        <f t="shared" si="307"/>
        <v>0.23177212503864117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889.11899963572887</v>
      </c>
      <c r="F2427" s="38">
        <f t="shared" si="301"/>
        <v>0.25661850099843642</v>
      </c>
      <c r="G2427" s="14">
        <f t="shared" si="302"/>
        <v>0</v>
      </c>
      <c r="H2427" s="24">
        <f t="shared" si="308"/>
        <v>657.69992879447329</v>
      </c>
      <c r="I2427" s="12">
        <f t="shared" si="307"/>
        <v>0.2316594615601803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889.35065909728905</v>
      </c>
      <c r="F2428" s="38">
        <f t="shared" si="301"/>
        <v>0.25668284719213852</v>
      </c>
      <c r="G2428" s="14">
        <f t="shared" si="302"/>
        <v>0</v>
      </c>
      <c r="H2428" s="24">
        <f t="shared" si="308"/>
        <v>657.53505417398719</v>
      </c>
      <c r="I2428" s="12">
        <f t="shared" si="307"/>
        <v>0.23154664791655039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889.58220574520556</v>
      </c>
      <c r="F2429" s="38">
        <f t="shared" si="301"/>
        <v>0.25674700630436453</v>
      </c>
      <c r="G2429" s="14">
        <f t="shared" si="302"/>
        <v>0</v>
      </c>
      <c r="H2429" s="24">
        <f t="shared" si="308"/>
        <v>657.37074119546196</v>
      </c>
      <c r="I2429" s="12">
        <f t="shared" si="307"/>
        <v>0.23143368532206798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889.81363943052759</v>
      </c>
      <c r="F2430" s="38">
        <f t="shared" si="301"/>
        <v>0.25681097908594808</v>
      </c>
      <c r="G2430" s="14">
        <f t="shared" si="302"/>
        <v>0</v>
      </c>
      <c r="H2430" s="24">
        <f t="shared" si="308"/>
        <v>657.20698715739263</v>
      </c>
      <c r="I2430" s="12">
        <f t="shared" si="307"/>
        <v>0.2313205749844901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890.04496000551205</v>
      </c>
      <c r="F2431" s="38">
        <f t="shared" si="301"/>
        <v>0.25687476628396966</v>
      </c>
      <c r="G2431" s="14">
        <f t="shared" si="302"/>
        <v>0</v>
      </c>
      <c r="H2431" s="24">
        <f t="shared" si="308"/>
        <v>657.0437893749189</v>
      </c>
      <c r="I2431" s="12">
        <f t="shared" si="307"/>
        <v>0.23120731810504636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890.27616732361707</v>
      </c>
      <c r="F2432" s="38">
        <f t="shared" si="301"/>
        <v>0.25693836864177905</v>
      </c>
      <c r="G2432" s="14">
        <f t="shared" si="302"/>
        <v>0</v>
      </c>
      <c r="H2432" s="24">
        <f t="shared" si="308"/>
        <v>656.88114517970132</v>
      </c>
      <c r="I2432" s="12">
        <f t="shared" si="307"/>
        <v>0.23109391587849379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890.50726123949562</v>
      </c>
      <c r="F2433" s="38">
        <f t="shared" si="301"/>
        <v>0.25700178689901648</v>
      </c>
      <c r="G2433" s="14">
        <f t="shared" si="302"/>
        <v>0</v>
      </c>
      <c r="H2433" s="24">
        <f t="shared" si="308"/>
        <v>656.71905191979806</v>
      </c>
      <c r="I2433" s="12">
        <f t="shared" si="307"/>
        <v>0.23098036949315395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890.7382416089888</v>
      </c>
      <c r="F2434" s="38">
        <f t="shared" si="301"/>
        <v>0.25706502179163421</v>
      </c>
      <c r="G2434" s="14">
        <f t="shared" si="302"/>
        <v>0</v>
      </c>
      <c r="H2434" s="24">
        <f t="shared" si="308"/>
        <v>656.55750695954339</v>
      </c>
      <c r="I2434" s="12">
        <f t="shared" si="307"/>
        <v>0.23086668013092099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890.96910828911973</v>
      </c>
      <c r="F2435" s="38">
        <f t="shared" si="301"/>
        <v>0.25712807405191801</v>
      </c>
      <c r="G2435" s="14">
        <f t="shared" si="302"/>
        <v>0</v>
      </c>
      <c r="H2435" s="24">
        <f t="shared" si="308"/>
        <v>656.39650767942692</v>
      </c>
      <c r="I2435" s="12">
        <f t="shared" si="307"/>
        <v>0.23075284896735057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891.19986113808704</v>
      </c>
      <c r="F2436" s="38">
        <f t="shared" si="301"/>
        <v>0.25719094440850843</v>
      </c>
      <c r="G2436" s="14">
        <f t="shared" si="302"/>
        <v>0</v>
      </c>
      <c r="H2436" s="24">
        <f t="shared" si="308"/>
        <v>656.23605147597311</v>
      </c>
      <c r="I2436" s="12">
        <f t="shared" si="307"/>
        <v>0.23063887717163833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891.43050001525864</v>
      </c>
      <c r="F2437" s="38">
        <f t="shared" si="301"/>
        <v>0.25725363358642167</v>
      </c>
      <c r="G2437" s="14">
        <f t="shared" si="302"/>
        <v>0</v>
      </c>
      <c r="H2437" s="24">
        <f t="shared" si="308"/>
        <v>656.07613576162339</v>
      </c>
      <c r="I2437" s="12">
        <f t="shared" si="307"/>
        <v>0.23052476590670803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891.66102478116534</v>
      </c>
      <c r="F2438" s="38">
        <f t="shared" si="301"/>
        <v>0.25731614230707073</v>
      </c>
      <c r="G2438" s="14">
        <f t="shared" si="302"/>
        <v>0</v>
      </c>
      <c r="H2438" s="24">
        <f t="shared" si="308"/>
        <v>655.91675796461789</v>
      </c>
      <c r="I2438" s="12">
        <f t="shared" si="307"/>
        <v>0.23041051632920159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891.89143529749458</v>
      </c>
      <c r="F2439" s="38">
        <f t="shared" si="301"/>
        <v>0.25737847128828634</v>
      </c>
      <c r="G2439" s="14">
        <f t="shared" si="302"/>
        <v>0</v>
      </c>
      <c r="H2439" s="24">
        <f t="shared" si="308"/>
        <v>655.75791552887893</v>
      </c>
      <c r="I2439" s="12">
        <f t="shared" si="307"/>
        <v>0.23029612958955545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892.12173142708411</v>
      </c>
      <c r="F2440" s="38">
        <f t="shared" si="301"/>
        <v>0.25744062124433748</v>
      </c>
      <c r="G2440" s="14">
        <f t="shared" si="302"/>
        <v>0</v>
      </c>
      <c r="H2440" s="24">
        <f t="shared" si="308"/>
        <v>655.5996059138954</v>
      </c>
      <c r="I2440" s="12">
        <f t="shared" si="307"/>
        <v>0.23018160683200128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892.35191303391616</v>
      </c>
      <c r="F2441" s="38">
        <f t="shared" si="301"/>
        <v>0.25750259288595206</v>
      </c>
      <c r="G2441" s="14">
        <f t="shared" si="302"/>
        <v>0</v>
      </c>
      <c r="H2441" s="24">
        <f t="shared" si="308"/>
        <v>655.44182659460773</v>
      </c>
      <c r="I2441" s="12">
        <f t="shared" si="307"/>
        <v>0.23006694919463044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892.58197998311084</v>
      </c>
      <c r="F2442" s="38">
        <f t="shared" si="301"/>
        <v>0.25756438692033728</v>
      </c>
      <c r="G2442" s="14">
        <f t="shared" si="302"/>
        <v>0</v>
      </c>
      <c r="H2442" s="24">
        <f t="shared" si="308"/>
        <v>655.28457506129462</v>
      </c>
      <c r="I2442" s="12">
        <f t="shared" si="307"/>
        <v>0.2299521578094115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892.81193214092025</v>
      </c>
      <c r="F2443" s="38">
        <f t="shared" si="301"/>
        <v>0.2576260040511999</v>
      </c>
      <c r="G2443" s="14">
        <f t="shared" si="302"/>
        <v>0</v>
      </c>
      <c r="H2443" s="24">
        <f t="shared" si="308"/>
        <v>655.12784881946004</v>
      </c>
      <c r="I2443" s="12">
        <f t="shared" si="307"/>
        <v>0.22983723380223084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893.04176937472243</v>
      </c>
      <c r="F2444" s="38">
        <f t="shared" si="301"/>
        <v>0.25768744497876661</v>
      </c>
      <c r="G2444" s="14">
        <f t="shared" si="302"/>
        <v>0</v>
      </c>
      <c r="H2444" s="24">
        <f t="shared" si="308"/>
        <v>654.9716453897214</v>
      </c>
      <c r="I2444" s="12">
        <f t="shared" si="307"/>
        <v>0.22972217829291092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893.27149155301538</v>
      </c>
      <c r="F2445" s="38">
        <f t="shared" si="301"/>
        <v>0.25774871039980407</v>
      </c>
      <c r="G2445" s="14">
        <f t="shared" si="302"/>
        <v>0</v>
      </c>
      <c r="H2445" s="24">
        <f t="shared" si="308"/>
        <v>654.81596230769878</v>
      </c>
      <c r="I2445" s="12">
        <f t="shared" si="307"/>
        <v>0.22960699239530713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893.50109854541074</v>
      </c>
      <c r="F2446" s="38">
        <f t="shared" si="301"/>
        <v>0.25780980100763862</v>
      </c>
      <c r="G2446" s="14">
        <f t="shared" si="302"/>
        <v>0</v>
      </c>
      <c r="H2446" s="24">
        <f t="shared" si="308"/>
        <v>654.66079712390513</v>
      </c>
      <c r="I2446" s="12">
        <f t="shared" si="307"/>
        <v>0.22949167721723268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893.73059022262794</v>
      </c>
      <c r="F2447" s="38">
        <f t="shared" si="301"/>
        <v>0.25787071749217633</v>
      </c>
      <c r="G2447" s="14">
        <f t="shared" si="302"/>
        <v>0</v>
      </c>
      <c r="H2447" s="24">
        <f t="shared" si="308"/>
        <v>654.50614740363733</v>
      </c>
      <c r="I2447" s="12">
        <f t="shared" si="307"/>
        <v>0.22937623386059713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893.95996645648859</v>
      </c>
      <c r="F2448" s="38">
        <f t="shared" si="301"/>
        <v>0.25793146053992244</v>
      </c>
      <c r="G2448" s="14">
        <f t="shared" si="302"/>
        <v>0</v>
      </c>
      <c r="H2448" s="24">
        <f t="shared" si="308"/>
        <v>654.352010726868</v>
      </c>
      <c r="I2448" s="12">
        <f t="shared" si="307"/>
        <v>0.22926066342139359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894.18922711991002</v>
      </c>
      <c r="F2449" s="38">
        <f t="shared" si="301"/>
        <v>0.25799203083400113</v>
      </c>
      <c r="G2449" s="14">
        <f t="shared" si="302"/>
        <v>0</v>
      </c>
      <c r="H2449" s="24">
        <f t="shared" si="308"/>
        <v>654.19838468813884</v>
      </c>
      <c r="I2449" s="12">
        <f t="shared" si="307"/>
        <v>0.22914496698970904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894.41837208689969</v>
      </c>
      <c r="F2450" s="38">
        <f t="shared" si="301"/>
        <v>0.25805242905417491</v>
      </c>
      <c r="G2450" s="14">
        <f t="shared" si="302"/>
        <v>0</v>
      </c>
      <c r="H2450" s="24">
        <f t="shared" si="308"/>
        <v>654.045266896454</v>
      </c>
      <c r="I2450" s="12">
        <f t="shared" si="307"/>
        <v>0.22902914564983937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894.64740123254956</v>
      </c>
      <c r="F2451" s="38">
        <f t="shared" si="301"/>
        <v>0.25811265587686377</v>
      </c>
      <c r="G2451" s="14">
        <f t="shared" si="302"/>
        <v>0</v>
      </c>
      <c r="H2451" s="24">
        <f t="shared" si="308"/>
        <v>653.89265497517476</v>
      </c>
      <c r="I2451" s="12">
        <f t="shared" si="307"/>
        <v>0.22891320048020578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894.87631443302973</v>
      </c>
      <c r="F2452" s="38">
        <f t="shared" ref="F2452:F2515" si="309">Cp*RhoP/(RhoA*H2452)*dp/1000*MassivP</f>
        <v>0.25817271197516456</v>
      </c>
      <c r="G2452" s="14">
        <f t="shared" ref="G2452:G2515" si="310">Phi*EpsilonF*Botzman/10^8*J2452*((D2452+273)^4-(E2452+273)^4)</f>
        <v>0</v>
      </c>
      <c r="H2452" s="24">
        <f t="shared" si="308"/>
        <v>653.74054656191561</v>
      </c>
      <c r="I2452" s="12">
        <f t="shared" si="307"/>
        <v>0.22879713255350501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895.10511156558323</v>
      </c>
      <c r="F2453" s="38">
        <f t="shared" si="309"/>
        <v>0.25823259801886977</v>
      </c>
      <c r="G2453" s="14">
        <f t="shared" si="310"/>
        <v>0</v>
      </c>
      <c r="H2453" s="24">
        <f t="shared" si="308"/>
        <v>653.58893930844067</v>
      </c>
      <c r="I2453" s="12">
        <f t="shared" ref="I2453:I2516" si="315">LambdaP*MassivP/(dp/1000)/(H2453*RhoA)/(1+F2453/3)*(D2453-E2453)*DeltaT-(EXP(F2453/10)-1)*(D2453-D2452)</f>
        <v>0.22868094293665345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895.33379250851988</v>
      </c>
      <c r="F2454" s="38">
        <f t="shared" si="309"/>
        <v>0.25829231467448716</v>
      </c>
      <c r="G2454" s="14">
        <f t="shared" si="310"/>
        <v>0</v>
      </c>
      <c r="H2454" s="24">
        <f t="shared" si="308"/>
        <v>653.43783088056057</v>
      </c>
      <c r="I2454" s="12">
        <f t="shared" si="315"/>
        <v>0.22856463269085642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895.56235714121078</v>
      </c>
      <c r="F2455" s="38">
        <f t="shared" si="309"/>
        <v>0.25835186260525755</v>
      </c>
      <c r="G2455" s="14">
        <f t="shared" si="310"/>
        <v>0</v>
      </c>
      <c r="H2455" s="24">
        <f t="shared" si="308"/>
        <v>653.28721895803108</v>
      </c>
      <c r="I2455" s="12">
        <f t="shared" si="315"/>
        <v>0.22844820287167422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895.7908053440824</v>
      </c>
      <c r="F2456" s="38">
        <f t="shared" si="309"/>
        <v>0.25841124247117436</v>
      </c>
      <c r="G2456" s="14">
        <f t="shared" si="310"/>
        <v>0</v>
      </c>
      <c r="H2456" s="24">
        <f t="shared" si="308"/>
        <v>653.13710123445253</v>
      </c>
      <c r="I2456" s="12">
        <f t="shared" si="315"/>
        <v>0.22833165452897847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896.01913699861143</v>
      </c>
      <c r="F2457" s="38">
        <f t="shared" si="309"/>
        <v>0.25847045492900184</v>
      </c>
      <c r="G2457" s="14">
        <f t="shared" si="310"/>
        <v>0</v>
      </c>
      <c r="H2457" s="24">
        <f t="shared" si="308"/>
        <v>652.98747541716898</v>
      </c>
      <c r="I2457" s="12">
        <f t="shared" si="315"/>
        <v>0.22821498870703169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896.24735198731844</v>
      </c>
      <c r="F2458" s="38">
        <f t="shared" si="309"/>
        <v>0.25852950063229352</v>
      </c>
      <c r="G2458" s="14">
        <f t="shared" si="310"/>
        <v>0</v>
      </c>
      <c r="H2458" s="24">
        <f t="shared" si="308"/>
        <v>652.83833922716997</v>
      </c>
      <c r="I2458" s="12">
        <f t="shared" si="315"/>
        <v>0.22809820644453019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896.47545019376298</v>
      </c>
      <c r="F2459" s="38">
        <f t="shared" si="309"/>
        <v>0.25858838023141079</v>
      </c>
      <c r="G2459" s="14">
        <f t="shared" si="310"/>
        <v>0</v>
      </c>
      <c r="H2459" s="24">
        <f t="shared" si="308"/>
        <v>652.68969039899105</v>
      </c>
      <c r="I2459" s="12">
        <f t="shared" si="315"/>
        <v>0.22798130877459463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896.70343150253757</v>
      </c>
      <c r="F2460" s="38">
        <f t="shared" si="309"/>
        <v>0.25864709437354083</v>
      </c>
      <c r="G2460" s="14">
        <f t="shared" si="310"/>
        <v>0</v>
      </c>
      <c r="H2460" s="24">
        <f t="shared" si="308"/>
        <v>652.54152668061738</v>
      </c>
      <c r="I2460" s="12">
        <f t="shared" si="315"/>
        <v>0.22786429672484265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896.93129579926244</v>
      </c>
      <c r="F2461" s="38">
        <f t="shared" si="309"/>
        <v>0.25870564370271515</v>
      </c>
      <c r="G2461" s="14">
        <f t="shared" si="310"/>
        <v>0</v>
      </c>
      <c r="H2461" s="24">
        <f t="shared" si="308"/>
        <v>652.39384583338619</v>
      </c>
      <c r="I2461" s="12">
        <f t="shared" si="315"/>
        <v>0.22774717131740202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897.15904297057989</v>
      </c>
      <c r="F2462" s="38">
        <f t="shared" si="309"/>
        <v>0.25876402885982697</v>
      </c>
      <c r="G2462" s="14">
        <f t="shared" si="310"/>
        <v>0</v>
      </c>
      <c r="H2462" s="24">
        <f t="shared" si="308"/>
        <v>652.2466456318914</v>
      </c>
      <c r="I2462" s="12">
        <f t="shared" si="315"/>
        <v>0.22762993356890149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897.38667290414878</v>
      </c>
      <c r="F2463" s="38">
        <f t="shared" si="309"/>
        <v>0.25882225048264973</v>
      </c>
      <c r="G2463" s="14">
        <f t="shared" si="310"/>
        <v>0</v>
      </c>
      <c r="H2463" s="24">
        <f t="shared" si="308"/>
        <v>652.09992386388819</v>
      </c>
      <c r="I2463" s="12">
        <f t="shared" si="315"/>
        <v>0.2275125844906119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897.61418548863935</v>
      </c>
      <c r="F2464" s="38">
        <f t="shared" si="309"/>
        <v>0.25888030920585453</v>
      </c>
      <c r="G2464" s="14">
        <f t="shared" si="310"/>
        <v>0</v>
      </c>
      <c r="H2464" s="24">
        <f t="shared" si="308"/>
        <v>651.95367833019873</v>
      </c>
      <c r="I2464" s="12">
        <f t="shared" si="315"/>
        <v>0.22739512508833115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897.84158061372773</v>
      </c>
      <c r="F2465" s="38">
        <f t="shared" si="309"/>
        <v>0.25893820566102799</v>
      </c>
      <c r="G2465" s="14">
        <f t="shared" si="310"/>
        <v>0</v>
      </c>
      <c r="H2465" s="24">
        <f t="shared" si="308"/>
        <v>651.80790684461886</v>
      </c>
      <c r="I2465" s="12">
        <f t="shared" si="315"/>
        <v>0.22727755636254277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898.06885817009027</v>
      </c>
      <c r="F2466" s="38">
        <f t="shared" si="309"/>
        <v>0.25899594047668945</v>
      </c>
      <c r="G2466" s="14">
        <f t="shared" si="310"/>
        <v>0</v>
      </c>
      <c r="H2466" s="24">
        <f t="shared" si="308"/>
        <v>651.66260723382527</v>
      </c>
      <c r="I2466" s="12">
        <f t="shared" si="315"/>
        <v>0.22715987930836506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898.29601804939864</v>
      </c>
      <c r="F2467" s="38">
        <f t="shared" si="309"/>
        <v>0.25905351427830897</v>
      </c>
      <c r="G2467" s="14">
        <f t="shared" si="310"/>
        <v>0</v>
      </c>
      <c r="H2467" s="24">
        <f t="shared" si="308"/>
        <v>651.51777733728341</v>
      </c>
      <c r="I2467" s="12">
        <f t="shared" si="315"/>
        <v>0.22704209491562682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898.52306014431429</v>
      </c>
      <c r="F2468" s="38">
        <f t="shared" si="309"/>
        <v>0.25911092768832411</v>
      </c>
      <c r="G2468" s="14">
        <f t="shared" si="310"/>
        <v>0</v>
      </c>
      <c r="H2468" s="24">
        <f t="shared" si="308"/>
        <v>651.37341500715661</v>
      </c>
      <c r="I2468" s="12">
        <f t="shared" si="315"/>
        <v>0.22692420416885717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898.74998434848317</v>
      </c>
      <c r="F2469" s="38">
        <f t="shared" si="309"/>
        <v>0.25916818132615749</v>
      </c>
      <c r="G2469" s="14">
        <f t="shared" si="310"/>
        <v>0</v>
      </c>
      <c r="H2469" s="24">
        <f t="shared" si="308"/>
        <v>651.22951810821519</v>
      </c>
      <c r="I2469" s="12">
        <f t="shared" si="315"/>
        <v>0.22680620804736745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898.97679055653055</v>
      </c>
      <c r="F2470" s="38">
        <f t="shared" si="309"/>
        <v>0.2592252758082339</v>
      </c>
      <c r="G2470" s="14">
        <f t="shared" si="310"/>
        <v>0</v>
      </c>
      <c r="H2470" s="24">
        <f t="shared" si="308"/>
        <v>651.08608451774705</v>
      </c>
      <c r="I2470" s="12">
        <f t="shared" si="315"/>
        <v>0.22668810752520505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899.20347866405575</v>
      </c>
      <c r="F2471" s="38">
        <f t="shared" si="309"/>
        <v>0.25928221174799709</v>
      </c>
      <c r="G2471" s="14">
        <f t="shared" si="310"/>
        <v>0</v>
      </c>
      <c r="H2471" s="24">
        <f t="shared" si="308"/>
        <v>650.94311212546904</v>
      </c>
      <c r="I2471" s="12">
        <f t="shared" si="315"/>
        <v>0.22656990357129297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899.43004856762707</v>
      </c>
      <c r="F2472" s="38">
        <f t="shared" si="309"/>
        <v>0.2593389897559269</v>
      </c>
      <c r="G2472" s="14">
        <f t="shared" si="310"/>
        <v>0</v>
      </c>
      <c r="H2472" s="24">
        <f t="shared" si="308"/>
        <v>650.80059883343802</v>
      </c>
      <c r="I2472" s="12">
        <f t="shared" si="315"/>
        <v>0.22645159714933685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899.65650016477639</v>
      </c>
      <c r="F2473" s="38">
        <f t="shared" si="309"/>
        <v>0.25939561043955583</v>
      </c>
      <c r="G2473" s="14">
        <f t="shared" si="310"/>
        <v>0</v>
      </c>
      <c r="H2473" s="24">
        <f t="shared" si="308"/>
        <v>650.65854255596412</v>
      </c>
      <c r="I2473" s="12">
        <f t="shared" si="315"/>
        <v>0.22633318921791248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899.88283335399433</v>
      </c>
      <c r="F2474" s="38">
        <f t="shared" si="309"/>
        <v>0.25945207440348628</v>
      </c>
      <c r="G2474" s="14">
        <f t="shared" si="310"/>
        <v>0</v>
      </c>
      <c r="H2474" s="24">
        <f t="shared" si="308"/>
        <v>650.51694121952346</v>
      </c>
      <c r="I2474" s="12">
        <f t="shared" si="315"/>
        <v>0.22621468073055281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900.10904803472488</v>
      </c>
      <c r="F2475" s="38">
        <f t="shared" si="309"/>
        <v>0.25965841512925553</v>
      </c>
      <c r="G2475" s="14">
        <f t="shared" si="310"/>
        <v>0</v>
      </c>
      <c r="H2475" s="24">
        <f t="shared" si="308"/>
        <v>650</v>
      </c>
      <c r="I2475" s="12">
        <f t="shared" si="315"/>
        <v>0.22621628989547155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900.33526432462031</v>
      </c>
      <c r="F2476" s="38">
        <f t="shared" si="309"/>
        <v>0.25965841512925553</v>
      </c>
      <c r="G2476" s="14">
        <f t="shared" si="310"/>
        <v>0</v>
      </c>
      <c r="H2476" s="24">
        <f t="shared" si="308"/>
        <v>650</v>
      </c>
      <c r="I2476" s="12">
        <f t="shared" si="315"/>
        <v>0.22605241432534204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900.56131673894561</v>
      </c>
      <c r="F2477" s="38">
        <f t="shared" si="309"/>
        <v>0.25965841512925553</v>
      </c>
      <c r="G2477" s="14">
        <f t="shared" si="310"/>
        <v>0</v>
      </c>
      <c r="H2477" s="24">
        <f t="shared" si="308"/>
        <v>650</v>
      </c>
      <c r="I2477" s="12">
        <f t="shared" si="315"/>
        <v>0.22588867669569282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900.78720541564132</v>
      </c>
      <c r="F2478" s="38">
        <f t="shared" si="309"/>
        <v>0.25965841512925553</v>
      </c>
      <c r="G2478" s="14">
        <f t="shared" si="310"/>
        <v>0</v>
      </c>
      <c r="H2478" s="24">
        <f t="shared" si="308"/>
        <v>650</v>
      </c>
      <c r="I2478" s="12">
        <f t="shared" si="315"/>
        <v>0.22572507688992841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901.01293049253127</v>
      </c>
      <c r="F2479" s="38">
        <f t="shared" si="309"/>
        <v>0.25965841512925553</v>
      </c>
      <c r="G2479" s="14">
        <f t="shared" si="310"/>
        <v>0</v>
      </c>
      <c r="H2479" s="24">
        <f t="shared" si="308"/>
        <v>650</v>
      </c>
      <c r="I2479" s="12">
        <f t="shared" si="315"/>
        <v>0.22556161479149853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901.23849210732271</v>
      </c>
      <c r="F2480" s="38">
        <f t="shared" si="309"/>
        <v>0.25965841512925553</v>
      </c>
      <c r="G2480" s="14">
        <f t="shared" si="310"/>
        <v>0</v>
      </c>
      <c r="H2480" s="24">
        <f t="shared" si="308"/>
        <v>650</v>
      </c>
      <c r="I2480" s="12">
        <f t="shared" si="315"/>
        <v>0.22539829028401465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901.46389039760675</v>
      </c>
      <c r="F2481" s="38">
        <f t="shared" si="309"/>
        <v>0.25965841512925553</v>
      </c>
      <c r="G2481" s="14">
        <f t="shared" si="310"/>
        <v>0</v>
      </c>
      <c r="H2481" s="24">
        <f t="shared" si="308"/>
        <v>650</v>
      </c>
      <c r="I2481" s="12">
        <f t="shared" si="315"/>
        <v>0.22523510325110307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901.68912550085781</v>
      </c>
      <c r="F2482" s="38">
        <f t="shared" si="309"/>
        <v>0.25965841512925553</v>
      </c>
      <c r="G2482" s="14">
        <f t="shared" si="310"/>
        <v>0</v>
      </c>
      <c r="H2482" s="24">
        <f t="shared" si="308"/>
        <v>650</v>
      </c>
      <c r="I2482" s="12">
        <f t="shared" si="315"/>
        <v>0.2250720535765349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901.91419755443439</v>
      </c>
      <c r="F2483" s="38">
        <f t="shared" si="309"/>
        <v>0.25965841512925553</v>
      </c>
      <c r="G2483" s="14">
        <f t="shared" si="310"/>
        <v>0</v>
      </c>
      <c r="H2483" s="24">
        <f t="shared" si="308"/>
        <v>650</v>
      </c>
      <c r="I2483" s="12">
        <f t="shared" si="315"/>
        <v>0.22490914114414862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902.13910669557856</v>
      </c>
      <c r="F2484" s="38">
        <f t="shared" si="309"/>
        <v>0.25965841512925553</v>
      </c>
      <c r="G2484" s="14">
        <f t="shared" si="310"/>
        <v>0</v>
      </c>
      <c r="H2484" s="24">
        <f t="shared" si="308"/>
        <v>650</v>
      </c>
      <c r="I2484" s="12">
        <f t="shared" si="315"/>
        <v>0.22474636583786861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902.36385306141642</v>
      </c>
      <c r="F2485" s="38">
        <f t="shared" si="309"/>
        <v>0.25965841512925553</v>
      </c>
      <c r="G2485" s="14">
        <f t="shared" si="310"/>
        <v>0</v>
      </c>
      <c r="H2485" s="24">
        <f t="shared" si="308"/>
        <v>650</v>
      </c>
      <c r="I2485" s="12">
        <f t="shared" si="315"/>
        <v>0.22458372754172803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902.58843678895812</v>
      </c>
      <c r="F2486" s="38">
        <f t="shared" si="309"/>
        <v>0.25965841512925553</v>
      </c>
      <c r="G2486" s="14">
        <f t="shared" si="310"/>
        <v>0</v>
      </c>
      <c r="H2486" s="24">
        <f t="shared" si="308"/>
        <v>650</v>
      </c>
      <c r="I2486" s="12">
        <f t="shared" si="315"/>
        <v>0.22442122613982776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902.81285801509796</v>
      </c>
      <c r="F2487" s="38">
        <f t="shared" si="309"/>
        <v>0.25965841512925553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650</v>
      </c>
      <c r="I2487" s="12">
        <f t="shared" si="315"/>
        <v>0.22425886151638905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903.03711687661439</v>
      </c>
      <c r="F2488" s="38">
        <f t="shared" si="309"/>
        <v>0.25965841512925553</v>
      </c>
      <c r="G2488" s="14">
        <f t="shared" si="310"/>
        <v>0</v>
      </c>
      <c r="H2488" s="24">
        <f t="shared" si="316"/>
        <v>650</v>
      </c>
      <c r="I2488" s="12">
        <f t="shared" si="315"/>
        <v>0.22409663355567755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903.26121351017002</v>
      </c>
      <c r="F2489" s="38">
        <f t="shared" si="309"/>
        <v>0.25965841512925553</v>
      </c>
      <c r="G2489" s="14">
        <f t="shared" si="310"/>
        <v>0</v>
      </c>
      <c r="H2489" s="24">
        <f t="shared" si="316"/>
        <v>650</v>
      </c>
      <c r="I2489" s="12">
        <f t="shared" si="315"/>
        <v>0.22393454214210295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903.48514805231207</v>
      </c>
      <c r="F2490" s="38">
        <f t="shared" si="309"/>
        <v>0.25965841512925553</v>
      </c>
      <c r="G2490" s="14">
        <f t="shared" si="310"/>
        <v>0</v>
      </c>
      <c r="H2490" s="24">
        <f t="shared" si="316"/>
        <v>650</v>
      </c>
      <c r="I2490" s="12">
        <f t="shared" si="315"/>
        <v>0.22377258716012449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903.70892063947224</v>
      </c>
      <c r="F2491" s="38">
        <f t="shared" si="309"/>
        <v>0.25965841512925553</v>
      </c>
      <c r="G2491" s="14">
        <f t="shared" si="310"/>
        <v>0</v>
      </c>
      <c r="H2491" s="24">
        <f t="shared" si="316"/>
        <v>650</v>
      </c>
      <c r="I2491" s="12">
        <f t="shared" si="315"/>
        <v>0.22361076849429862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903.93253140796651</v>
      </c>
      <c r="F2492" s="38">
        <f t="shared" si="309"/>
        <v>0.25965841512925553</v>
      </c>
      <c r="G2492" s="14">
        <f t="shared" si="310"/>
        <v>0</v>
      </c>
      <c r="H2492" s="24">
        <f t="shared" si="316"/>
        <v>650</v>
      </c>
      <c r="I2492" s="12">
        <f t="shared" si="315"/>
        <v>0.22344908602930186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904.1559804939958</v>
      </c>
      <c r="F2493" s="38">
        <f t="shared" si="309"/>
        <v>0.25965841512925553</v>
      </c>
      <c r="G2493" s="14">
        <f t="shared" si="310"/>
        <v>0</v>
      </c>
      <c r="H2493" s="24">
        <f t="shared" si="316"/>
        <v>650</v>
      </c>
      <c r="I2493" s="12">
        <f t="shared" si="315"/>
        <v>0.22328753964985459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904.37926803364564</v>
      </c>
      <c r="F2494" s="38">
        <f t="shared" si="309"/>
        <v>0.25965841512925553</v>
      </c>
      <c r="G2494" s="14">
        <f t="shared" si="310"/>
        <v>0</v>
      </c>
      <c r="H2494" s="24">
        <f t="shared" si="316"/>
        <v>650</v>
      </c>
      <c r="I2494" s="12">
        <f t="shared" si="315"/>
        <v>0.22312612924080341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904.60239416288641</v>
      </c>
      <c r="F2495" s="38">
        <f t="shared" si="309"/>
        <v>0.25965841512925553</v>
      </c>
      <c r="G2495" s="14">
        <f t="shared" si="310"/>
        <v>0</v>
      </c>
      <c r="H2495" s="24">
        <f t="shared" si="316"/>
        <v>650</v>
      </c>
      <c r="I2495" s="12">
        <f t="shared" si="315"/>
        <v>0.22296485468705057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904.82535901757342</v>
      </c>
      <c r="F2496" s="38">
        <f t="shared" si="309"/>
        <v>0.25965841512925553</v>
      </c>
      <c r="G2496" s="14">
        <f t="shared" si="310"/>
        <v>0</v>
      </c>
      <c r="H2496" s="24">
        <f t="shared" si="316"/>
        <v>650</v>
      </c>
      <c r="I2496" s="12">
        <f t="shared" si="315"/>
        <v>0.22280371587363598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905.04816273344704</v>
      </c>
      <c r="F2497" s="38">
        <f t="shared" si="309"/>
        <v>0.25965841512925553</v>
      </c>
      <c r="G2497" s="14">
        <f t="shared" si="310"/>
        <v>0</v>
      </c>
      <c r="H2497" s="24">
        <f t="shared" si="316"/>
        <v>650</v>
      </c>
      <c r="I2497" s="12">
        <f t="shared" si="315"/>
        <v>0.22264271268564284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905.27080544613273</v>
      </c>
      <c r="F2498" s="38">
        <f t="shared" si="309"/>
        <v>0.25965841512925553</v>
      </c>
      <c r="G2498" s="14">
        <f t="shared" si="310"/>
        <v>0</v>
      </c>
      <c r="H2498" s="24">
        <f t="shared" si="316"/>
        <v>650</v>
      </c>
      <c r="I2498" s="12">
        <f t="shared" si="315"/>
        <v>0.22248184500826887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905.49328729114097</v>
      </c>
      <c r="F2499" s="38">
        <f t="shared" si="309"/>
        <v>0.25965841512925553</v>
      </c>
      <c r="G2499" s="14">
        <f t="shared" si="310"/>
        <v>0</v>
      </c>
      <c r="H2499" s="24">
        <f t="shared" si="316"/>
        <v>650</v>
      </c>
      <c r="I2499" s="12">
        <f t="shared" si="315"/>
        <v>0.2223211127267907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905.7156084038678</v>
      </c>
      <c r="F2500" s="38">
        <f t="shared" si="309"/>
        <v>0.25965841512925553</v>
      </c>
      <c r="G2500" s="14">
        <f t="shared" si="310"/>
        <v>0</v>
      </c>
      <c r="H2500" s="24">
        <f t="shared" si="316"/>
        <v>650</v>
      </c>
      <c r="I2500" s="12">
        <f t="shared" si="315"/>
        <v>0.22216051572658113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905.93776891959442</v>
      </c>
      <c r="F2501" s="38">
        <f t="shared" si="309"/>
        <v>0.25965841512925553</v>
      </c>
      <c r="G2501" s="14">
        <f t="shared" si="310"/>
        <v>0</v>
      </c>
      <c r="H2501" s="24">
        <f t="shared" si="316"/>
        <v>650</v>
      </c>
      <c r="I2501" s="12">
        <f t="shared" si="315"/>
        <v>0.22200005389310357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906.15976897348753</v>
      </c>
      <c r="F2502" s="38">
        <f t="shared" si="309"/>
        <v>0.25965841512925553</v>
      </c>
      <c r="G2502" s="14">
        <f t="shared" si="310"/>
        <v>0</v>
      </c>
      <c r="H2502" s="24">
        <f t="shared" si="316"/>
        <v>650</v>
      </c>
      <c r="I2502" s="12">
        <f t="shared" si="315"/>
        <v>0.22183972711190589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906.38160870059949</v>
      </c>
      <c r="F2503" s="38">
        <f t="shared" si="309"/>
        <v>0.25965841512925553</v>
      </c>
      <c r="G2503" s="14">
        <f t="shared" si="310"/>
        <v>0</v>
      </c>
      <c r="H2503" s="24">
        <f t="shared" si="316"/>
        <v>650</v>
      </c>
      <c r="I2503" s="12">
        <f t="shared" si="315"/>
        <v>0.22167953526862622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906.60328823586815</v>
      </c>
      <c r="F2504" s="38">
        <f t="shared" si="309"/>
        <v>0.25965841512925553</v>
      </c>
      <c r="G2504" s="14">
        <f t="shared" si="310"/>
        <v>0</v>
      </c>
      <c r="H2504" s="24">
        <f t="shared" si="316"/>
        <v>650</v>
      </c>
      <c r="I2504" s="12">
        <f t="shared" si="315"/>
        <v>0.22151947824898743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906.82480771411713</v>
      </c>
      <c r="F2505" s="38">
        <f t="shared" si="309"/>
        <v>0.25965841512925553</v>
      </c>
      <c r="G2505" s="14">
        <f t="shared" si="310"/>
        <v>0</v>
      </c>
      <c r="H2505" s="24">
        <f t="shared" si="316"/>
        <v>650</v>
      </c>
      <c r="I2505" s="12">
        <f t="shared" si="315"/>
        <v>0.22135955593882017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907.046167270056</v>
      </c>
      <c r="F2506" s="38">
        <f t="shared" si="309"/>
        <v>0.25965841512925553</v>
      </c>
      <c r="G2506" s="14">
        <f t="shared" si="310"/>
        <v>0</v>
      </c>
      <c r="H2506" s="24">
        <f t="shared" si="316"/>
        <v>650</v>
      </c>
      <c r="I2506" s="12">
        <f t="shared" si="315"/>
        <v>0.22119976822401002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907.26736703827999</v>
      </c>
      <c r="F2507" s="38">
        <f t="shared" si="309"/>
        <v>0.25965841512925553</v>
      </c>
      <c r="G2507" s="14">
        <f t="shared" si="310"/>
        <v>0</v>
      </c>
      <c r="H2507" s="24">
        <f t="shared" si="316"/>
        <v>650</v>
      </c>
      <c r="I2507" s="12">
        <f t="shared" si="315"/>
        <v>0.22104011499057979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907.4884071532706</v>
      </c>
      <c r="F2508" s="38">
        <f t="shared" si="309"/>
        <v>0.25965841512925553</v>
      </c>
      <c r="G2508" s="14">
        <f t="shared" si="310"/>
        <v>0</v>
      </c>
      <c r="H2508" s="24">
        <f t="shared" si="316"/>
        <v>650</v>
      </c>
      <c r="I2508" s="12">
        <f t="shared" si="315"/>
        <v>0.22088059612459524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907.70928774939523</v>
      </c>
      <c r="F2509" s="38">
        <f t="shared" si="309"/>
        <v>0.25965841512925553</v>
      </c>
      <c r="G2509" s="14">
        <f t="shared" si="310"/>
        <v>0</v>
      </c>
      <c r="H2509" s="24">
        <f t="shared" si="316"/>
        <v>650</v>
      </c>
      <c r="I2509" s="12">
        <f t="shared" si="315"/>
        <v>0.22072121151223004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907.93000896090746</v>
      </c>
      <c r="F2510" s="38">
        <f t="shared" si="309"/>
        <v>0.25965841512925553</v>
      </c>
      <c r="G2510" s="14">
        <f t="shared" si="310"/>
        <v>0</v>
      </c>
      <c r="H2510" s="24">
        <f t="shared" si="316"/>
        <v>650</v>
      </c>
      <c r="I2510" s="12">
        <f t="shared" si="315"/>
        <v>0.22056196103976544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908.15057092194718</v>
      </c>
      <c r="F2511" s="38">
        <f t="shared" si="309"/>
        <v>0.25965841512925553</v>
      </c>
      <c r="G2511" s="14">
        <f t="shared" si="310"/>
        <v>0</v>
      </c>
      <c r="H2511" s="24">
        <f t="shared" si="316"/>
        <v>650</v>
      </c>
      <c r="I2511" s="12">
        <f t="shared" si="315"/>
        <v>0.22040284459353721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908.37097376654071</v>
      </c>
      <c r="F2512" s="38">
        <f t="shared" si="309"/>
        <v>0.25965841512925553</v>
      </c>
      <c r="G2512" s="14">
        <f t="shared" si="310"/>
        <v>0</v>
      </c>
      <c r="H2512" s="24">
        <f t="shared" si="316"/>
        <v>650</v>
      </c>
      <c r="I2512" s="12">
        <f t="shared" si="315"/>
        <v>0.22024386205997737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908.5912176286007</v>
      </c>
      <c r="F2513" s="38">
        <f t="shared" si="309"/>
        <v>0.25965841512925553</v>
      </c>
      <c r="G2513" s="14">
        <f t="shared" si="310"/>
        <v>0</v>
      </c>
      <c r="H2513" s="24">
        <f t="shared" si="316"/>
        <v>650</v>
      </c>
      <c r="I2513" s="12">
        <f t="shared" si="315"/>
        <v>0.22008501332565428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908.81130264192632</v>
      </c>
      <c r="F2514" s="38">
        <f t="shared" si="309"/>
        <v>0.25965841512925553</v>
      </c>
      <c r="G2514" s="14">
        <f t="shared" si="310"/>
        <v>0</v>
      </c>
      <c r="H2514" s="24">
        <f t="shared" si="316"/>
        <v>650</v>
      </c>
      <c r="I2514" s="12">
        <f t="shared" si="315"/>
        <v>0.21992629827714408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909.0312289402035</v>
      </c>
      <c r="F2515" s="38">
        <f t="shared" si="309"/>
        <v>0.25965841512925553</v>
      </c>
      <c r="G2515" s="14">
        <f t="shared" si="310"/>
        <v>0</v>
      </c>
      <c r="H2515" s="24">
        <f t="shared" si="316"/>
        <v>650</v>
      </c>
      <c r="I2515" s="12">
        <f t="shared" si="315"/>
        <v>0.21976771680118315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909.25099665700463</v>
      </c>
      <c r="F2516" s="38">
        <f t="shared" ref="F2516:F2579" si="317">Cp*RhoP/(RhoA*H2516)*dp/1000*MassivP</f>
        <v>0.25965841512925553</v>
      </c>
      <c r="G2516" s="14">
        <f t="shared" ref="G2516:G2579" si="318">Phi*EpsilonF*Botzman/10^8*J2516*((D2516+273)^4-(E2516+273)^4)</f>
        <v>0</v>
      </c>
      <c r="H2516" s="24">
        <f t="shared" si="316"/>
        <v>650</v>
      </c>
      <c r="I2516" s="12">
        <f t="shared" si="315"/>
        <v>0.21960926878453918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909.47060592578919</v>
      </c>
      <c r="F2517" s="38">
        <f t="shared" si="317"/>
        <v>0.25965841512925553</v>
      </c>
      <c r="G2517" s="14">
        <f t="shared" si="318"/>
        <v>0</v>
      </c>
      <c r="H2517" s="24">
        <f t="shared" si="316"/>
        <v>650</v>
      </c>
      <c r="I2517" s="12">
        <f t="shared" ref="I2517:I2580" si="323">LambdaP*MassivP/(dp/1000)/(H2517*RhoA)/(1+F2517/3)*(D2517-E2517)*DeltaT-(EXP(F2517/10)-1)*(D2517-D2516)</f>
        <v>0.21945095411413945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909.6900568799033</v>
      </c>
      <c r="F2518" s="38">
        <f t="shared" si="317"/>
        <v>0.25965841512925553</v>
      </c>
      <c r="G2518" s="14">
        <f t="shared" si="318"/>
        <v>0</v>
      </c>
      <c r="H2518" s="24">
        <f t="shared" si="316"/>
        <v>650</v>
      </c>
      <c r="I2518" s="12">
        <f t="shared" si="323"/>
        <v>0.21929277267691877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909.9093496525802</v>
      </c>
      <c r="F2519" s="38">
        <f t="shared" si="317"/>
        <v>0.25965841512925553</v>
      </c>
      <c r="G2519" s="14">
        <f t="shared" si="318"/>
        <v>0</v>
      </c>
      <c r="H2519" s="24">
        <f t="shared" si="316"/>
        <v>650</v>
      </c>
      <c r="I2519" s="12">
        <f t="shared" si="323"/>
        <v>0.21913472435995468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910.12848437694015</v>
      </c>
      <c r="F2520" s="38">
        <f t="shared" si="317"/>
        <v>0.25965841512925553</v>
      </c>
      <c r="G2520" s="14">
        <f t="shared" si="318"/>
        <v>0</v>
      </c>
      <c r="H2520" s="24">
        <f t="shared" si="316"/>
        <v>650</v>
      </c>
      <c r="I2520" s="12">
        <f t="shared" si="323"/>
        <v>0.21897680905040795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910.3474611859906</v>
      </c>
      <c r="F2521" s="38">
        <f t="shared" si="317"/>
        <v>0.25965841512925553</v>
      </c>
      <c r="G2521" s="14">
        <f t="shared" si="318"/>
        <v>0</v>
      </c>
      <c r="H2521" s="24">
        <f t="shared" si="316"/>
        <v>650</v>
      </c>
      <c r="I2521" s="12">
        <f t="shared" si="323"/>
        <v>0.21881902663550529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910.56628021262611</v>
      </c>
      <c r="F2522" s="38">
        <f t="shared" si="317"/>
        <v>0.25965841512925553</v>
      </c>
      <c r="G2522" s="14">
        <f t="shared" si="318"/>
        <v>0</v>
      </c>
      <c r="H2522" s="24">
        <f t="shared" si="316"/>
        <v>650</v>
      </c>
      <c r="I2522" s="12">
        <f t="shared" si="323"/>
        <v>0.21866137700256913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910.78494158962872</v>
      </c>
      <c r="F2523" s="38">
        <f t="shared" si="317"/>
        <v>0.25965841512925553</v>
      </c>
      <c r="G2523" s="14">
        <f t="shared" si="318"/>
        <v>0</v>
      </c>
      <c r="H2523" s="24">
        <f t="shared" si="316"/>
        <v>650</v>
      </c>
      <c r="I2523" s="12">
        <f t="shared" si="323"/>
        <v>0.21850386003902292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911.00344544966777</v>
      </c>
      <c r="F2524" s="38">
        <f t="shared" si="317"/>
        <v>0.25965841512925553</v>
      </c>
      <c r="G2524" s="14">
        <f t="shared" si="318"/>
        <v>0</v>
      </c>
      <c r="H2524" s="24">
        <f t="shared" si="316"/>
        <v>650</v>
      </c>
      <c r="I2524" s="12">
        <f t="shared" si="323"/>
        <v>0.21834647563237339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911.22179192530018</v>
      </c>
      <c r="F2525" s="38">
        <f t="shared" si="317"/>
        <v>0.25965841512925553</v>
      </c>
      <c r="G2525" s="14">
        <f t="shared" si="318"/>
        <v>0</v>
      </c>
      <c r="H2525" s="24">
        <f t="shared" si="316"/>
        <v>650</v>
      </c>
      <c r="I2525" s="12">
        <f t="shared" si="323"/>
        <v>0.21818922367022783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911.43998114897045</v>
      </c>
      <c r="F2526" s="38">
        <f t="shared" si="317"/>
        <v>0.25965841512925553</v>
      </c>
      <c r="G2526" s="14">
        <f t="shared" si="318"/>
        <v>0</v>
      </c>
      <c r="H2526" s="24">
        <f t="shared" si="316"/>
        <v>650</v>
      </c>
      <c r="I2526" s="12">
        <f t="shared" si="323"/>
        <v>0.21803210404024195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911.65801325301072</v>
      </c>
      <c r="F2527" s="38">
        <f t="shared" si="317"/>
        <v>0.25965841512925553</v>
      </c>
      <c r="G2527" s="14">
        <f t="shared" si="318"/>
        <v>0</v>
      </c>
      <c r="H2527" s="24">
        <f t="shared" si="316"/>
        <v>650</v>
      </c>
      <c r="I2527" s="12">
        <f t="shared" si="323"/>
        <v>0.21787511663019038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911.87588836964096</v>
      </c>
      <c r="F2528" s="38">
        <f t="shared" si="317"/>
        <v>0.25965841512925553</v>
      </c>
      <c r="G2528" s="14">
        <f t="shared" si="318"/>
        <v>0</v>
      </c>
      <c r="H2528" s="24">
        <f t="shared" si="316"/>
        <v>650</v>
      </c>
      <c r="I2528" s="12">
        <f t="shared" si="323"/>
        <v>0.21771826132794223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912.09360663096891</v>
      </c>
      <c r="F2529" s="38">
        <f t="shared" si="317"/>
        <v>0.25965841512925553</v>
      </c>
      <c r="G2529" s="14">
        <f t="shared" si="318"/>
        <v>0</v>
      </c>
      <c r="H2529" s="24">
        <f t="shared" si="316"/>
        <v>650</v>
      </c>
      <c r="I2529" s="12">
        <f t="shared" si="323"/>
        <v>0.21756153802142655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912.31116816899032</v>
      </c>
      <c r="F2530" s="38">
        <f t="shared" si="317"/>
        <v>0.25965841512925553</v>
      </c>
      <c r="G2530" s="14">
        <f t="shared" si="318"/>
        <v>0</v>
      </c>
      <c r="H2530" s="24">
        <f t="shared" si="316"/>
        <v>650</v>
      </c>
      <c r="I2530" s="12">
        <f t="shared" si="323"/>
        <v>0.2174049465987023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912.52857311558898</v>
      </c>
      <c r="F2531" s="38">
        <f t="shared" si="317"/>
        <v>0.25965841512925553</v>
      </c>
      <c r="G2531" s="14">
        <f t="shared" si="318"/>
        <v>0</v>
      </c>
      <c r="H2531" s="24">
        <f t="shared" si="316"/>
        <v>650</v>
      </c>
      <c r="I2531" s="12">
        <f t="shared" si="323"/>
        <v>0.21724848694787011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912.74582160253681</v>
      </c>
      <c r="F2532" s="38">
        <f t="shared" si="317"/>
        <v>0.25965841512925553</v>
      </c>
      <c r="G2532" s="14">
        <f t="shared" si="318"/>
        <v>0</v>
      </c>
      <c r="H2532" s="24">
        <f t="shared" si="316"/>
        <v>650</v>
      </c>
      <c r="I2532" s="12">
        <f t="shared" si="323"/>
        <v>0.21709215895713788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912.96291376149395</v>
      </c>
      <c r="F2533" s="38">
        <f t="shared" si="317"/>
        <v>0.25965841512925553</v>
      </c>
      <c r="G2533" s="14">
        <f t="shared" si="318"/>
        <v>0</v>
      </c>
      <c r="H2533" s="24">
        <f t="shared" si="316"/>
        <v>650</v>
      </c>
      <c r="I2533" s="12">
        <f t="shared" si="323"/>
        <v>0.21693596251482511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913.17984972400882</v>
      </c>
      <c r="F2534" s="38">
        <f t="shared" si="317"/>
        <v>0.25965841512925553</v>
      </c>
      <c r="G2534" s="14">
        <f t="shared" si="318"/>
        <v>0</v>
      </c>
      <c r="H2534" s="24">
        <f t="shared" si="316"/>
        <v>650</v>
      </c>
      <c r="I2534" s="12">
        <f t="shared" si="323"/>
        <v>0.21677989750928181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913.39662962151806</v>
      </c>
      <c r="F2535" s="38">
        <f t="shared" si="317"/>
        <v>0.25965841512925553</v>
      </c>
      <c r="G2535" s="14">
        <f t="shared" si="318"/>
        <v>0</v>
      </c>
      <c r="H2535" s="24">
        <f t="shared" si="316"/>
        <v>650</v>
      </c>
      <c r="I2535" s="12">
        <f t="shared" si="323"/>
        <v>0.21662396382902305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913.61325358534714</v>
      </c>
      <c r="F2536" s="38">
        <f t="shared" si="317"/>
        <v>0.25965841512925553</v>
      </c>
      <c r="G2536" s="14">
        <f t="shared" si="318"/>
        <v>0</v>
      </c>
      <c r="H2536" s="24">
        <f t="shared" si="316"/>
        <v>650</v>
      </c>
      <c r="I2536" s="12">
        <f t="shared" si="323"/>
        <v>0.21646816136258143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913.82972174670977</v>
      </c>
      <c r="F2537" s="38">
        <f t="shared" si="317"/>
        <v>0.25965841512925553</v>
      </c>
      <c r="G2537" s="14">
        <f t="shared" si="318"/>
        <v>0</v>
      </c>
      <c r="H2537" s="24">
        <f t="shared" si="316"/>
        <v>650</v>
      </c>
      <c r="I2537" s="12">
        <f t="shared" si="323"/>
        <v>0.21631248999861433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914.04603423670835</v>
      </c>
      <c r="F2538" s="38">
        <f t="shared" si="317"/>
        <v>0.25965841512925553</v>
      </c>
      <c r="G2538" s="14">
        <f t="shared" si="318"/>
        <v>0</v>
      </c>
      <c r="H2538" s="24">
        <f t="shared" si="316"/>
        <v>650</v>
      </c>
      <c r="I2538" s="12">
        <f t="shared" si="323"/>
        <v>0.21615694962584972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914.26219118633423</v>
      </c>
      <c r="F2539" s="38">
        <f t="shared" si="317"/>
        <v>0.25965841512925553</v>
      </c>
      <c r="G2539" s="14">
        <f t="shared" si="318"/>
        <v>0</v>
      </c>
      <c r="H2539" s="24">
        <f t="shared" si="316"/>
        <v>650</v>
      </c>
      <c r="I2539" s="12">
        <f t="shared" si="323"/>
        <v>0.2160015401331275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914.47819272646734</v>
      </c>
      <c r="F2540" s="38">
        <f t="shared" si="317"/>
        <v>0.25965841512925553</v>
      </c>
      <c r="G2540" s="14">
        <f t="shared" si="318"/>
        <v>0</v>
      </c>
      <c r="H2540" s="24">
        <f t="shared" si="316"/>
        <v>650</v>
      </c>
      <c r="I2540" s="12">
        <f t="shared" si="323"/>
        <v>0.21584626140935248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914.69403898787664</v>
      </c>
      <c r="F2541" s="38">
        <f t="shared" si="317"/>
        <v>0.25965841512925553</v>
      </c>
      <c r="G2541" s="14">
        <f t="shared" si="318"/>
        <v>0</v>
      </c>
      <c r="H2541" s="24">
        <f t="shared" si="316"/>
        <v>650</v>
      </c>
      <c r="I2541" s="12">
        <f t="shared" si="323"/>
        <v>0.21569111334351226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914.90973010122013</v>
      </c>
      <c r="F2542" s="38">
        <f t="shared" si="317"/>
        <v>0.25965841512925553</v>
      </c>
      <c r="G2542" s="14">
        <f t="shared" si="318"/>
        <v>0</v>
      </c>
      <c r="H2542" s="24">
        <f t="shared" si="316"/>
        <v>650</v>
      </c>
      <c r="I2542" s="12">
        <f t="shared" si="323"/>
        <v>0.215536095824712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915.12526619704488</v>
      </c>
      <c r="F2543" s="38">
        <f t="shared" si="317"/>
        <v>0.25965841512925553</v>
      </c>
      <c r="G2543" s="14">
        <f t="shared" si="318"/>
        <v>0</v>
      </c>
      <c r="H2543" s="24">
        <f t="shared" si="316"/>
        <v>650</v>
      </c>
      <c r="I2543" s="12">
        <f t="shared" si="323"/>
        <v>0.21538120874211564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915.34064740578697</v>
      </c>
      <c r="F2544" s="38">
        <f t="shared" si="317"/>
        <v>0.25965841512925553</v>
      </c>
      <c r="G2544" s="14">
        <f t="shared" si="318"/>
        <v>0</v>
      </c>
      <c r="H2544" s="24">
        <f t="shared" si="316"/>
        <v>650</v>
      </c>
      <c r="I2544" s="12">
        <f t="shared" si="323"/>
        <v>0.21522645198497595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915.55587385777199</v>
      </c>
      <c r="F2545" s="38">
        <f t="shared" si="317"/>
        <v>0.25965841512925553</v>
      </c>
      <c r="G2545" s="14">
        <f t="shared" si="318"/>
        <v>0</v>
      </c>
      <c r="H2545" s="24">
        <f t="shared" si="316"/>
        <v>650</v>
      </c>
      <c r="I2545" s="12">
        <f t="shared" si="323"/>
        <v>0.21507182544265693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915.77094568321468</v>
      </c>
      <c r="F2546" s="38">
        <f t="shared" si="317"/>
        <v>0.25965841512925553</v>
      </c>
      <c r="G2546" s="14">
        <f t="shared" si="318"/>
        <v>0</v>
      </c>
      <c r="H2546" s="24">
        <f t="shared" si="316"/>
        <v>650</v>
      </c>
      <c r="I2546" s="12">
        <f t="shared" si="323"/>
        <v>0.21491732900458735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915.98586301221928</v>
      </c>
      <c r="F2547" s="38">
        <f t="shared" si="317"/>
        <v>0.25965841512925553</v>
      </c>
      <c r="G2547" s="14">
        <f t="shared" si="318"/>
        <v>0</v>
      </c>
      <c r="H2547" s="24">
        <f t="shared" si="316"/>
        <v>650</v>
      </c>
      <c r="I2547" s="12">
        <f t="shared" si="323"/>
        <v>0.21476296256030153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916.20062597477954</v>
      </c>
      <c r="F2548" s="38">
        <f t="shared" si="317"/>
        <v>0.25965841512925553</v>
      </c>
      <c r="G2548" s="14">
        <f t="shared" si="318"/>
        <v>0</v>
      </c>
      <c r="H2548" s="24">
        <f t="shared" si="316"/>
        <v>650</v>
      </c>
      <c r="I2548" s="12">
        <f t="shared" si="323"/>
        <v>0.21460872599937539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916.41523470077891</v>
      </c>
      <c r="F2549" s="38">
        <f t="shared" si="317"/>
        <v>0.25965841512925553</v>
      </c>
      <c r="G2549" s="14">
        <f t="shared" si="318"/>
        <v>0</v>
      </c>
      <c r="H2549" s="24">
        <f t="shared" si="316"/>
        <v>650</v>
      </c>
      <c r="I2549" s="12">
        <f t="shared" si="323"/>
        <v>0.21445461921155459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916.62968931999046</v>
      </c>
      <c r="F2550" s="38">
        <f t="shared" si="317"/>
        <v>0.25965841512925553</v>
      </c>
      <c r="G2550" s="14">
        <f t="shared" si="318"/>
        <v>0</v>
      </c>
      <c r="H2550" s="24">
        <f t="shared" si="316"/>
        <v>650</v>
      </c>
      <c r="I2550" s="12">
        <f t="shared" si="323"/>
        <v>0.21430064208657887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916.84398996207699</v>
      </c>
      <c r="F2551" s="38">
        <f t="shared" si="317"/>
        <v>0.25965841512925553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650</v>
      </c>
      <c r="I2551" s="12">
        <f t="shared" si="323"/>
        <v>0.21414679451435814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917.05813675659135</v>
      </c>
      <c r="F2552" s="38">
        <f t="shared" si="317"/>
        <v>0.25965841512925553</v>
      </c>
      <c r="G2552" s="14">
        <f t="shared" si="318"/>
        <v>0</v>
      </c>
      <c r="H2552" s="24">
        <f t="shared" si="324"/>
        <v>650</v>
      </c>
      <c r="I2552" s="12">
        <f t="shared" si="323"/>
        <v>0.21399307638481377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917.27212983297613</v>
      </c>
      <c r="F2553" s="38">
        <f t="shared" si="317"/>
        <v>0.25965841512925553</v>
      </c>
      <c r="G2553" s="14">
        <f t="shared" si="318"/>
        <v>0</v>
      </c>
      <c r="H2553" s="24">
        <f t="shared" si="324"/>
        <v>650</v>
      </c>
      <c r="I2553" s="12">
        <f t="shared" si="323"/>
        <v>0.21383948758801963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917.48596932056421</v>
      </c>
      <c r="F2554" s="38">
        <f t="shared" si="317"/>
        <v>0.25965841512925553</v>
      </c>
      <c r="G2554" s="14">
        <f t="shared" si="318"/>
        <v>0</v>
      </c>
      <c r="H2554" s="24">
        <f t="shared" si="324"/>
        <v>650</v>
      </c>
      <c r="I2554" s="12">
        <f t="shared" si="323"/>
        <v>0.21368602801409606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917.69965534857829</v>
      </c>
      <c r="F2555" s="38">
        <f t="shared" si="317"/>
        <v>0.25965841512925553</v>
      </c>
      <c r="G2555" s="14">
        <f t="shared" si="318"/>
        <v>0</v>
      </c>
      <c r="H2555" s="24">
        <f t="shared" si="324"/>
        <v>650</v>
      </c>
      <c r="I2555" s="12">
        <f t="shared" si="323"/>
        <v>0.2135326975532629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917.91318804613161</v>
      </c>
      <c r="F2556" s="38">
        <f t="shared" si="317"/>
        <v>0.25965841512925553</v>
      </c>
      <c r="G2556" s="14">
        <f t="shared" si="318"/>
        <v>0</v>
      </c>
      <c r="H2556" s="24">
        <f t="shared" si="324"/>
        <v>650</v>
      </c>
      <c r="I2556" s="12">
        <f t="shared" si="323"/>
        <v>0.21337949609581602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918.12656754222746</v>
      </c>
      <c r="F2557" s="38">
        <f t="shared" si="317"/>
        <v>0.25965841512925553</v>
      </c>
      <c r="G2557" s="14">
        <f t="shared" si="318"/>
        <v>0</v>
      </c>
      <c r="H2557" s="24">
        <f t="shared" si="324"/>
        <v>650</v>
      </c>
      <c r="I2557" s="12">
        <f t="shared" si="323"/>
        <v>0.21322642353216817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918.33979396575967</v>
      </c>
      <c r="F2558" s="38">
        <f t="shared" si="317"/>
        <v>0.25965841512925553</v>
      </c>
      <c r="G2558" s="14">
        <f t="shared" si="318"/>
        <v>0</v>
      </c>
      <c r="H2558" s="24">
        <f t="shared" si="324"/>
        <v>650</v>
      </c>
      <c r="I2558" s="12">
        <f t="shared" si="323"/>
        <v>0.21307347975278421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918.55286744551245</v>
      </c>
      <c r="F2559" s="38">
        <f t="shared" si="317"/>
        <v>0.25965841512925553</v>
      </c>
      <c r="G2559" s="14">
        <f t="shared" si="318"/>
        <v>0</v>
      </c>
      <c r="H2559" s="24">
        <f t="shared" si="324"/>
        <v>650</v>
      </c>
      <c r="I2559" s="12">
        <f t="shared" si="323"/>
        <v>0.21292066464822851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918.76578811016066</v>
      </c>
      <c r="F2560" s="38">
        <f t="shared" si="317"/>
        <v>0.25965841512925553</v>
      </c>
      <c r="G2560" s="14">
        <f t="shared" si="318"/>
        <v>0</v>
      </c>
      <c r="H2560" s="24">
        <f t="shared" si="324"/>
        <v>650</v>
      </c>
      <c r="I2560" s="12">
        <f t="shared" si="323"/>
        <v>0.21276797810917011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918.97855608826978</v>
      </c>
      <c r="F2561" s="38">
        <f t="shared" si="317"/>
        <v>0.25965841512925553</v>
      </c>
      <c r="G2561" s="14">
        <f t="shared" si="318"/>
        <v>0</v>
      </c>
      <c r="H2561" s="24">
        <f t="shared" si="324"/>
        <v>650</v>
      </c>
      <c r="I2561" s="12">
        <f t="shared" si="323"/>
        <v>0.21261542002632455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919.19117150829607</v>
      </c>
      <c r="F2562" s="38">
        <f t="shared" si="317"/>
        <v>0.25965841512925553</v>
      </c>
      <c r="G2562" s="14">
        <f t="shared" si="318"/>
        <v>0</v>
      </c>
      <c r="H2562" s="24">
        <f t="shared" si="324"/>
        <v>650</v>
      </c>
      <c r="I2562" s="12">
        <f t="shared" si="323"/>
        <v>0.21246299029052426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919.4036344985866</v>
      </c>
      <c r="F2563" s="38">
        <f t="shared" si="317"/>
        <v>0.25965841512925553</v>
      </c>
      <c r="G2563" s="14">
        <f t="shared" si="318"/>
        <v>0</v>
      </c>
      <c r="H2563" s="24">
        <f t="shared" si="324"/>
        <v>650</v>
      </c>
      <c r="I2563" s="12">
        <f t="shared" si="323"/>
        <v>0.21231068879268863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919.61594518737934</v>
      </c>
      <c r="F2564" s="38">
        <f t="shared" si="317"/>
        <v>0.25965841512925553</v>
      </c>
      <c r="G2564" s="14">
        <f t="shared" si="318"/>
        <v>0</v>
      </c>
      <c r="H2564" s="24">
        <f t="shared" si="324"/>
        <v>650</v>
      </c>
      <c r="I2564" s="12">
        <f t="shared" si="323"/>
        <v>0.2121585154238067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919.82810370280311</v>
      </c>
      <c r="F2565" s="38">
        <f t="shared" si="317"/>
        <v>0.25965841512925553</v>
      </c>
      <c r="G2565" s="14">
        <f t="shared" si="318"/>
        <v>0</v>
      </c>
      <c r="H2565" s="24">
        <f t="shared" si="324"/>
        <v>650</v>
      </c>
      <c r="I2565" s="12">
        <f t="shared" si="323"/>
        <v>0.21200647007497245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920.04011017287803</v>
      </c>
      <c r="F2566" s="38">
        <f t="shared" si="317"/>
        <v>0.25965841512925553</v>
      </c>
      <c r="G2566" s="14">
        <f t="shared" si="318"/>
        <v>0</v>
      </c>
      <c r="H2566" s="24">
        <f t="shared" si="324"/>
        <v>650</v>
      </c>
      <c r="I2566" s="12">
        <f t="shared" si="323"/>
        <v>0.21185455263733757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920.25196472551534</v>
      </c>
      <c r="F2567" s="38">
        <f t="shared" si="317"/>
        <v>0.25965841512925553</v>
      </c>
      <c r="G2567" s="14">
        <f t="shared" si="318"/>
        <v>0</v>
      </c>
      <c r="H2567" s="24">
        <f t="shared" si="324"/>
        <v>650</v>
      </c>
      <c r="I2567" s="12">
        <f t="shared" si="323"/>
        <v>0.21170276300218169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920.46366748851756</v>
      </c>
      <c r="F2568" s="38">
        <f t="shared" si="317"/>
        <v>0.25965841512925553</v>
      </c>
      <c r="G2568" s="14">
        <f t="shared" si="318"/>
        <v>0</v>
      </c>
      <c r="H2568" s="24">
        <f t="shared" si="324"/>
        <v>650</v>
      </c>
      <c r="I2568" s="12">
        <f t="shared" si="323"/>
        <v>0.21155110106083627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920.67521858957844</v>
      </c>
      <c r="F2569" s="38">
        <f t="shared" si="317"/>
        <v>0.25965841512925553</v>
      </c>
      <c r="G2569" s="14">
        <f t="shared" si="318"/>
        <v>0</v>
      </c>
      <c r="H2569" s="24">
        <f t="shared" si="324"/>
        <v>650</v>
      </c>
      <c r="I2569" s="12">
        <f t="shared" si="323"/>
        <v>0.21139956670471999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920.88661815628313</v>
      </c>
      <c r="F2570" s="38">
        <f t="shared" si="317"/>
        <v>0.25965841512925553</v>
      </c>
      <c r="G2570" s="14">
        <f t="shared" si="318"/>
        <v>0</v>
      </c>
      <c r="H2570" s="24">
        <f t="shared" si="324"/>
        <v>650</v>
      </c>
      <c r="I2570" s="12">
        <f t="shared" si="323"/>
        <v>0.21124815982536774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921.09786631610848</v>
      </c>
      <c r="F2571" s="38">
        <f t="shared" si="317"/>
        <v>0.25965841512925553</v>
      </c>
      <c r="G2571" s="14">
        <f t="shared" si="318"/>
        <v>0</v>
      </c>
      <c r="H2571" s="24">
        <f t="shared" si="324"/>
        <v>650</v>
      </c>
      <c r="I2571" s="12">
        <f t="shared" si="323"/>
        <v>0.21109688031435997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921.30896319642284</v>
      </c>
      <c r="F2572" s="38">
        <f t="shared" si="317"/>
        <v>0.25965841512925553</v>
      </c>
      <c r="G2572" s="14">
        <f t="shared" si="318"/>
        <v>0</v>
      </c>
      <c r="H2572" s="24">
        <f t="shared" si="324"/>
        <v>650</v>
      </c>
      <c r="I2572" s="12">
        <f t="shared" si="323"/>
        <v>0.21094572806340511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921.51990892448623</v>
      </c>
      <c r="F2573" s="38">
        <f t="shared" si="317"/>
        <v>0.25965841512925553</v>
      </c>
      <c r="G2573" s="14">
        <f t="shared" si="318"/>
        <v>0</v>
      </c>
      <c r="H2573" s="24">
        <f t="shared" si="324"/>
        <v>650</v>
      </c>
      <c r="I2573" s="12">
        <f t="shared" si="323"/>
        <v>0.21079470296425135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921.73070362745045</v>
      </c>
      <c r="F2574" s="38">
        <f t="shared" si="317"/>
        <v>0.25965841512925553</v>
      </c>
      <c r="G2574" s="14">
        <f t="shared" si="318"/>
        <v>0</v>
      </c>
      <c r="H2574" s="24">
        <f t="shared" si="324"/>
        <v>650</v>
      </c>
      <c r="I2574" s="12">
        <f t="shared" si="323"/>
        <v>0.21064380490878643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921.94134743235929</v>
      </c>
      <c r="F2575" s="38">
        <f t="shared" si="317"/>
        <v>0.25965841512925553</v>
      </c>
      <c r="G2575" s="14">
        <f t="shared" si="318"/>
        <v>0</v>
      </c>
      <c r="H2575" s="24">
        <f t="shared" si="324"/>
        <v>650</v>
      </c>
      <c r="I2575" s="12">
        <f t="shared" si="323"/>
        <v>0.21049303378892004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922.1518404661482</v>
      </c>
      <c r="F2576" s="38">
        <f t="shared" si="317"/>
        <v>0.25965841512925553</v>
      </c>
      <c r="G2576" s="14">
        <f t="shared" si="318"/>
        <v>0</v>
      </c>
      <c r="H2576" s="24">
        <f t="shared" si="324"/>
        <v>650</v>
      </c>
      <c r="I2576" s="12">
        <f t="shared" si="323"/>
        <v>0.21034238949670764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922.36218285564496</v>
      </c>
      <c r="F2577" s="38">
        <f t="shared" si="317"/>
        <v>0.25965841512925553</v>
      </c>
      <c r="G2577" s="14">
        <f t="shared" si="318"/>
        <v>0</v>
      </c>
      <c r="H2577" s="24">
        <f t="shared" si="324"/>
        <v>650</v>
      </c>
      <c r="I2577" s="12">
        <f t="shared" si="323"/>
        <v>0.2101918719242554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922.57237472756924</v>
      </c>
      <c r="F2578" s="38">
        <f t="shared" si="317"/>
        <v>0.25965841512925553</v>
      </c>
      <c r="G2578" s="14">
        <f t="shared" si="318"/>
        <v>0</v>
      </c>
      <c r="H2578" s="24">
        <f t="shared" si="324"/>
        <v>650</v>
      </c>
      <c r="I2578" s="12">
        <f t="shared" si="323"/>
        <v>0.21004148096377379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922.78241620853305</v>
      </c>
      <c r="F2579" s="38">
        <f t="shared" si="317"/>
        <v>0.25965841512925553</v>
      </c>
      <c r="G2579" s="14">
        <f t="shared" si="318"/>
        <v>0</v>
      </c>
      <c r="H2579" s="24">
        <f t="shared" si="324"/>
        <v>650</v>
      </c>
      <c r="I2579" s="12">
        <f t="shared" si="323"/>
        <v>0.20989121650752468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922.99230742504062</v>
      </c>
      <c r="F2580" s="38">
        <f t="shared" ref="F2580:F2643" si="325">Cp*RhoP/(RhoA*H2580)*dp/1000*MassivP</f>
        <v>0.25965841512925553</v>
      </c>
      <c r="G2580" s="14">
        <f t="shared" ref="G2580:G2643" si="326">Phi*EpsilonF*Botzman/10^8*J2580*((D2580+273)^4-(E2580+273)^4)</f>
        <v>0</v>
      </c>
      <c r="H2580" s="24">
        <f t="shared" si="324"/>
        <v>650</v>
      </c>
      <c r="I2580" s="12">
        <f t="shared" si="323"/>
        <v>0.20974107844792064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923.20204850348853</v>
      </c>
      <c r="F2581" s="38">
        <f t="shared" si="325"/>
        <v>0.25965841512925553</v>
      </c>
      <c r="G2581" s="14">
        <f t="shared" si="326"/>
        <v>0</v>
      </c>
      <c r="H2581" s="24">
        <f t="shared" si="324"/>
        <v>650</v>
      </c>
      <c r="I2581" s="12">
        <f t="shared" ref="I2581:I2644" si="331">LambdaP*MassivP/(dp/1000)/(H2581*RhoA)/(1+F2581/3)*(D2581-E2581)*DeltaT-(EXP(F2581/10)-1)*(D2581-D2580)</f>
        <v>0.20959106667737848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923.4116395701659</v>
      </c>
      <c r="F2582" s="38">
        <f t="shared" si="325"/>
        <v>0.25965841512925553</v>
      </c>
      <c r="G2582" s="14">
        <f t="shared" si="326"/>
        <v>0</v>
      </c>
      <c r="H2582" s="24">
        <f t="shared" si="324"/>
        <v>650</v>
      </c>
      <c r="I2582" s="12">
        <f t="shared" si="331"/>
        <v>0.20944118108846027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923.62108075125434</v>
      </c>
      <c r="F2583" s="38">
        <f t="shared" si="325"/>
        <v>0.25965841512925553</v>
      </c>
      <c r="G2583" s="14">
        <f t="shared" si="326"/>
        <v>0</v>
      </c>
      <c r="H2583" s="24">
        <f t="shared" si="324"/>
        <v>650</v>
      </c>
      <c r="I2583" s="12">
        <f t="shared" si="331"/>
        <v>0.20929142157380207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923.83037217282811</v>
      </c>
      <c r="F2584" s="38">
        <f t="shared" si="325"/>
        <v>0.25965841512925553</v>
      </c>
      <c r="G2584" s="14">
        <f t="shared" si="326"/>
        <v>0</v>
      </c>
      <c r="H2584" s="24">
        <f t="shared" si="324"/>
        <v>650</v>
      </c>
      <c r="I2584" s="12">
        <f t="shared" si="331"/>
        <v>0.20914178802610869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924.03951396085426</v>
      </c>
      <c r="F2585" s="38">
        <f t="shared" si="325"/>
        <v>0.25965841512925553</v>
      </c>
      <c r="G2585" s="14">
        <f t="shared" si="326"/>
        <v>0</v>
      </c>
      <c r="H2585" s="24">
        <f t="shared" si="324"/>
        <v>650</v>
      </c>
      <c r="I2585" s="12">
        <f t="shared" si="331"/>
        <v>0.20899228033817679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924.24850624119244</v>
      </c>
      <c r="F2586" s="38">
        <f t="shared" si="325"/>
        <v>0.25965841512925553</v>
      </c>
      <c r="G2586" s="14">
        <f t="shared" si="326"/>
        <v>0</v>
      </c>
      <c r="H2586" s="24">
        <f t="shared" si="324"/>
        <v>650</v>
      </c>
      <c r="I2586" s="12">
        <f t="shared" si="331"/>
        <v>0.20884289840288964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924.45734913959529</v>
      </c>
      <c r="F2587" s="38">
        <f t="shared" si="325"/>
        <v>0.25965841512925553</v>
      </c>
      <c r="G2587" s="14">
        <f t="shared" si="326"/>
        <v>0</v>
      </c>
      <c r="H2587" s="24">
        <f t="shared" si="324"/>
        <v>650</v>
      </c>
      <c r="I2587" s="12">
        <f t="shared" si="331"/>
        <v>0.2086936421132336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924.66604278170848</v>
      </c>
      <c r="F2588" s="38">
        <f t="shared" si="325"/>
        <v>0.25965841512925553</v>
      </c>
      <c r="G2588" s="14">
        <f t="shared" si="326"/>
        <v>0</v>
      </c>
      <c r="H2588" s="24">
        <f t="shared" si="324"/>
        <v>650</v>
      </c>
      <c r="I2588" s="12">
        <f t="shared" si="331"/>
        <v>0.20854451136224569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924.8745872930707</v>
      </c>
      <c r="F2589" s="38">
        <f t="shared" si="325"/>
        <v>0.25965841512925553</v>
      </c>
      <c r="G2589" s="14">
        <f t="shared" si="326"/>
        <v>0</v>
      </c>
      <c r="H2589" s="24">
        <f t="shared" si="324"/>
        <v>650</v>
      </c>
      <c r="I2589" s="12">
        <f t="shared" si="331"/>
        <v>0.20839550604306692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925.08298279911378</v>
      </c>
      <c r="F2590" s="38">
        <f t="shared" si="325"/>
        <v>0.25965841512925553</v>
      </c>
      <c r="G2590" s="14">
        <f t="shared" si="326"/>
        <v>0</v>
      </c>
      <c r="H2590" s="24">
        <f t="shared" si="324"/>
        <v>650</v>
      </c>
      <c r="I2590" s="12">
        <f t="shared" si="331"/>
        <v>0.20824662604893546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925.29122942516267</v>
      </c>
      <c r="F2591" s="38">
        <f t="shared" si="325"/>
        <v>0.25965841512925553</v>
      </c>
      <c r="G2591" s="14">
        <f t="shared" si="326"/>
        <v>0</v>
      </c>
      <c r="H2591" s="24">
        <f t="shared" si="324"/>
        <v>650</v>
      </c>
      <c r="I2591" s="12">
        <f t="shared" si="331"/>
        <v>0.20809787127314047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925.49932729643581</v>
      </c>
      <c r="F2592" s="38">
        <f t="shared" si="325"/>
        <v>0.25965841512925553</v>
      </c>
      <c r="G2592" s="14">
        <f t="shared" si="326"/>
        <v>0</v>
      </c>
      <c r="H2592" s="24">
        <f t="shared" si="324"/>
        <v>650</v>
      </c>
      <c r="I2592" s="12">
        <f t="shared" si="331"/>
        <v>0.20794924160910341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925.70727653804488</v>
      </c>
      <c r="F2593" s="38">
        <f t="shared" si="325"/>
        <v>0.25965841512925553</v>
      </c>
      <c r="G2593" s="14">
        <f t="shared" si="326"/>
        <v>0</v>
      </c>
      <c r="H2593" s="24">
        <f t="shared" si="324"/>
        <v>650</v>
      </c>
      <c r="I2593" s="12">
        <f t="shared" si="331"/>
        <v>0.2078007369502787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925.91507727499516</v>
      </c>
      <c r="F2594" s="38">
        <f t="shared" si="325"/>
        <v>0.25965841512925553</v>
      </c>
      <c r="G2594" s="14">
        <f t="shared" si="326"/>
        <v>0</v>
      </c>
      <c r="H2594" s="24">
        <f t="shared" si="324"/>
        <v>650</v>
      </c>
      <c r="I2594" s="12">
        <f t="shared" si="331"/>
        <v>0.20765235719024192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926.12272963218538</v>
      </c>
      <c r="F2595" s="38">
        <f t="shared" si="325"/>
        <v>0.25965841512925553</v>
      </c>
      <c r="G2595" s="14">
        <f t="shared" si="326"/>
        <v>0</v>
      </c>
      <c r="H2595" s="24">
        <f t="shared" si="324"/>
        <v>650</v>
      </c>
      <c r="I2595" s="12">
        <f t="shared" si="331"/>
        <v>0.20750410222264801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926.33023373440801</v>
      </c>
      <c r="F2596" s="38">
        <f t="shared" si="325"/>
        <v>0.25965841512925553</v>
      </c>
      <c r="G2596" s="14">
        <f t="shared" si="326"/>
        <v>0</v>
      </c>
      <c r="H2596" s="24">
        <f t="shared" si="324"/>
        <v>650</v>
      </c>
      <c r="I2596" s="12">
        <f t="shared" si="331"/>
        <v>0.20735597194121422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926.53758970634919</v>
      </c>
      <c r="F2597" s="38">
        <f t="shared" si="325"/>
        <v>0.25965841512925553</v>
      </c>
      <c r="G2597" s="14">
        <f t="shared" si="326"/>
        <v>0</v>
      </c>
      <c r="H2597" s="24">
        <f t="shared" si="324"/>
        <v>650</v>
      </c>
      <c r="I2597" s="12">
        <f t="shared" si="331"/>
        <v>0.20720796623978413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926.74479767258902</v>
      </c>
      <c r="F2598" s="38">
        <f t="shared" si="325"/>
        <v>0.25965841512925553</v>
      </c>
      <c r="G2598" s="14">
        <f t="shared" si="326"/>
        <v>0</v>
      </c>
      <c r="H2598" s="24">
        <f t="shared" si="324"/>
        <v>650</v>
      </c>
      <c r="I2598" s="12">
        <f t="shared" si="331"/>
        <v>0.20706008501223397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926.95185775760126</v>
      </c>
      <c r="F2599" s="38">
        <f t="shared" si="325"/>
        <v>0.25965841512925553</v>
      </c>
      <c r="G2599" s="14">
        <f t="shared" si="326"/>
        <v>0</v>
      </c>
      <c r="H2599" s="24">
        <f t="shared" si="324"/>
        <v>650</v>
      </c>
      <c r="I2599" s="12">
        <f t="shared" si="331"/>
        <v>0.20691232815256097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927.15877008575387</v>
      </c>
      <c r="F2600" s="38">
        <f t="shared" si="325"/>
        <v>0.25965841512925553</v>
      </c>
      <c r="G2600" s="14">
        <f t="shared" si="326"/>
        <v>0</v>
      </c>
      <c r="H2600" s="24">
        <f t="shared" si="324"/>
        <v>650</v>
      </c>
      <c r="I2600" s="12">
        <f t="shared" si="331"/>
        <v>0.20676469555485297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927.36553478130872</v>
      </c>
      <c r="F2601" s="38">
        <f t="shared" si="325"/>
        <v>0.25965841512925553</v>
      </c>
      <c r="G2601" s="14">
        <f t="shared" si="326"/>
        <v>0</v>
      </c>
      <c r="H2601" s="24">
        <f t="shared" si="324"/>
        <v>650</v>
      </c>
      <c r="I2601" s="12">
        <f t="shared" si="331"/>
        <v>0.2066171871132424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927.57215196842196</v>
      </c>
      <c r="F2602" s="38">
        <f t="shared" si="325"/>
        <v>0.25965841512925553</v>
      </c>
      <c r="G2602" s="14">
        <f t="shared" si="326"/>
        <v>0</v>
      </c>
      <c r="H2602" s="24">
        <f t="shared" si="324"/>
        <v>650</v>
      </c>
      <c r="I2602" s="12">
        <f t="shared" si="331"/>
        <v>0.20646980272198792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927.778621771144</v>
      </c>
      <c r="F2603" s="38">
        <f t="shared" si="325"/>
        <v>0.25965841512925553</v>
      </c>
      <c r="G2603" s="14">
        <f t="shared" si="326"/>
        <v>0</v>
      </c>
      <c r="H2603" s="24">
        <f t="shared" si="324"/>
        <v>650</v>
      </c>
      <c r="I2603" s="12">
        <f t="shared" si="331"/>
        <v>0.20632254227540961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927.98494431341942</v>
      </c>
      <c r="F2604" s="38">
        <f t="shared" si="325"/>
        <v>0.25965841512925553</v>
      </c>
      <c r="G2604" s="14">
        <f t="shared" si="326"/>
        <v>0</v>
      </c>
      <c r="H2604" s="24">
        <f t="shared" si="324"/>
        <v>650</v>
      </c>
      <c r="I2604" s="12">
        <f t="shared" si="331"/>
        <v>0.2061754056679187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928.19111971908728</v>
      </c>
      <c r="F2605" s="38">
        <f t="shared" si="325"/>
        <v>0.25965841512925553</v>
      </c>
      <c r="G2605" s="14">
        <f t="shared" si="326"/>
        <v>0</v>
      </c>
      <c r="H2605" s="24">
        <f t="shared" si="324"/>
        <v>650</v>
      </c>
      <c r="I2605" s="12">
        <f t="shared" si="331"/>
        <v>0.20602839279399998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928.39714811188128</v>
      </c>
      <c r="F2606" s="38">
        <f t="shared" si="325"/>
        <v>0.25965841512925553</v>
      </c>
      <c r="G2606" s="14">
        <f t="shared" si="326"/>
        <v>0</v>
      </c>
      <c r="H2606" s="24">
        <f t="shared" si="324"/>
        <v>650</v>
      </c>
      <c r="I2606" s="12">
        <f t="shared" si="331"/>
        <v>0.20588150354824641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928.60302961542948</v>
      </c>
      <c r="F2607" s="38">
        <f t="shared" si="325"/>
        <v>0.25965841512925553</v>
      </c>
      <c r="G2607" s="14">
        <f t="shared" si="326"/>
        <v>0</v>
      </c>
      <c r="H2607" s="24">
        <f t="shared" si="324"/>
        <v>650</v>
      </c>
      <c r="I2607" s="12">
        <f t="shared" si="331"/>
        <v>0.20573473782530102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928.80876435325479</v>
      </c>
      <c r="F2608" s="38">
        <f t="shared" si="325"/>
        <v>0.25965841512925553</v>
      </c>
      <c r="G2608" s="14">
        <f t="shared" si="326"/>
        <v>0</v>
      </c>
      <c r="H2608" s="24">
        <f t="shared" si="324"/>
        <v>650</v>
      </c>
      <c r="I2608" s="12">
        <f t="shared" si="331"/>
        <v>0.20558809551993826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929.01435244877473</v>
      </c>
      <c r="F2609" s="38">
        <f t="shared" si="325"/>
        <v>0.25965841512925553</v>
      </c>
      <c r="G2609" s="14">
        <f t="shared" si="326"/>
        <v>0</v>
      </c>
      <c r="H2609" s="24">
        <f t="shared" si="324"/>
        <v>650</v>
      </c>
      <c r="I2609" s="12">
        <f t="shared" si="331"/>
        <v>0.20544157652696471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929.21979402530167</v>
      </c>
      <c r="F2610" s="38">
        <f t="shared" si="325"/>
        <v>0.25965841512925553</v>
      </c>
      <c r="G2610" s="14">
        <f t="shared" si="326"/>
        <v>0</v>
      </c>
      <c r="H2610" s="24">
        <f t="shared" si="324"/>
        <v>650</v>
      </c>
      <c r="I2610" s="12">
        <f t="shared" si="331"/>
        <v>0.20529518074129571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929.42508920604291</v>
      </c>
      <c r="F2611" s="38">
        <f t="shared" si="325"/>
        <v>0.25965841512925553</v>
      </c>
      <c r="G2611" s="14">
        <f t="shared" si="326"/>
        <v>0</v>
      </c>
      <c r="H2611" s="24">
        <f t="shared" si="324"/>
        <v>650</v>
      </c>
      <c r="I2611" s="12">
        <f t="shared" si="331"/>
        <v>0.20514890805796004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929.63023811410085</v>
      </c>
      <c r="F2612" s="38">
        <f t="shared" si="325"/>
        <v>0.25965841512925553</v>
      </c>
      <c r="G2612" s="14">
        <f t="shared" si="326"/>
        <v>0</v>
      </c>
      <c r="H2612" s="24">
        <f t="shared" si="324"/>
        <v>650</v>
      </c>
      <c r="I2612" s="12">
        <f t="shared" si="331"/>
        <v>0.20500275837198928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929.83524087247281</v>
      </c>
      <c r="F2613" s="38">
        <f t="shared" si="325"/>
        <v>0.25965841512925553</v>
      </c>
      <c r="G2613" s="14">
        <f t="shared" si="326"/>
        <v>0</v>
      </c>
      <c r="H2613" s="24">
        <f t="shared" si="324"/>
        <v>650</v>
      </c>
      <c r="I2613" s="12">
        <f t="shared" si="331"/>
        <v>0.2048567315785938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930.04009760405143</v>
      </c>
      <c r="F2614" s="38">
        <f t="shared" si="325"/>
        <v>0.25965841512925553</v>
      </c>
      <c r="G2614" s="14">
        <f t="shared" si="326"/>
        <v>0</v>
      </c>
      <c r="H2614" s="24">
        <f t="shared" si="324"/>
        <v>650</v>
      </c>
      <c r="I2614" s="12">
        <f t="shared" si="331"/>
        <v>0.20471082757300929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930.24480843162439</v>
      </c>
      <c r="F2615" s="38">
        <f t="shared" si="325"/>
        <v>0.25965841512925553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650</v>
      </c>
      <c r="I2615" s="12">
        <f t="shared" si="331"/>
        <v>0.20456504625056229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930.44937347787493</v>
      </c>
      <c r="F2616" s="38">
        <f t="shared" si="325"/>
        <v>0.25965841512925553</v>
      </c>
      <c r="G2616" s="14">
        <f t="shared" si="326"/>
        <v>0</v>
      </c>
      <c r="H2616" s="24">
        <f t="shared" si="332"/>
        <v>650</v>
      </c>
      <c r="I2616" s="12">
        <f t="shared" si="331"/>
        <v>0.20441938750667546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930.65379286538166</v>
      </c>
      <c r="F2617" s="38">
        <f t="shared" si="325"/>
        <v>0.25965841512925553</v>
      </c>
      <c r="G2617" s="14">
        <f t="shared" si="326"/>
        <v>0</v>
      </c>
      <c r="H2617" s="24">
        <f t="shared" si="332"/>
        <v>650</v>
      </c>
      <c r="I2617" s="12">
        <f t="shared" si="331"/>
        <v>0.20427385123684427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930.85806671661851</v>
      </c>
      <c r="F2618" s="38">
        <f t="shared" si="325"/>
        <v>0.25965841512925553</v>
      </c>
      <c r="G2618" s="14">
        <f t="shared" si="326"/>
        <v>0</v>
      </c>
      <c r="H2618" s="24">
        <f t="shared" si="332"/>
        <v>650</v>
      </c>
      <c r="I2618" s="12">
        <f t="shared" si="331"/>
        <v>0.20412843733667757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931.06219515395514</v>
      </c>
      <c r="F2619" s="38">
        <f t="shared" si="325"/>
        <v>0.25965841512925553</v>
      </c>
      <c r="G2619" s="14">
        <f t="shared" si="326"/>
        <v>0</v>
      </c>
      <c r="H2619" s="24">
        <f t="shared" si="332"/>
        <v>650</v>
      </c>
      <c r="I2619" s="12">
        <f t="shared" si="331"/>
        <v>0.20398314570180426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931.26617829965699</v>
      </c>
      <c r="F2620" s="38">
        <f t="shared" si="325"/>
        <v>0.25965841512925553</v>
      </c>
      <c r="G2620" s="14">
        <f t="shared" si="326"/>
        <v>0</v>
      </c>
      <c r="H2620" s="24">
        <f t="shared" si="332"/>
        <v>650</v>
      </c>
      <c r="I2620" s="12">
        <f t="shared" si="331"/>
        <v>0.20383797622800795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931.47001627588497</v>
      </c>
      <c r="F2621" s="38">
        <f t="shared" si="325"/>
        <v>0.25965841512925553</v>
      </c>
      <c r="G2621" s="14">
        <f t="shared" si="326"/>
        <v>0</v>
      </c>
      <c r="H2621" s="24">
        <f t="shared" si="332"/>
        <v>650</v>
      </c>
      <c r="I2621" s="12">
        <f t="shared" si="331"/>
        <v>0.20369292881111511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931.67370920469614</v>
      </c>
      <c r="F2622" s="38">
        <f t="shared" si="325"/>
        <v>0.25965841512925553</v>
      </c>
      <c r="G2622" s="14">
        <f t="shared" si="326"/>
        <v>0</v>
      </c>
      <c r="H2622" s="24">
        <f t="shared" si="332"/>
        <v>650</v>
      </c>
      <c r="I2622" s="12">
        <f t="shared" si="331"/>
        <v>0.20354800334703652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931.87725720804315</v>
      </c>
      <c r="F2623" s="38">
        <f t="shared" si="325"/>
        <v>0.25965841512925553</v>
      </c>
      <c r="G2623" s="14">
        <f t="shared" si="326"/>
        <v>0</v>
      </c>
      <c r="H2623" s="24">
        <f t="shared" si="332"/>
        <v>650</v>
      </c>
      <c r="I2623" s="12">
        <f t="shared" si="331"/>
        <v>0.20340319973178481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932.08066040777499</v>
      </c>
      <c r="F2624" s="38">
        <f t="shared" si="325"/>
        <v>0.25965841512925553</v>
      </c>
      <c r="G2624" s="14">
        <f t="shared" si="326"/>
        <v>0</v>
      </c>
      <c r="H2624" s="24">
        <f t="shared" si="332"/>
        <v>650</v>
      </c>
      <c r="I2624" s="12">
        <f t="shared" si="331"/>
        <v>0.20325851786143873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932.28391892563639</v>
      </c>
      <c r="F2625" s="38">
        <f t="shared" si="325"/>
        <v>0.25965841512925553</v>
      </c>
      <c r="G2625" s="14">
        <f t="shared" si="326"/>
        <v>0</v>
      </c>
      <c r="H2625" s="24">
        <f t="shared" si="332"/>
        <v>650</v>
      </c>
      <c r="I2625" s="12">
        <f t="shared" si="331"/>
        <v>0.20311395763216153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932.48703288326851</v>
      </c>
      <c r="F2626" s="38">
        <f t="shared" si="325"/>
        <v>0.25965841512925553</v>
      </c>
      <c r="G2626" s="14">
        <f t="shared" si="326"/>
        <v>0</v>
      </c>
      <c r="H2626" s="24">
        <f t="shared" si="332"/>
        <v>650</v>
      </c>
      <c r="I2626" s="12">
        <f t="shared" si="331"/>
        <v>0.20296951894021775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932.69000240220873</v>
      </c>
      <c r="F2627" s="38">
        <f t="shared" si="325"/>
        <v>0.25965841512925553</v>
      </c>
      <c r="G2627" s="14">
        <f t="shared" si="326"/>
        <v>0</v>
      </c>
      <c r="H2627" s="24">
        <f t="shared" si="332"/>
        <v>650</v>
      </c>
      <c r="I2627" s="12">
        <f t="shared" si="331"/>
        <v>0.20282520168194371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932.89282760389062</v>
      </c>
      <c r="F2628" s="38">
        <f t="shared" si="325"/>
        <v>0.25965841512925553</v>
      </c>
      <c r="G2628" s="14">
        <f t="shared" si="326"/>
        <v>0</v>
      </c>
      <c r="H2628" s="24">
        <f t="shared" si="332"/>
        <v>650</v>
      </c>
      <c r="I2628" s="12">
        <f t="shared" si="331"/>
        <v>0.20268100575373077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933.0955086096443</v>
      </c>
      <c r="F2629" s="38">
        <f t="shared" si="325"/>
        <v>0.25965841512925553</v>
      </c>
      <c r="G2629" s="14">
        <f t="shared" si="326"/>
        <v>0</v>
      </c>
      <c r="H2629" s="24">
        <f t="shared" si="332"/>
        <v>650</v>
      </c>
      <c r="I2629" s="12">
        <f t="shared" si="331"/>
        <v>0.20253693105211276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933.29804554069642</v>
      </c>
      <c r="F2630" s="38">
        <f t="shared" si="325"/>
        <v>0.25965841512925553</v>
      </c>
      <c r="G2630" s="14">
        <f t="shared" si="326"/>
        <v>0</v>
      </c>
      <c r="H2630" s="24">
        <f t="shared" si="332"/>
        <v>650</v>
      </c>
      <c r="I2630" s="12">
        <f t="shared" si="331"/>
        <v>0.20239297747365384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933.50043851817009</v>
      </c>
      <c r="F2631" s="38">
        <f t="shared" si="325"/>
        <v>0.25965841512925553</v>
      </c>
      <c r="G2631" s="14">
        <f t="shared" si="326"/>
        <v>0</v>
      </c>
      <c r="H2631" s="24">
        <f t="shared" si="332"/>
        <v>650</v>
      </c>
      <c r="I2631" s="12">
        <f t="shared" si="331"/>
        <v>0.20224914491502602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933.70268766308516</v>
      </c>
      <c r="F2632" s="38">
        <f t="shared" si="325"/>
        <v>0.25965841512925553</v>
      </c>
      <c r="G2632" s="14">
        <f t="shared" si="326"/>
        <v>0</v>
      </c>
      <c r="H2632" s="24">
        <f t="shared" si="332"/>
        <v>650</v>
      </c>
      <c r="I2632" s="12">
        <f t="shared" si="331"/>
        <v>0.20210543327297295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933.90479309635816</v>
      </c>
      <c r="F2633" s="38">
        <f t="shared" si="325"/>
        <v>0.25965841512925553</v>
      </c>
      <c r="G2633" s="14">
        <f t="shared" si="326"/>
        <v>0</v>
      </c>
      <c r="H2633" s="24">
        <f t="shared" si="332"/>
        <v>650</v>
      </c>
      <c r="I2633" s="12">
        <f t="shared" si="331"/>
        <v>0.20196184244433943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934.10675493880251</v>
      </c>
      <c r="F2634" s="38">
        <f t="shared" si="325"/>
        <v>0.25965841512925553</v>
      </c>
      <c r="G2634" s="14">
        <f t="shared" si="326"/>
        <v>0</v>
      </c>
      <c r="H2634" s="24">
        <f t="shared" si="332"/>
        <v>650</v>
      </c>
      <c r="I2634" s="12">
        <f t="shared" si="331"/>
        <v>0.20181837232602454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934.3085733111285</v>
      </c>
      <c r="F2635" s="38">
        <f t="shared" si="325"/>
        <v>0.25965841512925553</v>
      </c>
      <c r="G2635" s="14">
        <f t="shared" si="326"/>
        <v>0</v>
      </c>
      <c r="H2635" s="24">
        <f t="shared" si="332"/>
        <v>650</v>
      </c>
      <c r="I2635" s="12">
        <f t="shared" si="331"/>
        <v>0.20167502281505167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934.51024833394354</v>
      </c>
      <c r="F2636" s="38">
        <f t="shared" si="325"/>
        <v>0.25965841512925553</v>
      </c>
      <c r="G2636" s="14">
        <f t="shared" si="326"/>
        <v>0</v>
      </c>
      <c r="H2636" s="24">
        <f t="shared" si="332"/>
        <v>650</v>
      </c>
      <c r="I2636" s="12">
        <f t="shared" si="331"/>
        <v>0.20153179380847477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934.71178012775204</v>
      </c>
      <c r="F2637" s="38">
        <f t="shared" si="325"/>
        <v>0.25965841512925553</v>
      </c>
      <c r="G2637" s="14">
        <f t="shared" si="326"/>
        <v>0</v>
      </c>
      <c r="H2637" s="24">
        <f t="shared" si="332"/>
        <v>650</v>
      </c>
      <c r="I2637" s="12">
        <f t="shared" si="331"/>
        <v>0.20138868520346101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934.91316881295552</v>
      </c>
      <c r="F2638" s="38">
        <f t="shared" si="325"/>
        <v>0.25965841512925553</v>
      </c>
      <c r="G2638" s="14">
        <f t="shared" si="326"/>
        <v>0</v>
      </c>
      <c r="H2638" s="24">
        <f t="shared" si="332"/>
        <v>650</v>
      </c>
      <c r="I2638" s="12">
        <f t="shared" si="331"/>
        <v>0.20124569689727226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935.11441450985274</v>
      </c>
      <c r="F2639" s="38">
        <f t="shared" si="325"/>
        <v>0.25965841512925553</v>
      </c>
      <c r="G2639" s="14">
        <f t="shared" si="326"/>
        <v>0</v>
      </c>
      <c r="H2639" s="24">
        <f t="shared" si="332"/>
        <v>650</v>
      </c>
      <c r="I2639" s="12">
        <f t="shared" si="331"/>
        <v>0.20110282878722424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935.31551733864001</v>
      </c>
      <c r="F2640" s="38">
        <f t="shared" si="325"/>
        <v>0.25965841512925553</v>
      </c>
      <c r="G2640" s="14">
        <f t="shared" si="326"/>
        <v>0</v>
      </c>
      <c r="H2640" s="24">
        <f t="shared" si="332"/>
        <v>650</v>
      </c>
      <c r="I2640" s="12">
        <f t="shared" si="331"/>
        <v>0.20096008077071612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935.51647741941076</v>
      </c>
      <c r="F2641" s="38">
        <f t="shared" si="325"/>
        <v>0.25965841512925553</v>
      </c>
      <c r="G2641" s="14">
        <f t="shared" si="326"/>
        <v>0</v>
      </c>
      <c r="H2641" s="24">
        <f t="shared" si="332"/>
        <v>650</v>
      </c>
      <c r="I2641" s="12">
        <f t="shared" si="331"/>
        <v>0.20081745274527696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935.717294872156</v>
      </c>
      <c r="F2642" s="38">
        <f t="shared" si="325"/>
        <v>0.25965841512925553</v>
      </c>
      <c r="G2642" s="14">
        <f t="shared" si="326"/>
        <v>0</v>
      </c>
      <c r="H2642" s="24">
        <f t="shared" si="332"/>
        <v>650</v>
      </c>
      <c r="I2642" s="12">
        <f t="shared" si="331"/>
        <v>0.2006749446084484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935.91796981676441</v>
      </c>
      <c r="F2643" s="38">
        <f t="shared" si="325"/>
        <v>0.25965841512925553</v>
      </c>
      <c r="G2643" s="14">
        <f t="shared" si="326"/>
        <v>0</v>
      </c>
      <c r="H2643" s="24">
        <f t="shared" si="332"/>
        <v>650</v>
      </c>
      <c r="I2643" s="12">
        <f t="shared" si="331"/>
        <v>0.20053255625789665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936.11850237302235</v>
      </c>
      <c r="F2644" s="38">
        <f t="shared" ref="F2644:F2707" si="333">Cp*RhoP/(RhoA*H2644)*dp/1000*MassivP</f>
        <v>0.25965841512925553</v>
      </c>
      <c r="G2644" s="14">
        <f t="shared" ref="G2644:G2707" si="334">Phi*EpsilonF*Botzman/10^8*J2644*((D2644+273)^4-(E2644+273)^4)</f>
        <v>0</v>
      </c>
      <c r="H2644" s="24">
        <f t="shared" si="332"/>
        <v>650</v>
      </c>
      <c r="I2644" s="12">
        <f t="shared" si="331"/>
        <v>0.20039028759136465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936.31889266061376</v>
      </c>
      <c r="F2645" s="38">
        <f t="shared" si="333"/>
        <v>0.25965841512925553</v>
      </c>
      <c r="G2645" s="14">
        <f t="shared" si="334"/>
        <v>0</v>
      </c>
      <c r="H2645" s="24">
        <f t="shared" si="332"/>
        <v>650</v>
      </c>
      <c r="I2645" s="12">
        <f t="shared" ref="I2645:I2708" si="339">LambdaP*MassivP/(dp/1000)/(H2645*RhoA)/(1+F2645/3)*(D2645-E2645)*DeltaT-(EXP(F2645/10)-1)*(D2645-D2644)</f>
        <v>0.20024813850667844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936.51914079912046</v>
      </c>
      <c r="F2646" s="38">
        <f t="shared" si="333"/>
        <v>0.25965841512925553</v>
      </c>
      <c r="G2646" s="14">
        <f t="shared" si="334"/>
        <v>0</v>
      </c>
      <c r="H2646" s="24">
        <f t="shared" si="332"/>
        <v>650</v>
      </c>
      <c r="I2646" s="12">
        <f t="shared" si="339"/>
        <v>0.20010610890174094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936.71924690802223</v>
      </c>
      <c r="F2647" s="38">
        <f t="shared" si="333"/>
        <v>0.25965841512925553</v>
      </c>
      <c r="G2647" s="14">
        <f t="shared" si="334"/>
        <v>0</v>
      </c>
      <c r="H2647" s="24">
        <f t="shared" si="332"/>
        <v>650</v>
      </c>
      <c r="I2647" s="12">
        <f t="shared" si="339"/>
        <v>0.19996419867452636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936.91921110669671</v>
      </c>
      <c r="F2648" s="38">
        <f t="shared" si="333"/>
        <v>0.25965841512925553</v>
      </c>
      <c r="G2648" s="14">
        <f t="shared" si="334"/>
        <v>0</v>
      </c>
      <c r="H2648" s="24">
        <f t="shared" si="332"/>
        <v>650</v>
      </c>
      <c r="I2648" s="12">
        <f t="shared" si="339"/>
        <v>0.19982240772312101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937.11903351441981</v>
      </c>
      <c r="F2649" s="38">
        <f t="shared" si="333"/>
        <v>0.25965841512925553</v>
      </c>
      <c r="G2649" s="14">
        <f t="shared" si="334"/>
        <v>0</v>
      </c>
      <c r="H2649" s="24">
        <f t="shared" si="332"/>
        <v>650</v>
      </c>
      <c r="I2649" s="12">
        <f t="shared" si="339"/>
        <v>0.19968073594565855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937.31871425036547</v>
      </c>
      <c r="F2650" s="38">
        <f t="shared" si="333"/>
        <v>0.25965841512925553</v>
      </c>
      <c r="G2650" s="14">
        <f t="shared" si="334"/>
        <v>0</v>
      </c>
      <c r="H2650" s="24">
        <f t="shared" si="332"/>
        <v>650</v>
      </c>
      <c r="I2650" s="12">
        <f t="shared" si="339"/>
        <v>0.19953918324038486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937.51825343360588</v>
      </c>
      <c r="F2651" s="38">
        <f t="shared" si="333"/>
        <v>0.25965841512925553</v>
      </c>
      <c r="G2651" s="14">
        <f t="shared" si="334"/>
        <v>0</v>
      </c>
      <c r="H2651" s="24">
        <f t="shared" si="332"/>
        <v>650</v>
      </c>
      <c r="I2651" s="12">
        <f t="shared" si="339"/>
        <v>0.1993977495055991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937.71765118311146</v>
      </c>
      <c r="F2652" s="38">
        <f t="shared" si="333"/>
        <v>0.25965841512925553</v>
      </c>
      <c r="G2652" s="14">
        <f t="shared" si="334"/>
        <v>0</v>
      </c>
      <c r="H2652" s="24">
        <f t="shared" si="332"/>
        <v>650</v>
      </c>
      <c r="I2652" s="12">
        <f t="shared" si="339"/>
        <v>0.19925643463972378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937.91690761775124</v>
      </c>
      <c r="F2653" s="38">
        <f t="shared" si="333"/>
        <v>0.25965841512925553</v>
      </c>
      <c r="G2653" s="14">
        <f t="shared" si="334"/>
        <v>0</v>
      </c>
      <c r="H2653" s="24">
        <f t="shared" si="332"/>
        <v>650</v>
      </c>
      <c r="I2653" s="12">
        <f t="shared" si="339"/>
        <v>0.19911523854120539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938.11602285629249</v>
      </c>
      <c r="F2654" s="38">
        <f t="shared" si="333"/>
        <v>0.25965841512925553</v>
      </c>
      <c r="G2654" s="14">
        <f t="shared" si="334"/>
        <v>0</v>
      </c>
      <c r="H2654" s="24">
        <f t="shared" si="332"/>
        <v>650</v>
      </c>
      <c r="I2654" s="12">
        <f t="shared" si="339"/>
        <v>0.19897416110863173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938.31499701740108</v>
      </c>
      <c r="F2655" s="38">
        <f t="shared" si="333"/>
        <v>0.25965841512925553</v>
      </c>
      <c r="G2655" s="14">
        <f t="shared" si="334"/>
        <v>0</v>
      </c>
      <c r="H2655" s="24">
        <f t="shared" si="332"/>
        <v>650</v>
      </c>
      <c r="I2655" s="12">
        <f t="shared" si="339"/>
        <v>0.19883320224061418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938.5138302196417</v>
      </c>
      <c r="F2656" s="38">
        <f t="shared" si="333"/>
        <v>0.25965841512925553</v>
      </c>
      <c r="G2656" s="14">
        <f t="shared" si="334"/>
        <v>0</v>
      </c>
      <c r="H2656" s="24">
        <f t="shared" si="332"/>
        <v>650</v>
      </c>
      <c r="I2656" s="12">
        <f t="shared" si="339"/>
        <v>0.19869236183589378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938.71252258147763</v>
      </c>
      <c r="F2657" s="38">
        <f t="shared" si="333"/>
        <v>0.25965841512925553</v>
      </c>
      <c r="G2657" s="14">
        <f t="shared" si="334"/>
        <v>0</v>
      </c>
      <c r="H2657" s="24">
        <f t="shared" si="332"/>
        <v>650</v>
      </c>
      <c r="I2657" s="12">
        <f t="shared" si="339"/>
        <v>0.19855163979328727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938.91107422127095</v>
      </c>
      <c r="F2658" s="38">
        <f t="shared" si="333"/>
        <v>0.25965841512925553</v>
      </c>
      <c r="G2658" s="14">
        <f t="shared" si="334"/>
        <v>0</v>
      </c>
      <c r="H2658" s="24">
        <f t="shared" si="332"/>
        <v>650</v>
      </c>
      <c r="I2658" s="12">
        <f t="shared" si="339"/>
        <v>0.19841103601164725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939.10948525728259</v>
      </c>
      <c r="F2659" s="38">
        <f t="shared" si="333"/>
        <v>0.25965841512925553</v>
      </c>
      <c r="G2659" s="14">
        <f t="shared" si="334"/>
        <v>0</v>
      </c>
      <c r="H2659" s="24">
        <f t="shared" si="332"/>
        <v>650</v>
      </c>
      <c r="I2659" s="12">
        <f t="shared" si="339"/>
        <v>0.19827055038997313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939.30775580767261</v>
      </c>
      <c r="F2660" s="38">
        <f t="shared" si="333"/>
        <v>0.25965841512925553</v>
      </c>
      <c r="G2660" s="14">
        <f t="shared" si="334"/>
        <v>0</v>
      </c>
      <c r="H2660" s="24">
        <f t="shared" si="332"/>
        <v>650</v>
      </c>
      <c r="I2660" s="12">
        <f t="shared" si="339"/>
        <v>0.19813018282729319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939.50588599049991</v>
      </c>
      <c r="F2661" s="38">
        <f t="shared" si="333"/>
        <v>0.25965841512925553</v>
      </c>
      <c r="G2661" s="14">
        <f t="shared" si="334"/>
        <v>0</v>
      </c>
      <c r="H2661" s="24">
        <f t="shared" si="332"/>
        <v>650</v>
      </c>
      <c r="I2661" s="12">
        <f t="shared" si="339"/>
        <v>0.19798993322274758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939.70387592372265</v>
      </c>
      <c r="F2662" s="38">
        <f t="shared" si="333"/>
        <v>0.25965841512925553</v>
      </c>
      <c r="G2662" s="14">
        <f t="shared" si="334"/>
        <v>0</v>
      </c>
      <c r="H2662" s="24">
        <f t="shared" si="332"/>
        <v>650</v>
      </c>
      <c r="I2662" s="12">
        <f t="shared" si="339"/>
        <v>0.19784980147554651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939.90172572519816</v>
      </c>
      <c r="F2663" s="38">
        <f t="shared" si="333"/>
        <v>0.25965841512925553</v>
      </c>
      <c r="G2663" s="14">
        <f t="shared" si="334"/>
        <v>0</v>
      </c>
      <c r="H2663" s="24">
        <f t="shared" si="332"/>
        <v>650</v>
      </c>
      <c r="I2663" s="12">
        <f t="shared" si="339"/>
        <v>0.19770978748497645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940.09943551268316</v>
      </c>
      <c r="F2664" s="38">
        <f t="shared" si="333"/>
        <v>0.25965841512925553</v>
      </c>
      <c r="G2664" s="14">
        <f t="shared" si="334"/>
        <v>0</v>
      </c>
      <c r="H2664" s="24">
        <f t="shared" si="332"/>
        <v>650</v>
      </c>
      <c r="I2664" s="12">
        <f t="shared" si="339"/>
        <v>0.19756989115042317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940.29700540383362</v>
      </c>
      <c r="F2665" s="38">
        <f t="shared" si="333"/>
        <v>0.25965841512925553</v>
      </c>
      <c r="G2665" s="14">
        <f t="shared" si="334"/>
        <v>0</v>
      </c>
      <c r="H2665" s="24">
        <f t="shared" si="332"/>
        <v>650</v>
      </c>
      <c r="I2665" s="12">
        <f t="shared" si="339"/>
        <v>0.19743011237132538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940.49443551620493</v>
      </c>
      <c r="F2666" s="38">
        <f t="shared" si="333"/>
        <v>0.25965841512925553</v>
      </c>
      <c r="G2666" s="14">
        <f t="shared" si="334"/>
        <v>0</v>
      </c>
      <c r="H2666" s="24">
        <f t="shared" si="332"/>
        <v>650</v>
      </c>
      <c r="I2666" s="12">
        <f t="shared" si="339"/>
        <v>0.19729045104724427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940.69172596725218</v>
      </c>
      <c r="F2667" s="38">
        <f t="shared" si="333"/>
        <v>0.25965841512925553</v>
      </c>
      <c r="G2667" s="14">
        <f t="shared" si="334"/>
        <v>0</v>
      </c>
      <c r="H2667" s="24">
        <f t="shared" si="332"/>
        <v>650</v>
      </c>
      <c r="I2667" s="12">
        <f t="shared" si="339"/>
        <v>0.19715090707776431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940.88887687432998</v>
      </c>
      <c r="F2668" s="38">
        <f t="shared" si="333"/>
        <v>0.25965841512925553</v>
      </c>
      <c r="G2668" s="14">
        <f t="shared" si="334"/>
        <v>0</v>
      </c>
      <c r="H2668" s="24">
        <f t="shared" si="332"/>
        <v>650</v>
      </c>
      <c r="I2668" s="12">
        <f t="shared" si="339"/>
        <v>0.19701148036261629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941.08588835469254</v>
      </c>
      <c r="F2669" s="38">
        <f t="shared" si="333"/>
        <v>0.25965841512925553</v>
      </c>
      <c r="G2669" s="14">
        <f t="shared" si="334"/>
        <v>0</v>
      </c>
      <c r="H2669" s="24">
        <f t="shared" si="332"/>
        <v>650</v>
      </c>
      <c r="I2669" s="12">
        <f t="shared" si="339"/>
        <v>0.19687217080154823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941.28276052549404</v>
      </c>
      <c r="F2670" s="38">
        <f t="shared" si="333"/>
        <v>0.25965841512925553</v>
      </c>
      <c r="G2670" s="14">
        <f t="shared" si="334"/>
        <v>0</v>
      </c>
      <c r="H2670" s="24">
        <f t="shared" si="332"/>
        <v>650</v>
      </c>
      <c r="I2670" s="12">
        <f t="shared" si="339"/>
        <v>0.19673297829445405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941.47949350378849</v>
      </c>
      <c r="F2671" s="38">
        <f t="shared" si="333"/>
        <v>0.25965841512925553</v>
      </c>
      <c r="G2671" s="14">
        <f t="shared" si="334"/>
        <v>0</v>
      </c>
      <c r="H2671" s="24">
        <f t="shared" si="332"/>
        <v>650</v>
      </c>
      <c r="I2671" s="12">
        <f t="shared" si="339"/>
        <v>0.19659390274124458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941.67608740652975</v>
      </c>
      <c r="F2672" s="38">
        <f t="shared" si="333"/>
        <v>0.25965841512925553</v>
      </c>
      <c r="G2672" s="14">
        <f t="shared" si="334"/>
        <v>0</v>
      </c>
      <c r="H2672" s="24">
        <f t="shared" si="332"/>
        <v>650</v>
      </c>
      <c r="I2672" s="12">
        <f t="shared" si="339"/>
        <v>0.19645494404195957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941.87254235057173</v>
      </c>
      <c r="F2673" s="38">
        <f t="shared" si="333"/>
        <v>0.25965841512925553</v>
      </c>
      <c r="G2673" s="14">
        <f t="shared" si="334"/>
        <v>0</v>
      </c>
      <c r="H2673" s="24">
        <f t="shared" si="332"/>
        <v>650</v>
      </c>
      <c r="I2673" s="12">
        <f t="shared" si="339"/>
        <v>0.19631610209670203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942.06885845266845</v>
      </c>
      <c r="F2674" s="38">
        <f t="shared" si="333"/>
        <v>0.25965841512925553</v>
      </c>
      <c r="G2674" s="14">
        <f t="shared" si="334"/>
        <v>0</v>
      </c>
      <c r="H2674" s="24">
        <f t="shared" si="332"/>
        <v>650</v>
      </c>
      <c r="I2674" s="12">
        <f t="shared" si="339"/>
        <v>0.19617737680563932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942.26503582947407</v>
      </c>
      <c r="F2675" s="38">
        <f t="shared" si="333"/>
        <v>0.25965841512925553</v>
      </c>
      <c r="G2675" s="14">
        <f t="shared" si="334"/>
        <v>0</v>
      </c>
      <c r="H2675" s="24">
        <f t="shared" si="332"/>
        <v>650</v>
      </c>
      <c r="I2675" s="12">
        <f t="shared" si="339"/>
        <v>0.19603876806904935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942.46107459754307</v>
      </c>
      <c r="F2676" s="38">
        <f t="shared" si="333"/>
        <v>0.25965841512925553</v>
      </c>
      <c r="G2676" s="14">
        <f t="shared" si="334"/>
        <v>0</v>
      </c>
      <c r="H2676" s="24">
        <f t="shared" si="332"/>
        <v>650</v>
      </c>
      <c r="I2676" s="12">
        <f t="shared" si="339"/>
        <v>0.19590027578727354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942.65697487333034</v>
      </c>
      <c r="F2677" s="38">
        <f t="shared" si="333"/>
        <v>0.25965841512925553</v>
      </c>
      <c r="G2677" s="14">
        <f t="shared" si="334"/>
        <v>0</v>
      </c>
      <c r="H2677" s="24">
        <f t="shared" si="332"/>
        <v>650</v>
      </c>
      <c r="I2677" s="12">
        <f t="shared" si="339"/>
        <v>0.19576189986073461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942.85273677319105</v>
      </c>
      <c r="F2678" s="38">
        <f t="shared" si="333"/>
        <v>0.25965841512925553</v>
      </c>
      <c r="G2678" s="14">
        <f t="shared" si="334"/>
        <v>0</v>
      </c>
      <c r="H2678" s="24">
        <f t="shared" si="332"/>
        <v>650</v>
      </c>
      <c r="I2678" s="12">
        <f t="shared" si="339"/>
        <v>0.19562364018994818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943.04836041338103</v>
      </c>
      <c r="F2679" s="38">
        <f t="shared" si="333"/>
        <v>0.25965841512925553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650</v>
      </c>
      <c r="I2679" s="12">
        <f t="shared" si="339"/>
        <v>0.19548549667547593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943.24384591005651</v>
      </c>
      <c r="F2680" s="38">
        <f t="shared" si="333"/>
        <v>0.25965841512925553</v>
      </c>
      <c r="G2680" s="14">
        <f t="shared" si="334"/>
        <v>0</v>
      </c>
      <c r="H2680" s="24">
        <f t="shared" si="340"/>
        <v>650</v>
      </c>
      <c r="I2680" s="12">
        <f t="shared" si="339"/>
        <v>0.19534746921801924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943.43919337927457</v>
      </c>
      <c r="F2681" s="38">
        <f t="shared" si="333"/>
        <v>0.25965841512925553</v>
      </c>
      <c r="G2681" s="14">
        <f t="shared" si="334"/>
        <v>0</v>
      </c>
      <c r="H2681" s="24">
        <f t="shared" si="340"/>
        <v>650</v>
      </c>
      <c r="I2681" s="12">
        <f t="shared" si="339"/>
        <v>0.19520955771829565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943.63440293699284</v>
      </c>
      <c r="F2682" s="38">
        <f t="shared" si="333"/>
        <v>0.25965841512925553</v>
      </c>
      <c r="G2682" s="14">
        <f t="shared" si="334"/>
        <v>0</v>
      </c>
      <c r="H2682" s="24">
        <f t="shared" si="340"/>
        <v>650</v>
      </c>
      <c r="I2682" s="12">
        <f t="shared" si="339"/>
        <v>0.19507176207713389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943.82947469906992</v>
      </c>
      <c r="F2683" s="38">
        <f t="shared" si="333"/>
        <v>0.25965841512925553</v>
      </c>
      <c r="G2683" s="14">
        <f t="shared" si="334"/>
        <v>0</v>
      </c>
      <c r="H2683" s="24">
        <f t="shared" si="340"/>
        <v>650</v>
      </c>
      <c r="I2683" s="12">
        <f t="shared" si="339"/>
        <v>0.19493408219546621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944.02440878126538</v>
      </c>
      <c r="F2684" s="38">
        <f t="shared" si="333"/>
        <v>0.25965841512925553</v>
      </c>
      <c r="G2684" s="14">
        <f t="shared" si="334"/>
        <v>0</v>
      </c>
      <c r="H2684" s="24">
        <f t="shared" si="340"/>
        <v>650</v>
      </c>
      <c r="I2684" s="12">
        <f t="shared" si="339"/>
        <v>0.19479651797425315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944.21920529923966</v>
      </c>
      <c r="F2685" s="38">
        <f t="shared" si="333"/>
        <v>0.25965841512925553</v>
      </c>
      <c r="G2685" s="14">
        <f t="shared" si="334"/>
        <v>0</v>
      </c>
      <c r="H2685" s="24">
        <f t="shared" si="340"/>
        <v>650</v>
      </c>
      <c r="I2685" s="12">
        <f t="shared" si="339"/>
        <v>0.19465906931457719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944.41386436855419</v>
      </c>
      <c r="F2686" s="38">
        <f t="shared" si="333"/>
        <v>0.25965841512925553</v>
      </c>
      <c r="G2686" s="14">
        <f t="shared" si="334"/>
        <v>0</v>
      </c>
      <c r="H2686" s="24">
        <f t="shared" si="340"/>
        <v>650</v>
      </c>
      <c r="I2686" s="12">
        <f t="shared" si="339"/>
        <v>0.19452173611757831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944.60838610467181</v>
      </c>
      <c r="F2687" s="38">
        <f t="shared" si="333"/>
        <v>0.25965841512925553</v>
      </c>
      <c r="G2687" s="14">
        <f t="shared" si="334"/>
        <v>0</v>
      </c>
      <c r="H2687" s="24">
        <f t="shared" si="340"/>
        <v>650</v>
      </c>
      <c r="I2687" s="12">
        <f t="shared" si="339"/>
        <v>0.19438451828448278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944.80277062295625</v>
      </c>
      <c r="F2688" s="38">
        <f t="shared" si="333"/>
        <v>0.25965841512925553</v>
      </c>
      <c r="G2688" s="14">
        <f t="shared" si="334"/>
        <v>0</v>
      </c>
      <c r="H2688" s="24">
        <f t="shared" si="340"/>
        <v>650</v>
      </c>
      <c r="I2688" s="12">
        <f t="shared" si="339"/>
        <v>0.19424741571660956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944.99701803867288</v>
      </c>
      <c r="F2689" s="38">
        <f t="shared" si="333"/>
        <v>0.25965841512925553</v>
      </c>
      <c r="G2689" s="14">
        <f t="shared" si="334"/>
        <v>0</v>
      </c>
      <c r="H2689" s="24">
        <f t="shared" si="340"/>
        <v>650</v>
      </c>
      <c r="I2689" s="12">
        <f t="shared" si="339"/>
        <v>0.19411042831533423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945.19112846698818</v>
      </c>
      <c r="F2690" s="38">
        <f t="shared" si="333"/>
        <v>0.25965841512925553</v>
      </c>
      <c r="G2690" s="14">
        <f t="shared" si="334"/>
        <v>0</v>
      </c>
      <c r="H2690" s="24">
        <f t="shared" si="340"/>
        <v>650</v>
      </c>
      <c r="I2690" s="12">
        <f t="shared" si="339"/>
        <v>0.19397355598213112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945.38510202297027</v>
      </c>
      <c r="F2691" s="38">
        <f t="shared" si="333"/>
        <v>0.25965841512925553</v>
      </c>
      <c r="G2691" s="14">
        <f t="shared" si="334"/>
        <v>0</v>
      </c>
      <c r="H2691" s="24">
        <f t="shared" si="340"/>
        <v>650</v>
      </c>
      <c r="I2691" s="12">
        <f t="shared" si="339"/>
        <v>0.19383679861854292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945.57893882158885</v>
      </c>
      <c r="F2692" s="38">
        <f t="shared" si="333"/>
        <v>0.25965841512925553</v>
      </c>
      <c r="G2692" s="14">
        <f t="shared" si="334"/>
        <v>0</v>
      </c>
      <c r="H2692" s="24">
        <f t="shared" si="340"/>
        <v>650</v>
      </c>
      <c r="I2692" s="12">
        <f t="shared" si="339"/>
        <v>0.19370015612620448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945.77263897771502</v>
      </c>
      <c r="F2693" s="38">
        <f t="shared" si="333"/>
        <v>0.25965841512925553</v>
      </c>
      <c r="G2693" s="14">
        <f t="shared" si="334"/>
        <v>0</v>
      </c>
      <c r="H2693" s="24">
        <f t="shared" si="340"/>
        <v>650</v>
      </c>
      <c r="I2693" s="12">
        <f t="shared" si="339"/>
        <v>0.19356362840680796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945.96620260612178</v>
      </c>
      <c r="F2694" s="38">
        <f t="shared" si="333"/>
        <v>0.25965841512925553</v>
      </c>
      <c r="G2694" s="14">
        <f t="shared" si="334"/>
        <v>0</v>
      </c>
      <c r="H2694" s="24">
        <f t="shared" si="340"/>
        <v>650</v>
      </c>
      <c r="I2694" s="12">
        <f t="shared" si="339"/>
        <v>0.19342721536214919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946.15962982148392</v>
      </c>
      <c r="F2695" s="38">
        <f t="shared" si="333"/>
        <v>0.25965841512925553</v>
      </c>
      <c r="G2695" s="14">
        <f t="shared" si="334"/>
        <v>0</v>
      </c>
      <c r="H2695" s="24">
        <f t="shared" si="340"/>
        <v>650</v>
      </c>
      <c r="I2695" s="12">
        <f t="shared" si="339"/>
        <v>0.19329091689410385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946.35292073837797</v>
      </c>
      <c r="F2696" s="38">
        <f t="shared" si="333"/>
        <v>0.25965841512925553</v>
      </c>
      <c r="G2696" s="14">
        <f t="shared" si="334"/>
        <v>0</v>
      </c>
      <c r="H2696" s="24">
        <f t="shared" si="340"/>
        <v>650</v>
      </c>
      <c r="I2696" s="12">
        <f t="shared" si="339"/>
        <v>0.19315473290459315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946.54607547128262</v>
      </c>
      <c r="F2697" s="38">
        <f t="shared" si="333"/>
        <v>0.25965841512925553</v>
      </c>
      <c r="G2697" s="14">
        <f t="shared" si="334"/>
        <v>0</v>
      </c>
      <c r="H2697" s="24">
        <f t="shared" si="340"/>
        <v>650</v>
      </c>
      <c r="I2697" s="12">
        <f t="shared" si="339"/>
        <v>0.19301866329565945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946.73909413457829</v>
      </c>
      <c r="F2698" s="38">
        <f t="shared" si="333"/>
        <v>0.25965841512925553</v>
      </c>
      <c r="G2698" s="14">
        <f t="shared" si="334"/>
        <v>0</v>
      </c>
      <c r="H2698" s="24">
        <f t="shared" si="340"/>
        <v>650</v>
      </c>
      <c r="I2698" s="12">
        <f t="shared" si="339"/>
        <v>0.19288270796940751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946.93197684254767</v>
      </c>
      <c r="F2699" s="38">
        <f t="shared" si="333"/>
        <v>0.25965841512925553</v>
      </c>
      <c r="G2699" s="14">
        <f t="shared" si="334"/>
        <v>0</v>
      </c>
      <c r="H2699" s="24">
        <f t="shared" si="340"/>
        <v>650</v>
      </c>
      <c r="I2699" s="12">
        <f t="shared" si="339"/>
        <v>0.19274686682801631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947.12472370937564</v>
      </c>
      <c r="F2700" s="38">
        <f t="shared" si="333"/>
        <v>0.25965841512925553</v>
      </c>
      <c r="G2700" s="14">
        <f t="shared" si="334"/>
        <v>0</v>
      </c>
      <c r="H2700" s="24">
        <f t="shared" si="340"/>
        <v>650</v>
      </c>
      <c r="I2700" s="12">
        <f t="shared" si="339"/>
        <v>0.19261113977374489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947.31733484914935</v>
      </c>
      <c r="F2701" s="38">
        <f t="shared" si="333"/>
        <v>0.25965841512925553</v>
      </c>
      <c r="G2701" s="14">
        <f t="shared" si="334"/>
        <v>0</v>
      </c>
      <c r="H2701" s="24">
        <f t="shared" si="340"/>
        <v>650</v>
      </c>
      <c r="I2701" s="12">
        <f t="shared" si="339"/>
        <v>0.19247552670894413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947.50981037585825</v>
      </c>
      <c r="F2702" s="38">
        <f t="shared" si="333"/>
        <v>0.25965841512925553</v>
      </c>
      <c r="G2702" s="14">
        <f t="shared" si="334"/>
        <v>0</v>
      </c>
      <c r="H2702" s="24">
        <f t="shared" si="340"/>
        <v>650</v>
      </c>
      <c r="I2702" s="12">
        <f t="shared" si="339"/>
        <v>0.1923400275360328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947.70215040339428</v>
      </c>
      <c r="F2703" s="38">
        <f t="shared" si="333"/>
        <v>0.25965841512925553</v>
      </c>
      <c r="G2703" s="14">
        <f t="shared" si="334"/>
        <v>0</v>
      </c>
      <c r="H2703" s="24">
        <f t="shared" si="340"/>
        <v>650</v>
      </c>
      <c r="I2703" s="12">
        <f t="shared" si="339"/>
        <v>0.19220464215750965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947.89435504555183</v>
      </c>
      <c r="F2704" s="38">
        <f t="shared" si="333"/>
        <v>0.25965841512925553</v>
      </c>
      <c r="G2704" s="14">
        <f t="shared" si="334"/>
        <v>0</v>
      </c>
      <c r="H2704" s="24">
        <f t="shared" si="340"/>
        <v>650</v>
      </c>
      <c r="I2704" s="12">
        <f t="shared" si="339"/>
        <v>0.19206937047595338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948.08642441602774</v>
      </c>
      <c r="F2705" s="38">
        <f t="shared" si="333"/>
        <v>0.25965841512925553</v>
      </c>
      <c r="G2705" s="14">
        <f t="shared" si="334"/>
        <v>0</v>
      </c>
      <c r="H2705" s="24">
        <f t="shared" si="340"/>
        <v>650</v>
      </c>
      <c r="I2705" s="12">
        <f t="shared" si="339"/>
        <v>0.19193421239403408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948.27835862842176</v>
      </c>
      <c r="F2706" s="38">
        <f t="shared" si="333"/>
        <v>0.25965841512925553</v>
      </c>
      <c r="G2706" s="14">
        <f t="shared" si="334"/>
        <v>0</v>
      </c>
      <c r="H2706" s="24">
        <f t="shared" si="340"/>
        <v>650</v>
      </c>
      <c r="I2706" s="12">
        <f t="shared" si="339"/>
        <v>0.19179916781446624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948.47015779623621</v>
      </c>
      <c r="F2707" s="38">
        <f t="shared" si="333"/>
        <v>0.25965841512925553</v>
      </c>
      <c r="G2707" s="14">
        <f t="shared" si="334"/>
        <v>0</v>
      </c>
      <c r="H2707" s="24">
        <f t="shared" si="340"/>
        <v>650</v>
      </c>
      <c r="I2707" s="12">
        <f t="shared" si="339"/>
        <v>0.19166423664009716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948.66182203287633</v>
      </c>
      <c r="F2708" s="38">
        <f t="shared" ref="F2708:F2771" si="341">Cp*RhoP/(RhoA*H2708)*dp/1000*MassivP</f>
        <v>0.25965841512925553</v>
      </c>
      <c r="G2708" s="14">
        <f t="shared" ref="G2708:G2771" si="342">Phi*EpsilonF*Botzman/10^8*J2708*((D2708+273)^4-(E2708+273)^4)</f>
        <v>0</v>
      </c>
      <c r="H2708" s="24">
        <f t="shared" si="340"/>
        <v>650</v>
      </c>
      <c r="I2708" s="12">
        <f t="shared" si="339"/>
        <v>0.191529418773806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948.85335145165016</v>
      </c>
      <c r="F2709" s="38">
        <f t="shared" si="341"/>
        <v>0.25965841512925553</v>
      </c>
      <c r="G2709" s="14">
        <f t="shared" si="342"/>
        <v>0</v>
      </c>
      <c r="H2709" s="24">
        <f t="shared" si="340"/>
        <v>650</v>
      </c>
      <c r="I2709" s="12">
        <f t="shared" ref="I2709:I2772" si="347">LambdaP*MassivP/(dp/1000)/(H2709*RhoA)/(1+F2709/3)*(D2709-E2709)*DeltaT-(EXP(F2709/10)-1)*(D2709-D2708)</f>
        <v>0.19139471411855832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949.04474616576874</v>
      </c>
      <c r="F2710" s="38">
        <f t="shared" si="341"/>
        <v>0.25965841512925553</v>
      </c>
      <c r="G2710" s="14">
        <f t="shared" si="342"/>
        <v>0</v>
      </c>
      <c r="H2710" s="24">
        <f t="shared" si="340"/>
        <v>650</v>
      </c>
      <c r="I2710" s="12">
        <f t="shared" si="347"/>
        <v>0.19126012257743383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949.23600628834618</v>
      </c>
      <c r="F2711" s="38">
        <f t="shared" si="341"/>
        <v>0.25965841512925553</v>
      </c>
      <c r="G2711" s="14">
        <f t="shared" si="342"/>
        <v>0</v>
      </c>
      <c r="H2711" s="24">
        <f t="shared" si="340"/>
        <v>650</v>
      </c>
      <c r="I2711" s="12">
        <f t="shared" si="347"/>
        <v>0.19112564405354465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949.42713193239967</v>
      </c>
      <c r="F2712" s="38">
        <f t="shared" si="341"/>
        <v>0.25965841512925553</v>
      </c>
      <c r="G2712" s="14">
        <f t="shared" si="342"/>
        <v>0</v>
      </c>
      <c r="H2712" s="24">
        <f t="shared" si="340"/>
        <v>650</v>
      </c>
      <c r="I2712" s="12">
        <f t="shared" si="347"/>
        <v>0.19099127845010613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949.61812321084983</v>
      </c>
      <c r="F2713" s="38">
        <f t="shared" si="341"/>
        <v>0.25965841512925553</v>
      </c>
      <c r="G2713" s="14">
        <f t="shared" si="342"/>
        <v>0</v>
      </c>
      <c r="H2713" s="24">
        <f t="shared" si="340"/>
        <v>650</v>
      </c>
      <c r="I2713" s="12">
        <f t="shared" si="347"/>
        <v>0.19085702567041257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949.80898023652026</v>
      </c>
      <c r="F2714" s="38">
        <f t="shared" si="341"/>
        <v>0.25965841512925553</v>
      </c>
      <c r="G2714" s="14">
        <f t="shared" si="342"/>
        <v>0</v>
      </c>
      <c r="H2714" s="24">
        <f t="shared" si="340"/>
        <v>650</v>
      </c>
      <c r="I2714" s="12">
        <f t="shared" si="347"/>
        <v>0.1907228856178261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949.99970312213804</v>
      </c>
      <c r="F2715" s="38">
        <f t="shared" si="341"/>
        <v>0.25965841512925553</v>
      </c>
      <c r="G2715" s="14">
        <f t="shared" si="342"/>
        <v>0</v>
      </c>
      <c r="H2715" s="24">
        <f t="shared" si="340"/>
        <v>650</v>
      </c>
      <c r="I2715" s="12">
        <f t="shared" si="347"/>
        <v>0.19058885819580562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950.19029198033388</v>
      </c>
      <c r="F2716" s="38">
        <f t="shared" si="341"/>
        <v>0.25965841512925553</v>
      </c>
      <c r="G2716" s="14">
        <f t="shared" si="342"/>
        <v>0</v>
      </c>
      <c r="H2716" s="24">
        <f t="shared" si="340"/>
        <v>650</v>
      </c>
      <c r="I2716" s="12">
        <f t="shared" si="347"/>
        <v>0.19045494330785967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950.38074692364171</v>
      </c>
      <c r="F2717" s="38">
        <f t="shared" si="341"/>
        <v>0.25965841512925553</v>
      </c>
      <c r="G2717" s="14">
        <f t="shared" si="342"/>
        <v>0</v>
      </c>
      <c r="H2717" s="24">
        <f t="shared" si="340"/>
        <v>650</v>
      </c>
      <c r="I2717" s="12">
        <f t="shared" si="347"/>
        <v>0.19032114085761132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950.57106806449929</v>
      </c>
      <c r="F2718" s="38">
        <f t="shared" si="341"/>
        <v>0.25965841512925553</v>
      </c>
      <c r="G2718" s="14">
        <f t="shared" si="342"/>
        <v>0</v>
      </c>
      <c r="H2718" s="24">
        <f t="shared" si="340"/>
        <v>650</v>
      </c>
      <c r="I2718" s="12">
        <f t="shared" si="347"/>
        <v>0.19018745074873314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950.76125551524797</v>
      </c>
      <c r="F2719" s="38">
        <f t="shared" si="341"/>
        <v>0.25965841512925553</v>
      </c>
      <c r="G2719" s="14">
        <f t="shared" si="342"/>
        <v>0</v>
      </c>
      <c r="H2719" s="24">
        <f t="shared" si="340"/>
        <v>650</v>
      </c>
      <c r="I2719" s="12">
        <f t="shared" si="347"/>
        <v>0.19005387288497697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950.95130938813293</v>
      </c>
      <c r="F2720" s="38">
        <f t="shared" si="341"/>
        <v>0.25965841512925553</v>
      </c>
      <c r="G2720" s="14">
        <f t="shared" si="342"/>
        <v>0</v>
      </c>
      <c r="H2720" s="24">
        <f t="shared" si="340"/>
        <v>650</v>
      </c>
      <c r="I2720" s="12">
        <f t="shared" si="347"/>
        <v>0.1899204071701914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951.14122979530316</v>
      </c>
      <c r="F2721" s="38">
        <f t="shared" si="341"/>
        <v>0.25965841512925553</v>
      </c>
      <c r="G2721" s="14">
        <f t="shared" si="342"/>
        <v>0</v>
      </c>
      <c r="H2721" s="24">
        <f t="shared" si="340"/>
        <v>650</v>
      </c>
      <c r="I2721" s="12">
        <f t="shared" si="347"/>
        <v>0.1897870535083091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951.33101684881149</v>
      </c>
      <c r="F2722" s="38">
        <f t="shared" si="341"/>
        <v>0.25965841512925553</v>
      </c>
      <c r="G2722" s="14">
        <f t="shared" si="342"/>
        <v>0</v>
      </c>
      <c r="H2722" s="24">
        <f t="shared" si="340"/>
        <v>650</v>
      </c>
      <c r="I2722" s="12">
        <f t="shared" si="347"/>
        <v>0.18965381180329513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951.52067066061477</v>
      </c>
      <c r="F2723" s="38">
        <f t="shared" si="341"/>
        <v>0.25965841512925553</v>
      </c>
      <c r="G2723" s="14">
        <f t="shared" si="342"/>
        <v>0</v>
      </c>
      <c r="H2723" s="24">
        <f t="shared" si="340"/>
        <v>650</v>
      </c>
      <c r="I2723" s="12">
        <f t="shared" si="347"/>
        <v>0.18952068195924626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951.71019134257403</v>
      </c>
      <c r="F2724" s="38">
        <f t="shared" si="341"/>
        <v>0.25965841512925553</v>
      </c>
      <c r="G2724" s="14">
        <f t="shared" si="342"/>
        <v>0</v>
      </c>
      <c r="H2724" s="24">
        <f t="shared" si="340"/>
        <v>650</v>
      </c>
      <c r="I2724" s="12">
        <f t="shared" si="347"/>
        <v>0.18938766388030254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951.89957900645436</v>
      </c>
      <c r="F2725" s="38">
        <f t="shared" si="341"/>
        <v>0.25965841512925553</v>
      </c>
      <c r="G2725" s="14">
        <f t="shared" si="342"/>
        <v>0</v>
      </c>
      <c r="H2725" s="24">
        <f t="shared" si="340"/>
        <v>650</v>
      </c>
      <c r="I2725" s="12">
        <f t="shared" si="347"/>
        <v>0.18925475747071205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952.08883376392509</v>
      </c>
      <c r="F2726" s="38">
        <f t="shared" si="341"/>
        <v>0.25965841512925553</v>
      </c>
      <c r="G2726" s="14">
        <f t="shared" si="342"/>
        <v>0</v>
      </c>
      <c r="H2726" s="24">
        <f t="shared" si="340"/>
        <v>650</v>
      </c>
      <c r="I2726" s="12">
        <f t="shared" si="347"/>
        <v>0.18912196263474881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952.27795572655987</v>
      </c>
      <c r="F2727" s="38">
        <f t="shared" si="341"/>
        <v>0.25965841512925553</v>
      </c>
      <c r="G2727" s="14">
        <f t="shared" si="342"/>
        <v>0</v>
      </c>
      <c r="H2727" s="24">
        <f t="shared" si="340"/>
        <v>650</v>
      </c>
      <c r="I2727" s="12">
        <f t="shared" si="347"/>
        <v>0.1889892792768359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952.46694500583669</v>
      </c>
      <c r="F2728" s="38">
        <f t="shared" si="341"/>
        <v>0.25965841512925553</v>
      </c>
      <c r="G2728" s="14">
        <f t="shared" si="342"/>
        <v>0</v>
      </c>
      <c r="H2728" s="24">
        <f t="shared" si="340"/>
        <v>650</v>
      </c>
      <c r="I2728" s="12">
        <f t="shared" si="347"/>
        <v>0.18885670730141033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952.65580171313809</v>
      </c>
      <c r="F2729" s="38">
        <f t="shared" si="341"/>
        <v>0.25965841512925553</v>
      </c>
      <c r="G2729" s="14">
        <f t="shared" si="342"/>
        <v>0</v>
      </c>
      <c r="H2729" s="24">
        <f t="shared" si="340"/>
        <v>650</v>
      </c>
      <c r="I2729" s="12">
        <f t="shared" si="347"/>
        <v>0.18872424661303436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952.84452595975108</v>
      </c>
      <c r="F2730" s="38">
        <f t="shared" si="341"/>
        <v>0.25965841512925553</v>
      </c>
      <c r="G2730" s="14">
        <f t="shared" si="342"/>
        <v>0</v>
      </c>
      <c r="H2730" s="24">
        <f t="shared" si="340"/>
        <v>650</v>
      </c>
      <c r="I2730" s="12">
        <f t="shared" si="347"/>
        <v>0.18859189711630212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953.03311785686742</v>
      </c>
      <c r="F2731" s="38">
        <f t="shared" si="341"/>
        <v>0.25965841512925553</v>
      </c>
      <c r="G2731" s="14">
        <f t="shared" si="342"/>
        <v>0</v>
      </c>
      <c r="H2731" s="24">
        <f t="shared" si="340"/>
        <v>650</v>
      </c>
      <c r="I2731" s="12">
        <f t="shared" si="347"/>
        <v>0.18845965871593853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953.22157751558336</v>
      </c>
      <c r="F2732" s="38">
        <f t="shared" si="341"/>
        <v>0.25965841512925553</v>
      </c>
      <c r="G2732" s="14">
        <f t="shared" si="342"/>
        <v>0</v>
      </c>
      <c r="H2732" s="24">
        <f t="shared" si="340"/>
        <v>650</v>
      </c>
      <c r="I2732" s="12">
        <f t="shared" si="347"/>
        <v>0.18832753131670008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953.40990504690001</v>
      </c>
      <c r="F2733" s="38">
        <f t="shared" si="341"/>
        <v>0.25965841512925553</v>
      </c>
      <c r="G2733" s="14">
        <f t="shared" si="342"/>
        <v>0</v>
      </c>
      <c r="H2733" s="24">
        <f t="shared" si="340"/>
        <v>650</v>
      </c>
      <c r="I2733" s="12">
        <f t="shared" si="347"/>
        <v>0.18819551482344513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953.59810056172341</v>
      </c>
      <c r="F2734" s="38">
        <f t="shared" si="341"/>
        <v>0.25965841512925553</v>
      </c>
      <c r="G2734" s="14">
        <f t="shared" si="342"/>
        <v>0</v>
      </c>
      <c r="H2734" s="24">
        <f t="shared" si="340"/>
        <v>650</v>
      </c>
      <c r="I2734" s="12">
        <f t="shared" si="347"/>
        <v>0.18806360914110989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953.78616417086448</v>
      </c>
      <c r="F2735" s="38">
        <f t="shared" si="341"/>
        <v>0.25965841512925553</v>
      </c>
      <c r="G2735" s="14">
        <f t="shared" si="342"/>
        <v>0</v>
      </c>
      <c r="H2735" s="24">
        <f t="shared" si="340"/>
        <v>650</v>
      </c>
      <c r="I2735" s="12">
        <f t="shared" si="347"/>
        <v>0.18793181417469132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953.97409598503918</v>
      </c>
      <c r="F2736" s="38">
        <f t="shared" si="341"/>
        <v>0.25965841512925553</v>
      </c>
      <c r="G2736" s="14">
        <f t="shared" si="342"/>
        <v>0</v>
      </c>
      <c r="H2736" s="24">
        <f t="shared" si="340"/>
        <v>650</v>
      </c>
      <c r="I2736" s="12">
        <f t="shared" si="347"/>
        <v>0.18780012982927638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954.16189611486845</v>
      </c>
      <c r="F2737" s="38">
        <f t="shared" si="341"/>
        <v>0.25965841512925553</v>
      </c>
      <c r="G2737" s="14">
        <f t="shared" si="342"/>
        <v>0</v>
      </c>
      <c r="H2737" s="24">
        <f t="shared" si="340"/>
        <v>650</v>
      </c>
      <c r="I2737" s="12">
        <f t="shared" si="347"/>
        <v>0.18766855601003005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954.34956467087852</v>
      </c>
      <c r="F2738" s="38">
        <f t="shared" si="341"/>
        <v>0.25965841512925553</v>
      </c>
      <c r="G2738" s="14">
        <f t="shared" si="342"/>
        <v>0</v>
      </c>
      <c r="H2738" s="24">
        <f t="shared" si="340"/>
        <v>650</v>
      </c>
      <c r="I2738" s="12">
        <f t="shared" si="347"/>
        <v>0.18753709262219523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954.53710176350069</v>
      </c>
      <c r="F2739" s="38">
        <f t="shared" si="341"/>
        <v>0.25965841512925553</v>
      </c>
      <c r="G2739" s="14">
        <f t="shared" si="342"/>
        <v>0</v>
      </c>
      <c r="H2739" s="24">
        <f t="shared" si="340"/>
        <v>650</v>
      </c>
      <c r="I2739" s="12">
        <f t="shared" si="347"/>
        <v>0.18740573957108686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954.72450750307178</v>
      </c>
      <c r="F2740" s="38">
        <f t="shared" si="341"/>
        <v>0.25965841512925553</v>
      </c>
      <c r="G2740" s="14">
        <f t="shared" si="342"/>
        <v>0</v>
      </c>
      <c r="H2740" s="24">
        <f t="shared" si="340"/>
        <v>650</v>
      </c>
      <c r="I2740" s="12">
        <f t="shared" si="347"/>
        <v>0.18727449676209781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954.91178199983392</v>
      </c>
      <c r="F2741" s="38">
        <f t="shared" si="341"/>
        <v>0.25965841512925553</v>
      </c>
      <c r="G2741" s="14">
        <f t="shared" si="342"/>
        <v>0</v>
      </c>
      <c r="H2741" s="24">
        <f t="shared" si="340"/>
        <v>650</v>
      </c>
      <c r="I2741" s="12">
        <f t="shared" si="347"/>
        <v>0.18714336410071031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955.09892536393465</v>
      </c>
      <c r="F2742" s="38">
        <f t="shared" si="341"/>
        <v>0.25965841512925553</v>
      </c>
      <c r="G2742" s="14">
        <f t="shared" si="342"/>
        <v>0</v>
      </c>
      <c r="H2742" s="24">
        <f t="shared" si="340"/>
        <v>650</v>
      </c>
      <c r="I2742" s="12">
        <f t="shared" si="347"/>
        <v>0.18701234149244966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955.28593770542716</v>
      </c>
      <c r="F2743" s="38">
        <f t="shared" si="341"/>
        <v>0.25965841512925553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650</v>
      </c>
      <c r="I2743" s="12">
        <f t="shared" si="347"/>
        <v>0.18688142884296571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955.47281913427014</v>
      </c>
      <c r="F2744" s="38">
        <f t="shared" si="341"/>
        <v>0.25965841512925553</v>
      </c>
      <c r="G2744" s="14">
        <f t="shared" si="342"/>
        <v>0</v>
      </c>
      <c r="H2744" s="24">
        <f t="shared" si="348"/>
        <v>650</v>
      </c>
      <c r="I2744" s="12">
        <f t="shared" si="347"/>
        <v>0.18675062605795051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955.65956976032805</v>
      </c>
      <c r="F2745" s="38">
        <f t="shared" si="341"/>
        <v>0.25965841512925553</v>
      </c>
      <c r="G2745" s="14">
        <f t="shared" si="342"/>
        <v>0</v>
      </c>
      <c r="H2745" s="24">
        <f t="shared" si="348"/>
        <v>650</v>
      </c>
      <c r="I2745" s="12">
        <f t="shared" si="347"/>
        <v>0.18661993304318578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955.84618969337123</v>
      </c>
      <c r="F2746" s="38">
        <f t="shared" si="341"/>
        <v>0.25965841512925553</v>
      </c>
      <c r="G2746" s="14">
        <f t="shared" si="342"/>
        <v>0</v>
      </c>
      <c r="H2746" s="24">
        <f t="shared" si="348"/>
        <v>650</v>
      </c>
      <c r="I2746" s="12">
        <f t="shared" si="347"/>
        <v>0.1864893497045306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956.03267904307575</v>
      </c>
      <c r="F2747" s="38">
        <f t="shared" si="341"/>
        <v>0.25965841512925553</v>
      </c>
      <c r="G2747" s="14">
        <f t="shared" si="342"/>
        <v>0</v>
      </c>
      <c r="H2747" s="24">
        <f t="shared" si="348"/>
        <v>650</v>
      </c>
      <c r="I2747" s="12">
        <f t="shared" si="347"/>
        <v>0.18635887594791578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956.21903791902366</v>
      </c>
      <c r="F2748" s="38">
        <f t="shared" si="341"/>
        <v>0.25965841512925553</v>
      </c>
      <c r="G2748" s="14">
        <f t="shared" si="342"/>
        <v>0</v>
      </c>
      <c r="H2748" s="24">
        <f t="shared" si="348"/>
        <v>650</v>
      </c>
      <c r="I2748" s="12">
        <f t="shared" si="347"/>
        <v>0.18622851167934987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956.40526643070302</v>
      </c>
      <c r="F2749" s="38">
        <f t="shared" si="341"/>
        <v>0.25965841512925553</v>
      </c>
      <c r="G2749" s="14">
        <f t="shared" si="342"/>
        <v>0</v>
      </c>
      <c r="H2749" s="24">
        <f t="shared" si="348"/>
        <v>650</v>
      </c>
      <c r="I2749" s="12">
        <f t="shared" si="347"/>
        <v>0.18609825680493597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956.59136468750796</v>
      </c>
      <c r="F2750" s="38">
        <f t="shared" si="341"/>
        <v>0.25965841512925553</v>
      </c>
      <c r="G2750" s="14">
        <f t="shared" si="342"/>
        <v>0</v>
      </c>
      <c r="H2750" s="24">
        <f t="shared" si="348"/>
        <v>650</v>
      </c>
      <c r="I2750" s="12">
        <f t="shared" si="347"/>
        <v>0.1859681112308138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956.77733279873883</v>
      </c>
      <c r="F2751" s="38">
        <f t="shared" si="341"/>
        <v>0.25965841512925553</v>
      </c>
      <c r="G2751" s="14">
        <f t="shared" si="342"/>
        <v>0</v>
      </c>
      <c r="H2751" s="24">
        <f t="shared" si="348"/>
        <v>650</v>
      </c>
      <c r="I2751" s="12">
        <f t="shared" si="347"/>
        <v>0.18583807486325313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956.96317087360205</v>
      </c>
      <c r="F2752" s="38">
        <f t="shared" si="341"/>
        <v>0.25965841512925553</v>
      </c>
      <c r="G2752" s="14">
        <f t="shared" si="342"/>
        <v>0</v>
      </c>
      <c r="H2752" s="24">
        <f t="shared" si="348"/>
        <v>650</v>
      </c>
      <c r="I2752" s="12">
        <f t="shared" si="347"/>
        <v>0.18570814760854806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957.14887902121063</v>
      </c>
      <c r="F2753" s="38">
        <f t="shared" si="341"/>
        <v>0.25965841512925553</v>
      </c>
      <c r="G2753" s="14">
        <f t="shared" si="342"/>
        <v>0</v>
      </c>
      <c r="H2753" s="24">
        <f t="shared" si="348"/>
        <v>650</v>
      </c>
      <c r="I2753" s="12">
        <f t="shared" si="347"/>
        <v>0.18557832937309957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957.33445735058376</v>
      </c>
      <c r="F2754" s="38">
        <f t="shared" si="341"/>
        <v>0.25965841512925553</v>
      </c>
      <c r="G2754" s="14">
        <f t="shared" si="342"/>
        <v>0</v>
      </c>
      <c r="H2754" s="24">
        <f t="shared" si="348"/>
        <v>650</v>
      </c>
      <c r="I2754" s="12">
        <f t="shared" si="347"/>
        <v>0.18544862006338553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957.51990597064719</v>
      </c>
      <c r="F2755" s="38">
        <f t="shared" si="341"/>
        <v>0.25965841512925553</v>
      </c>
      <c r="G2755" s="14">
        <f t="shared" si="342"/>
        <v>0</v>
      </c>
      <c r="H2755" s="24">
        <f t="shared" si="348"/>
        <v>650</v>
      </c>
      <c r="I2755" s="12">
        <f t="shared" si="347"/>
        <v>0.18531901958594346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957.70522499023309</v>
      </c>
      <c r="F2756" s="38">
        <f t="shared" si="341"/>
        <v>0.25965841512925553</v>
      </c>
      <c r="G2756" s="14">
        <f t="shared" si="342"/>
        <v>0</v>
      </c>
      <c r="H2756" s="24">
        <f t="shared" si="348"/>
        <v>650</v>
      </c>
      <c r="I2756" s="12">
        <f t="shared" si="347"/>
        <v>0.1851895278474113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957.89041451808055</v>
      </c>
      <c r="F2757" s="38">
        <f t="shared" si="341"/>
        <v>0.25965841512925553</v>
      </c>
      <c r="G2757" s="14">
        <f t="shared" si="342"/>
        <v>0</v>
      </c>
      <c r="H2757" s="24">
        <f t="shared" si="348"/>
        <v>650</v>
      </c>
      <c r="I2757" s="12">
        <f t="shared" si="347"/>
        <v>0.18506014475447446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958.07547466283506</v>
      </c>
      <c r="F2758" s="38">
        <f t="shared" si="341"/>
        <v>0.25965841512925553</v>
      </c>
      <c r="G2758" s="14">
        <f t="shared" si="342"/>
        <v>0</v>
      </c>
      <c r="H2758" s="24">
        <f t="shared" si="348"/>
        <v>650</v>
      </c>
      <c r="I2758" s="12">
        <f t="shared" si="347"/>
        <v>0.18493087021391347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958.26040553304892</v>
      </c>
      <c r="F2759" s="38">
        <f t="shared" si="341"/>
        <v>0.25965841512925553</v>
      </c>
      <c r="G2759" s="14">
        <f t="shared" si="342"/>
        <v>0</v>
      </c>
      <c r="H2759" s="24">
        <f t="shared" si="348"/>
        <v>650</v>
      </c>
      <c r="I2759" s="12">
        <f t="shared" si="347"/>
        <v>0.18480170413259114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958.44520723718153</v>
      </c>
      <c r="F2760" s="38">
        <f t="shared" si="341"/>
        <v>0.25965841512925553</v>
      </c>
      <c r="G2760" s="14">
        <f t="shared" si="342"/>
        <v>0</v>
      </c>
      <c r="H2760" s="24">
        <f t="shared" si="348"/>
        <v>650</v>
      </c>
      <c r="I2760" s="12">
        <f t="shared" si="347"/>
        <v>0.18467264641741801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958.62987988359896</v>
      </c>
      <c r="F2761" s="38">
        <f t="shared" si="341"/>
        <v>0.25965841512925553</v>
      </c>
      <c r="G2761" s="14">
        <f t="shared" si="342"/>
        <v>0</v>
      </c>
      <c r="H2761" s="24">
        <f t="shared" si="348"/>
        <v>650</v>
      </c>
      <c r="I2761" s="12">
        <f t="shared" si="347"/>
        <v>0.18454369697542811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958.81442358057438</v>
      </c>
      <c r="F2762" s="38">
        <f t="shared" si="341"/>
        <v>0.25965841512925553</v>
      </c>
      <c r="G2762" s="14">
        <f t="shared" si="342"/>
        <v>0</v>
      </c>
      <c r="H2762" s="24">
        <f t="shared" si="348"/>
        <v>650</v>
      </c>
      <c r="I2762" s="12">
        <f t="shared" si="347"/>
        <v>0.18441485571366786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958.998838436288</v>
      </c>
      <c r="F2763" s="38">
        <f t="shared" si="341"/>
        <v>0.25965841512925553</v>
      </c>
      <c r="G2763" s="14">
        <f t="shared" si="342"/>
        <v>0</v>
      </c>
      <c r="H2763" s="24">
        <f t="shared" si="348"/>
        <v>650</v>
      </c>
      <c r="I2763" s="12">
        <f t="shared" si="347"/>
        <v>0.18428612253932508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959.18312455882733</v>
      </c>
      <c r="F2764" s="38">
        <f t="shared" si="341"/>
        <v>0.25965841512925553</v>
      </c>
      <c r="G2764" s="14">
        <f t="shared" si="342"/>
        <v>0</v>
      </c>
      <c r="H2764" s="24">
        <f t="shared" si="348"/>
        <v>650</v>
      </c>
      <c r="I2764" s="12">
        <f t="shared" si="347"/>
        <v>0.18415749735961098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959.36728205618692</v>
      </c>
      <c r="F2765" s="38">
        <f t="shared" si="341"/>
        <v>0.25965841512925553</v>
      </c>
      <c r="G2765" s="14">
        <f t="shared" si="342"/>
        <v>0</v>
      </c>
      <c r="H2765" s="24">
        <f t="shared" si="348"/>
        <v>650</v>
      </c>
      <c r="I2765" s="12">
        <f t="shared" si="347"/>
        <v>0.18402898008186058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959.55131103626877</v>
      </c>
      <c r="F2766" s="38">
        <f t="shared" si="341"/>
        <v>0.25965841512925553</v>
      </c>
      <c r="G2766" s="14">
        <f t="shared" si="342"/>
        <v>0</v>
      </c>
      <c r="H2766" s="24">
        <f t="shared" si="348"/>
        <v>650</v>
      </c>
      <c r="I2766" s="12">
        <f t="shared" si="347"/>
        <v>0.18390057061342666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959.73521160688222</v>
      </c>
      <c r="F2767" s="38">
        <f t="shared" si="341"/>
        <v>0.25965841512925553</v>
      </c>
      <c r="G2767" s="14">
        <f t="shared" si="342"/>
        <v>0</v>
      </c>
      <c r="H2767" s="24">
        <f t="shared" si="348"/>
        <v>650</v>
      </c>
      <c r="I2767" s="12">
        <f t="shared" si="347"/>
        <v>0.18377226886179734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959.91898387574406</v>
      </c>
      <c r="F2768" s="38">
        <f t="shared" si="341"/>
        <v>0.25965841512925553</v>
      </c>
      <c r="G2768" s="14">
        <f t="shared" si="342"/>
        <v>0</v>
      </c>
      <c r="H2768" s="24">
        <f t="shared" si="348"/>
        <v>650</v>
      </c>
      <c r="I2768" s="12">
        <f t="shared" si="347"/>
        <v>0.18364407473450162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960.10262795047856</v>
      </c>
      <c r="F2769" s="38">
        <f t="shared" si="341"/>
        <v>0.25965841512925553</v>
      </c>
      <c r="G2769" s="14">
        <f t="shared" si="342"/>
        <v>0</v>
      </c>
      <c r="H2769" s="24">
        <f t="shared" si="348"/>
        <v>650</v>
      </c>
      <c r="I2769" s="12">
        <f t="shared" si="347"/>
        <v>0.18351598813913947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960.28614393861767</v>
      </c>
      <c r="F2770" s="38">
        <f t="shared" si="341"/>
        <v>0.25965841512925553</v>
      </c>
      <c r="G2770" s="14">
        <f t="shared" si="342"/>
        <v>0</v>
      </c>
      <c r="H2770" s="24">
        <f t="shared" si="348"/>
        <v>650</v>
      </c>
      <c r="I2770" s="12">
        <f t="shared" si="347"/>
        <v>0.18338800898343366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960.46953194760113</v>
      </c>
      <c r="F2771" s="38">
        <f t="shared" si="341"/>
        <v>0.25965841512925553</v>
      </c>
      <c r="G2771" s="14">
        <f t="shared" si="342"/>
        <v>0</v>
      </c>
      <c r="H2771" s="24">
        <f t="shared" si="348"/>
        <v>650</v>
      </c>
      <c r="I2771" s="12">
        <f t="shared" si="347"/>
        <v>0.18326013717511855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960.65279208477625</v>
      </c>
      <c r="F2772" s="38">
        <f t="shared" ref="F2772:F2835" si="349">Cp*RhoP/(RhoA*H2772)*dp/1000*MassivP</f>
        <v>0.25965841512925553</v>
      </c>
      <c r="G2772" s="14">
        <f t="shared" ref="G2772:G2835" si="350">Phi*EpsilonF*Botzman/10^8*J2772*((D2772+273)^4-(E2772+273)^4)</f>
        <v>0</v>
      </c>
      <c r="H2772" s="24">
        <f t="shared" si="348"/>
        <v>650</v>
      </c>
      <c r="I2772" s="12">
        <f t="shared" si="347"/>
        <v>0.18313237262203469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960.83592445739828</v>
      </c>
      <c r="F2773" s="38">
        <f t="shared" si="349"/>
        <v>0.25965841512925553</v>
      </c>
      <c r="G2773" s="14">
        <f t="shared" si="350"/>
        <v>0</v>
      </c>
      <c r="H2773" s="24">
        <f t="shared" si="348"/>
        <v>650</v>
      </c>
      <c r="I2773" s="12">
        <f t="shared" ref="I2773:I2836" si="355">LambdaP*MassivP/(dp/1000)/(H2773*RhoA)/(1+F2773/3)*(D2773-E2773)*DeltaT-(EXP(F2773/10)-1)*(D2773-D2772)</f>
        <v>0.18300471523211029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961.01892917263035</v>
      </c>
      <c r="F2774" s="38">
        <f t="shared" si="349"/>
        <v>0.25965841512925553</v>
      </c>
      <c r="G2774" s="14">
        <f t="shared" si="350"/>
        <v>0</v>
      </c>
      <c r="H2774" s="24">
        <f t="shared" si="348"/>
        <v>650</v>
      </c>
      <c r="I2774" s="12">
        <f t="shared" si="355"/>
        <v>0.18287716491333189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961.20180633754364</v>
      </c>
      <c r="F2775" s="38">
        <f t="shared" si="349"/>
        <v>0.25965841512925553</v>
      </c>
      <c r="G2775" s="14">
        <f t="shared" si="350"/>
        <v>0</v>
      </c>
      <c r="H2775" s="24">
        <f t="shared" si="348"/>
        <v>650</v>
      </c>
      <c r="I2775" s="12">
        <f t="shared" si="355"/>
        <v>0.18274972157376798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961.38455605911736</v>
      </c>
      <c r="F2776" s="38">
        <f t="shared" si="349"/>
        <v>0.25965841512925553</v>
      </c>
      <c r="G2776" s="14">
        <f t="shared" si="350"/>
        <v>0</v>
      </c>
      <c r="H2776" s="24">
        <f t="shared" si="348"/>
        <v>650</v>
      </c>
      <c r="I2776" s="12">
        <f t="shared" si="355"/>
        <v>0.18262238512156295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961.56717844423895</v>
      </c>
      <c r="F2777" s="38">
        <f t="shared" si="349"/>
        <v>0.25965841512925553</v>
      </c>
      <c r="G2777" s="14">
        <f t="shared" si="350"/>
        <v>0</v>
      </c>
      <c r="H2777" s="24">
        <f t="shared" si="348"/>
        <v>650</v>
      </c>
      <c r="I2777" s="12">
        <f t="shared" si="355"/>
        <v>0.18249515546491982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961.7496735997039</v>
      </c>
      <c r="F2778" s="38">
        <f t="shared" si="349"/>
        <v>0.25965841512925553</v>
      </c>
      <c r="G2778" s="14">
        <f t="shared" si="350"/>
        <v>0</v>
      </c>
      <c r="H2778" s="24">
        <f t="shared" si="348"/>
        <v>650</v>
      </c>
      <c r="I2778" s="12">
        <f t="shared" si="355"/>
        <v>0.18236803251214687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961.93204163221606</v>
      </c>
      <c r="F2779" s="38">
        <f t="shared" si="349"/>
        <v>0.25965841512925553</v>
      </c>
      <c r="G2779" s="14">
        <f t="shared" si="350"/>
        <v>0</v>
      </c>
      <c r="H2779" s="24">
        <f t="shared" si="348"/>
        <v>650</v>
      </c>
      <c r="I2779" s="12">
        <f t="shared" si="355"/>
        <v>0.18224101617161606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962.11428264838764</v>
      </c>
      <c r="F2780" s="38">
        <f t="shared" si="349"/>
        <v>0.25965841512925553</v>
      </c>
      <c r="G2780" s="14">
        <f t="shared" si="350"/>
        <v>0</v>
      </c>
      <c r="H2780" s="24">
        <f t="shared" si="348"/>
        <v>650</v>
      </c>
      <c r="I2780" s="12">
        <f t="shared" si="355"/>
        <v>0.18211410635174619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962.29639675473936</v>
      </c>
      <c r="F2781" s="38">
        <f t="shared" si="349"/>
        <v>0.25965841512925553</v>
      </c>
      <c r="G2781" s="14">
        <f t="shared" si="350"/>
        <v>0</v>
      </c>
      <c r="H2781" s="24">
        <f t="shared" si="348"/>
        <v>650</v>
      </c>
      <c r="I2781" s="12">
        <f t="shared" si="355"/>
        <v>0.18198730296108459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962.4783840577004</v>
      </c>
      <c r="F2782" s="38">
        <f t="shared" si="349"/>
        <v>0.25965841512925553</v>
      </c>
      <c r="G2782" s="14">
        <f t="shared" si="350"/>
        <v>0</v>
      </c>
      <c r="H2782" s="24">
        <f t="shared" si="348"/>
        <v>650</v>
      </c>
      <c r="I2782" s="12">
        <f t="shared" si="355"/>
        <v>0.18186060590820702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962.66024466360864</v>
      </c>
      <c r="F2783" s="38">
        <f t="shared" si="349"/>
        <v>0.25965841512925553</v>
      </c>
      <c r="G2783" s="14">
        <f t="shared" si="350"/>
        <v>0</v>
      </c>
      <c r="H2783" s="24">
        <f t="shared" si="348"/>
        <v>650</v>
      </c>
      <c r="I2783" s="12">
        <f t="shared" si="355"/>
        <v>0.18173401510177695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962.84197867871046</v>
      </c>
      <c r="F2784" s="38">
        <f t="shared" si="349"/>
        <v>0.25965841512925553</v>
      </c>
      <c r="G2784" s="14">
        <f t="shared" si="350"/>
        <v>0</v>
      </c>
      <c r="H2784" s="24">
        <f t="shared" si="348"/>
        <v>650</v>
      </c>
      <c r="I2784" s="12">
        <f t="shared" si="355"/>
        <v>0.18160753045056846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963.02358620916107</v>
      </c>
      <c r="F2785" s="38">
        <f t="shared" si="349"/>
        <v>0.25965841512925553</v>
      </c>
      <c r="G2785" s="14">
        <f t="shared" si="350"/>
        <v>0</v>
      </c>
      <c r="H2785" s="24">
        <f t="shared" si="348"/>
        <v>650</v>
      </c>
      <c r="I2785" s="12">
        <f t="shared" si="355"/>
        <v>0.18148115186335492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963.20506736102448</v>
      </c>
      <c r="F2786" s="38">
        <f t="shared" si="349"/>
        <v>0.25965841512925553</v>
      </c>
      <c r="G2786" s="14">
        <f t="shared" si="350"/>
        <v>0</v>
      </c>
      <c r="H2786" s="24">
        <f t="shared" si="348"/>
        <v>650</v>
      </c>
      <c r="I2786" s="12">
        <f t="shared" si="355"/>
        <v>0.18135487924906762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963.38642224027353</v>
      </c>
      <c r="F2787" s="38">
        <f t="shared" si="349"/>
        <v>0.25965841512925553</v>
      </c>
      <c r="G2787" s="14">
        <f t="shared" si="350"/>
        <v>0</v>
      </c>
      <c r="H2787" s="24">
        <f t="shared" si="348"/>
        <v>650</v>
      </c>
      <c r="I2787" s="12">
        <f t="shared" si="355"/>
        <v>0.18122871251665998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963.56765095279025</v>
      </c>
      <c r="F2788" s="38">
        <f t="shared" si="349"/>
        <v>0.25965841512925553</v>
      </c>
      <c r="G2788" s="14">
        <f t="shared" si="350"/>
        <v>0</v>
      </c>
      <c r="H2788" s="24">
        <f t="shared" si="348"/>
        <v>650</v>
      </c>
      <c r="I2788" s="12">
        <f t="shared" si="355"/>
        <v>0.18110265157517264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963.74875360436545</v>
      </c>
      <c r="F2789" s="38">
        <f t="shared" si="349"/>
        <v>0.25965841512925553</v>
      </c>
      <c r="G2789" s="14">
        <f t="shared" si="350"/>
        <v>0</v>
      </c>
      <c r="H2789" s="24">
        <f t="shared" si="348"/>
        <v>650</v>
      </c>
      <c r="I2789" s="12">
        <f t="shared" si="355"/>
        <v>0.18097669633373348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963.92973030069913</v>
      </c>
      <c r="F2790" s="38">
        <f t="shared" si="349"/>
        <v>0.25965841512925553</v>
      </c>
      <c r="G2790" s="14">
        <f t="shared" si="350"/>
        <v>0</v>
      </c>
      <c r="H2790" s="24">
        <f t="shared" si="348"/>
        <v>650</v>
      </c>
      <c r="I2790" s="12">
        <f t="shared" si="355"/>
        <v>0.18085084670152213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964.11058114740069</v>
      </c>
      <c r="F2791" s="38">
        <f t="shared" si="349"/>
        <v>0.25965841512925553</v>
      </c>
      <c r="G2791" s="14">
        <f t="shared" si="350"/>
        <v>0</v>
      </c>
      <c r="H2791" s="24">
        <f t="shared" si="348"/>
        <v>650</v>
      </c>
      <c r="I2791" s="12">
        <f t="shared" si="355"/>
        <v>0.18072510258781097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964.29130624998845</v>
      </c>
      <c r="F2792" s="38">
        <f t="shared" si="349"/>
        <v>0.25965841512925553</v>
      </c>
      <c r="G2792" s="14">
        <f t="shared" si="350"/>
        <v>0</v>
      </c>
      <c r="H2792" s="24">
        <f t="shared" si="348"/>
        <v>650</v>
      </c>
      <c r="I2792" s="12">
        <f t="shared" si="355"/>
        <v>0.18059946390195342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964.47190571389035</v>
      </c>
      <c r="F2793" s="38">
        <f t="shared" si="349"/>
        <v>0.25965841512925553</v>
      </c>
      <c r="G2793" s="14">
        <f t="shared" si="350"/>
        <v>0</v>
      </c>
      <c r="H2793" s="24">
        <f t="shared" si="348"/>
        <v>650</v>
      </c>
      <c r="I2793" s="12">
        <f t="shared" si="355"/>
        <v>0.18047393055334854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964.65237964444373</v>
      </c>
      <c r="F2794" s="38">
        <f t="shared" si="349"/>
        <v>0.25965841512925553</v>
      </c>
      <c r="G2794" s="14">
        <f t="shared" si="350"/>
        <v>0</v>
      </c>
      <c r="H2794" s="24">
        <f t="shared" si="348"/>
        <v>650</v>
      </c>
      <c r="I2794" s="12">
        <f t="shared" si="355"/>
        <v>0.18034850245148831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964.83272814689519</v>
      </c>
      <c r="F2795" s="38">
        <f t="shared" si="349"/>
        <v>0.25965841512925553</v>
      </c>
      <c r="G2795" s="14">
        <f t="shared" si="350"/>
        <v>0</v>
      </c>
      <c r="H2795" s="24">
        <f t="shared" si="348"/>
        <v>650</v>
      </c>
      <c r="I2795" s="12">
        <f t="shared" si="355"/>
        <v>0.18022317950595146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965.01295132640109</v>
      </c>
      <c r="F2796" s="38">
        <f t="shared" si="349"/>
        <v>0.25965841512925553</v>
      </c>
      <c r="G2796" s="14">
        <f t="shared" si="350"/>
        <v>0</v>
      </c>
      <c r="H2796" s="24">
        <f t="shared" si="348"/>
        <v>650</v>
      </c>
      <c r="I2796" s="12">
        <f t="shared" si="355"/>
        <v>0.18009796162636799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965.19304928802751</v>
      </c>
      <c r="F2797" s="38">
        <f t="shared" si="349"/>
        <v>0.25965841512925553</v>
      </c>
      <c r="G2797" s="14">
        <f t="shared" si="350"/>
        <v>0</v>
      </c>
      <c r="H2797" s="24">
        <f t="shared" si="348"/>
        <v>650</v>
      </c>
      <c r="I2797" s="12">
        <f t="shared" si="355"/>
        <v>0.1799728487224487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965.37302213674991</v>
      </c>
      <c r="F2798" s="38">
        <f t="shared" si="349"/>
        <v>0.25965841512925553</v>
      </c>
      <c r="G2798" s="14">
        <f t="shared" si="350"/>
        <v>0</v>
      </c>
      <c r="H2798" s="24">
        <f t="shared" si="348"/>
        <v>650</v>
      </c>
      <c r="I2798" s="12">
        <f t="shared" si="355"/>
        <v>0.17984784070399695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965.55286997745395</v>
      </c>
      <c r="F2799" s="38">
        <f t="shared" si="349"/>
        <v>0.25965841512925553</v>
      </c>
      <c r="G2799" s="14">
        <f t="shared" si="350"/>
        <v>0</v>
      </c>
      <c r="H2799" s="24">
        <f t="shared" si="348"/>
        <v>650</v>
      </c>
      <c r="I2799" s="12">
        <f t="shared" si="355"/>
        <v>0.17972293748085555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965.7325929149348</v>
      </c>
      <c r="F2800" s="38">
        <f t="shared" si="349"/>
        <v>0.25965841512925553</v>
      </c>
      <c r="G2800" s="14">
        <f t="shared" si="350"/>
        <v>0</v>
      </c>
      <c r="H2800" s="24">
        <f t="shared" si="348"/>
        <v>650</v>
      </c>
      <c r="I2800" s="12">
        <f t="shared" si="355"/>
        <v>0.17959813896297744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965.9121910538978</v>
      </c>
      <c r="F2801" s="38">
        <f t="shared" si="349"/>
        <v>0.25965841512925553</v>
      </c>
      <c r="G2801" s="14">
        <f t="shared" si="350"/>
        <v>0</v>
      </c>
      <c r="H2801" s="24">
        <f t="shared" si="348"/>
        <v>650</v>
      </c>
      <c r="I2801" s="12">
        <f t="shared" si="355"/>
        <v>0.17947344506036653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966.09166449895815</v>
      </c>
      <c r="F2802" s="38">
        <f t="shared" si="349"/>
        <v>0.25965841512925553</v>
      </c>
      <c r="G2802" s="14">
        <f t="shared" si="350"/>
        <v>0</v>
      </c>
      <c r="H2802" s="24">
        <f t="shared" si="348"/>
        <v>650</v>
      </c>
      <c r="I2802" s="12">
        <f t="shared" si="355"/>
        <v>0.17934885568309594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966.27101335464124</v>
      </c>
      <c r="F2803" s="38">
        <f t="shared" si="349"/>
        <v>0.25965841512925553</v>
      </c>
      <c r="G2803" s="14">
        <f t="shared" si="350"/>
        <v>0</v>
      </c>
      <c r="H2803" s="24">
        <f t="shared" si="348"/>
        <v>650</v>
      </c>
      <c r="I2803" s="12">
        <f t="shared" si="355"/>
        <v>0.179224370741354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966.45023772538264</v>
      </c>
      <c r="F2804" s="38">
        <f t="shared" si="349"/>
        <v>0.25965841512925553</v>
      </c>
      <c r="G2804" s="14">
        <f t="shared" si="350"/>
        <v>0</v>
      </c>
      <c r="H2804" s="24">
        <f t="shared" si="348"/>
        <v>650</v>
      </c>
      <c r="I2804" s="12">
        <f t="shared" si="355"/>
        <v>0.179099990145345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966.62933771552798</v>
      </c>
      <c r="F2805" s="38">
        <f t="shared" si="349"/>
        <v>0.25965841512925553</v>
      </c>
      <c r="G2805" s="14">
        <f t="shared" si="350"/>
        <v>0</v>
      </c>
      <c r="H2805" s="24">
        <f t="shared" si="348"/>
        <v>650</v>
      </c>
      <c r="I2805" s="12">
        <f t="shared" si="355"/>
        <v>0.17897571380538901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966.80831342933334</v>
      </c>
      <c r="F2806" s="38">
        <f t="shared" si="349"/>
        <v>0.25965841512925553</v>
      </c>
      <c r="G2806" s="14">
        <f t="shared" si="350"/>
        <v>0</v>
      </c>
      <c r="H2806" s="24">
        <f t="shared" si="348"/>
        <v>650</v>
      </c>
      <c r="I2806" s="12">
        <f t="shared" si="355"/>
        <v>0.17885154163186859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966.98716497096518</v>
      </c>
      <c r="F2807" s="38">
        <f t="shared" si="349"/>
        <v>0.25965841512925553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650</v>
      </c>
      <c r="I2807" s="12">
        <f t="shared" si="355"/>
        <v>0.17872747353522889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967.1658924445004</v>
      </c>
      <c r="F2808" s="38">
        <f t="shared" si="349"/>
        <v>0.25965841512925553</v>
      </c>
      <c r="G2808" s="14">
        <f t="shared" si="350"/>
        <v>0</v>
      </c>
      <c r="H2808" s="24">
        <f t="shared" si="356"/>
        <v>650</v>
      </c>
      <c r="I2808" s="12">
        <f t="shared" si="355"/>
        <v>0.1786035094260072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967.34449595392641</v>
      </c>
      <c r="F2809" s="38">
        <f t="shared" si="349"/>
        <v>0.25965841512925553</v>
      </c>
      <c r="G2809" s="14">
        <f t="shared" si="350"/>
        <v>0</v>
      </c>
      <c r="H2809" s="24">
        <f t="shared" si="356"/>
        <v>650</v>
      </c>
      <c r="I2809" s="12">
        <f t="shared" si="355"/>
        <v>0.17847964921480311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967.52297560314116</v>
      </c>
      <c r="F2810" s="38">
        <f t="shared" si="349"/>
        <v>0.25965841512925553</v>
      </c>
      <c r="G2810" s="14">
        <f t="shared" si="350"/>
        <v>0</v>
      </c>
      <c r="H2810" s="24">
        <f t="shared" si="356"/>
        <v>650</v>
      </c>
      <c r="I2810" s="12">
        <f t="shared" si="355"/>
        <v>0.17835589281228484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967.70133149595347</v>
      </c>
      <c r="F2811" s="38">
        <f t="shared" si="349"/>
        <v>0.25965841512925553</v>
      </c>
      <c r="G2811" s="14">
        <f t="shared" si="350"/>
        <v>0</v>
      </c>
      <c r="H2811" s="24">
        <f t="shared" si="356"/>
        <v>650</v>
      </c>
      <c r="I2811" s="12">
        <f t="shared" si="355"/>
        <v>0.17823224012921798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967.87956373608267</v>
      </c>
      <c r="F2812" s="38">
        <f t="shared" si="349"/>
        <v>0.25965841512925553</v>
      </c>
      <c r="G2812" s="14">
        <f t="shared" si="350"/>
        <v>0</v>
      </c>
      <c r="H2812" s="24">
        <f t="shared" si="356"/>
        <v>650</v>
      </c>
      <c r="I2812" s="12">
        <f t="shared" si="355"/>
        <v>0.1781086910764014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968.0576724271591</v>
      </c>
      <c r="F2813" s="38">
        <f t="shared" si="349"/>
        <v>0.25965841512925553</v>
      </c>
      <c r="G2813" s="14">
        <f t="shared" si="350"/>
        <v>0</v>
      </c>
      <c r="H2813" s="24">
        <f t="shared" si="356"/>
        <v>650</v>
      </c>
      <c r="I2813" s="12">
        <f t="shared" si="355"/>
        <v>0.1779852455647549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968.23565767272385</v>
      </c>
      <c r="F2814" s="38">
        <f t="shared" si="349"/>
        <v>0.25965841512925553</v>
      </c>
      <c r="G2814" s="14">
        <f t="shared" si="350"/>
        <v>0</v>
      </c>
      <c r="H2814" s="24">
        <f t="shared" si="356"/>
        <v>650</v>
      </c>
      <c r="I2814" s="12">
        <f t="shared" si="355"/>
        <v>0.17786190350524275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968.41351957622908</v>
      </c>
      <c r="F2815" s="38">
        <f t="shared" si="349"/>
        <v>0.25965841512925553</v>
      </c>
      <c r="G2815" s="14">
        <f t="shared" si="350"/>
        <v>0</v>
      </c>
      <c r="H2815" s="24">
        <f t="shared" si="356"/>
        <v>650</v>
      </c>
      <c r="I2815" s="12">
        <f t="shared" si="355"/>
        <v>0.17773866480890324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968.59125824103796</v>
      </c>
      <c r="F2816" s="38">
        <f t="shared" si="349"/>
        <v>0.25965841512925553</v>
      </c>
      <c r="G2816" s="14">
        <f t="shared" si="350"/>
        <v>0</v>
      </c>
      <c r="H2816" s="24">
        <f t="shared" si="356"/>
        <v>650</v>
      </c>
      <c r="I2816" s="12">
        <f t="shared" si="355"/>
        <v>0.17761552938684311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968.76887377042476</v>
      </c>
      <c r="F2817" s="38">
        <f t="shared" si="349"/>
        <v>0.25965841512925553</v>
      </c>
      <c r="G2817" s="14">
        <f t="shared" si="350"/>
        <v>0</v>
      </c>
      <c r="H2817" s="24">
        <f t="shared" si="356"/>
        <v>650</v>
      </c>
      <c r="I2817" s="12">
        <f t="shared" si="355"/>
        <v>0.17749249715027202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968.94636626757506</v>
      </c>
      <c r="F2818" s="38">
        <f t="shared" si="349"/>
        <v>0.25965841512925553</v>
      </c>
      <c r="G2818" s="14">
        <f t="shared" si="350"/>
        <v>0</v>
      </c>
      <c r="H2818" s="24">
        <f t="shared" si="356"/>
        <v>650</v>
      </c>
      <c r="I2818" s="12">
        <f t="shared" si="355"/>
        <v>0.17736956801044385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969.12373583558553</v>
      </c>
      <c r="F2819" s="38">
        <f t="shared" si="349"/>
        <v>0.25965841512925553</v>
      </c>
      <c r="G2819" s="14">
        <f t="shared" si="350"/>
        <v>0</v>
      </c>
      <c r="H2819" s="24">
        <f t="shared" si="356"/>
        <v>650</v>
      </c>
      <c r="I2819" s="12">
        <f t="shared" si="355"/>
        <v>0.1772467418787039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969.3009825774642</v>
      </c>
      <c r="F2820" s="38">
        <f t="shared" si="349"/>
        <v>0.25965841512925553</v>
      </c>
      <c r="G2820" s="14">
        <f t="shared" si="350"/>
        <v>0</v>
      </c>
      <c r="H2820" s="24">
        <f t="shared" si="356"/>
        <v>650</v>
      </c>
      <c r="I2820" s="12">
        <f t="shared" si="355"/>
        <v>0.17712401866643646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969.4781065961306</v>
      </c>
      <c r="F2821" s="38">
        <f t="shared" si="349"/>
        <v>0.25965841512925553</v>
      </c>
      <c r="G2821" s="14">
        <f t="shared" si="350"/>
        <v>0</v>
      </c>
      <c r="H2821" s="24">
        <f t="shared" si="356"/>
        <v>650</v>
      </c>
      <c r="I2821" s="12">
        <f t="shared" si="355"/>
        <v>0.17700139828515196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969.65510799441574</v>
      </c>
      <c r="F2822" s="38">
        <f t="shared" si="349"/>
        <v>0.25965841512925553</v>
      </c>
      <c r="G2822" s="14">
        <f t="shared" si="350"/>
        <v>0</v>
      </c>
      <c r="H2822" s="24">
        <f t="shared" si="356"/>
        <v>650</v>
      </c>
      <c r="I2822" s="12">
        <f t="shared" si="355"/>
        <v>0.17687888064639895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969.83198687506217</v>
      </c>
      <c r="F2823" s="38">
        <f t="shared" si="349"/>
        <v>0.25965841512925553</v>
      </c>
      <c r="G2823" s="14">
        <f t="shared" si="350"/>
        <v>0</v>
      </c>
      <c r="H2823" s="24">
        <f t="shared" si="356"/>
        <v>650</v>
      </c>
      <c r="I2823" s="12">
        <f t="shared" si="355"/>
        <v>0.17675646566179395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970.00874334072398</v>
      </c>
      <c r="F2824" s="38">
        <f t="shared" si="349"/>
        <v>0.25965841512925553</v>
      </c>
      <c r="G2824" s="14">
        <f t="shared" si="350"/>
        <v>0</v>
      </c>
      <c r="H2824" s="24">
        <f t="shared" si="356"/>
        <v>650</v>
      </c>
      <c r="I2824" s="12">
        <f t="shared" si="355"/>
        <v>0.17663415324305637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970.18537749396705</v>
      </c>
      <c r="F2825" s="38">
        <f t="shared" si="349"/>
        <v>0.25965841512925553</v>
      </c>
      <c r="G2825" s="14">
        <f t="shared" si="350"/>
        <v>0</v>
      </c>
      <c r="H2825" s="24">
        <f t="shared" si="356"/>
        <v>650</v>
      </c>
      <c r="I2825" s="12">
        <f t="shared" si="355"/>
        <v>0.17651194330194941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970.36188943726904</v>
      </c>
      <c r="F2826" s="38">
        <f t="shared" si="349"/>
        <v>0.25965841512925553</v>
      </c>
      <c r="G2826" s="14">
        <f t="shared" si="350"/>
        <v>0</v>
      </c>
      <c r="H2826" s="24">
        <f t="shared" si="356"/>
        <v>650</v>
      </c>
      <c r="I2826" s="12">
        <f t="shared" si="355"/>
        <v>0.176389835750316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970.53827927301938</v>
      </c>
      <c r="F2827" s="38">
        <f t="shared" si="349"/>
        <v>0.25965841512925553</v>
      </c>
      <c r="G2827" s="14">
        <f t="shared" si="350"/>
        <v>0</v>
      </c>
      <c r="H2827" s="24">
        <f t="shared" si="356"/>
        <v>650</v>
      </c>
      <c r="I2827" s="12">
        <f t="shared" si="355"/>
        <v>0.17626783050009556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970.71454710351952</v>
      </c>
      <c r="F2828" s="38">
        <f t="shared" si="349"/>
        <v>0.25965841512925553</v>
      </c>
      <c r="G2828" s="14">
        <f t="shared" si="350"/>
        <v>0</v>
      </c>
      <c r="H2828" s="24">
        <f t="shared" si="356"/>
        <v>650</v>
      </c>
      <c r="I2828" s="12">
        <f t="shared" si="355"/>
        <v>0.17614592746325958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970.89069303098279</v>
      </c>
      <c r="F2829" s="38">
        <f t="shared" si="349"/>
        <v>0.25965841512925553</v>
      </c>
      <c r="G2829" s="14">
        <f t="shared" si="350"/>
        <v>0</v>
      </c>
      <c r="H2829" s="24">
        <f t="shared" si="356"/>
        <v>650</v>
      </c>
      <c r="I2829" s="12">
        <f t="shared" si="355"/>
        <v>0.17602412655188843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971.06671715753464</v>
      </c>
      <c r="F2830" s="38">
        <f t="shared" si="349"/>
        <v>0.25965841512925553</v>
      </c>
      <c r="G2830" s="14">
        <f t="shared" si="350"/>
        <v>0</v>
      </c>
      <c r="H2830" s="24">
        <f t="shared" si="356"/>
        <v>650</v>
      </c>
      <c r="I2830" s="12">
        <f t="shared" si="355"/>
        <v>0.1759024276781177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971.24261958521276</v>
      </c>
      <c r="F2831" s="38">
        <f t="shared" si="349"/>
        <v>0.25965841512925553</v>
      </c>
      <c r="G2831" s="14">
        <f t="shared" si="350"/>
        <v>0</v>
      </c>
      <c r="H2831" s="24">
        <f t="shared" si="356"/>
        <v>650</v>
      </c>
      <c r="I2831" s="12">
        <f t="shared" si="355"/>
        <v>0.17578083075415601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971.41840041596697</v>
      </c>
      <c r="F2832" s="38">
        <f t="shared" si="349"/>
        <v>0.25965841512925553</v>
      </c>
      <c r="G2832" s="14">
        <f t="shared" si="350"/>
        <v>0</v>
      </c>
      <c r="H2832" s="24">
        <f t="shared" si="356"/>
        <v>650</v>
      </c>
      <c r="I2832" s="12">
        <f t="shared" si="355"/>
        <v>0.17565933569227959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971.5940597516593</v>
      </c>
      <c r="F2833" s="38">
        <f t="shared" si="349"/>
        <v>0.25965841512925553</v>
      </c>
      <c r="G2833" s="14">
        <f t="shared" si="350"/>
        <v>0</v>
      </c>
      <c r="H2833" s="24">
        <f t="shared" si="356"/>
        <v>650</v>
      </c>
      <c r="I2833" s="12">
        <f t="shared" si="355"/>
        <v>0.17553794240486104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971.76959769406415</v>
      </c>
      <c r="F2834" s="38">
        <f t="shared" si="349"/>
        <v>0.25965841512925553</v>
      </c>
      <c r="G2834" s="14">
        <f t="shared" si="350"/>
        <v>0</v>
      </c>
      <c r="H2834" s="24">
        <f t="shared" si="356"/>
        <v>650</v>
      </c>
      <c r="I2834" s="12">
        <f t="shared" si="355"/>
        <v>0.17541665080431063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971.94501434486847</v>
      </c>
      <c r="F2835" s="38">
        <f t="shared" si="349"/>
        <v>0.25965841512925553</v>
      </c>
      <c r="G2835" s="14">
        <f t="shared" si="350"/>
        <v>0</v>
      </c>
      <c r="H2835" s="24">
        <f t="shared" si="356"/>
        <v>650</v>
      </c>
      <c r="I2835" s="12">
        <f t="shared" si="355"/>
        <v>0.17529546080314681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972.12030980567158</v>
      </c>
      <c r="F2836" s="38">
        <f t="shared" ref="F2836:F2899" si="357">Cp*RhoP/(RhoA*H2836)*dp/1000*MassivP</f>
        <v>0.25965841512925553</v>
      </c>
      <c r="G2836" s="14">
        <f t="shared" ref="G2836:G2899" si="358">Phi*EpsilonF*Botzman/10^8*J2836*((D2836+273)^4-(E2836+273)^4)</f>
        <v>0</v>
      </c>
      <c r="H2836" s="24">
        <f t="shared" si="356"/>
        <v>650</v>
      </c>
      <c r="I2836" s="12">
        <f t="shared" si="355"/>
        <v>0.17517437231393718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972.29548417798549</v>
      </c>
      <c r="F2837" s="38">
        <f t="shared" si="357"/>
        <v>0.25965841512925553</v>
      </c>
      <c r="G2837" s="14">
        <f t="shared" si="358"/>
        <v>0</v>
      </c>
      <c r="H2837" s="24">
        <f t="shared" si="356"/>
        <v>650</v>
      </c>
      <c r="I2837" s="12">
        <f t="shared" ref="I2837:I2900" si="363">LambdaP*MassivP/(dp/1000)/(H2837*RhoA)/(1+F2837/3)*(D2837-E2837)*DeltaT-(EXP(F2837/10)-1)*(D2837-D2836)</f>
        <v>0.17505338524931663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972.47053756323476</v>
      </c>
      <c r="F2838" s="38">
        <f t="shared" si="357"/>
        <v>0.25965841512925553</v>
      </c>
      <c r="G2838" s="14">
        <f t="shared" si="358"/>
        <v>0</v>
      </c>
      <c r="H2838" s="24">
        <f t="shared" si="356"/>
        <v>650</v>
      </c>
      <c r="I2838" s="12">
        <f t="shared" si="363"/>
        <v>0.17493249952201048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972.64547006275677</v>
      </c>
      <c r="F2839" s="38">
        <f t="shared" si="357"/>
        <v>0.25965841512925553</v>
      </c>
      <c r="G2839" s="14">
        <f t="shared" si="358"/>
        <v>0</v>
      </c>
      <c r="H2839" s="24">
        <f t="shared" si="356"/>
        <v>650</v>
      </c>
      <c r="I2839" s="12">
        <f t="shared" si="363"/>
        <v>0.17481171504481638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972.8202817778016</v>
      </c>
      <c r="F2840" s="38">
        <f t="shared" si="357"/>
        <v>0.25965841512925553</v>
      </c>
      <c r="G2840" s="14">
        <f t="shared" si="358"/>
        <v>0</v>
      </c>
      <c r="H2840" s="24">
        <f t="shared" si="356"/>
        <v>650</v>
      </c>
      <c r="I2840" s="12">
        <f t="shared" si="363"/>
        <v>0.17469103173058145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972.99497280953221</v>
      </c>
      <c r="F2841" s="38">
        <f t="shared" si="357"/>
        <v>0.25965841512925553</v>
      </c>
      <c r="G2841" s="14">
        <f t="shared" si="358"/>
        <v>0</v>
      </c>
      <c r="H2841" s="24">
        <f t="shared" si="356"/>
        <v>650</v>
      </c>
      <c r="I2841" s="12">
        <f t="shared" si="363"/>
        <v>0.17457044949224887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973.16954325902441</v>
      </c>
      <c r="F2842" s="38">
        <f t="shared" si="357"/>
        <v>0.25965841512925553</v>
      </c>
      <c r="G2842" s="14">
        <f t="shared" si="358"/>
        <v>0</v>
      </c>
      <c r="H2842" s="24">
        <f t="shared" si="356"/>
        <v>650</v>
      </c>
      <c r="I2842" s="12">
        <f t="shared" si="363"/>
        <v>0.17444996824283426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973.34399322726722</v>
      </c>
      <c r="F2843" s="38">
        <f t="shared" si="357"/>
        <v>0.25965841512925553</v>
      </c>
      <c r="G2843" s="14">
        <f t="shared" si="358"/>
        <v>0</v>
      </c>
      <c r="H2843" s="24">
        <f t="shared" si="356"/>
        <v>650</v>
      </c>
      <c r="I2843" s="12">
        <f t="shared" si="363"/>
        <v>0.1743295878953906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973.51832281516261</v>
      </c>
      <c r="F2844" s="38">
        <f t="shared" si="357"/>
        <v>0.25965841512925553</v>
      </c>
      <c r="G2844" s="14">
        <f t="shared" si="358"/>
        <v>0</v>
      </c>
      <c r="H2844" s="24">
        <f t="shared" si="356"/>
        <v>650</v>
      </c>
      <c r="I2844" s="12">
        <f t="shared" si="363"/>
        <v>0.17420930836309037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973.69253212352567</v>
      </c>
      <c r="F2845" s="38">
        <f t="shared" si="357"/>
        <v>0.25965841512925553</v>
      </c>
      <c r="G2845" s="14">
        <f t="shared" si="358"/>
        <v>0</v>
      </c>
      <c r="H2845" s="24">
        <f t="shared" si="356"/>
        <v>650</v>
      </c>
      <c r="I2845" s="12">
        <f t="shared" si="363"/>
        <v>0.17408912955914893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973.86662125308476</v>
      </c>
      <c r="F2846" s="38">
        <f t="shared" si="357"/>
        <v>0.25965841512925553</v>
      </c>
      <c r="G2846" s="14">
        <f t="shared" si="358"/>
        <v>0</v>
      </c>
      <c r="H2846" s="24">
        <f t="shared" si="356"/>
        <v>650</v>
      </c>
      <c r="I2846" s="12">
        <f t="shared" si="363"/>
        <v>0.17396905139685412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974.04059030448161</v>
      </c>
      <c r="F2847" s="38">
        <f t="shared" si="357"/>
        <v>0.25965841512925553</v>
      </c>
      <c r="G2847" s="14">
        <f t="shared" si="358"/>
        <v>0</v>
      </c>
      <c r="H2847" s="24">
        <f t="shared" si="356"/>
        <v>650</v>
      </c>
      <c r="I2847" s="12">
        <f t="shared" si="363"/>
        <v>0.17384907378957781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974.21443937827121</v>
      </c>
      <c r="F2848" s="38">
        <f t="shared" si="357"/>
        <v>0.25965841512925553</v>
      </c>
      <c r="G2848" s="14">
        <f t="shared" si="358"/>
        <v>0</v>
      </c>
      <c r="H2848" s="24">
        <f t="shared" si="356"/>
        <v>650</v>
      </c>
      <c r="I2848" s="12">
        <f t="shared" si="363"/>
        <v>0.17372919665076395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974.38816857492202</v>
      </c>
      <c r="F2849" s="38">
        <f t="shared" si="357"/>
        <v>0.25965841512925553</v>
      </c>
      <c r="G2849" s="14">
        <f t="shared" si="358"/>
        <v>0</v>
      </c>
      <c r="H2849" s="24">
        <f t="shared" si="356"/>
        <v>650</v>
      </c>
      <c r="I2849" s="12">
        <f t="shared" si="363"/>
        <v>0.17360941989389955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974.56177799481588</v>
      </c>
      <c r="F2850" s="38">
        <f t="shared" si="357"/>
        <v>0.25965841512925553</v>
      </c>
      <c r="G2850" s="14">
        <f t="shared" si="358"/>
        <v>0</v>
      </c>
      <c r="H2850" s="24">
        <f t="shared" si="356"/>
        <v>650</v>
      </c>
      <c r="I2850" s="12">
        <f t="shared" si="363"/>
        <v>0.17348974343259096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974.73526773824847</v>
      </c>
      <c r="F2851" s="38">
        <f t="shared" si="357"/>
        <v>0.25965841512925553</v>
      </c>
      <c r="G2851" s="14">
        <f t="shared" si="358"/>
        <v>0</v>
      </c>
      <c r="H2851" s="24">
        <f t="shared" si="356"/>
        <v>650</v>
      </c>
      <c r="I2851" s="12">
        <f t="shared" si="363"/>
        <v>0.17337016718046908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974.90863790542892</v>
      </c>
      <c r="F2852" s="38">
        <f t="shared" si="357"/>
        <v>0.25965841512925553</v>
      </c>
      <c r="G2852" s="14">
        <f t="shared" si="358"/>
        <v>0</v>
      </c>
      <c r="H2852" s="24">
        <f t="shared" si="356"/>
        <v>650</v>
      </c>
      <c r="I2852" s="12">
        <f t="shared" si="363"/>
        <v>0.17325069105128413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975.08188859648021</v>
      </c>
      <c r="F2853" s="38">
        <f t="shared" si="357"/>
        <v>0.25965841512925553</v>
      </c>
      <c r="G2853" s="14">
        <f t="shared" si="358"/>
        <v>0</v>
      </c>
      <c r="H2853" s="24">
        <f t="shared" si="356"/>
        <v>650</v>
      </c>
      <c r="I2853" s="12">
        <f t="shared" si="363"/>
        <v>0.17313131495879941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975.25501991143904</v>
      </c>
      <c r="F2854" s="38">
        <f t="shared" si="357"/>
        <v>0.25965841512925553</v>
      </c>
      <c r="G2854" s="14">
        <f t="shared" si="358"/>
        <v>0</v>
      </c>
      <c r="H2854" s="24">
        <f t="shared" si="356"/>
        <v>650</v>
      </c>
      <c r="I2854" s="12">
        <f t="shared" si="363"/>
        <v>0.17301203881690352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975.4280319502559</v>
      </c>
      <c r="F2855" s="38">
        <f t="shared" si="357"/>
        <v>0.25965841512925553</v>
      </c>
      <c r="G2855" s="14">
        <f t="shared" si="358"/>
        <v>0</v>
      </c>
      <c r="H2855" s="24">
        <f t="shared" si="356"/>
        <v>650</v>
      </c>
      <c r="I2855" s="12">
        <f t="shared" si="363"/>
        <v>0.17289286253952713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975.60092481279548</v>
      </c>
      <c r="F2856" s="38">
        <f t="shared" si="357"/>
        <v>0.25965841512925553</v>
      </c>
      <c r="G2856" s="14">
        <f t="shared" si="358"/>
        <v>0</v>
      </c>
      <c r="H2856" s="24">
        <f t="shared" si="356"/>
        <v>650</v>
      </c>
      <c r="I2856" s="12">
        <f t="shared" si="363"/>
        <v>0.17277378604067867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975.77369859883618</v>
      </c>
      <c r="F2857" s="38">
        <f t="shared" si="357"/>
        <v>0.25965841512925553</v>
      </c>
      <c r="G2857" s="14">
        <f t="shared" si="358"/>
        <v>0</v>
      </c>
      <c r="H2857" s="24">
        <f t="shared" si="356"/>
        <v>650</v>
      </c>
      <c r="I2857" s="12">
        <f t="shared" si="363"/>
        <v>0.17265480923445015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975.94635340807065</v>
      </c>
      <c r="F2858" s="38">
        <f t="shared" si="357"/>
        <v>0.25965841512925553</v>
      </c>
      <c r="G2858" s="14">
        <f t="shared" si="358"/>
        <v>0</v>
      </c>
      <c r="H2858" s="24">
        <f t="shared" si="356"/>
        <v>650</v>
      </c>
      <c r="I2858" s="12">
        <f t="shared" si="363"/>
        <v>0.17253593203497591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976.11888934010562</v>
      </c>
      <c r="F2859" s="38">
        <f t="shared" si="357"/>
        <v>0.25965841512925553</v>
      </c>
      <c r="G2859" s="14">
        <f t="shared" si="358"/>
        <v>0</v>
      </c>
      <c r="H2859" s="24">
        <f t="shared" si="356"/>
        <v>650</v>
      </c>
      <c r="I2859" s="12">
        <f t="shared" si="363"/>
        <v>0.17241715435649155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976.29130649446211</v>
      </c>
      <c r="F2860" s="38">
        <f t="shared" si="357"/>
        <v>0.25965841512925553</v>
      </c>
      <c r="G2860" s="14">
        <f t="shared" si="358"/>
        <v>0</v>
      </c>
      <c r="H2860" s="24">
        <f t="shared" si="356"/>
        <v>650</v>
      </c>
      <c r="I2860" s="12">
        <f t="shared" si="363"/>
        <v>0.17229847611328067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976.46360497057537</v>
      </c>
      <c r="F2861" s="38">
        <f t="shared" si="357"/>
        <v>0.25965841512925553</v>
      </c>
      <c r="G2861" s="14">
        <f t="shared" si="358"/>
        <v>0</v>
      </c>
      <c r="H2861" s="24">
        <f t="shared" si="356"/>
        <v>650</v>
      </c>
      <c r="I2861" s="12">
        <f t="shared" si="363"/>
        <v>0.17217989721972771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976.63578486779511</v>
      </c>
      <c r="F2862" s="38">
        <f t="shared" si="357"/>
        <v>0.25965841512925553</v>
      </c>
      <c r="G2862" s="14">
        <f t="shared" si="358"/>
        <v>0</v>
      </c>
      <c r="H2862" s="24">
        <f t="shared" si="356"/>
        <v>650</v>
      </c>
      <c r="I2862" s="12">
        <f t="shared" si="363"/>
        <v>0.17206141759024754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976.80784628538538</v>
      </c>
      <c r="F2863" s="38">
        <f t="shared" si="357"/>
        <v>0.25965841512925553</v>
      </c>
      <c r="G2863" s="14">
        <f t="shared" si="358"/>
        <v>0</v>
      </c>
      <c r="H2863" s="24">
        <f t="shared" si="356"/>
        <v>650</v>
      </c>
      <c r="I2863" s="12">
        <f t="shared" si="363"/>
        <v>0.17194303713936179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976.97978932252477</v>
      </c>
      <c r="F2864" s="38">
        <f t="shared" si="357"/>
        <v>0.25965841512925553</v>
      </c>
      <c r="G2864" s="14">
        <f t="shared" si="358"/>
        <v>0</v>
      </c>
      <c r="H2864" s="24">
        <f t="shared" si="356"/>
        <v>650</v>
      </c>
      <c r="I2864" s="12">
        <f t="shared" si="363"/>
        <v>0.17182475578163448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977.15161407830635</v>
      </c>
      <c r="F2865" s="38">
        <f t="shared" si="357"/>
        <v>0.25965841512925553</v>
      </c>
      <c r="G2865" s="14">
        <f t="shared" si="358"/>
        <v>0</v>
      </c>
      <c r="H2865" s="24">
        <f t="shared" si="356"/>
        <v>650</v>
      </c>
      <c r="I2865" s="12">
        <f t="shared" si="363"/>
        <v>0.17170657343174156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977.32332065173807</v>
      </c>
      <c r="F2866" s="38">
        <f t="shared" si="357"/>
        <v>0.25965841512925553</v>
      </c>
      <c r="G2866" s="14">
        <f t="shared" si="358"/>
        <v>0</v>
      </c>
      <c r="H2866" s="24">
        <f t="shared" si="356"/>
        <v>650</v>
      </c>
      <c r="I2866" s="12">
        <f t="shared" si="363"/>
        <v>0.17158849000436596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977.49490914174248</v>
      </c>
      <c r="F2867" s="38">
        <f t="shared" si="357"/>
        <v>0.25965841512925553</v>
      </c>
      <c r="G2867" s="14">
        <f t="shared" si="358"/>
        <v>0</v>
      </c>
      <c r="H2867" s="24">
        <f t="shared" si="356"/>
        <v>650</v>
      </c>
      <c r="I2867" s="12">
        <f t="shared" si="363"/>
        <v>0.17147050541433242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977.66637964715676</v>
      </c>
      <c r="F2868" s="38">
        <f t="shared" si="357"/>
        <v>0.25965841512925553</v>
      </c>
      <c r="G2868" s="14">
        <f t="shared" si="358"/>
        <v>0</v>
      </c>
      <c r="H2868" s="24">
        <f t="shared" si="356"/>
        <v>650</v>
      </c>
      <c r="I2868" s="12">
        <f t="shared" si="363"/>
        <v>0.17135261957647813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977.83773226673327</v>
      </c>
      <c r="F2869" s="38">
        <f t="shared" si="357"/>
        <v>0.25965841512925553</v>
      </c>
      <c r="G2869" s="14">
        <f t="shared" si="358"/>
        <v>0</v>
      </c>
      <c r="H2869" s="24">
        <f t="shared" si="356"/>
        <v>650</v>
      </c>
      <c r="I2869" s="12">
        <f t="shared" si="363"/>
        <v>0.17123483240575244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978.008967099139</v>
      </c>
      <c r="F2870" s="38">
        <f t="shared" si="357"/>
        <v>0.25965841512925553</v>
      </c>
      <c r="G2870" s="14">
        <f t="shared" si="358"/>
        <v>0</v>
      </c>
      <c r="H2870" s="24">
        <f t="shared" si="356"/>
        <v>650</v>
      </c>
      <c r="I2870" s="12">
        <f t="shared" si="363"/>
        <v>0.1711171438171466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978.18008424295613</v>
      </c>
      <c r="F2871" s="38">
        <f t="shared" si="357"/>
        <v>0.25965841512925553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650</v>
      </c>
      <c r="I2871" s="12">
        <f t="shared" si="363"/>
        <v>0.17099955372574041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978.35108379668191</v>
      </c>
      <c r="F2872" s="38">
        <f t="shared" si="357"/>
        <v>0.25965841512925553</v>
      </c>
      <c r="G2872" s="14">
        <f t="shared" si="358"/>
        <v>0</v>
      </c>
      <c r="H2872" s="24">
        <f t="shared" si="364"/>
        <v>650</v>
      </c>
      <c r="I2872" s="12">
        <f t="shared" si="363"/>
        <v>0.17088206204666734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978.52196585872855</v>
      </c>
      <c r="F2873" s="38">
        <f t="shared" si="357"/>
        <v>0.25965841512925553</v>
      </c>
      <c r="G2873" s="14">
        <f t="shared" si="358"/>
        <v>0</v>
      </c>
      <c r="H2873" s="24">
        <f t="shared" si="364"/>
        <v>650</v>
      </c>
      <c r="I2873" s="12">
        <f t="shared" si="363"/>
        <v>0.17076466869516671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978.69273052742369</v>
      </c>
      <c r="F2874" s="38">
        <f t="shared" si="357"/>
        <v>0.25965841512925553</v>
      </c>
      <c r="G2874" s="14">
        <f t="shared" si="358"/>
        <v>0</v>
      </c>
      <c r="H2874" s="24">
        <f t="shared" si="364"/>
        <v>650</v>
      </c>
      <c r="I2874" s="12">
        <f t="shared" si="363"/>
        <v>0.17064737358649013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978.86337790101015</v>
      </c>
      <c r="F2875" s="38">
        <f t="shared" si="357"/>
        <v>0.25965841512925553</v>
      </c>
      <c r="G2875" s="14">
        <f t="shared" si="358"/>
        <v>0</v>
      </c>
      <c r="H2875" s="24">
        <f t="shared" si="364"/>
        <v>650</v>
      </c>
      <c r="I2875" s="12">
        <f t="shared" si="363"/>
        <v>0.17053017663601322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979.03390807764617</v>
      </c>
      <c r="F2876" s="38">
        <f t="shared" si="357"/>
        <v>0.25965841512925553</v>
      </c>
      <c r="G2876" s="14">
        <f t="shared" si="358"/>
        <v>0</v>
      </c>
      <c r="H2876" s="24">
        <f t="shared" si="364"/>
        <v>650</v>
      </c>
      <c r="I2876" s="12">
        <f t="shared" si="363"/>
        <v>0.17041307775915851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979.2043211554053</v>
      </c>
      <c r="F2877" s="38">
        <f t="shared" si="357"/>
        <v>0.25965841512925553</v>
      </c>
      <c r="G2877" s="14">
        <f t="shared" si="358"/>
        <v>0</v>
      </c>
      <c r="H2877" s="24">
        <f t="shared" si="364"/>
        <v>650</v>
      </c>
      <c r="I2877" s="12">
        <f t="shared" si="363"/>
        <v>0.17029607687142534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979.37461723227671</v>
      </c>
      <c r="F2878" s="38">
        <f t="shared" si="357"/>
        <v>0.25965841512925553</v>
      </c>
      <c r="G2878" s="14">
        <f t="shared" si="358"/>
        <v>0</v>
      </c>
      <c r="H2878" s="24">
        <f t="shared" si="364"/>
        <v>650</v>
      </c>
      <c r="I2878" s="12">
        <f t="shared" si="363"/>
        <v>0.17017917388837184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979.54479640616512</v>
      </c>
      <c r="F2879" s="38">
        <f t="shared" si="357"/>
        <v>0.25965841512925553</v>
      </c>
      <c r="G2879" s="14">
        <f t="shared" si="358"/>
        <v>0</v>
      </c>
      <c r="H2879" s="24">
        <f t="shared" si="364"/>
        <v>650</v>
      </c>
      <c r="I2879" s="12">
        <f t="shared" si="363"/>
        <v>0.17006236872563293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979.71485877489079</v>
      </c>
      <c r="F2880" s="38">
        <f t="shared" si="357"/>
        <v>0.25965841512925553</v>
      </c>
      <c r="G2880" s="14">
        <f t="shared" si="358"/>
        <v>0</v>
      </c>
      <c r="H2880" s="24">
        <f t="shared" si="364"/>
        <v>650</v>
      </c>
      <c r="I2880" s="12">
        <f t="shared" si="363"/>
        <v>0.16994566129891431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979.88480443618971</v>
      </c>
      <c r="F2881" s="38">
        <f t="shared" si="357"/>
        <v>0.25965841512925553</v>
      </c>
      <c r="G2881" s="14">
        <f t="shared" si="358"/>
        <v>0</v>
      </c>
      <c r="H2881" s="24">
        <f t="shared" si="364"/>
        <v>650</v>
      </c>
      <c r="I2881" s="12">
        <f t="shared" si="363"/>
        <v>0.16982905152400937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980.05463348771377</v>
      </c>
      <c r="F2882" s="38">
        <f t="shared" si="357"/>
        <v>0.25965841512925553</v>
      </c>
      <c r="G2882" s="14">
        <f t="shared" si="358"/>
        <v>0</v>
      </c>
      <c r="H2882" s="24">
        <f t="shared" si="364"/>
        <v>650</v>
      </c>
      <c r="I2882" s="12">
        <f t="shared" si="363"/>
        <v>0.1697125393167411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980.22434602703049</v>
      </c>
      <c r="F2883" s="38">
        <f t="shared" si="357"/>
        <v>0.25965841512925553</v>
      </c>
      <c r="G2883" s="14">
        <f t="shared" si="358"/>
        <v>0</v>
      </c>
      <c r="H2883" s="24">
        <f t="shared" si="364"/>
        <v>650</v>
      </c>
      <c r="I2883" s="12">
        <f t="shared" si="363"/>
        <v>0.16959612459304996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980.39394215162349</v>
      </c>
      <c r="F2884" s="38">
        <f t="shared" si="357"/>
        <v>0.25965841512925553</v>
      </c>
      <c r="G2884" s="14">
        <f t="shared" si="358"/>
        <v>0</v>
      </c>
      <c r="H2884" s="24">
        <f t="shared" si="364"/>
        <v>650</v>
      </c>
      <c r="I2884" s="12">
        <f t="shared" si="363"/>
        <v>0.16947980726889961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980.56342195889238</v>
      </c>
      <c r="F2885" s="38">
        <f t="shared" si="357"/>
        <v>0.25965841512925553</v>
      </c>
      <c r="G2885" s="14">
        <f t="shared" si="358"/>
        <v>0</v>
      </c>
      <c r="H2885" s="24">
        <f t="shared" si="364"/>
        <v>650</v>
      </c>
      <c r="I2885" s="12">
        <f t="shared" si="363"/>
        <v>0.16936358726034809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980.73278554615274</v>
      </c>
      <c r="F2886" s="38">
        <f t="shared" si="357"/>
        <v>0.25965841512925553</v>
      </c>
      <c r="G2886" s="14">
        <f t="shared" si="358"/>
        <v>0</v>
      </c>
      <c r="H2886" s="24">
        <f t="shared" si="364"/>
        <v>650</v>
      </c>
      <c r="I2886" s="12">
        <f t="shared" si="363"/>
        <v>0.16924746448354092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980.90203301063627</v>
      </c>
      <c r="F2887" s="38">
        <f t="shared" si="357"/>
        <v>0.25965841512925553</v>
      </c>
      <c r="G2887" s="14">
        <f t="shared" si="358"/>
        <v>0</v>
      </c>
      <c r="H2887" s="24">
        <f t="shared" si="364"/>
        <v>650</v>
      </c>
      <c r="I2887" s="12">
        <f t="shared" si="363"/>
        <v>0.1691314388546527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981.07116444949088</v>
      </c>
      <c r="F2888" s="38">
        <f t="shared" si="357"/>
        <v>0.25965841512925553</v>
      </c>
      <c r="G2888" s="14">
        <f t="shared" si="358"/>
        <v>0</v>
      </c>
      <c r="H2888" s="24">
        <f t="shared" si="364"/>
        <v>650</v>
      </c>
      <c r="I2888" s="12">
        <f t="shared" si="363"/>
        <v>0.16901551028996956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981.2401799597809</v>
      </c>
      <c r="F2889" s="38">
        <f t="shared" si="357"/>
        <v>0.25965841512925553</v>
      </c>
      <c r="G2889" s="14">
        <f t="shared" si="358"/>
        <v>0</v>
      </c>
      <c r="H2889" s="24">
        <f t="shared" si="364"/>
        <v>650</v>
      </c>
      <c r="I2889" s="12">
        <f t="shared" si="363"/>
        <v>0.16889967870579478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981.40907963848667</v>
      </c>
      <c r="F2890" s="38">
        <f t="shared" si="357"/>
        <v>0.25965841512925553</v>
      </c>
      <c r="G2890" s="14">
        <f t="shared" si="358"/>
        <v>0</v>
      </c>
      <c r="H2890" s="24">
        <f t="shared" si="364"/>
        <v>650</v>
      </c>
      <c r="I2890" s="12">
        <f t="shared" si="363"/>
        <v>0.16878394401857247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981.5778635825053</v>
      </c>
      <c r="F2891" s="38">
        <f t="shared" si="357"/>
        <v>0.25965841512925553</v>
      </c>
      <c r="G2891" s="14">
        <f t="shared" si="358"/>
        <v>0</v>
      </c>
      <c r="H2891" s="24">
        <f t="shared" si="364"/>
        <v>650</v>
      </c>
      <c r="I2891" s="12">
        <f t="shared" si="363"/>
        <v>0.16866830614474584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981.74653188865</v>
      </c>
      <c r="F2892" s="38">
        <f t="shared" si="357"/>
        <v>0.25965841512925553</v>
      </c>
      <c r="G2892" s="14">
        <f t="shared" si="358"/>
        <v>0</v>
      </c>
      <c r="H2892" s="24">
        <f t="shared" si="364"/>
        <v>650</v>
      </c>
      <c r="I2892" s="12">
        <f t="shared" si="363"/>
        <v>0.16855276500087557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981.91508465365087</v>
      </c>
      <c r="F2893" s="38">
        <f t="shared" si="357"/>
        <v>0.25965841512925553</v>
      </c>
      <c r="G2893" s="14">
        <f t="shared" si="358"/>
        <v>0</v>
      </c>
      <c r="H2893" s="24">
        <f t="shared" si="364"/>
        <v>650</v>
      </c>
      <c r="I2893" s="12">
        <f t="shared" si="363"/>
        <v>0.16843732050356261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982.08352197415445</v>
      </c>
      <c r="F2894" s="38">
        <f t="shared" si="357"/>
        <v>0.25965841512925553</v>
      </c>
      <c r="G2894" s="14">
        <f t="shared" si="358"/>
        <v>0</v>
      </c>
      <c r="H2894" s="24">
        <f t="shared" si="364"/>
        <v>650</v>
      </c>
      <c r="I2894" s="12">
        <f t="shared" si="363"/>
        <v>0.16832197256950146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982.25184394672397</v>
      </c>
      <c r="F2895" s="38">
        <f t="shared" si="357"/>
        <v>0.25965841512925553</v>
      </c>
      <c r="G2895" s="14">
        <f t="shared" si="358"/>
        <v>0</v>
      </c>
      <c r="H2895" s="24">
        <f t="shared" si="364"/>
        <v>650</v>
      </c>
      <c r="I2895" s="12">
        <f t="shared" si="363"/>
        <v>0.16820672111543863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982.4200506678394</v>
      </c>
      <c r="F2896" s="38">
        <f t="shared" si="357"/>
        <v>0.25965841512925553</v>
      </c>
      <c r="G2896" s="14">
        <f t="shared" si="358"/>
        <v>0</v>
      </c>
      <c r="H2896" s="24">
        <f t="shared" si="364"/>
        <v>650</v>
      </c>
      <c r="I2896" s="12">
        <f t="shared" si="363"/>
        <v>0.16809156605819073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982.58814223389754</v>
      </c>
      <c r="F2897" s="38">
        <f t="shared" si="357"/>
        <v>0.25965841512925553</v>
      </c>
      <c r="G2897" s="14">
        <f t="shared" si="358"/>
        <v>0</v>
      </c>
      <c r="H2897" s="24">
        <f t="shared" si="364"/>
        <v>650</v>
      </c>
      <c r="I2897" s="12">
        <f t="shared" si="363"/>
        <v>0.16797650731466149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982.75611874121216</v>
      </c>
      <c r="F2898" s="38">
        <f t="shared" si="357"/>
        <v>0.25965841512925553</v>
      </c>
      <c r="G2898" s="14">
        <f t="shared" si="358"/>
        <v>0</v>
      </c>
      <c r="H2898" s="24">
        <f t="shared" si="364"/>
        <v>650</v>
      </c>
      <c r="I2898" s="12">
        <f t="shared" si="363"/>
        <v>0.16786154480178919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982.92398028601394</v>
      </c>
      <c r="F2899" s="38">
        <f t="shared" si="357"/>
        <v>0.25965841512925553</v>
      </c>
      <c r="G2899" s="14">
        <f t="shared" si="358"/>
        <v>0</v>
      </c>
      <c r="H2899" s="24">
        <f t="shared" si="364"/>
        <v>650</v>
      </c>
      <c r="I2899" s="12">
        <f t="shared" si="363"/>
        <v>0.16774667843663452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983.09172696445057</v>
      </c>
      <c r="F2900" s="38">
        <f t="shared" ref="F2900:F2963" si="365">Cp*RhoP/(RhoA*H2900)*dp/1000*MassivP</f>
        <v>0.25965841512925553</v>
      </c>
      <c r="G2900" s="14">
        <f t="shared" ref="G2900:G2963" si="366">Phi*EpsilonF*Botzman/10^8*J2900*((D2900+273)^4-(E2900+273)^4)</f>
        <v>0</v>
      </c>
      <c r="H2900" s="24">
        <f t="shared" si="364"/>
        <v>650</v>
      </c>
      <c r="I2900" s="12">
        <f t="shared" si="363"/>
        <v>0.16763190813626305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983.25935887258686</v>
      </c>
      <c r="F2901" s="38">
        <f t="shared" si="365"/>
        <v>0.25965841512925553</v>
      </c>
      <c r="G2901" s="14">
        <f t="shared" si="366"/>
        <v>0</v>
      </c>
      <c r="H2901" s="24">
        <f t="shared" si="364"/>
        <v>650</v>
      </c>
      <c r="I2901" s="12">
        <f t="shared" ref="I2901:I2964" si="371">LambdaP*MassivP/(dp/1000)/(H2901*RhoA)/(1+F2901/3)*(D2901-E2901)*DeltaT-(EXP(F2901/10)-1)*(D2901-D2900)</f>
        <v>0.16751723381785735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983.42687610640473</v>
      </c>
      <c r="F2902" s="38">
        <f t="shared" si="365"/>
        <v>0.25965841512925553</v>
      </c>
      <c r="G2902" s="14">
        <f t="shared" si="366"/>
        <v>0</v>
      </c>
      <c r="H2902" s="24">
        <f t="shared" si="364"/>
        <v>650</v>
      </c>
      <c r="I2902" s="12">
        <f t="shared" si="371"/>
        <v>0.16740265539865726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983.59427876180337</v>
      </c>
      <c r="F2903" s="38">
        <f t="shared" si="365"/>
        <v>0.25965841512925553</v>
      </c>
      <c r="G2903" s="14">
        <f t="shared" si="366"/>
        <v>0</v>
      </c>
      <c r="H2903" s="24">
        <f t="shared" si="364"/>
        <v>650</v>
      </c>
      <c r="I2903" s="12">
        <f t="shared" si="371"/>
        <v>0.16728817279596619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983.76156693459939</v>
      </c>
      <c r="F2904" s="38">
        <f t="shared" si="365"/>
        <v>0.25965841512925553</v>
      </c>
      <c r="G2904" s="14">
        <f t="shared" si="366"/>
        <v>0</v>
      </c>
      <c r="H2904" s="24">
        <f t="shared" si="364"/>
        <v>650</v>
      </c>
      <c r="I2904" s="12">
        <f t="shared" si="371"/>
        <v>0.16717378592714538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983.92874072052655</v>
      </c>
      <c r="F2905" s="38">
        <f t="shared" si="365"/>
        <v>0.25965841512925553</v>
      </c>
      <c r="G2905" s="14">
        <f t="shared" si="366"/>
        <v>0</v>
      </c>
      <c r="H2905" s="24">
        <f t="shared" si="364"/>
        <v>650</v>
      </c>
      <c r="I2905" s="12">
        <f t="shared" si="371"/>
        <v>0.16705949470964337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984.09580021523618</v>
      </c>
      <c r="F2906" s="38">
        <f t="shared" si="365"/>
        <v>0.25965841512925553</v>
      </c>
      <c r="G2906" s="14">
        <f t="shared" si="366"/>
        <v>0</v>
      </c>
      <c r="H2906" s="24">
        <f t="shared" si="364"/>
        <v>650</v>
      </c>
      <c r="I2906" s="12">
        <f t="shared" si="371"/>
        <v>0.16694529906099484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984.26274551429719</v>
      </c>
      <c r="F2907" s="38">
        <f t="shared" si="365"/>
        <v>0.25965841512925553</v>
      </c>
      <c r="G2907" s="14">
        <f t="shared" si="366"/>
        <v>0</v>
      </c>
      <c r="H2907" s="24">
        <f t="shared" si="364"/>
        <v>650</v>
      </c>
      <c r="I2907" s="12">
        <f t="shared" si="371"/>
        <v>0.16683119889874526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984.42957671319596</v>
      </c>
      <c r="F2908" s="38">
        <f t="shared" si="365"/>
        <v>0.25965841512925553</v>
      </c>
      <c r="G2908" s="14">
        <f t="shared" si="366"/>
        <v>0</v>
      </c>
      <c r="H2908" s="24">
        <f t="shared" si="364"/>
        <v>650</v>
      </c>
      <c r="I2908" s="12">
        <f t="shared" si="371"/>
        <v>0.16671719414056824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984.59629390733653</v>
      </c>
      <c r="F2909" s="38">
        <f t="shared" si="365"/>
        <v>0.25965841512925553</v>
      </c>
      <c r="G2909" s="14">
        <f t="shared" si="366"/>
        <v>0</v>
      </c>
      <c r="H2909" s="24">
        <f t="shared" si="364"/>
        <v>650</v>
      </c>
      <c r="I2909" s="12">
        <f t="shared" si="371"/>
        <v>0.1666032847041653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984.76289719204067</v>
      </c>
      <c r="F2910" s="38">
        <f t="shared" si="365"/>
        <v>0.25965841512925553</v>
      </c>
      <c r="G2910" s="14">
        <f t="shared" si="366"/>
        <v>0</v>
      </c>
      <c r="H2910" s="24">
        <f t="shared" si="364"/>
        <v>650</v>
      </c>
      <c r="I2910" s="12">
        <f t="shared" si="371"/>
        <v>0.16648947050734222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984.92938666254804</v>
      </c>
      <c r="F2911" s="38">
        <f t="shared" si="365"/>
        <v>0.25965841512925553</v>
      </c>
      <c r="G2911" s="14">
        <f t="shared" si="366"/>
        <v>0</v>
      </c>
      <c r="H2911" s="24">
        <f t="shared" si="364"/>
        <v>650</v>
      </c>
      <c r="I2911" s="12">
        <f t="shared" si="371"/>
        <v>0.16637575146793254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985.09576241401601</v>
      </c>
      <c r="F2912" s="38">
        <f t="shared" si="365"/>
        <v>0.25965841512925553</v>
      </c>
      <c r="G2912" s="14">
        <f t="shared" si="366"/>
        <v>0</v>
      </c>
      <c r="H2912" s="24">
        <f t="shared" si="364"/>
        <v>650</v>
      </c>
      <c r="I2912" s="12">
        <f t="shared" si="371"/>
        <v>0.16626212750387442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985.26202454151985</v>
      </c>
      <c r="F2913" s="38">
        <f t="shared" si="365"/>
        <v>0.25965841512925553</v>
      </c>
      <c r="G2913" s="14">
        <f t="shared" si="366"/>
        <v>0</v>
      </c>
      <c r="H2913" s="24">
        <f t="shared" si="364"/>
        <v>650</v>
      </c>
      <c r="I2913" s="12">
        <f t="shared" si="371"/>
        <v>0.16614859853315708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985.42817314005299</v>
      </c>
      <c r="F2914" s="38">
        <f t="shared" si="365"/>
        <v>0.25965841512925553</v>
      </c>
      <c r="G2914" s="14">
        <f t="shared" si="366"/>
        <v>0</v>
      </c>
      <c r="H2914" s="24">
        <f t="shared" si="364"/>
        <v>650</v>
      </c>
      <c r="I2914" s="12">
        <f t="shared" si="371"/>
        <v>0.16603516447383282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985.59420830452677</v>
      </c>
      <c r="F2915" s="38">
        <f t="shared" si="365"/>
        <v>0.25965841512925553</v>
      </c>
      <c r="G2915" s="14">
        <f t="shared" si="366"/>
        <v>0</v>
      </c>
      <c r="H2915" s="24">
        <f t="shared" si="364"/>
        <v>650</v>
      </c>
      <c r="I2915" s="12">
        <f t="shared" si="371"/>
        <v>0.16592182524404611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985.7601301297708</v>
      </c>
      <c r="F2916" s="38">
        <f t="shared" si="365"/>
        <v>0.25965841512925553</v>
      </c>
      <c r="G2916" s="14">
        <f t="shared" si="366"/>
        <v>0</v>
      </c>
      <c r="H2916" s="24">
        <f t="shared" si="364"/>
        <v>650</v>
      </c>
      <c r="I2916" s="12">
        <f t="shared" si="371"/>
        <v>0.16580858076198671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985.92593871053282</v>
      </c>
      <c r="F2917" s="38">
        <f t="shared" si="365"/>
        <v>0.25965841512925553</v>
      </c>
      <c r="G2917" s="14">
        <f t="shared" si="366"/>
        <v>0</v>
      </c>
      <c r="H2917" s="24">
        <f t="shared" si="364"/>
        <v>650</v>
      </c>
      <c r="I2917" s="12">
        <f t="shared" si="371"/>
        <v>0.16569543094590741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986.09163414147872</v>
      </c>
      <c r="F2918" s="38">
        <f t="shared" si="365"/>
        <v>0.25965841512925553</v>
      </c>
      <c r="G2918" s="14">
        <f t="shared" si="366"/>
        <v>0</v>
      </c>
      <c r="H2918" s="24">
        <f t="shared" si="364"/>
        <v>650</v>
      </c>
      <c r="I2918" s="12">
        <f t="shared" si="371"/>
        <v>0.16558237571417067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986.25721651719289</v>
      </c>
      <c r="F2919" s="38">
        <f t="shared" si="365"/>
        <v>0.25965841512925553</v>
      </c>
      <c r="G2919" s="14">
        <f t="shared" si="366"/>
        <v>0</v>
      </c>
      <c r="H2919" s="24">
        <f t="shared" si="364"/>
        <v>650</v>
      </c>
      <c r="I2919" s="12">
        <f t="shared" si="371"/>
        <v>0.16546941498514306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986.42268593217807</v>
      </c>
      <c r="F2920" s="38">
        <f t="shared" si="365"/>
        <v>0.25965841512925553</v>
      </c>
      <c r="G2920" s="14">
        <f t="shared" si="366"/>
        <v>0</v>
      </c>
      <c r="H2920" s="24">
        <f t="shared" si="364"/>
        <v>650</v>
      </c>
      <c r="I2920" s="12">
        <f t="shared" si="371"/>
        <v>0.16535654867731855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986.58804248085539</v>
      </c>
      <c r="F2921" s="38">
        <f t="shared" si="365"/>
        <v>0.25965841512925553</v>
      </c>
      <c r="G2921" s="14">
        <f t="shared" si="366"/>
        <v>0</v>
      </c>
      <c r="H2921" s="24">
        <f t="shared" si="364"/>
        <v>650</v>
      </c>
      <c r="I2921" s="12">
        <f t="shared" si="371"/>
        <v>0.16524377670923587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986.75328625756458</v>
      </c>
      <c r="F2922" s="38">
        <f t="shared" si="365"/>
        <v>0.25965841512925553</v>
      </c>
      <c r="G2922" s="14">
        <f t="shared" si="366"/>
        <v>0</v>
      </c>
      <c r="H2922" s="24">
        <f t="shared" si="364"/>
        <v>650</v>
      </c>
      <c r="I2922" s="12">
        <f t="shared" si="371"/>
        <v>0.16513109899949052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986.91841735656408</v>
      </c>
      <c r="F2923" s="38">
        <f t="shared" si="365"/>
        <v>0.25965841512925553</v>
      </c>
      <c r="G2923" s="14">
        <f t="shared" si="366"/>
        <v>0</v>
      </c>
      <c r="H2923" s="24">
        <f t="shared" si="364"/>
        <v>650</v>
      </c>
      <c r="I2923" s="12">
        <f t="shared" si="371"/>
        <v>0.16501851546675259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987.0834358720308</v>
      </c>
      <c r="F2924" s="38">
        <f t="shared" si="365"/>
        <v>0.25965841512925553</v>
      </c>
      <c r="G2924" s="14">
        <f t="shared" si="366"/>
        <v>0</v>
      </c>
      <c r="H2924" s="24">
        <f t="shared" si="364"/>
        <v>650</v>
      </c>
      <c r="I2924" s="12">
        <f t="shared" si="371"/>
        <v>0.1649060260297838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987.24834189806063</v>
      </c>
      <c r="F2925" s="38">
        <f t="shared" si="365"/>
        <v>0.25965841512925553</v>
      </c>
      <c r="G2925" s="14">
        <f t="shared" si="366"/>
        <v>0</v>
      </c>
      <c r="H2925" s="24">
        <f t="shared" si="364"/>
        <v>650</v>
      </c>
      <c r="I2925" s="12">
        <f t="shared" si="371"/>
        <v>0.16479363060737298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987.41313552866802</v>
      </c>
      <c r="F2926" s="38">
        <f t="shared" si="365"/>
        <v>0.25965841512925553</v>
      </c>
      <c r="G2926" s="14">
        <f t="shared" si="366"/>
        <v>0</v>
      </c>
      <c r="H2926" s="24">
        <f t="shared" si="364"/>
        <v>650</v>
      </c>
      <c r="I2926" s="12">
        <f t="shared" si="371"/>
        <v>0.16468132911841848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987.57781685778639</v>
      </c>
      <c r="F2927" s="38">
        <f t="shared" si="365"/>
        <v>0.25965841512925553</v>
      </c>
      <c r="G2927" s="14">
        <f t="shared" si="366"/>
        <v>0</v>
      </c>
      <c r="H2927" s="24">
        <f t="shared" si="364"/>
        <v>650</v>
      </c>
      <c r="I2927" s="12">
        <f t="shared" si="371"/>
        <v>0.16456912148184005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987.74238597926819</v>
      </c>
      <c r="F2928" s="38">
        <f t="shared" si="365"/>
        <v>0.25965841512925553</v>
      </c>
      <c r="G2928" s="14">
        <f t="shared" si="366"/>
        <v>0</v>
      </c>
      <c r="H2928" s="24">
        <f t="shared" si="364"/>
        <v>650</v>
      </c>
      <c r="I2928" s="12">
        <f t="shared" si="371"/>
        <v>0.16445700761667253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987.90684298688484</v>
      </c>
      <c r="F2929" s="38">
        <f t="shared" si="365"/>
        <v>0.25965841512925553</v>
      </c>
      <c r="G2929" s="14">
        <f t="shared" si="366"/>
        <v>0</v>
      </c>
      <c r="H2929" s="24">
        <f t="shared" si="364"/>
        <v>650</v>
      </c>
      <c r="I2929" s="12">
        <f t="shared" si="371"/>
        <v>0.16434498744198922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988.07118797432679</v>
      </c>
      <c r="F2930" s="38">
        <f t="shared" si="365"/>
        <v>0.25965841512925553</v>
      </c>
      <c r="G2930" s="14">
        <f t="shared" si="366"/>
        <v>0</v>
      </c>
      <c r="H2930" s="24">
        <f t="shared" si="364"/>
        <v>650</v>
      </c>
      <c r="I2930" s="12">
        <f t="shared" si="371"/>
        <v>0.16423306087693765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988.23542103520367</v>
      </c>
      <c r="F2931" s="38">
        <f t="shared" si="365"/>
        <v>0.25965841512925553</v>
      </c>
      <c r="G2931" s="14">
        <f t="shared" si="366"/>
        <v>0</v>
      </c>
      <c r="H2931" s="24">
        <f t="shared" si="364"/>
        <v>650</v>
      </c>
      <c r="I2931" s="12">
        <f t="shared" si="371"/>
        <v>0.16412122784073338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988.3995422630444</v>
      </c>
      <c r="F2932" s="38">
        <f t="shared" si="365"/>
        <v>0.25965841512925553</v>
      </c>
      <c r="G2932" s="14">
        <f t="shared" si="366"/>
        <v>0</v>
      </c>
      <c r="H2932" s="24">
        <f t="shared" si="364"/>
        <v>650</v>
      </c>
      <c r="I2932" s="12">
        <f t="shared" si="371"/>
        <v>0.16400948825266562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988.56355175129704</v>
      </c>
      <c r="F2933" s="38">
        <f t="shared" si="365"/>
        <v>0.25965841512925553</v>
      </c>
      <c r="G2933" s="14">
        <f t="shared" si="366"/>
        <v>0</v>
      </c>
      <c r="H2933" s="24">
        <f t="shared" si="364"/>
        <v>650</v>
      </c>
      <c r="I2933" s="12">
        <f t="shared" si="371"/>
        <v>0.16389784203207985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988.72744959332908</v>
      </c>
      <c r="F2934" s="38">
        <f t="shared" si="365"/>
        <v>0.25965841512925553</v>
      </c>
      <c r="G2934" s="14">
        <f t="shared" si="366"/>
        <v>0</v>
      </c>
      <c r="H2934" s="24">
        <f t="shared" si="364"/>
        <v>650</v>
      </c>
      <c r="I2934" s="12">
        <f t="shared" si="371"/>
        <v>0.16378628909839538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988.89123588242751</v>
      </c>
      <c r="F2935" s="38">
        <f t="shared" si="365"/>
        <v>0.25965841512925553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650</v>
      </c>
      <c r="I2935" s="12">
        <f t="shared" si="371"/>
        <v>0.16367482937109923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989.05491071179858</v>
      </c>
      <c r="F2936" s="38">
        <f t="shared" si="365"/>
        <v>0.25965841512925553</v>
      </c>
      <c r="G2936" s="14">
        <f t="shared" si="366"/>
        <v>0</v>
      </c>
      <c r="H2936" s="24">
        <f t="shared" si="372"/>
        <v>650</v>
      </c>
      <c r="I2936" s="12">
        <f t="shared" si="371"/>
        <v>0.16356346276974057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989.21847417456831</v>
      </c>
      <c r="F2937" s="38">
        <f t="shared" si="365"/>
        <v>0.25965841512925553</v>
      </c>
      <c r="G2937" s="14">
        <f t="shared" si="366"/>
        <v>0</v>
      </c>
      <c r="H2937" s="24">
        <f t="shared" si="372"/>
        <v>650</v>
      </c>
      <c r="I2937" s="12">
        <f t="shared" si="371"/>
        <v>0.16345218921394772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989.38192636378221</v>
      </c>
      <c r="F2938" s="38">
        <f t="shared" si="365"/>
        <v>0.25965841512925553</v>
      </c>
      <c r="G2938" s="14">
        <f t="shared" si="366"/>
        <v>0</v>
      </c>
      <c r="H2938" s="24">
        <f t="shared" si="372"/>
        <v>650</v>
      </c>
      <c r="I2938" s="12">
        <f t="shared" si="371"/>
        <v>0.16334100862340506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989.54526737240565</v>
      </c>
      <c r="F2939" s="38">
        <f t="shared" si="365"/>
        <v>0.25965841512925553</v>
      </c>
      <c r="G2939" s="14">
        <f t="shared" si="366"/>
        <v>0</v>
      </c>
      <c r="H2939" s="24">
        <f t="shared" si="372"/>
        <v>650</v>
      </c>
      <c r="I2939" s="12">
        <f t="shared" si="371"/>
        <v>0.16322992091786445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989.70849729332349</v>
      </c>
      <c r="F2940" s="38">
        <f t="shared" si="365"/>
        <v>0.25965841512925553</v>
      </c>
      <c r="G2940" s="14">
        <f t="shared" si="366"/>
        <v>0</v>
      </c>
      <c r="H2940" s="24">
        <f t="shared" si="372"/>
        <v>650</v>
      </c>
      <c r="I2940" s="12">
        <f t="shared" si="371"/>
        <v>0.16311892601714575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989.87161621934058</v>
      </c>
      <c r="F2941" s="38">
        <f t="shared" si="365"/>
        <v>0.25965841512925553</v>
      </c>
      <c r="G2941" s="14">
        <f t="shared" si="366"/>
        <v>0</v>
      </c>
      <c r="H2941" s="24">
        <f t="shared" si="372"/>
        <v>650</v>
      </c>
      <c r="I2941" s="12">
        <f t="shared" si="371"/>
        <v>0.16300802384115345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990.03462424318172</v>
      </c>
      <c r="F2942" s="38">
        <f t="shared" si="365"/>
        <v>0.25965841512925553</v>
      </c>
      <c r="G2942" s="14">
        <f t="shared" si="366"/>
        <v>0</v>
      </c>
      <c r="H2942" s="24">
        <f t="shared" si="372"/>
        <v>650</v>
      </c>
      <c r="I2942" s="12">
        <f t="shared" si="371"/>
        <v>0.16289721430982448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990.19752145749158</v>
      </c>
      <c r="F2943" s="38">
        <f t="shared" si="365"/>
        <v>0.25965841512925553</v>
      </c>
      <c r="G2943" s="14">
        <f t="shared" si="366"/>
        <v>0</v>
      </c>
      <c r="H2943" s="24">
        <f t="shared" si="372"/>
        <v>650</v>
      </c>
      <c r="I2943" s="12">
        <f t="shared" si="371"/>
        <v>0.16278649734319256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990.36030795483475</v>
      </c>
      <c r="F2944" s="38">
        <f t="shared" si="365"/>
        <v>0.25965841512925553</v>
      </c>
      <c r="G2944" s="14">
        <f t="shared" si="366"/>
        <v>0</v>
      </c>
      <c r="H2944" s="24">
        <f t="shared" si="372"/>
        <v>650</v>
      </c>
      <c r="I2944" s="12">
        <f t="shared" si="371"/>
        <v>0.16267587286134141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990.52298382769607</v>
      </c>
      <c r="F2945" s="38">
        <f t="shared" si="365"/>
        <v>0.25965841512925553</v>
      </c>
      <c r="G2945" s="14">
        <f t="shared" si="366"/>
        <v>0</v>
      </c>
      <c r="H2945" s="24">
        <f t="shared" si="372"/>
        <v>650</v>
      </c>
      <c r="I2945" s="12">
        <f t="shared" si="371"/>
        <v>0.16256534078443927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990.68554916848052</v>
      </c>
      <c r="F2946" s="38">
        <f t="shared" si="365"/>
        <v>0.25965841512925553</v>
      </c>
      <c r="G2946" s="14">
        <f t="shared" si="366"/>
        <v>0</v>
      </c>
      <c r="H2946" s="24">
        <f t="shared" si="372"/>
        <v>650</v>
      </c>
      <c r="I2946" s="12">
        <f t="shared" si="371"/>
        <v>0.16245490103270407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990.84800406951319</v>
      </c>
      <c r="F2947" s="38">
        <f t="shared" si="365"/>
        <v>0.25965841512925553</v>
      </c>
      <c r="G2947" s="14">
        <f t="shared" si="366"/>
        <v>0</v>
      </c>
      <c r="H2947" s="24">
        <f t="shared" si="372"/>
        <v>650</v>
      </c>
      <c r="I2947" s="12">
        <f t="shared" si="371"/>
        <v>0.16234455352640972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991.01034862303959</v>
      </c>
      <c r="F2948" s="38">
        <f t="shared" si="365"/>
        <v>0.25965841512925553</v>
      </c>
      <c r="G2948" s="14">
        <f t="shared" si="366"/>
        <v>0</v>
      </c>
      <c r="H2948" s="24">
        <f t="shared" si="372"/>
        <v>650</v>
      </c>
      <c r="I2948" s="12">
        <f t="shared" si="371"/>
        <v>0.16223429818594962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991.17258292122551</v>
      </c>
      <c r="F2949" s="38">
        <f t="shared" si="365"/>
        <v>0.25965841512925553</v>
      </c>
      <c r="G2949" s="14">
        <f t="shared" si="366"/>
        <v>0</v>
      </c>
      <c r="H2949" s="24">
        <f t="shared" si="372"/>
        <v>650</v>
      </c>
      <c r="I2949" s="12">
        <f t="shared" si="371"/>
        <v>0.16212413493171393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991.33470705615719</v>
      </c>
      <c r="F2950" s="38">
        <f t="shared" si="365"/>
        <v>0.25965841512925553</v>
      </c>
      <c r="G2950" s="14">
        <f t="shared" si="366"/>
        <v>0</v>
      </c>
      <c r="H2950" s="24">
        <f t="shared" si="372"/>
        <v>650</v>
      </c>
      <c r="I2950" s="12">
        <f t="shared" si="371"/>
        <v>0.16201406368421292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991.49672111984137</v>
      </c>
      <c r="F2951" s="38">
        <f t="shared" si="365"/>
        <v>0.25965841512925553</v>
      </c>
      <c r="G2951" s="14">
        <f t="shared" si="366"/>
        <v>0</v>
      </c>
      <c r="H2951" s="24">
        <f t="shared" si="372"/>
        <v>650</v>
      </c>
      <c r="I2951" s="12">
        <f t="shared" si="371"/>
        <v>0.16190408436398279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991.65862520420535</v>
      </c>
      <c r="F2952" s="38">
        <f t="shared" si="365"/>
        <v>0.25965841512925553</v>
      </c>
      <c r="G2952" s="14">
        <f t="shared" si="366"/>
        <v>0</v>
      </c>
      <c r="H2952" s="24">
        <f t="shared" si="372"/>
        <v>650</v>
      </c>
      <c r="I2952" s="12">
        <f t="shared" si="371"/>
        <v>0.16179419689169094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991.82041940109707</v>
      </c>
      <c r="F2953" s="38">
        <f t="shared" si="365"/>
        <v>0.25965841512925553</v>
      </c>
      <c r="G2953" s="14">
        <f t="shared" si="366"/>
        <v>0</v>
      </c>
      <c r="H2953" s="24">
        <f t="shared" si="372"/>
        <v>650</v>
      </c>
      <c r="I2953" s="12">
        <f t="shared" si="371"/>
        <v>0.16168440118797212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991.982103802285</v>
      </c>
      <c r="F2954" s="38">
        <f t="shared" si="365"/>
        <v>0.25965841512925553</v>
      </c>
      <c r="G2954" s="14">
        <f t="shared" si="366"/>
        <v>0</v>
      </c>
      <c r="H2954" s="24">
        <f t="shared" si="372"/>
        <v>650</v>
      </c>
      <c r="I2954" s="12">
        <f t="shared" si="371"/>
        <v>0.16157469717362219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992.14367849945859</v>
      </c>
      <c r="F2955" s="38">
        <f t="shared" si="365"/>
        <v>0.25965841512925553</v>
      </c>
      <c r="G2955" s="14">
        <f t="shared" si="366"/>
        <v>0</v>
      </c>
      <c r="H2955" s="24">
        <f t="shared" si="372"/>
        <v>650</v>
      </c>
      <c r="I2955" s="12">
        <f t="shared" si="371"/>
        <v>0.16146508476944474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992.30514358422806</v>
      </c>
      <c r="F2956" s="38">
        <f t="shared" si="365"/>
        <v>0.25965841512925553</v>
      </c>
      <c r="G2956" s="14">
        <f t="shared" si="366"/>
        <v>0</v>
      </c>
      <c r="H2956" s="24">
        <f t="shared" si="372"/>
        <v>650</v>
      </c>
      <c r="I2956" s="12">
        <f t="shared" si="371"/>
        <v>0.16135556389635108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992.4664991481244</v>
      </c>
      <c r="F2957" s="38">
        <f t="shared" si="365"/>
        <v>0.25965841512925553</v>
      </c>
      <c r="G2957" s="14">
        <f t="shared" si="366"/>
        <v>0</v>
      </c>
      <c r="H2957" s="24">
        <f t="shared" si="372"/>
        <v>650</v>
      </c>
      <c r="I2957" s="12">
        <f t="shared" si="371"/>
        <v>0.16124613447526681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992.62774528259968</v>
      </c>
      <c r="F2958" s="38">
        <f t="shared" si="365"/>
        <v>0.25965841512925553</v>
      </c>
      <c r="G2958" s="14">
        <f t="shared" si="366"/>
        <v>0</v>
      </c>
      <c r="H2958" s="24">
        <f t="shared" si="372"/>
        <v>650</v>
      </c>
      <c r="I2958" s="12">
        <f t="shared" si="371"/>
        <v>0.16113679642723705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992.78888207902696</v>
      </c>
      <c r="F2959" s="38">
        <f t="shared" si="365"/>
        <v>0.25965841512925553</v>
      </c>
      <c r="G2959" s="14">
        <f t="shared" si="366"/>
        <v>0</v>
      </c>
      <c r="H2959" s="24">
        <f t="shared" si="372"/>
        <v>650</v>
      </c>
      <c r="I2959" s="12">
        <f t="shared" si="371"/>
        <v>0.16102754967333796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992.94990962870031</v>
      </c>
      <c r="F2960" s="38">
        <f t="shared" si="365"/>
        <v>0.25965841512925553</v>
      </c>
      <c r="G2960" s="14">
        <f t="shared" si="366"/>
        <v>0</v>
      </c>
      <c r="H2960" s="24">
        <f t="shared" si="372"/>
        <v>650</v>
      </c>
      <c r="I2960" s="12">
        <f t="shared" si="371"/>
        <v>0.16091839413473608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993.11082802283499</v>
      </c>
      <c r="F2961" s="38">
        <f t="shared" si="365"/>
        <v>0.25965841512925553</v>
      </c>
      <c r="G2961" s="14">
        <f t="shared" si="366"/>
        <v>0</v>
      </c>
      <c r="H2961" s="24">
        <f t="shared" si="372"/>
        <v>650</v>
      </c>
      <c r="I2961" s="12">
        <f t="shared" si="371"/>
        <v>0.16080932973264084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993.27163735256761</v>
      </c>
      <c r="F2962" s="38">
        <f t="shared" si="365"/>
        <v>0.25965841512925553</v>
      </c>
      <c r="G2962" s="14">
        <f t="shared" si="366"/>
        <v>0</v>
      </c>
      <c r="H2962" s="24">
        <f t="shared" si="372"/>
        <v>650</v>
      </c>
      <c r="I2962" s="12">
        <f t="shared" si="371"/>
        <v>0.1607003563883399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993.43233770895597</v>
      </c>
      <c r="F2963" s="38">
        <f t="shared" si="365"/>
        <v>0.25965841512925553</v>
      </c>
      <c r="G2963" s="14">
        <f t="shared" si="366"/>
        <v>0</v>
      </c>
      <c r="H2963" s="24">
        <f t="shared" si="372"/>
        <v>650</v>
      </c>
      <c r="I2963" s="12">
        <f t="shared" si="371"/>
        <v>0.16059147402319324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993.59292918297922</v>
      </c>
      <c r="F2964" s="38">
        <f t="shared" ref="F2964:F2972" si="373">Cp*RhoP/(RhoA*H2964)*dp/1000*MassivP</f>
        <v>0.25965841512925553</v>
      </c>
      <c r="G2964" s="14">
        <f t="shared" ref="G2964:G2972" si="374">Phi*EpsilonF*Botzman/10^8*J2964*((D2964+273)^4-(E2964+273)^4)</f>
        <v>0</v>
      </c>
      <c r="H2964" s="24">
        <f t="shared" si="372"/>
        <v>650</v>
      </c>
      <c r="I2964" s="12">
        <f t="shared" si="371"/>
        <v>0.16048268255860956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993.75341186553783</v>
      </c>
      <c r="F2965" s="38">
        <f t="shared" si="373"/>
        <v>0.25965841512925553</v>
      </c>
      <c r="G2965" s="14">
        <f t="shared" si="374"/>
        <v>0</v>
      </c>
      <c r="H2965" s="24">
        <f t="shared" si="372"/>
        <v>650</v>
      </c>
      <c r="I2965" s="12">
        <f t="shared" ref="I2965:I2972" si="379">LambdaP*MassivP/(dp/1000)/(H2965*RhoA)/(1+F2965/3)*(D2965-E2965)*DeltaT-(EXP(F2965/10)-1)*(D2965-D2964)</f>
        <v>0.16037398191608759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993.91378584745394</v>
      </c>
      <c r="F2966" s="38">
        <f t="shared" si="373"/>
        <v>0.25965841512925553</v>
      </c>
      <c r="G2966" s="14">
        <f t="shared" si="374"/>
        <v>0</v>
      </c>
      <c r="H2966" s="24">
        <f t="shared" si="372"/>
        <v>650</v>
      </c>
      <c r="I2966" s="12">
        <f t="shared" si="379"/>
        <v>0.16026537201715677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994.07405121947113</v>
      </c>
      <c r="F2967" s="38">
        <f t="shared" si="373"/>
        <v>0.25965841512925553</v>
      </c>
      <c r="G2967" s="14">
        <f t="shared" si="374"/>
        <v>0</v>
      </c>
      <c r="H2967" s="24">
        <f t="shared" si="372"/>
        <v>650</v>
      </c>
      <c r="I2967" s="12">
        <f t="shared" si="379"/>
        <v>0.16015685278345418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994.23420807225455</v>
      </c>
      <c r="F2968" s="38">
        <f t="shared" si="373"/>
        <v>0.25965841512925553</v>
      </c>
      <c r="G2968" s="14">
        <f t="shared" si="374"/>
        <v>0</v>
      </c>
      <c r="H2968" s="24">
        <f t="shared" si="372"/>
        <v>650</v>
      </c>
      <c r="I2968" s="12">
        <f t="shared" si="379"/>
        <v>0.16004842413665343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994.39425649639122</v>
      </c>
      <c r="F2969" s="38">
        <f t="shared" si="373"/>
        <v>0.25965841512925553</v>
      </c>
      <c r="G2969" s="14">
        <f t="shared" si="374"/>
        <v>0</v>
      </c>
      <c r="H2969" s="24">
        <f t="shared" si="372"/>
        <v>650</v>
      </c>
      <c r="I2969" s="12">
        <f t="shared" si="379"/>
        <v>0.15994008599848869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994.55419658238975</v>
      </c>
      <c r="F2970" s="38">
        <f t="shared" si="373"/>
        <v>0.25965841512925553</v>
      </c>
      <c r="G2970" s="14">
        <f t="shared" si="374"/>
        <v>0</v>
      </c>
      <c r="H2970" s="24">
        <f t="shared" si="372"/>
        <v>650</v>
      </c>
      <c r="I2970" s="12">
        <f t="shared" si="379"/>
        <v>0.15983183829078962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994.71402842068051</v>
      </c>
      <c r="F2971" s="38">
        <f t="shared" si="373"/>
        <v>0.25965841512925553</v>
      </c>
      <c r="G2971" s="14">
        <f t="shared" si="374"/>
        <v>0</v>
      </c>
      <c r="H2971" s="24">
        <f t="shared" si="372"/>
        <v>650</v>
      </c>
      <c r="I2971" s="12">
        <f t="shared" si="379"/>
        <v>0.15972368093544564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994.87375210161599</v>
      </c>
      <c r="F2972" s="38">
        <f t="shared" si="373"/>
        <v>0.25965841512925553</v>
      </c>
      <c r="G2972" s="14">
        <f t="shared" si="374"/>
        <v>0</v>
      </c>
      <c r="H2972" s="24">
        <f t="shared" si="372"/>
        <v>650</v>
      </c>
      <c r="I2972" s="12">
        <f t="shared" si="379"/>
        <v>0.15961561385437109</v>
      </c>
      <c r="J2972" s="3"/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M18">
      <formula1>ListeOuiNon</formula1>
    </dataValidation>
    <dataValidation type="list" allowBlank="1" showInputMessage="1" showErrorMessage="1" sqref="M13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1:U10"/>
  <sheetViews>
    <sheetView tabSelected="1" workbookViewId="0">
      <selection activeCell="C1" sqref="C1:U10"/>
    </sheetView>
  </sheetViews>
  <sheetFormatPr baseColWidth="10" defaultRowHeight="15" x14ac:dyDescent="0.25"/>
  <sheetData>
    <row r="1" spans="3:21" x14ac:dyDescent="0.25">
      <c r="C1" s="98" t="s">
        <v>120</v>
      </c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100"/>
    </row>
    <row r="2" spans="3:21" x14ac:dyDescent="0.25">
      <c r="R2" s="2" t="s">
        <v>102</v>
      </c>
      <c r="S2" s="4">
        <v>3</v>
      </c>
    </row>
    <row r="3" spans="3:21" x14ac:dyDescent="0.25">
      <c r="C3" s="42" t="s">
        <v>49</v>
      </c>
      <c r="D3" s="8" t="s">
        <v>50</v>
      </c>
      <c r="E3" s="44" t="s">
        <v>51</v>
      </c>
      <c r="F3" s="45"/>
      <c r="G3" s="46"/>
      <c r="H3" s="50" t="s">
        <v>61</v>
      </c>
      <c r="I3" s="51" t="s">
        <v>65</v>
      </c>
      <c r="J3" s="54" t="s">
        <v>66</v>
      </c>
      <c r="K3" s="55" t="s">
        <v>65</v>
      </c>
      <c r="L3" s="67" t="s">
        <v>107</v>
      </c>
      <c r="M3" s="68" t="s">
        <v>108</v>
      </c>
      <c r="N3" s="68"/>
      <c r="O3" s="69"/>
      <c r="P3" s="92" t="s">
        <v>111</v>
      </c>
      <c r="Q3" s="93" t="s">
        <v>65</v>
      </c>
      <c r="S3" s="50"/>
      <c r="T3" s="96"/>
      <c r="U3" s="51"/>
    </row>
    <row r="4" spans="3:21" x14ac:dyDescent="0.25">
      <c r="C4" s="43" t="s">
        <v>14</v>
      </c>
      <c r="D4" s="10" t="s">
        <v>13</v>
      </c>
      <c r="E4" s="47" t="s">
        <v>13</v>
      </c>
      <c r="F4" s="48" t="s">
        <v>72</v>
      </c>
      <c r="G4" s="49" t="s">
        <v>73</v>
      </c>
      <c r="H4" s="52" t="s">
        <v>64</v>
      </c>
      <c r="I4" s="53"/>
      <c r="J4" s="56" t="s">
        <v>67</v>
      </c>
      <c r="K4" s="57"/>
      <c r="L4" s="88" t="s">
        <v>67</v>
      </c>
      <c r="M4" s="89"/>
      <c r="N4" s="89" t="s">
        <v>109</v>
      </c>
      <c r="O4" s="90" t="s">
        <v>110</v>
      </c>
      <c r="P4" s="94" t="s">
        <v>57</v>
      </c>
      <c r="Q4" s="95"/>
      <c r="S4" s="52" t="s">
        <v>112</v>
      </c>
      <c r="T4" s="97" t="s">
        <v>113</v>
      </c>
      <c r="U4" s="91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256.03775046307089</v>
      </c>
      <c r="F5" s="13">
        <f>reductionky(E5)</f>
        <v>1</v>
      </c>
      <c r="G5" s="13">
        <f>reductionke(E5)</f>
        <v>0.84396224953692911</v>
      </c>
      <c r="H5" s="70">
        <f t="shared" ref="H5:H10" si="0">IF(ClasseFeu=2,Wpl,Wel)*Fy*F5/GammaM/1000</f>
        <v>508.005</v>
      </c>
      <c r="I5" s="71">
        <f t="shared" ref="I5:I10" si="1">MEd/H5</f>
        <v>0.1771636105943839</v>
      </c>
      <c r="J5" s="76">
        <f t="shared" ref="J5:J10" si="2">Av*Fy*F5/SQRT(3)/GammaM/10</f>
        <v>780.48518790130379</v>
      </c>
      <c r="K5" s="79">
        <f>VEd/Echauffements!J5</f>
        <v>3.8437628881425545E-2</v>
      </c>
      <c r="L5" s="70">
        <f t="shared" ref="L5:L10" si="3">O5*F5*hw*tw*Fy/SQRT(3)/GammaM/1000</f>
        <v>597.81693502257394</v>
      </c>
      <c r="M5" s="79">
        <f>VEd/Echauffements!L5</f>
        <v>5.0182586411452498E-2</v>
      </c>
      <c r="N5" s="80">
        <f t="shared" ref="N5:N10" si="4">LambdaFi0*SQRT(F5/G5)</f>
        <v>1.0836138423104735</v>
      </c>
      <c r="O5" s="81">
        <f t="shared" ref="O5:O10" si="5">IF(N5&lt;=0.83/Eta,1,0.83/N5)</f>
        <v>0.76595551624763303</v>
      </c>
      <c r="P5" s="70">
        <f t="shared" ref="P5:P10" si="6">U5*F5*IF(ClasseLT=2,Wpl,Wel)*Fy/GammaM/1000</f>
        <v>268.65153317399785</v>
      </c>
      <c r="Q5" s="71">
        <f t="shared" ref="Q5:Q10" si="7">MEd/P5</f>
        <v>0.33500646334189949</v>
      </c>
      <c r="S5" s="12">
        <f t="shared" ref="S5:S10" si="8">LambdaLT*SQRT(F5/G5)</f>
        <v>0.92401266597467058</v>
      </c>
      <c r="T5" s="12">
        <f t="shared" ref="T5:T10" si="9">0.5*(1+AlphaLT*(S5)+S5^2)</f>
        <v>1.1712320916398964</v>
      </c>
      <c r="U5" s="12">
        <f>MIN(1,1/(T5+SQRT(T5^2-S5^2)))</f>
        <v>0.52883639565358176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462.53250138588544</v>
      </c>
      <c r="F6" s="13">
        <f t="shared" ref="F6:F10" si="10">reductionky(E6)</f>
        <v>0.86242849695105206</v>
      </c>
      <c r="G6" s="13">
        <f t="shared" ref="G6:G10" si="11">reductionke(E6)</f>
        <v>0.63746749861411456</v>
      </c>
      <c r="H6" s="72">
        <f t="shared" si="0"/>
        <v>438.1179885936192</v>
      </c>
      <c r="I6" s="73">
        <f t="shared" si="1"/>
        <v>0.2054241148346922</v>
      </c>
      <c r="J6" s="77">
        <f t="shared" si="2"/>
        <v>673.1126674942808</v>
      </c>
      <c r="K6" s="82">
        <f>VEd/Echauffements!J6</f>
        <v>4.4569061687217318E-2</v>
      </c>
      <c r="L6" s="72">
        <f t="shared" si="3"/>
        <v>482.49995347946555</v>
      </c>
      <c r="M6" s="82">
        <f>VEd/Echauffements!L6</f>
        <v>6.2176171797862681E-2</v>
      </c>
      <c r="N6" s="83">
        <f t="shared" si="4"/>
        <v>1.1578934049452292</v>
      </c>
      <c r="O6" s="84">
        <f t="shared" si="5"/>
        <v>0.71681900635685958</v>
      </c>
      <c r="P6" s="72">
        <f t="shared" si="6"/>
        <v>217.68111866880352</v>
      </c>
      <c r="Q6" s="73">
        <f t="shared" si="7"/>
        <v>0.41344881242057924</v>
      </c>
      <c r="S6" s="12">
        <f t="shared" si="8"/>
        <v>0.98735188703078902</v>
      </c>
      <c r="T6" s="12">
        <f t="shared" si="9"/>
        <v>1.2485127593761669</v>
      </c>
      <c r="U6" s="12">
        <f t="shared" ref="U6:U10" si="12">MIN(1,1/(T6+SQRT(T6^2-S6^2)))</f>
        <v>0.49685501243071728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608.08709353709992</v>
      </c>
      <c r="F7" s="13">
        <f t="shared" si="10"/>
        <v>0.45059097551096017</v>
      </c>
      <c r="G7" s="13">
        <f t="shared" si="11"/>
        <v>0.29544323163322017</v>
      </c>
      <c r="H7" s="72">
        <f t="shared" si="0"/>
        <v>228.90246851444533</v>
      </c>
      <c r="I7" s="73">
        <f t="shared" si="1"/>
        <v>0.3931805566977552</v>
      </c>
      <c r="J7" s="77">
        <f t="shared" si="2"/>
        <v>351.67958218830347</v>
      </c>
      <c r="K7" s="82">
        <f>VEd/Echauffements!J7</f>
        <v>8.5304923912064901E-2</v>
      </c>
      <c r="L7" s="72">
        <f t="shared" si="3"/>
        <v>237.42965985067968</v>
      </c>
      <c r="M7" s="82">
        <f>VEd/Echauffements!L7</f>
        <v>0.12635321138423525</v>
      </c>
      <c r="N7" s="83">
        <f t="shared" si="4"/>
        <v>1.2293917002613113</v>
      </c>
      <c r="O7" s="84">
        <f t="shared" si="5"/>
        <v>0.67513063560098929</v>
      </c>
      <c r="P7" s="72">
        <f t="shared" si="6"/>
        <v>106.97435092714304</v>
      </c>
      <c r="Q7" s="73">
        <f t="shared" si="7"/>
        <v>0.84132316971286181</v>
      </c>
      <c r="S7" s="12">
        <f t="shared" si="8"/>
        <v>1.0483194825782891</v>
      </c>
      <c r="T7" s="12">
        <f t="shared" si="9"/>
        <v>1.3266891325613821</v>
      </c>
      <c r="U7" s="12">
        <f t="shared" si="12"/>
        <v>0.46733594277683477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708.68484592708967</v>
      </c>
      <c r="F8" s="13">
        <f t="shared" si="10"/>
        <v>0.21957818488749239</v>
      </c>
      <c r="G8" s="13">
        <f t="shared" si="11"/>
        <v>0.12652606162916413</v>
      </c>
      <c r="H8" s="72">
        <f t="shared" si="0"/>
        <v>111.54681581377058</v>
      </c>
      <c r="I8" s="73">
        <f t="shared" si="1"/>
        <v>0.80683611937660882</v>
      </c>
      <c r="J8" s="77">
        <f t="shared" si="2"/>
        <v>171.3775208909417</v>
      </c>
      <c r="K8" s="82">
        <f>VEd/Echauffements!J8</f>
        <v>0.17505212961442526</v>
      </c>
      <c r="L8" s="72">
        <f t="shared" si="3"/>
        <v>108.46541779707212</v>
      </c>
      <c r="M8" s="82">
        <f>VEd/Echauffements!L8</f>
        <v>0.2765858520558781</v>
      </c>
      <c r="N8" s="83">
        <f t="shared" si="4"/>
        <v>1.3114165346747164</v>
      </c>
      <c r="O8" s="84">
        <f t="shared" si="5"/>
        <v>0.63290341249652848</v>
      </c>
      <c r="P8" s="72">
        <f t="shared" si="6"/>
        <v>48.548227633776428</v>
      </c>
      <c r="Q8" s="73">
        <f t="shared" si="7"/>
        <v>1.8538266871226492</v>
      </c>
      <c r="S8" s="12">
        <f t="shared" si="8"/>
        <v>1.1182632051140389</v>
      </c>
      <c r="T8" s="12">
        <f t="shared" si="9"/>
        <v>1.4209534562329766</v>
      </c>
      <c r="U8" s="12">
        <f t="shared" si="12"/>
        <v>0.43522737318498245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829.082456019137</v>
      </c>
      <c r="F9" s="13">
        <f t="shared" si="10"/>
        <v>9.5458771990431499E-2</v>
      </c>
      <c r="G9" s="13">
        <f t="shared" si="11"/>
        <v>8.3456447395694175E-2</v>
      </c>
      <c r="H9" s="72">
        <f t="shared" si="0"/>
        <v>48.493533464999153</v>
      </c>
      <c r="I9" s="73">
        <f t="shared" si="1"/>
        <v>1.8559175537282446</v>
      </c>
      <c r="J9" s="77">
        <f t="shared" si="2"/>
        <v>74.504157593779638</v>
      </c>
      <c r="K9" s="82">
        <f>VEd/Echauffements!J9</f>
        <v>0.40266209254481528</v>
      </c>
      <c r="L9" s="72">
        <f t="shared" si="3"/>
        <v>58.082402419073112</v>
      </c>
      <c r="M9" s="82">
        <f>VEd/Echauffements!L9</f>
        <v>0.51650756081929206</v>
      </c>
      <c r="N9" s="83">
        <f t="shared" si="4"/>
        <v>1.064667579633906</v>
      </c>
      <c r="O9" s="84">
        <f t="shared" si="5"/>
        <v>0.77958605660313407</v>
      </c>
      <c r="P9" s="72">
        <f t="shared" si="6"/>
        <v>26.049653811986946</v>
      </c>
      <c r="Q9" s="73">
        <f t="shared" si="7"/>
        <v>3.4549403477517928</v>
      </c>
      <c r="S9" s="12">
        <f t="shared" si="8"/>
        <v>0.90785692303149801</v>
      </c>
      <c r="T9" s="12">
        <f t="shared" si="9"/>
        <v>1.1521624962922825</v>
      </c>
      <c r="U9" s="12">
        <f t="shared" si="12"/>
        <v>0.53717788642456066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983.09172696445057</v>
      </c>
      <c r="F10" s="13">
        <f t="shared" si="10"/>
        <v>4.3381654607109889E-2</v>
      </c>
      <c r="G10" s="13">
        <f t="shared" si="11"/>
        <v>4.8804361432998621E-2</v>
      </c>
      <c r="H10" s="74">
        <f t="shared" si="0"/>
        <v>22.038097448684862</v>
      </c>
      <c r="I10" s="75">
        <f t="shared" si="1"/>
        <v>4.0838371011636854</v>
      </c>
      <c r="J10" s="78">
        <f t="shared" si="2"/>
        <v>33.858738847499616</v>
      </c>
      <c r="K10" s="85">
        <f>VEd/Echauffements!J10</f>
        <v>0.88603418264101785</v>
      </c>
      <c r="L10" s="74">
        <f t="shared" si="3"/>
        <v>29.942570212646441</v>
      </c>
      <c r="M10" s="85">
        <f>VEd/Echauffements!L10</f>
        <v>1.0019179979188728</v>
      </c>
      <c r="N10" s="86">
        <f t="shared" si="4"/>
        <v>0.9385551421886722</v>
      </c>
      <c r="O10" s="87">
        <f t="shared" si="5"/>
        <v>0.88433802415111584</v>
      </c>
      <c r="P10" s="74">
        <f t="shared" si="6"/>
        <v>13.092690071443513</v>
      </c>
      <c r="Q10" s="75">
        <f t="shared" si="7"/>
        <v>6.8740648032522467</v>
      </c>
      <c r="S10" s="12">
        <f t="shared" si="8"/>
        <v>0.80031908530152662</v>
      </c>
      <c r="T10" s="12">
        <f t="shared" si="9"/>
        <v>1.0318799868982325</v>
      </c>
      <c r="U10" s="12">
        <f t="shared" si="12"/>
        <v>0.59409348297553843</v>
      </c>
    </row>
  </sheetData>
  <pageMargins left="0.7" right="0.7" top="0.75" bottom="0.75" header="0.3" footer="0.3"/>
  <pageSetup paperSize="8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7" sqref="I7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1">
        <f>IF(ClasseLT=3,Wel,Wpl)*Fy/1000</f>
        <v>508.005</v>
      </c>
      <c r="J5" t="s">
        <v>57</v>
      </c>
    </row>
    <row r="6" spans="3:10" x14ac:dyDescent="0.25">
      <c r="C6" s="2" t="s">
        <v>56</v>
      </c>
      <c r="D6" s="31">
        <f>q*LL^2/8</f>
        <v>90</v>
      </c>
      <c r="E6" t="s">
        <v>57</v>
      </c>
      <c r="H6" s="2" t="s">
        <v>112</v>
      </c>
      <c r="I6" s="65">
        <f>SQRT(MRk/Mcr)</f>
        <v>0.84886657849458669</v>
      </c>
    </row>
    <row r="7" spans="3:10" x14ac:dyDescent="0.25">
      <c r="C7" s="25" t="s">
        <v>68</v>
      </c>
      <c r="D7" s="31">
        <f>q*LL/2</f>
        <v>30</v>
      </c>
      <c r="E7" t="s">
        <v>69</v>
      </c>
      <c r="H7" s="2" t="s">
        <v>118</v>
      </c>
      <c r="I7" s="63">
        <f>0.65*SQRT(235/Fy)</f>
        <v>0.52885073375343761</v>
      </c>
    </row>
    <row r="8" spans="3:10" x14ac:dyDescent="0.25">
      <c r="H8" s="2" t="s">
        <v>119</v>
      </c>
      <c r="I8" s="31">
        <f>h/b</f>
        <v>2.5</v>
      </c>
    </row>
    <row r="9" spans="3:10" x14ac:dyDescent="0.25">
      <c r="C9" s="25" t="s">
        <v>70</v>
      </c>
      <c r="D9" s="31">
        <f>Eta*hw*tw/100</f>
        <v>38.08</v>
      </c>
      <c r="E9" t="s">
        <v>71</v>
      </c>
    </row>
    <row r="10" spans="3:10" x14ac:dyDescent="0.25">
      <c r="C10" s="25" t="s">
        <v>58</v>
      </c>
      <c r="D10" s="66">
        <f>2*SUM(D17:D18)/1000</f>
        <v>1624.3520000000001</v>
      </c>
      <c r="E10" t="s">
        <v>60</v>
      </c>
    </row>
    <row r="11" spans="3:10" x14ac:dyDescent="0.25">
      <c r="C11" s="25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5" t="s">
        <v>62</v>
      </c>
      <c r="D13" s="4">
        <v>355</v>
      </c>
      <c r="E13" t="s">
        <v>63</v>
      </c>
    </row>
    <row r="14" spans="3:10" x14ac:dyDescent="0.25">
      <c r="C14" s="25" t="s">
        <v>104</v>
      </c>
      <c r="D14" s="4">
        <v>1</v>
      </c>
    </row>
    <row r="15" spans="3:10" x14ac:dyDescent="0.25">
      <c r="C15" s="25" t="s">
        <v>105</v>
      </c>
      <c r="D15" s="4">
        <v>5.34</v>
      </c>
    </row>
    <row r="16" spans="3:10" x14ac:dyDescent="0.25">
      <c r="C16" s="58" t="s">
        <v>89</v>
      </c>
    </row>
    <row r="17" spans="3:5" x14ac:dyDescent="0.25">
      <c r="C17" s="58" t="s">
        <v>90</v>
      </c>
      <c r="D17" s="59">
        <f>b*tf*(h/2-tf/2)</f>
        <v>585600</v>
      </c>
    </row>
    <row r="18" spans="3:5" x14ac:dyDescent="0.25">
      <c r="C18" s="58" t="s">
        <v>91</v>
      </c>
      <c r="D18" s="59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1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60">
        <f>SQRT(235/Fy)</f>
        <v>0.81361651346682706</v>
      </c>
      <c r="E27" s="60">
        <f>D27*0.85</f>
        <v>0.69157403644680293</v>
      </c>
    </row>
    <row r="28" spans="3:5" x14ac:dyDescent="0.25">
      <c r="C28" s="2" t="s">
        <v>95</v>
      </c>
      <c r="D28" s="61">
        <f>41.5*D27/$D$24</f>
        <v>67.530170617746649</v>
      </c>
      <c r="E28" s="61">
        <f>41.5*E27/$D$24</f>
        <v>57.400645025084643</v>
      </c>
    </row>
    <row r="29" spans="3:5" x14ac:dyDescent="0.25">
      <c r="C29" s="2" t="s">
        <v>96</v>
      </c>
      <c r="D29" s="61">
        <f>62*D27*(1-$D$25)*SQRT(-$D$25)</f>
        <v>100.88844766988656</v>
      </c>
      <c r="E29" s="61">
        <f>62*E27*(1-$D$25)*SQRT(-$D$25)</f>
        <v>85.755180519403567</v>
      </c>
    </row>
    <row r="30" spans="3:5" x14ac:dyDescent="0.25">
      <c r="D30" s="3"/>
    </row>
    <row r="31" spans="3:5" x14ac:dyDescent="0.25">
      <c r="C31" s="25" t="s">
        <v>102</v>
      </c>
      <c r="D31" s="4">
        <v>2</v>
      </c>
      <c r="E31" s="62">
        <v>3</v>
      </c>
    </row>
    <row r="32" spans="3:5" x14ac:dyDescent="0.25">
      <c r="D32" s="3"/>
    </row>
    <row r="34" spans="3:5" x14ac:dyDescent="0.25">
      <c r="C34" s="2" t="s">
        <v>103</v>
      </c>
      <c r="D34" s="64">
        <f>72*D27/Eta</f>
        <v>58.580388969611548</v>
      </c>
      <c r="E34" s="64">
        <f>72*E27/Eta</f>
        <v>49.793330624169812</v>
      </c>
    </row>
    <row r="37" spans="3:5" x14ac:dyDescent="0.25">
      <c r="C37" s="2" t="s">
        <v>106</v>
      </c>
      <c r="D37" s="65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54</vt:i4>
      </vt:variant>
    </vt:vector>
  </HeadingPairs>
  <TitlesOfParts>
    <vt:vector size="57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2024-10-31T14:42:28Z</dcterms:modified>
</cp:coreProperties>
</file>