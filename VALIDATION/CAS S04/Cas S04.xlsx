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GICIELS\CTICM AM - POUTRE MIXTE\DEV23\Manuel Validation\CAS S04\"/>
    </mc:Choice>
  </mc:AlternateContent>
  <bookViews>
    <workbookView xWindow="0" yWindow="0" windowWidth="21570" windowHeight="9150"/>
  </bookViews>
  <sheets>
    <sheet name="S04" sheetId="1" r:id="rId1"/>
    <sheet name="Param" sheetId="2" r:id="rId2"/>
  </sheets>
  <definedNames>
    <definedName name="A">'S04'!$N$23</definedName>
    <definedName name="Alpha">'S04'!$D$35</definedName>
    <definedName name="AlphaLT">'S04'!$E$92</definedName>
    <definedName name="BetaW">'S04'!$E$83</definedName>
    <definedName name="bfi">'S04'!$D$10</definedName>
    <definedName name="bfs">'S04'!$D$6</definedName>
    <definedName name="cc">'S04'!$D$34</definedName>
    <definedName name="ClasseW">'S04'!$D$43</definedName>
    <definedName name="E">'S04'!$D$25</definedName>
    <definedName name="Elan">'S04'!$D$33</definedName>
    <definedName name="ElancementW">'S04'!$E$63</definedName>
    <definedName name="EpsilonW">'S04'!$D$36</definedName>
    <definedName name="Eta">'S04'!$E$64</definedName>
    <definedName name="F_Q2">'S04'!$I$8</definedName>
    <definedName name="Fu">'S04'!$D$18</definedName>
    <definedName name="FyI">'S04'!$D$16</definedName>
    <definedName name="FyS">'S04'!$D$14</definedName>
    <definedName name="FyW">'S04'!$D$15</definedName>
    <definedName name="g">'S04'!$N$77</definedName>
    <definedName name="GammaG">'S04'!$N$6</definedName>
    <definedName name="GammaM0">'S04'!$N$8</definedName>
    <definedName name="GammaM1">'S04'!$N$9</definedName>
    <definedName name="GammaM2">'S04'!$N$11</definedName>
    <definedName name="GammaQ">'S04'!$N$7</definedName>
    <definedName name="Ht">'S04'!$D$12</definedName>
    <definedName name="hw">'S04'!$D$8</definedName>
    <definedName name="InertieCM4">'S04'!$N$26</definedName>
    <definedName name="KhiLT">'S04'!$E$94</definedName>
    <definedName name="KhiW">'S04'!$E$70</definedName>
    <definedName name="kTau">'S04'!$E$68</definedName>
    <definedName name="La">'S04'!$D$23</definedName>
    <definedName name="LambdaLT">'S04'!$E$91</definedName>
    <definedName name="LambdaW">'S04'!$E$69</definedName>
    <definedName name="LL">'S04'!$D$22</definedName>
    <definedName name="Mcr">'S04'!$E$90</definedName>
    <definedName name="MEd_Q1">'S04'!$J$15</definedName>
    <definedName name="MEd_Q2">'S04'!$J$17</definedName>
    <definedName name="MEd_U1">'S04'!$J$23</definedName>
    <definedName name="MEd_U2">'S04'!$J$25</definedName>
    <definedName name="MEdG">'S04'!$J$13</definedName>
    <definedName name="MelRd">'S04'!$Q$27</definedName>
    <definedName name="MfRd">'S04'!$Q$45</definedName>
    <definedName name="MplRd">'S04'!$Q$43</definedName>
    <definedName name="MRd">'S04'!$E$50</definedName>
    <definedName name="MStatS">'S04'!$E$79</definedName>
    <definedName name="Nfi">'S04'!$N$33</definedName>
    <definedName name="Nfs">'S04'!$N$31</definedName>
    <definedName name="non">Param!$C$3</definedName>
    <definedName name="Nw">'S04'!$N$32</definedName>
    <definedName name="oui">Param!$C$2</definedName>
    <definedName name="PhiLT">'S04'!$E$93</definedName>
    <definedName name="Psi">'S04'!$D$41</definedName>
    <definedName name="Psi_0">'S04'!$N$10</definedName>
    <definedName name="pW">'S04'!$N$42</definedName>
    <definedName name="qG">'S04'!$I$6</definedName>
    <definedName name="qQ_1">'S04'!$I$7</definedName>
    <definedName name="RhoA">'S04'!$N$56</definedName>
    <definedName name="tfi">'S04'!$D$11</definedName>
    <definedName name="tfs">'S04'!$D$7</definedName>
    <definedName name="tw">'S04'!$D$9</definedName>
    <definedName name="VbRd">'S04'!$E$71</definedName>
    <definedName name="VEd_Q1">'S04'!$J$16</definedName>
    <definedName name="VEd_Q2">'S04'!$J$18</definedName>
    <definedName name="VEd_U1">'S04'!$J$24</definedName>
    <definedName name="VEd_U2">'S04'!$J$26</definedName>
    <definedName name="VEdG">'S04'!$J$14</definedName>
    <definedName name="VRd">'S04'!$E$56</definedName>
    <definedName name="zANP">'S04'!$N$43</definedName>
    <definedName name="zG">'S04'!$N$24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D41" i="1"/>
  <c r="Q45" i="1" l="1"/>
  <c r="D15" i="1" l="1"/>
  <c r="E56" i="1" l="1"/>
  <c r="J16" i="1"/>
  <c r="J15" i="1"/>
  <c r="J18" i="1"/>
  <c r="J17" i="1"/>
  <c r="J31" i="1" l="1"/>
  <c r="J30" i="1"/>
  <c r="N55" i="1"/>
  <c r="N54" i="1"/>
  <c r="D16" i="1"/>
  <c r="N33" i="1" s="1"/>
  <c r="S42" i="1" s="1"/>
  <c r="E68" i="1"/>
  <c r="E63" i="1"/>
  <c r="D33" i="1"/>
  <c r="N31" i="1"/>
  <c r="S39" i="1" s="1"/>
  <c r="D12" i="1"/>
  <c r="N61" i="1" s="1"/>
  <c r="N60" i="1" s="1"/>
  <c r="N62" i="1" s="1"/>
  <c r="S19" i="1"/>
  <c r="S20" i="1"/>
  <c r="S18" i="1"/>
  <c r="O20" i="1"/>
  <c r="O19" i="1"/>
  <c r="O18" i="1"/>
  <c r="N20" i="1"/>
  <c r="N19" i="1"/>
  <c r="N18" i="1"/>
  <c r="J14" i="1"/>
  <c r="J13" i="1"/>
  <c r="N21" i="1" l="1"/>
  <c r="N23" i="1" s="1"/>
  <c r="N57" i="1" s="1"/>
  <c r="N58" i="1" s="1"/>
  <c r="D36" i="1"/>
  <c r="E65" i="1" s="1"/>
  <c r="E66" i="1" s="1"/>
  <c r="J26" i="1"/>
  <c r="P18" i="1"/>
  <c r="S21" i="1"/>
  <c r="P20" i="1"/>
  <c r="P19" i="1"/>
  <c r="J25" i="1"/>
  <c r="J23" i="1"/>
  <c r="J24" i="1"/>
  <c r="E69" i="1" l="1"/>
  <c r="E59" i="1"/>
  <c r="E58" i="1"/>
  <c r="P21" i="1"/>
  <c r="N24" i="1" s="1"/>
  <c r="E60" i="1" l="1"/>
  <c r="S33" i="1" s="1"/>
  <c r="S34" i="1" s="1"/>
  <c r="N32" i="1" s="1"/>
  <c r="E70" i="1"/>
  <c r="E71" i="1" s="1"/>
  <c r="Q20" i="1"/>
  <c r="R20" i="1" s="1"/>
  <c r="E79" i="1"/>
  <c r="Q19" i="1"/>
  <c r="R19" i="1" s="1"/>
  <c r="Q18" i="1"/>
  <c r="R18" i="1" s="1"/>
  <c r="N34" i="1" l="1"/>
  <c r="N46" i="1"/>
  <c r="N37" i="1"/>
  <c r="N41" i="1"/>
  <c r="N42" i="1"/>
  <c r="S40" i="1" s="1"/>
  <c r="R21" i="1"/>
  <c r="N25" i="1" s="1"/>
  <c r="N26" i="1" s="1"/>
  <c r="E74" i="1"/>
  <c r="E75" i="1"/>
  <c r="N70" i="1" l="1"/>
  <c r="N69" i="1"/>
  <c r="N43" i="1"/>
  <c r="D34" i="1" s="1"/>
  <c r="D35" i="1" s="1"/>
  <c r="S41" i="1"/>
  <c r="T41" i="1"/>
  <c r="T40" i="1"/>
  <c r="U40" i="1" s="1"/>
  <c r="E81" i="1"/>
  <c r="E85" i="1" s="1"/>
  <c r="Q26" i="1"/>
  <c r="Q25" i="1"/>
  <c r="E82" i="1"/>
  <c r="E86" i="1" s="1"/>
  <c r="E76" i="1"/>
  <c r="Q43" i="1" l="1"/>
  <c r="U41" i="1"/>
  <c r="T42" i="1"/>
  <c r="U42" i="1" s="1"/>
  <c r="T39" i="1"/>
  <c r="Q27" i="1"/>
  <c r="D37" i="1"/>
  <c r="D38" i="1"/>
  <c r="G74" i="1" l="1"/>
  <c r="G76" i="1" s="1"/>
  <c r="I52" i="1"/>
  <c r="U39" i="1"/>
  <c r="U43" i="1" s="1"/>
  <c r="V39" i="1"/>
  <c r="D43" i="1"/>
  <c r="E50" i="1" s="1"/>
  <c r="G52" i="1" s="1"/>
  <c r="E52" i="1" l="1"/>
  <c r="E91" i="1"/>
  <c r="E93" i="1" s="1"/>
  <c r="E94" i="1" s="1"/>
  <c r="E95" i="1" s="1"/>
  <c r="E97" i="1" s="1"/>
  <c r="E53" i="1"/>
  <c r="G53" i="1"/>
  <c r="G54" i="1" s="1"/>
  <c r="E54" i="1" l="1"/>
</calcChain>
</file>

<file path=xl/sharedStrings.xml><?xml version="1.0" encoding="utf-8"?>
<sst xmlns="http://schemas.openxmlformats.org/spreadsheetml/2006/main" count="220" uniqueCount="147">
  <si>
    <t xml:space="preserve">PRS </t>
  </si>
  <si>
    <t>bfs</t>
  </si>
  <si>
    <t>tfs</t>
  </si>
  <si>
    <t>hw</t>
  </si>
  <si>
    <t>tw</t>
  </si>
  <si>
    <t>bfi</t>
  </si>
  <si>
    <t>tfi</t>
  </si>
  <si>
    <t>mm</t>
  </si>
  <si>
    <t>Charges</t>
  </si>
  <si>
    <t>G</t>
  </si>
  <si>
    <t>Q1</t>
  </si>
  <si>
    <t>Q2</t>
  </si>
  <si>
    <t>kN/m</t>
  </si>
  <si>
    <t>kN</t>
  </si>
  <si>
    <t>Analyse</t>
  </si>
  <si>
    <t>MEd</t>
  </si>
  <si>
    <t>VEd</t>
  </si>
  <si>
    <t>Coefficients partiels</t>
  </si>
  <si>
    <t>GammaG</t>
  </si>
  <si>
    <t>GammaQ</t>
  </si>
  <si>
    <t>GammaM0</t>
  </si>
  <si>
    <t>GammaM1</t>
  </si>
  <si>
    <t>Psi 0</t>
  </si>
  <si>
    <t>kNm</t>
  </si>
  <si>
    <t>Poutre</t>
  </si>
  <si>
    <t>Portée</t>
  </si>
  <si>
    <t>m</t>
  </si>
  <si>
    <t>Combinaisons</t>
  </si>
  <si>
    <t>ELU 01</t>
  </si>
  <si>
    <t>ELU02</t>
  </si>
  <si>
    <t>Propriétés élastiques</t>
  </si>
  <si>
    <t>fs</t>
  </si>
  <si>
    <t>w</t>
  </si>
  <si>
    <t>fi</t>
  </si>
  <si>
    <t>Ai</t>
  </si>
  <si>
    <t>zi</t>
  </si>
  <si>
    <t>Ii</t>
  </si>
  <si>
    <t>di</t>
  </si>
  <si>
    <t>Aidi2</t>
  </si>
  <si>
    <t>A</t>
  </si>
  <si>
    <t>zG</t>
  </si>
  <si>
    <t>mm2</t>
  </si>
  <si>
    <t>mm4</t>
  </si>
  <si>
    <t>cm4</t>
  </si>
  <si>
    <t>Aizi</t>
  </si>
  <si>
    <t>ht</t>
  </si>
  <si>
    <t>FyS</t>
  </si>
  <si>
    <t>Fyw</t>
  </si>
  <si>
    <t>FyI</t>
  </si>
  <si>
    <t>MPa</t>
  </si>
  <si>
    <t>Mpa</t>
  </si>
  <si>
    <t>Propriétés plastiques</t>
  </si>
  <si>
    <t>Nfs</t>
  </si>
  <si>
    <t>Nw</t>
  </si>
  <si>
    <t>Nfi</t>
  </si>
  <si>
    <t>Hypothèse ANP dns la semelle sup</t>
  </si>
  <si>
    <t>Hypothèse ANP dns l'âme</t>
  </si>
  <si>
    <t>Hyp validée ?</t>
  </si>
  <si>
    <t>Oui</t>
  </si>
  <si>
    <t>Non</t>
  </si>
  <si>
    <t>Hypothèse ANP dns la semelle inf</t>
  </si>
  <si>
    <t>p</t>
  </si>
  <si>
    <t>zANP</t>
  </si>
  <si>
    <t>MplRd</t>
  </si>
  <si>
    <t>Classe de l'âme en flexion</t>
  </si>
  <si>
    <t>c/t</t>
  </si>
  <si>
    <t>Limite classe 1</t>
  </si>
  <si>
    <t>cc</t>
  </si>
  <si>
    <t>Alpha</t>
  </si>
  <si>
    <t>Limite Classe 2</t>
  </si>
  <si>
    <t>Limite Classe 3</t>
  </si>
  <si>
    <t>EpsilonW</t>
  </si>
  <si>
    <t>Psi</t>
  </si>
  <si>
    <t>Classe de l'âme</t>
  </si>
  <si>
    <t>ELU</t>
  </si>
  <si>
    <t>Flexion</t>
  </si>
  <si>
    <t>U1</t>
  </si>
  <si>
    <t>U2</t>
  </si>
  <si>
    <t>Max</t>
  </si>
  <si>
    <t>GammaM</t>
  </si>
  <si>
    <t>MRd</t>
  </si>
  <si>
    <t>Welfs</t>
  </si>
  <si>
    <t>Welfi</t>
  </si>
  <si>
    <t>cm3</t>
  </si>
  <si>
    <t>MelRd</t>
  </si>
  <si>
    <t>Tranchant</t>
  </si>
  <si>
    <t>VRd</t>
  </si>
  <si>
    <t>Voilement par cisaillement</t>
  </si>
  <si>
    <t>hw/tw</t>
  </si>
  <si>
    <t>Eta</t>
  </si>
  <si>
    <t>72 Epsilon/Eta</t>
  </si>
  <si>
    <t>Vérification requise ?</t>
  </si>
  <si>
    <t>kTau</t>
  </si>
  <si>
    <t>LambdaW</t>
  </si>
  <si>
    <t>KhiW</t>
  </si>
  <si>
    <t>VbRd</t>
  </si>
  <si>
    <t>GVb</t>
  </si>
  <si>
    <t>Soudures</t>
  </si>
  <si>
    <t>Moment stat Semelle sup</t>
  </si>
  <si>
    <t>Flux de cisaillement</t>
  </si>
  <si>
    <t>ELU1</t>
  </si>
  <si>
    <t>ELU2</t>
  </si>
  <si>
    <t>Fu</t>
  </si>
  <si>
    <t>GammaM2</t>
  </si>
  <si>
    <t>aw mini</t>
  </si>
  <si>
    <t>BetaW</t>
  </si>
  <si>
    <t>Autres propriétés</t>
  </si>
  <si>
    <t>Av</t>
  </si>
  <si>
    <t>Inertie Y</t>
  </si>
  <si>
    <t>Inertie Z</t>
  </si>
  <si>
    <t>mlin</t>
  </si>
  <si>
    <t>Rho</t>
  </si>
  <si>
    <t>kg/m</t>
  </si>
  <si>
    <t>kg/m3</t>
  </si>
  <si>
    <t>kg</t>
  </si>
  <si>
    <t>Surface de peinture totale</t>
  </si>
  <si>
    <t>Périmètre</t>
  </si>
  <si>
    <t>m2</t>
  </si>
  <si>
    <t>Surface peinture - face sup</t>
  </si>
  <si>
    <t>Flèches</t>
  </si>
  <si>
    <t>E</t>
  </si>
  <si>
    <t>qELU</t>
  </si>
  <si>
    <t>FELU</t>
  </si>
  <si>
    <t>Déversement</t>
  </si>
  <si>
    <t>Mcr</t>
  </si>
  <si>
    <t>LambdaLT</t>
  </si>
  <si>
    <t>PhiLT</t>
  </si>
  <si>
    <t>AlphaLT</t>
  </si>
  <si>
    <t>KhiLT</t>
  </si>
  <si>
    <t>MbRd</t>
  </si>
  <si>
    <t>GLT</t>
  </si>
  <si>
    <t>Console</t>
  </si>
  <si>
    <t>F sur portée a</t>
  </si>
  <si>
    <t>A multiplier par Eta</t>
  </si>
  <si>
    <t>q répartie sur portée a</t>
  </si>
  <si>
    <t>Flèche travée</t>
  </si>
  <si>
    <t>Flèche console</t>
  </si>
  <si>
    <t>Prise en compte interaction MV</t>
  </si>
  <si>
    <t>Rau</t>
  </si>
  <si>
    <t>Reduction âme</t>
  </si>
  <si>
    <t>GammaMV</t>
  </si>
  <si>
    <t>Na</t>
  </si>
  <si>
    <t>Ni</t>
  </si>
  <si>
    <t>Nidi</t>
  </si>
  <si>
    <t>MfRd</t>
  </si>
  <si>
    <t>GMvB</t>
  </si>
  <si>
    <t>Plastique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</si>
</sst>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"/>
    <numFmt numFmtId="165" formatCode="0.0000"/>
    <numFmt numFmtId="166" formatCode="0.000"/>
    <numFmt numFmtId="167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4" borderId="0" xfId="0" applyFont="1" applyFill="1"/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6" borderId="3" xfId="0" applyFill="1" applyBorder="1"/>
    <xf numFmtId="0" fontId="0" fillId="6" borderId="4" xfId="0" applyFill="1" applyBorder="1" applyAlignment="1">
      <alignment horizontal="right" vertical="center"/>
    </xf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 applyAlignment="1">
      <alignment horizontal="right" vertical="center"/>
    </xf>
    <xf numFmtId="0" fontId="0" fillId="6" borderId="8" xfId="0" applyFill="1" applyBorder="1"/>
    <xf numFmtId="0" fontId="0" fillId="7" borderId="3" xfId="0" applyFill="1" applyBorder="1"/>
    <xf numFmtId="0" fontId="0" fillId="7" borderId="4" xfId="0" applyFill="1" applyBorder="1" applyAlignment="1">
      <alignment horizontal="right" vertical="center"/>
    </xf>
    <xf numFmtId="0" fontId="0" fillId="7" borderId="5" xfId="0" applyFill="1" applyBorder="1"/>
    <xf numFmtId="0" fontId="0" fillId="7" borderId="6" xfId="0" applyFill="1" applyBorder="1"/>
    <xf numFmtId="0" fontId="0" fillId="7" borderId="7" xfId="0" applyFill="1" applyBorder="1" applyAlignment="1">
      <alignment horizontal="right" vertical="center"/>
    </xf>
    <xf numFmtId="0" fontId="0" fillId="7" borderId="8" xfId="0" applyFill="1" applyBorder="1"/>
    <xf numFmtId="0" fontId="0" fillId="8" borderId="3" xfId="0" applyFill="1" applyBorder="1"/>
    <xf numFmtId="0" fontId="0" fillId="8" borderId="4" xfId="0" applyFill="1" applyBorder="1" applyAlignment="1">
      <alignment horizontal="right" vertical="center"/>
    </xf>
    <xf numFmtId="0" fontId="0" fillId="8" borderId="5" xfId="0" applyFill="1" applyBorder="1"/>
    <xf numFmtId="0" fontId="0" fillId="8" borderId="6" xfId="0" applyFill="1" applyBorder="1"/>
    <xf numFmtId="0" fontId="0" fillId="8" borderId="7" xfId="0" applyFill="1" applyBorder="1" applyAlignment="1">
      <alignment horizontal="right" vertical="center"/>
    </xf>
    <xf numFmtId="0" fontId="0" fillId="8" borderId="8" xfId="0" applyFill="1" applyBorder="1"/>
    <xf numFmtId="0" fontId="0" fillId="0" borderId="2" xfId="0" applyBorder="1" applyAlignment="1">
      <alignment horizontal="center" vertical="center"/>
    </xf>
    <xf numFmtId="0" fontId="0" fillId="9" borderId="3" xfId="0" applyFill="1" applyBorder="1"/>
    <xf numFmtId="0" fontId="0" fillId="9" borderId="4" xfId="0" applyFill="1" applyBorder="1" applyAlignment="1">
      <alignment horizontal="right" vertical="center"/>
    </xf>
    <xf numFmtId="0" fontId="0" fillId="9" borderId="5" xfId="0" applyFill="1" applyBorder="1"/>
    <xf numFmtId="0" fontId="0" fillId="9" borderId="6" xfId="0" applyFill="1" applyBorder="1"/>
    <xf numFmtId="0" fontId="0" fillId="9" borderId="7" xfId="0" applyFill="1" applyBorder="1" applyAlignment="1">
      <alignment horizontal="right" vertical="center"/>
    </xf>
    <xf numFmtId="0" fontId="0" fillId="9" borderId="8" xfId="0" applyFill="1" applyBorder="1"/>
    <xf numFmtId="0" fontId="0" fillId="10" borderId="3" xfId="0" applyFill="1" applyBorder="1"/>
    <xf numFmtId="0" fontId="0" fillId="10" borderId="4" xfId="0" applyFill="1" applyBorder="1" applyAlignment="1">
      <alignment horizontal="right" vertical="center"/>
    </xf>
    <xf numFmtId="0" fontId="0" fillId="10" borderId="5" xfId="0" applyFill="1" applyBorder="1"/>
    <xf numFmtId="0" fontId="0" fillId="10" borderId="6" xfId="0" applyFill="1" applyBorder="1"/>
    <xf numFmtId="0" fontId="0" fillId="10" borderId="7" xfId="0" applyFill="1" applyBorder="1" applyAlignment="1">
      <alignment horizontal="right" vertical="center"/>
    </xf>
    <xf numFmtId="0" fontId="0" fillId="10" borderId="8" xfId="0" applyFill="1" applyBorder="1"/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Fill="1" applyBorder="1" applyAlignment="1">
      <alignment horizontal="right" vertical="center"/>
    </xf>
    <xf numFmtId="0" fontId="0" fillId="0" borderId="12" xfId="0" applyBorder="1" applyAlignment="1">
      <alignment horizontal="center" vertical="center"/>
    </xf>
    <xf numFmtId="0" fontId="1" fillId="11" borderId="0" xfId="0" applyFont="1" applyFill="1"/>
    <xf numFmtId="165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0" fillId="12" borderId="10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13" borderId="1" xfId="0" applyNumberFormat="1" applyFill="1" applyBorder="1" applyAlignment="1">
      <alignment horizontal="center" vertical="center"/>
    </xf>
    <xf numFmtId="0" fontId="1" fillId="14" borderId="0" xfId="0" applyFont="1" applyFill="1"/>
    <xf numFmtId="0" fontId="1" fillId="15" borderId="1" xfId="0" applyFont="1" applyFill="1" applyBorder="1" applyAlignment="1">
      <alignment horizontal="center" vertical="center"/>
    </xf>
    <xf numFmtId="0" fontId="2" fillId="0" borderId="0" xfId="0" applyFont="1"/>
    <xf numFmtId="0" fontId="1" fillId="15" borderId="0" xfId="0" applyFont="1" applyFill="1"/>
    <xf numFmtId="167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0" fillId="0" borderId="0" xfId="0" applyFill="1" applyBorder="1" applyAlignment="1">
      <alignment horizontal="center"/>
    </xf>
    <xf numFmtId="167" fontId="0" fillId="5" borderId="1" xfId="0" applyNumberForma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3" fillId="0" borderId="1" xfId="0" applyNumberFormat="1" applyFont="1" applyBorder="1" applyAlignment="1">
      <alignment horizontal="center" vertical="center"/>
    </xf>
    <xf numFmtId="0" fontId="1" fillId="16" borderId="0" xfId="0" applyFont="1" applyFill="1" applyAlignment="1">
      <alignment horizontal="right" vertical="center"/>
    </xf>
    <xf numFmtId="0" fontId="1" fillId="16" borderId="0" xfId="0" applyFont="1" applyFill="1" applyAlignment="1">
      <alignment horizontal="center" vertical="center"/>
    </xf>
    <xf numFmtId="0" fontId="1" fillId="16" borderId="0" xfId="0" applyFont="1" applyFill="1"/>
    <xf numFmtId="164" fontId="0" fillId="13" borderId="1" xfId="0" applyNumberFormat="1" applyFill="1" applyBorder="1" applyAlignment="1">
      <alignment horizontal="center" vertical="center"/>
    </xf>
    <xf numFmtId="164" fontId="0" fillId="13" borderId="2" xfId="0" applyNumberForma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V99"/>
  <sheetViews>
    <sheetView tabSelected="1" topLeftCell="A28" workbookViewId="0">
      <selection activeCell="D45" sqref="D45"/>
    </sheetView>
  </sheetViews>
  <sheetFormatPr baseColWidth="10" defaultRowHeight="15" x14ac:dyDescent="0.25"/>
  <cols>
    <col min="14" max="14" width="12" bestFit="1" customWidth="1"/>
  </cols>
  <sheetData>
    <row r="4" spans="3:19" x14ac:dyDescent="0.25">
      <c r="C4" s="1" t="s">
        <v>0</v>
      </c>
      <c r="D4" s="1"/>
      <c r="E4" s="1"/>
      <c r="F4" s="1"/>
      <c r="H4" s="1" t="s">
        <v>8</v>
      </c>
      <c r="I4" s="1"/>
      <c r="J4" s="1"/>
      <c r="K4" s="1"/>
      <c r="M4" s="7" t="s">
        <v>17</v>
      </c>
      <c r="N4" s="7"/>
      <c r="O4" s="7"/>
      <c r="P4" s="7"/>
    </row>
    <row r="6" spans="3:19" x14ac:dyDescent="0.25">
      <c r="C6" s="3" t="s">
        <v>1</v>
      </c>
      <c r="D6" s="6">
        <v>150</v>
      </c>
      <c r="E6" t="s">
        <v>7</v>
      </c>
      <c r="H6" s="3" t="s">
        <v>9</v>
      </c>
      <c r="I6" s="6">
        <v>0</v>
      </c>
      <c r="J6" t="s">
        <v>12</v>
      </c>
      <c r="M6" s="3" t="s">
        <v>18</v>
      </c>
      <c r="N6" s="6">
        <v>1</v>
      </c>
    </row>
    <row r="7" spans="3:19" x14ac:dyDescent="0.25">
      <c r="C7" s="3" t="s">
        <v>2</v>
      </c>
      <c r="D7" s="6">
        <v>18</v>
      </c>
      <c r="E7" t="s">
        <v>7</v>
      </c>
      <c r="H7" s="3" t="s">
        <v>134</v>
      </c>
      <c r="I7" s="6">
        <v>120</v>
      </c>
      <c r="J7" t="s">
        <v>12</v>
      </c>
      <c r="M7" s="3" t="s">
        <v>19</v>
      </c>
      <c r="N7" s="6">
        <v>1</v>
      </c>
    </row>
    <row r="8" spans="3:19" x14ac:dyDescent="0.25">
      <c r="C8" s="3" t="s">
        <v>3</v>
      </c>
      <c r="D8" s="6">
        <v>280</v>
      </c>
      <c r="E8" t="s">
        <v>7</v>
      </c>
      <c r="H8" s="3" t="s">
        <v>132</v>
      </c>
      <c r="I8" s="6">
        <v>0</v>
      </c>
      <c r="J8" t="s">
        <v>13</v>
      </c>
      <c r="M8" s="3" t="s">
        <v>20</v>
      </c>
      <c r="N8" s="6">
        <v>1</v>
      </c>
    </row>
    <row r="9" spans="3:19" x14ac:dyDescent="0.25">
      <c r="C9" s="3" t="s">
        <v>4</v>
      </c>
      <c r="D9" s="6">
        <v>5</v>
      </c>
      <c r="E9" t="s">
        <v>7</v>
      </c>
      <c r="M9" s="3" t="s">
        <v>21</v>
      </c>
      <c r="N9" s="6">
        <v>1</v>
      </c>
    </row>
    <row r="10" spans="3:19" x14ac:dyDescent="0.25">
      <c r="C10" s="3" t="s">
        <v>5</v>
      </c>
      <c r="D10" s="6">
        <v>150</v>
      </c>
      <c r="E10" t="s">
        <v>7</v>
      </c>
      <c r="M10" s="3" t="s">
        <v>22</v>
      </c>
      <c r="N10" s="6">
        <v>0.7</v>
      </c>
    </row>
    <row r="11" spans="3:19" x14ac:dyDescent="0.25">
      <c r="C11" s="3" t="s">
        <v>6</v>
      </c>
      <c r="D11" s="6">
        <v>22</v>
      </c>
      <c r="E11" t="s">
        <v>7</v>
      </c>
      <c r="M11" s="3" t="s">
        <v>103</v>
      </c>
      <c r="N11" s="6">
        <v>1.25</v>
      </c>
    </row>
    <row r="12" spans="3:19" x14ac:dyDescent="0.25">
      <c r="C12" s="3" t="s">
        <v>45</v>
      </c>
      <c r="D12" s="8">
        <f>tfs+hw+tfi</f>
        <v>320</v>
      </c>
      <c r="E12" t="s">
        <v>7</v>
      </c>
      <c r="H12" s="1" t="s">
        <v>14</v>
      </c>
      <c r="I12" s="1"/>
      <c r="J12" s="1"/>
      <c r="K12" s="1"/>
    </row>
    <row r="13" spans="3:19" x14ac:dyDescent="0.25">
      <c r="C13" s="3"/>
      <c r="H13" s="10" t="s">
        <v>9</v>
      </c>
      <c r="I13" s="11" t="s">
        <v>15</v>
      </c>
      <c r="J13" s="9">
        <f>qG*LL^2/8</f>
        <v>0</v>
      </c>
      <c r="K13" s="12" t="s">
        <v>23</v>
      </c>
    </row>
    <row r="14" spans="3:19" x14ac:dyDescent="0.25">
      <c r="C14" s="3" t="s">
        <v>46</v>
      </c>
      <c r="D14" s="6">
        <v>460</v>
      </c>
      <c r="E14" t="s">
        <v>49</v>
      </c>
      <c r="H14" s="13"/>
      <c r="I14" s="14" t="s">
        <v>16</v>
      </c>
      <c r="J14" s="8">
        <f>qG*LL/2</f>
        <v>0</v>
      </c>
      <c r="K14" s="15" t="s">
        <v>13</v>
      </c>
    </row>
    <row r="15" spans="3:19" x14ac:dyDescent="0.25">
      <c r="C15" s="50" t="s">
        <v>47</v>
      </c>
      <c r="D15" s="6">
        <f>FyS</f>
        <v>460</v>
      </c>
      <c r="E15" t="s">
        <v>50</v>
      </c>
      <c r="H15" s="16" t="s">
        <v>10</v>
      </c>
      <c r="I15" s="17" t="s">
        <v>15</v>
      </c>
      <c r="J15" s="9">
        <f>-qQ_1*La^2/2</f>
        <v>-375</v>
      </c>
      <c r="K15" s="18" t="s">
        <v>23</v>
      </c>
      <c r="M15" s="52" t="s">
        <v>30</v>
      </c>
      <c r="N15" s="52"/>
      <c r="O15" s="52"/>
      <c r="P15" s="52"/>
      <c r="Q15" s="52"/>
      <c r="R15" s="52"/>
      <c r="S15" s="52"/>
    </row>
    <row r="16" spans="3:19" x14ac:dyDescent="0.25">
      <c r="C16" s="50" t="s">
        <v>48</v>
      </c>
      <c r="D16" s="6">
        <f>FyS</f>
        <v>460</v>
      </c>
      <c r="E16" t="s">
        <v>49</v>
      </c>
      <c r="H16" s="19"/>
      <c r="I16" s="20" t="s">
        <v>16</v>
      </c>
      <c r="J16" s="8">
        <f>qQ_1*La</f>
        <v>300</v>
      </c>
      <c r="K16" s="21" t="s">
        <v>13</v>
      </c>
    </row>
    <row r="17" spans="3:19" x14ac:dyDescent="0.25">
      <c r="H17" s="22" t="s">
        <v>11</v>
      </c>
      <c r="I17" s="23" t="s">
        <v>15</v>
      </c>
      <c r="J17" s="9">
        <f>-F_Q2*La</f>
        <v>0</v>
      </c>
      <c r="K17" s="24" t="s">
        <v>23</v>
      </c>
      <c r="N17" s="5" t="s">
        <v>34</v>
      </c>
      <c r="O17" s="51" t="s">
        <v>35</v>
      </c>
      <c r="P17" s="5" t="s">
        <v>44</v>
      </c>
      <c r="Q17" s="5" t="s">
        <v>37</v>
      </c>
      <c r="R17" s="5" t="s">
        <v>38</v>
      </c>
      <c r="S17" s="5" t="s">
        <v>36</v>
      </c>
    </row>
    <row r="18" spans="3:19" x14ac:dyDescent="0.25">
      <c r="C18" s="50" t="s">
        <v>102</v>
      </c>
      <c r="D18" s="6">
        <v>470</v>
      </c>
      <c r="E18" t="s">
        <v>49</v>
      </c>
      <c r="H18" s="25"/>
      <c r="I18" s="26" t="s">
        <v>16</v>
      </c>
      <c r="J18" s="8">
        <f>F_Q2</f>
        <v>0</v>
      </c>
      <c r="K18" s="27" t="s">
        <v>13</v>
      </c>
      <c r="M18" s="41" t="s">
        <v>31</v>
      </c>
      <c r="N18" s="48">
        <f>bfs*tfs</f>
        <v>2700</v>
      </c>
      <c r="O18" s="42">
        <f>-tfs/2</f>
        <v>-9</v>
      </c>
      <c r="P18" s="48">
        <f>N18*O18</f>
        <v>-24300</v>
      </c>
      <c r="Q18" s="48">
        <f>O18-zG</f>
        <v>161.97297297297297</v>
      </c>
      <c r="R18" s="43">
        <f>N18*Q18^2</f>
        <v>70835158.728999272</v>
      </c>
      <c r="S18" s="49">
        <f>bfs*tfs^3/12</f>
        <v>72900</v>
      </c>
    </row>
    <row r="19" spans="3:19" x14ac:dyDescent="0.25">
      <c r="M19" s="41" t="s">
        <v>32</v>
      </c>
      <c r="N19" s="49">
        <f>hw*tw</f>
        <v>1400</v>
      </c>
      <c r="O19" s="44">
        <f>-tfs-hw/2</f>
        <v>-158</v>
      </c>
      <c r="P19" s="49">
        <f>N19*O19</f>
        <v>-221200</v>
      </c>
      <c r="Q19" s="49">
        <f>O19-zG</f>
        <v>12.972972972972968</v>
      </c>
      <c r="R19" s="45">
        <f>N19*Q19^2</f>
        <v>235617.23886048191</v>
      </c>
      <c r="S19" s="49">
        <f>hw^3*tw/12</f>
        <v>9146666.666666666</v>
      </c>
    </row>
    <row r="20" spans="3:19" x14ac:dyDescent="0.25">
      <c r="C20" s="1" t="s">
        <v>24</v>
      </c>
      <c r="D20" s="1"/>
      <c r="E20" s="1"/>
      <c r="F20" s="1"/>
      <c r="M20" s="41" t="s">
        <v>33</v>
      </c>
      <c r="N20" s="28">
        <f>bfi*tfi</f>
        <v>3300</v>
      </c>
      <c r="O20" s="46">
        <f>-tfs-hw-tfi/2</f>
        <v>-309</v>
      </c>
      <c r="P20" s="28">
        <f>N20*O20</f>
        <v>-1019700</v>
      </c>
      <c r="Q20" s="28">
        <f>O20-zG</f>
        <v>-138.02702702702703</v>
      </c>
      <c r="R20" s="47">
        <f>N20*Q20^2</f>
        <v>62869818.626734845</v>
      </c>
      <c r="S20" s="49">
        <f>bfi*tfi^3/12</f>
        <v>133100</v>
      </c>
    </row>
    <row r="21" spans="3:19" x14ac:dyDescent="0.25">
      <c r="C21" s="3"/>
      <c r="H21" s="1" t="s">
        <v>27</v>
      </c>
      <c r="I21" s="1"/>
      <c r="J21" s="1"/>
      <c r="K21" s="1"/>
      <c r="N21" s="5">
        <f>SUM(N18:N20)</f>
        <v>7400</v>
      </c>
      <c r="P21" s="5">
        <f>SUM(P18:P20)</f>
        <v>-1265200</v>
      </c>
      <c r="R21" s="5">
        <f>SUM(R18:R20)</f>
        <v>133940594.5945946</v>
      </c>
      <c r="S21" s="5">
        <f>SUM(S18:S20)</f>
        <v>9352666.666666666</v>
      </c>
    </row>
    <row r="22" spans="3:19" x14ac:dyDescent="0.25">
      <c r="C22" s="3" t="s">
        <v>25</v>
      </c>
      <c r="D22" s="6">
        <v>9</v>
      </c>
      <c r="E22" t="s">
        <v>26</v>
      </c>
    </row>
    <row r="23" spans="3:19" x14ac:dyDescent="0.25">
      <c r="C23" s="3" t="s">
        <v>131</v>
      </c>
      <c r="D23" s="6">
        <v>2.5</v>
      </c>
      <c r="E23" t="s">
        <v>26</v>
      </c>
      <c r="H23" s="29" t="s">
        <v>28</v>
      </c>
      <c r="I23" s="30" t="s">
        <v>15</v>
      </c>
      <c r="J23" s="8">
        <f>GammaG*MEdG+GammaQ*(MEd_Q1+Psi_0*MEd_Q2)</f>
        <v>-375</v>
      </c>
      <c r="K23" s="31" t="s">
        <v>23</v>
      </c>
      <c r="M23" s="50" t="s">
        <v>39</v>
      </c>
      <c r="N23" s="8">
        <f>N21</f>
        <v>7400</v>
      </c>
      <c r="O23" t="s">
        <v>41</v>
      </c>
    </row>
    <row r="24" spans="3:19" x14ac:dyDescent="0.25">
      <c r="H24" s="32"/>
      <c r="I24" s="33" t="s">
        <v>16</v>
      </c>
      <c r="J24" s="8">
        <f>GammaG*VEdG+GammaQ*(VEd_Q1+Psi_0*VEd_Q2)</f>
        <v>300</v>
      </c>
      <c r="K24" s="34" t="s">
        <v>13</v>
      </c>
      <c r="M24" s="50" t="s">
        <v>40</v>
      </c>
      <c r="N24" s="54">
        <f>P21/A</f>
        <v>-170.97297297297297</v>
      </c>
      <c r="O24" t="s">
        <v>7</v>
      </c>
    </row>
    <row r="25" spans="3:19" x14ac:dyDescent="0.25">
      <c r="C25" s="3" t="s">
        <v>120</v>
      </c>
      <c r="D25" s="6">
        <v>210000</v>
      </c>
      <c r="E25" t="s">
        <v>49</v>
      </c>
      <c r="H25" s="35" t="s">
        <v>29</v>
      </c>
      <c r="I25" s="36" t="s">
        <v>15</v>
      </c>
      <c r="J25" s="8">
        <f>GammaG*MEdG+GammaQ*(Psi_0*MEd_Q1+MEd_Q2)</f>
        <v>-262.5</v>
      </c>
      <c r="K25" s="37" t="s">
        <v>23</v>
      </c>
      <c r="M25" s="50" t="s">
        <v>108</v>
      </c>
      <c r="N25" s="55">
        <f>SUM(R21:S21)</f>
        <v>143293261.26126125</v>
      </c>
      <c r="O25" t="s">
        <v>42</v>
      </c>
      <c r="P25" s="3" t="s">
        <v>81</v>
      </c>
      <c r="Q25" s="69">
        <f>InertieCM4/(ABS(zG))*10</f>
        <v>838.10475287174631</v>
      </c>
      <c r="R25" t="s">
        <v>83</v>
      </c>
    </row>
    <row r="26" spans="3:19" x14ac:dyDescent="0.25">
      <c r="C26" s="3"/>
      <c r="D26" s="4"/>
      <c r="H26" s="38"/>
      <c r="I26" s="39" t="s">
        <v>16</v>
      </c>
      <c r="J26" s="8">
        <f>GammaG*VEdG+GammaQ*(Psi_0*VEd_Q1+VEd_Q2)</f>
        <v>210</v>
      </c>
      <c r="K26" s="40" t="s">
        <v>13</v>
      </c>
      <c r="N26" s="55">
        <f>N25/10^4</f>
        <v>14329.326126126125</v>
      </c>
      <c r="O26" t="s">
        <v>43</v>
      </c>
      <c r="P26" s="3" t="s">
        <v>82</v>
      </c>
      <c r="Q26" s="69">
        <f>InertieCM4/(Ht-ABS(zG))*10</f>
        <v>961.52532946439351</v>
      </c>
      <c r="R26" t="s">
        <v>83</v>
      </c>
    </row>
    <row r="27" spans="3:19" x14ac:dyDescent="0.25">
      <c r="C27" s="3"/>
      <c r="D27" s="4"/>
      <c r="P27" s="3" t="s">
        <v>84</v>
      </c>
      <c r="Q27" s="78">
        <f>MIN(Q25*FyS,Q26*FyI)/1000/GammaM0</f>
        <v>385.52818632100332</v>
      </c>
      <c r="R27" t="s">
        <v>23</v>
      </c>
    </row>
    <row r="28" spans="3:19" x14ac:dyDescent="0.25">
      <c r="C28" s="3"/>
      <c r="D28" s="4"/>
    </row>
    <row r="29" spans="3:19" x14ac:dyDescent="0.25">
      <c r="C29" s="3"/>
      <c r="D29" s="4"/>
      <c r="M29" s="52" t="s">
        <v>51</v>
      </c>
      <c r="N29" s="52"/>
      <c r="O29" s="52"/>
      <c r="P29" s="52"/>
      <c r="Q29" s="52"/>
      <c r="R29" s="52"/>
      <c r="S29" s="52"/>
    </row>
    <row r="30" spans="3:19" x14ac:dyDescent="0.25">
      <c r="C30" s="3"/>
      <c r="D30" s="4"/>
      <c r="I30" s="3" t="s">
        <v>121</v>
      </c>
      <c r="J30" s="5">
        <f>GammaG*qG+GammaQ*qQ_1</f>
        <v>120</v>
      </c>
      <c r="K30" t="s">
        <v>12</v>
      </c>
    </row>
    <row r="31" spans="3:19" x14ac:dyDescent="0.25">
      <c r="C31" s="3"/>
      <c r="D31" s="4"/>
      <c r="I31" s="3" t="s">
        <v>122</v>
      </c>
      <c r="J31" s="5">
        <f>Psi_0*GammaQ*F_Q2</f>
        <v>0</v>
      </c>
      <c r="K31" t="s">
        <v>13</v>
      </c>
      <c r="M31" s="3" t="s">
        <v>52</v>
      </c>
      <c r="N31" s="55">
        <f>bfs*tfs*FyS/GammaM0/1000</f>
        <v>1242</v>
      </c>
      <c r="O31" t="s">
        <v>13</v>
      </c>
    </row>
    <row r="32" spans="3:19" x14ac:dyDescent="0.25">
      <c r="C32" s="64" t="s">
        <v>64</v>
      </c>
      <c r="D32" s="64"/>
      <c r="E32" s="64"/>
      <c r="F32" s="64"/>
      <c r="M32" s="3" t="s">
        <v>53</v>
      </c>
      <c r="N32" s="55">
        <f>hw*tw*FyW/GammaM0/1000*S34</f>
        <v>644</v>
      </c>
      <c r="O32" t="s">
        <v>13</v>
      </c>
      <c r="R32" s="3" t="s">
        <v>137</v>
      </c>
      <c r="S32" s="6" t="s">
        <v>59</v>
      </c>
    </row>
    <row r="33" spans="3:22" x14ac:dyDescent="0.25">
      <c r="C33" s="3" t="s">
        <v>65</v>
      </c>
      <c r="D33" s="61">
        <f>hw/tw</f>
        <v>56</v>
      </c>
      <c r="M33" s="3" t="s">
        <v>54</v>
      </c>
      <c r="N33" s="55">
        <f>bfi*tfi*FyI/GammaM0/1000</f>
        <v>1518</v>
      </c>
      <c r="O33" t="s">
        <v>13</v>
      </c>
      <c r="R33" s="2" t="s">
        <v>138</v>
      </c>
      <c r="S33" s="72">
        <f>IF(E60&gt;0.5,(2*E60-1)^2,0)</f>
        <v>0.11885941882460893</v>
      </c>
    </row>
    <row r="34" spans="3:22" x14ac:dyDescent="0.25">
      <c r="C34" s="3" t="s">
        <v>67</v>
      </c>
      <c r="D34" s="5">
        <f>zANP-tfs</f>
        <v>200</v>
      </c>
      <c r="E34" t="s">
        <v>7</v>
      </c>
      <c r="M34" s="50" t="s">
        <v>141</v>
      </c>
      <c r="N34" s="55">
        <f>SUM(N31:N33)</f>
        <v>3404</v>
      </c>
      <c r="O34" t="s">
        <v>13</v>
      </c>
      <c r="R34" s="3" t="s">
        <v>139</v>
      </c>
      <c r="S34" s="72">
        <f>IF(S32=oui,1-S33,1)</f>
        <v>1</v>
      </c>
    </row>
    <row r="35" spans="3:22" x14ac:dyDescent="0.25">
      <c r="C35" s="3" t="s">
        <v>68</v>
      </c>
      <c r="D35" s="5">
        <f>cc/hw</f>
        <v>0.7142857142857143</v>
      </c>
    </row>
    <row r="36" spans="3:22" x14ac:dyDescent="0.25">
      <c r="C36" s="3" t="s">
        <v>71</v>
      </c>
      <c r="D36" s="59">
        <f>SQRT(235/FyW)</f>
        <v>0.71475140099015644</v>
      </c>
      <c r="M36" s="56" t="s">
        <v>55</v>
      </c>
    </row>
    <row r="37" spans="3:22" x14ac:dyDescent="0.25">
      <c r="C37" s="3" t="s">
        <v>66</v>
      </c>
      <c r="D37" s="61">
        <f>IF(Elan&lt;=0.5,36*EpsilonW/Alpha,396*EpsilonW/(13*Alpha-1))</f>
        <v>34.160187647322651</v>
      </c>
      <c r="M37" s="50" t="s">
        <v>57</v>
      </c>
      <c r="N37" s="8" t="str">
        <f>IF(Nfs&gt;Nw+Nfi,oui,non)</f>
        <v>Non</v>
      </c>
    </row>
    <row r="38" spans="3:22" x14ac:dyDescent="0.25">
      <c r="C38" s="3" t="s">
        <v>69</v>
      </c>
      <c r="D38" s="61">
        <f>IF(Elan&lt;=0.5,41.5*EpsilonW/Alpha,456*EpsilonW/(13*Alpha-1))</f>
        <v>39.33597365449274</v>
      </c>
      <c r="S38" s="5" t="s">
        <v>142</v>
      </c>
      <c r="T38" s="5" t="s">
        <v>37</v>
      </c>
      <c r="U38" s="5" t="s">
        <v>143</v>
      </c>
    </row>
    <row r="39" spans="3:22" x14ac:dyDescent="0.25">
      <c r="C39" s="50" t="s">
        <v>70</v>
      </c>
      <c r="D39" s="61">
        <f>IF(Psi&lt;=-1,62*EpsilonW*(1-Psi)*SQRT(-Psi),42*EpsilonW/(0.67+0.33*Psi))</f>
        <v>75.812378655800444</v>
      </c>
      <c r="S39" s="62">
        <f>Nfs</f>
        <v>1242</v>
      </c>
      <c r="T39" s="5">
        <f>(zANP-tfs/2)</f>
        <v>209</v>
      </c>
      <c r="U39" s="62">
        <f>S39*T39/1000</f>
        <v>259.57799999999997</v>
      </c>
      <c r="V39">
        <f>N18*T39</f>
        <v>564300</v>
      </c>
    </row>
    <row r="40" spans="3:22" x14ac:dyDescent="0.25">
      <c r="M40" s="56" t="s">
        <v>56</v>
      </c>
      <c r="S40" s="62">
        <f>Nw*pW</f>
        <v>460</v>
      </c>
      <c r="T40" s="5">
        <f>pW*hw/2</f>
        <v>100</v>
      </c>
      <c r="U40" s="62">
        <f t="shared" ref="U40:U42" si="0">S40*T40/1000</f>
        <v>46</v>
      </c>
    </row>
    <row r="41" spans="3:22" x14ac:dyDescent="0.25">
      <c r="C41" s="50" t="s">
        <v>72</v>
      </c>
      <c r="D41" s="59">
        <f>-(Ht-tfi+zG)/(-zG-tfs)</f>
        <v>-0.83038869257950532</v>
      </c>
      <c r="M41" s="50" t="s">
        <v>57</v>
      </c>
      <c r="N41" s="8" t="str">
        <f>IF(AND(Nfi&lt;=Nw+Nfs,Nfs&lt;=Nw+Nfi),oui,non)</f>
        <v>Oui</v>
      </c>
      <c r="S41" s="62">
        <f>(1-pW)*Nw</f>
        <v>184</v>
      </c>
      <c r="T41" s="5">
        <f>(1-pW)*hw/2</f>
        <v>40</v>
      </c>
      <c r="U41" s="62">
        <f t="shared" si="0"/>
        <v>7.36</v>
      </c>
    </row>
    <row r="42" spans="3:22" x14ac:dyDescent="0.25">
      <c r="M42" s="3" t="s">
        <v>61</v>
      </c>
      <c r="N42" s="60">
        <f>1/2*(1+(Nfi-Nfs)/Nw)</f>
        <v>0.7142857142857143</v>
      </c>
      <c r="S42" s="62">
        <f>Nfi</f>
        <v>1518</v>
      </c>
      <c r="T42" s="5">
        <f>Ht-zANP-tfi/2</f>
        <v>91</v>
      </c>
      <c r="U42" s="62">
        <f t="shared" si="0"/>
        <v>138.13800000000001</v>
      </c>
    </row>
    <row r="43" spans="3:22" x14ac:dyDescent="0.25">
      <c r="C43" s="50" t="s">
        <v>73</v>
      </c>
      <c r="D43" s="65">
        <f>IF(Elan&lt;=D37,1,IF(Elan&lt;=D38,2,IF(Elan&lt;=D39,3,4)))</f>
        <v>3</v>
      </c>
      <c r="M43" s="3" t="s">
        <v>62</v>
      </c>
      <c r="N43" s="62">
        <f>tfs+hw*pW</f>
        <v>218</v>
      </c>
      <c r="O43" t="s">
        <v>7</v>
      </c>
      <c r="P43" s="3" t="s">
        <v>63</v>
      </c>
      <c r="Q43" s="78">
        <f>(Nfs*ABS(zANP-tfs/2)+Nfi*ABS(zANP-(Ht-tfi/2))+Nw*hw/2*(pW^2+(1-pW)^2))/1000</f>
        <v>451.07600000000002</v>
      </c>
      <c r="R43" t="s">
        <v>23</v>
      </c>
      <c r="U43" s="79">
        <f>SUM(U39:U42)</f>
        <v>451.07600000000002</v>
      </c>
    </row>
    <row r="45" spans="3:22" x14ac:dyDescent="0.25">
      <c r="M45" s="56" t="s">
        <v>60</v>
      </c>
      <c r="P45" s="3" t="s">
        <v>144</v>
      </c>
      <c r="Q45" s="63">
        <f>MIN(Nfs,Nfi)*(Ht-(tfs+tfi)/2)/1000</f>
        <v>372.6</v>
      </c>
      <c r="R45" t="s">
        <v>23</v>
      </c>
    </row>
    <row r="46" spans="3:22" x14ac:dyDescent="0.25">
      <c r="M46" s="50" t="s">
        <v>57</v>
      </c>
      <c r="N46" s="8" t="str">
        <f>IF(Nfi&gt;Nw+Nfs,oui,non)</f>
        <v>Non</v>
      </c>
    </row>
    <row r="48" spans="3:22" x14ac:dyDescent="0.25">
      <c r="C48" s="67" t="s">
        <v>74</v>
      </c>
      <c r="D48" s="67"/>
      <c r="E48" s="67"/>
      <c r="F48" s="67"/>
      <c r="G48" s="67"/>
    </row>
    <row r="50" spans="3:19" x14ac:dyDescent="0.25">
      <c r="C50" s="66" t="s">
        <v>75</v>
      </c>
      <c r="D50" s="3" t="s">
        <v>80</v>
      </c>
      <c r="E50" s="62">
        <f>IF(ClasseW=3,MelRd,MplRd)</f>
        <v>385.52818632100332</v>
      </c>
    </row>
    <row r="51" spans="3:19" x14ac:dyDescent="0.25">
      <c r="E51" s="4" t="s">
        <v>79</v>
      </c>
      <c r="G51" s="4" t="s">
        <v>140</v>
      </c>
      <c r="I51" s="4" t="s">
        <v>146</v>
      </c>
    </row>
    <row r="52" spans="3:19" x14ac:dyDescent="0.25">
      <c r="D52" s="2" t="s">
        <v>76</v>
      </c>
      <c r="E52" s="60">
        <f>ABS(MEd_U1/MRd)</f>
        <v>0.97269152634085954</v>
      </c>
      <c r="F52" s="2" t="s">
        <v>76</v>
      </c>
      <c r="G52" s="60">
        <f>ABS(MEd_U1/MRd)</f>
        <v>0.97269152634085954</v>
      </c>
      <c r="I52" s="59">
        <f>ABS(MEd_U1)/MplRd</f>
        <v>0.83134549388573098</v>
      </c>
      <c r="M52" s="52" t="s">
        <v>106</v>
      </c>
      <c r="N52" s="52"/>
      <c r="O52" s="52"/>
      <c r="P52" s="52"/>
      <c r="Q52" s="52"/>
      <c r="R52" s="52"/>
      <c r="S52" s="52"/>
    </row>
    <row r="53" spans="3:19" x14ac:dyDescent="0.25">
      <c r="D53" s="2" t="s">
        <v>77</v>
      </c>
      <c r="E53" s="60">
        <f>ABS(MEd_U2/MRd)</f>
        <v>0.68088406843860172</v>
      </c>
      <c r="F53" s="2" t="s">
        <v>77</v>
      </c>
      <c r="G53" s="60">
        <f>ABS(MEd_U2/MRd)</f>
        <v>0.68088406843860172</v>
      </c>
    </row>
    <row r="54" spans="3:19" x14ac:dyDescent="0.25">
      <c r="D54" s="2" t="s">
        <v>78</v>
      </c>
      <c r="E54" s="74">
        <f>MAX(E52:E53)</f>
        <v>0.97269152634085954</v>
      </c>
      <c r="F54" s="2" t="s">
        <v>78</v>
      </c>
      <c r="G54" s="74">
        <f>MAX(G52:G53)</f>
        <v>0.97269152634085954</v>
      </c>
      <c r="M54" s="3" t="s">
        <v>107</v>
      </c>
      <c r="N54" s="8">
        <f>Eta*hw*tw</f>
        <v>1680</v>
      </c>
      <c r="O54" t="s">
        <v>41</v>
      </c>
    </row>
    <row r="55" spans="3:19" x14ac:dyDescent="0.25">
      <c r="M55" s="3" t="s">
        <v>109</v>
      </c>
      <c r="N55" s="62">
        <f>(bfs^3*tfs+bfi^3*tfi+hw*tw^3)/12/10^4</f>
        <v>1125.2916666666665</v>
      </c>
      <c r="O55" t="s">
        <v>43</v>
      </c>
    </row>
    <row r="56" spans="3:19" x14ac:dyDescent="0.25">
      <c r="C56" s="66" t="s">
        <v>85</v>
      </c>
      <c r="D56" s="70" t="s">
        <v>86</v>
      </c>
      <c r="E56" s="61">
        <f>Eta*hw*tw*FyW/SQRT(3)/GammaM0/1000</f>
        <v>446.17628802974281</v>
      </c>
      <c r="F56" t="s">
        <v>13</v>
      </c>
      <c r="G56" t="s">
        <v>133</v>
      </c>
      <c r="M56" s="3" t="s">
        <v>111</v>
      </c>
      <c r="N56" s="6">
        <v>7850</v>
      </c>
      <c r="O56" t="s">
        <v>113</v>
      </c>
    </row>
    <row r="57" spans="3:19" x14ac:dyDescent="0.25">
      <c r="E57" s="71" t="s">
        <v>96</v>
      </c>
      <c r="M57" s="3" t="s">
        <v>110</v>
      </c>
      <c r="N57" s="62">
        <f>RhoA*A/(1000)^2</f>
        <v>58.09</v>
      </c>
      <c r="O57" t="s">
        <v>112</v>
      </c>
    </row>
    <row r="58" spans="3:19" x14ac:dyDescent="0.25">
      <c r="D58" s="2" t="s">
        <v>76</v>
      </c>
      <c r="E58" s="60">
        <f>VEd_U1/VRd</f>
        <v>0.67237997188232812</v>
      </c>
      <c r="M58" s="3" t="s">
        <v>26</v>
      </c>
      <c r="N58" s="73">
        <f>N57*(LL+La)</f>
        <v>668.03500000000008</v>
      </c>
      <c r="O58" t="s">
        <v>114</v>
      </c>
    </row>
    <row r="59" spans="3:19" x14ac:dyDescent="0.25">
      <c r="D59" s="2" t="s">
        <v>77</v>
      </c>
      <c r="E59" s="60">
        <f>VEd_U2/VRd</f>
        <v>0.47066598031762968</v>
      </c>
      <c r="M59" s="3"/>
    </row>
    <row r="60" spans="3:19" x14ac:dyDescent="0.25">
      <c r="D60" s="2" t="s">
        <v>78</v>
      </c>
      <c r="E60" s="74">
        <f>MAX(E58:E59)</f>
        <v>0.67237997188232812</v>
      </c>
      <c r="M60" s="3" t="s">
        <v>115</v>
      </c>
      <c r="N60" s="5">
        <f>N61*(LL+La)/1000</f>
        <v>14.145</v>
      </c>
      <c r="O60" t="s">
        <v>117</v>
      </c>
    </row>
    <row r="61" spans="3:19" x14ac:dyDescent="0.25">
      <c r="M61" s="3" t="s">
        <v>116</v>
      </c>
      <c r="N61" s="5">
        <f>2*Ht+2*bfs-tw+2*bfi-tw</f>
        <v>1230</v>
      </c>
      <c r="O61" t="s">
        <v>7</v>
      </c>
    </row>
    <row r="62" spans="3:19" x14ac:dyDescent="0.25">
      <c r="C62" s="66" t="s">
        <v>87</v>
      </c>
      <c r="M62" s="3" t="s">
        <v>118</v>
      </c>
      <c r="N62" s="5">
        <f>N60-(bfs/1000*(LL+La))</f>
        <v>12.42</v>
      </c>
      <c r="O62" t="s">
        <v>41</v>
      </c>
    </row>
    <row r="63" spans="3:19" x14ac:dyDescent="0.25">
      <c r="D63" s="3" t="s">
        <v>88</v>
      </c>
      <c r="E63" s="61">
        <f>hw/tw</f>
        <v>56</v>
      </c>
      <c r="M63" s="3"/>
      <c r="N63" s="4"/>
    </row>
    <row r="64" spans="3:19" x14ac:dyDescent="0.25">
      <c r="D64" s="3" t="s">
        <v>89</v>
      </c>
      <c r="E64" s="6">
        <v>1.2</v>
      </c>
      <c r="M64" s="3"/>
      <c r="N64" s="4"/>
    </row>
    <row r="65" spans="3:18" x14ac:dyDescent="0.25">
      <c r="D65" s="3" t="s">
        <v>90</v>
      </c>
      <c r="E65" s="61">
        <f>72*EpsilonW/Eta</f>
        <v>42.885084059409387</v>
      </c>
      <c r="M65" s="3"/>
      <c r="N65" s="4"/>
    </row>
    <row r="66" spans="3:18" x14ac:dyDescent="0.25">
      <c r="D66" s="50" t="s">
        <v>91</v>
      </c>
      <c r="E66" s="5" t="str">
        <f>IF(ElancementW&gt;E65,oui,non)</f>
        <v>Oui</v>
      </c>
      <c r="M66" s="3"/>
      <c r="N66" s="4"/>
    </row>
    <row r="67" spans="3:18" x14ac:dyDescent="0.25">
      <c r="M67" s="75" t="s">
        <v>119</v>
      </c>
      <c r="N67" s="76"/>
      <c r="O67" s="77"/>
      <c r="P67" s="77"/>
      <c r="Q67" s="77"/>
      <c r="R67" s="77"/>
    </row>
    <row r="68" spans="3:18" x14ac:dyDescent="0.25">
      <c r="D68" s="50" t="s">
        <v>92</v>
      </c>
      <c r="E68" s="6">
        <f>5.34</f>
        <v>5.34</v>
      </c>
      <c r="M68" s="3"/>
      <c r="N68" s="4"/>
    </row>
    <row r="69" spans="3:18" x14ac:dyDescent="0.25">
      <c r="D69" s="50" t="s">
        <v>93</v>
      </c>
      <c r="E69" s="72">
        <f>ElancementW/(37.4*EpsilonW*SQRT(kTau))</f>
        <v>0.90654795175087832</v>
      </c>
      <c r="M69" s="3" t="s">
        <v>135</v>
      </c>
      <c r="N69" s="62">
        <f>-qQ_1*La^2*LL^2/18/SQRT(3)/(E*InertieCM4/100)*1000^2</f>
        <v>-64.754221728950398</v>
      </c>
      <c r="O69" t="s">
        <v>7</v>
      </c>
    </row>
    <row r="70" spans="3:18" x14ac:dyDescent="0.25">
      <c r="D70" s="50" t="s">
        <v>94</v>
      </c>
      <c r="E70" s="53">
        <f>IF(LambdaW&lt;=0.83/Eta,Eta,0.83/LambdaW)</f>
        <v>0.91556105597830095</v>
      </c>
      <c r="M70" s="3" t="s">
        <v>136</v>
      </c>
      <c r="N70" s="62">
        <f>qQ_1*La^3/24/(E*InertieCM4/100)*1000^2*(4*LL+3*La)</f>
        <v>112.93647427550546</v>
      </c>
      <c r="O70" t="s">
        <v>7</v>
      </c>
    </row>
    <row r="71" spans="3:18" x14ac:dyDescent="0.25">
      <c r="D71" s="50" t="s">
        <v>95</v>
      </c>
      <c r="E71" s="54">
        <f>KhiW*hw*tw*FyW/SQRT(3)/GammaM1/1000</f>
        <v>340.41802785082496</v>
      </c>
      <c r="F71" t="s">
        <v>13</v>
      </c>
    </row>
    <row r="73" spans="3:18" x14ac:dyDescent="0.25">
      <c r="E73" s="71" t="s">
        <v>96</v>
      </c>
      <c r="G73" s="4" t="s">
        <v>145</v>
      </c>
    </row>
    <row r="74" spans="3:18" x14ac:dyDescent="0.25">
      <c r="D74" s="2" t="s">
        <v>76</v>
      </c>
      <c r="E74" s="60">
        <f>VEd_U1/VbRd</f>
        <v>0.88126942598781344</v>
      </c>
      <c r="G74" s="59">
        <f>IF(ABS(MEd_Q1)&gt;MfRd,ABS(MEd_U1)/MplRd+(1-MfRd/MplRd)*(2*E74-1)^2,0)</f>
        <v>0.93250602257403981</v>
      </c>
    </row>
    <row r="75" spans="3:18" x14ac:dyDescent="0.25">
      <c r="D75" s="2" t="s">
        <v>77</v>
      </c>
      <c r="E75" s="60">
        <f>VEd_U2/VbRd</f>
        <v>0.61688859819146946</v>
      </c>
      <c r="G75" s="4"/>
    </row>
    <row r="76" spans="3:18" x14ac:dyDescent="0.25">
      <c r="D76" s="2" t="s">
        <v>78</v>
      </c>
      <c r="E76" s="74">
        <f>MAX(E74:E75)</f>
        <v>0.88126942598781344</v>
      </c>
      <c r="G76" s="80">
        <f>G74</f>
        <v>0.93250602257403981</v>
      </c>
    </row>
    <row r="78" spans="3:18" x14ac:dyDescent="0.25">
      <c r="C78" s="66" t="s">
        <v>97</v>
      </c>
    </row>
    <row r="79" spans="3:18" x14ac:dyDescent="0.25">
      <c r="D79" s="70" t="s">
        <v>98</v>
      </c>
      <c r="E79" s="61">
        <f>(bfs*tfs*(ABS(zG)-tfs/2))/1000</f>
        <v>437.32702702702704</v>
      </c>
      <c r="F79" t="s">
        <v>83</v>
      </c>
    </row>
    <row r="80" spans="3:18" x14ac:dyDescent="0.25">
      <c r="C80" t="s">
        <v>99</v>
      </c>
    </row>
    <row r="81" spans="3:6" x14ac:dyDescent="0.25">
      <c r="D81" s="2" t="s">
        <v>100</v>
      </c>
      <c r="E81" s="62">
        <f>VEd_U1*(MStatS/InertieCM4)*100</f>
        <v>915.59161228733217</v>
      </c>
      <c r="F81" t="s">
        <v>12</v>
      </c>
    </row>
    <row r="82" spans="3:6" x14ac:dyDescent="0.25">
      <c r="D82" s="2" t="s">
        <v>101</v>
      </c>
      <c r="E82" s="62">
        <f>VEd_U2*(MStatS/InertieCM4)*100</f>
        <v>640.91412860113257</v>
      </c>
      <c r="F82" t="s">
        <v>12</v>
      </c>
    </row>
    <row r="83" spans="3:6" x14ac:dyDescent="0.25">
      <c r="D83" s="2" t="s">
        <v>105</v>
      </c>
      <c r="E83" s="6">
        <v>0.9</v>
      </c>
    </row>
    <row r="85" spans="3:6" x14ac:dyDescent="0.25">
      <c r="D85" s="2" t="s">
        <v>104</v>
      </c>
      <c r="E85" s="60">
        <f>E81/Fu*GammaM2*SQRT(3)/2*BetaW</f>
        <v>1.897960202551872</v>
      </c>
      <c r="F85" t="s">
        <v>7</v>
      </c>
    </row>
    <row r="86" spans="3:6" x14ac:dyDescent="0.25">
      <c r="D86" s="2" t="s">
        <v>104</v>
      </c>
      <c r="E86" s="60">
        <f>E82/Fu*GammaM2*SQRT(3)/2*BetaW</f>
        <v>1.3285721417863103</v>
      </c>
      <c r="F86" t="s">
        <v>7</v>
      </c>
    </row>
    <row r="89" spans="3:6" x14ac:dyDescent="0.25">
      <c r="C89" s="66" t="s">
        <v>123</v>
      </c>
    </row>
    <row r="90" spans="3:6" x14ac:dyDescent="0.25">
      <c r="D90" s="2" t="s">
        <v>124</v>
      </c>
      <c r="E90" s="5">
        <v>277.3</v>
      </c>
      <c r="F90" t="s">
        <v>23</v>
      </c>
    </row>
    <row r="91" spans="3:6" x14ac:dyDescent="0.25">
      <c r="D91" s="3" t="s">
        <v>125</v>
      </c>
      <c r="E91" s="59">
        <f>SQRT(MRd*GammaM0/Mcr)</f>
        <v>1.1791067696894353</v>
      </c>
    </row>
    <row r="92" spans="3:6" x14ac:dyDescent="0.25">
      <c r="D92" s="3" t="s">
        <v>127</v>
      </c>
      <c r="E92" s="6">
        <v>0.76</v>
      </c>
    </row>
    <row r="93" spans="3:6" x14ac:dyDescent="0.25">
      <c r="D93" s="3" t="s">
        <v>126</v>
      </c>
      <c r="E93" s="60">
        <f>0.5*(1+AlphaLT*(LambdaLT-0.2)+LambdaLT^2)</f>
        <v>1.5672069596457128</v>
      </c>
    </row>
    <row r="94" spans="3:6" x14ac:dyDescent="0.25">
      <c r="D94" s="3" t="s">
        <v>128</v>
      </c>
      <c r="E94" s="68">
        <f>1/(PhiLT+SQRT(PhiLT^2-LambdaLT^2))</f>
        <v>0.38467388519331625</v>
      </c>
    </row>
    <row r="95" spans="3:6" x14ac:dyDescent="0.25">
      <c r="D95" s="3" t="s">
        <v>129</v>
      </c>
      <c r="E95" s="62">
        <f>KhiLT*MRd*GammaM0/GammaM1</f>
        <v>148.30262528363306</v>
      </c>
      <c r="F95" t="s">
        <v>23</v>
      </c>
    </row>
    <row r="96" spans="3:6" x14ac:dyDescent="0.25">
      <c r="D96" s="3"/>
      <c r="E96" s="4"/>
    </row>
    <row r="97" spans="4:5" x14ac:dyDescent="0.25">
      <c r="D97" s="3" t="s">
        <v>130</v>
      </c>
      <c r="E97" s="74">
        <f>MEd_U1/E95</f>
        <v>-2.5286133625942337</v>
      </c>
    </row>
    <row r="98" spans="4:5" x14ac:dyDescent="0.25">
      <c r="D98" s="3"/>
      <c r="E98" s="4"/>
    </row>
    <row r="99" spans="4:5" x14ac:dyDescent="0.25">
      <c r="D99" s="3"/>
    </row>
  </sheetData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Param!$C$2:$C$3</xm:f>
          </x14:formula1>
          <xm:sqref>S32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C3"/>
  <sheetViews>
    <sheetView workbookViewId="0">
      <selection activeCell="C3" sqref="C3"/>
    </sheetView>
  </sheetViews>
  <sheetFormatPr baseColWidth="10" defaultRowHeight="15" x14ac:dyDescent="0.25"/>
  <sheetData>
    <row r="2" spans="3:3" x14ac:dyDescent="0.25">
      <c r="C2" s="57" t="s">
        <v>58</v>
      </c>
    </row>
    <row r="3" spans="3:3" x14ac:dyDescent="0.25">
      <c r="C3" s="5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69</vt:i4>
      </vt:variant>
    </vt:vector>
  </HeadingPairs>
  <TitlesOfParts>
    <vt:vector size="71" baseType="lpstr">
      <vt:lpstr>S04</vt:lpstr>
      <vt:lpstr>Param</vt:lpstr>
      <vt:lpstr>A</vt:lpstr>
      <vt:lpstr>Alpha</vt:lpstr>
      <vt:lpstr>AlphaLT</vt:lpstr>
      <vt:lpstr>BetaW</vt:lpstr>
      <vt:lpstr>bfi</vt:lpstr>
      <vt:lpstr>bfs</vt:lpstr>
      <vt:lpstr>cc</vt:lpstr>
      <vt:lpstr>ClasseW</vt:lpstr>
      <vt:lpstr>E</vt:lpstr>
      <vt:lpstr>Elan</vt:lpstr>
      <vt:lpstr>ElancementW</vt:lpstr>
      <vt:lpstr>EpsilonW</vt:lpstr>
      <vt:lpstr>Eta</vt:lpstr>
      <vt:lpstr>F_Q2</vt:lpstr>
      <vt:lpstr>Fu</vt:lpstr>
      <vt:lpstr>FyI</vt:lpstr>
      <vt:lpstr>FyS</vt:lpstr>
      <vt:lpstr>FyW</vt:lpstr>
      <vt:lpstr>g</vt:lpstr>
      <vt:lpstr>GammaG</vt:lpstr>
      <vt:lpstr>GammaM0</vt:lpstr>
      <vt:lpstr>GammaM1</vt:lpstr>
      <vt:lpstr>GammaM2</vt:lpstr>
      <vt:lpstr>GammaQ</vt:lpstr>
      <vt:lpstr>Ht</vt:lpstr>
      <vt:lpstr>hw</vt:lpstr>
      <vt:lpstr>InertieCM4</vt:lpstr>
      <vt:lpstr>KhiLT</vt:lpstr>
      <vt:lpstr>KhiW</vt:lpstr>
      <vt:lpstr>kTau</vt:lpstr>
      <vt:lpstr>La</vt:lpstr>
      <vt:lpstr>LambdaLT</vt:lpstr>
      <vt:lpstr>LambdaW</vt:lpstr>
      <vt:lpstr>LL</vt:lpstr>
      <vt:lpstr>Mcr</vt:lpstr>
      <vt:lpstr>MEd_Q1</vt:lpstr>
      <vt:lpstr>MEd_Q2</vt:lpstr>
      <vt:lpstr>MEd_U1</vt:lpstr>
      <vt:lpstr>MEd_U2</vt:lpstr>
      <vt:lpstr>MEdG</vt:lpstr>
      <vt:lpstr>MelRd</vt:lpstr>
      <vt:lpstr>MfRd</vt:lpstr>
      <vt:lpstr>MplRd</vt:lpstr>
      <vt:lpstr>MRd</vt:lpstr>
      <vt:lpstr>MStatS</vt:lpstr>
      <vt:lpstr>Nfi</vt:lpstr>
      <vt:lpstr>Nfs</vt:lpstr>
      <vt:lpstr>non</vt:lpstr>
      <vt:lpstr>Nw</vt:lpstr>
      <vt:lpstr>oui</vt:lpstr>
      <vt:lpstr>PhiLT</vt:lpstr>
      <vt:lpstr>Psi</vt:lpstr>
      <vt:lpstr>Psi_0</vt:lpstr>
      <vt:lpstr>pW</vt:lpstr>
      <vt:lpstr>qG</vt:lpstr>
      <vt:lpstr>qQ_1</vt:lpstr>
      <vt:lpstr>RhoA</vt:lpstr>
      <vt:lpstr>tfi</vt:lpstr>
      <vt:lpstr>tfs</vt:lpstr>
      <vt:lpstr>tw</vt:lpstr>
      <vt:lpstr>VbRd</vt:lpstr>
      <vt:lpstr>VEd_Q1</vt:lpstr>
      <vt:lpstr>VEd_Q2</vt:lpstr>
      <vt:lpstr>VEd_U1</vt:lpstr>
      <vt:lpstr>VEd_U2</vt:lpstr>
      <vt:lpstr>VEdG</vt:lpstr>
      <vt:lpstr>VRd</vt:lpstr>
      <vt:lpstr>zANP</vt:lpstr>
      <vt:lpstr>zG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Olivier MARTIN</dc:creator>
  <cp:lastModifiedBy>Pierre Olivier MARTIN</cp:lastModifiedBy>
  <dcterms:created xsi:type="dcterms:W3CDTF">2024-08-07T12:23:51Z</dcterms:created>
  <dcterms:modified xsi:type="dcterms:W3CDTF">2024-09-30T12:00:06Z</dcterms:modified>
</cp:coreProperties>
</file>