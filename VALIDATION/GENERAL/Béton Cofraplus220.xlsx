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ID 1\LOGICIELS\CTICM AM - POUTRE MIXTE\DEV23\VALIDATION\GENERAL\"/>
    </mc:Choice>
  </mc:AlternateContent>
  <xr:revisionPtr revIDLastSave="0" documentId="13_ncr:1_{4BD7B90B-351D-4709-A7CE-7AF6EE418DBE}" xr6:coauthVersionLast="47" xr6:coauthVersionMax="47" xr10:uidLastSave="{00000000-0000-0000-0000-000000000000}"/>
  <bookViews>
    <workbookView xWindow="-28920" yWindow="-120" windowWidth="29040" windowHeight="15720" xr2:uid="{27864B3C-827C-483D-BB33-25D3C4B2A1A4}"/>
  </bookViews>
  <sheets>
    <sheet name="Feuil1" sheetId="1" r:id="rId1"/>
  </sheets>
  <definedNames>
    <definedName name="Ac_plein">Feuil1!$D$26</definedName>
    <definedName name="b0">Feuil1!$D$12</definedName>
    <definedName name="bac_bbot">Feuil1!$D$9</definedName>
    <definedName name="bac_btop">Feuil1!$D$8</definedName>
    <definedName name="bac_e">Feuil1!$D$7</definedName>
    <definedName name="bac_hp">Feuil1!$D$10</definedName>
    <definedName name="bfs">Feuil1!$D$23</definedName>
    <definedName name="d">Feuil1!$D$16</definedName>
    <definedName name="e_220">Feuil1!$D$11</definedName>
    <definedName name="g">Feuil1!$D$20</definedName>
    <definedName name="LL">Feuil1!$D$22</definedName>
    <definedName name="RhoC">Feuil1!$D$19</definedName>
    <definedName name="tc">Feuil1!$D$17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31" i="1"/>
  <c r="D33" i="1"/>
  <c r="D32" i="1"/>
  <c r="D12" i="1"/>
  <c r="H26" i="1" s="1"/>
  <c r="H27" i="1" s="1"/>
  <c r="D26" i="1" a="1"/>
  <c r="D26" i="1" s="1"/>
  <c r="D29" i="1" s="1"/>
  <c r="D30" i="1" s="1"/>
  <c r="D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<sst xmlns="http://schemas.openxmlformats.org/spreadsheetml/2006/main" count="53" uniqueCount="39">
  <si>
    <t>Poids propre dalle CofraPlus220</t>
  </si>
  <si>
    <t>Bac</t>
  </si>
  <si>
    <t>e</t>
  </si>
  <si>
    <t>btop</t>
  </si>
  <si>
    <t>bbot</t>
  </si>
  <si>
    <t>hp</t>
  </si>
  <si>
    <t>mm</t>
  </si>
  <si>
    <t>Dalle</t>
  </si>
  <si>
    <t>d</t>
  </si>
  <si>
    <t>m</t>
  </si>
  <si>
    <t>tc</t>
  </si>
  <si>
    <t>Rhoc</t>
  </si>
  <si>
    <t>kg/m2</t>
  </si>
  <si>
    <t>g</t>
  </si>
  <si>
    <t>ms-22</t>
  </si>
  <si>
    <t>Aire dalle pleine</t>
  </si>
  <si>
    <t>Calculs</t>
  </si>
  <si>
    <t>m2</t>
  </si>
  <si>
    <t>Delta aire pour les nervures</t>
  </si>
  <si>
    <t>mm2/mm</t>
  </si>
  <si>
    <t>Volume de béton</t>
  </si>
  <si>
    <t>Longueur</t>
  </si>
  <si>
    <t>m3</t>
  </si>
  <si>
    <t>Masse béton</t>
  </si>
  <si>
    <t>kg</t>
  </si>
  <si>
    <t>kN/m</t>
  </si>
  <si>
    <t>décalage</t>
  </si>
  <si>
    <t>Largeur semelle</t>
  </si>
  <si>
    <t>bmoyen</t>
  </si>
  <si>
    <t>q</t>
  </si>
  <si>
    <t>Masse unitaire</t>
  </si>
  <si>
    <t>Charge répartie béton</t>
  </si>
  <si>
    <t>Charge répartie bac</t>
  </si>
  <si>
    <t>Charge répartie acier</t>
  </si>
  <si>
    <t>Profilé</t>
  </si>
  <si>
    <t>A</t>
  </si>
  <si>
    <t>RhoA</t>
  </si>
  <si>
    <t>kg/m3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</si>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</sst>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3" borderId="0" xfId="0" applyFont="1" applyFill="1"/>
    <xf numFmtId="0" fontId="1" fillId="3" borderId="0" xfId="0" applyFont="1" applyFill="1"/>
    <xf numFmtId="166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right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66" fontId="0" fillId="6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9145-844C-4EC5-A628-E543F3DD9A1C}">
  <dimension ref="C3:K35"/>
  <sheetViews>
    <sheetView tabSelected="1" workbookViewId="0">
      <selection activeCell="H18" sqref="H14:V18"/>
    </sheetView>
  </sheetViews>
  <sheetFormatPr baseColWidth="10" defaultRowHeight="15" x14ac:dyDescent="0.25"/>
  <sheetData>
    <row r="3" spans="3:11" x14ac:dyDescent="0.25">
      <c r="C3" t="s">
        <v>0</v>
      </c>
    </row>
    <row r="6" spans="3:11" x14ac:dyDescent="0.25">
      <c r="C6" s="5" t="s">
        <v>1</v>
      </c>
      <c r="D6" s="4"/>
      <c r="E6" s="4"/>
      <c r="I6" s="5" t="s">
        <v>34</v>
      </c>
      <c r="J6" s="4"/>
      <c r="K6" s="4"/>
    </row>
    <row r="7" spans="3:11" x14ac:dyDescent="0.25">
      <c r="C7" s="1" t="s">
        <v>2</v>
      </c>
      <c r="D7" s="3">
        <v>750</v>
      </c>
      <c r="E7" t="s">
        <v>6</v>
      </c>
      <c r="I7" s="1" t="s">
        <v>35</v>
      </c>
      <c r="J7" s="3">
        <v>5381</v>
      </c>
      <c r="K7" t="s">
        <v>6</v>
      </c>
    </row>
    <row r="8" spans="3:11" x14ac:dyDescent="0.25">
      <c r="C8" s="1" t="s">
        <v>3</v>
      </c>
      <c r="D8" s="3">
        <v>165</v>
      </c>
      <c r="E8" t="s">
        <v>6</v>
      </c>
      <c r="I8" s="1" t="s">
        <v>36</v>
      </c>
      <c r="J8" s="3">
        <v>7850</v>
      </c>
      <c r="K8" t="s">
        <v>37</v>
      </c>
    </row>
    <row r="9" spans="3:11" x14ac:dyDescent="0.25">
      <c r="C9" s="1" t="s">
        <v>4</v>
      </c>
      <c r="D9" s="3">
        <v>85</v>
      </c>
      <c r="E9" t="s">
        <v>6</v>
      </c>
    </row>
    <row r="10" spans="3:11" x14ac:dyDescent="0.25">
      <c r="C10" s="1" t="s">
        <v>5</v>
      </c>
      <c r="D10" s="3">
        <v>220</v>
      </c>
      <c r="E10" t="s">
        <v>6</v>
      </c>
    </row>
    <row r="11" spans="3:11" x14ac:dyDescent="0.25">
      <c r="C11" s="1" t="s">
        <v>26</v>
      </c>
      <c r="D11" s="3">
        <v>20</v>
      </c>
      <c r="E11" t="s">
        <v>6</v>
      </c>
    </row>
    <row r="12" spans="3:11" x14ac:dyDescent="0.25">
      <c r="C12" s="1" t="s">
        <v>28</v>
      </c>
      <c r="D12" s="11">
        <f>AVERAGE(bac_btop,bac_bbot)</f>
        <v>125</v>
      </c>
      <c r="E12" t="s">
        <v>6</v>
      </c>
    </row>
    <row r="13" spans="3:11" x14ac:dyDescent="0.25">
      <c r="C13" s="1" t="s">
        <v>30</v>
      </c>
      <c r="D13" s="3">
        <v>16.7</v>
      </c>
      <c r="E13" t="s">
        <v>12</v>
      </c>
    </row>
    <row r="14" spans="3:11" x14ac:dyDescent="0.25">
      <c r="C14" s="1"/>
      <c r="D14" s="1"/>
    </row>
    <row r="15" spans="3:11" x14ac:dyDescent="0.25">
      <c r="C15" s="5" t="s">
        <v>7</v>
      </c>
      <c r="D15" s="4"/>
      <c r="E15" s="4"/>
    </row>
    <row r="16" spans="3:11" x14ac:dyDescent="0.25">
      <c r="C16" s="1" t="s">
        <v>8</v>
      </c>
      <c r="D16" s="3">
        <v>2</v>
      </c>
      <c r="E16" t="s">
        <v>9</v>
      </c>
    </row>
    <row r="17" spans="3:9" x14ac:dyDescent="0.25">
      <c r="C17" s="1" t="s">
        <v>10</v>
      </c>
      <c r="D17" s="3">
        <v>120</v>
      </c>
      <c r="E17" t="s">
        <v>6</v>
      </c>
    </row>
    <row r="18" spans="3:9" x14ac:dyDescent="0.25">
      <c r="C18" s="1"/>
      <c r="D18" s="2"/>
    </row>
    <row r="19" spans="3:9" x14ac:dyDescent="0.25">
      <c r="C19" s="1" t="s">
        <v>11</v>
      </c>
      <c r="D19" s="3">
        <v>2500</v>
      </c>
      <c r="E19" t="s">
        <v>12</v>
      </c>
    </row>
    <row r="20" spans="3:9" x14ac:dyDescent="0.25">
      <c r="C20" s="1" t="s">
        <v>13</v>
      </c>
      <c r="D20" s="3">
        <v>9.81</v>
      </c>
      <c r="E20" t="s">
        <v>14</v>
      </c>
    </row>
    <row r="21" spans="3:9" x14ac:dyDescent="0.25">
      <c r="C21" s="1"/>
      <c r="D21" s="2"/>
    </row>
    <row r="22" spans="3:9" x14ac:dyDescent="0.25">
      <c r="C22" s="7" t="s">
        <v>21</v>
      </c>
      <c r="D22" s="3">
        <v>6</v>
      </c>
      <c r="E22" t="s">
        <v>9</v>
      </c>
    </row>
    <row r="23" spans="3:9" x14ac:dyDescent="0.25">
      <c r="C23" s="7" t="s">
        <v>27</v>
      </c>
      <c r="D23" s="3">
        <v>150</v>
      </c>
      <c r="E23" t="s">
        <v>6</v>
      </c>
    </row>
    <row r="24" spans="3:9" x14ac:dyDescent="0.25">
      <c r="C24" s="1"/>
      <c r="D24" s="2"/>
    </row>
    <row r="25" spans="3:9" x14ac:dyDescent="0.25">
      <c r="C25" s="5" t="s">
        <v>16</v>
      </c>
      <c r="D25" s="4"/>
      <c r="E25" s="4"/>
    </row>
    <row r="26" spans="3:9" x14ac:dyDescent="0.25">
      <c r="C26" s="1" t="s">
        <v>15</v>
      </c>
      <c r="D26" s="8" cm="1">
        <f t="array" ref="D26">d*tc/1000+e_220*bfs/1000^2</f>
        <v>0.24299999999999999</v>
      </c>
      <c r="E26" t="s">
        <v>17</v>
      </c>
      <c r="H26" s="6">
        <f>tc*d/1000+bfs*e_220/1000^2+(bac_hp*b0)*(d*1000-bfs)/bac_e/1000^2</f>
        <v>0.31083333333333329</v>
      </c>
      <c r="I26" t="s">
        <v>17</v>
      </c>
    </row>
    <row r="27" spans="3:9" x14ac:dyDescent="0.25">
      <c r="C27" s="1" t="s">
        <v>18</v>
      </c>
      <c r="D27" s="9">
        <f>AVERAGE(bac_btop,bac_bbot)*bac_hp/bac_e</f>
        <v>36.666666666666664</v>
      </c>
      <c r="E27" t="s">
        <v>19</v>
      </c>
      <c r="G27" s="12" t="s">
        <v>29</v>
      </c>
      <c r="H27" s="6">
        <f>H26*RhoC*g/1000</f>
        <v>7.6231875000000002</v>
      </c>
      <c r="I27" t="s">
        <v>25</v>
      </c>
    </row>
    <row r="28" spans="3:9" x14ac:dyDescent="0.25">
      <c r="C28" s="1"/>
      <c r="D28" s="2"/>
    </row>
    <row r="29" spans="3:9" x14ac:dyDescent="0.25">
      <c r="C29" s="1" t="s">
        <v>20</v>
      </c>
      <c r="D29" s="8">
        <f>Ac_plein*LL+D27*LL/1000</f>
        <v>1.6779999999999999</v>
      </c>
      <c r="E29" t="s">
        <v>22</v>
      </c>
    </row>
    <row r="30" spans="3:9" x14ac:dyDescent="0.25">
      <c r="C30" s="1" t="s">
        <v>23</v>
      </c>
      <c r="D30" s="8">
        <f>D29*RhoC</f>
        <v>4195</v>
      </c>
      <c r="E30" t="s">
        <v>24</v>
      </c>
    </row>
    <row r="31" spans="3:9" x14ac:dyDescent="0.25">
      <c r="C31" s="7" t="s">
        <v>31</v>
      </c>
      <c r="D31" s="10">
        <f>H27</f>
        <v>7.6231875000000002</v>
      </c>
      <c r="E31" t="s">
        <v>25</v>
      </c>
    </row>
    <row r="32" spans="3:9" x14ac:dyDescent="0.25">
      <c r="C32" s="7" t="s">
        <v>32</v>
      </c>
      <c r="D32" s="10">
        <f>D13*g/1000*d</f>
        <v>0.327654</v>
      </c>
      <c r="E32" t="s">
        <v>25</v>
      </c>
    </row>
    <row r="33" spans="3:5" x14ac:dyDescent="0.25">
      <c r="C33" s="7" t="s">
        <v>33</v>
      </c>
      <c r="D33" s="10">
        <f>J7*J8/1000^2*g/1000</f>
        <v>0.41438273850000001</v>
      </c>
      <c r="E33" t="s">
        <v>25</v>
      </c>
    </row>
    <row r="35" spans="3:5" x14ac:dyDescent="0.25">
      <c r="C35" s="7" t="s">
        <v>38</v>
      </c>
      <c r="D35" s="13">
        <f>SUM(D31:D33)</f>
        <v>8.3652242384999997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13</vt:i4>
      </vt:variant>
    </vt:vector>
  </HeadingPairs>
  <TitlesOfParts>
    <vt:vector size="14" baseType="lpstr">
      <vt:lpstr>Feuil1</vt:lpstr>
      <vt:lpstr>Ac_plein</vt:lpstr>
      <vt:lpstr>b0</vt:lpstr>
      <vt:lpstr>bac_bbot</vt:lpstr>
      <vt:lpstr>bac_btop</vt:lpstr>
      <vt:lpstr>bac_e</vt:lpstr>
      <vt:lpstr>bac_hp</vt:lpstr>
      <vt:lpstr>bfs</vt:lpstr>
      <vt:lpstr>d</vt:lpstr>
      <vt:lpstr>e_220</vt:lpstr>
      <vt:lpstr>g</vt:lpstr>
      <vt:lpstr>LL</vt:lpstr>
      <vt:lpstr>RhoC</vt:lpstr>
      <vt:lpstr>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2025-10-30T16:30:05Z</dcterms:created>
  <dcterms:modified xsi:type="dcterms:W3CDTF">2025-10-31T12:11:09Z</dcterms:modified>
</cp:coreProperties>
</file>