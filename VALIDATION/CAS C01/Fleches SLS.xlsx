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AID 1\LOGICIELS\CTICM AM - POUTRE MIXTE\DEV23\VALIDATION\CAS C01\"/>
    </mc:Choice>
  </mc:AlternateContent>
  <xr:revisionPtr revIDLastSave="0" documentId="13_ncr:1_{09C21C6F-B526-4F28-814D-68ABAED7B6CE}" xr6:coauthVersionLast="47" xr6:coauthVersionMax="47" xr10:uidLastSave="{00000000-0000-0000-0000-000000000000}"/>
  <bookViews>
    <workbookView xWindow="-120" yWindow="-120" windowWidth="38640" windowHeight="21120" xr2:uid="{E22D4933-3BC1-4128-9A0F-93FB42CDA602}"/>
  </bookViews>
  <sheets>
    <sheet name="Feuil1" sheetId="1" r:id="rId1"/>
  </sheets>
  <definedNames>
    <definedName name="d">Feuil1!$E$10</definedName>
    <definedName name="E">Feuil1!$E$9</definedName>
    <definedName name="fCT">Feuil1!$E$19</definedName>
    <definedName name="fLT">Feuil1!$E$20</definedName>
    <definedName name="IyCT">Feuil1!$F$6</definedName>
    <definedName name="IyLT">Feuil1!$F$7</definedName>
    <definedName name="LL">Feuil1!$E$13</definedName>
    <definedName name="Psi_2">Feuil1!$E$16</definedName>
    <definedName name="Q">Feuil1!$E$11</definedName>
    <definedName name="qlin">Feuil1!$E$12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E20" i="1"/>
  <c r="H20" i="1" s="1"/>
  <c r="E19" i="1"/>
  <c r="E12" i="1"/>
  <c r="E21" i="1" l="1"/>
</calcChain>
</file>

<file path=xl/sharedStrings.xml><?xml version="1.0" encoding="utf-8"?>
<sst xmlns="http://schemas.openxmlformats.org/spreadsheetml/2006/main" count="22" uniqueCount="19">
  <si>
    <t>Court terme</t>
  </si>
  <si>
    <t>Long terme</t>
  </si>
  <si>
    <t>n</t>
  </si>
  <si>
    <t>I</t>
  </si>
  <si>
    <t>d</t>
  </si>
  <si>
    <t>Q</t>
  </si>
  <si>
    <t>qk</t>
  </si>
  <si>
    <t>L</t>
  </si>
  <si>
    <t>m</t>
  </si>
  <si>
    <t>kN/m2</t>
  </si>
  <si>
    <t>kN/m</t>
  </si>
  <si>
    <t>E</t>
  </si>
  <si>
    <t>MPa</t>
  </si>
  <si>
    <t>Psi2</t>
  </si>
  <si>
    <t>Flèches</t>
  </si>
  <si>
    <t>CT</t>
  </si>
  <si>
    <t>LT</t>
  </si>
  <si>
    <t>Q1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</si>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</sst>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/>
    <xf numFmtId="0" fontId="0" fillId="0" borderId="0" xfId="0" applyFill="1" applyBorder="1" applyAlignment="1">
      <alignment horizontal="right" vertical="center"/>
    </xf>
    <xf numFmtId="2" fontId="1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790BB-2B44-4FE1-8EE2-45244885AA07}">
  <dimension ref="D5:H21"/>
  <sheetViews>
    <sheetView tabSelected="1" zoomScale="120" zoomScaleNormal="120" workbookViewId="0">
      <selection activeCell="E21" sqref="E21"/>
    </sheetView>
  </sheetViews>
  <sheetFormatPr baseColWidth="10" defaultRowHeight="15" x14ac:dyDescent="0.25"/>
  <sheetData>
    <row r="5" spans="4:6" x14ac:dyDescent="0.25">
      <c r="E5" s="1" t="s">
        <v>2</v>
      </c>
      <c r="F5" s="1" t="s">
        <v>3</v>
      </c>
    </row>
    <row r="6" spans="4:6" x14ac:dyDescent="0.25">
      <c r="D6" t="s">
        <v>0</v>
      </c>
      <c r="E6" s="1">
        <v>6.67</v>
      </c>
      <c r="F6" s="1">
        <v>106571</v>
      </c>
    </row>
    <row r="7" spans="4:6" x14ac:dyDescent="0.25">
      <c r="D7" t="s">
        <v>1</v>
      </c>
      <c r="E7" s="1">
        <v>26.5</v>
      </c>
      <c r="F7" s="1">
        <v>74467</v>
      </c>
    </row>
    <row r="9" spans="4:6" x14ac:dyDescent="0.25">
      <c r="D9" s="2" t="s">
        <v>11</v>
      </c>
      <c r="E9" s="4">
        <v>210000</v>
      </c>
      <c r="F9" t="s">
        <v>12</v>
      </c>
    </row>
    <row r="10" spans="4:6" x14ac:dyDescent="0.25">
      <c r="D10" s="3" t="s">
        <v>4</v>
      </c>
      <c r="E10" s="4">
        <v>3</v>
      </c>
      <c r="F10" t="s">
        <v>8</v>
      </c>
    </row>
    <row r="11" spans="4:6" x14ac:dyDescent="0.25">
      <c r="D11" s="3" t="s">
        <v>5</v>
      </c>
      <c r="E11" s="4">
        <v>2.5</v>
      </c>
      <c r="F11" t="s">
        <v>9</v>
      </c>
    </row>
    <row r="12" spans="4:6" x14ac:dyDescent="0.25">
      <c r="D12" s="3" t="s">
        <v>6</v>
      </c>
      <c r="E12" s="5">
        <f>Q*d</f>
        <v>7.5</v>
      </c>
      <c r="F12" t="s">
        <v>10</v>
      </c>
    </row>
    <row r="13" spans="4:6" x14ac:dyDescent="0.25">
      <c r="D13" s="3" t="s">
        <v>7</v>
      </c>
      <c r="E13" s="4">
        <v>14</v>
      </c>
      <c r="F13" t="s">
        <v>8</v>
      </c>
    </row>
    <row r="16" spans="4:6" x14ac:dyDescent="0.25">
      <c r="D16" s="7" t="s">
        <v>13</v>
      </c>
      <c r="E16" s="6">
        <v>0.3</v>
      </c>
    </row>
    <row r="18" spans="4:8" x14ac:dyDescent="0.25">
      <c r="D18" t="s">
        <v>14</v>
      </c>
    </row>
    <row r="19" spans="4:8" x14ac:dyDescent="0.25">
      <c r="D19" s="3" t="s">
        <v>15</v>
      </c>
      <c r="E19" s="8">
        <f>5/384*qlin*LL^4/(E*IyCT/100)*1000^2</f>
        <v>16.763081263508209</v>
      </c>
      <c r="F19" t="s">
        <v>18</v>
      </c>
    </row>
    <row r="20" spans="4:8" x14ac:dyDescent="0.25">
      <c r="D20" s="3" t="s">
        <v>16</v>
      </c>
      <c r="E20" s="8">
        <f>5/384*qlin*LL^4/(E*IyLT/100)*1000^2</f>
        <v>23.98993290092703</v>
      </c>
      <c r="F20" t="s">
        <v>18</v>
      </c>
      <c r="G20">
        <v>24.1</v>
      </c>
      <c r="H20">
        <f>(G20-fLT)/fLT</f>
        <v>4.5880536443150205E-3</v>
      </c>
    </row>
    <row r="21" spans="4:8" x14ac:dyDescent="0.25">
      <c r="D21" s="3" t="s">
        <v>17</v>
      </c>
      <c r="E21" s="8">
        <f>fLT*Psi_2+(1-Psi_2)*fCT</f>
        <v>18.931136754733853</v>
      </c>
      <c r="F21" t="s">
        <v>18</v>
      </c>
      <c r="G21">
        <v>19</v>
      </c>
      <c r="H21">
        <f>(G21-E21)/E21</f>
        <v>3.6375652533875225E-3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10</vt:i4>
      </vt:variant>
    </vt:vector>
  </HeadingPairs>
  <TitlesOfParts>
    <vt:vector size="11" baseType="lpstr">
      <vt:lpstr>Feuil1</vt:lpstr>
      <vt:lpstr>d</vt:lpstr>
      <vt:lpstr>E</vt:lpstr>
      <vt:lpstr>fCT</vt:lpstr>
      <vt:lpstr>fLT</vt:lpstr>
      <vt:lpstr>IyCT</vt:lpstr>
      <vt:lpstr>IyLT</vt:lpstr>
      <vt:lpstr>LL</vt:lpstr>
      <vt:lpstr>Psi_2</vt:lpstr>
      <vt:lpstr>Q</vt:lpstr>
      <vt:lpstr>qlin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Olivier MARTIN</dc:creator>
  <cp:lastModifiedBy>Pierre Olivier MARTIN</cp:lastModifiedBy>
  <dcterms:created xsi:type="dcterms:W3CDTF">2025-09-11T13:39:28Z</dcterms:created>
  <dcterms:modified xsi:type="dcterms:W3CDTF">2025-09-11T15:59:35Z</dcterms:modified>
</cp:coreProperties>
</file>