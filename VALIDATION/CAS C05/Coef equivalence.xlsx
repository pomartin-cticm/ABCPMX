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RAID 1\LOGICIELS\CTICM AM - POUTRE MIXTE\DEV 23\VALIDATION\CAS C05\"/>
    </mc:Choice>
  </mc:AlternateContent>
  <xr:revisionPtr revIDLastSave="0" documentId="13_ncr:1_{9D3E2373-6DA9-48D2-A27B-FB2F2FD3F7C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Terme2" sheetId="5" r:id="rId1"/>
    <sheet name="Retrait" sheetId="3" r:id="rId2"/>
    <sheet name="LTerme" sheetId="4" r:id="rId3"/>
    <sheet name="Feuil1" sheetId="1" r:id="rId4"/>
    <sheet name="Feuil2" sheetId="2" r:id="rId5"/>
  </sheets>
  <definedNames>
    <definedName name="Aa" localSheetId="2">LTerme!$L$7</definedName>
    <definedName name="Aa" localSheetId="0">LTerme2!$L$7</definedName>
    <definedName name="Aa" localSheetId="1">Retrait!$L$7</definedName>
    <definedName name="Aa">Feuil1!$L$7</definedName>
    <definedName name="Ac" localSheetId="2">LTerme!$H$14</definedName>
    <definedName name="Ac" localSheetId="0">LTerme2!$H$14</definedName>
    <definedName name="Ac" localSheetId="1">Retrait!$H$14</definedName>
    <definedName name="Ac">Feuil1!$H$14</definedName>
    <definedName name="Ah" localSheetId="2">LTerme!$L$8</definedName>
    <definedName name="Ah" localSheetId="0">LTerme2!$L$8</definedName>
    <definedName name="Ah" localSheetId="1">Retrait!$L$8</definedName>
    <definedName name="Ah">Feuil1!$L$8</definedName>
    <definedName name="BetaC" localSheetId="2">LTerme!$H$13</definedName>
    <definedName name="BetaC" localSheetId="0">LTerme2!$H$13</definedName>
    <definedName name="BetaC" localSheetId="1">Retrait!$H$13</definedName>
    <definedName name="BetaC">Feuil1!$H$13</definedName>
    <definedName name="Betafcm" localSheetId="2">LTerme!$H$19</definedName>
    <definedName name="Betafcm" localSheetId="0">LTerme2!$H$19</definedName>
    <definedName name="Betafcm" localSheetId="1">Retrait!$H$19</definedName>
    <definedName name="Betafcm">Feuil1!$H$19</definedName>
    <definedName name="BetaH" localSheetId="2">LTerme!$H$23</definedName>
    <definedName name="BetaH" localSheetId="0">LTerme2!$H$23</definedName>
    <definedName name="BetaH" localSheetId="1">Retrait!$H$23</definedName>
    <definedName name="BetaH">Feuil1!$H$23</definedName>
    <definedName name="BetaT0" localSheetId="2">LTerme!$H$22</definedName>
    <definedName name="BetaT0" localSheetId="0">LTerme2!$H$22</definedName>
    <definedName name="BetaT0" localSheetId="1">Retrait!$H$22</definedName>
    <definedName name="BetaT0">Feuil1!$H$22</definedName>
    <definedName name="bf" localSheetId="2">LTerme!$D$6</definedName>
    <definedName name="bf" localSheetId="0">LTerme2!$D$6</definedName>
    <definedName name="bf" localSheetId="1">Retrait!$D$6</definedName>
    <definedName name="bf">Feuil1!$D$6</definedName>
    <definedName name="bm" localSheetId="0">LTerme2!$D$28</definedName>
    <definedName name="bm">Retrait!$D$28</definedName>
    <definedName name="dsh" localSheetId="2">LTerme!$L$19</definedName>
    <definedName name="dsh" localSheetId="0">LTerme2!$L$19</definedName>
    <definedName name="dsh" localSheetId="1">Retrait!$L$19</definedName>
    <definedName name="dsh">Feuil1!$L$19</definedName>
    <definedName name="Ea" localSheetId="2">LTerme!$D$13</definedName>
    <definedName name="Ea" localSheetId="0">LTerme2!$D$13</definedName>
    <definedName name="Ea" localSheetId="1">Retrait!$D$13</definedName>
    <definedName name="Ea">Feuil1!$D$13</definedName>
    <definedName name="eBac" localSheetId="0">LTerme2!$D$29</definedName>
    <definedName name="eBac">Retrait!$D$29</definedName>
    <definedName name="Ecm" localSheetId="2">LTerme!$D$18</definedName>
    <definedName name="Ecm" localSheetId="0">LTerme2!$D$18</definedName>
    <definedName name="Ecm" localSheetId="1">Retrait!$D$18</definedName>
    <definedName name="Ecm">Feuil1!$D$18</definedName>
    <definedName name="EpsilonSh" localSheetId="2">LTerme!$L$17</definedName>
    <definedName name="EpsilonSh" localSheetId="0">LTerme2!$L$17</definedName>
    <definedName name="EpsilonSh" localSheetId="1">Retrait!$L$17</definedName>
    <definedName name="EpsilonSh">Feuil1!$L$17</definedName>
    <definedName name="fck" localSheetId="2">LTerme!$D$19</definedName>
    <definedName name="fck" localSheetId="0">LTerme2!$D$19</definedName>
    <definedName name="fck" localSheetId="1">Retrait!$D$19</definedName>
    <definedName name="fck">Feuil1!$D$19</definedName>
    <definedName name="fcm" localSheetId="2">LTerme!$D$20</definedName>
    <definedName name="fcm" localSheetId="0">LTerme2!$D$20</definedName>
    <definedName name="fcm" localSheetId="1">Retrait!$D$20</definedName>
    <definedName name="fcm">Feuil1!$D$20</definedName>
    <definedName name="fy" localSheetId="2">LTerme!$D$14</definedName>
    <definedName name="fy" localSheetId="0">LTerme2!$D$14</definedName>
    <definedName name="fy" localSheetId="1">Retrait!$D$14</definedName>
    <definedName name="fy">Feuil1!$D$14</definedName>
    <definedName name="h0" localSheetId="2">LTerme!$H$16</definedName>
    <definedName name="h0" localSheetId="0">LTerme2!$H$16</definedName>
    <definedName name="h0" localSheetId="1">Retrait!$H$16</definedName>
    <definedName name="h0">Feuil1!$H$16</definedName>
    <definedName name="ha" localSheetId="2">LTerme!$D$5</definedName>
    <definedName name="ha" localSheetId="0">LTerme2!$D$5</definedName>
    <definedName name="ha" localSheetId="1">Retrait!$D$5</definedName>
    <definedName name="ha">Feuil1!$D$5</definedName>
    <definedName name="Ia" localSheetId="2">LTerme!$L$10</definedName>
    <definedName name="Ia" localSheetId="0">LTerme2!$L$10</definedName>
    <definedName name="Ia" localSheetId="1">Retrait!$L$10</definedName>
    <definedName name="Ia">Feuil1!$L$10</definedName>
    <definedName name="Ih" localSheetId="2">LTerme!$L$11</definedName>
    <definedName name="Ih" localSheetId="0">LTerme2!$L$11</definedName>
    <definedName name="Ih" localSheetId="1">Retrait!$L$11</definedName>
    <definedName name="Ih">Feuil1!$L$11</definedName>
    <definedName name="Ldalle" localSheetId="2">LTerme!$D$26</definedName>
    <definedName name="Ldalle" localSheetId="0">LTerme2!$D$26</definedName>
    <definedName name="Ldalle" localSheetId="1">Retrait!$D$26</definedName>
    <definedName name="Ldalle">Feuil1!$D$26</definedName>
    <definedName name="Msh" localSheetId="2">LTerme!$L$20</definedName>
    <definedName name="Msh" localSheetId="0">LTerme2!$L$20</definedName>
    <definedName name="Msh" localSheetId="1">Retrait!$L$20</definedName>
    <definedName name="Msh">Feuil1!$L$20</definedName>
    <definedName name="n0" localSheetId="2">LTerme!$H$5</definedName>
    <definedName name="n0" localSheetId="0">LTerme2!$H$5</definedName>
    <definedName name="n0" localSheetId="1">Retrait!$H$5</definedName>
    <definedName name="n0">Feuil1!$H$5</definedName>
    <definedName name="NaxialSh" localSheetId="2">LTerme!$L$18</definedName>
    <definedName name="NaxialSh" localSheetId="0">LTerme2!$L$18</definedName>
    <definedName name="NaxialSh" localSheetId="1">Retrait!$L$18</definedName>
    <definedName name="NaxialSh">Feuil1!$L$18</definedName>
    <definedName name="nCalcul" localSheetId="2">LTerme!$L$6</definedName>
    <definedName name="nCalcul" localSheetId="0">LTerme2!$L$6</definedName>
    <definedName name="nCalcul" localSheetId="1">Retrait!$L$6</definedName>
    <definedName name="nCalcul">Feuil1!$L$6</definedName>
    <definedName name="nsh" localSheetId="2">LTerme!$H$8</definedName>
    <definedName name="nsh" localSheetId="0">LTerme2!$H$8</definedName>
    <definedName name="nsh" localSheetId="1">Retrait!$H$8</definedName>
    <definedName name="nsh">Feuil1!$H$8</definedName>
    <definedName name="Phi0" localSheetId="2">LTerme!$H$12</definedName>
    <definedName name="Phi0" localSheetId="0">LTerme2!$H$12</definedName>
    <definedName name="Phi0" localSheetId="1">Retrait!$H$12</definedName>
    <definedName name="Phi0">Feuil1!$H$12</definedName>
    <definedName name="PhiRH" localSheetId="2">LTerme!$H$18</definedName>
    <definedName name="PhiRH" localSheetId="0">LTerme2!$H$18</definedName>
    <definedName name="PhiRH" localSheetId="1">Retrait!$H$18</definedName>
    <definedName name="PhiRH">Feuil1!$H$18</definedName>
    <definedName name="PhiT" localSheetId="2">LTerme!$H$7</definedName>
    <definedName name="PhiT" localSheetId="0">LTerme2!$H$7</definedName>
    <definedName name="PhiT" localSheetId="1">Retrait!$H$7</definedName>
    <definedName name="PhiT">Feuil1!$H$7</definedName>
    <definedName name="Portee" localSheetId="2">LTerme!$L$21</definedName>
    <definedName name="Portee" localSheetId="0">LTerme2!$L$21</definedName>
    <definedName name="Portee" localSheetId="1">Retrait!$L$21</definedName>
    <definedName name="Portee">Feuil1!$L$21</definedName>
    <definedName name="PsiSh" localSheetId="2">LTerme!$H$6</definedName>
    <definedName name="PsiSh" localSheetId="0">LTerme2!$H$6</definedName>
    <definedName name="PsiSh" localSheetId="1">Retrait!$H$6</definedName>
    <definedName name="PsiSh">Feuil1!$H$6</definedName>
    <definedName name="rcc" localSheetId="2">LTerme!$D$9</definedName>
    <definedName name="rcc" localSheetId="0">LTerme2!$D$9</definedName>
    <definedName name="rcc" localSheetId="1">Retrait!$D$9</definedName>
    <definedName name="rcc">Feuil1!$D$9</definedName>
    <definedName name="RH" localSheetId="2">LTerme!$H$17</definedName>
    <definedName name="RH" localSheetId="0">LTerme2!$H$17</definedName>
    <definedName name="RH" localSheetId="1">Retrait!$H$17</definedName>
    <definedName name="RH">Feuil1!$H$17</definedName>
    <definedName name="t" localSheetId="2">LTerme!$H$21</definedName>
    <definedName name="t" localSheetId="0">LTerme2!$H$21</definedName>
    <definedName name="t" localSheetId="1">Retrait!$H$21</definedName>
    <definedName name="t">Feuil1!$H$21</definedName>
    <definedName name="t0" localSheetId="2">LTerme!$H$20</definedName>
    <definedName name="t0" localSheetId="0">LTerme2!$H$20</definedName>
    <definedName name="t0" localSheetId="1">Retrait!$H$20</definedName>
    <definedName name="t0">Feuil1!$H$20</definedName>
    <definedName name="tbac" localSheetId="2">LTerme!$D$24</definedName>
    <definedName name="tbac" localSheetId="0">LTerme2!$D$24</definedName>
    <definedName name="tbac" localSheetId="1">Retrait!$D$24</definedName>
    <definedName name="tbac">Feuil1!$D$24</definedName>
    <definedName name="tc" localSheetId="2">LTerme!$D$25</definedName>
    <definedName name="tc" localSheetId="0">LTerme2!$D$25</definedName>
    <definedName name="tc" localSheetId="1">Retrait!$D$25</definedName>
    <definedName name="tc">Feuil1!$D$25</definedName>
    <definedName name="td" localSheetId="2">LTerme!$D$23</definedName>
    <definedName name="td" localSheetId="0">LTerme2!$D$23</definedName>
    <definedName name="td" localSheetId="1">Retrait!$D$23</definedName>
    <definedName name="td">Feuil1!$D$23</definedName>
    <definedName name="tf" localSheetId="2">LTerme!$D$7</definedName>
    <definedName name="tf" localSheetId="0">LTerme2!$D$7</definedName>
    <definedName name="tf" localSheetId="1">Retrait!$D$7</definedName>
    <definedName name="tf">Feuil1!$D$7</definedName>
    <definedName name="tw" localSheetId="2">LTerme!$D$8</definedName>
    <definedName name="tw" localSheetId="0">LTerme2!$D$8</definedName>
    <definedName name="tw" localSheetId="1">Retrait!$D$8</definedName>
    <definedName name="tw">Feuil1!$D$8</definedName>
    <definedName name="u" localSheetId="2">LTerme!$H$15</definedName>
    <definedName name="u" localSheetId="0">LTerme2!$H$15</definedName>
    <definedName name="u" localSheetId="1">Retrait!$H$15</definedName>
    <definedName name="u">Feuil1!$H$15</definedName>
    <definedName name="zn" localSheetId="2">LTerme!$L$9</definedName>
    <definedName name="zn" localSheetId="0">LTerme2!$L$9</definedName>
    <definedName name="zn" localSheetId="1">Retrait!$L$9</definedName>
    <definedName name="zn">Feuil1!$L$9</definedName>
    <definedName name="zp" localSheetId="2">LTerme!$L$5</definedName>
    <definedName name="zp" localSheetId="0">LTerme2!$L$5</definedName>
    <definedName name="zp" localSheetId="1">Retrait!$L$5</definedName>
    <definedName name="zp">Feuil1!$L$5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5" l="1"/>
  <c r="L6" i="5" l="1"/>
  <c r="H13" i="5"/>
  <c r="D25" i="5"/>
  <c r="H29" i="5" s="1"/>
  <c r="H22" i="5"/>
  <c r="H21" i="5"/>
  <c r="D20" i="5"/>
  <c r="O19" i="5"/>
  <c r="H19" i="5"/>
  <c r="O18" i="5"/>
  <c r="L17" i="5"/>
  <c r="L18" i="5" s="1"/>
  <c r="O16" i="5"/>
  <c r="L16" i="5"/>
  <c r="H15" i="5"/>
  <c r="P12" i="5"/>
  <c r="L8" i="5"/>
  <c r="O12" i="5" s="1"/>
  <c r="P13" i="5" s="1"/>
  <c r="O6" i="5"/>
  <c r="O5" i="5"/>
  <c r="O7" i="5" s="1"/>
  <c r="L5" i="5"/>
  <c r="H5" i="5"/>
  <c r="I8" i="5" s="1"/>
  <c r="H21" i="4"/>
  <c r="D25" i="4"/>
  <c r="L8" i="4" s="1"/>
  <c r="H22" i="4"/>
  <c r="D20" i="4"/>
  <c r="O19" i="4"/>
  <c r="H19" i="4"/>
  <c r="O18" i="4"/>
  <c r="L17" i="4"/>
  <c r="L18" i="4" s="1"/>
  <c r="O16" i="4"/>
  <c r="L16" i="4"/>
  <c r="H15" i="4"/>
  <c r="H14" i="4"/>
  <c r="H16" i="4" s="1"/>
  <c r="P12" i="4"/>
  <c r="O6" i="4"/>
  <c r="O5" i="4"/>
  <c r="O7" i="4" s="1"/>
  <c r="L5" i="4"/>
  <c r="H5" i="4"/>
  <c r="I8" i="4" s="1"/>
  <c r="O19" i="3"/>
  <c r="O18" i="3"/>
  <c r="O16" i="3"/>
  <c r="P12" i="3"/>
  <c r="O6" i="3"/>
  <c r="O5" i="3"/>
  <c r="O7" i="3" s="1"/>
  <c r="O9" i="4" l="1"/>
  <c r="O12" i="4"/>
  <c r="P13" i="4" s="1"/>
  <c r="L9" i="4"/>
  <c r="L9" i="5"/>
  <c r="L19" i="5" s="1"/>
  <c r="L20" i="5" s="1"/>
  <c r="P9" i="4"/>
  <c r="O9" i="5"/>
  <c r="P9" i="5"/>
  <c r="H28" i="5"/>
  <c r="H14" i="5" s="1"/>
  <c r="H16" i="5" s="1"/>
  <c r="L19" i="4"/>
  <c r="L11" i="4"/>
  <c r="H18" i="4"/>
  <c r="H12" i="4" s="1"/>
  <c r="H7" i="4" s="1"/>
  <c r="H23" i="4"/>
  <c r="I13" i="4" s="1"/>
  <c r="L20" i="4"/>
  <c r="L22" i="4" s="1"/>
  <c r="L23" i="4" s="1"/>
  <c r="L25" i="4" s="1"/>
  <c r="H8" i="4"/>
  <c r="D25" i="3"/>
  <c r="H22" i="3"/>
  <c r="H21" i="3"/>
  <c r="D20" i="3"/>
  <c r="H19" i="3"/>
  <c r="L17" i="3"/>
  <c r="L16" i="3"/>
  <c r="H15" i="3"/>
  <c r="L5" i="3"/>
  <c r="H5" i="3"/>
  <c r="I8" i="3" s="1"/>
  <c r="L16" i="1"/>
  <c r="L17" i="1"/>
  <c r="L5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4" i="2"/>
  <c r="H21" i="1"/>
  <c r="H22" i="1"/>
  <c r="H15" i="1"/>
  <c r="D25" i="1"/>
  <c r="L8" i="1" s="1"/>
  <c r="D20" i="1"/>
  <c r="H19" i="1" s="1"/>
  <c r="H5" i="1"/>
  <c r="I8" i="1" s="1"/>
  <c r="H29" i="3" l="1"/>
  <c r="H28" i="3"/>
  <c r="H14" i="3" s="1"/>
  <c r="H16" i="3" s="1"/>
  <c r="H18" i="3" s="1"/>
  <c r="H12" i="3" s="1"/>
  <c r="H23" i="5"/>
  <c r="I13" i="5" s="1"/>
  <c r="H18" i="5"/>
  <c r="H12" i="5" s="1"/>
  <c r="H7" i="5" s="1"/>
  <c r="H8" i="5" s="1"/>
  <c r="L11" i="5"/>
  <c r="L22" i="5" s="1"/>
  <c r="L23" i="5" s="1"/>
  <c r="L25" i="5" s="1"/>
  <c r="L9" i="1"/>
  <c r="L19" i="1" s="1"/>
  <c r="L18" i="1"/>
  <c r="H14" i="1"/>
  <c r="H16" i="1" s="1"/>
  <c r="H23" i="1" s="1"/>
  <c r="H13" i="1" s="1"/>
  <c r="H23" i="3" l="1"/>
  <c r="L20" i="1"/>
  <c r="H18" i="1"/>
  <c r="H12" i="1" s="1"/>
  <c r="L11" i="1"/>
  <c r="H7" i="1"/>
  <c r="H8" i="1" s="1"/>
  <c r="I13" i="3" l="1"/>
  <c r="H13" i="3"/>
  <c r="H7" i="3" s="1"/>
  <c r="H8" i="3" s="1"/>
  <c r="L6" i="3" s="1"/>
  <c r="L8" i="3" s="1"/>
  <c r="O9" i="3" s="1"/>
  <c r="L22" i="1"/>
  <c r="L18" i="3" l="1"/>
  <c r="L9" i="3"/>
  <c r="P9" i="3"/>
  <c r="O12" i="3"/>
  <c r="P13" i="3" s="1"/>
  <c r="N9" i="3" l="1"/>
  <c r="L19" i="3"/>
  <c r="L20" i="3" s="1"/>
  <c r="L11" i="3"/>
  <c r="L22" i="3" l="1"/>
  <c r="L23" i="3" s="1"/>
  <c r="L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tc={5C5C2923-9EF4-4977-8D22-A7B4EA235571}</author>
  </authors>
  <commentList>
    <comment ref="K9" authorId="0" shapeId="0" xr:uid="{5C5C2923-9EF4-4977-8D22-A7B4EA2355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Distance face sup dalle</t>
      </text>
    </comment>
  </commentList>
</comments>
</file>

<file path=xl/sharedStrings.xml><?xml version="1.0" encoding="utf-8"?>
<sst xmlns="http://schemas.openxmlformats.org/spreadsheetml/2006/main" count="340" uniqueCount="63">
  <si>
    <t>Poutrelle</t>
  </si>
  <si>
    <t>ha</t>
  </si>
  <si>
    <t>bf</t>
  </si>
  <si>
    <t>tf</t>
  </si>
  <si>
    <t>tw</t>
  </si>
  <si>
    <t>rc</t>
  </si>
  <si>
    <t>mm</t>
  </si>
  <si>
    <t>Coefficient d'équivalence</t>
  </si>
  <si>
    <t>Acier</t>
  </si>
  <si>
    <t>Ea</t>
  </si>
  <si>
    <t>fy</t>
  </si>
  <si>
    <t>GPa</t>
  </si>
  <si>
    <t>MPa</t>
  </si>
  <si>
    <t>Béton</t>
  </si>
  <si>
    <t>Ecm</t>
  </si>
  <si>
    <t>fck</t>
  </si>
  <si>
    <t>n0</t>
  </si>
  <si>
    <t>PsiSh</t>
  </si>
  <si>
    <t>PhiT</t>
  </si>
  <si>
    <t>nsh</t>
  </si>
  <si>
    <t>Phi0</t>
  </si>
  <si>
    <t>BetaC(t,t0)</t>
  </si>
  <si>
    <t>fcm</t>
  </si>
  <si>
    <t>Dalle</t>
  </si>
  <si>
    <t>td</t>
  </si>
  <si>
    <t>tc</t>
  </si>
  <si>
    <t>tbac</t>
  </si>
  <si>
    <t>Largeur</t>
  </si>
  <si>
    <t>Ac</t>
  </si>
  <si>
    <t>mm2</t>
  </si>
  <si>
    <t>u</t>
  </si>
  <si>
    <t>h0</t>
  </si>
  <si>
    <t>RH</t>
  </si>
  <si>
    <t>%</t>
  </si>
  <si>
    <t>PhiRH</t>
  </si>
  <si>
    <t>Betafcm</t>
  </si>
  <si>
    <t>t0</t>
  </si>
  <si>
    <t>Betat0</t>
  </si>
  <si>
    <t>J</t>
  </si>
  <si>
    <t>BetaH</t>
  </si>
  <si>
    <t>t</t>
  </si>
  <si>
    <t>Coefficient de fluage Annex B EN 1992</t>
  </si>
  <si>
    <t>Propriétés section mixte</t>
  </si>
  <si>
    <t>Aa</t>
  </si>
  <si>
    <t>Ah</t>
  </si>
  <si>
    <t>n</t>
  </si>
  <si>
    <t>zn</t>
  </si>
  <si>
    <t>za</t>
  </si>
  <si>
    <t>Ia</t>
  </si>
  <si>
    <t>cm4</t>
  </si>
  <si>
    <t>Ih</t>
  </si>
  <si>
    <t>Flèche de retrait</t>
  </si>
  <si>
    <t>Nsh</t>
  </si>
  <si>
    <t>kN</t>
  </si>
  <si>
    <t>EpsilonSh</t>
  </si>
  <si>
    <t>Bras de levier</t>
  </si>
  <si>
    <t>Msh</t>
  </si>
  <si>
    <t>kNm</t>
  </si>
  <si>
    <t>Portee</t>
  </si>
  <si>
    <t>m</t>
  </si>
  <si>
    <t>Ratio L/h</t>
  </si>
  <si>
    <t>bm</t>
  </si>
  <si>
    <t>ebac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</si>
</sst>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Feuil2!$C$4:$C$182</c:f>
              <c:numCache>
                <c:formatCode>General</c:formatCode>
                <c:ptCount val="179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</c:numCache>
            </c:numRef>
          </c:xVal>
          <c:yVal>
            <c:numRef>
              <c:f>Feuil2!$D$4:$D$182</c:f>
              <c:numCache>
                <c:formatCode>0.000</c:formatCode>
                <c:ptCount val="179"/>
                <c:pt idx="0">
                  <c:v>0.33289705548675402</c:v>
                </c:pt>
                <c:pt idx="1">
                  <c:v>0.63835737115480928</c:v>
                </c:pt>
                <c:pt idx="2">
                  <c:v>0.74038248624375347</c:v>
                </c:pt>
                <c:pt idx="3">
                  <c:v>0.79513495891822117</c:v>
                </c:pt>
                <c:pt idx="4">
                  <c:v>0.83017700002605221</c:v>
                </c:pt>
                <c:pt idx="5">
                  <c:v>0.85474493554901376</c:v>
                </c:pt>
                <c:pt idx="6">
                  <c:v>0.87299704944330581</c:v>
                </c:pt>
                <c:pt idx="7">
                  <c:v>0.88712095304534977</c:v>
                </c:pt>
                <c:pt idx="8">
                  <c:v>0.89838853848625455</c:v>
                </c:pt>
                <c:pt idx="9">
                  <c:v>0.90759360840371528</c:v>
                </c:pt>
                <c:pt idx="10">
                  <c:v>0.91525875469813534</c:v>
                </c:pt>
                <c:pt idx="11">
                  <c:v>0.92174274846964765</c:v>
                </c:pt>
                <c:pt idx="12">
                  <c:v>0.92730039080809756</c:v>
                </c:pt>
                <c:pt idx="13">
                  <c:v>0.93211779574151232</c:v>
                </c:pt>
                <c:pt idx="14">
                  <c:v>0.93633416266465164</c:v>
                </c:pt>
                <c:pt idx="15">
                  <c:v>0.94005573247015328</c:v>
                </c:pt>
                <c:pt idx="16">
                  <c:v>0.94336502628837349</c:v>
                </c:pt>
                <c:pt idx="17">
                  <c:v>0.94632713303581839</c:v>
                </c:pt>
                <c:pt idx="18">
                  <c:v>0.94899409273543855</c:v>
                </c:pt>
                <c:pt idx="19">
                  <c:v>0.95140801761288518</c:v>
                </c:pt>
                <c:pt idx="20">
                  <c:v>0.95360335646227223</c:v>
                </c:pt>
                <c:pt idx="21">
                  <c:v>0.95560856515331138</c:v>
                </c:pt>
                <c:pt idx="22">
                  <c:v>0.95744735768442635</c:v>
                </c:pt>
                <c:pt idx="23">
                  <c:v>0.95913965591467143</c:v>
                </c:pt>
                <c:pt idx="24">
                  <c:v>0.96070231949927509</c:v>
                </c:pt>
                <c:pt idx="25">
                  <c:v>0.96214971324945897</c:v>
                </c:pt>
                <c:pt idx="26">
                  <c:v>0.96349415270172256</c:v>
                </c:pt>
                <c:pt idx="27">
                  <c:v>0.96474625737930075</c:v>
                </c:pt>
                <c:pt idx="28">
                  <c:v>0.96591523333564155</c:v>
                </c:pt>
                <c:pt idx="29">
                  <c:v>0.96700910097943016</c:v>
                </c:pt>
                <c:pt idx="30">
                  <c:v>0.96803488016939143</c:v>
                </c:pt>
                <c:pt idx="31">
                  <c:v>0.96899874165378352</c:v>
                </c:pt>
                <c:pt idx="32">
                  <c:v>0.96990613178989815</c:v>
                </c:pt>
                <c:pt idx="33">
                  <c:v>0.97076187589097063</c:v>
                </c:pt>
                <c:pt idx="34">
                  <c:v>0.97157026435793825</c:v>
                </c:pt>
                <c:pt idx="35">
                  <c:v>0.97233512485358986</c:v>
                </c:pt>
                <c:pt idx="36">
                  <c:v>0.97305988309024927</c:v>
                </c:pt>
                <c:pt idx="37">
                  <c:v>0.9737476142743744</c:v>
                </c:pt>
                <c:pt idx="38">
                  <c:v>0.97440108684259852</c:v>
                </c:pt>
                <c:pt idx="39">
                  <c:v>0.97502279980471407</c:v>
                </c:pt>
                <c:pt idx="40">
                  <c:v>0.97561501475850942</c:v>
                </c:pt>
                <c:pt idx="41">
                  <c:v>0.97617978344323009</c:v>
                </c:pt>
                <c:pt idx="42">
                  <c:v>0.97671897154089393</c:v>
                </c:pt>
                <c:pt idx="43">
                  <c:v>0.97723427930861695</c:v>
                </c:pt>
                <c:pt idx="44">
                  <c:v>0.97772725952373829</c:v>
                </c:pt>
                <c:pt idx="45">
                  <c:v>0.97819933314155783</c:v>
                </c:pt>
                <c:pt idx="46">
                  <c:v>0.97865180299890886</c:v>
                </c:pt>
                <c:pt idx="47">
                  <c:v>0.97908586584241886</c:v>
                </c:pt>
                <c:pt idx="48">
                  <c:v>0.97950262291572765</c:v>
                </c:pt>
                <c:pt idx="49">
                  <c:v>0.97990308930319603</c:v>
                </c:pt>
                <c:pt idx="50">
                  <c:v>0.98028820219730917</c:v>
                </c:pt>
                <c:pt idx="51">
                  <c:v>0.980658828231732</c:v>
                </c:pt>
                <c:pt idx="52">
                  <c:v>0.98101577000096951</c:v>
                </c:pt>
                <c:pt idx="53">
                  <c:v>0.98135977187002543</c:v>
                </c:pt>
                <c:pt idx="54">
                  <c:v>0.98169152516267533</c:v>
                </c:pt>
                <c:pt idx="55">
                  <c:v>0.98201167280456225</c:v>
                </c:pt>
                <c:pt idx="56">
                  <c:v>0.98232081348681932</c:v>
                </c:pt>
                <c:pt idx="57">
                  <c:v>0.98261950540701504</c:v>
                </c:pt>
                <c:pt idx="58">
                  <c:v>0.98290826963666766</c:v>
                </c:pt>
                <c:pt idx="59">
                  <c:v>0.9831875931581201</c:v>
                </c:pt>
                <c:pt idx="60">
                  <c:v>0.98345793160803785</c:v>
                </c:pt>
                <c:pt idx="61">
                  <c:v>0.98371971176009598</c:v>
                </c:pt>
                <c:pt idx="62">
                  <c:v>0.98397333377531715</c:v>
                </c:pt>
                <c:pt idx="63">
                  <c:v>0.98421917324506314</c:v>
                </c:pt>
                <c:pt idx="64">
                  <c:v>0.98445758304862963</c:v>
                </c:pt>
                <c:pt idx="65">
                  <c:v>0.98468889504477741</c:v>
                </c:pt>
                <c:pt idx="66">
                  <c:v>0.98491342161428297</c:v>
                </c:pt>
                <c:pt idx="67">
                  <c:v>0.98513145706858996</c:v>
                </c:pt>
                <c:pt idx="68">
                  <c:v>0.98534327893792528</c:v>
                </c:pt>
                <c:pt idx="69">
                  <c:v>0.98554914915076386</c:v>
                </c:pt>
                <c:pt idx="70">
                  <c:v>0.98574931511516373</c:v>
                </c:pt>
                <c:pt idx="71">
                  <c:v>0.98594401071139159</c:v>
                </c:pt>
                <c:pt idx="72">
                  <c:v>0.98613345720419876</c:v>
                </c:pt>
                <c:pt idx="73">
                  <c:v>0.98631786408224076</c:v>
                </c:pt>
                <c:pt idx="74">
                  <c:v>0.98649742983134803</c:v>
                </c:pt>
                <c:pt idx="75">
                  <c:v>0.98667234264764236</c:v>
                </c:pt>
                <c:pt idx="76">
                  <c:v>0.98684278109588652</c:v>
                </c:pt>
                <c:pt idx="77">
                  <c:v>0.98700891471793051</c:v>
                </c:pt>
                <c:pt idx="78">
                  <c:v>0.98717090459558898</c:v>
                </c:pt>
                <c:pt idx="79">
                  <c:v>0.98732890387190808</c:v>
                </c:pt>
                <c:pt idx="80">
                  <c:v>0.98748305823433924</c:v>
                </c:pt>
                <c:pt idx="81">
                  <c:v>0.98763350636305935</c:v>
                </c:pt>
                <c:pt idx="82">
                  <c:v>0.98778038034731197</c:v>
                </c:pt>
                <c:pt idx="83">
                  <c:v>0.98792380607240982</c:v>
                </c:pt>
                <c:pt idx="84">
                  <c:v>0.98806390357978446</c:v>
                </c:pt>
                <c:pt idx="85">
                  <c:v>0.98820078740224315</c:v>
                </c:pt>
                <c:pt idx="86">
                  <c:v>0.98833456687640719</c:v>
                </c:pt>
                <c:pt idx="87">
                  <c:v>0.98846534643412187</c:v>
                </c:pt>
                <c:pt idx="88">
                  <c:v>0.98859322587446419</c:v>
                </c:pt>
                <c:pt idx="89">
                  <c:v>0.98871830061785326</c:v>
                </c:pt>
                <c:pt idx="90">
                  <c:v>0.9888406619436102</c:v>
                </c:pt>
                <c:pt idx="91">
                  <c:v>0.98896039721221574</c:v>
                </c:pt>
                <c:pt idx="92">
                  <c:v>0.98907759007340934</c:v>
                </c:pt>
                <c:pt idx="93">
                  <c:v>0.9891923206611557</c:v>
                </c:pt>
                <c:pt idx="94">
                  <c:v>0.98930466577645582</c:v>
                </c:pt>
                <c:pt idx="95">
                  <c:v>0.98941469905885937</c:v>
                </c:pt>
                <c:pt idx="96">
                  <c:v>0.98952249114750057</c:v>
                </c:pt>
                <c:pt idx="97">
                  <c:v>0.98962810983237959</c:v>
                </c:pt>
                <c:pt idx="98">
                  <c:v>0.98973162019659155</c:v>
                </c:pt>
                <c:pt idx="99">
                  <c:v>0.98983308475011111</c:v>
                </c:pt>
                <c:pt idx="100">
                  <c:v>0.98993256355572146</c:v>
                </c:pt>
                <c:pt idx="101">
                  <c:v>0.99003011434762356</c:v>
                </c:pt>
                <c:pt idx="102">
                  <c:v>0.99012579264320588</c:v>
                </c:pt>
                <c:pt idx="103">
                  <c:v>0.99021965184843919</c:v>
                </c:pt>
                <c:pt idx="104">
                  <c:v>0.99031174335731686</c:v>
                </c:pt>
                <c:pt idx="105">
                  <c:v>0.99040211664572642</c:v>
                </c:pt>
                <c:pt idx="106">
                  <c:v>0.99049081936010941</c:v>
                </c:pt>
                <c:pt idx="107">
                  <c:v>0.99057789740125479</c:v>
                </c:pt>
                <c:pt idx="108">
                  <c:v>0.99066339500352241</c:v>
                </c:pt>
                <c:pt idx="109">
                  <c:v>0.99074735480979548</c:v>
                </c:pt>
                <c:pt idx="110">
                  <c:v>0.99082981794242064</c:v>
                </c:pt>
                <c:pt idx="111">
                  <c:v>0.99091082407038211</c:v>
                </c:pt>
                <c:pt idx="112">
                  <c:v>0.9909904114729603</c:v>
                </c:pt>
                <c:pt idx="113">
                  <c:v>0.99106861710005334</c:v>
                </c:pt>
                <c:pt idx="114">
                  <c:v>0.9911454766294</c:v>
                </c:pt>
                <c:pt idx="115">
                  <c:v>0.99122102452086391</c:v>
                </c:pt>
                <c:pt idx="116">
                  <c:v>0.99129529406796157</c:v>
                </c:pt>
                <c:pt idx="117">
                  <c:v>0.99136831744680021</c:v>
                </c:pt>
                <c:pt idx="118">
                  <c:v>0.99144012576256602</c:v>
                </c:pt>
                <c:pt idx="119">
                  <c:v>0.99151074909371739</c:v>
                </c:pt>
                <c:pt idx="120">
                  <c:v>0.99158021653400008</c:v>
                </c:pt>
                <c:pt idx="121">
                  <c:v>0.99164855623242387</c:v>
                </c:pt>
                <c:pt idx="122">
                  <c:v>0.99171579543129817</c:v>
                </c:pt>
                <c:pt idx="123">
                  <c:v>0.99178196050245304</c:v>
                </c:pt>
                <c:pt idx="124">
                  <c:v>0.99184707698173324</c:v>
                </c:pt>
                <c:pt idx="125">
                  <c:v>0.99191116960186232</c:v>
                </c:pt>
                <c:pt idx="126">
                  <c:v>0.99197426232377872</c:v>
                </c:pt>
                <c:pt idx="127">
                  <c:v>0.99203637836649883</c:v>
                </c:pt>
                <c:pt idx="128">
                  <c:v>0.99209754023562235</c:v>
                </c:pt>
                <c:pt idx="129">
                  <c:v>0.9921577697505215</c:v>
                </c:pt>
                <c:pt idx="130">
                  <c:v>0.99221708807030085</c:v>
                </c:pt>
                <c:pt idx="131">
                  <c:v>0.99227551571858197</c:v>
                </c:pt>
                <c:pt idx="132">
                  <c:v>0.99233307260719106</c:v>
                </c:pt>
                <c:pt idx="133">
                  <c:v>0.99238977805878237</c:v>
                </c:pt>
                <c:pt idx="134">
                  <c:v>0.99244565082847336</c:v>
                </c:pt>
                <c:pt idx="135">
                  <c:v>0.9925007091245287</c:v>
                </c:pt>
                <c:pt idx="136">
                  <c:v>0.99255497062815079</c:v>
                </c:pt>
                <c:pt idx="137">
                  <c:v>0.99260845251240948</c:v>
                </c:pt>
                <c:pt idx="138">
                  <c:v>0.99266117146037491</c:v>
                </c:pt>
                <c:pt idx="139">
                  <c:v>0.99271314368246066</c:v>
                </c:pt>
                <c:pt idx="140">
                  <c:v>0.99276438493305219</c:v>
                </c:pt>
                <c:pt idx="141">
                  <c:v>0.99281491052643067</c:v>
                </c:pt>
                <c:pt idx="142">
                  <c:v>0.99286473535203512</c:v>
                </c:pt>
                <c:pt idx="143">
                  <c:v>0.99291387388909291</c:v>
                </c:pt>
                <c:pt idx="144">
                  <c:v>0.99296234022064911</c:v>
                </c:pt>
                <c:pt idx="145">
                  <c:v>0.99301014804702925</c:v>
                </c:pt>
                <c:pt idx="146">
                  <c:v>0.99305731069875192</c:v>
                </c:pt>
                <c:pt idx="147">
                  <c:v>0.99310384114892114</c:v>
                </c:pt>
                <c:pt idx="148">
                  <c:v>0.99314975202512656</c:v>
                </c:pt>
                <c:pt idx="149">
                  <c:v>0.99319505562087151</c:v>
                </c:pt>
                <c:pt idx="150">
                  <c:v>0.99323976390655044</c:v>
                </c:pt>
                <c:pt idx="151">
                  <c:v>0.99328388853999106</c:v>
                </c:pt>
                <c:pt idx="152">
                  <c:v>0.99332744087659663</c:v>
                </c:pt>
                <c:pt idx="153">
                  <c:v>0.99337043197908237</c:v>
                </c:pt>
                <c:pt idx="154">
                  <c:v>0.99341287262685463</c:v>
                </c:pt>
                <c:pt idx="155">
                  <c:v>0.99345477332501331</c:v>
                </c:pt>
                <c:pt idx="156">
                  <c:v>0.99349614431303013</c:v>
                </c:pt>
                <c:pt idx="157">
                  <c:v>0.99353699557308794</c:v>
                </c:pt>
                <c:pt idx="158">
                  <c:v>0.99357733683811367</c:v>
                </c:pt>
                <c:pt idx="159">
                  <c:v>0.99361717759950563</c:v>
                </c:pt>
                <c:pt idx="160">
                  <c:v>0.99365652711458707</c:v>
                </c:pt>
                <c:pt idx="161">
                  <c:v>0.99369539441377275</c:v>
                </c:pt>
                <c:pt idx="162">
                  <c:v>0.9937337883074806</c:v>
                </c:pt>
                <c:pt idx="163">
                  <c:v>0.99377171739279102</c:v>
                </c:pt>
                <c:pt idx="164">
                  <c:v>0.99380919005986601</c:v>
                </c:pt>
                <c:pt idx="165">
                  <c:v>0.99384621449813459</c:v>
                </c:pt>
                <c:pt idx="166">
                  <c:v>0.99388279870226481</c:v>
                </c:pt>
                <c:pt idx="167">
                  <c:v>0.99391895047791468</c:v>
                </c:pt>
                <c:pt idx="168">
                  <c:v>0.9939546774472906</c:v>
                </c:pt>
                <c:pt idx="169">
                  <c:v>0.9939899870545007</c:v>
                </c:pt>
                <c:pt idx="170">
                  <c:v>0.99402488657072885</c:v>
                </c:pt>
                <c:pt idx="171">
                  <c:v>0.99405938309922603</c:v>
                </c:pt>
                <c:pt idx="172">
                  <c:v>0.99409348358013205</c:v>
                </c:pt>
                <c:pt idx="173">
                  <c:v>0.99412719479513056</c:v>
                </c:pt>
                <c:pt idx="174">
                  <c:v>0.99416052337194449</c:v>
                </c:pt>
                <c:pt idx="175">
                  <c:v>0.99419347578868289</c:v>
                </c:pt>
                <c:pt idx="176">
                  <c:v>0.99422605837803557</c:v>
                </c:pt>
                <c:pt idx="177">
                  <c:v>0.99425827733133498</c:v>
                </c:pt>
                <c:pt idx="178">
                  <c:v>0.99429013870247573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5A-4B1B-B44D-6A697CC91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346831"/>
        <c:axId val="2071344751"/>
      </c:scatterChart>
      <c:valAx>
        <c:axId val="207134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1344751"/>
        <c:crosses val="autoZero"/>
        <c:crossBetween val="midCat"/>
      </c:valAx>
      <c:valAx>
        <c:axId val="207134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134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160</xdr:row>
      <xdr:rowOff>90487</xdr:rowOff>
    </xdr:from>
    <xdr:to>
      <xdr:col>11</xdr:col>
      <xdr:colOff>666750</xdr:colOff>
      <xdr:row>174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ierre Olivier MARTIN" id="{BC4EB8A8-8290-4E90-95F4-8E3D06914C2C}" userId="S::pomartin@cticm.com::0729d539-3ab1-4b8e-9ba4-cb824bcc4b5f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9" dT="2026-08-05T14:21:15.72" personId="{BC4EB8A8-8290-4E90-95F4-8E3D06914C2C}" id="{5C5C2923-9EF4-4977-8D22-A7B4EA235571}">
    <text>Distance face sup dalle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BFE0-1BB0-40F9-9A20-511101B84E08}">
  <dimension ref="C4:P29"/>
  <sheetViews>
    <sheetView workbookViewId="0">
      <selection activeCell="N9" sqref="N9"/>
    </sheetView>
  </sheetViews>
  <sheetFormatPr baseColWidth="10" defaultRowHeight="15" x14ac:dyDescent="0.25"/>
  <sheetData>
    <row r="4" spans="3:16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6" x14ac:dyDescent="0.25">
      <c r="C5" s="2" t="s">
        <v>1</v>
      </c>
      <c r="D5" s="4">
        <v>450</v>
      </c>
      <c r="E5" t="s">
        <v>6</v>
      </c>
      <c r="G5" s="2" t="s">
        <v>16</v>
      </c>
      <c r="H5" s="6">
        <f>Ea/Ecm</f>
        <v>6.6717499046892872</v>
      </c>
      <c r="K5" s="2" t="s">
        <v>47</v>
      </c>
      <c r="L5" s="16">
        <f>ha/2+td</f>
        <v>345</v>
      </c>
      <c r="M5" t="s">
        <v>6</v>
      </c>
      <c r="O5">
        <f>6.77</f>
        <v>6.77</v>
      </c>
    </row>
    <row r="6" spans="3:16" x14ac:dyDescent="0.25">
      <c r="C6" s="2" t="s">
        <v>2</v>
      </c>
      <c r="D6" s="4">
        <v>190</v>
      </c>
      <c r="E6" t="s">
        <v>6</v>
      </c>
      <c r="G6" s="2" t="s">
        <v>17</v>
      </c>
      <c r="H6" s="9">
        <v>1.1000000000000001</v>
      </c>
      <c r="K6" s="2" t="s">
        <v>45</v>
      </c>
      <c r="L6" s="4">
        <f>nsh</f>
        <v>26.460687404870814</v>
      </c>
      <c r="O6">
        <f>(1+0.55*5.32)</f>
        <v>3.9260000000000006</v>
      </c>
    </row>
    <row r="7" spans="3:16" x14ac:dyDescent="0.25">
      <c r="C7" s="2" t="s">
        <v>3</v>
      </c>
      <c r="D7" s="4">
        <v>14.6</v>
      </c>
      <c r="E7" t="s">
        <v>6</v>
      </c>
      <c r="G7" s="2" t="s">
        <v>18</v>
      </c>
      <c r="H7" s="13">
        <f>Phi0*BetaC</f>
        <v>2.6964354837909683</v>
      </c>
      <c r="K7" s="2" t="s">
        <v>43</v>
      </c>
      <c r="L7" s="4">
        <v>9880</v>
      </c>
      <c r="M7" t="s">
        <v>29</v>
      </c>
      <c r="O7">
        <f>O5*O6</f>
        <v>26.579020000000003</v>
      </c>
    </row>
    <row r="8" spans="3:16" x14ac:dyDescent="0.25">
      <c r="C8" s="2" t="s">
        <v>4</v>
      </c>
      <c r="D8" s="4">
        <v>9.4</v>
      </c>
      <c r="E8" t="s">
        <v>6</v>
      </c>
      <c r="G8" s="2" t="s">
        <v>19</v>
      </c>
      <c r="H8" s="6">
        <f>n0*(1+PsiSh*PhiT)</f>
        <v>26.460687404870814</v>
      </c>
      <c r="I8" s="6">
        <f>3*n0</f>
        <v>20.015249714067863</v>
      </c>
      <c r="K8" s="2" t="s">
        <v>44</v>
      </c>
      <c r="L8" s="17">
        <f>Ldalle*tc/nCalcul+Aa</f>
        <v>16909.295843832144</v>
      </c>
      <c r="M8" t="s">
        <v>29</v>
      </c>
    </row>
    <row r="9" spans="3:16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214.46831403577377</v>
      </c>
      <c r="M9" t="s">
        <v>29</v>
      </c>
      <c r="N9" s="22">
        <f>zn-td</f>
        <v>94.468314035773773</v>
      </c>
      <c r="O9">
        <f>Ldalle*tc/2/nCalcul/Ah*tc</f>
        <v>12.886886193920425</v>
      </c>
      <c r="P9">
        <f>zp*Aa/Ah</f>
        <v>201.58142784185335</v>
      </c>
    </row>
    <row r="10" spans="3:16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6" x14ac:dyDescent="0.25">
      <c r="G11" s="2"/>
      <c r="K11" s="2" t="s">
        <v>50</v>
      </c>
      <c r="L11" s="17">
        <f>Ia+Aa*(zp-zn)^2 /10^4+Ldalle*tc/3/nCalcul*(tc^2+3*zn*(zn-tc))/10^4</f>
        <v>74460.277776917923</v>
      </c>
      <c r="M11" t="s">
        <v>49</v>
      </c>
    </row>
    <row r="12" spans="3:16" x14ac:dyDescent="0.25">
      <c r="C12" s="1" t="s">
        <v>8</v>
      </c>
      <c r="D12" s="1"/>
      <c r="E12" s="1"/>
      <c r="G12" s="2" t="s">
        <v>20</v>
      </c>
      <c r="H12" s="11">
        <f>PhiRH*Betafcm*BetaT0</f>
        <v>2.7186195499748891</v>
      </c>
      <c r="K12" s="2"/>
      <c r="O12">
        <f>345*Aa/Ah</f>
        <v>201.58142784185335</v>
      </c>
      <c r="P12">
        <f>3000*62^2/26.6/2/19034</f>
        <v>11.388405868090421</v>
      </c>
    </row>
    <row r="13" spans="3:16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0.99183995194026853</v>
      </c>
      <c r="I13" s="10">
        <f>((t-t0)/(BetaH+t-t0))^0.3</f>
        <v>0.99183995194026853</v>
      </c>
      <c r="K13" s="2"/>
      <c r="P13">
        <f>O12+P12</f>
        <v>212.96983370994377</v>
      </c>
    </row>
    <row r="14" spans="3:16" x14ac:dyDescent="0.25">
      <c r="C14" s="2" t="s">
        <v>10</v>
      </c>
      <c r="D14" s="4">
        <v>275</v>
      </c>
      <c r="E14" t="s">
        <v>12</v>
      </c>
      <c r="G14" s="2" t="s">
        <v>28</v>
      </c>
      <c r="H14" s="21">
        <f>H28</f>
        <v>254507.24637681158</v>
      </c>
      <c r="I14" t="s">
        <v>29</v>
      </c>
      <c r="K14" s="2"/>
    </row>
    <row r="15" spans="3:16" x14ac:dyDescent="0.25">
      <c r="G15" s="2" t="s">
        <v>30</v>
      </c>
      <c r="H15" s="8">
        <f>Ldalle</f>
        <v>3000</v>
      </c>
      <c r="I15" t="s">
        <v>6</v>
      </c>
      <c r="K15" s="1" t="s">
        <v>51</v>
      </c>
      <c r="L15" s="1"/>
      <c r="M15" s="1"/>
    </row>
    <row r="16" spans="3:16" x14ac:dyDescent="0.25">
      <c r="G16" s="2" t="s">
        <v>31</v>
      </c>
      <c r="H16" s="14">
        <f>2*Ac/u</f>
        <v>169.67149758454104</v>
      </c>
      <c r="K16" t="s">
        <v>60</v>
      </c>
      <c r="L16" s="19">
        <f>Portee/(ha+td)*1000</f>
        <v>24.561403508771932</v>
      </c>
      <c r="O16">
        <f>9880+3000*62/26.6</f>
        <v>16872.481203007519</v>
      </c>
    </row>
    <row r="17" spans="3:15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5" x14ac:dyDescent="0.25">
      <c r="C18" s="2" t="s">
        <v>14</v>
      </c>
      <c r="D18" s="4">
        <v>31.475999999999999</v>
      </c>
      <c r="E18" t="s">
        <v>11</v>
      </c>
      <c r="G18" s="2" t="s">
        <v>34</v>
      </c>
      <c r="H18" s="11">
        <f>1+(1-RH/100)/(0.1*h0^(1/3))</f>
        <v>1.9031648768221447</v>
      </c>
      <c r="K18" s="2" t="s">
        <v>52</v>
      </c>
      <c r="L18" s="18">
        <f>Ldalle*tc*Ea/nCalcul*EpsilonSh</f>
        <v>479.74944134154384</v>
      </c>
      <c r="M18" t="s">
        <v>53</v>
      </c>
      <c r="O18">
        <f>3000*62*325*10^(-6)*210/26.6</f>
        <v>477.23684210526312</v>
      </c>
    </row>
    <row r="19" spans="3:15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183.46831403577377</v>
      </c>
      <c r="M19" t="s">
        <v>6</v>
      </c>
      <c r="O19">
        <f>215-62/2</f>
        <v>184</v>
      </c>
    </row>
    <row r="20" spans="3:15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28</v>
      </c>
      <c r="I20" t="s">
        <v>38</v>
      </c>
      <c r="K20" s="2" t="s">
        <v>56</v>
      </c>
      <c r="L20" s="19">
        <f>NaxialSh*dsh/1000</f>
        <v>88.018821162537392</v>
      </c>
      <c r="M20" t="s">
        <v>57</v>
      </c>
    </row>
    <row r="21" spans="3:15" x14ac:dyDescent="0.25">
      <c r="G21" s="2" t="s">
        <v>40</v>
      </c>
      <c r="H21" s="4">
        <f>365*I21</f>
        <v>18250</v>
      </c>
      <c r="I21" s="3">
        <v>50</v>
      </c>
      <c r="K21" s="2" t="s">
        <v>58</v>
      </c>
      <c r="L21" s="4">
        <v>14</v>
      </c>
      <c r="M21" t="s">
        <v>59</v>
      </c>
    </row>
    <row r="22" spans="3:15" x14ac:dyDescent="0.25">
      <c r="C22" s="1" t="s">
        <v>23</v>
      </c>
      <c r="D22" s="1"/>
      <c r="E22" s="1"/>
      <c r="G22" s="2" t="s">
        <v>37</v>
      </c>
      <c r="H22" s="10">
        <f>1/(0.1+t0^0.2)</f>
        <v>0.48844954537902541</v>
      </c>
      <c r="K22" s="2" t="s">
        <v>51</v>
      </c>
      <c r="L22" s="20">
        <f>Msh*Portee^2/(8*Ea*Ih*10)*10^6</f>
        <v>13.791061187990836</v>
      </c>
      <c r="M22" t="s">
        <v>6</v>
      </c>
    </row>
    <row r="23" spans="3:15" x14ac:dyDescent="0.25">
      <c r="C23" s="2" t="s">
        <v>24</v>
      </c>
      <c r="D23" s="4">
        <v>120</v>
      </c>
      <c r="E23" t="s">
        <v>6</v>
      </c>
      <c r="G23" s="2" t="s">
        <v>39</v>
      </c>
      <c r="H23" s="14">
        <f>MIN(1500,1.5*(1+(0.012*RH)^18)*h0+250)</f>
        <v>504.53309412172541</v>
      </c>
      <c r="K23" s="2"/>
      <c r="L23">
        <f>Portee/L22</f>
        <v>1.0151503070837729</v>
      </c>
    </row>
    <row r="24" spans="3:15" x14ac:dyDescent="0.25">
      <c r="C24" s="2" t="s">
        <v>26</v>
      </c>
      <c r="D24" s="4">
        <v>58</v>
      </c>
      <c r="E24" t="s">
        <v>6</v>
      </c>
      <c r="H24" s="15"/>
      <c r="K24" s="2"/>
    </row>
    <row r="25" spans="3:15" x14ac:dyDescent="0.25">
      <c r="C25" s="2" t="s">
        <v>25</v>
      </c>
      <c r="D25" s="7">
        <f>td-tbac</f>
        <v>62</v>
      </c>
      <c r="E25" t="s">
        <v>6</v>
      </c>
      <c r="H25" s="5"/>
      <c r="L25">
        <f>Portee/L23/1000</f>
        <v>1.3791061187990838E-2</v>
      </c>
    </row>
    <row r="26" spans="3:15" x14ac:dyDescent="0.25">
      <c r="C26" s="2" t="s">
        <v>27</v>
      </c>
      <c r="D26" s="4">
        <v>3000</v>
      </c>
      <c r="E26" t="s">
        <v>6</v>
      </c>
      <c r="H26" s="5"/>
    </row>
    <row r="27" spans="3:15" x14ac:dyDescent="0.25">
      <c r="H27" s="5"/>
    </row>
    <row r="28" spans="3:15" x14ac:dyDescent="0.25">
      <c r="C28" s="2" t="s">
        <v>61</v>
      </c>
      <c r="D28" s="4">
        <v>81.5</v>
      </c>
      <c r="E28" t="s">
        <v>6</v>
      </c>
      <c r="G28" s="2" t="s">
        <v>28</v>
      </c>
      <c r="H28" s="21">
        <f>Ldalle*tc+Ldalle/eBac*bm*tbac</f>
        <v>254507.24637681158</v>
      </c>
      <c r="I28" t="s">
        <v>29</v>
      </c>
    </row>
    <row r="29" spans="3:15" x14ac:dyDescent="0.25">
      <c r="C29" s="2" t="s">
        <v>62</v>
      </c>
      <c r="D29" s="4">
        <v>207</v>
      </c>
      <c r="E29" t="s">
        <v>6</v>
      </c>
      <c r="G29" s="2" t="s">
        <v>28</v>
      </c>
      <c r="H29" s="8">
        <f>Ldalle*tc</f>
        <v>186000</v>
      </c>
      <c r="I29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P29"/>
  <sheetViews>
    <sheetView tabSelected="1" workbookViewId="0">
      <selection activeCell="H16" sqref="H16"/>
    </sheetView>
  </sheetViews>
  <sheetFormatPr baseColWidth="10" defaultRowHeight="15" x14ac:dyDescent="0.25"/>
  <sheetData>
    <row r="4" spans="3:16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6" x14ac:dyDescent="0.25">
      <c r="C5" s="2" t="s">
        <v>1</v>
      </c>
      <c r="D5" s="4">
        <v>360</v>
      </c>
      <c r="E5" t="s">
        <v>6</v>
      </c>
      <c r="G5" s="2" t="s">
        <v>16</v>
      </c>
      <c r="H5" s="6">
        <f>Ea/Ecm</f>
        <v>6.1625143058367815</v>
      </c>
      <c r="K5" s="2" t="s">
        <v>47</v>
      </c>
      <c r="L5" s="16">
        <f>ha/2+td</f>
        <v>310</v>
      </c>
      <c r="M5" t="s">
        <v>6</v>
      </c>
      <c r="O5">
        <f>6.77</f>
        <v>6.77</v>
      </c>
    </row>
    <row r="6" spans="3:16" x14ac:dyDescent="0.25">
      <c r="C6" s="2" t="s">
        <v>2</v>
      </c>
      <c r="D6" s="4">
        <v>170</v>
      </c>
      <c r="E6" t="s">
        <v>6</v>
      </c>
      <c r="G6" s="2" t="s">
        <v>17</v>
      </c>
      <c r="H6" s="9">
        <v>0.55000000000000004</v>
      </c>
      <c r="K6" s="2" t="s">
        <v>45</v>
      </c>
      <c r="L6" s="4">
        <f>nsh</f>
        <v>20.7990208204019</v>
      </c>
      <c r="O6">
        <f>(1+0.55*5.32)</f>
        <v>3.9260000000000006</v>
      </c>
    </row>
    <row r="7" spans="3:16" x14ac:dyDescent="0.25">
      <c r="C7" s="2" t="s">
        <v>3</v>
      </c>
      <c r="D7" s="4">
        <v>12.7</v>
      </c>
      <c r="E7" t="s">
        <v>6</v>
      </c>
      <c r="G7" s="2" t="s">
        <v>18</v>
      </c>
      <c r="H7" s="13">
        <f>Phi0*BetaC</f>
        <v>4.3183396752972767</v>
      </c>
      <c r="K7" s="2" t="s">
        <v>43</v>
      </c>
      <c r="L7" s="4">
        <v>9880</v>
      </c>
      <c r="M7" t="s">
        <v>29</v>
      </c>
      <c r="O7">
        <f>O5*O6</f>
        <v>26.579020000000003</v>
      </c>
    </row>
    <row r="8" spans="3:16" x14ac:dyDescent="0.25">
      <c r="C8" s="2" t="s">
        <v>4</v>
      </c>
      <c r="D8" s="4">
        <v>8</v>
      </c>
      <c r="E8" t="s">
        <v>6</v>
      </c>
      <c r="G8" s="2" t="s">
        <v>19</v>
      </c>
      <c r="H8" s="6">
        <f>n0*(1+PsiSh*PhiT)</f>
        <v>20.7990208204019</v>
      </c>
      <c r="I8" s="6">
        <f>3*n0</f>
        <v>18.487542917510346</v>
      </c>
      <c r="K8" s="2" t="s">
        <v>44</v>
      </c>
      <c r="L8" s="17">
        <f>Ldalle*tc/nCalcul+Aa</f>
        <v>18534.253560986719</v>
      </c>
      <c r="M8" t="s">
        <v>29</v>
      </c>
    </row>
    <row r="9" spans="3:16" x14ac:dyDescent="0.25">
      <c r="C9" s="2" t="s">
        <v>5</v>
      </c>
      <c r="D9" s="4">
        <v>18</v>
      </c>
      <c r="E9" t="s">
        <v>6</v>
      </c>
      <c r="G9" s="2"/>
      <c r="K9" s="2" t="s">
        <v>46</v>
      </c>
      <c r="L9" s="17">
        <f>zp*Aa/Ah+Ldalle*tc/2/nCalcul/Ah*tc</f>
        <v>182.06037362617582</v>
      </c>
      <c r="M9" t="s">
        <v>29</v>
      </c>
      <c r="N9" s="22">
        <f>zn-td</f>
        <v>52.060373626175817</v>
      </c>
      <c r="O9">
        <f>Ldalle*tc/2/nCalcul/Ah*tc</f>
        <v>16.8095859469258</v>
      </c>
      <c r="P9">
        <f>zp*Aa/Ah</f>
        <v>165.25078767925001</v>
      </c>
    </row>
    <row r="10" spans="3:16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6" x14ac:dyDescent="0.25">
      <c r="G11" s="2"/>
      <c r="K11" s="2" t="s">
        <v>50</v>
      </c>
      <c r="L11" s="17">
        <f>Ia+Aa*(zp-zn)^2 /10^4+Ldalle*tc/3/nCalcul*(tc^2+3*zn*(zn-tc))/10^4</f>
        <v>68748.655888745314</v>
      </c>
      <c r="M11" t="s">
        <v>49</v>
      </c>
    </row>
    <row r="12" spans="3:16" x14ac:dyDescent="0.25">
      <c r="C12" s="1" t="s">
        <v>8</v>
      </c>
      <c r="D12" s="1"/>
      <c r="E12" s="1"/>
      <c r="G12" s="2" t="s">
        <v>20</v>
      </c>
      <c r="H12" s="11">
        <f>PhiRH*Betafcm*BetaT0</f>
        <v>4.3559038570697908</v>
      </c>
      <c r="K12" s="2"/>
      <c r="O12">
        <f>345*Aa/Ah</f>
        <v>183.90813467529438</v>
      </c>
      <c r="P12">
        <f>3000*62^2/26.6/2/19034</f>
        <v>11.388405868090421</v>
      </c>
    </row>
    <row r="13" spans="3:16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0.99137626012760915</v>
      </c>
      <c r="I13" s="10">
        <f>((t-t0)/(BetaH+t-t0))^0.3</f>
        <v>0.99137626012760915</v>
      </c>
      <c r="K13" s="2"/>
      <c r="P13">
        <f>O12+P12</f>
        <v>195.29654054338479</v>
      </c>
    </row>
    <row r="14" spans="3:16" x14ac:dyDescent="0.25">
      <c r="C14" s="2" t="s">
        <v>10</v>
      </c>
      <c r="D14" s="4">
        <v>275</v>
      </c>
      <c r="E14" t="s">
        <v>12</v>
      </c>
      <c r="G14" s="2" t="s">
        <v>28</v>
      </c>
      <c r="H14" s="21">
        <f>H28</f>
        <v>237089.37198067634</v>
      </c>
      <c r="I14" t="s">
        <v>29</v>
      </c>
      <c r="K14" s="2"/>
    </row>
    <row r="15" spans="3:16" x14ac:dyDescent="0.25">
      <c r="G15" s="2" t="s">
        <v>30</v>
      </c>
      <c r="H15" s="8">
        <f>Ldalle</f>
        <v>2500</v>
      </c>
      <c r="I15" t="s">
        <v>6</v>
      </c>
      <c r="K15" s="1" t="s">
        <v>51</v>
      </c>
      <c r="L15" s="1"/>
      <c r="M15" s="1"/>
    </row>
    <row r="16" spans="3:16" x14ac:dyDescent="0.25">
      <c r="G16" s="2" t="s">
        <v>31</v>
      </c>
      <c r="H16" s="14">
        <f>2*Ac/u</f>
        <v>189.67149758454107</v>
      </c>
      <c r="K16" t="s">
        <v>60</v>
      </c>
      <c r="L16" s="19">
        <f>Portee/(ha+td)*1000</f>
        <v>28.571428571428569</v>
      </c>
      <c r="O16">
        <f>9880+3000*62/26.6</f>
        <v>16872.481203007519</v>
      </c>
    </row>
    <row r="17" spans="3:15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5" x14ac:dyDescent="0.25">
      <c r="C18" s="2" t="s">
        <v>14</v>
      </c>
      <c r="D18" s="4">
        <v>34.076999999999998</v>
      </c>
      <c r="E18" t="s">
        <v>11</v>
      </c>
      <c r="G18" s="2" t="s">
        <v>34</v>
      </c>
      <c r="H18" s="11">
        <f>1+(1-RH/100)/(0.1*h0^(1/3))</f>
        <v>1.8702338652711687</v>
      </c>
      <c r="K18" s="2" t="s">
        <v>52</v>
      </c>
      <c r="L18" s="18">
        <f>Ldalle*tc*Ea/nCalcul*EpsilonSh</f>
        <v>590.6528055373434</v>
      </c>
      <c r="M18" t="s">
        <v>53</v>
      </c>
      <c r="O18">
        <f>3000*62*325*10^(-6)*210/26.6</f>
        <v>477.23684210526312</v>
      </c>
    </row>
    <row r="19" spans="3:15" x14ac:dyDescent="0.25">
      <c r="C19" s="2" t="s">
        <v>15</v>
      </c>
      <c r="D19" s="4">
        <v>35</v>
      </c>
      <c r="E19" t="s">
        <v>12</v>
      </c>
      <c r="G19" s="2" t="s">
        <v>35</v>
      </c>
      <c r="H19" s="11">
        <f>16.8/SQRT(fcm)</f>
        <v>2.5619759815877585</v>
      </c>
      <c r="K19" s="2" t="s">
        <v>55</v>
      </c>
      <c r="L19" s="18">
        <f>zn-tc/2</f>
        <v>146.06037362617582</v>
      </c>
      <c r="M19" t="s">
        <v>6</v>
      </c>
      <c r="O19">
        <f>215-62/2</f>
        <v>184</v>
      </c>
    </row>
    <row r="20" spans="3:15" x14ac:dyDescent="0.25">
      <c r="C20" s="2" t="s">
        <v>22</v>
      </c>
      <c r="D20" s="7">
        <f>fck+8</f>
        <v>43</v>
      </c>
      <c r="E20" t="s">
        <v>12</v>
      </c>
      <c r="G20" s="2" t="s">
        <v>36</v>
      </c>
      <c r="H20" s="4">
        <v>1</v>
      </c>
      <c r="I20" t="s">
        <v>38</v>
      </c>
      <c r="K20" s="2" t="s">
        <v>56</v>
      </c>
      <c r="L20" s="19">
        <f>NaxialSh*dsh/1000</f>
        <v>86.270969460133344</v>
      </c>
      <c r="M20" t="s">
        <v>57</v>
      </c>
    </row>
    <row r="21" spans="3:15" x14ac:dyDescent="0.25">
      <c r="G21" s="2" t="s">
        <v>40</v>
      </c>
      <c r="H21" s="4">
        <f>365*I21</f>
        <v>18250</v>
      </c>
      <c r="I21" s="3">
        <v>50</v>
      </c>
      <c r="K21" s="2" t="s">
        <v>58</v>
      </c>
      <c r="L21" s="4">
        <v>14</v>
      </c>
      <c r="M21" t="s">
        <v>59</v>
      </c>
    </row>
    <row r="22" spans="3:15" x14ac:dyDescent="0.25">
      <c r="C22" s="1" t="s">
        <v>23</v>
      </c>
      <c r="D22" s="1"/>
      <c r="E22" s="1"/>
      <c r="G22" s="2" t="s">
        <v>37</v>
      </c>
      <c r="H22" s="10">
        <f>1/(0.1+t0^0.2)</f>
        <v>0.90909090909090906</v>
      </c>
      <c r="K22" s="2" t="s">
        <v>51</v>
      </c>
      <c r="L22" s="20">
        <f>Msh*Portee^2/(8*Ea*Ih*10)*10^6</f>
        <v>14.640208316659272</v>
      </c>
      <c r="M22" t="s">
        <v>6</v>
      </c>
    </row>
    <row r="23" spans="3:15" x14ac:dyDescent="0.25">
      <c r="C23" s="2" t="s">
        <v>24</v>
      </c>
      <c r="D23" s="4">
        <v>130</v>
      </c>
      <c r="E23" t="s">
        <v>6</v>
      </c>
      <c r="G23" s="2" t="s">
        <v>39</v>
      </c>
      <c r="H23" s="14">
        <f>MIN(1500,1.5*(1+(0.012*RH)^18)*h0+250)</f>
        <v>534.53614092042551</v>
      </c>
      <c r="K23" s="2"/>
      <c r="L23">
        <f>Portee/L22</f>
        <v>0.95627054596410543</v>
      </c>
    </row>
    <row r="24" spans="3:15" x14ac:dyDescent="0.25">
      <c r="C24" s="2" t="s">
        <v>26</v>
      </c>
      <c r="D24" s="4">
        <v>58</v>
      </c>
      <c r="E24" t="s">
        <v>6</v>
      </c>
      <c r="H24" s="15"/>
      <c r="K24" s="2"/>
    </row>
    <row r="25" spans="3:15" x14ac:dyDescent="0.25">
      <c r="C25" s="2" t="s">
        <v>25</v>
      </c>
      <c r="D25" s="7">
        <f>td-tbac</f>
        <v>72</v>
      </c>
      <c r="E25" t="s">
        <v>6</v>
      </c>
      <c r="H25" s="5"/>
      <c r="L25">
        <f>Portee/L23/1000</f>
        <v>1.4640208316659272E-2</v>
      </c>
    </row>
    <row r="26" spans="3:15" x14ac:dyDescent="0.25">
      <c r="C26" s="2" t="s">
        <v>27</v>
      </c>
      <c r="D26" s="4">
        <v>2500</v>
      </c>
      <c r="E26" t="s">
        <v>6</v>
      </c>
      <c r="H26" s="5"/>
    </row>
    <row r="27" spans="3:15" x14ac:dyDescent="0.25">
      <c r="H27" s="5"/>
    </row>
    <row r="28" spans="3:15" x14ac:dyDescent="0.25">
      <c r="C28" s="2" t="s">
        <v>61</v>
      </c>
      <c r="D28" s="4">
        <v>81.5</v>
      </c>
      <c r="E28" t="s">
        <v>6</v>
      </c>
      <c r="G28" s="2" t="s">
        <v>28</v>
      </c>
      <c r="H28" s="21">
        <f>Ldalle*tc+Ldalle/eBac*bm*tbac</f>
        <v>237089.37198067634</v>
      </c>
      <c r="I28" t="s">
        <v>29</v>
      </c>
    </row>
    <row r="29" spans="3:15" x14ac:dyDescent="0.25">
      <c r="C29" s="2" t="s">
        <v>62</v>
      </c>
      <c r="D29" s="4">
        <v>207</v>
      </c>
      <c r="E29" t="s">
        <v>6</v>
      </c>
      <c r="G29" s="2" t="s">
        <v>28</v>
      </c>
      <c r="H29" s="8">
        <f>Ldalle*tc</f>
        <v>180000</v>
      </c>
      <c r="I29" t="s">
        <v>29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7D81-BF84-4D41-BBE0-F7559AB33DAF}">
  <dimension ref="C4:P28"/>
  <sheetViews>
    <sheetView topLeftCell="A4" workbookViewId="0">
      <selection activeCell="H22" sqref="H22"/>
    </sheetView>
  </sheetViews>
  <sheetFormatPr baseColWidth="10" defaultRowHeight="15" x14ac:dyDescent="0.25"/>
  <sheetData>
    <row r="4" spans="3:16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6" x14ac:dyDescent="0.25">
      <c r="C5" s="2" t="s">
        <v>1</v>
      </c>
      <c r="D5" s="4">
        <v>450</v>
      </c>
      <c r="E5" t="s">
        <v>6</v>
      </c>
      <c r="G5" s="2" t="s">
        <v>16</v>
      </c>
      <c r="H5" s="6">
        <f>Ea/Ecm</f>
        <v>6.6717499046892872</v>
      </c>
      <c r="K5" s="2" t="s">
        <v>47</v>
      </c>
      <c r="L5" s="16">
        <f>ha/2+td</f>
        <v>345</v>
      </c>
      <c r="M5" t="s">
        <v>6</v>
      </c>
      <c r="O5">
        <f>6.77</f>
        <v>6.77</v>
      </c>
    </row>
    <row r="6" spans="3:16" x14ac:dyDescent="0.25">
      <c r="C6" s="2" t="s">
        <v>2</v>
      </c>
      <c r="D6" s="4">
        <v>190</v>
      </c>
      <c r="E6" t="s">
        <v>6</v>
      </c>
      <c r="G6" s="2" t="s">
        <v>17</v>
      </c>
      <c r="H6" s="9">
        <v>1.1000000000000001</v>
      </c>
      <c r="K6" s="2" t="s">
        <v>45</v>
      </c>
      <c r="L6" s="4">
        <v>26.6</v>
      </c>
      <c r="O6">
        <f>(1+0.55*5.32)</f>
        <v>3.9260000000000006</v>
      </c>
    </row>
    <row r="7" spans="3:16" x14ac:dyDescent="0.25">
      <c r="C7" s="2" t="s">
        <v>3</v>
      </c>
      <c r="D7" s="4">
        <v>14.6</v>
      </c>
      <c r="E7" t="s">
        <v>6</v>
      </c>
      <c r="G7" s="2" t="s">
        <v>18</v>
      </c>
      <c r="H7" s="13">
        <f>Phi0*BetaC</f>
        <v>2.8607756087752492</v>
      </c>
      <c r="K7" s="2" t="s">
        <v>43</v>
      </c>
      <c r="L7" s="4">
        <v>9880</v>
      </c>
      <c r="M7" t="s">
        <v>29</v>
      </c>
      <c r="O7">
        <f>O5*O6</f>
        <v>26.579020000000003</v>
      </c>
    </row>
    <row r="8" spans="3:16" x14ac:dyDescent="0.25">
      <c r="C8" s="2" t="s">
        <v>4</v>
      </c>
      <c r="D8" s="4">
        <v>9.4</v>
      </c>
      <c r="E8" t="s">
        <v>6</v>
      </c>
      <c r="G8" s="2" t="s">
        <v>19</v>
      </c>
      <c r="H8" s="6">
        <f>n0*(1+PsiSh*PhiT)</f>
        <v>27.666767239391362</v>
      </c>
      <c r="I8" s="6">
        <f>3*n0</f>
        <v>20.015249714067863</v>
      </c>
      <c r="K8" s="2" t="s">
        <v>44</v>
      </c>
      <c r="L8" s="17">
        <f>Ldalle*tc/nCalcul+Aa</f>
        <v>16872.481203007519</v>
      </c>
      <c r="M8" t="s">
        <v>29</v>
      </c>
    </row>
    <row r="9" spans="3:16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214.86862979269532</v>
      </c>
      <c r="M9" t="s">
        <v>29</v>
      </c>
      <c r="O9">
        <f>Ldalle*tc/2/nCalcul/Ah*tc</f>
        <v>12.847364574606511</v>
      </c>
      <c r="P9">
        <f>zp*Aa/Ah</f>
        <v>202.02126521808881</v>
      </c>
    </row>
    <row r="10" spans="3:16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6" x14ac:dyDescent="0.25">
      <c r="G11" s="2"/>
      <c r="K11" s="2" t="s">
        <v>50</v>
      </c>
      <c r="L11" s="17">
        <f>Ia+Aa*(zp-zn)^2 /10^4+Ldalle*tc/3/nCalcul*(tc^2+3*zn*(zn-tc))/10^4</f>
        <v>74334.907723355558</v>
      </c>
      <c r="M11" t="s">
        <v>49</v>
      </c>
    </row>
    <row r="12" spans="3:16" x14ac:dyDescent="0.25">
      <c r="C12" s="1" t="s">
        <v>8</v>
      </c>
      <c r="D12" s="1"/>
      <c r="E12" s="1"/>
      <c r="G12" s="2" t="s">
        <v>20</v>
      </c>
      <c r="H12" s="11">
        <f>PhiRH*Betafcm*BetaT0</f>
        <v>2.8607756087752492</v>
      </c>
      <c r="K12" s="2"/>
      <c r="O12">
        <f>345*Aa/Ah</f>
        <v>202.02126521808881</v>
      </c>
      <c r="P12">
        <f>3000*62^2/26.6/2/19034</f>
        <v>11.388405868090421</v>
      </c>
    </row>
    <row r="13" spans="3:16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v>1</v>
      </c>
      <c r="I13" s="10">
        <f>((t-t0)/(BetaH+t-t0))^0.3</f>
        <v>0.99293119267765073</v>
      </c>
      <c r="K13" s="2"/>
      <c r="P13">
        <f>O12+P12</f>
        <v>213.40967108617923</v>
      </c>
    </row>
    <row r="14" spans="3:16" x14ac:dyDescent="0.25">
      <c r="C14" s="2" t="s">
        <v>10</v>
      </c>
      <c r="D14" s="4">
        <v>275</v>
      </c>
      <c r="E14" t="s">
        <v>12</v>
      </c>
      <c r="G14" s="2" t="s">
        <v>28</v>
      </c>
      <c r="H14" s="8">
        <f>Ldalle*tc</f>
        <v>186000</v>
      </c>
      <c r="I14" t="s">
        <v>29</v>
      </c>
      <c r="K14" s="2"/>
    </row>
    <row r="15" spans="3:16" x14ac:dyDescent="0.25">
      <c r="G15" s="2" t="s">
        <v>30</v>
      </c>
      <c r="H15" s="8">
        <f>Ldalle</f>
        <v>3000</v>
      </c>
      <c r="I15" t="s">
        <v>6</v>
      </c>
      <c r="K15" s="1" t="s">
        <v>51</v>
      </c>
      <c r="L15" s="1"/>
      <c r="M15" s="1"/>
    </row>
    <row r="16" spans="3:16" x14ac:dyDescent="0.25">
      <c r="G16" s="2" t="s">
        <v>31</v>
      </c>
      <c r="H16" s="8">
        <f>2*Ac/u</f>
        <v>124</v>
      </c>
      <c r="K16" t="s">
        <v>60</v>
      </c>
      <c r="L16" s="19">
        <f>Portee/(ha+td)*1000</f>
        <v>24.561403508771932</v>
      </c>
      <c r="O16">
        <f>9880+3000*62/26.6</f>
        <v>16872.481203007519</v>
      </c>
    </row>
    <row r="17" spans="3:15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5" x14ac:dyDescent="0.25">
      <c r="C18" s="2" t="s">
        <v>14</v>
      </c>
      <c r="D18" s="4">
        <v>31.475999999999999</v>
      </c>
      <c r="E18" t="s">
        <v>11</v>
      </c>
      <c r="G18" s="2" t="s">
        <v>34</v>
      </c>
      <c r="H18" s="11">
        <f>1+(1-RH/100)/(0.1*h0^(1/3))</f>
        <v>2.0026809779767945</v>
      </c>
      <c r="K18" s="2" t="s">
        <v>52</v>
      </c>
      <c r="L18" s="18">
        <f>Ldalle*tc*Ea/nCalcul*EpsilonSh</f>
        <v>477.23684210526312</v>
      </c>
      <c r="M18" t="s">
        <v>53</v>
      </c>
      <c r="O18">
        <f>3000*62*325*10^(-6)*210/26.6</f>
        <v>477.23684210526312</v>
      </c>
    </row>
    <row r="19" spans="3:15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183.86862979269532</v>
      </c>
      <c r="M19" t="s">
        <v>6</v>
      </c>
      <c r="O19">
        <f>215-62/2</f>
        <v>184</v>
      </c>
    </row>
    <row r="20" spans="3:15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28</v>
      </c>
      <c r="I20" t="s">
        <v>38</v>
      </c>
      <c r="K20" s="2" t="s">
        <v>56</v>
      </c>
      <c r="L20" s="19">
        <f>NaxialSh*dsh/1000</f>
        <v>87.748884244487613</v>
      </c>
      <c r="M20" t="s">
        <v>57</v>
      </c>
    </row>
    <row r="21" spans="3:15" x14ac:dyDescent="0.25">
      <c r="G21" s="2" t="s">
        <v>40</v>
      </c>
      <c r="H21" s="4">
        <f>50*365</f>
        <v>18250</v>
      </c>
      <c r="I21" s="3">
        <v>10</v>
      </c>
      <c r="K21" s="2" t="s">
        <v>58</v>
      </c>
      <c r="L21" s="4">
        <v>14</v>
      </c>
      <c r="M21" t="s">
        <v>59</v>
      </c>
    </row>
    <row r="22" spans="3:15" x14ac:dyDescent="0.25">
      <c r="C22" s="1" t="s">
        <v>23</v>
      </c>
      <c r="D22" s="1"/>
      <c r="E22" s="1"/>
      <c r="G22" s="2" t="s">
        <v>37</v>
      </c>
      <c r="H22" s="10">
        <f>1/(0.1+t0^0.2)</f>
        <v>0.48844954537902541</v>
      </c>
      <c r="K22" s="2" t="s">
        <v>51</v>
      </c>
      <c r="L22" s="20">
        <f>Msh*Portee^2/(8*Ea*Ih*10)*10^6</f>
        <v>13.771954714227803</v>
      </c>
      <c r="M22" t="s">
        <v>6</v>
      </c>
    </row>
    <row r="23" spans="3:15" x14ac:dyDescent="0.25">
      <c r="C23" s="2" t="s">
        <v>24</v>
      </c>
      <c r="D23" s="4">
        <v>120</v>
      </c>
      <c r="E23" t="s">
        <v>6</v>
      </c>
      <c r="G23" s="2" t="s">
        <v>39</v>
      </c>
      <c r="H23" s="14">
        <f>MIN(1500,1.5*(1+(0.012*RH)^18)*h0+250)</f>
        <v>436.01889015194035</v>
      </c>
      <c r="K23" s="2"/>
      <c r="L23">
        <f>Portee/L22</f>
        <v>1.0165586723529234</v>
      </c>
    </row>
    <row r="24" spans="3:15" x14ac:dyDescent="0.25">
      <c r="C24" s="2" t="s">
        <v>26</v>
      </c>
      <c r="D24" s="4">
        <v>58</v>
      </c>
      <c r="E24" t="s">
        <v>6</v>
      </c>
      <c r="H24" s="15"/>
      <c r="K24" s="2"/>
    </row>
    <row r="25" spans="3:15" x14ac:dyDescent="0.25">
      <c r="C25" s="2" t="s">
        <v>25</v>
      </c>
      <c r="D25" s="7">
        <f>td-tbac</f>
        <v>62</v>
      </c>
      <c r="E25" t="s">
        <v>6</v>
      </c>
      <c r="H25" s="5"/>
      <c r="L25">
        <f>Portee/L23/1000</f>
        <v>1.3771954714227803E-2</v>
      </c>
    </row>
    <row r="26" spans="3:15" x14ac:dyDescent="0.25">
      <c r="C26" s="2" t="s">
        <v>27</v>
      </c>
      <c r="D26" s="4">
        <v>3000</v>
      </c>
      <c r="E26" t="s">
        <v>6</v>
      </c>
      <c r="H26" s="5"/>
    </row>
    <row r="27" spans="3:15" x14ac:dyDescent="0.25">
      <c r="H27" s="5"/>
    </row>
    <row r="28" spans="3:15" x14ac:dyDescent="0.25">
      <c r="H28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M28"/>
  <sheetViews>
    <sheetView topLeftCell="A4" workbookViewId="0">
      <selection activeCell="L16" sqref="L16"/>
    </sheetView>
  </sheetViews>
  <sheetFormatPr baseColWidth="10" defaultRowHeight="15" x14ac:dyDescent="0.25"/>
  <sheetData>
    <row r="4" spans="3:13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3" x14ac:dyDescent="0.25">
      <c r="C5" s="2" t="s">
        <v>1</v>
      </c>
      <c r="D5" s="4">
        <v>450</v>
      </c>
      <c r="E5" t="s">
        <v>6</v>
      </c>
      <c r="G5" s="2" t="s">
        <v>16</v>
      </c>
      <c r="H5" s="6">
        <f>Ea/Ecm</f>
        <v>6.774193548387097</v>
      </c>
      <c r="K5" s="2" t="s">
        <v>47</v>
      </c>
      <c r="L5" s="16">
        <f>ha/2+td</f>
        <v>345</v>
      </c>
      <c r="M5" t="s">
        <v>6</v>
      </c>
    </row>
    <row r="6" spans="3:13" x14ac:dyDescent="0.25">
      <c r="C6" s="2" t="s">
        <v>2</v>
      </c>
      <c r="D6" s="4">
        <v>300</v>
      </c>
      <c r="E6" t="s">
        <v>6</v>
      </c>
      <c r="G6" s="2" t="s">
        <v>17</v>
      </c>
      <c r="H6" s="7">
        <v>0.55000000000000004</v>
      </c>
      <c r="K6" s="2" t="s">
        <v>45</v>
      </c>
      <c r="L6" s="4">
        <v>29.2</v>
      </c>
    </row>
    <row r="7" spans="3:13" x14ac:dyDescent="0.25">
      <c r="C7" s="2" t="s">
        <v>3</v>
      </c>
      <c r="D7" s="4">
        <v>14.6</v>
      </c>
      <c r="E7" t="s">
        <v>6</v>
      </c>
      <c r="G7" s="2" t="s">
        <v>18</v>
      </c>
      <c r="H7" s="12">
        <f>Phi0*BetaC</f>
        <v>5.8572832212715502</v>
      </c>
      <c r="K7" s="2" t="s">
        <v>43</v>
      </c>
      <c r="L7" s="4">
        <v>9880</v>
      </c>
      <c r="M7" t="s">
        <v>29</v>
      </c>
    </row>
    <row r="8" spans="3:13" x14ac:dyDescent="0.25">
      <c r="C8" s="2" t="s">
        <v>4</v>
      </c>
      <c r="D8" s="4">
        <v>9.4</v>
      </c>
      <c r="E8" t="s">
        <v>6</v>
      </c>
      <c r="G8" s="2" t="s">
        <v>19</v>
      </c>
      <c r="H8" s="6">
        <f>n0*(1+PsiSh*PhiT)</f>
        <v>28.597297163124651</v>
      </c>
      <c r="I8" s="6">
        <f>3*n0</f>
        <v>20.322580645161292</v>
      </c>
      <c r="K8" s="2" t="s">
        <v>44</v>
      </c>
      <c r="L8" s="17">
        <f>Ldalle*tc/nCalcul+Aa</f>
        <v>16249.86301369863</v>
      </c>
      <c r="M8" t="s">
        <v>29</v>
      </c>
    </row>
    <row r="9" spans="3:13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221.91360938764498</v>
      </c>
      <c r="M9" t="s">
        <v>29</v>
      </c>
    </row>
    <row r="10" spans="3:13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3" x14ac:dyDescent="0.25">
      <c r="G11" s="2"/>
      <c r="K11" s="2" t="s">
        <v>50</v>
      </c>
      <c r="L11" s="17">
        <f>Ia+Aa*(zp-zn)^2 /10^4+Ldalle*tc/3/nCalcul*(tc^2+3*zn*(zn-tc))/10^4</f>
        <v>72129.3850776576</v>
      </c>
      <c r="M11" t="s">
        <v>49</v>
      </c>
    </row>
    <row r="12" spans="3:13" x14ac:dyDescent="0.25">
      <c r="C12" s="1" t="s">
        <v>8</v>
      </c>
      <c r="D12" s="1"/>
      <c r="E12" s="1"/>
      <c r="G12" s="2" t="s">
        <v>20</v>
      </c>
      <c r="H12" s="11">
        <f>PhiRH*Betafcm*BetaT0</f>
        <v>6.0172981848108389</v>
      </c>
      <c r="K12" s="2"/>
    </row>
    <row r="13" spans="3:13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0.97340750638829798</v>
      </c>
      <c r="K13" s="2"/>
    </row>
    <row r="14" spans="3:13" x14ac:dyDescent="0.25">
      <c r="C14" s="2" t="s">
        <v>10</v>
      </c>
      <c r="D14" s="4">
        <v>355</v>
      </c>
      <c r="E14" t="s">
        <v>12</v>
      </c>
      <c r="G14" s="2" t="s">
        <v>28</v>
      </c>
      <c r="H14" s="8">
        <f>Ldalle*tc</f>
        <v>186000</v>
      </c>
      <c r="I14" t="s">
        <v>29</v>
      </c>
      <c r="K14" s="2"/>
    </row>
    <row r="15" spans="3:13" x14ac:dyDescent="0.25">
      <c r="G15" s="2" t="s">
        <v>30</v>
      </c>
      <c r="H15" s="8">
        <f>Ldalle</f>
        <v>3000</v>
      </c>
      <c r="I15" t="s">
        <v>6</v>
      </c>
      <c r="K15" s="1" t="s">
        <v>51</v>
      </c>
      <c r="L15" s="1"/>
      <c r="M15" s="1"/>
    </row>
    <row r="16" spans="3:13" x14ac:dyDescent="0.25">
      <c r="G16" s="2" t="s">
        <v>31</v>
      </c>
      <c r="H16" s="8">
        <f>Ac/u</f>
        <v>62</v>
      </c>
      <c r="K16" t="s">
        <v>60</v>
      </c>
      <c r="L16" s="19">
        <f>Portee/(ha+td)*1000</f>
        <v>24.561403508771932</v>
      </c>
    </row>
    <row r="17" spans="3:13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3" x14ac:dyDescent="0.25">
      <c r="C18" s="2" t="s">
        <v>14</v>
      </c>
      <c r="D18" s="4">
        <v>31</v>
      </c>
      <c r="E18" t="s">
        <v>11</v>
      </c>
      <c r="G18" s="2" t="s">
        <v>34</v>
      </c>
      <c r="H18" s="11">
        <f>1+(1-RH/100)/(0.1*h0^(1/3))</f>
        <v>2.2632988704821413</v>
      </c>
      <c r="K18" s="2" t="s">
        <v>52</v>
      </c>
      <c r="L18" s="18">
        <f>Ldalle*tc*Ea/nCalcul*EpsilonSh</f>
        <v>434.74315068493155</v>
      </c>
      <c r="M18" t="s">
        <v>53</v>
      </c>
    </row>
    <row r="19" spans="3:13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190.91360938764498</v>
      </c>
      <c r="M19" t="s">
        <v>6</v>
      </c>
    </row>
    <row r="20" spans="3:13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1</v>
      </c>
      <c r="I20" t="s">
        <v>38</v>
      </c>
      <c r="K20" s="2" t="s">
        <v>56</v>
      </c>
      <c r="L20" s="19">
        <f>NaxialSh*dsh/1000</f>
        <v>82.998384053817105</v>
      </c>
      <c r="M20" t="s">
        <v>57</v>
      </c>
    </row>
    <row r="21" spans="3:13" x14ac:dyDescent="0.25">
      <c r="G21" s="2" t="s">
        <v>40</v>
      </c>
      <c r="H21" s="4">
        <f>365*I21</f>
        <v>3650</v>
      </c>
      <c r="I21" s="3">
        <v>10</v>
      </c>
      <c r="K21" s="2" t="s">
        <v>58</v>
      </c>
      <c r="L21" s="4">
        <v>14</v>
      </c>
      <c r="M21" t="s">
        <v>59</v>
      </c>
    </row>
    <row r="22" spans="3:13" x14ac:dyDescent="0.25">
      <c r="C22" s="1" t="s">
        <v>23</v>
      </c>
      <c r="D22" s="1"/>
      <c r="E22" s="1"/>
      <c r="G22" s="2" t="s">
        <v>37</v>
      </c>
      <c r="H22" s="10">
        <f>1/(0.1+t0^0.2)</f>
        <v>0.90909090909090906</v>
      </c>
      <c r="K22" s="2" t="s">
        <v>51</v>
      </c>
      <c r="L22" s="20">
        <f>Msh*Portee^2/(8*Ea*Ih*10)*10^6</f>
        <v>13.424687865913972</v>
      </c>
      <c r="M22" t="s">
        <v>6</v>
      </c>
    </row>
    <row r="23" spans="3:13" x14ac:dyDescent="0.25">
      <c r="C23" s="2" t="s">
        <v>24</v>
      </c>
      <c r="D23" s="4">
        <v>120</v>
      </c>
      <c r="E23" t="s">
        <v>6</v>
      </c>
      <c r="G23" s="2" t="s">
        <v>39</v>
      </c>
      <c r="H23" s="14">
        <f>MIN(1500,1.5*(1+(0.012*RH)^18)*h0+250)</f>
        <v>343.00944507597018</v>
      </c>
      <c r="K23" s="2"/>
    </row>
    <row r="24" spans="3:13" x14ac:dyDescent="0.25">
      <c r="C24" s="2" t="s">
        <v>26</v>
      </c>
      <c r="D24" s="4">
        <v>58</v>
      </c>
      <c r="E24" t="s">
        <v>6</v>
      </c>
      <c r="H24" s="15"/>
      <c r="K24" s="2"/>
    </row>
    <row r="25" spans="3:13" x14ac:dyDescent="0.25">
      <c r="C25" s="2" t="s">
        <v>25</v>
      </c>
      <c r="D25" s="7">
        <f>td-tbac</f>
        <v>62</v>
      </c>
      <c r="E25" t="s">
        <v>6</v>
      </c>
      <c r="H25" s="5"/>
    </row>
    <row r="26" spans="3:13" x14ac:dyDescent="0.25">
      <c r="C26" s="2" t="s">
        <v>27</v>
      </c>
      <c r="D26" s="4">
        <v>3000</v>
      </c>
      <c r="E26" t="s">
        <v>6</v>
      </c>
      <c r="H26" s="5"/>
    </row>
    <row r="27" spans="3:13" x14ac:dyDescent="0.25">
      <c r="H27" s="5"/>
    </row>
    <row r="28" spans="3:13" x14ac:dyDescent="0.25">
      <c r="H28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D182"/>
  <sheetViews>
    <sheetView workbookViewId="0">
      <selection activeCell="E166" sqref="E166"/>
    </sheetView>
  </sheetViews>
  <sheetFormatPr baseColWidth="10" defaultRowHeight="15" x14ac:dyDescent="0.25"/>
  <sheetData>
    <row r="3" spans="3:4" x14ac:dyDescent="0.25">
      <c r="D3" s="5">
        <v>343</v>
      </c>
    </row>
    <row r="4" spans="3:4" x14ac:dyDescent="0.25">
      <c r="C4">
        <v>10</v>
      </c>
      <c r="D4" s="15">
        <f>(C4-1)^0.3/($D$3+C4-1)^0.3</f>
        <v>0.33289705548675402</v>
      </c>
    </row>
    <row r="5" spans="3:4" x14ac:dyDescent="0.25">
      <c r="C5">
        <v>100</v>
      </c>
      <c r="D5" s="15">
        <f t="shared" ref="D5:D68" si="0">(C5-1)^0.3/($D$3+C5-1)^0.3</f>
        <v>0.63835737115480928</v>
      </c>
    </row>
    <row r="6" spans="3:4" x14ac:dyDescent="0.25">
      <c r="C6">
        <v>200</v>
      </c>
      <c r="D6" s="15">
        <f t="shared" si="0"/>
        <v>0.74038248624375347</v>
      </c>
    </row>
    <row r="7" spans="3:4" x14ac:dyDescent="0.25">
      <c r="C7">
        <v>300</v>
      </c>
      <c r="D7" s="15">
        <f t="shared" si="0"/>
        <v>0.79513495891822117</v>
      </c>
    </row>
    <row r="8" spans="3:4" x14ac:dyDescent="0.25">
      <c r="C8">
        <v>400</v>
      </c>
      <c r="D8" s="15">
        <f t="shared" si="0"/>
        <v>0.83017700002605221</v>
      </c>
    </row>
    <row r="9" spans="3:4" x14ac:dyDescent="0.25">
      <c r="C9">
        <v>500</v>
      </c>
      <c r="D9" s="15">
        <f t="shared" si="0"/>
        <v>0.85474493554901376</v>
      </c>
    </row>
    <row r="10" spans="3:4" x14ac:dyDescent="0.25">
      <c r="C10">
        <v>600</v>
      </c>
      <c r="D10" s="15">
        <f t="shared" si="0"/>
        <v>0.87299704944330581</v>
      </c>
    </row>
    <row r="11" spans="3:4" x14ac:dyDescent="0.25">
      <c r="C11">
        <v>700</v>
      </c>
      <c r="D11" s="15">
        <f t="shared" si="0"/>
        <v>0.88712095304534977</v>
      </c>
    </row>
    <row r="12" spans="3:4" x14ac:dyDescent="0.25">
      <c r="C12">
        <v>800</v>
      </c>
      <c r="D12" s="15">
        <f t="shared" si="0"/>
        <v>0.89838853848625455</v>
      </c>
    </row>
    <row r="13" spans="3:4" x14ac:dyDescent="0.25">
      <c r="C13">
        <v>900</v>
      </c>
      <c r="D13" s="15">
        <f t="shared" si="0"/>
        <v>0.90759360840371528</v>
      </c>
    </row>
    <row r="14" spans="3:4" x14ac:dyDescent="0.25">
      <c r="C14">
        <v>1000</v>
      </c>
      <c r="D14" s="15">
        <f t="shared" si="0"/>
        <v>0.91525875469813534</v>
      </c>
    </row>
    <row r="15" spans="3:4" x14ac:dyDescent="0.25">
      <c r="C15">
        <v>1100</v>
      </c>
      <c r="D15" s="15">
        <f t="shared" si="0"/>
        <v>0.92174274846964765</v>
      </c>
    </row>
    <row r="16" spans="3:4" x14ac:dyDescent="0.25">
      <c r="C16">
        <v>1200</v>
      </c>
      <c r="D16" s="15">
        <f t="shared" si="0"/>
        <v>0.92730039080809756</v>
      </c>
    </row>
    <row r="17" spans="3:4" x14ac:dyDescent="0.25">
      <c r="C17">
        <v>1300</v>
      </c>
      <c r="D17" s="15">
        <f t="shared" si="0"/>
        <v>0.93211779574151232</v>
      </c>
    </row>
    <row r="18" spans="3:4" x14ac:dyDescent="0.25">
      <c r="C18">
        <v>1400</v>
      </c>
      <c r="D18" s="15">
        <f t="shared" si="0"/>
        <v>0.93633416266465164</v>
      </c>
    </row>
    <row r="19" spans="3:4" x14ac:dyDescent="0.25">
      <c r="C19">
        <v>1500</v>
      </c>
      <c r="D19" s="15">
        <f t="shared" si="0"/>
        <v>0.94005573247015328</v>
      </c>
    </row>
    <row r="20" spans="3:4" x14ac:dyDescent="0.25">
      <c r="C20">
        <v>1600</v>
      </c>
      <c r="D20" s="15">
        <f t="shared" si="0"/>
        <v>0.94336502628837349</v>
      </c>
    </row>
    <row r="21" spans="3:4" x14ac:dyDescent="0.25">
      <c r="C21">
        <v>1700</v>
      </c>
      <c r="D21" s="15">
        <f t="shared" si="0"/>
        <v>0.94632713303581839</v>
      </c>
    </row>
    <row r="22" spans="3:4" x14ac:dyDescent="0.25">
      <c r="C22">
        <v>1800</v>
      </c>
      <c r="D22" s="15">
        <f t="shared" si="0"/>
        <v>0.94899409273543855</v>
      </c>
    </row>
    <row r="23" spans="3:4" x14ac:dyDescent="0.25">
      <c r="C23">
        <v>1900</v>
      </c>
      <c r="D23" s="15">
        <f t="shared" si="0"/>
        <v>0.95140801761288518</v>
      </c>
    </row>
    <row r="24" spans="3:4" x14ac:dyDescent="0.25">
      <c r="C24">
        <v>2000</v>
      </c>
      <c r="D24" s="15">
        <f t="shared" si="0"/>
        <v>0.95360335646227223</v>
      </c>
    </row>
    <row r="25" spans="3:4" x14ac:dyDescent="0.25">
      <c r="C25">
        <v>2100</v>
      </c>
      <c r="D25" s="15">
        <f t="shared" si="0"/>
        <v>0.95560856515331138</v>
      </c>
    </row>
    <row r="26" spans="3:4" x14ac:dyDescent="0.25">
      <c r="C26">
        <v>2200</v>
      </c>
      <c r="D26" s="15">
        <f t="shared" si="0"/>
        <v>0.95744735768442635</v>
      </c>
    </row>
    <row r="27" spans="3:4" x14ac:dyDescent="0.25">
      <c r="C27">
        <v>2300</v>
      </c>
      <c r="D27" s="15">
        <f t="shared" si="0"/>
        <v>0.95913965591467143</v>
      </c>
    </row>
    <row r="28" spans="3:4" x14ac:dyDescent="0.25">
      <c r="C28">
        <v>2400</v>
      </c>
      <c r="D28" s="15">
        <f t="shared" si="0"/>
        <v>0.96070231949927509</v>
      </c>
    </row>
    <row r="29" spans="3:4" x14ac:dyDescent="0.25">
      <c r="C29">
        <v>2500</v>
      </c>
      <c r="D29" s="15">
        <f t="shared" si="0"/>
        <v>0.96214971324945897</v>
      </c>
    </row>
    <row r="30" spans="3:4" x14ac:dyDescent="0.25">
      <c r="C30">
        <v>2600</v>
      </c>
      <c r="D30" s="15">
        <f t="shared" si="0"/>
        <v>0.96349415270172256</v>
      </c>
    </row>
    <row r="31" spans="3:4" x14ac:dyDescent="0.25">
      <c r="C31">
        <v>2700</v>
      </c>
      <c r="D31" s="15">
        <f t="shared" si="0"/>
        <v>0.96474625737930075</v>
      </c>
    </row>
    <row r="32" spans="3:4" x14ac:dyDescent="0.25">
      <c r="C32">
        <v>2800</v>
      </c>
      <c r="D32" s="15">
        <f t="shared" si="0"/>
        <v>0.96591523333564155</v>
      </c>
    </row>
    <row r="33" spans="3:4" x14ac:dyDescent="0.25">
      <c r="C33">
        <v>2900</v>
      </c>
      <c r="D33" s="15">
        <f t="shared" si="0"/>
        <v>0.96700910097943016</v>
      </c>
    </row>
    <row r="34" spans="3:4" x14ac:dyDescent="0.25">
      <c r="C34">
        <v>3000</v>
      </c>
      <c r="D34" s="15">
        <f t="shared" si="0"/>
        <v>0.96803488016939143</v>
      </c>
    </row>
    <row r="35" spans="3:4" x14ac:dyDescent="0.25">
      <c r="C35">
        <v>3100</v>
      </c>
      <c r="D35" s="15">
        <f t="shared" si="0"/>
        <v>0.96899874165378352</v>
      </c>
    </row>
    <row r="36" spans="3:4" x14ac:dyDescent="0.25">
      <c r="C36">
        <v>3200</v>
      </c>
      <c r="D36" s="15">
        <f t="shared" si="0"/>
        <v>0.96990613178989815</v>
      </c>
    </row>
    <row r="37" spans="3:4" x14ac:dyDescent="0.25">
      <c r="C37">
        <v>3300</v>
      </c>
      <c r="D37" s="15">
        <f t="shared" si="0"/>
        <v>0.97076187589097063</v>
      </c>
    </row>
    <row r="38" spans="3:4" x14ac:dyDescent="0.25">
      <c r="C38">
        <v>3400</v>
      </c>
      <c r="D38" s="15">
        <f t="shared" si="0"/>
        <v>0.97157026435793825</v>
      </c>
    </row>
    <row r="39" spans="3:4" x14ac:dyDescent="0.25">
      <c r="C39">
        <v>3500</v>
      </c>
      <c r="D39" s="15">
        <f t="shared" si="0"/>
        <v>0.97233512485358986</v>
      </c>
    </row>
    <row r="40" spans="3:4" x14ac:dyDescent="0.25">
      <c r="C40">
        <v>3600</v>
      </c>
      <c r="D40" s="15">
        <f t="shared" si="0"/>
        <v>0.97305988309024927</v>
      </c>
    </row>
    <row r="41" spans="3:4" x14ac:dyDescent="0.25">
      <c r="C41">
        <v>3700</v>
      </c>
      <c r="D41" s="15">
        <f t="shared" si="0"/>
        <v>0.9737476142743744</v>
      </c>
    </row>
    <row r="42" spans="3:4" x14ac:dyDescent="0.25">
      <c r="C42">
        <v>3800</v>
      </c>
      <c r="D42" s="15">
        <f t="shared" si="0"/>
        <v>0.97440108684259852</v>
      </c>
    </row>
    <row r="43" spans="3:4" x14ac:dyDescent="0.25">
      <c r="C43">
        <v>3900</v>
      </c>
      <c r="D43" s="15">
        <f t="shared" si="0"/>
        <v>0.97502279980471407</v>
      </c>
    </row>
    <row r="44" spans="3:4" x14ac:dyDescent="0.25">
      <c r="C44">
        <v>4000</v>
      </c>
      <c r="D44" s="15">
        <f t="shared" si="0"/>
        <v>0.97561501475850942</v>
      </c>
    </row>
    <row r="45" spans="3:4" x14ac:dyDescent="0.25">
      <c r="C45">
        <v>4100</v>
      </c>
      <c r="D45" s="15">
        <f t="shared" si="0"/>
        <v>0.97617978344323009</v>
      </c>
    </row>
    <row r="46" spans="3:4" x14ac:dyDescent="0.25">
      <c r="C46">
        <v>4200</v>
      </c>
      <c r="D46" s="15">
        <f t="shared" si="0"/>
        <v>0.97671897154089393</v>
      </c>
    </row>
    <row r="47" spans="3:4" x14ac:dyDescent="0.25">
      <c r="C47">
        <v>4300</v>
      </c>
      <c r="D47" s="15">
        <f t="shared" si="0"/>
        <v>0.97723427930861695</v>
      </c>
    </row>
    <row r="48" spans="3:4" x14ac:dyDescent="0.25">
      <c r="C48">
        <v>4400</v>
      </c>
      <c r="D48" s="15">
        <f t="shared" si="0"/>
        <v>0.97772725952373829</v>
      </c>
    </row>
    <row r="49" spans="3:4" x14ac:dyDescent="0.25">
      <c r="C49">
        <v>4500</v>
      </c>
      <c r="D49" s="15">
        <f t="shared" si="0"/>
        <v>0.97819933314155783</v>
      </c>
    </row>
    <row r="50" spans="3:4" x14ac:dyDescent="0.25">
      <c r="C50">
        <v>4600</v>
      </c>
      <c r="D50" s="15">
        <f t="shared" si="0"/>
        <v>0.97865180299890886</v>
      </c>
    </row>
    <row r="51" spans="3:4" x14ac:dyDescent="0.25">
      <c r="C51">
        <v>4700</v>
      </c>
      <c r="D51" s="15">
        <f t="shared" si="0"/>
        <v>0.97908586584241886</v>
      </c>
    </row>
    <row r="52" spans="3:4" x14ac:dyDescent="0.25">
      <c r="C52">
        <v>4800</v>
      </c>
      <c r="D52" s="15">
        <f t="shared" si="0"/>
        <v>0.97950262291572765</v>
      </c>
    </row>
    <row r="53" spans="3:4" x14ac:dyDescent="0.25">
      <c r="C53">
        <v>4900</v>
      </c>
      <c r="D53" s="15">
        <f t="shared" si="0"/>
        <v>0.97990308930319603</v>
      </c>
    </row>
    <row r="54" spans="3:4" x14ac:dyDescent="0.25">
      <c r="C54">
        <v>5000</v>
      </c>
      <c r="D54" s="15">
        <f t="shared" si="0"/>
        <v>0.98028820219730917</v>
      </c>
    </row>
    <row r="55" spans="3:4" x14ac:dyDescent="0.25">
      <c r="C55">
        <v>5100</v>
      </c>
      <c r="D55" s="15">
        <f t="shared" si="0"/>
        <v>0.980658828231732</v>
      </c>
    </row>
    <row r="56" spans="3:4" x14ac:dyDescent="0.25">
      <c r="C56">
        <v>5200</v>
      </c>
      <c r="D56" s="15">
        <f t="shared" si="0"/>
        <v>0.98101577000096951</v>
      </c>
    </row>
    <row r="57" spans="3:4" x14ac:dyDescent="0.25">
      <c r="C57">
        <v>5300</v>
      </c>
      <c r="D57" s="15">
        <f t="shared" si="0"/>
        <v>0.98135977187002543</v>
      </c>
    </row>
    <row r="58" spans="3:4" x14ac:dyDescent="0.25">
      <c r="C58">
        <v>5400</v>
      </c>
      <c r="D58" s="15">
        <f t="shared" si="0"/>
        <v>0.98169152516267533</v>
      </c>
    </row>
    <row r="59" spans="3:4" x14ac:dyDescent="0.25">
      <c r="C59">
        <v>5500</v>
      </c>
      <c r="D59" s="15">
        <f t="shared" si="0"/>
        <v>0.98201167280456225</v>
      </c>
    </row>
    <row r="60" spans="3:4" x14ac:dyDescent="0.25">
      <c r="C60">
        <v>5600</v>
      </c>
      <c r="D60" s="15">
        <f t="shared" si="0"/>
        <v>0.98232081348681932</v>
      </c>
    </row>
    <row r="61" spans="3:4" x14ac:dyDescent="0.25">
      <c r="C61">
        <v>5700</v>
      </c>
      <c r="D61" s="15">
        <f t="shared" si="0"/>
        <v>0.98261950540701504</v>
      </c>
    </row>
    <row r="62" spans="3:4" x14ac:dyDescent="0.25">
      <c r="C62">
        <v>5800</v>
      </c>
      <c r="D62" s="15">
        <f t="shared" si="0"/>
        <v>0.98290826963666766</v>
      </c>
    </row>
    <row r="63" spans="3:4" x14ac:dyDescent="0.25">
      <c r="C63">
        <v>5900</v>
      </c>
      <c r="D63" s="15">
        <f t="shared" si="0"/>
        <v>0.9831875931581201</v>
      </c>
    </row>
    <row r="64" spans="3:4" x14ac:dyDescent="0.25">
      <c r="C64">
        <v>6000</v>
      </c>
      <c r="D64" s="15">
        <f t="shared" si="0"/>
        <v>0.98345793160803785</v>
      </c>
    </row>
    <row r="65" spans="3:4" x14ac:dyDescent="0.25">
      <c r="C65">
        <v>6100</v>
      </c>
      <c r="D65" s="15">
        <f t="shared" si="0"/>
        <v>0.98371971176009598</v>
      </c>
    </row>
    <row r="66" spans="3:4" x14ac:dyDescent="0.25">
      <c r="C66">
        <v>6200</v>
      </c>
      <c r="D66" s="15">
        <f t="shared" si="0"/>
        <v>0.98397333377531715</v>
      </c>
    </row>
    <row r="67" spans="3:4" x14ac:dyDescent="0.25">
      <c r="C67">
        <v>6300</v>
      </c>
      <c r="D67" s="15">
        <f t="shared" si="0"/>
        <v>0.98421917324506314</v>
      </c>
    </row>
    <row r="68" spans="3:4" x14ac:dyDescent="0.25">
      <c r="C68">
        <v>6400</v>
      </c>
      <c r="D68" s="15">
        <f t="shared" si="0"/>
        <v>0.98445758304862963</v>
      </c>
    </row>
    <row r="69" spans="3:4" x14ac:dyDescent="0.25">
      <c r="C69">
        <v>6500</v>
      </c>
      <c r="D69" s="15">
        <f t="shared" ref="D69:D132" si="1">(C69-1)^0.3/($D$3+C69-1)^0.3</f>
        <v>0.98468889504477741</v>
      </c>
    </row>
    <row r="70" spans="3:4" x14ac:dyDescent="0.25">
      <c r="C70">
        <v>6600</v>
      </c>
      <c r="D70" s="15">
        <f t="shared" si="1"/>
        <v>0.98491342161428297</v>
      </c>
    </row>
    <row r="71" spans="3:4" x14ac:dyDescent="0.25">
      <c r="C71">
        <v>6700</v>
      </c>
      <c r="D71" s="15">
        <f t="shared" si="1"/>
        <v>0.98513145706858996</v>
      </c>
    </row>
    <row r="72" spans="3:4" x14ac:dyDescent="0.25">
      <c r="C72">
        <v>6800</v>
      </c>
      <c r="D72" s="15">
        <f t="shared" si="1"/>
        <v>0.98534327893792528</v>
      </c>
    </row>
    <row r="73" spans="3:4" x14ac:dyDescent="0.25">
      <c r="C73">
        <v>6900</v>
      </c>
      <c r="D73" s="15">
        <f t="shared" si="1"/>
        <v>0.98554914915076386</v>
      </c>
    </row>
    <row r="74" spans="3:4" x14ac:dyDescent="0.25">
      <c r="C74">
        <v>7000</v>
      </c>
      <c r="D74" s="15">
        <f t="shared" si="1"/>
        <v>0.98574931511516373</v>
      </c>
    </row>
    <row r="75" spans="3:4" x14ac:dyDescent="0.25">
      <c r="C75">
        <v>7100</v>
      </c>
      <c r="D75" s="15">
        <f t="shared" si="1"/>
        <v>0.98594401071139159</v>
      </c>
    </row>
    <row r="76" spans="3:4" x14ac:dyDescent="0.25">
      <c r="C76">
        <v>7200</v>
      </c>
      <c r="D76" s="15">
        <f t="shared" si="1"/>
        <v>0.98613345720419876</v>
      </c>
    </row>
    <row r="77" spans="3:4" x14ac:dyDescent="0.25">
      <c r="C77">
        <v>7300</v>
      </c>
      <c r="D77" s="15">
        <f t="shared" si="1"/>
        <v>0.98631786408224076</v>
      </c>
    </row>
    <row r="78" spans="3:4" x14ac:dyDescent="0.25">
      <c r="C78">
        <v>7400</v>
      </c>
      <c r="D78" s="15">
        <f t="shared" si="1"/>
        <v>0.98649742983134803</v>
      </c>
    </row>
    <row r="79" spans="3:4" x14ac:dyDescent="0.25">
      <c r="C79">
        <v>7500</v>
      </c>
      <c r="D79" s="15">
        <f t="shared" si="1"/>
        <v>0.98667234264764236</v>
      </c>
    </row>
    <row r="80" spans="3:4" x14ac:dyDescent="0.25">
      <c r="C80">
        <v>7600</v>
      </c>
      <c r="D80" s="15">
        <f t="shared" si="1"/>
        <v>0.98684278109588652</v>
      </c>
    </row>
    <row r="81" spans="3:4" x14ac:dyDescent="0.25">
      <c r="C81">
        <v>7700</v>
      </c>
      <c r="D81" s="15">
        <f t="shared" si="1"/>
        <v>0.98700891471793051</v>
      </c>
    </row>
    <row r="82" spans="3:4" x14ac:dyDescent="0.25">
      <c r="C82">
        <v>7800</v>
      </c>
      <c r="D82" s="15">
        <f t="shared" si="1"/>
        <v>0.98717090459558898</v>
      </c>
    </row>
    <row r="83" spans="3:4" x14ac:dyDescent="0.25">
      <c r="C83">
        <v>7900</v>
      </c>
      <c r="D83" s="15">
        <f t="shared" si="1"/>
        <v>0.98732890387190808</v>
      </c>
    </row>
    <row r="84" spans="3:4" x14ac:dyDescent="0.25">
      <c r="C84">
        <v>8000</v>
      </c>
      <c r="D84" s="15">
        <f t="shared" si="1"/>
        <v>0.98748305823433924</v>
      </c>
    </row>
    <row r="85" spans="3:4" x14ac:dyDescent="0.25">
      <c r="C85">
        <v>8100</v>
      </c>
      <c r="D85" s="15">
        <f t="shared" si="1"/>
        <v>0.98763350636305935</v>
      </c>
    </row>
    <row r="86" spans="3:4" x14ac:dyDescent="0.25">
      <c r="C86">
        <v>8200</v>
      </c>
      <c r="D86" s="15">
        <f t="shared" si="1"/>
        <v>0.98778038034731197</v>
      </c>
    </row>
    <row r="87" spans="3:4" x14ac:dyDescent="0.25">
      <c r="C87">
        <v>8300</v>
      </c>
      <c r="D87" s="15">
        <f t="shared" si="1"/>
        <v>0.98792380607240982</v>
      </c>
    </row>
    <row r="88" spans="3:4" x14ac:dyDescent="0.25">
      <c r="C88">
        <v>8400</v>
      </c>
      <c r="D88" s="15">
        <f t="shared" si="1"/>
        <v>0.98806390357978446</v>
      </c>
    </row>
    <row r="89" spans="3:4" x14ac:dyDescent="0.25">
      <c r="C89">
        <v>8500</v>
      </c>
      <c r="D89" s="15">
        <f t="shared" si="1"/>
        <v>0.98820078740224315</v>
      </c>
    </row>
    <row r="90" spans="3:4" x14ac:dyDescent="0.25">
      <c r="C90">
        <v>8600</v>
      </c>
      <c r="D90" s="15">
        <f t="shared" si="1"/>
        <v>0.98833456687640719</v>
      </c>
    </row>
    <row r="91" spans="3:4" x14ac:dyDescent="0.25">
      <c r="C91">
        <v>8700</v>
      </c>
      <c r="D91" s="15">
        <f t="shared" si="1"/>
        <v>0.98846534643412187</v>
      </c>
    </row>
    <row r="92" spans="3:4" x14ac:dyDescent="0.25">
      <c r="C92">
        <v>8800</v>
      </c>
      <c r="D92" s="15">
        <f t="shared" si="1"/>
        <v>0.98859322587446419</v>
      </c>
    </row>
    <row r="93" spans="3:4" x14ac:dyDescent="0.25">
      <c r="C93">
        <v>8900</v>
      </c>
      <c r="D93" s="15">
        <f t="shared" si="1"/>
        <v>0.98871830061785326</v>
      </c>
    </row>
    <row r="94" spans="3:4" x14ac:dyDescent="0.25">
      <c r="C94">
        <v>9000</v>
      </c>
      <c r="D94" s="15">
        <f t="shared" si="1"/>
        <v>0.9888406619436102</v>
      </c>
    </row>
    <row r="95" spans="3:4" x14ac:dyDescent="0.25">
      <c r="C95">
        <v>9100</v>
      </c>
      <c r="D95" s="15">
        <f t="shared" si="1"/>
        <v>0.98896039721221574</v>
      </c>
    </row>
    <row r="96" spans="3:4" x14ac:dyDescent="0.25">
      <c r="C96">
        <v>9200</v>
      </c>
      <c r="D96" s="15">
        <f t="shared" si="1"/>
        <v>0.98907759007340934</v>
      </c>
    </row>
    <row r="97" spans="3:4" x14ac:dyDescent="0.25">
      <c r="C97">
        <v>9300</v>
      </c>
      <c r="D97" s="15">
        <f t="shared" si="1"/>
        <v>0.9891923206611557</v>
      </c>
    </row>
    <row r="98" spans="3:4" x14ac:dyDescent="0.25">
      <c r="C98">
        <v>9400</v>
      </c>
      <c r="D98" s="15">
        <f t="shared" si="1"/>
        <v>0.98930466577645582</v>
      </c>
    </row>
    <row r="99" spans="3:4" x14ac:dyDescent="0.25">
      <c r="C99">
        <v>9500</v>
      </c>
      <c r="D99" s="15">
        <f t="shared" si="1"/>
        <v>0.98941469905885937</v>
      </c>
    </row>
    <row r="100" spans="3:4" x14ac:dyDescent="0.25">
      <c r="C100">
        <v>9600</v>
      </c>
      <c r="D100" s="15">
        <f t="shared" si="1"/>
        <v>0.98952249114750057</v>
      </c>
    </row>
    <row r="101" spans="3:4" x14ac:dyDescent="0.25">
      <c r="C101">
        <v>9700</v>
      </c>
      <c r="D101" s="15">
        <f t="shared" si="1"/>
        <v>0.98962810983237959</v>
      </c>
    </row>
    <row r="102" spans="3:4" x14ac:dyDescent="0.25">
      <c r="C102">
        <v>9800</v>
      </c>
      <c r="D102" s="15">
        <f t="shared" si="1"/>
        <v>0.98973162019659155</v>
      </c>
    </row>
    <row r="103" spans="3:4" x14ac:dyDescent="0.25">
      <c r="C103">
        <v>9900</v>
      </c>
      <c r="D103" s="15">
        <f t="shared" si="1"/>
        <v>0.98983308475011111</v>
      </c>
    </row>
    <row r="104" spans="3:4" x14ac:dyDescent="0.25">
      <c r="C104">
        <v>10000</v>
      </c>
      <c r="D104" s="15">
        <f t="shared" si="1"/>
        <v>0.98993256355572146</v>
      </c>
    </row>
    <row r="105" spans="3:4" x14ac:dyDescent="0.25">
      <c r="C105">
        <v>10100</v>
      </c>
      <c r="D105" s="15">
        <f t="shared" si="1"/>
        <v>0.99003011434762356</v>
      </c>
    </row>
    <row r="106" spans="3:4" x14ac:dyDescent="0.25">
      <c r="C106">
        <v>10200</v>
      </c>
      <c r="D106" s="15">
        <f t="shared" si="1"/>
        <v>0.99012579264320588</v>
      </c>
    </row>
    <row r="107" spans="3:4" x14ac:dyDescent="0.25">
      <c r="C107">
        <v>10300</v>
      </c>
      <c r="D107" s="15">
        <f t="shared" si="1"/>
        <v>0.99021965184843919</v>
      </c>
    </row>
    <row r="108" spans="3:4" x14ac:dyDescent="0.25">
      <c r="C108">
        <v>10400</v>
      </c>
      <c r="D108" s="15">
        <f t="shared" si="1"/>
        <v>0.99031174335731686</v>
      </c>
    </row>
    <row r="109" spans="3:4" x14ac:dyDescent="0.25">
      <c r="C109">
        <v>10500</v>
      </c>
      <c r="D109" s="15">
        <f t="shared" si="1"/>
        <v>0.99040211664572642</v>
      </c>
    </row>
    <row r="110" spans="3:4" x14ac:dyDescent="0.25">
      <c r="C110">
        <v>10600</v>
      </c>
      <c r="D110" s="15">
        <f t="shared" si="1"/>
        <v>0.99049081936010941</v>
      </c>
    </row>
    <row r="111" spans="3:4" x14ac:dyDescent="0.25">
      <c r="C111">
        <v>10700</v>
      </c>
      <c r="D111" s="15">
        <f t="shared" si="1"/>
        <v>0.99057789740125479</v>
      </c>
    </row>
    <row r="112" spans="3:4" x14ac:dyDescent="0.25">
      <c r="C112">
        <v>10800</v>
      </c>
      <c r="D112" s="15">
        <f t="shared" si="1"/>
        <v>0.99066339500352241</v>
      </c>
    </row>
    <row r="113" spans="3:4" x14ac:dyDescent="0.25">
      <c r="C113">
        <v>10900</v>
      </c>
      <c r="D113" s="15">
        <f t="shared" si="1"/>
        <v>0.99074735480979548</v>
      </c>
    </row>
    <row r="114" spans="3:4" x14ac:dyDescent="0.25">
      <c r="C114">
        <v>11000</v>
      </c>
      <c r="D114" s="15">
        <f t="shared" si="1"/>
        <v>0.99082981794242064</v>
      </c>
    </row>
    <row r="115" spans="3:4" x14ac:dyDescent="0.25">
      <c r="C115">
        <v>11100</v>
      </c>
      <c r="D115" s="15">
        <f t="shared" si="1"/>
        <v>0.99091082407038211</v>
      </c>
    </row>
    <row r="116" spans="3:4" x14ac:dyDescent="0.25">
      <c r="C116">
        <v>11200</v>
      </c>
      <c r="D116" s="15">
        <f t="shared" si="1"/>
        <v>0.9909904114729603</v>
      </c>
    </row>
    <row r="117" spans="3:4" x14ac:dyDescent="0.25">
      <c r="C117">
        <v>11300</v>
      </c>
      <c r="D117" s="15">
        <f t="shared" si="1"/>
        <v>0.99106861710005334</v>
      </c>
    </row>
    <row r="118" spans="3:4" x14ac:dyDescent="0.25">
      <c r="C118">
        <v>11400</v>
      </c>
      <c r="D118" s="15">
        <f t="shared" si="1"/>
        <v>0.9911454766294</v>
      </c>
    </row>
    <row r="119" spans="3:4" x14ac:dyDescent="0.25">
      <c r="C119">
        <v>11500</v>
      </c>
      <c r="D119" s="15">
        <f t="shared" si="1"/>
        <v>0.99122102452086391</v>
      </c>
    </row>
    <row r="120" spans="3:4" x14ac:dyDescent="0.25">
      <c r="C120">
        <v>11600</v>
      </c>
      <c r="D120" s="15">
        <f t="shared" si="1"/>
        <v>0.99129529406796157</v>
      </c>
    </row>
    <row r="121" spans="3:4" x14ac:dyDescent="0.25">
      <c r="C121">
        <v>11700</v>
      </c>
      <c r="D121" s="15">
        <f t="shared" si="1"/>
        <v>0.99136831744680021</v>
      </c>
    </row>
    <row r="122" spans="3:4" x14ac:dyDescent="0.25">
      <c r="C122">
        <v>11800</v>
      </c>
      <c r="D122" s="15">
        <f t="shared" si="1"/>
        <v>0.99144012576256602</v>
      </c>
    </row>
    <row r="123" spans="3:4" x14ac:dyDescent="0.25">
      <c r="C123">
        <v>11900</v>
      </c>
      <c r="D123" s="15">
        <f t="shared" si="1"/>
        <v>0.99151074909371739</v>
      </c>
    </row>
    <row r="124" spans="3:4" x14ac:dyDescent="0.25">
      <c r="C124">
        <v>12000</v>
      </c>
      <c r="D124" s="15">
        <f t="shared" si="1"/>
        <v>0.99158021653400008</v>
      </c>
    </row>
    <row r="125" spans="3:4" x14ac:dyDescent="0.25">
      <c r="C125">
        <v>12100</v>
      </c>
      <c r="D125" s="15">
        <f t="shared" si="1"/>
        <v>0.99164855623242387</v>
      </c>
    </row>
    <row r="126" spans="3:4" x14ac:dyDescent="0.25">
      <c r="C126">
        <v>12200</v>
      </c>
      <c r="D126" s="15">
        <f t="shared" si="1"/>
        <v>0.99171579543129817</v>
      </c>
    </row>
    <row r="127" spans="3:4" x14ac:dyDescent="0.25">
      <c r="C127">
        <v>12300</v>
      </c>
      <c r="D127" s="15">
        <f t="shared" si="1"/>
        <v>0.99178196050245304</v>
      </c>
    </row>
    <row r="128" spans="3:4" x14ac:dyDescent="0.25">
      <c r="C128">
        <v>12400</v>
      </c>
      <c r="D128" s="15">
        <f t="shared" si="1"/>
        <v>0.99184707698173324</v>
      </c>
    </row>
    <row r="129" spans="3:4" x14ac:dyDescent="0.25">
      <c r="C129">
        <v>12500</v>
      </c>
      <c r="D129" s="15">
        <f t="shared" si="1"/>
        <v>0.99191116960186232</v>
      </c>
    </row>
    <row r="130" spans="3:4" x14ac:dyDescent="0.25">
      <c r="C130">
        <v>12600</v>
      </c>
      <c r="D130" s="15">
        <f t="shared" si="1"/>
        <v>0.99197426232377872</v>
      </c>
    </row>
    <row r="131" spans="3:4" x14ac:dyDescent="0.25">
      <c r="C131">
        <v>12700</v>
      </c>
      <c r="D131" s="15">
        <f t="shared" si="1"/>
        <v>0.99203637836649883</v>
      </c>
    </row>
    <row r="132" spans="3:4" x14ac:dyDescent="0.25">
      <c r="C132">
        <v>12800</v>
      </c>
      <c r="D132" s="15">
        <f t="shared" si="1"/>
        <v>0.99209754023562235</v>
      </c>
    </row>
    <row r="133" spans="3:4" x14ac:dyDescent="0.25">
      <c r="C133">
        <v>12900</v>
      </c>
      <c r="D133" s="15">
        <f t="shared" ref="D133:D182" si="2">(C133-1)^0.3/($D$3+C133-1)^0.3</f>
        <v>0.9921577697505215</v>
      </c>
    </row>
    <row r="134" spans="3:4" x14ac:dyDescent="0.25">
      <c r="C134">
        <v>13000</v>
      </c>
      <c r="D134" s="15">
        <f t="shared" si="2"/>
        <v>0.99221708807030085</v>
      </c>
    </row>
    <row r="135" spans="3:4" x14ac:dyDescent="0.25">
      <c r="C135">
        <v>13100</v>
      </c>
      <c r="D135" s="15">
        <f t="shared" si="2"/>
        <v>0.99227551571858197</v>
      </c>
    </row>
    <row r="136" spans="3:4" x14ac:dyDescent="0.25">
      <c r="C136">
        <v>13200</v>
      </c>
      <c r="D136" s="15">
        <f t="shared" si="2"/>
        <v>0.99233307260719106</v>
      </c>
    </row>
    <row r="137" spans="3:4" x14ac:dyDescent="0.25">
      <c r="C137">
        <v>13300</v>
      </c>
      <c r="D137" s="15">
        <f t="shared" si="2"/>
        <v>0.99238977805878237</v>
      </c>
    </row>
    <row r="138" spans="3:4" x14ac:dyDescent="0.25">
      <c r="C138">
        <v>13400</v>
      </c>
      <c r="D138" s="15">
        <f t="shared" si="2"/>
        <v>0.99244565082847336</v>
      </c>
    </row>
    <row r="139" spans="3:4" x14ac:dyDescent="0.25">
      <c r="C139">
        <v>13500</v>
      </c>
      <c r="D139" s="15">
        <f t="shared" si="2"/>
        <v>0.9925007091245287</v>
      </c>
    </row>
    <row r="140" spans="3:4" x14ac:dyDescent="0.25">
      <c r="C140">
        <v>13600</v>
      </c>
      <c r="D140" s="15">
        <f t="shared" si="2"/>
        <v>0.99255497062815079</v>
      </c>
    </row>
    <row r="141" spans="3:4" x14ac:dyDescent="0.25">
      <c r="C141">
        <v>13700</v>
      </c>
      <c r="D141" s="15">
        <f t="shared" si="2"/>
        <v>0.99260845251240948</v>
      </c>
    </row>
    <row r="142" spans="3:4" x14ac:dyDescent="0.25">
      <c r="C142">
        <v>13800</v>
      </c>
      <c r="D142" s="15">
        <f t="shared" si="2"/>
        <v>0.99266117146037491</v>
      </c>
    </row>
    <row r="143" spans="3:4" x14ac:dyDescent="0.25">
      <c r="C143">
        <v>13900</v>
      </c>
      <c r="D143" s="15">
        <f t="shared" si="2"/>
        <v>0.99271314368246066</v>
      </c>
    </row>
    <row r="144" spans="3:4" x14ac:dyDescent="0.25">
      <c r="C144">
        <v>14000</v>
      </c>
      <c r="D144" s="15">
        <f t="shared" si="2"/>
        <v>0.99276438493305219</v>
      </c>
    </row>
    <row r="145" spans="3:4" x14ac:dyDescent="0.25">
      <c r="C145">
        <v>14100</v>
      </c>
      <c r="D145" s="15">
        <f t="shared" si="2"/>
        <v>0.99281491052643067</v>
      </c>
    </row>
    <row r="146" spans="3:4" x14ac:dyDescent="0.25">
      <c r="C146">
        <v>14200</v>
      </c>
      <c r="D146" s="15">
        <f t="shared" si="2"/>
        <v>0.99286473535203512</v>
      </c>
    </row>
    <row r="147" spans="3:4" x14ac:dyDescent="0.25">
      <c r="C147">
        <v>14300</v>
      </c>
      <c r="D147" s="15">
        <f t="shared" si="2"/>
        <v>0.99291387388909291</v>
      </c>
    </row>
    <row r="148" spans="3:4" x14ac:dyDescent="0.25">
      <c r="C148">
        <v>14400</v>
      </c>
      <c r="D148" s="15">
        <f t="shared" si="2"/>
        <v>0.99296234022064911</v>
      </c>
    </row>
    <row r="149" spans="3:4" x14ac:dyDescent="0.25">
      <c r="C149">
        <v>14500</v>
      </c>
      <c r="D149" s="15">
        <f t="shared" si="2"/>
        <v>0.99301014804702925</v>
      </c>
    </row>
    <row r="150" spans="3:4" x14ac:dyDescent="0.25">
      <c r="C150">
        <v>14600</v>
      </c>
      <c r="D150" s="15">
        <f t="shared" si="2"/>
        <v>0.99305731069875192</v>
      </c>
    </row>
    <row r="151" spans="3:4" x14ac:dyDescent="0.25">
      <c r="C151">
        <v>14700</v>
      </c>
      <c r="D151" s="15">
        <f t="shared" si="2"/>
        <v>0.99310384114892114</v>
      </c>
    </row>
    <row r="152" spans="3:4" x14ac:dyDescent="0.25">
      <c r="C152">
        <v>14800</v>
      </c>
      <c r="D152" s="15">
        <f t="shared" si="2"/>
        <v>0.99314975202512656</v>
      </c>
    </row>
    <row r="153" spans="3:4" x14ac:dyDescent="0.25">
      <c r="C153">
        <v>14900</v>
      </c>
      <c r="D153" s="15">
        <f t="shared" si="2"/>
        <v>0.99319505562087151</v>
      </c>
    </row>
    <row r="154" spans="3:4" x14ac:dyDescent="0.25">
      <c r="C154">
        <v>15000</v>
      </c>
      <c r="D154" s="15">
        <f t="shared" si="2"/>
        <v>0.99323976390655044</v>
      </c>
    </row>
    <row r="155" spans="3:4" x14ac:dyDescent="0.25">
      <c r="C155">
        <v>15100</v>
      </c>
      <c r="D155" s="15">
        <f t="shared" si="2"/>
        <v>0.99328388853999106</v>
      </c>
    </row>
    <row r="156" spans="3:4" x14ac:dyDescent="0.25">
      <c r="C156">
        <v>15200</v>
      </c>
      <c r="D156" s="15">
        <f t="shared" si="2"/>
        <v>0.99332744087659663</v>
      </c>
    </row>
    <row r="157" spans="3:4" x14ac:dyDescent="0.25">
      <c r="C157">
        <v>15300</v>
      </c>
      <c r="D157" s="15">
        <f t="shared" si="2"/>
        <v>0.99337043197908237</v>
      </c>
    </row>
    <row r="158" spans="3:4" x14ac:dyDescent="0.25">
      <c r="C158">
        <v>15400</v>
      </c>
      <c r="D158" s="15">
        <f t="shared" si="2"/>
        <v>0.99341287262685463</v>
      </c>
    </row>
    <row r="159" spans="3:4" x14ac:dyDescent="0.25">
      <c r="C159">
        <v>15500</v>
      </c>
      <c r="D159" s="15">
        <f t="shared" si="2"/>
        <v>0.99345477332501331</v>
      </c>
    </row>
    <row r="160" spans="3:4" x14ac:dyDescent="0.25">
      <c r="C160">
        <v>15600</v>
      </c>
      <c r="D160" s="15">
        <f t="shared" si="2"/>
        <v>0.99349614431303013</v>
      </c>
    </row>
    <row r="161" spans="3:4" x14ac:dyDescent="0.25">
      <c r="C161">
        <v>15700</v>
      </c>
      <c r="D161" s="15">
        <f t="shared" si="2"/>
        <v>0.99353699557308794</v>
      </c>
    </row>
    <row r="162" spans="3:4" x14ac:dyDescent="0.25">
      <c r="C162">
        <v>15800</v>
      </c>
      <c r="D162" s="15">
        <f t="shared" si="2"/>
        <v>0.99357733683811367</v>
      </c>
    </row>
    <row r="163" spans="3:4" x14ac:dyDescent="0.25">
      <c r="C163">
        <v>15900</v>
      </c>
      <c r="D163" s="15">
        <f t="shared" si="2"/>
        <v>0.99361717759950563</v>
      </c>
    </row>
    <row r="164" spans="3:4" x14ac:dyDescent="0.25">
      <c r="C164">
        <v>16000</v>
      </c>
      <c r="D164" s="15">
        <f t="shared" si="2"/>
        <v>0.99365652711458707</v>
      </c>
    </row>
    <row r="165" spans="3:4" x14ac:dyDescent="0.25">
      <c r="C165">
        <v>16100</v>
      </c>
      <c r="D165" s="15">
        <f t="shared" si="2"/>
        <v>0.99369539441377275</v>
      </c>
    </row>
    <row r="166" spans="3:4" x14ac:dyDescent="0.25">
      <c r="C166">
        <v>16200</v>
      </c>
      <c r="D166" s="15">
        <f t="shared" si="2"/>
        <v>0.9937337883074806</v>
      </c>
    </row>
    <row r="167" spans="3:4" x14ac:dyDescent="0.25">
      <c r="C167">
        <v>16300</v>
      </c>
      <c r="D167" s="15">
        <f t="shared" si="2"/>
        <v>0.99377171739279102</v>
      </c>
    </row>
    <row r="168" spans="3:4" x14ac:dyDescent="0.25">
      <c r="C168">
        <v>16400</v>
      </c>
      <c r="D168" s="15">
        <f t="shared" si="2"/>
        <v>0.99380919005986601</v>
      </c>
    </row>
    <row r="169" spans="3:4" x14ac:dyDescent="0.25">
      <c r="C169">
        <v>16500</v>
      </c>
      <c r="D169" s="15">
        <f t="shared" si="2"/>
        <v>0.99384621449813459</v>
      </c>
    </row>
    <row r="170" spans="3:4" x14ac:dyDescent="0.25">
      <c r="C170">
        <v>16600</v>
      </c>
      <c r="D170" s="15">
        <f t="shared" si="2"/>
        <v>0.99388279870226481</v>
      </c>
    </row>
    <row r="171" spans="3:4" x14ac:dyDescent="0.25">
      <c r="C171">
        <v>16700</v>
      </c>
      <c r="D171" s="15">
        <f t="shared" si="2"/>
        <v>0.99391895047791468</v>
      </c>
    </row>
    <row r="172" spans="3:4" x14ac:dyDescent="0.25">
      <c r="C172">
        <v>16800</v>
      </c>
      <c r="D172" s="15">
        <f t="shared" si="2"/>
        <v>0.9939546774472906</v>
      </c>
    </row>
    <row r="173" spans="3:4" x14ac:dyDescent="0.25">
      <c r="C173">
        <v>16900</v>
      </c>
      <c r="D173" s="15">
        <f t="shared" si="2"/>
        <v>0.9939899870545007</v>
      </c>
    </row>
    <row r="174" spans="3:4" x14ac:dyDescent="0.25">
      <c r="C174">
        <v>17000</v>
      </c>
      <c r="D174" s="15">
        <f t="shared" si="2"/>
        <v>0.99402488657072885</v>
      </c>
    </row>
    <row r="175" spans="3:4" x14ac:dyDescent="0.25">
      <c r="C175">
        <v>17100</v>
      </c>
      <c r="D175" s="15">
        <f t="shared" si="2"/>
        <v>0.99405938309922603</v>
      </c>
    </row>
    <row r="176" spans="3:4" x14ac:dyDescent="0.25">
      <c r="C176">
        <v>17200</v>
      </c>
      <c r="D176" s="15">
        <f t="shared" si="2"/>
        <v>0.99409348358013205</v>
      </c>
    </row>
    <row r="177" spans="3:4" x14ac:dyDescent="0.25">
      <c r="C177">
        <v>17300</v>
      </c>
      <c r="D177" s="15">
        <f t="shared" si="2"/>
        <v>0.99412719479513056</v>
      </c>
    </row>
    <row r="178" spans="3:4" x14ac:dyDescent="0.25">
      <c r="C178">
        <v>17400</v>
      </c>
      <c r="D178" s="15">
        <f t="shared" si="2"/>
        <v>0.99416052337194449</v>
      </c>
    </row>
    <row r="179" spans="3:4" x14ac:dyDescent="0.25">
      <c r="C179">
        <v>17500</v>
      </c>
      <c r="D179" s="15">
        <f t="shared" si="2"/>
        <v>0.99419347578868289</v>
      </c>
    </row>
    <row r="180" spans="3:4" x14ac:dyDescent="0.25">
      <c r="C180">
        <v>17600</v>
      </c>
      <c r="D180" s="15">
        <f t="shared" si="2"/>
        <v>0.99422605837803557</v>
      </c>
    </row>
    <row r="181" spans="3:4" x14ac:dyDescent="0.25">
      <c r="C181">
        <v>17700</v>
      </c>
      <c r="D181" s="15">
        <f t="shared" si="2"/>
        <v>0.99425827733133498</v>
      </c>
    </row>
    <row r="182" spans="3:4" x14ac:dyDescent="0.25">
      <c r="C182">
        <v>17800</v>
      </c>
      <c r="D182" s="15">
        <f t="shared" si="2"/>
        <v>0.99429013870247573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172</vt:i4>
      </vt:variant>
    </vt:vector>
  </HeadingPairs>
  <TitlesOfParts>
    <vt:vector size="177" baseType="lpstr">
      <vt:lpstr>LTerme2</vt:lpstr>
      <vt:lpstr>Retrait</vt:lpstr>
      <vt:lpstr>LTerme</vt:lpstr>
      <vt:lpstr>Feuil1</vt:lpstr>
      <vt:lpstr>Feuil2</vt:lpstr>
      <vt:lpstr>LTerme!Aa</vt:lpstr>
      <vt:lpstr>LTerme2!Aa</vt:lpstr>
      <vt:lpstr>Retrait!Aa</vt:lpstr>
      <vt:lpstr>Aa</vt:lpstr>
      <vt:lpstr>LTerme!Ac</vt:lpstr>
      <vt:lpstr>LTerme2!Ac</vt:lpstr>
      <vt:lpstr>Retrait!Ac</vt:lpstr>
      <vt:lpstr>Ac</vt:lpstr>
      <vt:lpstr>LTerme!Ah</vt:lpstr>
      <vt:lpstr>LTerme2!Ah</vt:lpstr>
      <vt:lpstr>Retrait!Ah</vt:lpstr>
      <vt:lpstr>Ah</vt:lpstr>
      <vt:lpstr>LTerme!BetaC</vt:lpstr>
      <vt:lpstr>LTerme2!BetaC</vt:lpstr>
      <vt:lpstr>Retrait!BetaC</vt:lpstr>
      <vt:lpstr>BetaC</vt:lpstr>
      <vt:lpstr>LTerme!Betafcm</vt:lpstr>
      <vt:lpstr>LTerme2!Betafcm</vt:lpstr>
      <vt:lpstr>Retrait!Betafcm</vt:lpstr>
      <vt:lpstr>Betafcm</vt:lpstr>
      <vt:lpstr>LTerme!BetaH</vt:lpstr>
      <vt:lpstr>LTerme2!BetaH</vt:lpstr>
      <vt:lpstr>Retrait!BetaH</vt:lpstr>
      <vt:lpstr>BetaH</vt:lpstr>
      <vt:lpstr>LTerme!BetaT0</vt:lpstr>
      <vt:lpstr>LTerme2!BetaT0</vt:lpstr>
      <vt:lpstr>Retrait!BetaT0</vt:lpstr>
      <vt:lpstr>BetaT0</vt:lpstr>
      <vt:lpstr>LTerme!bf</vt:lpstr>
      <vt:lpstr>LTerme2!bf</vt:lpstr>
      <vt:lpstr>Retrait!bf</vt:lpstr>
      <vt:lpstr>bf</vt:lpstr>
      <vt:lpstr>LTerme2!bm</vt:lpstr>
      <vt:lpstr>bm</vt:lpstr>
      <vt:lpstr>LTerme!dsh</vt:lpstr>
      <vt:lpstr>LTerme2!dsh</vt:lpstr>
      <vt:lpstr>Retrait!dsh</vt:lpstr>
      <vt:lpstr>dsh</vt:lpstr>
      <vt:lpstr>LTerme!Ea</vt:lpstr>
      <vt:lpstr>LTerme2!Ea</vt:lpstr>
      <vt:lpstr>Retrait!Ea</vt:lpstr>
      <vt:lpstr>Ea</vt:lpstr>
      <vt:lpstr>LTerme2!eBac</vt:lpstr>
      <vt:lpstr>eBac</vt:lpstr>
      <vt:lpstr>LTerme!Ecm</vt:lpstr>
      <vt:lpstr>LTerme2!Ecm</vt:lpstr>
      <vt:lpstr>Retrait!Ecm</vt:lpstr>
      <vt:lpstr>Ecm</vt:lpstr>
      <vt:lpstr>LTerme!EpsilonSh</vt:lpstr>
      <vt:lpstr>LTerme2!EpsilonSh</vt:lpstr>
      <vt:lpstr>Retrait!EpsilonSh</vt:lpstr>
      <vt:lpstr>EpsilonSh</vt:lpstr>
      <vt:lpstr>LTerme!fck</vt:lpstr>
      <vt:lpstr>LTerme2!fck</vt:lpstr>
      <vt:lpstr>Retrait!fck</vt:lpstr>
      <vt:lpstr>fck</vt:lpstr>
      <vt:lpstr>LTerme!fcm</vt:lpstr>
      <vt:lpstr>LTerme2!fcm</vt:lpstr>
      <vt:lpstr>Retrait!fcm</vt:lpstr>
      <vt:lpstr>fcm</vt:lpstr>
      <vt:lpstr>LTerme!fy</vt:lpstr>
      <vt:lpstr>LTerme2!fy</vt:lpstr>
      <vt:lpstr>Retrait!fy</vt:lpstr>
      <vt:lpstr>fy</vt:lpstr>
      <vt:lpstr>LTerme!h0</vt:lpstr>
      <vt:lpstr>LTerme2!h0</vt:lpstr>
      <vt:lpstr>Retrait!h0</vt:lpstr>
      <vt:lpstr>h0</vt:lpstr>
      <vt:lpstr>LTerme!ha</vt:lpstr>
      <vt:lpstr>LTerme2!ha</vt:lpstr>
      <vt:lpstr>Retrait!ha</vt:lpstr>
      <vt:lpstr>ha</vt:lpstr>
      <vt:lpstr>LTerme!Ia</vt:lpstr>
      <vt:lpstr>LTerme2!Ia</vt:lpstr>
      <vt:lpstr>Retrait!Ia</vt:lpstr>
      <vt:lpstr>Ia</vt:lpstr>
      <vt:lpstr>LTerme!Ih</vt:lpstr>
      <vt:lpstr>LTerme2!Ih</vt:lpstr>
      <vt:lpstr>Retrait!Ih</vt:lpstr>
      <vt:lpstr>Ih</vt:lpstr>
      <vt:lpstr>LTerme!Ldalle</vt:lpstr>
      <vt:lpstr>LTerme2!Ldalle</vt:lpstr>
      <vt:lpstr>Retrait!Ldalle</vt:lpstr>
      <vt:lpstr>Ldalle</vt:lpstr>
      <vt:lpstr>LTerme!Msh</vt:lpstr>
      <vt:lpstr>LTerme2!Msh</vt:lpstr>
      <vt:lpstr>Retrait!Msh</vt:lpstr>
      <vt:lpstr>Msh</vt:lpstr>
      <vt:lpstr>LTerme!n0</vt:lpstr>
      <vt:lpstr>LTerme2!n0</vt:lpstr>
      <vt:lpstr>Retrait!n0</vt:lpstr>
      <vt:lpstr>n0</vt:lpstr>
      <vt:lpstr>LTerme!NaxialSh</vt:lpstr>
      <vt:lpstr>LTerme2!NaxialSh</vt:lpstr>
      <vt:lpstr>Retrait!NaxialSh</vt:lpstr>
      <vt:lpstr>NaxialSh</vt:lpstr>
      <vt:lpstr>LTerme!nCalcul</vt:lpstr>
      <vt:lpstr>LTerme2!nCalcul</vt:lpstr>
      <vt:lpstr>Retrait!nCalcul</vt:lpstr>
      <vt:lpstr>nCalcul</vt:lpstr>
      <vt:lpstr>LTerme!nsh</vt:lpstr>
      <vt:lpstr>LTerme2!nsh</vt:lpstr>
      <vt:lpstr>Retrait!nsh</vt:lpstr>
      <vt:lpstr>nsh</vt:lpstr>
      <vt:lpstr>LTerme!Phi0</vt:lpstr>
      <vt:lpstr>LTerme2!Phi0</vt:lpstr>
      <vt:lpstr>Retrait!Phi0</vt:lpstr>
      <vt:lpstr>Phi0</vt:lpstr>
      <vt:lpstr>LTerme!PhiRH</vt:lpstr>
      <vt:lpstr>LTerme2!PhiRH</vt:lpstr>
      <vt:lpstr>Retrait!PhiRH</vt:lpstr>
      <vt:lpstr>PhiRH</vt:lpstr>
      <vt:lpstr>LTerme!PhiT</vt:lpstr>
      <vt:lpstr>LTerme2!PhiT</vt:lpstr>
      <vt:lpstr>Retrait!PhiT</vt:lpstr>
      <vt:lpstr>PhiT</vt:lpstr>
      <vt:lpstr>LTerme!Portee</vt:lpstr>
      <vt:lpstr>LTerme2!Portee</vt:lpstr>
      <vt:lpstr>Retrait!Portee</vt:lpstr>
      <vt:lpstr>Portee</vt:lpstr>
      <vt:lpstr>LTerme!PsiSh</vt:lpstr>
      <vt:lpstr>LTerme2!PsiSh</vt:lpstr>
      <vt:lpstr>Retrait!PsiSh</vt:lpstr>
      <vt:lpstr>PsiSh</vt:lpstr>
      <vt:lpstr>LTerme!rcc</vt:lpstr>
      <vt:lpstr>LTerme2!rcc</vt:lpstr>
      <vt:lpstr>Retrait!rcc</vt:lpstr>
      <vt:lpstr>rcc</vt:lpstr>
      <vt:lpstr>LTerme!RH</vt:lpstr>
      <vt:lpstr>LTerme2!RH</vt:lpstr>
      <vt:lpstr>Retrait!RH</vt:lpstr>
      <vt:lpstr>RH</vt:lpstr>
      <vt:lpstr>LTerme!t</vt:lpstr>
      <vt:lpstr>LTerme2!t</vt:lpstr>
      <vt:lpstr>Retrait!t</vt:lpstr>
      <vt:lpstr>t</vt:lpstr>
      <vt:lpstr>LTerme!t0</vt:lpstr>
      <vt:lpstr>LTerme2!t0</vt:lpstr>
      <vt:lpstr>Retrait!t0</vt:lpstr>
      <vt:lpstr>t0</vt:lpstr>
      <vt:lpstr>LTerme!tbac</vt:lpstr>
      <vt:lpstr>LTerme2!tbac</vt:lpstr>
      <vt:lpstr>Retrait!tbac</vt:lpstr>
      <vt:lpstr>tbac</vt:lpstr>
      <vt:lpstr>LTerme!tc</vt:lpstr>
      <vt:lpstr>LTerme2!tc</vt:lpstr>
      <vt:lpstr>Retrait!tc</vt:lpstr>
      <vt:lpstr>tc</vt:lpstr>
      <vt:lpstr>LTerme!td</vt:lpstr>
      <vt:lpstr>LTerme2!td</vt:lpstr>
      <vt:lpstr>Retrait!td</vt:lpstr>
      <vt:lpstr>td</vt:lpstr>
      <vt:lpstr>LTerme!tf</vt:lpstr>
      <vt:lpstr>LTerme2!tf</vt:lpstr>
      <vt:lpstr>Retrait!tf</vt:lpstr>
      <vt:lpstr>tf</vt:lpstr>
      <vt:lpstr>LTerme!tw</vt:lpstr>
      <vt:lpstr>LTerme2!tw</vt:lpstr>
      <vt:lpstr>Retrait!tw</vt:lpstr>
      <vt:lpstr>tw</vt:lpstr>
      <vt:lpstr>LTerme!u</vt:lpstr>
      <vt:lpstr>LTerme2!u</vt:lpstr>
      <vt:lpstr>Retrait!u</vt:lpstr>
      <vt:lpstr>u</vt:lpstr>
      <vt:lpstr>LTerme!zn</vt:lpstr>
      <vt:lpstr>LTerme2!zn</vt:lpstr>
      <vt:lpstr>Retrait!zn</vt:lpstr>
      <vt:lpstr>zn</vt:lpstr>
      <vt:lpstr>LTerme!zp</vt:lpstr>
      <vt:lpstr>LTerme2!zp</vt:lpstr>
      <vt:lpstr>Retrait!zp</vt:lpstr>
      <vt:lpstr>zp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2022-02-15T15:48:22Z</dcterms:created>
  <dcterms:modified xsi:type="dcterms:W3CDTF">2026-09-16T09:26:12Z</dcterms:modified>
</cp:coreProperties>
</file>