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23\VALIDATION\CAS SFS01\"/>
    </mc:Choice>
  </mc:AlternateContent>
  <xr:revisionPtr revIDLastSave="0" documentId="13_ncr:1_{1C461F26-74CB-4C45-A6B3-57D5A8C1CD90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Feuil1" sheetId="1" r:id="rId1"/>
    <sheet name="Section élastique" sheetId="3" r:id="rId2"/>
    <sheet name="Param" sheetId="2" r:id="rId3"/>
  </sheets>
  <definedNames>
    <definedName name="A">Feuil1!$N$26</definedName>
    <definedName name="Ac">Feuil1!$D$53</definedName>
    <definedName name="Alpha">Feuil1!#REF!</definedName>
    <definedName name="AlphaLT">Feuil1!#REF!</definedName>
    <definedName name="Bac_bb">Feuil1!$D$35</definedName>
    <definedName name="Bac_bm">Feuil1!$D$40</definedName>
    <definedName name="Bac_bt">Feuil1!$D$36</definedName>
    <definedName name="Bac_e">Feuil1!$D$34</definedName>
    <definedName name="Bac_Fy">Feuil1!$D$38</definedName>
    <definedName name="Bac_Hp">Feuil1!$D$33</definedName>
    <definedName name="Bac_Mu">Feuil1!$D$39</definedName>
    <definedName name="Bac_t">Feuil1!$D$37</definedName>
    <definedName name="bAppMin">Feuil1!$D$41</definedName>
    <definedName name="BetaW">Feuil1!#REF!</definedName>
    <definedName name="bf">Feuil1!$D$6</definedName>
    <definedName name="d_1">Feuil1!$D$28</definedName>
    <definedName name="d_2">Feuil1!$D$29</definedName>
    <definedName name="dApp">'Section élastique'!$D$15</definedName>
    <definedName name="df">'Section élastique'!$D$23</definedName>
    <definedName name="dp">'Section élastique'!$D$19</definedName>
    <definedName name="dW">Feuil1!$D$9</definedName>
    <definedName name="E">Feuil1!$D$27</definedName>
    <definedName name="Elan">Feuil1!#REF!</definedName>
    <definedName name="ElancementW">Feuil1!#REF!</definedName>
    <definedName name="EpsilonW">Feuil1!#REF!</definedName>
    <definedName name="Eta">Feuil1!#REF!</definedName>
    <definedName name="F_Q2">Feuil1!$I$8</definedName>
    <definedName name="Fu">Feuil1!$D$21</definedName>
    <definedName name="FyI">Feuil1!$D$19</definedName>
    <definedName name="FyPl">Feuil1!$D$20</definedName>
    <definedName name="FyS">Feuil1!$D$17</definedName>
    <definedName name="FyW">Feuil1!$D$18</definedName>
    <definedName name="g">Feuil1!$N$79</definedName>
    <definedName name="GammaG">Feuil1!$N$6</definedName>
    <definedName name="GammaM0">Feuil1!$N$8</definedName>
    <definedName name="GammaM1">Feuil1!$N$9</definedName>
    <definedName name="GammaM2">Feuil1!$N$11</definedName>
    <definedName name="GammaQ">Feuil1!$N$7</definedName>
    <definedName name="hb">Feuil1!$D$12</definedName>
    <definedName name="Ht">Feuil1!$D$15</definedName>
    <definedName name="hw">Feuil1!$D$8</definedName>
    <definedName name="IncertieCM">Feuil1!$N$29</definedName>
    <definedName name="InertieY_MM4">Feuil1!$N$28</definedName>
    <definedName name="kcG">Feuil1!$W$6</definedName>
    <definedName name="kcI">Feuil1!$W$7</definedName>
    <definedName name="KhiLT">Feuil1!#REF!</definedName>
    <definedName name="KhiW">Feuil1!#REF!</definedName>
    <definedName name="kTau">Feuil1!#REF!</definedName>
    <definedName name="LambdaLT">Feuil1!#REF!</definedName>
    <definedName name="LambdaW">Feuil1!#REF!</definedName>
    <definedName name="listeNbAppuis">Param!$I$7:$I$10</definedName>
    <definedName name="LL">Feuil1!$D$25</definedName>
    <definedName name="MatriceRa">Param!$I$7:$J$10</definedName>
    <definedName name="Mcr">Feuil1!#REF!</definedName>
    <definedName name="MEd_Q1">Feuil1!$J$15</definedName>
    <definedName name="MEd_Q2">Feuil1!$J$17</definedName>
    <definedName name="MEd_U1">Feuil1!$J$23</definedName>
    <definedName name="MEd_U2">Feuil1!$J$25</definedName>
    <definedName name="MEdG">Feuil1!$J$13</definedName>
    <definedName name="MelRd">Feuil1!$Q$30</definedName>
    <definedName name="MplRd">Feuil1!$Q$61</definedName>
    <definedName name="MRd">Feuil1!#REF!</definedName>
    <definedName name="MStatS">Feuil1!#REF!</definedName>
    <definedName name="non">Param!$C$3</definedName>
    <definedName name="oui">Param!$C$2</definedName>
    <definedName name="pANP">Feuil1!$N$47</definedName>
    <definedName name="PhiLT">Feuil1!#REF!</definedName>
    <definedName name="Pl_b">Feuil1!$D$13</definedName>
    <definedName name="Pl_t">Feuil1!$D$14</definedName>
    <definedName name="Psi">Feuil1!#REF!</definedName>
    <definedName name="Psi_0">Feuil1!$N$10</definedName>
    <definedName name="pW">Feuil1!$N$57</definedName>
    <definedName name="qELU">Feuil1!$J$30</definedName>
    <definedName name="qG">Feuil1!$I$6</definedName>
    <definedName name="qQ_1">Feuil1!$I$7</definedName>
    <definedName name="RhoA">Feuil1!#REF!</definedName>
    <definedName name="rhoC">Feuil1!$D$51</definedName>
    <definedName name="rr">Feuil1!$D$11</definedName>
    <definedName name="tc">Feuil1!$D$46</definedName>
    <definedName name="td">Feuil1!$D$45</definedName>
    <definedName name="tf">Feuil1!$D$7</definedName>
    <definedName name="tw">Feuil1!$D$10</definedName>
    <definedName name="VbRd">Feuil1!#REF!</definedName>
    <definedName name="VEd_Q1">Feuil1!$J$16</definedName>
    <definedName name="VEd_Q2">Feuil1!$J$18</definedName>
    <definedName name="VEd_U1">Feuil1!$J$24</definedName>
    <definedName name="VEd_U2">Feuil1!$J$26</definedName>
    <definedName name="VEdG">Feuil1!$J$14</definedName>
    <definedName name="VRd">Feuil1!#REF!</definedName>
    <definedName name="zANP">Feuil1!$N$48</definedName>
    <definedName name="zG">Feuil1!$N$27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K9" i="3"/>
  <c r="D23" i="3"/>
  <c r="D15" i="3"/>
  <c r="D19" i="3" s="1"/>
  <c r="D12" i="3"/>
  <c r="D10" i="3"/>
  <c r="D7" i="3"/>
  <c r="D8" i="3" s="1"/>
  <c r="O40" i="1"/>
  <c r="O37" i="1"/>
  <c r="O38" i="1"/>
  <c r="O36" i="1"/>
  <c r="O35" i="1"/>
  <c r="D57" i="1"/>
  <c r="D46" i="1"/>
  <c r="D40" i="1"/>
  <c r="D53" i="1" l="1"/>
  <c r="D54" i="1" s="1"/>
  <c r="D55" i="1" s="1"/>
  <c r="V29" i="1" l="1"/>
  <c r="W7" i="1"/>
  <c r="S21" i="1" s="1"/>
  <c r="W6" i="1"/>
  <c r="O21" i="1" s="1"/>
  <c r="D8" i="1"/>
  <c r="N21" i="1"/>
  <c r="N19" i="1"/>
  <c r="N36" i="1" s="1"/>
  <c r="D9" i="1"/>
  <c r="N37" i="1" s="1"/>
  <c r="S23" i="1"/>
  <c r="S22" i="1"/>
  <c r="O23" i="1"/>
  <c r="Q40" i="1" s="1"/>
  <c r="O58" i="1" s="1"/>
  <c r="N23" i="1"/>
  <c r="N40" i="1" s="1"/>
  <c r="O22" i="1"/>
  <c r="Q39" i="1" s="1"/>
  <c r="O20" i="1"/>
  <c r="Q37" i="1" s="1"/>
  <c r="O54" i="1" s="1"/>
  <c r="O18" i="1"/>
  <c r="Q35" i="1" s="1"/>
  <c r="O52" i="1" s="1"/>
  <c r="N20" i="1" l="1"/>
  <c r="S20" i="1"/>
  <c r="P40" i="1"/>
  <c r="N58" i="1" s="1"/>
  <c r="P37" i="1"/>
  <c r="N54" i="1" s="1"/>
  <c r="N38" i="1"/>
  <c r="P36" i="1"/>
  <c r="N53" i="1" s="1"/>
  <c r="O19" i="1"/>
  <c r="S19" i="1"/>
  <c r="V26" i="1"/>
  <c r="Q62" i="1" s="1"/>
  <c r="P21" i="1"/>
  <c r="P23" i="1"/>
  <c r="P38" i="1" l="1"/>
  <c r="N55" i="1" s="1"/>
  <c r="P19" i="1"/>
  <c r="Q36" i="1"/>
  <c r="Q38" i="1" l="1"/>
  <c r="O55" i="1" s="1"/>
  <c r="O53" i="1"/>
  <c r="J31" i="1"/>
  <c r="N81" i="1"/>
  <c r="D19" i="1"/>
  <c r="O39" i="1" s="1"/>
  <c r="S18" i="1"/>
  <c r="N18" i="1"/>
  <c r="N35" i="1" s="1"/>
  <c r="J16" i="1"/>
  <c r="J18" i="1"/>
  <c r="J17" i="1"/>
  <c r="J15" i="1"/>
  <c r="P35" i="1" l="1"/>
  <c r="N52" i="1" s="1"/>
  <c r="S24" i="1"/>
  <c r="N22" i="1"/>
  <c r="D15" i="1"/>
  <c r="P18" i="1"/>
  <c r="P20" i="1"/>
  <c r="S35" i="1" l="1"/>
  <c r="S36" i="1" s="1"/>
  <c r="S37" i="1" s="1"/>
  <c r="S38" i="1" s="1"/>
  <c r="P22" i="1"/>
  <c r="N39" i="1"/>
  <c r="P24" i="1"/>
  <c r="N24" i="1"/>
  <c r="N26" i="1" s="1"/>
  <c r="V27" i="1" s="1"/>
  <c r="P39" i="1" l="1"/>
  <c r="P41" i="1" s="1"/>
  <c r="N43" i="1" s="1"/>
  <c r="N41" i="1"/>
  <c r="S39" i="1"/>
  <c r="S40" i="1" s="1"/>
  <c r="V28" i="1"/>
  <c r="D58" i="1"/>
  <c r="D60" i="1" s="1"/>
  <c r="I6" i="1" s="1"/>
  <c r="J30" i="1" s="1"/>
  <c r="N27" i="1"/>
  <c r="D9" i="3" s="1"/>
  <c r="F32" i="3" l="1"/>
  <c r="F29" i="3"/>
  <c r="D20" i="3"/>
  <c r="E31" i="3" s="1"/>
  <c r="E33" i="3" s="1"/>
  <c r="D24" i="3"/>
  <c r="E28" i="3" s="1"/>
  <c r="E30" i="3" s="1"/>
  <c r="N47" i="1"/>
  <c r="R35" i="1"/>
  <c r="R36" i="1" s="1"/>
  <c r="R37" i="1" s="1"/>
  <c r="R38" i="1" s="1"/>
  <c r="R39" i="1" s="1"/>
  <c r="R40" i="1" s="1"/>
  <c r="N80" i="1"/>
  <c r="N83" i="1" s="1"/>
  <c r="N85" i="1" s="1"/>
  <c r="J14" i="1"/>
  <c r="J13" i="1"/>
  <c r="Q23" i="1"/>
  <c r="R23" i="1" s="1"/>
  <c r="Q19" i="1"/>
  <c r="R19" i="1" s="1"/>
  <c r="Q21" i="1"/>
  <c r="R21" i="1" s="1"/>
  <c r="Q18" i="1"/>
  <c r="R18" i="1" s="1"/>
  <c r="Q20" i="1"/>
  <c r="R20" i="1" s="1"/>
  <c r="Q22" i="1"/>
  <c r="R22" i="1" s="1"/>
  <c r="N57" i="1" l="1"/>
  <c r="N56" i="1"/>
  <c r="P57" i="1"/>
  <c r="P56" i="1"/>
  <c r="N48" i="1"/>
  <c r="J26" i="1"/>
  <c r="J24" i="1"/>
  <c r="J37" i="1" s="1"/>
  <c r="J25" i="1"/>
  <c r="J23" i="1"/>
  <c r="R24" i="1"/>
  <c r="N28" i="1" s="1"/>
  <c r="K10" i="3" s="1"/>
  <c r="N29" i="1" l="1"/>
  <c r="Q28" i="1" s="1"/>
  <c r="S28" i="1" s="1"/>
  <c r="E8" i="3"/>
  <c r="E9" i="3"/>
  <c r="E10" i="3"/>
  <c r="E11" i="3"/>
  <c r="E7" i="3"/>
  <c r="F7" i="3" s="1"/>
  <c r="G7" i="3" s="1"/>
  <c r="E12" i="3"/>
  <c r="F12" i="3" s="1"/>
  <c r="P52" i="1"/>
  <c r="Q52" i="1" s="1"/>
  <c r="P54" i="1"/>
  <c r="Q54" i="1" s="1"/>
  <c r="P58" i="1"/>
  <c r="Q58" i="1" s="1"/>
  <c r="P53" i="1"/>
  <c r="Q53" i="1" s="1"/>
  <c r="P55" i="1"/>
  <c r="Q55" i="1" s="1"/>
  <c r="Q56" i="1"/>
  <c r="N63" i="1"/>
  <c r="F8" i="3"/>
  <c r="G8" i="3" s="1"/>
  <c r="F9" i="3"/>
  <c r="G9" i="3" s="1"/>
  <c r="F10" i="3"/>
  <c r="F11" i="3"/>
  <c r="Q57" i="1"/>
  <c r="N64" i="1"/>
  <c r="N71" i="1"/>
  <c r="N87" i="1"/>
  <c r="N73" i="1"/>
  <c r="N72" i="1"/>
  <c r="Q27" i="1"/>
  <c r="S27" i="1" s="1"/>
  <c r="Q29" i="1"/>
  <c r="G10" i="3" l="1"/>
  <c r="D28" i="3"/>
  <c r="G11" i="3"/>
  <c r="D31" i="3"/>
  <c r="D30" i="3"/>
  <c r="G30" i="3" s="1"/>
  <c r="H30" i="3" s="1"/>
  <c r="G12" i="3"/>
  <c r="D33" i="3"/>
  <c r="G33" i="3" s="1"/>
  <c r="H33" i="3" s="1"/>
  <c r="Q59" i="1"/>
  <c r="Q61" i="1" s="1"/>
  <c r="J36" i="1" s="1"/>
  <c r="N75" i="1"/>
  <c r="Q30" i="1" a="1"/>
  <c r="Q30" i="1" s="1"/>
  <c r="S29" i="1"/>
  <c r="G31" i="3" l="1"/>
  <c r="H31" i="3" s="1"/>
  <c r="D32" i="3"/>
  <c r="G32" i="3" s="1"/>
  <c r="H32" i="3" s="1"/>
  <c r="D29" i="3"/>
  <c r="G29" i="3" s="1"/>
  <c r="H29" i="3" s="1"/>
  <c r="G28" i="3"/>
  <c r="H2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<sst xmlns="http://schemas.openxmlformats.org/spreadsheetml/2006/main" count="265" uniqueCount="162">
  <si>
    <t>hw</t>
  </si>
  <si>
    <t>tw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</si>
  <si>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</si>
  <si>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</si>
  <si>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</si>
  <si>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</si>
  <si>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</si>
  <si>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</si>
  <si>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</si>
  <si>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</si>
  <si>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</si>
  <si>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</si>
  <si>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</si>
  <si>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</si>
  <si>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</si>
  <si>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</si>
  <si>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</si>
  <si>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</si>
  <si>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</si>
  <si>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</si>
  <si>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</si>
  <si>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</si>
  <si>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</si>
  <si>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</si>
  <si>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</si>
  <si>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</si>
  <si>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</si>
  <si>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</si>
  <si>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</si>
  <si>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</si>
  <si>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</si>
  <si>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</si>
  <si>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</si>
  <si>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</si>
  <si>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</si>
  <si>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</si>
  <si>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</si>
  <si>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</si>
  <si>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</si>
  <si>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</si>
  <si>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</si>
  <si>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</si>
  <si>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</si>
  <si>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</si>
  <si>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</si>
  <si>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</si>
  <si>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</si>
  <si>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Oui</t>
  </si>
  <si>
    <t>Non</t>
  </si>
  <si>
    <t>p</t>
  </si>
  <si>
    <t>zANP</t>
  </si>
  <si>
    <t>MplRd</t>
  </si>
  <si>
    <t>c/t</t>
  </si>
  <si>
    <t>Classe de l'âme</t>
  </si>
  <si>
    <t>ELU</t>
  </si>
  <si>
    <t>GammaM</t>
  </si>
  <si>
    <t>Welfs</t>
  </si>
  <si>
    <t>Welfi</t>
  </si>
  <si>
    <t>cm3</t>
  </si>
  <si>
    <t>MelRd</t>
  </si>
  <si>
    <t>Fu</t>
  </si>
  <si>
    <t>GammaM2</t>
  </si>
  <si>
    <t>Av</t>
  </si>
  <si>
    <t>Inertie Y</t>
  </si>
  <si>
    <t>kg/m</t>
  </si>
  <si>
    <t>kg/m3</t>
  </si>
  <si>
    <t>kg</t>
  </si>
  <si>
    <t>m2</t>
  </si>
  <si>
    <t>Flèches</t>
  </si>
  <si>
    <t>E</t>
  </si>
  <si>
    <t>ELS</t>
  </si>
  <si>
    <t>Fréquence propre</t>
  </si>
  <si>
    <t>Masse G</t>
  </si>
  <si>
    <t>Masse Q1</t>
  </si>
  <si>
    <t>Fraction Q1</t>
  </si>
  <si>
    <t>Masse embarquée</t>
  </si>
  <si>
    <t>Masse modale</t>
  </si>
  <si>
    <t>g</t>
  </si>
  <si>
    <t>m/s2</t>
  </si>
  <si>
    <t>Hz</t>
  </si>
  <si>
    <t>qELU</t>
  </si>
  <si>
    <t>FELU</t>
  </si>
  <si>
    <t>NtRd</t>
  </si>
  <si>
    <t xml:space="preserve">CAS Slim floor Acier </t>
  </si>
  <si>
    <t>SFS01</t>
  </si>
  <si>
    <t>Profilé SFB</t>
  </si>
  <si>
    <t>hb</t>
  </si>
  <si>
    <t>plat b</t>
  </si>
  <si>
    <t>plat t</t>
  </si>
  <si>
    <t>tf</t>
  </si>
  <si>
    <t>rc</t>
  </si>
  <si>
    <t>bf</t>
  </si>
  <si>
    <t>Plat</t>
  </si>
  <si>
    <t>WelpPl</t>
  </si>
  <si>
    <t>FyPl</t>
  </si>
  <si>
    <t>rs</t>
  </si>
  <si>
    <t>ri</t>
  </si>
  <si>
    <t>dw</t>
  </si>
  <si>
    <t>kcg</t>
  </si>
  <si>
    <t>kcI</t>
  </si>
  <si>
    <t>masse linéique</t>
  </si>
  <si>
    <t>Iz</t>
  </si>
  <si>
    <t>masse poutre</t>
  </si>
  <si>
    <t>Dalle</t>
  </si>
  <si>
    <t>hp</t>
  </si>
  <si>
    <t>e</t>
  </si>
  <si>
    <t>bb</t>
  </si>
  <si>
    <t>bt</t>
  </si>
  <si>
    <t>t</t>
  </si>
  <si>
    <t>f</t>
  </si>
  <si>
    <t>mu</t>
  </si>
  <si>
    <t>kg/m2</t>
  </si>
  <si>
    <t>bm</t>
  </si>
  <si>
    <t>Bac</t>
  </si>
  <si>
    <t>td</t>
  </si>
  <si>
    <t>tc</t>
  </si>
  <si>
    <t>d1</t>
  </si>
  <si>
    <t>d2</t>
  </si>
  <si>
    <t>Béton</t>
  </si>
  <si>
    <t>Masse volumique</t>
  </si>
  <si>
    <t>Ac</t>
  </si>
  <si>
    <t>charge linéique</t>
  </si>
  <si>
    <t>charge linéique bac</t>
  </si>
  <si>
    <t>charge linéique profilé</t>
  </si>
  <si>
    <t>Charge total poids propre</t>
  </si>
  <si>
    <t>Ni</t>
  </si>
  <si>
    <t>Ni Bot</t>
  </si>
  <si>
    <t>NiTop</t>
  </si>
  <si>
    <t>ANP dans la semelle inférieure</t>
  </si>
  <si>
    <t>fi - sup</t>
  </si>
  <si>
    <t>fi - inf</t>
  </si>
  <si>
    <t>Equilibre inf</t>
  </si>
  <si>
    <t>Equilibre sup</t>
  </si>
  <si>
    <t>Nidi</t>
  </si>
  <si>
    <t>Calcul élastique de la section</t>
  </si>
  <si>
    <t>Flexion globale</t>
  </si>
  <si>
    <t>Points</t>
  </si>
  <si>
    <t>SigmaXi</t>
  </si>
  <si>
    <t>1/Wi</t>
  </si>
  <si>
    <t>Flexion locale</t>
  </si>
  <si>
    <t>Semelle</t>
  </si>
  <si>
    <t>bappmin</t>
  </si>
  <si>
    <t>dApp</t>
  </si>
  <si>
    <t>dp</t>
  </si>
  <si>
    <t>df</t>
  </si>
  <si>
    <t>SigmaY</t>
  </si>
  <si>
    <t>Point 4</t>
  </si>
  <si>
    <t>Point 4-5</t>
  </si>
  <si>
    <t>Point 5</t>
  </si>
  <si>
    <t>Point5</t>
  </si>
  <si>
    <t>Point5-6</t>
  </si>
  <si>
    <t>Point 6</t>
  </si>
  <si>
    <t>SigmaX</t>
  </si>
  <si>
    <t>TauY</t>
  </si>
  <si>
    <t>VM</t>
  </si>
  <si>
    <t>VplRd</t>
  </si>
  <si>
    <t>GammaY</t>
  </si>
  <si>
    <t>GammaV</t>
  </si>
  <si>
    <t>Hauteur d'âme comprimée</t>
  </si>
  <si>
    <t>Epsilon</t>
  </si>
  <si>
    <t>Limite classe 2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</si>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</sst>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8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1" fillId="14" borderId="0" xfId="0" applyFont="1" applyFill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15" borderId="0" xfId="0" applyFont="1" applyFill="1" applyAlignment="1">
      <alignment horizontal="right" vertical="center"/>
    </xf>
    <xf numFmtId="0" fontId="1" fillId="15" borderId="0" xfId="0" applyFont="1" applyFill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13" borderId="1" xfId="0" applyNumberForma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11" xfId="0" applyBorder="1" applyAlignment="1">
      <alignment horizontal="right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" fontId="0" fillId="0" borderId="0" xfId="0" applyNumberFormat="1" applyAlignment="1">
      <alignment horizontal="right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17" borderId="1" xfId="0" applyFill="1" applyBorder="1" applyAlignment="1">
      <alignment horizontal="center" vertical="center"/>
    </xf>
    <xf numFmtId="2" fontId="0" fillId="17" borderId="1" xfId="0" applyNumberFormat="1" applyFill="1" applyBorder="1" applyAlignment="1">
      <alignment horizontal="center" vertical="center"/>
    </xf>
    <xf numFmtId="166" fontId="0" fillId="18" borderId="1" xfId="0" applyNumberFormat="1" applyFill="1" applyBorder="1" applyAlignment="1">
      <alignment horizontal="center" vertical="center"/>
    </xf>
    <xf numFmtId="165" fontId="0" fillId="18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87"/>
  <sheetViews>
    <sheetView topLeftCell="A36" workbookViewId="0">
      <selection activeCell="I68" sqref="I68"/>
    </sheetView>
  </sheetViews>
  <sheetFormatPr baseColWidth="10" defaultRowHeight="15" x14ac:dyDescent="0.25"/>
  <cols>
    <col min="14" max="14" width="12" bestFit="1" customWidth="1"/>
  </cols>
  <sheetData>
    <row r="1" spans="3:23" x14ac:dyDescent="0.25">
      <c r="D1" t="s">
        <v>83</v>
      </c>
    </row>
    <row r="2" spans="3:23" x14ac:dyDescent="0.25">
      <c r="D2" t="s">
        <v>84</v>
      </c>
    </row>
    <row r="4" spans="3:23" x14ac:dyDescent="0.25">
      <c r="C4" s="1" t="s">
        <v>85</v>
      </c>
      <c r="D4" s="1"/>
      <c r="E4" s="1"/>
      <c r="F4" s="1"/>
      <c r="H4" s="1" t="s">
        <v>3</v>
      </c>
      <c r="I4" s="1"/>
      <c r="J4" s="1"/>
      <c r="K4" s="1"/>
      <c r="M4" s="7" t="s">
        <v>12</v>
      </c>
      <c r="N4" s="7"/>
      <c r="O4" s="7"/>
      <c r="P4" s="7"/>
    </row>
    <row r="6" spans="3:23" x14ac:dyDescent="0.25">
      <c r="C6" s="3" t="s">
        <v>91</v>
      </c>
      <c r="D6" s="6">
        <v>150</v>
      </c>
      <c r="E6" t="s">
        <v>2</v>
      </c>
      <c r="H6" s="3" t="s">
        <v>4</v>
      </c>
      <c r="I6" s="96">
        <f>D60</f>
        <v>16.426709395751477</v>
      </c>
      <c r="J6" t="s">
        <v>7</v>
      </c>
      <c r="M6" s="3" t="s">
        <v>13</v>
      </c>
      <c r="N6" s="6">
        <v>1.35</v>
      </c>
      <c r="V6" s="3" t="s">
        <v>98</v>
      </c>
      <c r="W6" s="74">
        <f>(10-3*PI())/(12-3*PI())</f>
        <v>0.22336793894575216</v>
      </c>
    </row>
    <row r="7" spans="3:23" x14ac:dyDescent="0.25">
      <c r="C7" s="3" t="s">
        <v>89</v>
      </c>
      <c r="D7" s="6">
        <v>10.7</v>
      </c>
      <c r="E7" t="s">
        <v>2</v>
      </c>
      <c r="H7" s="3" t="s">
        <v>5</v>
      </c>
      <c r="I7" s="6">
        <v>20</v>
      </c>
      <c r="J7" t="s">
        <v>7</v>
      </c>
      <c r="M7" s="3" t="s">
        <v>14</v>
      </c>
      <c r="N7" s="6">
        <v>1.5</v>
      </c>
      <c r="V7" s="3" t="s">
        <v>99</v>
      </c>
      <c r="W7" s="6">
        <f>0.0151</f>
        <v>1.5100000000000001E-2</v>
      </c>
    </row>
    <row r="8" spans="3:23" x14ac:dyDescent="0.25">
      <c r="C8" s="3" t="s">
        <v>0</v>
      </c>
      <c r="D8" s="8">
        <f>hb-2*tf</f>
        <v>278.60000000000002</v>
      </c>
      <c r="E8" t="s">
        <v>2</v>
      </c>
      <c r="H8" s="3" t="s">
        <v>6</v>
      </c>
      <c r="I8" s="6">
        <v>0</v>
      </c>
      <c r="J8" t="s">
        <v>8</v>
      </c>
      <c r="M8" s="3" t="s">
        <v>15</v>
      </c>
      <c r="N8" s="6">
        <v>1</v>
      </c>
    </row>
    <row r="9" spans="3:23" x14ac:dyDescent="0.25">
      <c r="C9" s="3" t="s">
        <v>97</v>
      </c>
      <c r="D9" s="8">
        <f>hb-2*tf-2*rr</f>
        <v>248.60000000000002</v>
      </c>
      <c r="E9" t="s">
        <v>2</v>
      </c>
      <c r="M9" s="3" t="s">
        <v>16</v>
      </c>
      <c r="N9" s="6">
        <v>1</v>
      </c>
    </row>
    <row r="10" spans="3:23" x14ac:dyDescent="0.25">
      <c r="C10" s="3" t="s">
        <v>1</v>
      </c>
      <c r="D10" s="6">
        <v>7.1</v>
      </c>
      <c r="E10" t="s">
        <v>2</v>
      </c>
      <c r="M10" s="3" t="s">
        <v>17</v>
      </c>
      <c r="N10" s="6">
        <v>0.7</v>
      </c>
    </row>
    <row r="11" spans="3:23" x14ac:dyDescent="0.25">
      <c r="C11" s="3" t="s">
        <v>90</v>
      </c>
      <c r="D11" s="6">
        <v>15</v>
      </c>
      <c r="E11" t="s">
        <v>2</v>
      </c>
      <c r="M11" s="3" t="s">
        <v>61</v>
      </c>
      <c r="N11" s="6">
        <v>1.25</v>
      </c>
    </row>
    <row r="12" spans="3:23" x14ac:dyDescent="0.25">
      <c r="C12" s="3" t="s">
        <v>86</v>
      </c>
      <c r="D12" s="6">
        <v>300</v>
      </c>
      <c r="E12" t="s">
        <v>2</v>
      </c>
      <c r="H12" s="1" t="s">
        <v>9</v>
      </c>
      <c r="I12" s="1"/>
      <c r="J12" s="1"/>
      <c r="K12" s="1"/>
    </row>
    <row r="13" spans="3:23" x14ac:dyDescent="0.25">
      <c r="C13" s="3" t="s">
        <v>87</v>
      </c>
      <c r="D13" s="6">
        <v>300</v>
      </c>
      <c r="E13" t="s">
        <v>2</v>
      </c>
      <c r="H13" s="10" t="s">
        <v>4</v>
      </c>
      <c r="I13" s="11" t="s">
        <v>10</v>
      </c>
      <c r="J13" s="9">
        <f>qG*LL^2/8</f>
        <v>73.920192280881651</v>
      </c>
      <c r="K13" s="12" t="s">
        <v>18</v>
      </c>
    </row>
    <row r="14" spans="3:23" x14ac:dyDescent="0.25">
      <c r="C14" s="3" t="s">
        <v>88</v>
      </c>
      <c r="D14" s="6">
        <v>15</v>
      </c>
      <c r="E14" t="s">
        <v>2</v>
      </c>
      <c r="H14" s="13"/>
      <c r="I14" s="14" t="s">
        <v>11</v>
      </c>
      <c r="J14" s="80">
        <f>qG*LL/2</f>
        <v>49.280128187254434</v>
      </c>
      <c r="K14" s="15" t="s">
        <v>8</v>
      </c>
    </row>
    <row r="15" spans="3:23" x14ac:dyDescent="0.25">
      <c r="C15" s="3" t="s">
        <v>40</v>
      </c>
      <c r="D15" s="8">
        <f>Pl_t+hb</f>
        <v>315</v>
      </c>
      <c r="E15" t="s">
        <v>2</v>
      </c>
      <c r="H15" s="16" t="s">
        <v>5</v>
      </c>
      <c r="I15" s="17" t="s">
        <v>10</v>
      </c>
      <c r="J15" s="9">
        <f>qQ_1*LL^2/8</f>
        <v>90</v>
      </c>
      <c r="K15" s="18" t="s">
        <v>18</v>
      </c>
      <c r="M15" s="46" t="s">
        <v>25</v>
      </c>
      <c r="N15" s="46"/>
      <c r="O15" s="46"/>
      <c r="P15" s="46"/>
      <c r="Q15" s="46"/>
      <c r="R15" s="46"/>
      <c r="S15" s="46"/>
    </row>
    <row r="16" spans="3:23" x14ac:dyDescent="0.25">
      <c r="C16" s="3"/>
      <c r="H16" s="19"/>
      <c r="I16" s="20" t="s">
        <v>11</v>
      </c>
      <c r="J16" s="8">
        <f>qQ_1*LL/2</f>
        <v>60</v>
      </c>
      <c r="K16" s="21" t="s">
        <v>8</v>
      </c>
    </row>
    <row r="17" spans="3:23" x14ac:dyDescent="0.25">
      <c r="C17" s="3" t="s">
        <v>41</v>
      </c>
      <c r="D17" s="6">
        <v>355</v>
      </c>
      <c r="E17" t="s">
        <v>44</v>
      </c>
      <c r="H17" s="22" t="s">
        <v>6</v>
      </c>
      <c r="I17" s="23" t="s">
        <v>10</v>
      </c>
      <c r="J17" s="9">
        <f>F_Q2*LL/4</f>
        <v>0</v>
      </c>
      <c r="K17" s="24" t="s">
        <v>18</v>
      </c>
      <c r="N17" s="5" t="s">
        <v>29</v>
      </c>
      <c r="O17" s="45" t="s">
        <v>30</v>
      </c>
      <c r="P17" s="5" t="s">
        <v>39</v>
      </c>
      <c r="Q17" s="5" t="s">
        <v>32</v>
      </c>
      <c r="R17" s="5" t="s">
        <v>33</v>
      </c>
      <c r="S17" s="5" t="s">
        <v>31</v>
      </c>
    </row>
    <row r="18" spans="3:23" x14ac:dyDescent="0.25">
      <c r="C18" s="3" t="s">
        <v>42</v>
      </c>
      <c r="D18" s="6">
        <v>355</v>
      </c>
      <c r="E18" t="s">
        <v>45</v>
      </c>
      <c r="H18" s="25"/>
      <c r="I18" s="26" t="s">
        <v>11</v>
      </c>
      <c r="J18" s="8">
        <f>F_Q2/2</f>
        <v>0</v>
      </c>
      <c r="K18" s="27" t="s">
        <v>8</v>
      </c>
      <c r="M18" s="41" t="s">
        <v>26</v>
      </c>
      <c r="N18" s="43">
        <f>bf*tf</f>
        <v>1605</v>
      </c>
      <c r="O18" s="42">
        <f>-tf/2+hb</f>
        <v>294.64999999999998</v>
      </c>
      <c r="P18" s="72">
        <f t="shared" ref="P18:P23" si="0">N18*O18</f>
        <v>472913.24999999994</v>
      </c>
      <c r="Q18" s="67">
        <f t="shared" ref="Q18:Q23" si="1">O18-zG</f>
        <v>216.3771061651654</v>
      </c>
      <c r="R18" s="69">
        <f t="shared" ref="R18:R23" si="2">N18*Q18^2</f>
        <v>75144578.576220065</v>
      </c>
      <c r="S18" s="71">
        <f>bf*tf^3/12</f>
        <v>15313.037499999997</v>
      </c>
    </row>
    <row r="19" spans="3:23" x14ac:dyDescent="0.25">
      <c r="C19" s="3" t="s">
        <v>43</v>
      </c>
      <c r="D19" s="6">
        <f>FyS</f>
        <v>355</v>
      </c>
      <c r="E19" t="s">
        <v>44</v>
      </c>
      <c r="M19" s="41" t="s">
        <v>95</v>
      </c>
      <c r="N19" s="68">
        <f>(4-PI())*rr^2/2</f>
        <v>96.57082647114828</v>
      </c>
      <c r="O19" s="75">
        <f>hb-tf-kcG*rr</f>
        <v>285.94948091581375</v>
      </c>
      <c r="P19" s="44">
        <f t="shared" si="0"/>
        <v>27614.377701035977</v>
      </c>
      <c r="Q19" s="68">
        <f t="shared" si="1"/>
        <v>207.67658708097917</v>
      </c>
      <c r="R19" s="70">
        <f t="shared" si="2"/>
        <v>4165057.7201632154</v>
      </c>
      <c r="S19" s="71">
        <f>kcI*rr^4</f>
        <v>764.4375</v>
      </c>
    </row>
    <row r="20" spans="3:23" x14ac:dyDescent="0.25">
      <c r="C20" s="3" t="s">
        <v>94</v>
      </c>
      <c r="D20" s="6">
        <v>355</v>
      </c>
      <c r="E20" t="s">
        <v>44</v>
      </c>
      <c r="M20" s="41" t="s">
        <v>27</v>
      </c>
      <c r="N20" s="44">
        <f>hw*tw</f>
        <v>1978.0600000000002</v>
      </c>
      <c r="O20" s="4">
        <f>hb/2</f>
        <v>150</v>
      </c>
      <c r="P20" s="44">
        <f t="shared" si="0"/>
        <v>296709</v>
      </c>
      <c r="Q20" s="68">
        <f t="shared" si="1"/>
        <v>71.727106165165424</v>
      </c>
      <c r="R20" s="70">
        <f t="shared" si="2"/>
        <v>10176679.093629118</v>
      </c>
      <c r="S20" s="71">
        <f>hw^3*tw/12</f>
        <v>12794415.163133336</v>
      </c>
    </row>
    <row r="21" spans="3:23" x14ac:dyDescent="0.25">
      <c r="C21" s="3" t="s">
        <v>60</v>
      </c>
      <c r="D21" s="6">
        <v>470</v>
      </c>
      <c r="E21" t="s">
        <v>44</v>
      </c>
      <c r="H21" s="1" t="s">
        <v>22</v>
      </c>
      <c r="I21" s="1"/>
      <c r="J21" s="1"/>
      <c r="K21" s="1"/>
      <c r="M21" s="41" t="s">
        <v>96</v>
      </c>
      <c r="N21" s="68">
        <f>(4-PI())*rr^2/2</f>
        <v>96.57082647114828</v>
      </c>
      <c r="O21" s="59">
        <f>tf+kcG*rr</f>
        <v>14.050519084186281</v>
      </c>
      <c r="P21" s="44">
        <f t="shared" si="0"/>
        <v>1356.8702403085106</v>
      </c>
      <c r="Q21" s="68">
        <f t="shared" si="1"/>
        <v>-64.222374750648299</v>
      </c>
      <c r="R21" s="70">
        <f t="shared" si="2"/>
        <v>398307.66962677037</v>
      </c>
      <c r="S21" s="71">
        <f>kcI*rr^4</f>
        <v>764.4375</v>
      </c>
    </row>
    <row r="22" spans="3:23" x14ac:dyDescent="0.25">
      <c r="M22" s="41" t="s">
        <v>28</v>
      </c>
      <c r="N22" s="44">
        <f>N18</f>
        <v>1605</v>
      </c>
      <c r="O22" s="4">
        <f>tf/2</f>
        <v>5.35</v>
      </c>
      <c r="P22" s="71">
        <f t="shared" si="0"/>
        <v>8586.75</v>
      </c>
      <c r="Q22" s="68">
        <f t="shared" si="1"/>
        <v>-72.922893834834582</v>
      </c>
      <c r="R22" s="70">
        <f t="shared" si="2"/>
        <v>8534986.2546207216</v>
      </c>
      <c r="S22" s="71">
        <f>bf*tf^3/12</f>
        <v>15313.037499999997</v>
      </c>
    </row>
    <row r="23" spans="3:23" x14ac:dyDescent="0.25">
      <c r="C23" s="1" t="s">
        <v>19</v>
      </c>
      <c r="D23" s="1"/>
      <c r="E23" s="1"/>
      <c r="F23" s="1"/>
      <c r="H23" s="29" t="s">
        <v>23</v>
      </c>
      <c r="I23" s="30" t="s">
        <v>10</v>
      </c>
      <c r="J23" s="48">
        <f>GammaG*MEdG+GammaQ*(MEd_Q1+Psi_0*MEd_Q2)</f>
        <v>234.79225957919022</v>
      </c>
      <c r="K23" s="31" t="s">
        <v>18</v>
      </c>
      <c r="M23" s="41" t="s">
        <v>92</v>
      </c>
      <c r="N23" s="5">
        <f>Pl_b*Pl_t</f>
        <v>4500</v>
      </c>
      <c r="O23" s="5">
        <f>-Pl_t/2</f>
        <v>-7.5</v>
      </c>
      <c r="P23" s="5">
        <f t="shared" si="0"/>
        <v>-33750</v>
      </c>
      <c r="Q23" s="54">
        <f t="shared" si="1"/>
        <v>-85.772893834834576</v>
      </c>
      <c r="R23" s="56">
        <f t="shared" si="2"/>
        <v>33106451.925608117</v>
      </c>
      <c r="S23" s="5">
        <f>Pl_b*Pl_t^3/12</f>
        <v>84375</v>
      </c>
    </row>
    <row r="24" spans="3:23" x14ac:dyDescent="0.25">
      <c r="C24" s="3"/>
      <c r="H24" s="32"/>
      <c r="I24" s="33" t="s">
        <v>11</v>
      </c>
      <c r="J24" s="48">
        <f>GammaG*VEdG+GammaQ*(VEd_Q1+Psi_0*VEd_Q2)</f>
        <v>156.52817305279348</v>
      </c>
      <c r="K24" s="34" t="s">
        <v>8</v>
      </c>
      <c r="N24" s="73">
        <f>SUM(N18:N23)</f>
        <v>9881.2016529422981</v>
      </c>
      <c r="P24" s="28">
        <f>SUM(P18:P23)</f>
        <v>773430.24794134439</v>
      </c>
      <c r="R24" s="28">
        <f>SUM(R18:R23)</f>
        <v>131526061.239868</v>
      </c>
      <c r="S24" s="28">
        <f>SUM(S18:S23)</f>
        <v>12910945.113133335</v>
      </c>
    </row>
    <row r="25" spans="3:23" x14ac:dyDescent="0.25">
      <c r="C25" s="3" t="s">
        <v>20</v>
      </c>
      <c r="D25" s="6">
        <v>6</v>
      </c>
      <c r="E25" t="s">
        <v>21</v>
      </c>
      <c r="H25" s="35" t="s">
        <v>24</v>
      </c>
      <c r="I25" s="36" t="s">
        <v>10</v>
      </c>
      <c r="J25" s="48">
        <f>GammaG*MEdG+GammaQ*(Psi_0*MEd_Q1+MEd_Q2)</f>
        <v>194.29225957919022</v>
      </c>
      <c r="K25" s="37" t="s">
        <v>18</v>
      </c>
    </row>
    <row r="26" spans="3:23" x14ac:dyDescent="0.25">
      <c r="C26" s="3"/>
      <c r="D26" s="4"/>
      <c r="H26" s="38"/>
      <c r="I26" s="39" t="s">
        <v>11</v>
      </c>
      <c r="J26" s="48">
        <f>GammaG*VEdG+GammaQ*(Psi_0*VEd_Q1+VEd_Q2)</f>
        <v>129.52817305279348</v>
      </c>
      <c r="K26" s="40" t="s">
        <v>8</v>
      </c>
      <c r="M26" s="3" t="s">
        <v>34</v>
      </c>
      <c r="N26" s="9">
        <f>N24</f>
        <v>9881.2016529422981</v>
      </c>
      <c r="O26" t="s">
        <v>36</v>
      </c>
      <c r="U26" s="3" t="s">
        <v>62</v>
      </c>
      <c r="V26" s="48">
        <f>SUM(N19:N21)+2*(2*rr+tw)*tf/2</f>
        <v>2568.1716529422965</v>
      </c>
      <c r="W26" t="s">
        <v>36</v>
      </c>
    </row>
    <row r="27" spans="3:23" x14ac:dyDescent="0.25">
      <c r="C27" s="3" t="s">
        <v>69</v>
      </c>
      <c r="D27" s="6">
        <v>210000</v>
      </c>
      <c r="E27" t="s">
        <v>44</v>
      </c>
      <c r="M27" s="3" t="s">
        <v>35</v>
      </c>
      <c r="N27" s="9">
        <f>P24/A</f>
        <v>78.272893834834576</v>
      </c>
      <c r="O27" t="s">
        <v>2</v>
      </c>
      <c r="P27" s="3" t="s">
        <v>56</v>
      </c>
      <c r="Q27" s="55">
        <f>IncertieCM/(ABS(hb-zG))*10</f>
        <v>651.41790217299649</v>
      </c>
      <c r="R27" t="s">
        <v>58</v>
      </c>
      <c r="S27" s="75">
        <f>Q27*355/1000</f>
        <v>231.25335527141374</v>
      </c>
      <c r="U27" s="3" t="s">
        <v>100</v>
      </c>
      <c r="V27" s="48">
        <f>7850*A/10^6</f>
        <v>77.567432975597043</v>
      </c>
      <c r="W27" t="s">
        <v>64</v>
      </c>
    </row>
    <row r="28" spans="3:23" x14ac:dyDescent="0.25">
      <c r="C28" s="3" t="s">
        <v>116</v>
      </c>
      <c r="D28" s="6">
        <v>2</v>
      </c>
      <c r="E28" t="s">
        <v>21</v>
      </c>
      <c r="M28" s="3" t="s">
        <v>63</v>
      </c>
      <c r="N28" s="49">
        <f>SUM(R24:S24)</f>
        <v>144437006.35300133</v>
      </c>
      <c r="O28" t="s">
        <v>37</v>
      </c>
      <c r="P28" s="3" t="s">
        <v>57</v>
      </c>
      <c r="Q28" s="55">
        <f>IncertieCM/(ABS(zG))*10</f>
        <v>1845.3004517474615</v>
      </c>
      <c r="R28" t="s">
        <v>58</v>
      </c>
      <c r="S28" s="75">
        <f t="shared" ref="S28:S29" si="3">Q28*355/1000</f>
        <v>655.0816603703488</v>
      </c>
      <c r="U28" s="3" t="s">
        <v>102</v>
      </c>
      <c r="V28" s="9">
        <f>V27*LL</f>
        <v>465.40459785358223</v>
      </c>
      <c r="W28" t="s">
        <v>66</v>
      </c>
    </row>
    <row r="29" spans="3:23" x14ac:dyDescent="0.25">
      <c r="C29" s="3" t="s">
        <v>117</v>
      </c>
      <c r="D29" s="6">
        <v>2</v>
      </c>
      <c r="E29" t="s">
        <v>21</v>
      </c>
      <c r="N29" s="9">
        <f>N28/10^4</f>
        <v>14443.700635300132</v>
      </c>
      <c r="O29" t="s">
        <v>38</v>
      </c>
      <c r="P29" s="2" t="s">
        <v>93</v>
      </c>
      <c r="Q29" s="55">
        <f>IncertieCM/(ABS(zG+Pl_t))*10</f>
        <v>1548.5421371054163</v>
      </c>
      <c r="R29" t="s">
        <v>58</v>
      </c>
      <c r="S29" s="75">
        <f t="shared" si="3"/>
        <v>549.73245867242281</v>
      </c>
      <c r="U29" s="3" t="s">
        <v>101</v>
      </c>
      <c r="V29" s="8">
        <f>604+Pl_b^3*Pl_t/12/10^4</f>
        <v>3979</v>
      </c>
      <c r="W29" t="s">
        <v>38</v>
      </c>
    </row>
    <row r="30" spans="3:23" x14ac:dyDescent="0.25">
      <c r="C30" s="3"/>
      <c r="D30" s="4"/>
      <c r="I30" s="3" t="s">
        <v>80</v>
      </c>
      <c r="J30" s="54">
        <f>GammaG*qG+GammaQ*(qQ_1)</f>
        <v>52.176057684264492</v>
      </c>
      <c r="K30" t="s">
        <v>7</v>
      </c>
      <c r="P30" s="3" t="s">
        <v>59</v>
      </c>
      <c r="Q30" s="76" cm="1">
        <f t="array" ref="Q30">MIN(Q27*FyS,Q28*FyI,Q29*FyPl)/1000/GammaM0</f>
        <v>231.25335527141374</v>
      </c>
      <c r="R30" t="s">
        <v>18</v>
      </c>
    </row>
    <row r="31" spans="3:23" x14ac:dyDescent="0.25">
      <c r="C31" s="1" t="s">
        <v>113</v>
      </c>
      <c r="D31" s="1"/>
      <c r="E31" s="1"/>
      <c r="F31" s="1"/>
      <c r="I31" s="3" t="s">
        <v>81</v>
      </c>
      <c r="J31" s="5">
        <f>Psi_0*GammaQ*F_Q2</f>
        <v>0</v>
      </c>
      <c r="K31" t="s">
        <v>8</v>
      </c>
    </row>
    <row r="32" spans="3:23" x14ac:dyDescent="0.25">
      <c r="C32" s="3"/>
      <c r="D32" s="4"/>
      <c r="M32" s="46" t="s">
        <v>46</v>
      </c>
      <c r="N32" s="46"/>
      <c r="O32" s="46"/>
      <c r="P32" s="46"/>
      <c r="Q32" s="46"/>
      <c r="R32" s="46"/>
      <c r="S32" s="46"/>
    </row>
    <row r="33" spans="3:22" x14ac:dyDescent="0.25">
      <c r="C33" s="3" t="s">
        <v>104</v>
      </c>
      <c r="D33" s="6">
        <v>58</v>
      </c>
      <c r="E33" t="s">
        <v>2</v>
      </c>
    </row>
    <row r="34" spans="3:22" x14ac:dyDescent="0.25">
      <c r="C34" s="3" t="s">
        <v>105</v>
      </c>
      <c r="D34" s="6">
        <v>207</v>
      </c>
      <c r="E34" t="s">
        <v>2</v>
      </c>
      <c r="N34" s="5" t="s">
        <v>29</v>
      </c>
      <c r="O34" s="5" t="s">
        <v>28</v>
      </c>
      <c r="P34" s="5" t="s">
        <v>125</v>
      </c>
      <c r="Q34" s="5" t="s">
        <v>30</v>
      </c>
      <c r="R34" s="5" t="s">
        <v>126</v>
      </c>
      <c r="S34" s="5" t="s">
        <v>127</v>
      </c>
    </row>
    <row r="35" spans="3:22" x14ac:dyDescent="0.25">
      <c r="C35" s="3" t="s">
        <v>106</v>
      </c>
      <c r="D35" s="6">
        <v>62</v>
      </c>
      <c r="E35" t="s">
        <v>2</v>
      </c>
      <c r="I35" s="58" t="s">
        <v>54</v>
      </c>
      <c r="J35" s="58"/>
      <c r="K35" s="58"/>
      <c r="M35" s="41" t="s">
        <v>26</v>
      </c>
      <c r="N35" s="4">
        <f>N18</f>
        <v>1605</v>
      </c>
      <c r="O35" s="4">
        <f>FyS/GammaM0</f>
        <v>355</v>
      </c>
      <c r="P35" s="59">
        <f>N35*O35/1000</f>
        <v>569.77499999999998</v>
      </c>
      <c r="Q35" s="4">
        <f>O18</f>
        <v>294.64999999999998</v>
      </c>
      <c r="R35" s="59">
        <f>P41-P35</f>
        <v>2938.0515867945151</v>
      </c>
      <c r="S35" s="59">
        <f>P35</f>
        <v>569.77499999999998</v>
      </c>
    </row>
    <row r="36" spans="3:22" x14ac:dyDescent="0.25">
      <c r="C36" s="3" t="s">
        <v>107</v>
      </c>
      <c r="D36" s="6">
        <v>101</v>
      </c>
      <c r="E36" t="s">
        <v>2</v>
      </c>
      <c r="I36" s="2" t="s">
        <v>55</v>
      </c>
      <c r="J36" s="52">
        <f>MEd_U1/MplRd</f>
        <v>0.78770634435695452</v>
      </c>
      <c r="M36" s="41" t="s">
        <v>95</v>
      </c>
      <c r="N36" s="83">
        <f>N19+rr*tw</f>
        <v>203.07082647114828</v>
      </c>
      <c r="O36" s="4">
        <f>FyW/GammaM0</f>
        <v>355</v>
      </c>
      <c r="P36" s="59">
        <f t="shared" ref="P36:P40" si="4">N36*O36/1000</f>
        <v>72.090143397257634</v>
      </c>
      <c r="Q36" s="75">
        <f>(O19*(4-PI())*rr^2/2+(hb-tf-kcG*rr)*rr*tw)/N36</f>
        <v>285.94948091581375</v>
      </c>
      <c r="R36" s="59">
        <f>R35-P36</f>
        <v>2865.9614433972574</v>
      </c>
      <c r="S36" s="59">
        <f>S35+P36</f>
        <v>641.86514339725761</v>
      </c>
      <c r="V36" s="82"/>
    </row>
    <row r="37" spans="3:22" x14ac:dyDescent="0.25">
      <c r="C37" s="3" t="s">
        <v>108</v>
      </c>
      <c r="D37" s="6">
        <v>0.75</v>
      </c>
      <c r="E37" t="s">
        <v>2</v>
      </c>
      <c r="I37" s="2" t="s">
        <v>157</v>
      </c>
      <c r="J37" s="52">
        <f>VEd_U1/Q62</f>
        <v>0.29737245800864787</v>
      </c>
      <c r="M37" s="41" t="s">
        <v>27</v>
      </c>
      <c r="N37" s="60">
        <f>dW*tw</f>
        <v>1765.0600000000002</v>
      </c>
      <c r="O37" s="4">
        <f>FyW/GammaM0</f>
        <v>355</v>
      </c>
      <c r="P37" s="59">
        <f t="shared" si="4"/>
        <v>626.59630000000004</v>
      </c>
      <c r="Q37" s="4">
        <f t="shared" ref="Q37:Q40" si="5">O20</f>
        <v>150</v>
      </c>
      <c r="R37" s="59">
        <f t="shared" ref="R37:R40" si="6">R36-P37</f>
        <v>2239.3651433972573</v>
      </c>
      <c r="S37" s="59">
        <f t="shared" ref="S37:S40" si="7">S36+P37</f>
        <v>1268.4614433972577</v>
      </c>
    </row>
    <row r="38" spans="3:22" x14ac:dyDescent="0.25">
      <c r="C38" s="3" t="s">
        <v>109</v>
      </c>
      <c r="D38" s="6">
        <v>355</v>
      </c>
      <c r="E38" t="s">
        <v>44</v>
      </c>
      <c r="M38" s="41" t="s">
        <v>96</v>
      </c>
      <c r="N38" s="83">
        <f>N36</f>
        <v>203.07082647114828</v>
      </c>
      <c r="O38" s="4">
        <f>FyW/GammaM0</f>
        <v>355</v>
      </c>
      <c r="P38" s="59">
        <f t="shared" si="4"/>
        <v>72.090143397257634</v>
      </c>
      <c r="Q38" s="75">
        <f>Q39+(Q35-Q36)</f>
        <v>14.050519084186226</v>
      </c>
      <c r="R38" s="59">
        <f t="shared" si="6"/>
        <v>2167.2749999999996</v>
      </c>
      <c r="S38" s="59">
        <f t="shared" si="7"/>
        <v>1340.5515867945153</v>
      </c>
    </row>
    <row r="39" spans="3:22" x14ac:dyDescent="0.25">
      <c r="C39" s="3" t="s">
        <v>110</v>
      </c>
      <c r="D39" s="6">
        <v>11.37</v>
      </c>
      <c r="E39" t="s">
        <v>111</v>
      </c>
      <c r="M39" s="41" t="s">
        <v>28</v>
      </c>
      <c r="N39" s="60">
        <f>N22</f>
        <v>1605</v>
      </c>
      <c r="O39" s="4">
        <f>FyI/GammaM0</f>
        <v>355</v>
      </c>
      <c r="P39" s="59">
        <f t="shared" si="4"/>
        <v>569.77499999999998</v>
      </c>
      <c r="Q39" s="4">
        <f t="shared" si="5"/>
        <v>5.35</v>
      </c>
      <c r="R39" s="59">
        <f t="shared" si="6"/>
        <v>1597.4999999999995</v>
      </c>
      <c r="S39" s="59">
        <f t="shared" si="7"/>
        <v>1910.3265867945152</v>
      </c>
    </row>
    <row r="40" spans="3:22" x14ac:dyDescent="0.25">
      <c r="C40" s="3" t="s">
        <v>112</v>
      </c>
      <c r="D40" s="6">
        <f>(Bac_bb+Bac_bt)/2</f>
        <v>81.5</v>
      </c>
      <c r="E40" t="s">
        <v>2</v>
      </c>
      <c r="M40" s="41" t="s">
        <v>92</v>
      </c>
      <c r="N40" s="60">
        <f>N23</f>
        <v>4500</v>
      </c>
      <c r="O40" s="4">
        <f>FyPl/GammaM0</f>
        <v>355</v>
      </c>
      <c r="P40" s="59">
        <f t="shared" si="4"/>
        <v>1597.5</v>
      </c>
      <c r="Q40" s="4">
        <f t="shared" si="5"/>
        <v>-7.5</v>
      </c>
      <c r="R40" s="59">
        <f t="shared" si="6"/>
        <v>0</v>
      </c>
      <c r="S40" s="59">
        <f t="shared" si="7"/>
        <v>3507.8265867945152</v>
      </c>
    </row>
    <row r="41" spans="3:22" x14ac:dyDescent="0.25">
      <c r="C41" s="3" t="s">
        <v>141</v>
      </c>
      <c r="D41" s="6">
        <v>50</v>
      </c>
      <c r="E41" t="s">
        <v>2</v>
      </c>
      <c r="N41" s="55">
        <f>SUM(N35:N40)</f>
        <v>9881.2016529422981</v>
      </c>
      <c r="P41" s="55">
        <f>SUM(P35:P40)</f>
        <v>3507.8265867945152</v>
      </c>
    </row>
    <row r="42" spans="3:22" x14ac:dyDescent="0.25">
      <c r="C42" s="3"/>
      <c r="D42" s="4"/>
    </row>
    <row r="43" spans="3:22" x14ac:dyDescent="0.25">
      <c r="C43" s="1" t="s">
        <v>103</v>
      </c>
      <c r="D43" s="1"/>
      <c r="E43" s="1"/>
      <c r="F43" s="1"/>
      <c r="M43" s="3" t="s">
        <v>82</v>
      </c>
      <c r="N43" s="55">
        <f>P41</f>
        <v>3507.8265867945152</v>
      </c>
      <c r="O43" t="s">
        <v>8</v>
      </c>
    </row>
    <row r="45" spans="3:22" x14ac:dyDescent="0.25">
      <c r="C45" s="3" t="s">
        <v>114</v>
      </c>
      <c r="D45" s="6">
        <v>350</v>
      </c>
      <c r="E45" t="s">
        <v>2</v>
      </c>
      <c r="M45" t="s">
        <v>128</v>
      </c>
    </row>
    <row r="46" spans="3:22" x14ac:dyDescent="0.25">
      <c r="C46" s="3" t="s">
        <v>115</v>
      </c>
      <c r="D46" s="77">
        <f>td-Bac_Hp</f>
        <v>292</v>
      </c>
      <c r="E46" t="s">
        <v>2</v>
      </c>
    </row>
    <row r="47" spans="3:22" x14ac:dyDescent="0.25">
      <c r="C47" s="3"/>
      <c r="D47" s="4"/>
      <c r="M47" s="3" t="s">
        <v>49</v>
      </c>
      <c r="N47" s="52">
        <f>(P41-2*P40)/2/P39</f>
        <v>0.27451764889168107</v>
      </c>
    </row>
    <row r="48" spans="3:22" x14ac:dyDescent="0.25">
      <c r="C48" s="3"/>
      <c r="D48" s="4"/>
      <c r="M48" s="3" t="s">
        <v>50</v>
      </c>
      <c r="N48" s="53">
        <f>pANP*tf</f>
        <v>2.9373388431409873</v>
      </c>
      <c r="O48" t="s">
        <v>2</v>
      </c>
    </row>
    <row r="49" spans="3:18" x14ac:dyDescent="0.25">
      <c r="C49" s="1" t="s">
        <v>118</v>
      </c>
      <c r="D49" s="1"/>
      <c r="E49" s="1"/>
      <c r="F49" s="1"/>
      <c r="H49" s="1" t="s">
        <v>53</v>
      </c>
      <c r="I49" s="1"/>
      <c r="J49" s="1"/>
      <c r="K49" s="1"/>
    </row>
    <row r="50" spans="3:18" x14ac:dyDescent="0.25">
      <c r="C50" s="3"/>
      <c r="D50" s="4"/>
    </row>
    <row r="51" spans="3:18" x14ac:dyDescent="0.25">
      <c r="C51" s="3" t="s">
        <v>119</v>
      </c>
      <c r="D51" s="6">
        <v>2500</v>
      </c>
      <c r="E51" t="s">
        <v>65</v>
      </c>
      <c r="I51" s="3" t="s">
        <v>158</v>
      </c>
      <c r="J51" s="98">
        <f>dW</f>
        <v>248.60000000000002</v>
      </c>
      <c r="K51" t="s">
        <v>2</v>
      </c>
      <c r="N51" s="5" t="s">
        <v>125</v>
      </c>
      <c r="O51" s="5" t="s">
        <v>30</v>
      </c>
      <c r="P51" s="5" t="s">
        <v>32</v>
      </c>
      <c r="Q51" s="5" t="s">
        <v>133</v>
      </c>
    </row>
    <row r="52" spans="3:18" x14ac:dyDescent="0.25">
      <c r="C52" s="3"/>
      <c r="D52" s="4"/>
      <c r="I52" s="3" t="s">
        <v>52</v>
      </c>
      <c r="J52" s="99">
        <f>dW/tw</f>
        <v>35.014084507042256</v>
      </c>
      <c r="M52" s="41" t="s">
        <v>26</v>
      </c>
      <c r="N52" s="93">
        <f>P35</f>
        <v>569.77499999999998</v>
      </c>
      <c r="O52" s="87">
        <f>Q35</f>
        <v>294.64999999999998</v>
      </c>
      <c r="P52" s="67">
        <f>O52-zANP</f>
        <v>291.71266115685899</v>
      </c>
      <c r="Q52" s="88">
        <f>N52*ABS(P52/1000)</f>
        <v>166.21058151064935</v>
      </c>
    </row>
    <row r="53" spans="3:18" x14ac:dyDescent="0.25">
      <c r="C53" s="3" t="s">
        <v>120</v>
      </c>
      <c r="D53" s="47">
        <f>(d_1+d_2)/2*tc*(1+Bac_bm*Bac_Hp/(Bac_e*tc))/1000</f>
        <v>0.62967149758454111</v>
      </c>
      <c r="E53" t="s">
        <v>67</v>
      </c>
      <c r="I53" s="3" t="s">
        <v>159</v>
      </c>
      <c r="J53" s="99">
        <f>SQRT(235/FyW)</f>
        <v>0.81361651346682706</v>
      </c>
      <c r="M53" s="41" t="s">
        <v>95</v>
      </c>
      <c r="N53" s="85">
        <f>P36</f>
        <v>72.090143397257634</v>
      </c>
      <c r="O53" s="89">
        <f t="shared" ref="O53:O55" si="8">Q36</f>
        <v>285.94948091581375</v>
      </c>
      <c r="P53" s="68">
        <f>O53-zANP</f>
        <v>283.01214207267276</v>
      </c>
      <c r="Q53" s="90">
        <f t="shared" ref="Q53:Q58" si="9">N53*ABS(P53/1000)</f>
        <v>20.40238590518403</v>
      </c>
    </row>
    <row r="54" spans="3:18" x14ac:dyDescent="0.25">
      <c r="C54" s="3" t="s">
        <v>100</v>
      </c>
      <c r="D54" s="9">
        <f>Ac*rhoC</f>
        <v>1574.1787439613527</v>
      </c>
      <c r="E54" t="s">
        <v>64</v>
      </c>
      <c r="I54" s="97" t="s">
        <v>160</v>
      </c>
      <c r="J54" s="99">
        <f>38*J53</f>
        <v>30.917427511739429</v>
      </c>
      <c r="M54" s="41" t="s">
        <v>27</v>
      </c>
      <c r="N54" s="85">
        <f t="shared" ref="N54:N55" si="10">P37</f>
        <v>626.59630000000004</v>
      </c>
      <c r="O54" s="89">
        <f t="shared" si="8"/>
        <v>150</v>
      </c>
      <c r="P54" s="68">
        <f>O54-zANP</f>
        <v>147.06266115685901</v>
      </c>
      <c r="Q54" s="90">
        <f t="shared" si="9"/>
        <v>92.148919349041577</v>
      </c>
    </row>
    <row r="55" spans="3:18" x14ac:dyDescent="0.25">
      <c r="C55" s="3" t="s">
        <v>121</v>
      </c>
      <c r="D55" s="9">
        <f>D54*9.81/1000</f>
        <v>15.442693478260869</v>
      </c>
      <c r="E55" t="s">
        <v>7</v>
      </c>
      <c r="I55" s="97" t="s">
        <v>161</v>
      </c>
      <c r="J55" s="98">
        <f>IF(J54&gt;J52,2,3)</f>
        <v>3</v>
      </c>
      <c r="M55" s="41" t="s">
        <v>96</v>
      </c>
      <c r="N55" s="85">
        <f t="shared" si="10"/>
        <v>72.090143397257634</v>
      </c>
      <c r="O55" s="89">
        <f t="shared" si="8"/>
        <v>14.050519084186226</v>
      </c>
      <c r="P55" s="68">
        <f>O55-zANP</f>
        <v>11.113180241045239</v>
      </c>
      <c r="Q55" s="90">
        <f t="shared" si="9"/>
        <v>0.8011507571765214</v>
      </c>
    </row>
    <row r="56" spans="3:18" x14ac:dyDescent="0.25">
      <c r="C56" s="3"/>
      <c r="D56" s="4"/>
      <c r="J56" s="4"/>
      <c r="M56" s="41" t="s">
        <v>129</v>
      </c>
      <c r="N56" s="85">
        <f>(1-pANP)*P39</f>
        <v>413.3617066027424</v>
      </c>
      <c r="O56" s="89"/>
      <c r="P56" s="68">
        <f>(1-pANP)*tf/2</f>
        <v>3.8813305784295062</v>
      </c>
      <c r="Q56" s="90">
        <f t="shared" si="9"/>
        <v>1.60439343178903</v>
      </c>
    </row>
    <row r="57" spans="3:18" x14ac:dyDescent="0.25">
      <c r="C57" s="3" t="s">
        <v>122</v>
      </c>
      <c r="D57" s="80">
        <f>9.81*(d_1+d_2)/2*Bac_Mu/1000</f>
        <v>0.22307939999999998</v>
      </c>
      <c r="E57" t="s">
        <v>7</v>
      </c>
      <c r="J57" s="4"/>
      <c r="M57" s="84" t="s">
        <v>130</v>
      </c>
      <c r="N57" s="85">
        <f>pANP*P39</f>
        <v>156.41329339725758</v>
      </c>
      <c r="O57" s="89"/>
      <c r="P57" s="68">
        <f>(-pANP)*tf/2</f>
        <v>-1.4686694215704936</v>
      </c>
      <c r="Q57" s="90">
        <f t="shared" si="9"/>
        <v>0.22971942113968621</v>
      </c>
    </row>
    <row r="58" spans="3:18" x14ac:dyDescent="0.25">
      <c r="C58" s="3" t="s">
        <v>123</v>
      </c>
      <c r="D58" s="80">
        <f>V27*9.81/1000</f>
        <v>0.76093651749060698</v>
      </c>
      <c r="E58" t="s">
        <v>7</v>
      </c>
      <c r="J58" s="4"/>
      <c r="M58" s="41" t="s">
        <v>92</v>
      </c>
      <c r="N58" s="94">
        <f>P40</f>
        <v>1597.5</v>
      </c>
      <c r="O58" s="91">
        <f>Q40</f>
        <v>-7.5</v>
      </c>
      <c r="P58" s="73">
        <f>O58-zANP</f>
        <v>-10.437338843140987</v>
      </c>
      <c r="Q58" s="92">
        <f t="shared" si="9"/>
        <v>16.673648801917725</v>
      </c>
    </row>
    <row r="59" spans="3:18" x14ac:dyDescent="0.25">
      <c r="C59" s="3"/>
      <c r="D59" s="4"/>
      <c r="Q59" s="86">
        <f>SUM(Q52:Q58)</f>
        <v>298.07079917689794</v>
      </c>
    </row>
    <row r="60" spans="3:18" x14ac:dyDescent="0.25">
      <c r="C60" s="3" t="s">
        <v>124</v>
      </c>
      <c r="D60" s="81">
        <f>SUM(D55,D57,D58)</f>
        <v>16.426709395751477</v>
      </c>
      <c r="E60" s="57" t="s">
        <v>7</v>
      </c>
    </row>
    <row r="61" spans="3:18" x14ac:dyDescent="0.25">
      <c r="C61" s="3"/>
      <c r="D61" s="4"/>
      <c r="P61" s="3" t="s">
        <v>51</v>
      </c>
      <c r="Q61" s="76">
        <f>Q59</f>
        <v>298.07079917689794</v>
      </c>
      <c r="R61" t="s">
        <v>18</v>
      </c>
    </row>
    <row r="62" spans="3:18" x14ac:dyDescent="0.25">
      <c r="C62" s="3"/>
      <c r="D62" s="4"/>
      <c r="P62" s="3" t="s">
        <v>155</v>
      </c>
      <c r="Q62" s="76">
        <f>V26*FyW/SQRT(3)/1000/GammaM0</f>
        <v>526.37078127874736</v>
      </c>
      <c r="R62" t="s">
        <v>18</v>
      </c>
    </row>
    <row r="63" spans="3:18" x14ac:dyDescent="0.25">
      <c r="C63" s="3"/>
      <c r="D63" s="4"/>
      <c r="M63" s="2" t="s">
        <v>132</v>
      </c>
      <c r="N63" s="55">
        <f>SUM(N52:N56)</f>
        <v>1753.9132933972578</v>
      </c>
    </row>
    <row r="64" spans="3:18" x14ac:dyDescent="0.25">
      <c r="C64" s="3"/>
      <c r="D64" s="4"/>
      <c r="M64" s="2" t="s">
        <v>131</v>
      </c>
      <c r="N64" s="55">
        <f>SUM(N57:N58)</f>
        <v>1753.9132933972576</v>
      </c>
    </row>
    <row r="65" spans="3:18" x14ac:dyDescent="0.25">
      <c r="C65" s="3"/>
      <c r="D65" s="4"/>
    </row>
    <row r="66" spans="3:18" x14ac:dyDescent="0.25">
      <c r="C66" s="3"/>
      <c r="D66" s="4"/>
    </row>
    <row r="67" spans="3:18" x14ac:dyDescent="0.25">
      <c r="C67" s="3"/>
      <c r="D67" s="4"/>
    </row>
    <row r="68" spans="3:18" x14ac:dyDescent="0.25">
      <c r="M68" s="3"/>
      <c r="N68" s="4"/>
    </row>
    <row r="69" spans="3:18" x14ac:dyDescent="0.25">
      <c r="M69" s="61" t="s">
        <v>68</v>
      </c>
      <c r="N69" s="62"/>
      <c r="O69" s="63"/>
      <c r="P69" s="63"/>
      <c r="Q69" s="63"/>
      <c r="R69" s="63"/>
    </row>
    <row r="70" spans="3:18" x14ac:dyDescent="0.25">
      <c r="M70" s="3"/>
      <c r="N70" s="4"/>
    </row>
    <row r="71" spans="3:18" x14ac:dyDescent="0.25">
      <c r="M71" s="3" t="s">
        <v>4</v>
      </c>
      <c r="N71" s="54">
        <f>5/384*qG*LL^4/(E*IncertieCM/100)*1000^2</f>
        <v>9.1389559152251394</v>
      </c>
      <c r="O71" t="s">
        <v>2</v>
      </c>
    </row>
    <row r="72" spans="3:18" x14ac:dyDescent="0.25">
      <c r="M72" s="3" t="s">
        <v>5</v>
      </c>
      <c r="N72" s="54">
        <f>5/384*qQ_1*LL^4/(E*IncertieCM/100)*1000^2</f>
        <v>11.126946602694259</v>
      </c>
      <c r="O72" t="s">
        <v>2</v>
      </c>
    </row>
    <row r="73" spans="3:18" x14ac:dyDescent="0.25">
      <c r="M73" s="3" t="s">
        <v>6</v>
      </c>
      <c r="N73" s="54">
        <f>F_Q2*LL^3*1000/48/(E*IncertieCM/100)*1000</f>
        <v>0</v>
      </c>
      <c r="O73" t="s">
        <v>2</v>
      </c>
    </row>
    <row r="74" spans="3:18" x14ac:dyDescent="0.25">
      <c r="M74" s="3"/>
      <c r="N74" s="4"/>
    </row>
    <row r="75" spans="3:18" x14ac:dyDescent="0.25">
      <c r="M75" s="3" t="s">
        <v>70</v>
      </c>
      <c r="N75" s="54">
        <f>N71+N72+Psi_0*N73</f>
        <v>20.2659025179194</v>
      </c>
      <c r="O75" t="s">
        <v>2</v>
      </c>
    </row>
    <row r="76" spans="3:18" x14ac:dyDescent="0.25">
      <c r="N76" s="4"/>
    </row>
    <row r="78" spans="3:18" x14ac:dyDescent="0.25">
      <c r="M78" s="64" t="s">
        <v>71</v>
      </c>
      <c r="N78" s="62"/>
      <c r="O78" s="63"/>
      <c r="P78" s="63"/>
      <c r="Q78" s="63"/>
      <c r="R78" s="63"/>
    </row>
    <row r="79" spans="3:18" x14ac:dyDescent="0.25">
      <c r="M79" s="3" t="s">
        <v>77</v>
      </c>
      <c r="N79" s="5">
        <v>9.81</v>
      </c>
      <c r="O79" t="s">
        <v>78</v>
      </c>
    </row>
    <row r="80" spans="3:18" x14ac:dyDescent="0.25">
      <c r="M80" s="3" t="s">
        <v>72</v>
      </c>
      <c r="N80" s="56">
        <f>qG*LL/g*1000</f>
        <v>10046.917061621698</v>
      </c>
      <c r="O80" t="s">
        <v>66</v>
      </c>
    </row>
    <row r="81" spans="13:15" x14ac:dyDescent="0.25">
      <c r="M81" s="3" t="s">
        <v>73</v>
      </c>
      <c r="N81" s="56">
        <f>qQ_1*LL/g*1000</f>
        <v>12232.415902140672</v>
      </c>
      <c r="O81" t="s">
        <v>66</v>
      </c>
    </row>
    <row r="82" spans="13:15" x14ac:dyDescent="0.25">
      <c r="M82" s="3" t="s">
        <v>74</v>
      </c>
      <c r="N82" s="65">
        <v>0.2</v>
      </c>
    </row>
    <row r="83" spans="13:15" x14ac:dyDescent="0.25">
      <c r="M83" s="3" t="s">
        <v>75</v>
      </c>
      <c r="N83" s="56">
        <f>N80+N82*N81</f>
        <v>12493.400242049833</v>
      </c>
      <c r="O83" t="s">
        <v>66</v>
      </c>
    </row>
    <row r="84" spans="13:15" x14ac:dyDescent="0.25">
      <c r="M84" s="3"/>
      <c r="N84" s="4"/>
    </row>
    <row r="85" spans="13:15" x14ac:dyDescent="0.25">
      <c r="M85" s="3" t="s">
        <v>76</v>
      </c>
      <c r="N85" s="56">
        <f>N83/2</f>
        <v>6246.7001210249164</v>
      </c>
      <c r="O85" t="s">
        <v>66</v>
      </c>
    </row>
    <row r="86" spans="13:15" x14ac:dyDescent="0.25">
      <c r="M86" s="3"/>
      <c r="N86" s="4"/>
    </row>
    <row r="87" spans="13:15" x14ac:dyDescent="0.25">
      <c r="M87" s="3" t="s">
        <v>71</v>
      </c>
      <c r="N87" s="54">
        <f>1/2/PI()*SQRT(PI()^4*(E*IncertieCM/100)/N83/LL^3)</f>
        <v>5.2662510823644419</v>
      </c>
      <c r="O87" t="s">
        <v>79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E5E-ED8A-4120-9F0B-C4375CB5FF62}">
  <dimension ref="C2:K33"/>
  <sheetViews>
    <sheetView tabSelected="1" topLeftCell="A16" workbookViewId="0">
      <selection activeCell="H25" sqref="H25"/>
    </sheetView>
  </sheetViews>
  <sheetFormatPr baseColWidth="10" defaultRowHeight="15" x14ac:dyDescent="0.25"/>
  <cols>
    <col min="5" max="5" width="12.7109375" bestFit="1" customWidth="1"/>
  </cols>
  <sheetData>
    <row r="2" spans="3:11" x14ac:dyDescent="0.25">
      <c r="C2" t="s">
        <v>134</v>
      </c>
    </row>
    <row r="4" spans="3:11" x14ac:dyDescent="0.25">
      <c r="C4" t="s">
        <v>135</v>
      </c>
    </row>
    <row r="6" spans="3:11" x14ac:dyDescent="0.25">
      <c r="C6" s="4" t="s">
        <v>136</v>
      </c>
      <c r="D6" s="4" t="s">
        <v>30</v>
      </c>
      <c r="E6" s="4" t="s">
        <v>138</v>
      </c>
      <c r="F6" s="4" t="s">
        <v>137</v>
      </c>
      <c r="G6" s="4" t="s">
        <v>55</v>
      </c>
    </row>
    <row r="7" spans="3:11" x14ac:dyDescent="0.25">
      <c r="C7" s="4">
        <v>1</v>
      </c>
      <c r="D7" s="4">
        <f>hb</f>
        <v>300</v>
      </c>
      <c r="E7" s="79">
        <f t="shared" ref="E7:E12" si="0">1/(InertieY_MM4)*((zG-D7))*(10^3)</f>
        <v>-1.5351128617500458E-3</v>
      </c>
      <c r="F7" s="78">
        <f t="shared" ref="F7:F12" si="1">MEd_U1*E7*1000</f>
        <v>-360.4326175193703</v>
      </c>
      <c r="G7" s="100">
        <f t="shared" ref="G7:G12" si="2">ABS(F7/(FyS/GammaM0))</f>
        <v>1.0153031479418881</v>
      </c>
      <c r="I7" s="75"/>
      <c r="J7" s="4"/>
      <c r="K7">
        <v>-113.47</v>
      </c>
    </row>
    <row r="8" spans="3:11" x14ac:dyDescent="0.25">
      <c r="C8" s="4">
        <v>2</v>
      </c>
      <c r="D8" s="4">
        <f>D7-tf</f>
        <v>289.3</v>
      </c>
      <c r="E8" s="79">
        <f t="shared" si="0"/>
        <v>-1.4610321239241081E-3</v>
      </c>
      <c r="F8" s="78">
        <f t="shared" si="1"/>
        <v>-343.03903369392481</v>
      </c>
      <c r="G8" s="100">
        <f t="shared" si="2"/>
        <v>0.96630713716598537</v>
      </c>
      <c r="K8">
        <v>-138.15</v>
      </c>
    </row>
    <row r="9" spans="3:11" x14ac:dyDescent="0.25">
      <c r="C9" s="4">
        <v>3</v>
      </c>
      <c r="D9" s="75">
        <f>zG</f>
        <v>78.272893834834576</v>
      </c>
      <c r="E9" s="79">
        <f t="shared" si="0"/>
        <v>0</v>
      </c>
      <c r="F9" s="78">
        <f t="shared" si="1"/>
        <v>0</v>
      </c>
      <c r="G9" s="100">
        <f t="shared" si="2"/>
        <v>0</v>
      </c>
      <c r="K9">
        <f>1.35*K7+1.5*K8</f>
        <v>-360.40950000000004</v>
      </c>
    </row>
    <row r="10" spans="3:11" x14ac:dyDescent="0.25">
      <c r="C10" s="4">
        <v>4</v>
      </c>
      <c r="D10" s="4">
        <f>tf</f>
        <v>10.7</v>
      </c>
      <c r="E10" s="79">
        <f t="shared" si="0"/>
        <v>4.6783643292694458E-4</v>
      </c>
      <c r="F10" s="78">
        <f t="shared" si="1"/>
        <v>109.84437320038558</v>
      </c>
      <c r="G10" s="100">
        <f t="shared" si="2"/>
        <v>0.30942076957855091</v>
      </c>
      <c r="K10">
        <f>InertieY_MM4</f>
        <v>144437006.35300133</v>
      </c>
    </row>
    <row r="11" spans="3:11" x14ac:dyDescent="0.25">
      <c r="C11" s="4">
        <v>5</v>
      </c>
      <c r="D11" s="4">
        <v>0</v>
      </c>
      <c r="E11" s="79">
        <f t="shared" si="0"/>
        <v>5.4191717075288237E-4</v>
      </c>
      <c r="F11" s="78">
        <f t="shared" si="1"/>
        <v>127.23795702583109</v>
      </c>
      <c r="G11" s="100">
        <f t="shared" si="2"/>
        <v>0.35841678035445379</v>
      </c>
    </row>
    <row r="12" spans="3:11" x14ac:dyDescent="0.25">
      <c r="C12" s="4">
        <v>6</v>
      </c>
      <c r="D12" s="4">
        <f>-Pl_t</f>
        <v>-15</v>
      </c>
      <c r="E12" s="79">
        <f t="shared" si="0"/>
        <v>6.4576867237802881E-4</v>
      </c>
      <c r="F12" s="78">
        <f t="shared" si="1"/>
        <v>151.62148575309118</v>
      </c>
      <c r="G12" s="100">
        <f t="shared" si="2"/>
        <v>0.42710277676927094</v>
      </c>
    </row>
    <row r="13" spans="3:11" x14ac:dyDescent="0.25">
      <c r="C13" s="4"/>
      <c r="D13" s="4"/>
      <c r="E13" s="4"/>
      <c r="F13" s="4"/>
    </row>
    <row r="14" spans="3:11" x14ac:dyDescent="0.25">
      <c r="C14" s="4"/>
      <c r="D14" s="4"/>
      <c r="E14" s="4"/>
      <c r="F14" s="4"/>
    </row>
    <row r="15" spans="3:11" x14ac:dyDescent="0.25">
      <c r="C15" s="4" t="s">
        <v>142</v>
      </c>
      <c r="D15" s="48">
        <f>2/3*bAppMin</f>
        <v>33.333333333333329</v>
      </c>
      <c r="E15" s="4"/>
      <c r="F15" s="4"/>
    </row>
    <row r="16" spans="3:11" x14ac:dyDescent="0.25">
      <c r="C16" s="4"/>
    </row>
    <row r="17" spans="3:8" x14ac:dyDescent="0.25">
      <c r="C17" t="s">
        <v>139</v>
      </c>
    </row>
    <row r="18" spans="3:8" x14ac:dyDescent="0.25">
      <c r="C18" t="s">
        <v>92</v>
      </c>
    </row>
    <row r="19" spans="3:8" x14ac:dyDescent="0.25">
      <c r="C19" s="3" t="s">
        <v>143</v>
      </c>
      <c r="D19" s="80">
        <f>(Pl_b-bf)/2-dApp</f>
        <v>41.666666666666671</v>
      </c>
      <c r="E19" t="s">
        <v>2</v>
      </c>
    </row>
    <row r="20" spans="3:8" x14ac:dyDescent="0.25">
      <c r="C20" s="2" t="s">
        <v>145</v>
      </c>
      <c r="D20" s="80">
        <f>qELU*dp*6/Pl_t^2/2</f>
        <v>28.98669871348028</v>
      </c>
      <c r="E20" t="s">
        <v>44</v>
      </c>
    </row>
    <row r="22" spans="3:8" x14ac:dyDescent="0.25">
      <c r="C22" t="s">
        <v>140</v>
      </c>
    </row>
    <row r="23" spans="3:8" x14ac:dyDescent="0.25">
      <c r="C23" s="3" t="s">
        <v>144</v>
      </c>
      <c r="D23" s="80">
        <f>(bf-tw)/2-rr</f>
        <v>56.45</v>
      </c>
      <c r="E23" t="s">
        <v>2</v>
      </c>
    </row>
    <row r="24" spans="3:8" x14ac:dyDescent="0.25">
      <c r="C24" s="2" t="s">
        <v>145</v>
      </c>
      <c r="D24" s="80">
        <f>qELU*df*6/tf^2/2</f>
        <v>77.17718026753596</v>
      </c>
      <c r="E24" t="s">
        <v>44</v>
      </c>
    </row>
    <row r="27" spans="3:8" x14ac:dyDescent="0.25">
      <c r="D27" s="5" t="s">
        <v>152</v>
      </c>
      <c r="E27" s="5" t="s">
        <v>145</v>
      </c>
      <c r="F27" s="5" t="s">
        <v>153</v>
      </c>
      <c r="G27" s="5" t="s">
        <v>154</v>
      </c>
      <c r="H27" s="5" t="s">
        <v>156</v>
      </c>
    </row>
    <row r="28" spans="3:8" x14ac:dyDescent="0.25">
      <c r="C28" s="3" t="s">
        <v>146</v>
      </c>
      <c r="D28" s="59">
        <f>F10</f>
        <v>109.84437320038558</v>
      </c>
      <c r="E28" s="66">
        <f>+D24</f>
        <v>77.17718026753596</v>
      </c>
      <c r="F28" s="4">
        <v>0</v>
      </c>
      <c r="G28" s="78">
        <f>SQRT(D28^2+E28^2-D28*E28+3*F28^2)</f>
        <v>97.696594034657494</v>
      </c>
      <c r="H28" s="101">
        <f t="shared" ref="H28:H33" si="3">G28/(FyS/GammaM0)</f>
        <v>0.27520167333706336</v>
      </c>
    </row>
    <row r="29" spans="3:8" x14ac:dyDescent="0.25">
      <c r="C29" s="95" t="s">
        <v>147</v>
      </c>
      <c r="D29" s="59">
        <f>AVERAGE(D28,D30)</f>
        <v>118.54116511310833</v>
      </c>
      <c r="E29" s="4">
        <v>0</v>
      </c>
      <c r="F29" s="75">
        <f>3/2*qELU/tf/2</f>
        <v>3.6572003049718105</v>
      </c>
      <c r="G29" s="78">
        <f t="shared" ref="G29:G33" si="4">SQRT(D29^2+E29^2-D29*E29+3*F29^2)</f>
        <v>118.7102909127312</v>
      </c>
      <c r="H29" s="101">
        <f t="shared" si="3"/>
        <v>0.33439518566966536</v>
      </c>
    </row>
    <row r="30" spans="3:8" x14ac:dyDescent="0.25">
      <c r="C30" s="3" t="s">
        <v>148</v>
      </c>
      <c r="D30" s="59">
        <f>F11</f>
        <v>127.23795702583109</v>
      </c>
      <c r="E30" s="66">
        <f>-E28</f>
        <v>-77.17718026753596</v>
      </c>
      <c r="F30" s="4">
        <v>0</v>
      </c>
      <c r="G30" s="78">
        <f t="shared" si="4"/>
        <v>178.78948964749171</v>
      </c>
      <c r="H30" s="101">
        <f t="shared" si="3"/>
        <v>0.50363236520420196</v>
      </c>
    </row>
    <row r="31" spans="3:8" x14ac:dyDescent="0.25">
      <c r="C31" s="3" t="s">
        <v>149</v>
      </c>
      <c r="D31" s="59">
        <f>F11</f>
        <v>127.23795702583109</v>
      </c>
      <c r="E31" s="66">
        <f>D20</f>
        <v>28.98669871348028</v>
      </c>
      <c r="F31" s="4">
        <v>0</v>
      </c>
      <c r="G31" s="78">
        <f t="shared" si="4"/>
        <v>115.50548941581434</v>
      </c>
      <c r="H31" s="101">
        <f t="shared" si="3"/>
        <v>0.32536757581919534</v>
      </c>
    </row>
    <row r="32" spans="3:8" x14ac:dyDescent="0.25">
      <c r="C32" s="3" t="s">
        <v>150</v>
      </c>
      <c r="D32" s="59">
        <f>AVERAGE(D31,D33)</f>
        <v>139.42972138946112</v>
      </c>
      <c r="E32" s="4">
        <v>0</v>
      </c>
      <c r="F32" s="66">
        <f>3/2*qELU/Pl_t/2</f>
        <v>2.6088028842132247</v>
      </c>
      <c r="G32" s="78">
        <f t="shared" si="4"/>
        <v>139.50292027125738</v>
      </c>
      <c r="H32" s="101">
        <f t="shared" si="3"/>
        <v>0.3929659725950912</v>
      </c>
    </row>
    <row r="33" spans="3:8" x14ac:dyDescent="0.25">
      <c r="C33" s="3" t="s">
        <v>151</v>
      </c>
      <c r="D33" s="59">
        <f>F12</f>
        <v>151.62148575309118</v>
      </c>
      <c r="E33" s="66">
        <f>-E31</f>
        <v>-28.98669871348028</v>
      </c>
      <c r="F33" s="4">
        <v>0</v>
      </c>
      <c r="G33" s="78">
        <f t="shared" si="4"/>
        <v>168.00092252810995</v>
      </c>
      <c r="H33" s="101">
        <f t="shared" si="3"/>
        <v>0.47324203529045056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C3"/>
  <sheetViews>
    <sheetView workbookViewId="0">
      <selection activeCell="F20" sqref="F20"/>
    </sheetView>
  </sheetViews>
  <sheetFormatPr baseColWidth="10" defaultRowHeight="15" x14ac:dyDescent="0.25"/>
  <sheetData>
    <row r="2" spans="3:3" x14ac:dyDescent="0.25">
      <c r="C2" s="50" t="s">
        <v>47</v>
      </c>
    </row>
    <row r="3" spans="3:3" x14ac:dyDescent="0.25">
      <c r="C3" s="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71</vt:i4>
      </vt:variant>
    </vt:vector>
  </HeadingPairs>
  <TitlesOfParts>
    <vt:vector size="74" baseType="lpstr">
      <vt:lpstr>Feuil1</vt:lpstr>
      <vt:lpstr>Section élastique</vt:lpstr>
      <vt:lpstr>Param</vt:lpstr>
      <vt:lpstr>A</vt:lpstr>
      <vt:lpstr>Ac</vt:lpstr>
      <vt:lpstr>Bac_bb</vt:lpstr>
      <vt:lpstr>Bac_bm</vt:lpstr>
      <vt:lpstr>Bac_bt</vt:lpstr>
      <vt:lpstr>Bac_e</vt:lpstr>
      <vt:lpstr>Bac_Fy</vt:lpstr>
      <vt:lpstr>Bac_Hp</vt:lpstr>
      <vt:lpstr>Bac_Mu</vt:lpstr>
      <vt:lpstr>Bac_t</vt:lpstr>
      <vt:lpstr>bAppMin</vt:lpstr>
      <vt:lpstr>bf</vt:lpstr>
      <vt:lpstr>d_1</vt:lpstr>
      <vt:lpstr>d_2</vt:lpstr>
      <vt:lpstr>dApp</vt:lpstr>
      <vt:lpstr>df</vt:lpstr>
      <vt:lpstr>dp</vt:lpstr>
      <vt:lpstr>dW</vt:lpstr>
      <vt:lpstr>E</vt:lpstr>
      <vt:lpstr>F_Q2</vt:lpstr>
      <vt:lpstr>Fu</vt:lpstr>
      <vt:lpstr>FyI</vt:lpstr>
      <vt:lpstr>FyPl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hb</vt:lpstr>
      <vt:lpstr>Ht</vt:lpstr>
      <vt:lpstr>hw</vt:lpstr>
      <vt:lpstr>IncertieCM</vt:lpstr>
      <vt:lpstr>InertieY_MM4</vt:lpstr>
      <vt:lpstr>kcG</vt:lpstr>
      <vt:lpstr>kcI</vt:lpstr>
      <vt:lpstr>listeNbAppuis</vt:lpstr>
      <vt:lpstr>LL</vt:lpstr>
      <vt:lpstr>MatriceRa</vt:lpstr>
      <vt:lpstr>MEd_Q1</vt:lpstr>
      <vt:lpstr>MEd_Q2</vt:lpstr>
      <vt:lpstr>MEd_U1</vt:lpstr>
      <vt:lpstr>MEd_U2</vt:lpstr>
      <vt:lpstr>MEdG</vt:lpstr>
      <vt:lpstr>MelRd</vt:lpstr>
      <vt:lpstr>MplRd</vt:lpstr>
      <vt:lpstr>non</vt:lpstr>
      <vt:lpstr>oui</vt:lpstr>
      <vt:lpstr>pANP</vt:lpstr>
      <vt:lpstr>Pl_b</vt:lpstr>
      <vt:lpstr>Pl_t</vt:lpstr>
      <vt:lpstr>Psi_0</vt:lpstr>
      <vt:lpstr>pW</vt:lpstr>
      <vt:lpstr>qELU</vt:lpstr>
      <vt:lpstr>qG</vt:lpstr>
      <vt:lpstr>qQ_1</vt:lpstr>
      <vt:lpstr>rhoC</vt:lpstr>
      <vt:lpstr>rr</vt:lpstr>
      <vt:lpstr>tc</vt:lpstr>
      <vt:lpstr>td</vt:lpstr>
      <vt:lpstr>tf</vt:lpstr>
      <vt:lpstr>tw</vt:lpstr>
      <vt:lpstr>VEd_Q1</vt:lpstr>
      <vt:lpstr>VEd_Q2</vt:lpstr>
      <vt:lpstr>VEd_U1</vt:lpstr>
      <vt:lpstr>VEd_U2</vt:lpstr>
      <vt:lpstr>VEdG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2025-09-17T14:33:20Z</dcterms:modified>
</cp:coreProperties>
</file>